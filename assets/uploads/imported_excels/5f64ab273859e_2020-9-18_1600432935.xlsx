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1570" windowHeight="8145"/>
  </bookViews>
  <sheets>
    <sheet name="TOTAL" sheetId="1" r:id="rId1"/>
    <sheet name="Submetering" sheetId="3" r:id="rId2"/>
    <sheet name="Sheet1" sheetId="5" r:id="rId3"/>
  </sheets>
  <externalReferences>
    <externalReference r:id="rId4"/>
  </externalReferences>
  <calcPr calcId="152511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AT6" i="3"/>
  <c r="AT8" i="3"/>
  <c r="AT14" i="3"/>
  <c r="AT16" i="3"/>
  <c r="AT22" i="3"/>
  <c r="AT24" i="3"/>
  <c r="AT30" i="3"/>
  <c r="AT32" i="3"/>
  <c r="AS32" i="3"/>
  <c r="AS31" i="3"/>
  <c r="AS30" i="3"/>
  <c r="AS29" i="3"/>
  <c r="AS28" i="3"/>
  <c r="AS27" i="3"/>
  <c r="AS26" i="3"/>
  <c r="AT26" i="3"/>
  <c r="AS25" i="3"/>
  <c r="AS24" i="3"/>
  <c r="AS23" i="3"/>
  <c r="AS22" i="3"/>
  <c r="AS21" i="3"/>
  <c r="AS20" i="3"/>
  <c r="AS19" i="3"/>
  <c r="AS18" i="3"/>
  <c r="AT18" i="3"/>
  <c r="AS17" i="3"/>
  <c r="AS16" i="3"/>
  <c r="AS15" i="3"/>
  <c r="AS14" i="3"/>
  <c r="AS13" i="3"/>
  <c r="AS12" i="3"/>
  <c r="AS11" i="3"/>
  <c r="AS10" i="3"/>
  <c r="AT10" i="3"/>
  <c r="AS9" i="3"/>
  <c r="AS8" i="3"/>
  <c r="AS7" i="3"/>
  <c r="AS6" i="3"/>
  <c r="AS5" i="3"/>
  <c r="AS4" i="3"/>
  <c r="AS3" i="3"/>
  <c r="AS2" i="3"/>
  <c r="AR32" i="3"/>
  <c r="AR31" i="3"/>
  <c r="AT31" i="3"/>
  <c r="AR30" i="3"/>
  <c r="AR29" i="3"/>
  <c r="AT29" i="3"/>
  <c r="AR28" i="3"/>
  <c r="AT28" i="3"/>
  <c r="AR27" i="3"/>
  <c r="AT27" i="3"/>
  <c r="AR26" i="3"/>
  <c r="AR25" i="3"/>
  <c r="AT25" i="3"/>
  <c r="AR24" i="3"/>
  <c r="AR23" i="3"/>
  <c r="AT23" i="3"/>
  <c r="AR22" i="3"/>
  <c r="AR21" i="3"/>
  <c r="AT21" i="3"/>
  <c r="AR20" i="3"/>
  <c r="AT20" i="3"/>
  <c r="AR19" i="3"/>
  <c r="AT19" i="3"/>
  <c r="AR18" i="3"/>
  <c r="AR17" i="3"/>
  <c r="AT17" i="3"/>
  <c r="AR16" i="3"/>
  <c r="AR15" i="3"/>
  <c r="AT15" i="3"/>
  <c r="AR14" i="3"/>
  <c r="AR13" i="3"/>
  <c r="AT13" i="3"/>
  <c r="AR12" i="3"/>
  <c r="AT12" i="3"/>
  <c r="AR11" i="3"/>
  <c r="AT11" i="3"/>
  <c r="AR10" i="3"/>
  <c r="AR9" i="3"/>
  <c r="AT9" i="3"/>
  <c r="AR8" i="3"/>
  <c r="AR7" i="3"/>
  <c r="AT7" i="3"/>
  <c r="AR6" i="3"/>
  <c r="AR5" i="3"/>
  <c r="AT5" i="3"/>
  <c r="AR4" i="3"/>
  <c r="AT4" i="3"/>
  <c r="AR3" i="3"/>
  <c r="AT3" i="3"/>
  <c r="AR2" i="3"/>
  <c r="AT2" i="3"/>
  <c r="AQ3" i="3"/>
  <c r="AQ11" i="3"/>
  <c r="AQ19" i="3"/>
  <c r="AQ27" i="3"/>
  <c r="AQ2" i="3"/>
  <c r="AP32" i="3"/>
  <c r="AP31" i="3"/>
  <c r="AP30" i="3"/>
  <c r="AP29" i="3"/>
  <c r="AQ29" i="3"/>
  <c r="AP28" i="3"/>
  <c r="AP27" i="3"/>
  <c r="AP26" i="3"/>
  <c r="AP25" i="3"/>
  <c r="AQ25" i="3"/>
  <c r="AP24" i="3"/>
  <c r="AP23" i="3"/>
  <c r="AP22" i="3"/>
  <c r="AP21" i="3"/>
  <c r="AQ21" i="3"/>
  <c r="AP20" i="3"/>
  <c r="AP19" i="3"/>
  <c r="AP18" i="3"/>
  <c r="AP17" i="3"/>
  <c r="AQ17" i="3"/>
  <c r="AP16" i="3"/>
  <c r="AP15" i="3"/>
  <c r="AP14" i="3"/>
  <c r="AP13" i="3"/>
  <c r="AQ13" i="3"/>
  <c r="AP12" i="3"/>
  <c r="AP11" i="3"/>
  <c r="AP10" i="3"/>
  <c r="AP9" i="3"/>
  <c r="AQ9" i="3"/>
  <c r="AP8" i="3"/>
  <c r="AP7" i="3"/>
  <c r="AP6" i="3"/>
  <c r="AP5" i="3"/>
  <c r="AQ5" i="3"/>
  <c r="AP4" i="3"/>
  <c r="AP3" i="3"/>
  <c r="AP2" i="3"/>
  <c r="AO32" i="3"/>
  <c r="AQ32" i="3"/>
  <c r="AO31" i="3"/>
  <c r="AQ31" i="3"/>
  <c r="AO30" i="3"/>
  <c r="AQ30" i="3"/>
  <c r="AO29" i="3"/>
  <c r="AO28" i="3"/>
  <c r="AQ28" i="3"/>
  <c r="AO27" i="3"/>
  <c r="AO26" i="3"/>
  <c r="AQ26" i="3"/>
  <c r="AO25" i="3"/>
  <c r="AO24" i="3"/>
  <c r="AQ24" i="3"/>
  <c r="AO23" i="3"/>
  <c r="AQ23" i="3"/>
  <c r="AO22" i="3"/>
  <c r="AQ22" i="3"/>
  <c r="AO21" i="3"/>
  <c r="AO20" i="3"/>
  <c r="AQ20" i="3"/>
  <c r="AO19" i="3"/>
  <c r="AO18" i="3"/>
  <c r="AQ18" i="3"/>
  <c r="AO17" i="3"/>
  <c r="AO16" i="3"/>
  <c r="AQ16" i="3"/>
  <c r="AO15" i="3"/>
  <c r="AQ15" i="3"/>
  <c r="AO14" i="3"/>
  <c r="AQ14" i="3"/>
  <c r="AO13" i="3"/>
  <c r="AO12" i="3"/>
  <c r="AQ12" i="3"/>
  <c r="AO11" i="3"/>
  <c r="AO10" i="3"/>
  <c r="AQ10" i="3"/>
  <c r="AO9" i="3"/>
  <c r="AO8" i="3"/>
  <c r="AQ8" i="3"/>
  <c r="AO7" i="3"/>
  <c r="AQ7" i="3"/>
  <c r="AO6" i="3"/>
  <c r="AQ6" i="3"/>
  <c r="AO5" i="3"/>
  <c r="AO4" i="3"/>
  <c r="AQ4" i="3"/>
  <c r="AO3" i="3"/>
  <c r="AO2" i="3"/>
  <c r="AN32" i="3"/>
  <c r="AN31" i="3"/>
  <c r="AN30" i="3"/>
  <c r="AN29" i="3"/>
  <c r="AN28" i="3"/>
  <c r="AN27" i="3"/>
  <c r="AN26" i="3"/>
  <c r="AN25" i="3"/>
  <c r="AN24" i="3"/>
  <c r="AN23" i="3"/>
  <c r="AN22" i="3"/>
  <c r="AN21" i="3"/>
  <c r="AN20" i="3"/>
  <c r="AN19" i="3"/>
  <c r="AN18" i="3"/>
  <c r="AN17" i="3"/>
  <c r="AN16" i="3"/>
  <c r="AN15" i="3"/>
  <c r="AN14" i="3"/>
  <c r="AN13" i="3"/>
  <c r="AN12" i="3"/>
  <c r="AN11" i="3"/>
  <c r="AN10" i="3"/>
  <c r="AN9" i="3"/>
  <c r="AN8" i="3"/>
  <c r="AN7" i="3"/>
  <c r="AN6" i="3"/>
  <c r="AN5" i="3"/>
  <c r="AN4" i="3"/>
  <c r="AN3" i="3"/>
  <c r="AN2" i="3"/>
  <c r="AM32" i="3"/>
  <c r="AM31" i="3"/>
  <c r="AM30" i="3"/>
  <c r="AM29" i="3"/>
  <c r="AM28" i="3"/>
  <c r="AM27" i="3"/>
  <c r="AM26" i="3"/>
  <c r="AM25" i="3"/>
  <c r="AM24" i="3"/>
  <c r="AM23" i="3"/>
  <c r="AM22" i="3"/>
  <c r="AM21" i="3"/>
  <c r="AM20" i="3"/>
  <c r="AM19" i="3"/>
  <c r="AM18" i="3"/>
  <c r="AM17" i="3"/>
  <c r="AM16" i="3"/>
  <c r="AM15" i="3"/>
  <c r="AM14" i="3"/>
  <c r="AM13" i="3"/>
  <c r="AM12" i="3"/>
  <c r="AM11" i="3"/>
  <c r="AM10" i="3"/>
  <c r="AM9" i="3"/>
  <c r="AM8" i="3"/>
  <c r="AM7" i="3"/>
  <c r="AM6" i="3"/>
  <c r="AM5" i="3"/>
  <c r="AM4" i="3"/>
  <c r="AM3" i="3"/>
  <c r="AM2" i="3"/>
  <c r="AL32" i="3"/>
  <c r="AL31" i="3"/>
  <c r="AL30" i="3"/>
  <c r="AL29" i="3"/>
  <c r="AL28" i="3"/>
  <c r="AL27" i="3"/>
  <c r="AL26" i="3"/>
  <c r="AL25" i="3"/>
  <c r="AL24" i="3"/>
  <c r="AL23" i="3"/>
  <c r="AL22" i="3"/>
  <c r="AL21" i="3"/>
  <c r="AL20" i="3"/>
  <c r="AL19" i="3"/>
  <c r="AL18" i="3"/>
  <c r="AL17" i="3"/>
  <c r="AL16" i="3"/>
  <c r="AL15" i="3"/>
  <c r="AL14" i="3"/>
  <c r="AL13" i="3"/>
  <c r="AL12" i="3"/>
  <c r="AL11" i="3"/>
  <c r="AL10" i="3"/>
  <c r="AL9" i="3"/>
  <c r="AL8" i="3"/>
  <c r="AL7" i="3"/>
  <c r="AL6" i="3"/>
  <c r="AL5" i="3"/>
  <c r="AL4" i="3"/>
  <c r="AL3" i="3"/>
  <c r="AL2" i="3"/>
  <c r="AK32" i="3"/>
  <c r="AK31" i="3"/>
  <c r="AK30" i="3"/>
  <c r="AK29" i="3"/>
  <c r="AK28" i="3"/>
  <c r="AK27" i="3"/>
  <c r="AK26" i="3"/>
  <c r="AK25" i="3"/>
  <c r="AK24" i="3"/>
  <c r="AK23" i="3"/>
  <c r="AK22" i="3"/>
  <c r="AK21" i="3"/>
  <c r="AK20" i="3"/>
  <c r="AK19" i="3"/>
  <c r="AK18" i="3"/>
  <c r="AK17" i="3"/>
  <c r="AK16" i="3"/>
  <c r="AK15" i="3"/>
  <c r="AK14" i="3"/>
  <c r="AK13" i="3"/>
  <c r="AK12" i="3"/>
  <c r="AK11" i="3"/>
  <c r="AK10" i="3"/>
  <c r="AK9" i="3"/>
  <c r="AK8" i="3"/>
  <c r="AK7" i="3"/>
  <c r="AK6" i="3"/>
  <c r="AK5" i="3"/>
  <c r="AK4" i="3"/>
  <c r="AK3" i="3"/>
  <c r="AK2" i="3"/>
  <c r="AJ32" i="3"/>
  <c r="AJ31" i="3"/>
  <c r="AJ30" i="3"/>
  <c r="AJ29" i="3"/>
  <c r="AJ28" i="3"/>
  <c r="AJ27" i="3"/>
  <c r="AJ26" i="3"/>
  <c r="AJ25" i="3"/>
  <c r="AJ24" i="3"/>
  <c r="AJ23" i="3"/>
  <c r="AJ22" i="3"/>
  <c r="AJ21" i="3"/>
  <c r="AJ20" i="3"/>
  <c r="AJ19" i="3"/>
  <c r="AJ18" i="3"/>
  <c r="AJ17" i="3"/>
  <c r="AJ16" i="3"/>
  <c r="AJ15" i="3"/>
  <c r="AJ14" i="3"/>
  <c r="AJ13" i="3"/>
  <c r="AJ12" i="3"/>
  <c r="AJ11" i="3"/>
  <c r="AJ10" i="3"/>
  <c r="AJ9" i="3"/>
  <c r="AJ8" i="3"/>
  <c r="AJ7" i="3"/>
  <c r="AJ6" i="3"/>
  <c r="AJ5" i="3"/>
  <c r="AJ4" i="3"/>
  <c r="AJ3" i="3"/>
  <c r="AJ2" i="3"/>
  <c r="AI32" i="3"/>
  <c r="G32" i="1"/>
  <c r="AI31" i="3"/>
  <c r="AI30" i="3"/>
  <c r="G30" i="1"/>
  <c r="AI29" i="3"/>
  <c r="G29" i="1"/>
  <c r="AI28" i="3"/>
  <c r="G28" i="1"/>
  <c r="AI27" i="3"/>
  <c r="G27" i="1"/>
  <c r="AI26" i="3"/>
  <c r="AI25" i="3"/>
  <c r="AI24" i="3"/>
  <c r="G24" i="1"/>
  <c r="AI23" i="3"/>
  <c r="AI22" i="3"/>
  <c r="G22" i="1"/>
  <c r="AI21" i="3"/>
  <c r="G21" i="1"/>
  <c r="AI20" i="3"/>
  <c r="G20" i="1"/>
  <c r="AI19" i="3"/>
  <c r="G19" i="1"/>
  <c r="AI18" i="3"/>
  <c r="AI17" i="3"/>
  <c r="AI16" i="3"/>
  <c r="G16" i="1"/>
  <c r="AI15" i="3"/>
  <c r="AI14" i="3"/>
  <c r="G14" i="1"/>
  <c r="AI13" i="3"/>
  <c r="G13" i="1"/>
  <c r="AI12" i="3"/>
  <c r="G12" i="1"/>
  <c r="AI11" i="3"/>
  <c r="G11" i="1"/>
  <c r="AI10" i="3"/>
  <c r="AI9" i="3"/>
  <c r="AI8" i="3"/>
  <c r="G8" i="1"/>
  <c r="AI7" i="3"/>
  <c r="AI6" i="3"/>
  <c r="G6" i="1"/>
  <c r="AI5" i="3"/>
  <c r="G5" i="1"/>
  <c r="AI4" i="3"/>
  <c r="G4" i="1"/>
  <c r="AI3" i="3"/>
  <c r="G3" i="1"/>
  <c r="AI2" i="3"/>
  <c r="A103" i="5"/>
  <c r="A102" i="5"/>
  <c r="A101" i="5"/>
  <c r="A100" i="5"/>
  <c r="A99" i="5"/>
  <c r="A98" i="5"/>
  <c r="E87" i="5"/>
  <c r="AG32" i="3"/>
  <c r="AG31" i="3"/>
  <c r="AG30" i="3"/>
  <c r="AG29" i="3"/>
  <c r="AG28" i="3"/>
  <c r="AG27" i="3"/>
  <c r="AG26" i="3"/>
  <c r="AG25" i="3"/>
  <c r="AG24" i="3"/>
  <c r="AG23" i="3"/>
  <c r="AG22" i="3"/>
  <c r="AG21" i="3"/>
  <c r="AG20" i="3"/>
  <c r="AG19" i="3"/>
  <c r="AG18" i="3"/>
  <c r="AG17" i="3"/>
  <c r="AG16" i="3"/>
  <c r="AG15" i="3"/>
  <c r="AG14" i="3"/>
  <c r="AG13" i="3"/>
  <c r="AG12" i="3"/>
  <c r="AG11" i="3"/>
  <c r="AG10" i="3"/>
  <c r="AG9" i="3"/>
  <c r="AG8" i="3"/>
  <c r="AG7" i="3"/>
  <c r="AG6" i="3"/>
  <c r="AG5" i="3"/>
  <c r="AG4" i="3"/>
  <c r="AG3" i="3"/>
  <c r="AG2" i="3"/>
  <c r="AF2" i="3"/>
  <c r="AF32" i="3"/>
  <c r="AF31" i="3"/>
  <c r="AF30" i="3"/>
  <c r="AF29" i="3"/>
  <c r="AF28" i="3"/>
  <c r="AF27" i="3"/>
  <c r="AF26" i="3"/>
  <c r="AF25" i="3"/>
  <c r="AF24" i="3"/>
  <c r="AF23" i="3"/>
  <c r="AF22" i="3"/>
  <c r="AF21" i="3"/>
  <c r="AF20" i="3"/>
  <c r="AF19" i="3"/>
  <c r="AF18" i="3"/>
  <c r="AF17" i="3"/>
  <c r="AF16" i="3"/>
  <c r="AF15" i="3"/>
  <c r="AF14" i="3"/>
  <c r="AF13" i="3"/>
  <c r="AF12" i="3"/>
  <c r="AF11" i="3"/>
  <c r="AF10" i="3"/>
  <c r="AF9" i="3"/>
  <c r="AF8" i="3"/>
  <c r="AF7" i="3"/>
  <c r="AF6" i="3"/>
  <c r="AF5" i="3"/>
  <c r="AF4" i="3"/>
  <c r="AF3" i="3"/>
  <c r="AE32" i="3"/>
  <c r="AE31" i="3"/>
  <c r="AE30" i="3"/>
  <c r="AE29" i="3"/>
  <c r="AE28" i="3"/>
  <c r="AE27" i="3"/>
  <c r="AE26" i="3"/>
  <c r="AE25" i="3"/>
  <c r="AE24" i="3"/>
  <c r="AE23" i="3"/>
  <c r="AE22" i="3"/>
  <c r="AE21" i="3"/>
  <c r="AE20" i="3"/>
  <c r="AE19" i="3"/>
  <c r="AE18" i="3"/>
  <c r="AE17" i="3"/>
  <c r="AE16" i="3"/>
  <c r="AE15" i="3"/>
  <c r="AE14" i="3"/>
  <c r="AE13" i="3"/>
  <c r="AE12" i="3"/>
  <c r="AE11" i="3"/>
  <c r="AE10" i="3"/>
  <c r="AE9" i="3"/>
  <c r="AE8" i="3"/>
  <c r="AE7" i="3"/>
  <c r="AE6" i="3"/>
  <c r="AE5" i="3"/>
  <c r="AE4" i="3"/>
  <c r="AE3" i="3"/>
  <c r="AE2" i="3"/>
  <c r="AD32" i="3"/>
  <c r="AD31" i="3"/>
  <c r="AD30" i="3"/>
  <c r="AD29" i="3"/>
  <c r="AD28" i="3"/>
  <c r="AD27" i="3"/>
  <c r="AH27" i="3"/>
  <c r="AD26" i="3"/>
  <c r="AD25" i="3"/>
  <c r="AH25" i="3"/>
  <c r="AD24" i="3"/>
  <c r="AD23" i="3"/>
  <c r="AD22" i="3"/>
  <c r="AD21" i="3"/>
  <c r="AD20" i="3"/>
  <c r="AD19" i="3"/>
  <c r="AH19" i="3"/>
  <c r="AD18" i="3"/>
  <c r="AD17" i="3"/>
  <c r="AH17" i="3"/>
  <c r="AD16" i="3"/>
  <c r="AD15" i="3"/>
  <c r="AD14" i="3"/>
  <c r="AD13" i="3"/>
  <c r="AD12" i="3"/>
  <c r="AD11" i="3"/>
  <c r="AH11" i="3"/>
  <c r="AD10" i="3"/>
  <c r="AD9" i="3"/>
  <c r="AH9" i="3"/>
  <c r="AD8" i="3"/>
  <c r="AD7" i="3"/>
  <c r="AD6" i="3"/>
  <c r="AD5" i="3"/>
  <c r="AD4" i="3"/>
  <c r="AD3" i="3"/>
  <c r="AH3" i="3"/>
  <c r="AD2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O18" i="3"/>
  <c r="O17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O2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AA32" i="3"/>
  <c r="AA31" i="3"/>
  <c r="AA30" i="3"/>
  <c r="AA29" i="3"/>
  <c r="AA28" i="3"/>
  <c r="AA27" i="3"/>
  <c r="AA26" i="3"/>
  <c r="AA25" i="3"/>
  <c r="AA24" i="3"/>
  <c r="AA23" i="3"/>
  <c r="AA22" i="3"/>
  <c r="AA21" i="3"/>
  <c r="AA20" i="3"/>
  <c r="AA19" i="3"/>
  <c r="AA18" i="3"/>
  <c r="AA17" i="3"/>
  <c r="AA16" i="3"/>
  <c r="AA15" i="3"/>
  <c r="AA14" i="3"/>
  <c r="AA13" i="3"/>
  <c r="AA12" i="3"/>
  <c r="AA11" i="3"/>
  <c r="AA10" i="3"/>
  <c r="AA9" i="3"/>
  <c r="AA8" i="3"/>
  <c r="AA7" i="3"/>
  <c r="AA6" i="3"/>
  <c r="AA5" i="3"/>
  <c r="AA4" i="3"/>
  <c r="AA3" i="3"/>
  <c r="AA2" i="3"/>
  <c r="Z32" i="3"/>
  <c r="Z31" i="3"/>
  <c r="Z30" i="3"/>
  <c r="Z29" i="3"/>
  <c r="Z28" i="3"/>
  <c r="Z27" i="3"/>
  <c r="Z26" i="3"/>
  <c r="Z25" i="3"/>
  <c r="Z24" i="3"/>
  <c r="Z23" i="3"/>
  <c r="Z22" i="3"/>
  <c r="Z21" i="3"/>
  <c r="Z20" i="3"/>
  <c r="Z19" i="3"/>
  <c r="Z18" i="3"/>
  <c r="Z17" i="3"/>
  <c r="Z16" i="3"/>
  <c r="Z15" i="3"/>
  <c r="Z14" i="3"/>
  <c r="Z13" i="3"/>
  <c r="Z12" i="3"/>
  <c r="Z11" i="3"/>
  <c r="Z10" i="3"/>
  <c r="Z9" i="3"/>
  <c r="Z8" i="3"/>
  <c r="Z7" i="3"/>
  <c r="Z6" i="3"/>
  <c r="Z5" i="3"/>
  <c r="Z4" i="3"/>
  <c r="Z3" i="3"/>
  <c r="Z2" i="3"/>
  <c r="Y32" i="3"/>
  <c r="Y31" i="3"/>
  <c r="Y30" i="3"/>
  <c r="Y29" i="3"/>
  <c r="Y28" i="3"/>
  <c r="Y27" i="3"/>
  <c r="Y26" i="3"/>
  <c r="Y25" i="3"/>
  <c r="Y24" i="3"/>
  <c r="Y23" i="3"/>
  <c r="Y22" i="3"/>
  <c r="Y21" i="3"/>
  <c r="Y20" i="3"/>
  <c r="Y19" i="3"/>
  <c r="Y18" i="3"/>
  <c r="Y17" i="3"/>
  <c r="Y16" i="3"/>
  <c r="Y15" i="3"/>
  <c r="Y14" i="3"/>
  <c r="Y13" i="3"/>
  <c r="Y12" i="3"/>
  <c r="Y11" i="3"/>
  <c r="Y10" i="3"/>
  <c r="Y9" i="3"/>
  <c r="Y8" i="3"/>
  <c r="Y7" i="3"/>
  <c r="Y6" i="3"/>
  <c r="Y5" i="3"/>
  <c r="Y4" i="3"/>
  <c r="Y3" i="3"/>
  <c r="Y2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X3" i="3"/>
  <c r="X2" i="3"/>
  <c r="V2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V9" i="3"/>
  <c r="V8" i="3"/>
  <c r="V7" i="3"/>
  <c r="V6" i="3"/>
  <c r="V5" i="3"/>
  <c r="V4" i="3"/>
  <c r="V3" i="3"/>
  <c r="U32" i="3"/>
  <c r="U31" i="3"/>
  <c r="U30" i="3"/>
  <c r="U29" i="3"/>
  <c r="U28" i="3"/>
  <c r="U27" i="3"/>
  <c r="U26" i="3"/>
  <c r="U25" i="3"/>
  <c r="U24" i="3"/>
  <c r="U23" i="3"/>
  <c r="U22" i="3"/>
  <c r="U21" i="3"/>
  <c r="U20" i="3"/>
  <c r="U19" i="3"/>
  <c r="U18" i="3"/>
  <c r="U17" i="3"/>
  <c r="U16" i="3"/>
  <c r="U15" i="3"/>
  <c r="U14" i="3"/>
  <c r="U13" i="3"/>
  <c r="U12" i="3"/>
  <c r="U11" i="3"/>
  <c r="U10" i="3"/>
  <c r="U9" i="3"/>
  <c r="U8" i="3"/>
  <c r="U7" i="3"/>
  <c r="U6" i="3"/>
  <c r="U5" i="3"/>
  <c r="U4" i="3"/>
  <c r="U3" i="3"/>
  <c r="U2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T4" i="3"/>
  <c r="T3" i="3"/>
  <c r="T2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AH29" i="3"/>
  <c r="G2" i="1"/>
  <c r="G10" i="1"/>
  <c r="G18" i="1"/>
  <c r="G26" i="1"/>
  <c r="AH7" i="3"/>
  <c r="AH15" i="3"/>
  <c r="AH23" i="3"/>
  <c r="AH31" i="3"/>
  <c r="R27" i="3"/>
  <c r="AH6" i="3"/>
  <c r="AH14" i="3"/>
  <c r="AH22" i="3"/>
  <c r="AH30" i="3"/>
  <c r="G7" i="1"/>
  <c r="G15" i="1"/>
  <c r="G23" i="1"/>
  <c r="G31" i="1"/>
  <c r="AH8" i="3"/>
  <c r="AH16" i="3"/>
  <c r="AH24" i="3"/>
  <c r="AH32" i="3"/>
  <c r="G9" i="1"/>
  <c r="G17" i="1"/>
  <c r="G25" i="1"/>
  <c r="AH2" i="3"/>
  <c r="AH10" i="3"/>
  <c r="AH18" i="3"/>
  <c r="AH26" i="3"/>
  <c r="AH5" i="3"/>
  <c r="AH13" i="3"/>
  <c r="AH21" i="3"/>
  <c r="AH4" i="3"/>
  <c r="AH12" i="3"/>
  <c r="AH20" i="3"/>
  <c r="AH28" i="3"/>
  <c r="R19" i="3"/>
  <c r="R32" i="3"/>
  <c r="R24" i="3"/>
  <c r="R13" i="3"/>
  <c r="R10" i="3"/>
  <c r="R18" i="3"/>
  <c r="R26" i="3"/>
  <c r="R7" i="3"/>
  <c r="R23" i="3"/>
  <c r="R20" i="3"/>
  <c r="R3" i="3"/>
  <c r="R2" i="3"/>
  <c r="R4" i="3"/>
  <c r="R12" i="3"/>
  <c r="R28" i="3"/>
  <c r="R5" i="3"/>
  <c r="R21" i="3"/>
  <c r="R29" i="3"/>
  <c r="R14" i="3"/>
  <c r="R30" i="3"/>
  <c r="AC30" i="3"/>
  <c r="R15" i="3"/>
  <c r="R8" i="3"/>
  <c r="R16" i="3"/>
  <c r="R9" i="3"/>
  <c r="R17" i="3"/>
  <c r="R25" i="3"/>
  <c r="R6" i="3"/>
  <c r="R22" i="3"/>
  <c r="AC22" i="3"/>
  <c r="R31" i="3"/>
  <c r="R11" i="3"/>
  <c r="AB6" i="3"/>
  <c r="AB14" i="3"/>
  <c r="AB22" i="3"/>
  <c r="AB30" i="3"/>
  <c r="W5" i="3"/>
  <c r="W13" i="3"/>
  <c r="W21" i="3"/>
  <c r="W29" i="3"/>
  <c r="AB25" i="3"/>
  <c r="W6" i="3"/>
  <c r="W22" i="3"/>
  <c r="W30" i="3"/>
  <c r="AB2" i="3"/>
  <c r="AB10" i="3"/>
  <c r="AB18" i="3"/>
  <c r="AB26" i="3"/>
  <c r="AB3" i="3"/>
  <c r="AB11" i="3"/>
  <c r="AB19" i="3"/>
  <c r="AB27" i="3"/>
  <c r="W14" i="3"/>
  <c r="W9" i="3"/>
  <c r="W17" i="3"/>
  <c r="W25" i="3"/>
  <c r="W10" i="3"/>
  <c r="W18" i="3"/>
  <c r="W26" i="3"/>
  <c r="W3" i="3"/>
  <c r="W11" i="3"/>
  <c r="W19" i="3"/>
  <c r="W27" i="3"/>
  <c r="W2" i="3"/>
  <c r="W4" i="3"/>
  <c r="W12" i="3"/>
  <c r="W20" i="3"/>
  <c r="W28" i="3"/>
  <c r="AB4" i="3"/>
  <c r="AB12" i="3"/>
  <c r="AB20" i="3"/>
  <c r="AB28" i="3"/>
  <c r="AB5" i="3"/>
  <c r="AB13" i="3"/>
  <c r="AB21" i="3"/>
  <c r="AB29" i="3"/>
  <c r="AB9" i="3"/>
  <c r="AB17" i="3"/>
  <c r="W7" i="3"/>
  <c r="W15" i="3"/>
  <c r="W23" i="3"/>
  <c r="W31" i="3"/>
  <c r="W8" i="3"/>
  <c r="W16" i="3"/>
  <c r="W24" i="3"/>
  <c r="W32" i="3"/>
  <c r="AB7" i="3"/>
  <c r="AB15" i="3"/>
  <c r="AB23" i="3"/>
  <c r="AB31" i="3"/>
  <c r="AB8" i="3"/>
  <c r="AB16" i="3"/>
  <c r="AB24" i="3"/>
  <c r="AB32" i="3"/>
  <c r="K32" i="3"/>
  <c r="M32" i="3"/>
  <c r="K31" i="3"/>
  <c r="M31" i="3"/>
  <c r="K30" i="3"/>
  <c r="M30" i="3"/>
  <c r="K29" i="3"/>
  <c r="M29" i="3"/>
  <c r="K28" i="3"/>
  <c r="M28" i="3"/>
  <c r="K27" i="3"/>
  <c r="M27" i="3"/>
  <c r="K26" i="3"/>
  <c r="M26" i="3"/>
  <c r="K25" i="3"/>
  <c r="M25" i="3"/>
  <c r="K24" i="3"/>
  <c r="M24" i="3"/>
  <c r="K23" i="3"/>
  <c r="M23" i="3"/>
  <c r="K22" i="3"/>
  <c r="M22" i="3"/>
  <c r="K21" i="3"/>
  <c r="M21" i="3"/>
  <c r="K20" i="3"/>
  <c r="M20" i="3"/>
  <c r="K19" i="3"/>
  <c r="M19" i="3"/>
  <c r="K18" i="3"/>
  <c r="M18" i="3"/>
  <c r="K17" i="3"/>
  <c r="M17" i="3"/>
  <c r="K16" i="3"/>
  <c r="M16" i="3"/>
  <c r="K15" i="3"/>
  <c r="M15" i="3"/>
  <c r="K14" i="3"/>
  <c r="M14" i="3"/>
  <c r="K13" i="3"/>
  <c r="M13" i="3"/>
  <c r="K12" i="3"/>
  <c r="M12" i="3"/>
  <c r="K11" i="3"/>
  <c r="M11" i="3"/>
  <c r="K10" i="3"/>
  <c r="M10" i="3"/>
  <c r="K9" i="3"/>
  <c r="M9" i="3"/>
  <c r="K8" i="3"/>
  <c r="M8" i="3"/>
  <c r="K7" i="3"/>
  <c r="M7" i="3"/>
  <c r="K6" i="3"/>
  <c r="M6" i="3"/>
  <c r="K5" i="3"/>
  <c r="M5" i="3"/>
  <c r="K4" i="3"/>
  <c r="M4" i="3"/>
  <c r="K3" i="3"/>
  <c r="M3" i="3"/>
  <c r="K2" i="3"/>
  <c r="M2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J2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2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AC31" i="3"/>
  <c r="AC15" i="3"/>
  <c r="AC27" i="3"/>
  <c r="AC16" i="3"/>
  <c r="AC28" i="3"/>
  <c r="AC26" i="3"/>
  <c r="AC11" i="3"/>
  <c r="AC8" i="3"/>
  <c r="AC12" i="3"/>
  <c r="AC18" i="3"/>
  <c r="AC2" i="3"/>
  <c r="AC13" i="3"/>
  <c r="AC6" i="3"/>
  <c r="AC14" i="3"/>
  <c r="AC3" i="3"/>
  <c r="AC24" i="3"/>
  <c r="AC10" i="3"/>
  <c r="AC25" i="3"/>
  <c r="AC29" i="3"/>
  <c r="AC20" i="3"/>
  <c r="AC32" i="3"/>
  <c r="AC17" i="3"/>
  <c r="AC21" i="3"/>
  <c r="AC23" i="3"/>
  <c r="AC4" i="3"/>
  <c r="AC9" i="3"/>
  <c r="AC5" i="3"/>
  <c r="AC7" i="3"/>
  <c r="AC19" i="3"/>
  <c r="E10" i="1"/>
  <c r="E18" i="1"/>
  <c r="E26" i="1"/>
  <c r="E2" i="1"/>
  <c r="E3" i="1"/>
  <c r="E11" i="1"/>
  <c r="E19" i="1"/>
  <c r="E27" i="1"/>
  <c r="E4" i="1"/>
  <c r="E12" i="1"/>
  <c r="E20" i="1"/>
  <c r="E28" i="1"/>
  <c r="E17" i="1"/>
  <c r="E5" i="1"/>
  <c r="E13" i="1"/>
  <c r="E21" i="1"/>
  <c r="E29" i="1"/>
  <c r="E9" i="1"/>
  <c r="E6" i="1"/>
  <c r="E14" i="1"/>
  <c r="E22" i="1"/>
  <c r="E30" i="1"/>
  <c r="E25" i="1"/>
  <c r="E7" i="1"/>
  <c r="E15" i="1"/>
  <c r="E23" i="1"/>
  <c r="E31" i="1"/>
  <c r="E8" i="1"/>
  <c r="E16" i="1"/>
  <c r="E24" i="1"/>
  <c r="E32" i="1"/>
  <c r="AH125" i="5"/>
  <c r="AD125" i="5"/>
  <c r="Z125" i="5"/>
  <c r="V125" i="5"/>
  <c r="R125" i="5"/>
  <c r="N125" i="5"/>
  <c r="J125" i="5"/>
  <c r="E125" i="5"/>
  <c r="AJ125" i="5"/>
  <c r="AK125" i="5"/>
  <c r="AI124" i="5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I123" i="5"/>
  <c r="AI125" i="5"/>
  <c r="AH123" i="5"/>
  <c r="AG123" i="5"/>
  <c r="AG125" i="5"/>
  <c r="AF123" i="5"/>
  <c r="AF125" i="5"/>
  <c r="AE123" i="5"/>
  <c r="AE125" i="5"/>
  <c r="AD123" i="5"/>
  <c r="AC123" i="5"/>
  <c r="AC125" i="5"/>
  <c r="AB123" i="5"/>
  <c r="AB125" i="5"/>
  <c r="AA123" i="5"/>
  <c r="AA125" i="5"/>
  <c r="Z123" i="5"/>
  <c r="Y123" i="5"/>
  <c r="Y125" i="5"/>
  <c r="X123" i="5"/>
  <c r="X125" i="5"/>
  <c r="W123" i="5"/>
  <c r="W125" i="5"/>
  <c r="V123" i="5"/>
  <c r="U123" i="5"/>
  <c r="U125" i="5"/>
  <c r="T123" i="5"/>
  <c r="T125" i="5"/>
  <c r="S123" i="5"/>
  <c r="S125" i="5"/>
  <c r="R123" i="5"/>
  <c r="Q123" i="5"/>
  <c r="Q125" i="5"/>
  <c r="P123" i="5"/>
  <c r="P125" i="5"/>
  <c r="O123" i="5"/>
  <c r="O125" i="5"/>
  <c r="N123" i="5"/>
  <c r="M123" i="5"/>
  <c r="M125" i="5"/>
  <c r="L123" i="5"/>
  <c r="L125" i="5"/>
  <c r="K123" i="5"/>
  <c r="K125" i="5"/>
  <c r="J123" i="5"/>
  <c r="I123" i="5"/>
  <c r="I125" i="5"/>
  <c r="H123" i="5"/>
  <c r="H125" i="5"/>
  <c r="G123" i="5"/>
  <c r="G125" i="5"/>
  <c r="F123" i="5"/>
  <c r="E123" i="5"/>
  <c r="D123" i="5"/>
  <c r="D125" i="5"/>
  <c r="C123" i="5"/>
  <c r="C125" i="5"/>
  <c r="B123" i="5"/>
  <c r="B125" i="5"/>
  <c r="AK115" i="5"/>
  <c r="AJ115" i="5"/>
  <c r="AE114" i="5"/>
  <c r="O114" i="5"/>
  <c r="AI113" i="5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I112" i="5"/>
  <c r="AI114" i="5"/>
  <c r="AH112" i="5"/>
  <c r="AH114" i="5"/>
  <c r="AG112" i="5"/>
  <c r="AG114" i="5"/>
  <c r="AF112" i="5"/>
  <c r="AF114" i="5"/>
  <c r="AE112" i="5"/>
  <c r="AD112" i="5"/>
  <c r="AD114" i="5"/>
  <c r="AC112" i="5"/>
  <c r="AC114" i="5"/>
  <c r="AB112" i="5"/>
  <c r="AB114" i="5"/>
  <c r="AA112" i="5"/>
  <c r="AA114" i="5"/>
  <c r="Z112" i="5"/>
  <c r="Z114" i="5"/>
  <c r="Y112" i="5"/>
  <c r="Y114" i="5"/>
  <c r="X112" i="5"/>
  <c r="X114" i="5"/>
  <c r="W112" i="5"/>
  <c r="W114" i="5"/>
  <c r="V112" i="5"/>
  <c r="V114" i="5"/>
  <c r="U112" i="5"/>
  <c r="U114" i="5"/>
  <c r="T112" i="5"/>
  <c r="T114" i="5"/>
  <c r="S112" i="5"/>
  <c r="S114" i="5"/>
  <c r="R112" i="5"/>
  <c r="R114" i="5"/>
  <c r="Q112" i="5"/>
  <c r="Q114" i="5"/>
  <c r="P112" i="5"/>
  <c r="P114" i="5"/>
  <c r="O112" i="5"/>
  <c r="N112" i="5"/>
  <c r="N114" i="5"/>
  <c r="M112" i="5"/>
  <c r="M114" i="5"/>
  <c r="L112" i="5"/>
  <c r="L114" i="5"/>
  <c r="K112" i="5"/>
  <c r="K114" i="5"/>
  <c r="J112" i="5"/>
  <c r="J114" i="5"/>
  <c r="I112" i="5"/>
  <c r="I114" i="5"/>
  <c r="H112" i="5"/>
  <c r="H114" i="5"/>
  <c r="G112" i="5"/>
  <c r="G114" i="5"/>
  <c r="F112" i="5"/>
  <c r="F114" i="5"/>
  <c r="E112" i="5"/>
  <c r="E114" i="5"/>
  <c r="D112" i="5"/>
  <c r="D114" i="5"/>
  <c r="C112" i="5"/>
  <c r="C114" i="5"/>
  <c r="B112" i="5"/>
  <c r="B114" i="5"/>
  <c r="AJ105" i="5"/>
  <c r="AK105" i="5"/>
  <c r="Y104" i="5"/>
  <c r="I104" i="5"/>
  <c r="AI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I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I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I98" i="5"/>
  <c r="AI104" i="5"/>
  <c r="AH98" i="5"/>
  <c r="AH104" i="5"/>
  <c r="AG98" i="5"/>
  <c r="AG104" i="5"/>
  <c r="AF98" i="5"/>
  <c r="AF104" i="5"/>
  <c r="AE98" i="5"/>
  <c r="AE104" i="5"/>
  <c r="AD98" i="5"/>
  <c r="AD104" i="5"/>
  <c r="AC98" i="5"/>
  <c r="AC104" i="5"/>
  <c r="AB98" i="5"/>
  <c r="AB104" i="5"/>
  <c r="AA98" i="5"/>
  <c r="AA104" i="5"/>
  <c r="Z98" i="5"/>
  <c r="Z104" i="5"/>
  <c r="Y98" i="5"/>
  <c r="X98" i="5"/>
  <c r="X104" i="5"/>
  <c r="W98" i="5"/>
  <c r="W104" i="5"/>
  <c r="V98" i="5"/>
  <c r="V104" i="5"/>
  <c r="U98" i="5"/>
  <c r="U104" i="5"/>
  <c r="T98" i="5"/>
  <c r="T104" i="5"/>
  <c r="S98" i="5"/>
  <c r="S104" i="5"/>
  <c r="R98" i="5"/>
  <c r="R104" i="5"/>
  <c r="Q98" i="5"/>
  <c r="Q104" i="5"/>
  <c r="P98" i="5"/>
  <c r="P104" i="5"/>
  <c r="O98" i="5"/>
  <c r="O104" i="5"/>
  <c r="N98" i="5"/>
  <c r="N104" i="5"/>
  <c r="M98" i="5"/>
  <c r="M104" i="5"/>
  <c r="L98" i="5"/>
  <c r="L104" i="5"/>
  <c r="K98" i="5"/>
  <c r="K104" i="5"/>
  <c r="J98" i="5"/>
  <c r="J104" i="5"/>
  <c r="I98" i="5"/>
  <c r="H98" i="5"/>
  <c r="H104" i="5"/>
  <c r="G98" i="5"/>
  <c r="G104" i="5"/>
  <c r="F98" i="5"/>
  <c r="F104" i="5"/>
  <c r="E98" i="5"/>
  <c r="E104" i="5"/>
  <c r="AJ104" i="5"/>
  <c r="AK104" i="5"/>
  <c r="D98" i="5"/>
  <c r="D104" i="5"/>
  <c r="C98" i="5"/>
  <c r="C104" i="5"/>
  <c r="B98" i="5"/>
  <c r="B104" i="5"/>
  <c r="AI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I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I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I81" i="5"/>
  <c r="AH81" i="5"/>
  <c r="AH85" i="5"/>
  <c r="AG81" i="5"/>
  <c r="AG85" i="5"/>
  <c r="AF81" i="5"/>
  <c r="AF85" i="5"/>
  <c r="AE81" i="5"/>
  <c r="AD81" i="5"/>
  <c r="AD85" i="5"/>
  <c r="AC81" i="5"/>
  <c r="AC85" i="5"/>
  <c r="AB81" i="5"/>
  <c r="AB85" i="5"/>
  <c r="AA81" i="5"/>
  <c r="Z81" i="5"/>
  <c r="Z85" i="5"/>
  <c r="Y81" i="5"/>
  <c r="Y85" i="5"/>
  <c r="X81" i="5"/>
  <c r="X85" i="5"/>
  <c r="W81" i="5"/>
  <c r="V81" i="5"/>
  <c r="V85" i="5"/>
  <c r="U81" i="5"/>
  <c r="U85" i="5"/>
  <c r="T81" i="5"/>
  <c r="T85" i="5"/>
  <c r="S81" i="5"/>
  <c r="R81" i="5"/>
  <c r="R85" i="5"/>
  <c r="Q81" i="5"/>
  <c r="Q85" i="5"/>
  <c r="P81" i="5"/>
  <c r="P85" i="5"/>
  <c r="O81" i="5"/>
  <c r="N81" i="5"/>
  <c r="N85" i="5"/>
  <c r="M81" i="5"/>
  <c r="M85" i="5"/>
  <c r="L81" i="5"/>
  <c r="L85" i="5"/>
  <c r="K81" i="5"/>
  <c r="J81" i="5"/>
  <c r="J85" i="5"/>
  <c r="I81" i="5"/>
  <c r="I85" i="5"/>
  <c r="H81" i="5"/>
  <c r="H85" i="5"/>
  <c r="G81" i="5"/>
  <c r="F81" i="5"/>
  <c r="F85" i="5"/>
  <c r="E81" i="5"/>
  <c r="E85" i="5"/>
  <c r="D81" i="5"/>
  <c r="D85" i="5"/>
  <c r="C81" i="5"/>
  <c r="B81" i="5"/>
  <c r="B85" i="5"/>
  <c r="Y77" i="5"/>
  <c r="I77" i="5"/>
  <c r="AI76" i="5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E76" i="5"/>
  <c r="D76" i="5"/>
  <c r="C76" i="5"/>
  <c r="B76" i="5"/>
  <c r="AI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B75" i="5"/>
  <c r="AI74" i="5"/>
  <c r="AH74" i="5"/>
  <c r="AG74" i="5"/>
  <c r="AG77" i="5"/>
  <c r="AF74" i="5"/>
  <c r="AE74" i="5"/>
  <c r="AD74" i="5"/>
  <c r="AC74" i="5"/>
  <c r="AC77" i="5"/>
  <c r="AB74" i="5"/>
  <c r="AA74" i="5"/>
  <c r="Z74" i="5"/>
  <c r="Y74" i="5"/>
  <c r="X74" i="5"/>
  <c r="W74" i="5"/>
  <c r="V74" i="5"/>
  <c r="U74" i="5"/>
  <c r="U77" i="5"/>
  <c r="U79" i="5"/>
  <c r="T74" i="5"/>
  <c r="S74" i="5"/>
  <c r="R74" i="5"/>
  <c r="Q74" i="5"/>
  <c r="Q77" i="5"/>
  <c r="P74" i="5"/>
  <c r="O74" i="5"/>
  <c r="N74" i="5"/>
  <c r="M74" i="5"/>
  <c r="M77" i="5"/>
  <c r="L74" i="5"/>
  <c r="K74" i="5"/>
  <c r="J74" i="5"/>
  <c r="I74" i="5"/>
  <c r="H74" i="5"/>
  <c r="G74" i="5"/>
  <c r="F74" i="5"/>
  <c r="E74" i="5"/>
  <c r="E77" i="5"/>
  <c r="D74" i="5"/>
  <c r="C74" i="5"/>
  <c r="B74" i="5"/>
  <c r="AI73" i="5"/>
  <c r="AI77" i="5"/>
  <c r="AH73" i="5"/>
  <c r="AH77" i="5"/>
  <c r="AG73" i="5"/>
  <c r="AF73" i="5"/>
  <c r="AE73" i="5"/>
  <c r="AE77" i="5"/>
  <c r="AD73" i="5"/>
  <c r="AD77" i="5"/>
  <c r="AC73" i="5"/>
  <c r="AB73" i="5"/>
  <c r="AA73" i="5"/>
  <c r="AA77" i="5"/>
  <c r="Z73" i="5"/>
  <c r="Z77" i="5"/>
  <c r="Y73" i="5"/>
  <c r="X73" i="5"/>
  <c r="W73" i="5"/>
  <c r="W77" i="5"/>
  <c r="V73" i="5"/>
  <c r="V77" i="5"/>
  <c r="U73" i="5"/>
  <c r="T73" i="5"/>
  <c r="S73" i="5"/>
  <c r="S77" i="5"/>
  <c r="R73" i="5"/>
  <c r="R77" i="5"/>
  <c r="Q73" i="5"/>
  <c r="P73" i="5"/>
  <c r="O73" i="5"/>
  <c r="O77" i="5"/>
  <c r="N73" i="5"/>
  <c r="N77" i="5"/>
  <c r="M73" i="5"/>
  <c r="L73" i="5"/>
  <c r="K73" i="5"/>
  <c r="K77" i="5"/>
  <c r="J73" i="5"/>
  <c r="J77" i="5"/>
  <c r="I73" i="5"/>
  <c r="G73" i="5"/>
  <c r="F73" i="5"/>
  <c r="F77" i="5"/>
  <c r="E73" i="5"/>
  <c r="D73" i="5"/>
  <c r="D77" i="5"/>
  <c r="C73" i="5"/>
  <c r="C77" i="5"/>
  <c r="B73" i="5"/>
  <c r="B77" i="5"/>
  <c r="AD71" i="5"/>
  <c r="V71" i="5"/>
  <c r="N71" i="5"/>
  <c r="F71" i="5"/>
  <c r="B71" i="5"/>
  <c r="AI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I69" i="5"/>
  <c r="AH69" i="5"/>
  <c r="AH71" i="5"/>
  <c r="AG69" i="5"/>
  <c r="AF69" i="5"/>
  <c r="AE69" i="5"/>
  <c r="AD69" i="5"/>
  <c r="AC69" i="5"/>
  <c r="AB69" i="5"/>
  <c r="AA69" i="5"/>
  <c r="Z69" i="5"/>
  <c r="Z71" i="5"/>
  <c r="Y69" i="5"/>
  <c r="X69" i="5"/>
  <c r="X71" i="5"/>
  <c r="W69" i="5"/>
  <c r="V69" i="5"/>
  <c r="U69" i="5"/>
  <c r="T69" i="5"/>
  <c r="S69" i="5"/>
  <c r="R69" i="5"/>
  <c r="R71" i="5"/>
  <c r="Q69" i="5"/>
  <c r="P69" i="5"/>
  <c r="O69" i="5"/>
  <c r="N69" i="5"/>
  <c r="M69" i="5"/>
  <c r="L69" i="5"/>
  <c r="K69" i="5"/>
  <c r="J69" i="5"/>
  <c r="J71" i="5"/>
  <c r="I69" i="5"/>
  <c r="H69" i="5"/>
  <c r="G69" i="5"/>
  <c r="F69" i="5"/>
  <c r="E69" i="5"/>
  <c r="D69" i="5"/>
  <c r="C69" i="5"/>
  <c r="B69" i="5"/>
  <c r="AI68" i="5"/>
  <c r="AH68" i="5"/>
  <c r="AG68" i="5"/>
  <c r="AF68" i="5"/>
  <c r="AE68" i="5"/>
  <c r="AD68" i="5"/>
  <c r="AC68" i="5"/>
  <c r="AB68" i="5"/>
  <c r="AA68" i="5"/>
  <c r="Z68" i="5"/>
  <c r="Y68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I67" i="5"/>
  <c r="AI71" i="5"/>
  <c r="AH67" i="5"/>
  <c r="AG67" i="5"/>
  <c r="AG71" i="5"/>
  <c r="AF67" i="5"/>
  <c r="AF71" i="5"/>
  <c r="AE67" i="5"/>
  <c r="AE71" i="5"/>
  <c r="AD67" i="5"/>
  <c r="AC67" i="5"/>
  <c r="AC71" i="5"/>
  <c r="AB67" i="5"/>
  <c r="AB71" i="5"/>
  <c r="AA67" i="5"/>
  <c r="AA71" i="5"/>
  <c r="Z67" i="5"/>
  <c r="Y67" i="5"/>
  <c r="Y71" i="5"/>
  <c r="W67" i="5"/>
  <c r="W71" i="5"/>
  <c r="V67" i="5"/>
  <c r="U67" i="5"/>
  <c r="U71" i="5"/>
  <c r="T67" i="5"/>
  <c r="T71" i="5"/>
  <c r="S67" i="5"/>
  <c r="S71" i="5"/>
  <c r="R67" i="5"/>
  <c r="Q67" i="5"/>
  <c r="Q71" i="5"/>
  <c r="P67" i="5"/>
  <c r="P71" i="5"/>
  <c r="O67" i="5"/>
  <c r="O71" i="5"/>
  <c r="N67" i="5"/>
  <c r="M67" i="5"/>
  <c r="M71" i="5"/>
  <c r="L67" i="5"/>
  <c r="L71" i="5"/>
  <c r="K67" i="5"/>
  <c r="K71" i="5"/>
  <c r="J67" i="5"/>
  <c r="I67" i="5"/>
  <c r="I71" i="5"/>
  <c r="H67" i="5"/>
  <c r="H71" i="5"/>
  <c r="G67" i="5"/>
  <c r="G71" i="5"/>
  <c r="F67" i="5"/>
  <c r="E67" i="5"/>
  <c r="E71" i="5"/>
  <c r="D67" i="5"/>
  <c r="D71" i="5"/>
  <c r="C67" i="5"/>
  <c r="C71" i="5"/>
  <c r="B67" i="5"/>
  <c r="AI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I61" i="5"/>
  <c r="AI65" i="5"/>
  <c r="AI79" i="5"/>
  <c r="AH61" i="5"/>
  <c r="AG61" i="5"/>
  <c r="AG65" i="5"/>
  <c r="AG79" i="5"/>
  <c r="AF61" i="5"/>
  <c r="AF65" i="5"/>
  <c r="AE61" i="5"/>
  <c r="AE65" i="5"/>
  <c r="AE79" i="5"/>
  <c r="AD61" i="5"/>
  <c r="AC61" i="5"/>
  <c r="AC65" i="5"/>
  <c r="AC79" i="5"/>
  <c r="AB61" i="5"/>
  <c r="AB65" i="5"/>
  <c r="AA61" i="5"/>
  <c r="AA65" i="5"/>
  <c r="AA79" i="5"/>
  <c r="Z61" i="5"/>
  <c r="Y61" i="5"/>
  <c r="Y65" i="5"/>
  <c r="Y79" i="5"/>
  <c r="X61" i="5"/>
  <c r="X65" i="5"/>
  <c r="W61" i="5"/>
  <c r="W65" i="5"/>
  <c r="V61" i="5"/>
  <c r="U61" i="5"/>
  <c r="U65" i="5"/>
  <c r="T61" i="5"/>
  <c r="T65" i="5"/>
  <c r="S61" i="5"/>
  <c r="S65" i="5"/>
  <c r="R61" i="5"/>
  <c r="Q61" i="5"/>
  <c r="Q65" i="5"/>
  <c r="Q79" i="5"/>
  <c r="P61" i="5"/>
  <c r="P65" i="5"/>
  <c r="O61" i="5"/>
  <c r="O65" i="5"/>
  <c r="N61" i="5"/>
  <c r="M61" i="5"/>
  <c r="M65" i="5"/>
  <c r="M79" i="5"/>
  <c r="L61" i="5"/>
  <c r="L65" i="5"/>
  <c r="K61" i="5"/>
  <c r="K65" i="5"/>
  <c r="J61" i="5"/>
  <c r="I61" i="5"/>
  <c r="I65" i="5"/>
  <c r="I79" i="5"/>
  <c r="H61" i="5"/>
  <c r="H65" i="5"/>
  <c r="G61" i="5"/>
  <c r="G65" i="5"/>
  <c r="F61" i="5"/>
  <c r="E61" i="5"/>
  <c r="E65" i="5"/>
  <c r="D61" i="5"/>
  <c r="D65" i="5"/>
  <c r="D79" i="5"/>
  <c r="D87" i="5"/>
  <c r="C61" i="5"/>
  <c r="C65" i="5"/>
  <c r="B61" i="5"/>
  <c r="B65" i="5"/>
  <c r="B79" i="5"/>
  <c r="B87" i="5"/>
  <c r="U59" i="5"/>
  <c r="Q59" i="5"/>
  <c r="M59" i="5"/>
  <c r="I59" i="5"/>
  <c r="E59" i="5"/>
  <c r="AI58" i="5"/>
  <c r="AI59" i="5"/>
  <c r="AH58" i="5"/>
  <c r="AG58" i="5"/>
  <c r="AF58" i="5"/>
  <c r="AE58" i="5"/>
  <c r="AD58" i="5"/>
  <c r="AC58" i="5"/>
  <c r="AB58" i="5"/>
  <c r="AA58" i="5"/>
  <c r="AA59" i="5"/>
  <c r="Z58" i="5"/>
  <c r="Z59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I57" i="5"/>
  <c r="AH57" i="5"/>
  <c r="AG57" i="5"/>
  <c r="AG59" i="5"/>
  <c r="AF57" i="5"/>
  <c r="AF59" i="5"/>
  <c r="AE57" i="5"/>
  <c r="AE59" i="5"/>
  <c r="AD57" i="5"/>
  <c r="AC57" i="5"/>
  <c r="AC59" i="5"/>
  <c r="AB57" i="5"/>
  <c r="AB59" i="5"/>
  <c r="AA57" i="5"/>
  <c r="Y57" i="5"/>
  <c r="X57" i="5"/>
  <c r="X59" i="5"/>
  <c r="W57" i="5"/>
  <c r="W59" i="5"/>
  <c r="V57" i="5"/>
  <c r="V59" i="5"/>
  <c r="U57" i="5"/>
  <c r="T57" i="5"/>
  <c r="T59" i="5"/>
  <c r="S57" i="5"/>
  <c r="S59" i="5"/>
  <c r="R57" i="5"/>
  <c r="R59" i="5"/>
  <c r="Q57" i="5"/>
  <c r="P57" i="5"/>
  <c r="P59" i="5"/>
  <c r="O57" i="5"/>
  <c r="O59" i="5"/>
  <c r="N57" i="5"/>
  <c r="N59" i="5"/>
  <c r="M57" i="5"/>
  <c r="L57" i="5"/>
  <c r="L59" i="5"/>
  <c r="K57" i="5"/>
  <c r="K59" i="5"/>
  <c r="J57" i="5"/>
  <c r="J59" i="5"/>
  <c r="I57" i="5"/>
  <c r="H57" i="5"/>
  <c r="H59" i="5"/>
  <c r="G57" i="5"/>
  <c r="G59" i="5"/>
  <c r="F57" i="5"/>
  <c r="F59" i="5"/>
  <c r="E57" i="5"/>
  <c r="D57" i="5"/>
  <c r="D59" i="5"/>
  <c r="C57" i="5"/>
  <c r="C59" i="5"/>
  <c r="B57" i="5"/>
  <c r="B59" i="5"/>
  <c r="AJ30" i="5"/>
  <c r="AK30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I24" i="5"/>
  <c r="AI29" i="5"/>
  <c r="AH24" i="5"/>
  <c r="AH29" i="5"/>
  <c r="AG24" i="5"/>
  <c r="AG29" i="5"/>
  <c r="AF24" i="5"/>
  <c r="AF29" i="5"/>
  <c r="AE24" i="5"/>
  <c r="AE29" i="5"/>
  <c r="AD24" i="5"/>
  <c r="AD29" i="5"/>
  <c r="AC24" i="5"/>
  <c r="AC29" i="5"/>
  <c r="AB24" i="5"/>
  <c r="AB29" i="5"/>
  <c r="AA24" i="5"/>
  <c r="AA29" i="5"/>
  <c r="Z24" i="5"/>
  <c r="Z29" i="5"/>
  <c r="Y24" i="5"/>
  <c r="Y29" i="5"/>
  <c r="X24" i="5"/>
  <c r="X29" i="5"/>
  <c r="W24" i="5"/>
  <c r="W29" i="5"/>
  <c r="V24" i="5"/>
  <c r="V29" i="5"/>
  <c r="U24" i="5"/>
  <c r="U29" i="5"/>
  <c r="T24" i="5"/>
  <c r="T29" i="5"/>
  <c r="S24" i="5"/>
  <c r="S29" i="5"/>
  <c r="R24" i="5"/>
  <c r="R29" i="5"/>
  <c r="Q24" i="5"/>
  <c r="Q29" i="5"/>
  <c r="P24" i="5"/>
  <c r="P29" i="5"/>
  <c r="O24" i="5"/>
  <c r="O29" i="5"/>
  <c r="N24" i="5"/>
  <c r="N29" i="5"/>
  <c r="M24" i="5"/>
  <c r="M29" i="5"/>
  <c r="L24" i="5"/>
  <c r="L29" i="5"/>
  <c r="K24" i="5"/>
  <c r="K29" i="5"/>
  <c r="J24" i="5"/>
  <c r="J29" i="5"/>
  <c r="I24" i="5"/>
  <c r="I29" i="5"/>
  <c r="H24" i="5"/>
  <c r="H29" i="5"/>
  <c r="G24" i="5"/>
  <c r="G29" i="5"/>
  <c r="F24" i="5"/>
  <c r="F29" i="5"/>
  <c r="E24" i="5"/>
  <c r="E29" i="5"/>
  <c r="D24" i="5"/>
  <c r="D29" i="5"/>
  <c r="C24" i="5"/>
  <c r="C29" i="5"/>
  <c r="B24" i="5"/>
  <c r="B29" i="5"/>
  <c r="AK12" i="5"/>
  <c r="AJ12" i="5"/>
  <c r="AJ11" i="5"/>
  <c r="AK11" i="5"/>
  <c r="AK9" i="5"/>
  <c r="AJ9" i="5"/>
  <c r="AJ8" i="5"/>
  <c r="AK8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G7" i="5"/>
  <c r="C7" i="5"/>
  <c r="AJ59" i="5"/>
  <c r="AK59" i="5"/>
  <c r="I87" i="5"/>
  <c r="M87" i="5"/>
  <c r="Q87" i="5"/>
  <c r="Y87" i="5"/>
  <c r="AC87" i="5"/>
  <c r="AG87" i="5"/>
  <c r="E79" i="5"/>
  <c r="U87" i="5"/>
  <c r="AJ29" i="5"/>
  <c r="AK29" i="5"/>
  <c r="Y59" i="5"/>
  <c r="AD59" i="5"/>
  <c r="AH59" i="5"/>
  <c r="H77" i="5"/>
  <c r="H79" i="5"/>
  <c r="H87" i="5"/>
  <c r="AJ114" i="5"/>
  <c r="AK114" i="5"/>
  <c r="F65" i="5"/>
  <c r="F79" i="5"/>
  <c r="F87" i="5"/>
  <c r="J65" i="5"/>
  <c r="J79" i="5"/>
  <c r="J87" i="5"/>
  <c r="N65" i="5"/>
  <c r="N79" i="5"/>
  <c r="N87" i="5"/>
  <c r="R65" i="5"/>
  <c r="R79" i="5"/>
  <c r="R87" i="5"/>
  <c r="V65" i="5"/>
  <c r="V79" i="5"/>
  <c r="V87" i="5"/>
  <c r="Z65" i="5"/>
  <c r="Z79" i="5"/>
  <c r="Z87" i="5"/>
  <c r="AD65" i="5"/>
  <c r="AD79" i="5"/>
  <c r="AD87" i="5"/>
  <c r="AH65" i="5"/>
  <c r="AH79" i="5"/>
  <c r="AH87" i="5"/>
  <c r="AJ71" i="5"/>
  <c r="AK71" i="5"/>
  <c r="C85" i="5"/>
  <c r="G85" i="5"/>
  <c r="AJ85" i="5"/>
  <c r="AK85" i="5"/>
  <c r="K85" i="5"/>
  <c r="O85" i="5"/>
  <c r="S85" i="5"/>
  <c r="W85" i="5"/>
  <c r="AA85" i="5"/>
  <c r="AE85" i="5"/>
  <c r="AI85" i="5"/>
  <c r="C79" i="5"/>
  <c r="C87" i="5"/>
  <c r="K79" i="5"/>
  <c r="K87" i="5"/>
  <c r="O79" i="5"/>
  <c r="O87" i="5"/>
  <c r="S79" i="5"/>
  <c r="S87" i="5"/>
  <c r="W79" i="5"/>
  <c r="AA87" i="5"/>
  <c r="AE87" i="5"/>
  <c r="AI87" i="5"/>
  <c r="G77" i="5"/>
  <c r="G79" i="5"/>
  <c r="G87" i="5"/>
  <c r="L77" i="5"/>
  <c r="L79" i="5"/>
  <c r="L87" i="5"/>
  <c r="P77" i="5"/>
  <c r="P79" i="5"/>
  <c r="P87" i="5"/>
  <c r="T77" i="5"/>
  <c r="T79" i="5"/>
  <c r="T87" i="5"/>
  <c r="X77" i="5"/>
  <c r="X79" i="5"/>
  <c r="X87" i="5"/>
  <c r="AB77" i="5"/>
  <c r="AB79" i="5"/>
  <c r="AB87" i="5"/>
  <c r="AF77" i="5"/>
  <c r="AF79" i="5"/>
  <c r="AF87" i="5"/>
  <c r="K28" i="1"/>
  <c r="L28" i="1"/>
  <c r="K24" i="1"/>
  <c r="L24" i="1"/>
  <c r="K20" i="1"/>
  <c r="L20" i="1"/>
  <c r="K16" i="1"/>
  <c r="L16" i="1"/>
  <c r="K12" i="1"/>
  <c r="L12" i="1"/>
  <c r="K8" i="1"/>
  <c r="L8" i="1"/>
  <c r="L6" i="1"/>
  <c r="L10" i="1"/>
  <c r="L14" i="1"/>
  <c r="L18" i="1"/>
  <c r="L22" i="1"/>
  <c r="L26" i="1"/>
  <c r="L30" i="1"/>
  <c r="K32" i="1"/>
  <c r="L32" i="1"/>
  <c r="K13" i="1"/>
  <c r="L13" i="1"/>
  <c r="K14" i="1"/>
  <c r="K15" i="1"/>
  <c r="L15" i="1"/>
  <c r="K17" i="1"/>
  <c r="L17" i="1"/>
  <c r="K18" i="1"/>
  <c r="K19" i="1"/>
  <c r="L19" i="1"/>
  <c r="K21" i="1"/>
  <c r="L21" i="1"/>
  <c r="K22" i="1"/>
  <c r="K23" i="1"/>
  <c r="L23" i="1"/>
  <c r="K25" i="1"/>
  <c r="L25" i="1"/>
  <c r="K26" i="1"/>
  <c r="K27" i="1"/>
  <c r="L27" i="1"/>
  <c r="K29" i="1"/>
  <c r="L29" i="1"/>
  <c r="K30" i="1"/>
  <c r="K31" i="1"/>
  <c r="L31" i="1"/>
  <c r="L4" i="1"/>
  <c r="L2" i="1"/>
  <c r="K10" i="1"/>
  <c r="K11" i="1"/>
  <c r="K9" i="1"/>
  <c r="K7" i="1"/>
  <c r="K6" i="1"/>
  <c r="K5" i="1"/>
  <c r="K4" i="1"/>
  <c r="K3" i="1"/>
  <c r="K2" i="1"/>
  <c r="L7" i="1"/>
  <c r="L11" i="1"/>
  <c r="L9" i="1"/>
  <c r="L5" i="1"/>
  <c r="L3" i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AJ77" i="5"/>
  <c r="AK77" i="5"/>
  <c r="W87" i="5"/>
  <c r="AJ79" i="5"/>
  <c r="AK79" i="5"/>
  <c r="AJ87" i="5"/>
  <c r="AK87" i="5"/>
  <c r="AJ65" i="5"/>
  <c r="AK65" i="5"/>
</calcChain>
</file>

<file path=xl/sharedStrings.xml><?xml version="1.0" encoding="utf-8"?>
<sst xmlns="http://schemas.openxmlformats.org/spreadsheetml/2006/main" count="235" uniqueCount="124">
  <si>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</si>
  <si>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</si>
  <si>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</si>
  <si>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</si>
  <si>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</si>
  <si>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</si>
  <si>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</si>
  <si>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</si>
  <si>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</si>
  <si>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</si>
  <si>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Singapore</t>
  </si>
  <si>
    <t>Chiller 3</t>
  </si>
  <si>
    <t>ELECTRICTY, WATER, &amp; GAS CONSUMPTION  - Aug 2020</t>
  </si>
  <si>
    <t>Date:</t>
  </si>
  <si>
    <t xml:space="preserve">TOTAL </t>
  </si>
  <si>
    <t xml:space="preserve">AVE / DAY
</t>
  </si>
  <si>
    <t>Actual Occupancy:</t>
  </si>
  <si>
    <t xml:space="preserve">Forecasted Occupancy as Aug: </t>
  </si>
  <si>
    <t>Actual Food Covers:</t>
  </si>
  <si>
    <t>Forecasted Food Cover:</t>
  </si>
  <si>
    <t>Main Electricity Meter Reading</t>
  </si>
  <si>
    <t>Feeder 1</t>
  </si>
  <si>
    <t xml:space="preserve">Peak </t>
  </si>
  <si>
    <t xml:space="preserve">Off-Peak </t>
  </si>
  <si>
    <t>Feeder 2</t>
  </si>
  <si>
    <t>Peak</t>
  </si>
  <si>
    <t>Off-Peak</t>
  </si>
  <si>
    <t>Main Electricity Consumption</t>
  </si>
  <si>
    <t>Total Hotel KWh</t>
  </si>
  <si>
    <t xml:space="preserve">Forecast for Aug = 780520 KWh </t>
  </si>
  <si>
    <t>Chiller Electricity Sub - Meter Reading</t>
  </si>
  <si>
    <t xml:space="preserve">Main 1 </t>
  </si>
  <si>
    <t xml:space="preserve">Main 2 </t>
  </si>
  <si>
    <t>Chiller 1 Multistack</t>
  </si>
  <si>
    <t xml:space="preserve">Chiller 2  </t>
  </si>
  <si>
    <t xml:space="preserve">Chiller 4 </t>
  </si>
  <si>
    <t xml:space="preserve">Cooling Tower #1 </t>
  </si>
  <si>
    <t>Cooling Tower #2</t>
  </si>
  <si>
    <t>Cooling Tower #3</t>
  </si>
  <si>
    <t>Cooling Tower #4</t>
  </si>
  <si>
    <t>Condenser Water Pump B1-1</t>
  </si>
  <si>
    <t>Condenser Water Pump B1-2</t>
  </si>
  <si>
    <t>Condenser Water Pump B1-3</t>
  </si>
  <si>
    <t>Condenser Water Pump B1-4</t>
  </si>
  <si>
    <t>Chilled Water Pump B1-1</t>
  </si>
  <si>
    <t>Chilled Water Pump B1-2</t>
  </si>
  <si>
    <t>Chilled Water Pump B1-3</t>
  </si>
  <si>
    <t>Chilled Water Pump B1-4</t>
  </si>
  <si>
    <t>Chiller Electricity Consumption</t>
  </si>
  <si>
    <t xml:space="preserve"> </t>
  </si>
  <si>
    <t>Main 1</t>
  </si>
  <si>
    <t>Main 2</t>
  </si>
  <si>
    <t>Total Chiller Plantroom KWh</t>
  </si>
  <si>
    <t xml:space="preserve">Chiller 1 Multistack  </t>
  </si>
  <si>
    <t xml:space="preserve">Chiller 2 Trane </t>
  </si>
  <si>
    <t>Chiller 3 Trane</t>
  </si>
  <si>
    <t>Chiller 4 Trane</t>
  </si>
  <si>
    <t>Chiller KWh</t>
  </si>
  <si>
    <t>Condenser Water Pump KWh</t>
  </si>
  <si>
    <t>Chilled Water Pump KWh</t>
  </si>
  <si>
    <t>Total Chiller Plantroom KWH</t>
  </si>
  <si>
    <t>Cooling Tower KWh</t>
  </si>
  <si>
    <t>Total Chiller System:</t>
  </si>
  <si>
    <t>Gas Meter Reading</t>
  </si>
  <si>
    <t>Kutulu</t>
  </si>
  <si>
    <t>Windows</t>
  </si>
  <si>
    <t>190 Kitchen</t>
  </si>
  <si>
    <t>Main kitchen</t>
  </si>
  <si>
    <t>Pastry kitchen</t>
  </si>
  <si>
    <t>JNC Kitchen</t>
  </si>
  <si>
    <t>Gas Consumption</t>
  </si>
  <si>
    <t>Total kWh:</t>
  </si>
  <si>
    <t>Forecast for Aug: 147489 KWh</t>
  </si>
  <si>
    <t>Water Meter Reading</t>
  </si>
  <si>
    <t xml:space="preserve">Meter 1 </t>
  </si>
  <si>
    <t>Meter 2</t>
  </si>
  <si>
    <t>Domestic Water Consumption</t>
  </si>
  <si>
    <t>Meter 1</t>
  </si>
  <si>
    <t>Total Cu M:</t>
  </si>
  <si>
    <t xml:space="preserve">Forecast for July: 11572 Cu M </t>
  </si>
  <si>
    <t>New Water Reading</t>
  </si>
  <si>
    <t>NewWater Consumption</t>
  </si>
  <si>
    <t xml:space="preserve">Combined with Domestic water </t>
  </si>
  <si>
    <t>Feeder 1 Peak (KWh)</t>
  </si>
  <si>
    <t>Feeder 1 Off-Peak (KWh)</t>
  </si>
  <si>
    <t>Feeder 2 Peak (KWh)</t>
  </si>
  <si>
    <t>Feeder 2 Off-Peak (KWh)</t>
  </si>
  <si>
    <t>Chiller Main 1 (KWh)</t>
  </si>
  <si>
    <t>Chiller Main 2 (KWh)</t>
  </si>
  <si>
    <t>Chiller 1 Multistack  (KWh)</t>
  </si>
  <si>
    <t>Chiller 2 Trane (KWh)</t>
  </si>
  <si>
    <t>Chiller 3 Trane (KWh)</t>
  </si>
  <si>
    <t>Chiller 4 Trane (KWh)</t>
  </si>
  <si>
    <t>Total Chiller Plantroom (KWh)</t>
  </si>
  <si>
    <t>Condenser Water Pump B1-1 (KWh)</t>
  </si>
  <si>
    <t>Condenser Water Pump B1-2 (KWh)</t>
  </si>
  <si>
    <t>Condenser Water Pump B1-3 (KWh)</t>
  </si>
  <si>
    <t>Condenser Water Pump B1-4 (KWh)</t>
  </si>
  <si>
    <t>Chilled Water Pump B1-1 (KWh)</t>
  </si>
  <si>
    <t>Chilled Water Pump B1-2 (KWh)</t>
  </si>
  <si>
    <t>Chilled Water Pump B1-3 (KWh)</t>
  </si>
  <si>
    <t>Chilled Water Pump B1-4 (KWh)</t>
  </si>
  <si>
    <t>Cooling Tower #1 (KWh)</t>
  </si>
  <si>
    <t>Cooling Tower #2 (KWh)</t>
  </si>
  <si>
    <t>Cooling Tower #3 (KWh)</t>
  </si>
  <si>
    <t>Cooling Tower #4 (KWh)</t>
  </si>
  <si>
    <t>Cooling Tower (KWh)</t>
  </si>
  <si>
    <t>Domestic Water Total (m3)</t>
  </si>
  <si>
    <t>NewWater Total (m3)</t>
  </si>
  <si>
    <t>Chillers (KWh)</t>
  </si>
  <si>
    <t>Condenser Water Pumps (KWh)</t>
  </si>
  <si>
    <t>Chilled Water Pumps (KWh)</t>
  </si>
  <si>
    <t>Gas Consumption Kutulu (m3)</t>
  </si>
  <si>
    <t>Gas Consumption Windows (m3)</t>
  </si>
  <si>
    <t>Gas Consumption 190 Kitchen (m3)</t>
  </si>
  <si>
    <t>Gas Consumption Main kitchen (m3)</t>
  </si>
  <si>
    <t>Gas Consumption Pastry Kitchen (m3)</t>
  </si>
  <si>
    <t>Gas Consumption JNC Kitchen (m3)</t>
  </si>
  <si>
    <t>NewWater Meter 2 (m3)</t>
  </si>
  <si>
    <t>NewWater Meter 1 (m3)</t>
  </si>
  <si>
    <t>Domestic Water Meter 1 (m3)</t>
  </si>
  <si>
    <t>Domestic Water Meter 2 (m3)</t>
  </si>
  <si>
    <t>Natural Gas (m3)</t>
  </si>
  <si>
    <t>Natural Gas $/m3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</si>
</sst>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i/>
      <sz val="16"/>
      <name val="Arial"/>
      <family val="2"/>
    </font>
    <font>
      <sz val="11"/>
      <color indexed="8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11"/>
      <color theme="0"/>
      <name val="Arial"/>
      <family val="2"/>
    </font>
    <font>
      <b/>
      <sz val="11"/>
      <color rgb="FF00B050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i/>
      <sz val="8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1"/>
      <color indexed="8"/>
      <name val="Calibri"/>
      <family val="2"/>
    </font>
    <font>
      <b/>
      <sz val="12"/>
      <color indexed="1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b/>
      <i/>
      <sz val="10"/>
      <name val="Arial"/>
      <family val="2"/>
    </font>
    <font>
      <sz val="10"/>
      <color indexed="8"/>
      <name val="Arial"/>
      <family val="2"/>
    </font>
    <font>
      <b/>
      <sz val="12"/>
      <color theme="1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b/>
      <sz val="10"/>
      <color theme="1"/>
      <name val="Arial"/>
      <family val="2"/>
    </font>
    <font>
      <b/>
      <sz val="12"/>
      <color rgb="FFFF0000"/>
      <name val="Arial"/>
      <family val="2"/>
    </font>
    <font>
      <sz val="8"/>
      <color indexed="12"/>
      <name val="Arial"/>
      <family val="2"/>
    </font>
    <font>
      <b/>
      <sz val="12"/>
      <color rgb="FF00B050"/>
      <name val="Arial"/>
      <family val="2"/>
    </font>
    <font>
      <b/>
      <sz val="8"/>
      <color indexed="17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</borders>
  <cellStyleXfs count="4">
    <xf numFmtId="0" fontId="0" fillId="0" borderId="0"/>
    <xf numFmtId="0" fontId="10" fillId="0" borderId="0"/>
    <xf numFmtId="9" fontId="10" fillId="0" borderId="0" applyFont="0" applyFill="0" applyBorder="0" applyAlignment="0" applyProtection="0"/>
    <xf numFmtId="43" fontId="27" fillId="0" borderId="0" applyFont="0" applyFill="0" applyBorder="0" applyAlignment="0" applyProtection="0"/>
  </cellStyleXfs>
  <cellXfs count="192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1" fontId="1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2" fontId="5" fillId="0" borderId="0" xfId="0" applyNumberFormat="1" applyFont="1"/>
    <xf numFmtId="0" fontId="5" fillId="0" borderId="0" xfId="0" applyFont="1"/>
    <xf numFmtId="1" fontId="6" fillId="0" borderId="0" xfId="0" applyNumberFormat="1" applyFont="1" applyAlignment="1">
      <alignment wrapText="1"/>
    </xf>
    <xf numFmtId="1" fontId="7" fillId="0" borderId="0" xfId="0" applyNumberFormat="1" applyFont="1"/>
    <xf numFmtId="1" fontId="8" fillId="0" borderId="0" xfId="0" applyNumberFormat="1" applyFont="1" applyAlignment="1">
      <alignment wrapText="1"/>
    </xf>
    <xf numFmtId="1" fontId="2" fillId="0" borderId="0" xfId="0" applyNumberFormat="1" applyFont="1"/>
    <xf numFmtId="2" fontId="0" fillId="0" borderId="0" xfId="0" applyNumberFormat="1"/>
    <xf numFmtId="0" fontId="9" fillId="0" borderId="0" xfId="0" applyFont="1"/>
    <xf numFmtId="2" fontId="9" fillId="0" borderId="0" xfId="0" applyNumberFormat="1" applyFont="1"/>
    <xf numFmtId="0" fontId="11" fillId="0" borderId="0" xfId="1" applyFont="1"/>
    <xf numFmtId="0" fontId="12" fillId="0" borderId="0" xfId="1" applyFont="1" applyAlignment="1">
      <alignment horizontal="centerContinuous"/>
    </xf>
    <xf numFmtId="0" fontId="13" fillId="0" borderId="0" xfId="1" applyFont="1"/>
    <xf numFmtId="0" fontId="14" fillId="0" borderId="0" xfId="0" applyFont="1"/>
    <xf numFmtId="0" fontId="13" fillId="0" borderId="0" xfId="1" applyFont="1" applyAlignment="1">
      <alignment horizontal="right"/>
    </xf>
    <xf numFmtId="0" fontId="13" fillId="0" borderId="0" xfId="1" applyFont="1" applyAlignment="1">
      <alignment horizontal="centerContinuous"/>
    </xf>
    <xf numFmtId="0" fontId="15" fillId="0" borderId="0" xfId="1" applyFont="1" applyAlignment="1">
      <alignment horizontal="center" wrapText="1"/>
    </xf>
    <xf numFmtId="0" fontId="13" fillId="0" borderId="0" xfId="1" applyFont="1" applyAlignment="1">
      <alignment vertical="center" wrapText="1"/>
    </xf>
    <xf numFmtId="0" fontId="16" fillId="0" borderId="0" xfId="1" applyFont="1" applyAlignment="1">
      <alignment horizontal="right"/>
    </xf>
    <xf numFmtId="0" fontId="13" fillId="0" borderId="10" xfId="1" applyFont="1" applyBorder="1" applyAlignment="1">
      <alignment vertical="center" wrapText="1"/>
    </xf>
    <xf numFmtId="0" fontId="18" fillId="0" borderId="0" xfId="1" applyFont="1" applyAlignment="1">
      <alignment horizontal="center"/>
    </xf>
    <xf numFmtId="0" fontId="13" fillId="0" borderId="0" xfId="1" applyFont="1" applyAlignment="1">
      <alignment horizontal="right" vertical="center"/>
    </xf>
    <xf numFmtId="0" fontId="13" fillId="2" borderId="3" xfId="1" applyFont="1" applyFill="1" applyBorder="1" applyAlignment="1">
      <alignment horizontal="center" vertical="center"/>
    </xf>
    <xf numFmtId="0" fontId="13" fillId="4" borderId="3" xfId="1" applyFont="1" applyFill="1" applyBorder="1" applyAlignment="1">
      <alignment horizontal="center" vertical="center"/>
    </xf>
    <xf numFmtId="1" fontId="19" fillId="5" borderId="3" xfId="1" applyNumberFormat="1" applyFont="1" applyFill="1" applyBorder="1" applyAlignment="1">
      <alignment horizontal="center" vertical="center" wrapText="1"/>
    </xf>
    <xf numFmtId="0" fontId="19" fillId="5" borderId="3" xfId="1" applyFont="1" applyFill="1" applyBorder="1" applyAlignment="1">
      <alignment horizontal="center" vertical="center"/>
    </xf>
    <xf numFmtId="0" fontId="13" fillId="2" borderId="12" xfId="2" applyNumberFormat="1" applyFont="1" applyFill="1" applyBorder="1" applyAlignment="1">
      <alignment horizontal="center"/>
    </xf>
    <xf numFmtId="164" fontId="13" fillId="2" borderId="12" xfId="2" applyNumberFormat="1" applyFont="1" applyFill="1" applyBorder="1" applyAlignment="1">
      <alignment horizontal="center"/>
    </xf>
    <xf numFmtId="10" fontId="13" fillId="2" borderId="12" xfId="2" applyNumberFormat="1" applyFont="1" applyFill="1" applyBorder="1" applyAlignment="1">
      <alignment horizontal="center"/>
    </xf>
    <xf numFmtId="164" fontId="13" fillId="2" borderId="12" xfId="1" applyNumberFormat="1" applyFont="1" applyFill="1" applyBorder="1" applyAlignment="1">
      <alignment horizontal="center"/>
    </xf>
    <xf numFmtId="9" fontId="13" fillId="2" borderId="3" xfId="1" applyNumberFormat="1" applyFont="1" applyFill="1" applyBorder="1" applyAlignment="1">
      <alignment horizontal="center"/>
    </xf>
    <xf numFmtId="164" fontId="13" fillId="2" borderId="3" xfId="1" applyNumberFormat="1" applyFont="1" applyFill="1" applyBorder="1" applyAlignment="1">
      <alignment horizontal="center"/>
    </xf>
    <xf numFmtId="0" fontId="20" fillId="0" borderId="0" xfId="1" applyFont="1" applyAlignment="1">
      <alignment horizontal="right"/>
    </xf>
    <xf numFmtId="10" fontId="19" fillId="6" borderId="12" xfId="2" applyNumberFormat="1" applyFont="1" applyFill="1" applyBorder="1" applyAlignment="1">
      <alignment horizontal="center"/>
    </xf>
    <xf numFmtId="9" fontId="19" fillId="6" borderId="3" xfId="1" applyNumberFormat="1" applyFont="1" applyFill="1" applyBorder="1" applyAlignment="1">
      <alignment horizontal="center"/>
    </xf>
    <xf numFmtId="164" fontId="19" fillId="6" borderId="3" xfId="1" applyNumberFormat="1" applyFont="1" applyFill="1" applyBorder="1" applyAlignment="1">
      <alignment horizontal="center"/>
    </xf>
    <xf numFmtId="10" fontId="13" fillId="4" borderId="12" xfId="2" applyNumberFormat="1" applyFont="1" applyFill="1" applyBorder="1" applyAlignment="1">
      <alignment horizontal="center"/>
    </xf>
    <xf numFmtId="0" fontId="13" fillId="4" borderId="12" xfId="2" applyNumberFormat="1" applyFont="1" applyFill="1" applyBorder="1" applyAlignment="1">
      <alignment horizontal="center"/>
    </xf>
    <xf numFmtId="9" fontId="13" fillId="4" borderId="3" xfId="1" applyNumberFormat="1" applyFont="1" applyFill="1" applyBorder="1" applyAlignment="1">
      <alignment horizontal="center"/>
    </xf>
    <xf numFmtId="10" fontId="13" fillId="4" borderId="3" xfId="1" applyNumberFormat="1" applyFont="1" applyFill="1" applyBorder="1" applyAlignment="1">
      <alignment horizontal="center"/>
    </xf>
    <xf numFmtId="0" fontId="13" fillId="2" borderId="3" xfId="1" applyFont="1" applyFill="1" applyBorder="1" applyAlignment="1">
      <alignment horizontal="center"/>
    </xf>
    <xf numFmtId="3" fontId="13" fillId="2" borderId="3" xfId="1" applyNumberFormat="1" applyFont="1" applyFill="1" applyBorder="1" applyAlignment="1">
      <alignment horizontal="center"/>
    </xf>
    <xf numFmtId="1" fontId="13" fillId="2" borderId="3" xfId="1" applyNumberFormat="1" applyFont="1" applyFill="1" applyBorder="1" applyAlignment="1">
      <alignment horizontal="center"/>
    </xf>
    <xf numFmtId="0" fontId="19" fillId="6" borderId="3" xfId="1" applyFont="1" applyFill="1" applyBorder="1" applyAlignment="1">
      <alignment horizontal="center"/>
    </xf>
    <xf numFmtId="3" fontId="19" fillId="6" borderId="3" xfId="1" applyNumberFormat="1" applyFont="1" applyFill="1" applyBorder="1" applyAlignment="1">
      <alignment horizontal="center"/>
    </xf>
    <xf numFmtId="0" fontId="21" fillId="0" borderId="14" xfId="1" applyFont="1" applyBorder="1" applyAlignment="1">
      <alignment horizontal="right"/>
    </xf>
    <xf numFmtId="0" fontId="13" fillId="0" borderId="3" xfId="1" applyFont="1" applyBorder="1" applyAlignment="1">
      <alignment horizontal="right"/>
    </xf>
    <xf numFmtId="0" fontId="13" fillId="0" borderId="3" xfId="1" applyFont="1" applyBorder="1" applyAlignment="1">
      <alignment horizontal="center"/>
    </xf>
    <xf numFmtId="9" fontId="13" fillId="0" borderId="3" xfId="2" applyFont="1" applyFill="1" applyBorder="1" applyAlignment="1">
      <alignment horizontal="center"/>
    </xf>
    <xf numFmtId="165" fontId="13" fillId="0" borderId="3" xfId="1" applyNumberFormat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1" fontId="18" fillId="0" borderId="0" xfId="1" applyNumberFormat="1" applyFont="1" applyAlignment="1">
      <alignment horizontal="center"/>
    </xf>
    <xf numFmtId="0" fontId="22" fillId="0" borderId="13" xfId="1" applyFont="1" applyBorder="1"/>
    <xf numFmtId="0" fontId="10" fillId="0" borderId="0" xfId="1"/>
    <xf numFmtId="0" fontId="23" fillId="0" borderId="15" xfId="1" applyFont="1" applyBorder="1" applyAlignment="1">
      <alignment horizontal="center"/>
    </xf>
    <xf numFmtId="0" fontId="24" fillId="0" borderId="0" xfId="1" applyFont="1" applyAlignment="1">
      <alignment horizontal="right"/>
    </xf>
    <xf numFmtId="0" fontId="24" fillId="0" borderId="3" xfId="1" applyFont="1" applyBorder="1" applyAlignment="1">
      <alignment horizontal="center"/>
    </xf>
    <xf numFmtId="165" fontId="24" fillId="0" borderId="3" xfId="1" applyNumberFormat="1" applyFont="1" applyBorder="1" applyAlignment="1">
      <alignment horizontal="center"/>
    </xf>
    <xf numFmtId="0" fontId="24" fillId="0" borderId="4" xfId="1" applyFont="1" applyBorder="1" applyAlignment="1">
      <alignment horizontal="center"/>
    </xf>
    <xf numFmtId="1" fontId="25" fillId="0" borderId="0" xfId="1" applyNumberFormat="1" applyFont="1" applyAlignment="1">
      <alignment horizontal="center"/>
    </xf>
    <xf numFmtId="0" fontId="24" fillId="0" borderId="0" xfId="1" applyFont="1"/>
    <xf numFmtId="0" fontId="26" fillId="0" borderId="16" xfId="1" applyFont="1" applyBorder="1"/>
    <xf numFmtId="165" fontId="10" fillId="0" borderId="3" xfId="3" applyNumberFormat="1" applyFont="1" applyBorder="1"/>
    <xf numFmtId="165" fontId="10" fillId="0" borderId="3" xfId="3" applyNumberFormat="1" applyFont="1" applyFill="1" applyBorder="1"/>
    <xf numFmtId="165" fontId="10" fillId="0" borderId="4" xfId="3" applyNumberFormat="1" applyFont="1" applyBorder="1"/>
    <xf numFmtId="0" fontId="26" fillId="0" borderId="17" xfId="1" applyFont="1" applyBorder="1"/>
    <xf numFmtId="165" fontId="10" fillId="0" borderId="8" xfId="3" applyNumberFormat="1" applyFont="1" applyBorder="1"/>
    <xf numFmtId="165" fontId="10" fillId="0" borderId="8" xfId="3" applyNumberFormat="1" applyFont="1" applyFill="1" applyBorder="1"/>
    <xf numFmtId="165" fontId="10" fillId="0" borderId="9" xfId="3" applyNumberFormat="1" applyFont="1" applyBorder="1"/>
    <xf numFmtId="0" fontId="26" fillId="0" borderId="3" xfId="1" applyFont="1" applyBorder="1"/>
    <xf numFmtId="165" fontId="10" fillId="0" borderId="3" xfId="3" applyNumberFormat="1" applyFont="1" applyBorder="1" applyAlignment="1">
      <alignment vertical="center"/>
    </xf>
    <xf numFmtId="0" fontId="24" fillId="0" borderId="11" xfId="1" applyFont="1" applyBorder="1"/>
    <xf numFmtId="0" fontId="17" fillId="7" borderId="7" xfId="1" applyFont="1" applyFill="1" applyBorder="1"/>
    <xf numFmtId="0" fontId="24" fillId="0" borderId="3" xfId="1" applyFont="1" applyBorder="1"/>
    <xf numFmtId="0" fontId="24" fillId="0" borderId="4" xfId="1" applyFont="1" applyBorder="1"/>
    <xf numFmtId="0" fontId="24" fillId="0" borderId="16" xfId="1" applyFont="1" applyBorder="1"/>
    <xf numFmtId="0" fontId="26" fillId="0" borderId="0" xfId="0" applyFont="1"/>
    <xf numFmtId="0" fontId="23" fillId="0" borderId="16" xfId="1" applyFont="1" applyBorder="1" applyAlignment="1">
      <alignment horizontal="center"/>
    </xf>
    <xf numFmtId="1" fontId="19" fillId="5" borderId="1" xfId="1" applyNumberFormat="1" applyFont="1" applyFill="1" applyBorder="1" applyAlignment="1">
      <alignment horizontal="center" vertical="center" wrapText="1"/>
    </xf>
    <xf numFmtId="0" fontId="28" fillId="0" borderId="17" xfId="1" applyFont="1" applyBorder="1" applyAlignment="1">
      <alignment horizontal="right"/>
    </xf>
    <xf numFmtId="3" fontId="17" fillId="3" borderId="8" xfId="1" applyNumberFormat="1" applyFont="1" applyFill="1" applyBorder="1"/>
    <xf numFmtId="3" fontId="17" fillId="8" borderId="3" xfId="1" applyNumberFormat="1" applyFont="1" applyFill="1" applyBorder="1"/>
    <xf numFmtId="3" fontId="17" fillId="8" borderId="4" xfId="1" applyNumberFormat="1" applyFont="1" applyFill="1" applyBorder="1"/>
    <xf numFmtId="3" fontId="18" fillId="8" borderId="1" xfId="1" applyNumberFormat="1" applyFont="1" applyFill="1" applyBorder="1" applyAlignment="1">
      <alignment horizontal="center"/>
    </xf>
    <xf numFmtId="3" fontId="18" fillId="8" borderId="3" xfId="1" applyNumberFormat="1" applyFont="1" applyFill="1" applyBorder="1" applyAlignment="1">
      <alignment horizontal="center"/>
    </xf>
    <xf numFmtId="0" fontId="20" fillId="0" borderId="3" xfId="1" applyFont="1" applyBorder="1" applyAlignment="1">
      <alignment horizontal="right"/>
    </xf>
    <xf numFmtId="3" fontId="29" fillId="6" borderId="3" xfId="1" applyNumberFormat="1" applyFont="1" applyFill="1" applyBorder="1" applyAlignment="1">
      <alignment horizontal="right"/>
    </xf>
    <xf numFmtId="3" fontId="19" fillId="6" borderId="1" xfId="1" applyNumberFormat="1" applyFont="1" applyFill="1" applyBorder="1" applyAlignment="1">
      <alignment horizontal="center"/>
    </xf>
    <xf numFmtId="3" fontId="19" fillId="6" borderId="3" xfId="0" applyNumberFormat="1" applyFont="1" applyFill="1" applyBorder="1" applyAlignment="1">
      <alignment horizontal="center"/>
    </xf>
    <xf numFmtId="0" fontId="30" fillId="0" borderId="3" xfId="1" applyFont="1" applyBorder="1" applyAlignment="1">
      <alignment horizontal="right"/>
    </xf>
    <xf numFmtId="0" fontId="30" fillId="0" borderId="4" xfId="1" applyFont="1" applyBorder="1" applyAlignment="1">
      <alignment horizontal="right"/>
    </xf>
    <xf numFmtId="0" fontId="31" fillId="0" borderId="3" xfId="1" applyFont="1" applyBorder="1"/>
    <xf numFmtId="0" fontId="24" fillId="0" borderId="3" xfId="1" applyFont="1" applyBorder="1" applyAlignment="1">
      <alignment horizontal="right"/>
    </xf>
    <xf numFmtId="0" fontId="24" fillId="0" borderId="15" xfId="1" applyFont="1" applyBorder="1"/>
    <xf numFmtId="165" fontId="10" fillId="0" borderId="12" xfId="3" applyNumberFormat="1" applyFont="1" applyFill="1" applyBorder="1"/>
    <xf numFmtId="165" fontId="10" fillId="0" borderId="12" xfId="3" applyNumberFormat="1" applyFont="1" applyBorder="1"/>
    <xf numFmtId="165" fontId="10" fillId="0" borderId="6" xfId="3" applyNumberFormat="1" applyFont="1" applyBorder="1"/>
    <xf numFmtId="0" fontId="24" fillId="0" borderId="0" xfId="1" applyFont="1" applyAlignment="1">
      <alignment horizontal="center"/>
    </xf>
    <xf numFmtId="165" fontId="10" fillId="0" borderId="0" xfId="3" applyNumberFormat="1" applyFont="1"/>
    <xf numFmtId="165" fontId="32" fillId="0" borderId="0" xfId="3" applyNumberFormat="1" applyFont="1"/>
    <xf numFmtId="0" fontId="32" fillId="0" borderId="0" xfId="0" applyFont="1"/>
    <xf numFmtId="0" fontId="24" fillId="0" borderId="4" xfId="1" applyFont="1" applyBorder="1" applyAlignment="1">
      <alignment horizontal="left"/>
    </xf>
    <xf numFmtId="0" fontId="33" fillId="3" borderId="7" xfId="1" applyFont="1" applyFill="1" applyBorder="1"/>
    <xf numFmtId="0" fontId="24" fillId="0" borderId="18" xfId="1" applyFont="1" applyBorder="1"/>
    <xf numFmtId="0" fontId="24" fillId="0" borderId="19" xfId="1" applyFont="1" applyBorder="1"/>
    <xf numFmtId="0" fontId="28" fillId="0" borderId="19" xfId="1" applyFont="1" applyBorder="1" applyAlignment="1">
      <alignment horizontal="right"/>
    </xf>
    <xf numFmtId="165" fontId="17" fillId="3" borderId="3" xfId="3" applyNumberFormat="1" applyFont="1" applyFill="1" applyBorder="1"/>
    <xf numFmtId="3" fontId="17" fillId="3" borderId="3" xfId="1" applyNumberFormat="1" applyFont="1" applyFill="1" applyBorder="1"/>
    <xf numFmtId="0" fontId="34" fillId="0" borderId="19" xfId="1" applyFont="1" applyBorder="1" applyAlignment="1">
      <alignment horizontal="right"/>
    </xf>
    <xf numFmtId="0" fontId="34" fillId="0" borderId="3" xfId="1" applyFont="1" applyBorder="1"/>
    <xf numFmtId="0" fontId="34" fillId="0" borderId="4" xfId="1" applyFont="1" applyBorder="1"/>
    <xf numFmtId="0" fontId="25" fillId="0" borderId="0" xfId="1" applyFont="1" applyAlignment="1">
      <alignment horizontal="center"/>
    </xf>
    <xf numFmtId="0" fontId="28" fillId="0" borderId="20" xfId="1" applyFont="1" applyBorder="1" applyAlignment="1">
      <alignment horizontal="right"/>
    </xf>
    <xf numFmtId="0" fontId="34" fillId="0" borderId="20" xfId="1" applyFont="1" applyBorder="1" applyAlignment="1">
      <alignment horizontal="right"/>
    </xf>
    <xf numFmtId="0" fontId="24" fillId="0" borderId="19" xfId="1" applyFont="1" applyBorder="1" applyAlignment="1">
      <alignment horizontal="left"/>
    </xf>
    <xf numFmtId="0" fontId="10" fillId="0" borderId="3" xfId="1" applyBorder="1"/>
    <xf numFmtId="165" fontId="10" fillId="0" borderId="3" xfId="1" applyNumberFormat="1" applyBorder="1"/>
    <xf numFmtId="0" fontId="14" fillId="0" borderId="3" xfId="0" applyFont="1" applyBorder="1"/>
    <xf numFmtId="0" fontId="10" fillId="0" borderId="4" xfId="1" applyBorder="1"/>
    <xf numFmtId="0" fontId="24" fillId="0" borderId="3" xfId="1" applyFont="1" applyBorder="1" applyAlignment="1">
      <alignment horizontal="left"/>
    </xf>
    <xf numFmtId="0" fontId="34" fillId="0" borderId="5" xfId="1" applyFont="1" applyBorder="1" applyAlignment="1">
      <alignment horizontal="right"/>
    </xf>
    <xf numFmtId="3" fontId="34" fillId="0" borderId="3" xfId="1" applyNumberFormat="1" applyFont="1" applyBorder="1"/>
    <xf numFmtId="3" fontId="34" fillId="0" borderId="4" xfId="1" applyNumberFormat="1" applyFont="1" applyBorder="1"/>
    <xf numFmtId="3" fontId="25" fillId="0" borderId="0" xfId="1" applyNumberFormat="1" applyFont="1" applyAlignment="1">
      <alignment horizontal="center"/>
    </xf>
    <xf numFmtId="0" fontId="28" fillId="0" borderId="5" xfId="1" applyFont="1" applyBorder="1" applyAlignment="1">
      <alignment horizontal="right"/>
    </xf>
    <xf numFmtId="0" fontId="28" fillId="0" borderId="3" xfId="1" applyFont="1" applyBorder="1" applyAlignment="1">
      <alignment horizontal="right"/>
    </xf>
    <xf numFmtId="0" fontId="17" fillId="3" borderId="3" xfId="1" applyFont="1" applyFill="1" applyBorder="1"/>
    <xf numFmtId="0" fontId="17" fillId="8" borderId="4" xfId="1" applyFont="1" applyFill="1" applyBorder="1"/>
    <xf numFmtId="0" fontId="17" fillId="8" borderId="3" xfId="1" applyFont="1" applyFill="1" applyBorder="1"/>
    <xf numFmtId="3" fontId="18" fillId="0" borderId="1" xfId="1" applyNumberFormat="1" applyFont="1" applyBorder="1" applyAlignment="1">
      <alignment horizontal="center"/>
    </xf>
    <xf numFmtId="3" fontId="18" fillId="0" borderId="3" xfId="1" applyNumberFormat="1" applyFont="1" applyBorder="1" applyAlignment="1">
      <alignment horizontal="center"/>
    </xf>
    <xf numFmtId="0" fontId="34" fillId="0" borderId="0" xfId="1" applyFont="1" applyAlignment="1">
      <alignment horizontal="right"/>
    </xf>
    <xf numFmtId="0" fontId="35" fillId="0" borderId="0" xfId="1" applyFont="1" applyAlignment="1">
      <alignment horizontal="right"/>
    </xf>
    <xf numFmtId="0" fontId="35" fillId="0" borderId="0" xfId="1" applyFont="1"/>
    <xf numFmtId="0" fontId="35" fillId="0" borderId="11" xfId="1" applyFont="1" applyBorder="1"/>
    <xf numFmtId="3" fontId="34" fillId="0" borderId="0" xfId="1" applyNumberFormat="1" applyFont="1"/>
    <xf numFmtId="0" fontId="35" fillId="0" borderId="3" xfId="1" applyFont="1" applyBorder="1"/>
    <xf numFmtId="0" fontId="36" fillId="0" borderId="3" xfId="1" applyFont="1" applyBorder="1"/>
    <xf numFmtId="165" fontId="10" fillId="0" borderId="0" xfId="3" applyNumberFormat="1" applyFont="1" applyFill="1" applyBorder="1"/>
    <xf numFmtId="165" fontId="10" fillId="9" borderId="3" xfId="3" applyNumberFormat="1" applyFont="1" applyFill="1" applyBorder="1"/>
    <xf numFmtId="0" fontId="33" fillId="10" borderId="3" xfId="1" applyFont="1" applyFill="1" applyBorder="1"/>
    <xf numFmtId="1" fontId="24" fillId="0" borderId="3" xfId="1" applyNumberFormat="1" applyFont="1" applyBorder="1"/>
    <xf numFmtId="165" fontId="26" fillId="0" borderId="0" xfId="0" applyNumberFormat="1" applyFont="1"/>
    <xf numFmtId="0" fontId="37" fillId="0" borderId="17" xfId="1" applyFont="1" applyBorder="1" applyAlignment="1">
      <alignment horizontal="right"/>
    </xf>
    <xf numFmtId="1" fontId="17" fillId="10" borderId="3" xfId="1" applyNumberFormat="1" applyFont="1" applyFill="1" applyBorder="1"/>
    <xf numFmtId="165" fontId="17" fillId="10" borderId="3" xfId="3" applyNumberFormat="1" applyFont="1" applyFill="1" applyBorder="1"/>
    <xf numFmtId="165" fontId="17" fillId="8" borderId="3" xfId="3" applyNumberFormat="1" applyFont="1" applyFill="1" applyBorder="1"/>
    <xf numFmtId="3" fontId="29" fillId="6" borderId="2" xfId="1" applyNumberFormat="1" applyFont="1" applyFill="1" applyBorder="1" applyAlignment="1">
      <alignment horizontal="center"/>
    </xf>
    <xf numFmtId="3" fontId="29" fillId="6" borderId="4" xfId="1" applyNumberFormat="1" applyFont="1" applyFill="1" applyBorder="1" applyAlignment="1">
      <alignment horizontal="center"/>
    </xf>
    <xf numFmtId="0" fontId="10" fillId="0" borderId="3" xfId="1" applyBorder="1" applyAlignment="1">
      <alignment horizontal="right"/>
    </xf>
    <xf numFmtId="0" fontId="10" fillId="0" borderId="4" xfId="1" applyBorder="1" applyAlignment="1">
      <alignment horizontal="right"/>
    </xf>
    <xf numFmtId="0" fontId="38" fillId="0" borderId="15" xfId="1" applyFont="1" applyBorder="1"/>
    <xf numFmtId="0" fontId="38" fillId="0" borderId="17" xfId="1" applyFont="1" applyBorder="1"/>
    <xf numFmtId="0" fontId="26" fillId="0" borderId="3" xfId="0" applyFont="1" applyBorder="1"/>
    <xf numFmtId="0" fontId="33" fillId="11" borderId="3" xfId="1" applyFont="1" applyFill="1" applyBorder="1"/>
    <xf numFmtId="165" fontId="10" fillId="0" borderId="12" xfId="1" applyNumberFormat="1" applyBorder="1"/>
    <xf numFmtId="0" fontId="10" fillId="0" borderId="12" xfId="1" applyBorder="1"/>
    <xf numFmtId="0" fontId="24" fillId="0" borderId="21" xfId="1" applyFont="1" applyBorder="1"/>
    <xf numFmtId="0" fontId="37" fillId="0" borderId="21" xfId="1" applyFont="1" applyBorder="1" applyAlignment="1">
      <alignment horizontal="right"/>
    </xf>
    <xf numFmtId="0" fontId="17" fillId="11" borderId="3" xfId="1" applyFont="1" applyFill="1" applyBorder="1"/>
    <xf numFmtId="0" fontId="17" fillId="11" borderId="4" xfId="1" applyFont="1" applyFill="1" applyBorder="1"/>
    <xf numFmtId="165" fontId="17" fillId="8" borderId="3" xfId="1" applyNumberFormat="1" applyFont="1" applyFill="1" applyBorder="1"/>
    <xf numFmtId="0" fontId="39" fillId="0" borderId="0" xfId="1" applyFont="1" applyAlignment="1">
      <alignment horizontal="right"/>
    </xf>
    <xf numFmtId="0" fontId="29" fillId="6" borderId="0" xfId="1" applyFont="1" applyFill="1"/>
    <xf numFmtId="0" fontId="29" fillId="6" borderId="3" xfId="1" applyFont="1" applyFill="1" applyBorder="1"/>
    <xf numFmtId="0" fontId="29" fillId="6" borderId="0" xfId="1" applyFont="1" applyFill="1" applyAlignment="1">
      <alignment horizontal="center"/>
    </xf>
    <xf numFmtId="0" fontId="40" fillId="0" borderId="0" xfId="1" applyFont="1"/>
    <xf numFmtId="0" fontId="36" fillId="0" borderId="7" xfId="1" applyFont="1" applyBorder="1"/>
    <xf numFmtId="0" fontId="24" fillId="0" borderId="10" xfId="1" applyFont="1" applyBorder="1"/>
    <xf numFmtId="0" fontId="38" fillId="0" borderId="21" xfId="1" applyFont="1" applyBorder="1"/>
    <xf numFmtId="0" fontId="35" fillId="0" borderId="17" xfId="1" applyFont="1" applyBorder="1" applyAlignment="1">
      <alignment horizontal="right"/>
    </xf>
    <xf numFmtId="0" fontId="35" fillId="0" borderId="8" xfId="1" applyFont="1" applyBorder="1"/>
    <xf numFmtId="0" fontId="35" fillId="0" borderId="9" xfId="1" applyFont="1" applyBorder="1"/>
    <xf numFmtId="0" fontId="24" fillId="0" borderId="12" xfId="1" applyFont="1" applyBorder="1"/>
    <xf numFmtId="0" fontId="24" fillId="9" borderId="12" xfId="1" applyFont="1" applyFill="1" applyBorder="1"/>
    <xf numFmtId="0" fontId="10" fillId="9" borderId="12" xfId="1" applyFill="1" applyBorder="1"/>
    <xf numFmtId="0" fontId="24" fillId="9" borderId="3" xfId="1" applyFont="1" applyFill="1" applyBorder="1"/>
    <xf numFmtId="0" fontId="19" fillId="5" borderId="3" xfId="1" applyFont="1" applyFill="1" applyBorder="1" applyAlignment="1">
      <alignment vertical="center"/>
    </xf>
    <xf numFmtId="0" fontId="17" fillId="11" borderId="8" xfId="1" applyFont="1" applyFill="1" applyBorder="1"/>
    <xf numFmtId="0" fontId="17" fillId="8" borderId="8" xfId="1" applyFont="1" applyFill="1" applyBorder="1"/>
    <xf numFmtId="0" fontId="18" fillId="8" borderId="1" xfId="1" applyFont="1" applyFill="1" applyBorder="1" applyAlignment="1">
      <alignment horizontal="center"/>
    </xf>
    <xf numFmtId="0" fontId="26" fillId="6" borderId="3" xfId="0" applyFont="1" applyFill="1" applyBorder="1"/>
    <xf numFmtId="0" fontId="26" fillId="6" borderId="1" xfId="0" applyFont="1" applyFill="1" applyBorder="1"/>
    <xf numFmtId="1" fontId="3" fillId="0" borderId="0" xfId="0" applyNumberFormat="1" applyFont="1"/>
    <xf numFmtId="1" fontId="4" fillId="0" borderId="0" xfId="0" applyNumberFormat="1" applyFont="1" applyAlignment="1">
      <alignment wrapText="1"/>
    </xf>
    <xf numFmtId="1" fontId="5" fillId="0" borderId="0" xfId="0" applyNumberFormat="1" applyFont="1"/>
    <xf numFmtId="16" fontId="17" fillId="0" borderId="0" xfId="0" applyNumberFormat="1" applyFont="1" applyAlignment="1">
      <alignment horizontal="center" vertical="center"/>
    </xf>
  </cellXfs>
  <cellStyles count="4">
    <cellStyle name="Comma 2" xfId="3"/>
    <cellStyle name="Normal" xfId="0" builtinId="0"/>
    <cellStyle name="Normal 2" xfId="1"/>
    <cellStyle name="Percent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Four%20Seasons%20Hotel%20Singapore%202020\Energy%20Conservation\HLP%20Tracking%20-%20Jan%202016%20to%20Dec%2020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2016"/>
      <sheetName val="Feb 2016"/>
      <sheetName val="Mar 2016"/>
      <sheetName val="Apr 2016"/>
      <sheetName val="May 2016"/>
      <sheetName val="Jun 2016"/>
      <sheetName val="Jul 2016"/>
      <sheetName val="Aug 2016"/>
      <sheetName val="Sep 2016"/>
      <sheetName val="Oct 2016"/>
      <sheetName val="Nov 2016"/>
      <sheetName val="Dec 20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03">
          <cell r="AF103">
            <v>983840</v>
          </cell>
        </row>
        <row r="112">
          <cell r="AF112">
            <v>43067</v>
          </cell>
        </row>
        <row r="113">
          <cell r="AF113">
            <v>635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H1" sqref="H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2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122</v>
      </c>
      <c r="H1" s="3" t="s">
        <v>123</v>
      </c>
      <c r="I1" s="3" t="s">
        <v>6</v>
      </c>
      <c r="J1" s="3" t="s">
        <v>7</v>
      </c>
      <c r="K1" s="3" t="s">
        <v>8</v>
      </c>
      <c r="L1" s="3" t="s">
        <v>9</v>
      </c>
    </row>
    <row r="2" spans="1:12" x14ac:dyDescent="0.25">
      <c r="A2" t="s">
        <v>10</v>
      </c>
      <c r="B2">
        <v>1</v>
      </c>
      <c r="C2">
        <v>8</v>
      </c>
      <c r="D2">
        <v>2020</v>
      </c>
      <c r="E2" s="1">
        <f>Submetering!G2+Submetering!H2+Submetering!I2+Submetering!J2</f>
        <v>20464</v>
      </c>
      <c r="G2" s="1">
        <f>Submetering!AI2+Submetering!AJ2+Submetering!AK2+Submetering!AL2+Submetering!AM2+Submetering!AN2</f>
        <v>3027.375</v>
      </c>
      <c r="H2" s="12"/>
      <c r="I2" s="1">
        <f>Submetering!AO2+Submetering!AP2+Submetering!AR2+Submetering!AS2</f>
        <v>166</v>
      </c>
      <c r="K2" s="12">
        <f>Submetering!E2</f>
        <v>158.1</v>
      </c>
      <c r="L2">
        <f>Submetering!F2</f>
        <v>0</v>
      </c>
    </row>
    <row r="3" spans="1:12" x14ac:dyDescent="0.25">
      <c r="A3" t="s">
        <v>10</v>
      </c>
      <c r="B3">
        <f>B2+1</f>
        <v>2</v>
      </c>
      <c r="C3">
        <v>8</v>
      </c>
      <c r="D3">
        <v>2020</v>
      </c>
      <c r="E3" s="1">
        <f>Submetering!G3+Submetering!H3+Submetering!I3+Submetering!J3</f>
        <v>21508</v>
      </c>
      <c r="G3" s="1">
        <f>Submetering!AI3+Submetering!AJ3+Submetering!AK3+Submetering!AL3+Submetering!AM3+Submetering!AN3</f>
        <v>2794.5</v>
      </c>
      <c r="H3" s="12"/>
      <c r="I3" s="1">
        <f>Submetering!AO3+Submetering!AP3+Submetering!AR3+Submetering!AS3</f>
        <v>167</v>
      </c>
      <c r="K3" s="12">
        <f>Submetering!E3</f>
        <v>121.125</v>
      </c>
      <c r="L3">
        <f>Submetering!F3</f>
        <v>0</v>
      </c>
    </row>
    <row r="4" spans="1:12" x14ac:dyDescent="0.25">
      <c r="A4" t="s">
        <v>10</v>
      </c>
      <c r="B4">
        <f t="shared" ref="B4:B32" si="0">B3+1</f>
        <v>3</v>
      </c>
      <c r="C4">
        <v>8</v>
      </c>
      <c r="D4">
        <v>2020</v>
      </c>
      <c r="E4" s="1">
        <f>Submetering!G4+Submetering!H4+Submetering!I4+Submetering!J4</f>
        <v>21705</v>
      </c>
      <c r="G4" s="1">
        <f>Submetering!AI4+Submetering!AJ4+Submetering!AK4+Submetering!AL4+Submetering!AM4+Submetering!AN4</f>
        <v>1743.9749999999999</v>
      </c>
      <c r="H4" s="12"/>
      <c r="I4" s="1">
        <f>Submetering!AO4+Submetering!AP4+Submetering!AR4+Submetering!AS4</f>
        <v>157</v>
      </c>
      <c r="K4" s="12">
        <f>Submetering!E4</f>
        <v>121.125</v>
      </c>
      <c r="L4">
        <f>Submetering!F4</f>
        <v>0</v>
      </c>
    </row>
    <row r="5" spans="1:12" x14ac:dyDescent="0.25">
      <c r="A5" t="s">
        <v>10</v>
      </c>
      <c r="B5">
        <f t="shared" si="0"/>
        <v>4</v>
      </c>
      <c r="C5">
        <v>8</v>
      </c>
      <c r="D5">
        <v>2020</v>
      </c>
      <c r="E5" s="1">
        <f>Submetering!G5+Submetering!H5+Submetering!I5+Submetering!J5</f>
        <v>21268</v>
      </c>
      <c r="G5" s="1">
        <f>Submetering!AI5+Submetering!AJ5+Submetering!AK5+Submetering!AL5+Submetering!AM5+Submetering!AN5</f>
        <v>1883.6999999999998</v>
      </c>
      <c r="H5" s="12"/>
      <c r="I5" s="1">
        <f>Submetering!AO5+Submetering!AP5+Submetering!AR5+Submetering!AS5</f>
        <v>146</v>
      </c>
      <c r="K5" s="12">
        <f>Submetering!E5</f>
        <v>121.125</v>
      </c>
      <c r="L5">
        <f>Submetering!F5</f>
        <v>0</v>
      </c>
    </row>
    <row r="6" spans="1:12" x14ac:dyDescent="0.25">
      <c r="A6" t="s">
        <v>10</v>
      </c>
      <c r="B6">
        <f t="shared" si="0"/>
        <v>5</v>
      </c>
      <c r="C6">
        <v>8</v>
      </c>
      <c r="D6">
        <v>2020</v>
      </c>
      <c r="E6" s="1">
        <f>Submetering!G6+Submetering!H6+Submetering!I6+Submetering!J6</f>
        <v>21967</v>
      </c>
      <c r="G6" s="1">
        <f>Submetering!AI6+Submetering!AJ6+Submetering!AK6+Submetering!AL6+Submetering!AM6+Submetering!AN6</f>
        <v>3482.7749999999996</v>
      </c>
      <c r="H6" s="12"/>
      <c r="I6" s="1">
        <f>Submetering!AO6+Submetering!AP6+Submetering!AR6+Submetering!AS6</f>
        <v>184</v>
      </c>
      <c r="K6" s="12">
        <f>Submetering!E6</f>
        <v>118.83000000000001</v>
      </c>
      <c r="L6">
        <f>Submetering!F6</f>
        <v>0</v>
      </c>
    </row>
    <row r="7" spans="1:12" x14ac:dyDescent="0.25">
      <c r="A7" t="s">
        <v>10</v>
      </c>
      <c r="B7">
        <f t="shared" si="0"/>
        <v>6</v>
      </c>
      <c r="C7">
        <v>8</v>
      </c>
      <c r="D7">
        <v>2020</v>
      </c>
      <c r="E7" s="1">
        <f>Submetering!G7+Submetering!H7+Submetering!I7+Submetering!J7</f>
        <v>23217</v>
      </c>
      <c r="G7" s="1">
        <f>Submetering!AI7+Submetering!AJ7+Submetering!AK7+Submetering!AL7+Submetering!AM7+Submetering!AN7</f>
        <v>3115.3500000000004</v>
      </c>
      <c r="H7" s="12"/>
      <c r="I7" s="1">
        <f>Submetering!AO7+Submetering!AP7+Submetering!AR7+Submetering!AS7</f>
        <v>211</v>
      </c>
      <c r="K7" s="12">
        <f>Submetering!E7</f>
        <v>128.01</v>
      </c>
      <c r="L7">
        <f>Submetering!F7</f>
        <v>0</v>
      </c>
    </row>
    <row r="8" spans="1:12" x14ac:dyDescent="0.25">
      <c r="A8" t="s">
        <v>10</v>
      </c>
      <c r="B8">
        <f t="shared" si="0"/>
        <v>7</v>
      </c>
      <c r="C8">
        <v>8</v>
      </c>
      <c r="D8">
        <v>2020</v>
      </c>
      <c r="E8" s="1">
        <f>Submetering!G8+Submetering!H8+Submetering!I8+Submetering!J8</f>
        <v>23781</v>
      </c>
      <c r="F8" s="13"/>
      <c r="G8" s="1">
        <f>Submetering!AI8+Submetering!AJ8+Submetering!AK8+Submetering!AL8+Submetering!AM8+Submetering!AN8</f>
        <v>3275.7749999999996</v>
      </c>
      <c r="H8" s="12"/>
      <c r="I8" s="1">
        <f>Submetering!AO8+Submetering!AP8+Submetering!AR8+Submetering!AS8</f>
        <v>196</v>
      </c>
      <c r="J8" s="13"/>
      <c r="K8" s="14">
        <f>Submetering!E8</f>
        <v>132.09</v>
      </c>
      <c r="L8">
        <f>Submetering!F8</f>
        <v>0</v>
      </c>
    </row>
    <row r="9" spans="1:12" x14ac:dyDescent="0.25">
      <c r="A9" t="s">
        <v>10</v>
      </c>
      <c r="B9">
        <f t="shared" si="0"/>
        <v>8</v>
      </c>
      <c r="C9">
        <v>8</v>
      </c>
      <c r="D9">
        <v>2020</v>
      </c>
      <c r="E9" s="1">
        <f>Submetering!G9+Submetering!H9+Submetering!I9+Submetering!J9</f>
        <v>23968</v>
      </c>
      <c r="G9" s="1">
        <f>Submetering!AI9+Submetering!AJ9+Submetering!AK9+Submetering!AL9+Submetering!AM9+Submetering!AN9</f>
        <v>3529.35</v>
      </c>
      <c r="H9" s="12"/>
      <c r="I9" s="1">
        <f>Submetering!AO9+Submetering!AP9+Submetering!AR9+Submetering!AS9</f>
        <v>221</v>
      </c>
      <c r="K9" s="12">
        <f>Submetering!E9</f>
        <v>154.01999999999998</v>
      </c>
      <c r="L9">
        <f>Submetering!F9</f>
        <v>0</v>
      </c>
    </row>
    <row r="10" spans="1:12" x14ac:dyDescent="0.25">
      <c r="A10" t="s">
        <v>10</v>
      </c>
      <c r="B10">
        <f t="shared" si="0"/>
        <v>9</v>
      </c>
      <c r="C10">
        <v>8</v>
      </c>
      <c r="D10">
        <v>2020</v>
      </c>
      <c r="E10" s="1">
        <f>Submetering!G10+Submetering!H10+Submetering!I10+Submetering!J10</f>
        <v>24416</v>
      </c>
      <c r="G10" s="1">
        <f>Submetering!AI10+Submetering!AJ10+Submetering!AK10+Submetering!AL10+Submetering!AM10+Submetering!AN10</f>
        <v>3301.6499999999996</v>
      </c>
      <c r="H10" s="12"/>
      <c r="I10" s="1">
        <f>Submetering!AO10+Submetering!AP10+Submetering!AR10+Submetering!AS10</f>
        <v>217</v>
      </c>
      <c r="K10" s="12">
        <f>Submetering!E10</f>
        <v>172.89000000000001</v>
      </c>
      <c r="L10">
        <f>Submetering!F10</f>
        <v>0</v>
      </c>
    </row>
    <row r="11" spans="1:12" x14ac:dyDescent="0.25">
      <c r="A11" t="s">
        <v>10</v>
      </c>
      <c r="B11">
        <f t="shared" si="0"/>
        <v>10</v>
      </c>
      <c r="C11">
        <v>8</v>
      </c>
      <c r="D11">
        <v>2020</v>
      </c>
      <c r="E11" s="1">
        <f>Submetering!G11+Submetering!H11+Submetering!I11+Submetering!J11</f>
        <v>21908</v>
      </c>
      <c r="G11" s="1">
        <f>Submetering!AI11+Submetering!AJ11+Submetering!AK11+Submetering!AL11+Submetering!AM11+Submetering!AN11</f>
        <v>2292.5250000000001</v>
      </c>
      <c r="H11" s="12"/>
      <c r="I11" s="1">
        <f>Submetering!AO11+Submetering!AP11+Submetering!AR11+Submetering!AS11</f>
        <v>210</v>
      </c>
      <c r="K11" s="12">
        <f>Submetering!E11</f>
        <v>125.97</v>
      </c>
      <c r="L11">
        <f>Submetering!F11</f>
        <v>0</v>
      </c>
    </row>
    <row r="12" spans="1:12" x14ac:dyDescent="0.25">
      <c r="A12" t="s">
        <v>10</v>
      </c>
      <c r="B12">
        <f t="shared" si="0"/>
        <v>11</v>
      </c>
      <c r="C12">
        <v>8</v>
      </c>
      <c r="D12">
        <v>2020</v>
      </c>
      <c r="E12" s="1">
        <f>Submetering!G12+Submetering!H12+Submetering!I12+Submetering!J12</f>
        <v>23111</v>
      </c>
      <c r="G12" s="1">
        <f>Submetering!AI12+Submetering!AJ12+Submetering!AK12+Submetering!AL12+Submetering!AM12+Submetering!AN12</f>
        <v>2292.5250000000001</v>
      </c>
      <c r="H12" s="12"/>
      <c r="I12" s="1">
        <f>Submetering!AO12+Submetering!AP12+Submetering!AR12+Submetering!AS12</f>
        <v>188</v>
      </c>
      <c r="K12" s="12">
        <f>Submetering!E12</f>
        <v>121.125</v>
      </c>
      <c r="L12">
        <f>Submetering!F12</f>
        <v>0</v>
      </c>
    </row>
    <row r="13" spans="1:12" x14ac:dyDescent="0.25">
      <c r="A13" t="s">
        <v>10</v>
      </c>
      <c r="B13">
        <f t="shared" si="0"/>
        <v>12</v>
      </c>
      <c r="C13">
        <v>8</v>
      </c>
      <c r="D13">
        <v>2020</v>
      </c>
      <c r="E13" s="1">
        <f>Submetering!G13+Submetering!H13+Submetering!I13+Submetering!J13</f>
        <v>22791</v>
      </c>
      <c r="G13" s="1">
        <f>Submetering!AI13+Submetering!AJ13+Submetering!AK13+Submetering!AL13+Submetering!AM13+Submetering!AN13</f>
        <v>3834.6750000000002</v>
      </c>
      <c r="H13" s="12"/>
      <c r="I13" s="1">
        <f>Submetering!AO13+Submetering!AP13+Submetering!AR13+Submetering!AS13</f>
        <v>199</v>
      </c>
      <c r="K13" s="12">
        <f>Submetering!E13</f>
        <v>123.92999999999999</v>
      </c>
      <c r="L13">
        <f>Submetering!F13</f>
        <v>0</v>
      </c>
    </row>
    <row r="14" spans="1:12" x14ac:dyDescent="0.25">
      <c r="A14" t="s">
        <v>10</v>
      </c>
      <c r="B14">
        <f t="shared" si="0"/>
        <v>13</v>
      </c>
      <c r="C14">
        <v>8</v>
      </c>
      <c r="D14">
        <v>2020</v>
      </c>
      <c r="E14" s="1">
        <f>Submetering!G14+Submetering!H14+Submetering!I14+Submetering!J14</f>
        <v>24684</v>
      </c>
      <c r="G14" s="1">
        <f>Submetering!AI14+Submetering!AJ14+Submetering!AK14+Submetering!AL14+Submetering!AM14+Submetering!AN14</f>
        <v>3627.6749999999993</v>
      </c>
      <c r="H14" s="12"/>
      <c r="I14" s="1">
        <f>Submetering!AO14+Submetering!AP14+Submetering!AR14+Submetering!AS14</f>
        <v>188</v>
      </c>
      <c r="K14" s="12">
        <f>Submetering!E14</f>
        <v>124.95</v>
      </c>
      <c r="L14">
        <f>Submetering!F14</f>
        <v>0</v>
      </c>
    </row>
    <row r="15" spans="1:12" x14ac:dyDescent="0.25">
      <c r="A15" t="s">
        <v>10</v>
      </c>
      <c r="B15">
        <f t="shared" si="0"/>
        <v>14</v>
      </c>
      <c r="C15">
        <v>8</v>
      </c>
      <c r="D15">
        <v>2020</v>
      </c>
      <c r="E15" s="1">
        <f>Submetering!G15+Submetering!H15+Submetering!I15+Submetering!J15</f>
        <v>22513</v>
      </c>
      <c r="G15" s="1">
        <f>Submetering!AI15+Submetering!AJ15+Submetering!AK15+Submetering!AL15+Submetering!AM15+Submetering!AN15</f>
        <v>3539.7000000000003</v>
      </c>
      <c r="H15" s="12"/>
      <c r="I15" s="1">
        <f>Submetering!AO15+Submetering!AP15+Submetering!AR15+Submetering!AS15</f>
        <v>186</v>
      </c>
      <c r="K15" s="12">
        <f>Submetering!E15</f>
        <v>133.11000000000001</v>
      </c>
      <c r="L15">
        <f>Submetering!F15</f>
        <v>0</v>
      </c>
    </row>
    <row r="16" spans="1:12" x14ac:dyDescent="0.25">
      <c r="A16" t="s">
        <v>10</v>
      </c>
      <c r="B16">
        <f t="shared" si="0"/>
        <v>15</v>
      </c>
      <c r="C16">
        <v>8</v>
      </c>
      <c r="D16">
        <v>2020</v>
      </c>
      <c r="E16" s="1">
        <f>Submetering!G16+Submetering!H16+Submetering!I16+Submetering!J16</f>
        <v>23215</v>
      </c>
      <c r="G16" s="1">
        <f>Submetering!AI16+Submetering!AJ16+Submetering!AK16+Submetering!AL16+Submetering!AM16+Submetering!AN16</f>
        <v>3565.5750000000003</v>
      </c>
      <c r="H16" s="12"/>
      <c r="I16" s="1">
        <f>Submetering!AO16+Submetering!AP16+Submetering!AR16+Submetering!AS16</f>
        <v>193</v>
      </c>
      <c r="K16" s="12">
        <f>Submetering!E16</f>
        <v>138.97500000000002</v>
      </c>
      <c r="L16">
        <f>Submetering!F16</f>
        <v>0</v>
      </c>
    </row>
    <row r="17" spans="1:12" x14ac:dyDescent="0.25">
      <c r="A17" t="s">
        <v>10</v>
      </c>
      <c r="B17">
        <f t="shared" si="0"/>
        <v>16</v>
      </c>
      <c r="C17">
        <v>8</v>
      </c>
      <c r="D17">
        <v>2020</v>
      </c>
      <c r="E17" s="1">
        <f>Submetering!G17+Submetering!H17+Submetering!I17+Submetering!J17</f>
        <v>22726</v>
      </c>
      <c r="G17" s="1">
        <f>Submetering!AI17+Submetering!AJ17+Submetering!AK17+Submetering!AL17+Submetering!AM17+Submetering!AN17</f>
        <v>3177.45</v>
      </c>
      <c r="H17" s="12"/>
      <c r="I17" s="1">
        <f>Submetering!AO17+Submetering!AP17+Submetering!AR17+Submetering!AS17</f>
        <v>185</v>
      </c>
      <c r="K17" s="12">
        <f>Submetering!E17</f>
        <v>120.10499999999999</v>
      </c>
      <c r="L17">
        <f>Submetering!F17</f>
        <v>0</v>
      </c>
    </row>
    <row r="18" spans="1:12" x14ac:dyDescent="0.25">
      <c r="A18" t="s">
        <v>10</v>
      </c>
      <c r="B18">
        <f t="shared" si="0"/>
        <v>17</v>
      </c>
      <c r="C18">
        <v>8</v>
      </c>
      <c r="D18">
        <v>2020</v>
      </c>
      <c r="E18" s="1">
        <f>Submetering!G18+Submetering!H18+Submetering!I18+Submetering!J18</f>
        <v>21220</v>
      </c>
      <c r="G18" s="1">
        <f>Submetering!AI18+Submetering!AJ18+Submetering!AK18+Submetering!AL18+Submetering!AM18+Submetering!AN18</f>
        <v>2137.2749999999996</v>
      </c>
      <c r="H18" s="12"/>
      <c r="I18" s="1">
        <f>Submetering!AO18+Submetering!AP18+Submetering!AR18+Submetering!AS18</f>
        <v>148</v>
      </c>
      <c r="K18" s="12">
        <f>Submetering!E18</f>
        <v>119.08500000000001</v>
      </c>
      <c r="L18">
        <f>Submetering!F18</f>
        <v>0</v>
      </c>
    </row>
    <row r="19" spans="1:12" x14ac:dyDescent="0.25">
      <c r="A19" t="s">
        <v>10</v>
      </c>
      <c r="B19">
        <f t="shared" si="0"/>
        <v>18</v>
      </c>
      <c r="C19">
        <v>8</v>
      </c>
      <c r="D19">
        <v>2020</v>
      </c>
      <c r="E19" s="1">
        <f>Submetering!G19+Submetering!H19+Submetering!I19+Submetering!J19</f>
        <v>21500</v>
      </c>
      <c r="G19" s="1">
        <f>Submetering!AI19+Submetering!AJ19+Submetering!AK19+Submetering!AL19+Submetering!AM19+Submetering!AN19</f>
        <v>2225.25</v>
      </c>
      <c r="H19" s="12"/>
      <c r="I19" s="1">
        <f>Submetering!AO19+Submetering!AP19+Submetering!AR19+Submetering!AS19</f>
        <v>145</v>
      </c>
      <c r="K19" s="12">
        <f>Submetering!E19</f>
        <v>118.06500000000001</v>
      </c>
      <c r="L19">
        <f>Submetering!F19</f>
        <v>0</v>
      </c>
    </row>
    <row r="20" spans="1:12" x14ac:dyDescent="0.25">
      <c r="A20" t="s">
        <v>10</v>
      </c>
      <c r="B20">
        <f t="shared" si="0"/>
        <v>19</v>
      </c>
      <c r="C20">
        <v>8</v>
      </c>
      <c r="D20">
        <v>2020</v>
      </c>
      <c r="E20" s="1">
        <f>Submetering!G20+Submetering!H20+Submetering!I20+Submetering!J20</f>
        <v>22324</v>
      </c>
      <c r="G20" s="1">
        <f>Submetering!AI20+Submetering!AJ20+Submetering!AK20+Submetering!AL20+Submetering!AM20+Submetering!AN20</f>
        <v>3606.9749999999999</v>
      </c>
      <c r="H20" s="12"/>
      <c r="I20" s="1">
        <f>Submetering!AO20+Submetering!AP20+Submetering!AR20+Submetering!AS20</f>
        <v>161</v>
      </c>
      <c r="K20" s="12">
        <f>Submetering!E20</f>
        <v>121.125</v>
      </c>
      <c r="L20">
        <f>Submetering!F20</f>
        <v>0</v>
      </c>
    </row>
    <row r="21" spans="1:12" x14ac:dyDescent="0.25">
      <c r="A21" t="s">
        <v>10</v>
      </c>
      <c r="B21">
        <f t="shared" si="0"/>
        <v>20</v>
      </c>
      <c r="C21">
        <v>8</v>
      </c>
      <c r="D21">
        <v>2020</v>
      </c>
      <c r="E21" s="1">
        <f>Submetering!G21+Submetering!H21+Submetering!I21+Submetering!J21</f>
        <v>22436</v>
      </c>
      <c r="G21" s="1">
        <f>Submetering!AI21+Submetering!AJ21+Submetering!AK21+Submetering!AL21+Submetering!AM21+Submetering!AN21</f>
        <v>3249.8999999999996</v>
      </c>
      <c r="H21" s="12"/>
      <c r="I21" s="1">
        <f>Submetering!AO21+Submetering!AP21+Submetering!AR21+Submetering!AS21</f>
        <v>171</v>
      </c>
      <c r="K21" s="12">
        <f>Submetering!E21</f>
        <v>128.01</v>
      </c>
      <c r="L21">
        <f>Submetering!F21</f>
        <v>0</v>
      </c>
    </row>
    <row r="22" spans="1:12" x14ac:dyDescent="0.25">
      <c r="A22" t="s">
        <v>10</v>
      </c>
      <c r="B22">
        <f t="shared" si="0"/>
        <v>21</v>
      </c>
      <c r="C22">
        <v>8</v>
      </c>
      <c r="D22">
        <v>2020</v>
      </c>
      <c r="E22" s="1">
        <f>Submetering!G22+Submetering!H22+Submetering!I22+Submetering!J22</f>
        <v>22174</v>
      </c>
      <c r="G22" s="1">
        <f>Submetering!AI22+Submetering!AJ22+Submetering!AK22+Submetering!AL22+Submetering!AM22+Submetering!AN22</f>
        <v>3317.1749999999993</v>
      </c>
      <c r="H22" s="12"/>
      <c r="I22" s="1">
        <f>Submetering!AO22+Submetering!AP22+Submetering!AR22+Submetering!AS22</f>
        <v>221</v>
      </c>
      <c r="K22" s="12">
        <f>Submetering!E22</f>
        <v>142.03500000000003</v>
      </c>
      <c r="L22">
        <f>Submetering!F22</f>
        <v>0</v>
      </c>
    </row>
    <row r="23" spans="1:12" x14ac:dyDescent="0.25">
      <c r="A23" t="s">
        <v>10</v>
      </c>
      <c r="B23">
        <f t="shared" si="0"/>
        <v>22</v>
      </c>
      <c r="C23">
        <v>8</v>
      </c>
      <c r="D23">
        <v>2020</v>
      </c>
      <c r="E23" s="1">
        <f>Submetering!G23+Submetering!H23+Submetering!I23+Submetering!J23</f>
        <v>23714</v>
      </c>
      <c r="G23" s="1">
        <f>Submetering!AI23+Submetering!AJ23+Submetering!AK23+Submetering!AL23+Submetering!AM23+Submetering!AN23</f>
        <v>3477.6000000000004</v>
      </c>
      <c r="H23" s="12"/>
      <c r="I23" s="1">
        <f>Submetering!AO23+Submetering!AP23+Submetering!AR23+Submetering!AS23</f>
        <v>225</v>
      </c>
      <c r="K23" s="12">
        <f>Submetering!E23</f>
        <v>161.92500000000001</v>
      </c>
      <c r="L23">
        <f>Submetering!F23</f>
        <v>0</v>
      </c>
    </row>
    <row r="24" spans="1:12" x14ac:dyDescent="0.25">
      <c r="A24" t="s">
        <v>10</v>
      </c>
      <c r="B24">
        <f t="shared" si="0"/>
        <v>23</v>
      </c>
      <c r="C24">
        <v>8</v>
      </c>
      <c r="D24">
        <v>2020</v>
      </c>
      <c r="E24" s="1">
        <f>Submetering!G24+Submetering!H24+Submetering!I24+Submetering!J24</f>
        <v>21782</v>
      </c>
      <c r="G24" s="1">
        <f>Submetering!AI24+Submetering!AJ24+Submetering!AK24+Submetering!AL24+Submetering!AM24+Submetering!AN24</f>
        <v>3239.5499999999997</v>
      </c>
      <c r="H24" s="12"/>
      <c r="I24" s="1">
        <f>Submetering!AO24+Submetering!AP24+Submetering!AR24+Submetering!AS24</f>
        <v>187</v>
      </c>
      <c r="K24" s="12">
        <f>Submetering!E24</f>
        <v>129.03</v>
      </c>
      <c r="L24">
        <f>Submetering!F24</f>
        <v>0</v>
      </c>
    </row>
    <row r="25" spans="1:12" x14ac:dyDescent="0.25">
      <c r="A25" t="s">
        <v>10</v>
      </c>
      <c r="B25">
        <f t="shared" si="0"/>
        <v>24</v>
      </c>
      <c r="C25">
        <v>8</v>
      </c>
      <c r="D25">
        <v>2020</v>
      </c>
      <c r="E25" s="1">
        <f>Submetering!G25+Submetering!H25+Submetering!I25+Submetering!J25</f>
        <v>21743</v>
      </c>
      <c r="G25" s="1">
        <f>Submetering!AI25+Submetering!AJ25+Submetering!AK25+Submetering!AL25+Submetering!AM25+Submetering!AN25</f>
        <v>2478.8249999999998</v>
      </c>
      <c r="H25" s="12"/>
      <c r="I25" s="1">
        <f>Submetering!AO25+Submetering!AP25+Submetering!AR25+Submetering!AS25</f>
        <v>189</v>
      </c>
      <c r="K25" s="12">
        <f>Submetering!E25</f>
        <v>124.95</v>
      </c>
      <c r="L25">
        <f>Submetering!F25</f>
        <v>0</v>
      </c>
    </row>
    <row r="26" spans="1:12" x14ac:dyDescent="0.25">
      <c r="A26" t="s">
        <v>10</v>
      </c>
      <c r="B26">
        <f>B25+1</f>
        <v>25</v>
      </c>
      <c r="C26">
        <v>8</v>
      </c>
      <c r="D26">
        <v>2020</v>
      </c>
      <c r="E26" s="1">
        <f>Submetering!G26+Submetering!H26+Submetering!I26+Submetering!J26</f>
        <v>21293</v>
      </c>
      <c r="G26" s="1">
        <f>Submetering!AI26+Submetering!AJ26+Submetering!AK26+Submetering!AL26+Submetering!AM26+Submetering!AN26</f>
        <v>2354.625</v>
      </c>
      <c r="H26" s="12"/>
      <c r="I26" s="1">
        <f>Submetering!AO26+Submetering!AP26+Submetering!AR26+Submetering!AS26</f>
        <v>180</v>
      </c>
      <c r="K26" s="12">
        <f>Submetering!E26</f>
        <v>128.01</v>
      </c>
      <c r="L26">
        <f>Submetering!F26</f>
        <v>0</v>
      </c>
    </row>
    <row r="27" spans="1:12" x14ac:dyDescent="0.25">
      <c r="A27" t="s">
        <v>10</v>
      </c>
      <c r="B27">
        <f t="shared" si="0"/>
        <v>26</v>
      </c>
      <c r="C27">
        <v>8</v>
      </c>
      <c r="D27">
        <v>2020</v>
      </c>
      <c r="E27" s="1">
        <f>Submetering!G27+Submetering!H27+Submetering!I27+Submetering!J27</f>
        <v>22609</v>
      </c>
      <c r="G27" s="1">
        <f>Submetering!AI27+Submetering!AJ27+Submetering!AK27+Submetering!AL27+Submetering!AM27+Submetering!AN27</f>
        <v>3912.2999999999993</v>
      </c>
      <c r="H27" s="12"/>
      <c r="I27" s="1">
        <f>Submetering!AO27+Submetering!AP27+Submetering!AR27+Submetering!AS27</f>
        <v>214</v>
      </c>
      <c r="K27" s="12">
        <f>Submetering!E27</f>
        <v>128.01</v>
      </c>
      <c r="L27">
        <f>Submetering!F27</f>
        <v>0</v>
      </c>
    </row>
    <row r="28" spans="1:12" x14ac:dyDescent="0.25">
      <c r="A28" t="s">
        <v>10</v>
      </c>
      <c r="B28">
        <f t="shared" si="0"/>
        <v>27</v>
      </c>
      <c r="C28">
        <v>8</v>
      </c>
      <c r="D28">
        <v>2020</v>
      </c>
      <c r="E28" s="1">
        <f>Submetering!G28+Submetering!H28+Submetering!I28+Submetering!J28</f>
        <v>22801</v>
      </c>
      <c r="G28" s="1">
        <f>Submetering!AI28+Submetering!AJ28+Submetering!AK28+Submetering!AL28+Submetering!AM28+Submetering!AN28</f>
        <v>4098.6000000000004</v>
      </c>
      <c r="H28" s="12"/>
      <c r="I28" s="1">
        <f>Submetering!AO28+Submetering!AP28+Submetering!AR28+Submetering!AS28</f>
        <v>277</v>
      </c>
      <c r="K28" s="12">
        <f>Submetering!E28</f>
        <v>131.07</v>
      </c>
      <c r="L28">
        <f>Submetering!F28</f>
        <v>0</v>
      </c>
    </row>
    <row r="29" spans="1:12" x14ac:dyDescent="0.25">
      <c r="A29" t="s">
        <v>10</v>
      </c>
      <c r="B29">
        <f t="shared" si="0"/>
        <v>28</v>
      </c>
      <c r="C29">
        <v>8</v>
      </c>
      <c r="D29">
        <v>2020</v>
      </c>
      <c r="E29" s="1">
        <f>Submetering!G29+Submetering!H29+Submetering!I29+Submetering!J29</f>
        <v>22917</v>
      </c>
      <c r="G29" s="1">
        <f>Submetering!AI29+Submetering!AJ29+Submetering!AK29+Submetering!AL29+Submetering!AM29+Submetering!AN29</f>
        <v>3358.5750000000003</v>
      </c>
      <c r="H29" s="12"/>
      <c r="I29" s="1">
        <f>Submetering!AO29+Submetering!AP29+Submetering!AR29+Submetering!AS29</f>
        <v>193</v>
      </c>
      <c r="K29" s="12">
        <f>Submetering!E29</f>
        <v>141.01500000000001</v>
      </c>
      <c r="L29">
        <f>Submetering!F29</f>
        <v>0</v>
      </c>
    </row>
    <row r="30" spans="1:12" x14ac:dyDescent="0.25">
      <c r="A30" t="s">
        <v>10</v>
      </c>
      <c r="B30">
        <f t="shared" si="0"/>
        <v>29</v>
      </c>
      <c r="C30">
        <v>8</v>
      </c>
      <c r="D30">
        <v>2020</v>
      </c>
      <c r="E30" s="1">
        <f>Submetering!G30+Submetering!H30+Submetering!I30+Submetering!J30</f>
        <v>25091</v>
      </c>
      <c r="G30" s="1">
        <f>Submetering!AI30+Submetering!AJ30+Submetering!AK30+Submetering!AL30+Submetering!AM30+Submetering!AN30</f>
        <v>3855.375</v>
      </c>
      <c r="H30" s="12"/>
      <c r="I30" s="1">
        <f>Submetering!AO30+Submetering!AP30+Submetering!AR30+Submetering!AS30</f>
        <v>222</v>
      </c>
      <c r="K30" s="12">
        <f>Submetering!E30</f>
        <v>157.07999999999998</v>
      </c>
      <c r="L30">
        <f>Submetering!F30</f>
        <v>0</v>
      </c>
    </row>
    <row r="31" spans="1:12" x14ac:dyDescent="0.25">
      <c r="A31" t="s">
        <v>10</v>
      </c>
      <c r="B31">
        <f t="shared" si="0"/>
        <v>30</v>
      </c>
      <c r="C31">
        <v>8</v>
      </c>
      <c r="D31">
        <v>2020</v>
      </c>
      <c r="E31" s="1">
        <f>Submetering!G31+Submetering!H31+Submetering!I31+Submetering!J31</f>
        <v>23331</v>
      </c>
      <c r="G31" s="1">
        <f>Submetering!AI31+Submetering!AJ31+Submetering!AK31+Submetering!AL31+Submetering!AM31+Submetering!AN31</f>
        <v>3441.3749999999995</v>
      </c>
      <c r="H31" s="12"/>
      <c r="I31" s="1">
        <f>Submetering!AO31+Submetering!AP31+Submetering!AR31+Submetering!AS31</f>
        <v>188</v>
      </c>
      <c r="K31" s="12">
        <f>Submetering!E31</f>
        <v>122.91</v>
      </c>
      <c r="L31">
        <f>Submetering!F31</f>
        <v>0</v>
      </c>
    </row>
    <row r="32" spans="1:12" x14ac:dyDescent="0.25">
      <c r="A32" t="s">
        <v>10</v>
      </c>
      <c r="B32">
        <f t="shared" si="0"/>
        <v>31</v>
      </c>
      <c r="C32">
        <v>8</v>
      </c>
      <c r="D32">
        <v>2020</v>
      </c>
      <c r="E32" s="1">
        <f>Submetering!G32+Submetering!H32+Submetering!I32+Submetering!J32</f>
        <v>21761</v>
      </c>
      <c r="G32" s="1">
        <f>Submetering!AI32+Submetering!AJ32+Submetering!AK32+Submetering!AL32+Submetering!AM32+Submetering!AN32</f>
        <v>1345.4999999999998</v>
      </c>
      <c r="H32" s="12"/>
      <c r="I32" s="1">
        <f>Submetering!AO32+Submetering!AP32+Submetering!AR32+Submetering!AS32</f>
        <v>198</v>
      </c>
      <c r="K32" s="12">
        <f>Submetering!E32</f>
        <v>120.10499999999999</v>
      </c>
      <c r="L32">
        <f>Submetering!F32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35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I21" sqref="AI21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"/>
    <col min="7" max="7" width="12.5703125" style="1" customWidth="1"/>
    <col min="8" max="8" width="15.5703125" style="1" customWidth="1"/>
    <col min="9" max="9" width="12.5703125" style="1" customWidth="1"/>
    <col min="10" max="10" width="16.140625" style="1" customWidth="1"/>
    <col min="11" max="28" width="12.5703125" style="1" customWidth="1"/>
    <col min="29" max="32" width="11.5703125" style="1" customWidth="1"/>
    <col min="33" max="34" width="11.5703125" style="11" customWidth="1"/>
    <col min="35" max="35" width="12.85546875" style="11" customWidth="1"/>
    <col min="36" max="37" width="13.42578125" style="11" customWidth="1"/>
    <col min="38" max="38" width="12.85546875" style="11" customWidth="1"/>
    <col min="39" max="39" width="13.28515625" style="11" customWidth="1"/>
    <col min="40" max="40" width="13" style="9" customWidth="1"/>
    <col min="41" max="46" width="11.5703125" style="9" customWidth="1"/>
  </cols>
  <sheetData>
    <row r="1" spans="1:48" s="2" customFormat="1" ht="60" x14ac:dyDescent="0.25">
      <c r="A1" s="2" t="s">
        <v>0</v>
      </c>
      <c r="B1" s="2" t="s">
        <v>1</v>
      </c>
      <c r="C1" s="2" t="s">
        <v>2</v>
      </c>
      <c r="D1" s="2" t="s">
        <v>3</v>
      </c>
      <c r="E1" s="5" t="s">
        <v>8</v>
      </c>
      <c r="F1" s="5" t="s">
        <v>9</v>
      </c>
      <c r="G1" s="4" t="s">
        <v>83</v>
      </c>
      <c r="H1" s="4" t="s">
        <v>84</v>
      </c>
      <c r="I1" s="4" t="s">
        <v>85</v>
      </c>
      <c r="J1" s="4" t="s">
        <v>86</v>
      </c>
      <c r="K1" s="4" t="s">
        <v>87</v>
      </c>
      <c r="L1" s="4" t="s">
        <v>88</v>
      </c>
      <c r="M1" s="10" t="s">
        <v>93</v>
      </c>
      <c r="N1" s="4" t="s">
        <v>89</v>
      </c>
      <c r="O1" s="4" t="s">
        <v>90</v>
      </c>
      <c r="P1" s="4" t="s">
        <v>91</v>
      </c>
      <c r="Q1" s="4" t="s">
        <v>92</v>
      </c>
      <c r="R1" s="10" t="s">
        <v>109</v>
      </c>
      <c r="S1" s="4" t="s">
        <v>94</v>
      </c>
      <c r="T1" s="4" t="s">
        <v>95</v>
      </c>
      <c r="U1" s="4" t="s">
        <v>96</v>
      </c>
      <c r="V1" s="4" t="s">
        <v>97</v>
      </c>
      <c r="W1" s="10" t="s">
        <v>110</v>
      </c>
      <c r="X1" s="4" t="s">
        <v>98</v>
      </c>
      <c r="Y1" s="4" t="s">
        <v>99</v>
      </c>
      <c r="Z1" s="4" t="s">
        <v>100</v>
      </c>
      <c r="AA1" s="4" t="s">
        <v>101</v>
      </c>
      <c r="AB1" s="10" t="s">
        <v>111</v>
      </c>
      <c r="AC1" s="10" t="s">
        <v>93</v>
      </c>
      <c r="AD1" s="4" t="s">
        <v>102</v>
      </c>
      <c r="AE1" s="4" t="s">
        <v>103</v>
      </c>
      <c r="AF1" s="4" t="s">
        <v>104</v>
      </c>
      <c r="AG1" s="4" t="s">
        <v>105</v>
      </c>
      <c r="AH1" s="10" t="s">
        <v>106</v>
      </c>
      <c r="AI1" s="189" t="s">
        <v>112</v>
      </c>
      <c r="AJ1" s="189" t="s">
        <v>113</v>
      </c>
      <c r="AK1" s="189" t="s">
        <v>114</v>
      </c>
      <c r="AL1" s="189" t="s">
        <v>115</v>
      </c>
      <c r="AM1" s="189" t="s">
        <v>116</v>
      </c>
      <c r="AN1" s="189" t="s">
        <v>117</v>
      </c>
      <c r="AO1" s="8" t="s">
        <v>120</v>
      </c>
      <c r="AP1" s="8" t="s">
        <v>121</v>
      </c>
      <c r="AQ1" s="10" t="s">
        <v>107</v>
      </c>
      <c r="AR1" s="8" t="s">
        <v>119</v>
      </c>
      <c r="AS1" s="8" t="s">
        <v>118</v>
      </c>
      <c r="AT1" s="10" t="s">
        <v>108</v>
      </c>
    </row>
    <row r="2" spans="1:48" x14ac:dyDescent="0.25">
      <c r="A2" t="s">
        <v>10</v>
      </c>
      <c r="B2">
        <v>1</v>
      </c>
      <c r="C2">
        <v>8</v>
      </c>
      <c r="D2">
        <v>2020</v>
      </c>
      <c r="E2" s="6">
        <f>Sheet1!E8*255</f>
        <v>158.1</v>
      </c>
      <c r="F2" s="7">
        <v>0</v>
      </c>
      <c r="G2" s="188">
        <f>Sheet1!E$24</f>
        <v>2368</v>
      </c>
      <c r="H2" s="188">
        <f>Sheet1!E$25</f>
        <v>1152</v>
      </c>
      <c r="I2" s="188">
        <f>Sheet1!E$27</f>
        <v>12314</v>
      </c>
      <c r="J2" s="188">
        <f>Sheet1!E$28</f>
        <v>4630</v>
      </c>
      <c r="K2" s="188">
        <f>Sheet1!E$57</f>
        <v>0</v>
      </c>
      <c r="L2" s="188">
        <f>Sheet1!E$58</f>
        <v>503</v>
      </c>
      <c r="M2" s="11">
        <f>K2+L2</f>
        <v>503</v>
      </c>
      <c r="N2" s="188">
        <f>Sheet1!E$61</f>
        <v>0</v>
      </c>
      <c r="O2" s="188">
        <f>Sheet1!E$62</f>
        <v>0</v>
      </c>
      <c r="P2" s="188">
        <f>Sheet1!E$63</f>
        <v>2200</v>
      </c>
      <c r="Q2" s="188">
        <f>Sheet1!E$64</f>
        <v>2450</v>
      </c>
      <c r="R2" s="11">
        <f>N2+O2+P2+Q2</f>
        <v>4650</v>
      </c>
      <c r="S2" s="188">
        <f>Sheet1!E$67</f>
        <v>0</v>
      </c>
      <c r="T2" s="188">
        <f>Sheet1!E$68</f>
        <v>0</v>
      </c>
      <c r="U2" s="188">
        <f>Sheet1!E$69</f>
        <v>152</v>
      </c>
      <c r="V2" s="188">
        <f>Sheet1!E$70</f>
        <v>192</v>
      </c>
      <c r="W2" s="11">
        <f>SUM(S2:V2)</f>
        <v>344</v>
      </c>
      <c r="X2" s="188">
        <f>Sheet1!E$73</f>
        <v>0</v>
      </c>
      <c r="Y2" s="188">
        <f>Sheet1!E$74</f>
        <v>0</v>
      </c>
      <c r="Z2" s="188">
        <f>Sheet1!E$75</f>
        <v>103</v>
      </c>
      <c r="AA2" s="188">
        <f>Sheet1!E$76</f>
        <v>139</v>
      </c>
      <c r="AB2" s="11">
        <f>SUM(X2:AA2)</f>
        <v>242</v>
      </c>
      <c r="AC2" s="11">
        <f>AB2+W2+R2</f>
        <v>5236</v>
      </c>
      <c r="AD2" s="188">
        <f>Sheet1!E$81</f>
        <v>140</v>
      </c>
      <c r="AE2" s="188">
        <f>Sheet1!E$82</f>
        <v>0</v>
      </c>
      <c r="AF2" s="188">
        <f>Sheet1!E$83</f>
        <v>266</v>
      </c>
      <c r="AG2" s="188">
        <f>Sheet1!E$84</f>
        <v>113</v>
      </c>
      <c r="AH2" s="11">
        <f>SUM(AD2:AG2)</f>
        <v>519</v>
      </c>
      <c r="AI2" s="190">
        <f>Sheet1!E$98</f>
        <v>196.65</v>
      </c>
      <c r="AJ2" s="190">
        <f>Sheet1!E$99</f>
        <v>0</v>
      </c>
      <c r="AK2" s="190">
        <f>Sheet1!E$100</f>
        <v>1443.825</v>
      </c>
      <c r="AL2" s="190">
        <f>Sheet1!E$101</f>
        <v>382.95</v>
      </c>
      <c r="AM2" s="190">
        <f>Sheet1!E$102</f>
        <v>20.7</v>
      </c>
      <c r="AN2" s="190">
        <f>Sheet1!E$103</f>
        <v>983.25</v>
      </c>
      <c r="AO2" s="9">
        <f>Sheet1!E$112</f>
        <v>90</v>
      </c>
      <c r="AP2" s="9">
        <f>Sheet1!E$113</f>
        <v>16</v>
      </c>
      <c r="AQ2" s="11">
        <f>AO2+AP2</f>
        <v>106</v>
      </c>
      <c r="AR2" s="9">
        <f>Sheet1!E$123</f>
        <v>57</v>
      </c>
      <c r="AS2" s="9">
        <f>Sheet1!E$124</f>
        <v>3</v>
      </c>
      <c r="AT2" s="11">
        <f>AR2+AS2</f>
        <v>60</v>
      </c>
    </row>
    <row r="3" spans="1:48" x14ac:dyDescent="0.25">
      <c r="A3" t="s">
        <v>10</v>
      </c>
      <c r="B3">
        <f>B2+1</f>
        <v>2</v>
      </c>
      <c r="C3">
        <v>8</v>
      </c>
      <c r="D3">
        <v>2020</v>
      </c>
      <c r="E3" s="6">
        <f>Sheet1!F8*255</f>
        <v>121.125</v>
      </c>
      <c r="F3" s="7">
        <v>0</v>
      </c>
      <c r="G3" s="188">
        <f>Sheet1!F$24</f>
        <v>2417</v>
      </c>
      <c r="H3" s="188">
        <f>Sheet1!F$25</f>
        <v>1080</v>
      </c>
      <c r="I3" s="188">
        <f>Sheet1!F$27</f>
        <v>13618</v>
      </c>
      <c r="J3" s="188">
        <f>Sheet1!F$28</f>
        <v>4393</v>
      </c>
      <c r="K3" s="188">
        <f>Sheet1!F$57</f>
        <v>0</v>
      </c>
      <c r="L3" s="188">
        <f>Sheet1!F$58</f>
        <v>514</v>
      </c>
      <c r="M3" s="11">
        <f t="shared" ref="M3:M32" si="0">K3+L3</f>
        <v>514</v>
      </c>
      <c r="N3" s="188">
        <f>Sheet1!F$61</f>
        <v>0</v>
      </c>
      <c r="O3" s="188">
        <f>Sheet1!F$62</f>
        <v>0</v>
      </c>
      <c r="P3" s="188">
        <f>Sheet1!F$63</f>
        <v>3150</v>
      </c>
      <c r="Q3" s="188">
        <f>Sheet1!F$64</f>
        <v>1630</v>
      </c>
      <c r="R3" s="11">
        <f t="shared" ref="R3:R32" si="1">N3+O3+P3+Q3</f>
        <v>4780</v>
      </c>
      <c r="S3" s="188">
        <f>Sheet1!F$67</f>
        <v>0</v>
      </c>
      <c r="T3" s="188">
        <f>Sheet1!F$68</f>
        <v>0</v>
      </c>
      <c r="U3" s="188">
        <f>Sheet1!F$69</f>
        <v>213</v>
      </c>
      <c r="V3" s="188">
        <f>Sheet1!F$70</f>
        <v>133</v>
      </c>
      <c r="W3" s="11">
        <f t="shared" ref="W3:W32" si="2">SUM(S3:V3)</f>
        <v>346</v>
      </c>
      <c r="X3" s="188">
        <f>Sheet1!F$73</f>
        <v>0</v>
      </c>
      <c r="Y3" s="188">
        <f>Sheet1!F$74</f>
        <v>0</v>
      </c>
      <c r="Z3" s="188">
        <f>Sheet1!F$75</f>
        <v>143</v>
      </c>
      <c r="AA3" s="188">
        <f>Sheet1!F$76</f>
        <v>0</v>
      </c>
      <c r="AB3" s="11">
        <f t="shared" ref="AB3:AB32" si="3">SUM(X3:AA3)</f>
        <v>143</v>
      </c>
      <c r="AC3" s="11">
        <f t="shared" ref="AC3:AC32" si="4">AB3+W3+R3</f>
        <v>5269</v>
      </c>
      <c r="AD3" s="188">
        <f>Sheet1!F$81</f>
        <v>144</v>
      </c>
      <c r="AE3" s="188">
        <f>Sheet1!F$82</f>
        <v>0</v>
      </c>
      <c r="AF3" s="188">
        <f>Sheet1!F$83</f>
        <v>264</v>
      </c>
      <c r="AG3" s="188">
        <f>Sheet1!F$84</f>
        <v>119</v>
      </c>
      <c r="AH3" s="11">
        <f t="shared" ref="AH3:AH32" si="5">SUM(AD3:AG3)</f>
        <v>527</v>
      </c>
      <c r="AI3" s="190">
        <f>Sheet1!F$98</f>
        <v>150.07499999999999</v>
      </c>
      <c r="AJ3" s="190">
        <f>Sheet1!F$99</f>
        <v>0</v>
      </c>
      <c r="AK3" s="190">
        <f>Sheet1!F$100</f>
        <v>1417.95</v>
      </c>
      <c r="AL3" s="190">
        <f>Sheet1!F$101</f>
        <v>403.65</v>
      </c>
      <c r="AM3" s="190">
        <f>Sheet1!F$102</f>
        <v>20.7</v>
      </c>
      <c r="AN3" s="190">
        <f>Sheet1!F$103</f>
        <v>802.125</v>
      </c>
      <c r="AO3" s="9">
        <f>Sheet1!F$112</f>
        <v>80</v>
      </c>
      <c r="AP3" s="9">
        <f>Sheet1!F$113</f>
        <v>20</v>
      </c>
      <c r="AQ3" s="11">
        <f t="shared" ref="AQ3:AQ32" si="6">AO3+AP3</f>
        <v>100</v>
      </c>
      <c r="AR3" s="9">
        <f>Sheet1!F$123</f>
        <v>47</v>
      </c>
      <c r="AS3" s="9">
        <f>Sheet1!F$124</f>
        <v>20</v>
      </c>
      <c r="AT3" s="11">
        <f t="shared" ref="AT3:AT32" si="7">AR3+AS3</f>
        <v>67</v>
      </c>
    </row>
    <row r="4" spans="1:48" x14ac:dyDescent="0.25">
      <c r="A4" t="s">
        <v>10</v>
      </c>
      <c r="B4">
        <f t="shared" ref="B4:B32" si="8">B3+1</f>
        <v>3</v>
      </c>
      <c r="C4">
        <v>8</v>
      </c>
      <c r="D4">
        <v>2020</v>
      </c>
      <c r="E4" s="6">
        <f>Sheet1!G8*255</f>
        <v>121.125</v>
      </c>
      <c r="F4" s="7">
        <v>0</v>
      </c>
      <c r="G4" s="188">
        <f>Sheet1!G$24</f>
        <v>2507</v>
      </c>
      <c r="H4" s="188">
        <f>Sheet1!G$25</f>
        <v>1058</v>
      </c>
      <c r="I4" s="188">
        <f>Sheet1!G$27</f>
        <v>13482</v>
      </c>
      <c r="J4" s="188">
        <f>Sheet1!G$28</f>
        <v>4658</v>
      </c>
      <c r="K4" s="188">
        <f>Sheet1!G$57</f>
        <v>0</v>
      </c>
      <c r="L4" s="188">
        <f>Sheet1!G$58</f>
        <v>532</v>
      </c>
      <c r="M4" s="11">
        <f t="shared" si="0"/>
        <v>532</v>
      </c>
      <c r="N4" s="188">
        <f>Sheet1!G$61</f>
        <v>0</v>
      </c>
      <c r="O4" s="188">
        <f>Sheet1!G$62</f>
        <v>10</v>
      </c>
      <c r="P4" s="188">
        <f>Sheet1!G$63</f>
        <v>2310</v>
      </c>
      <c r="Q4" s="188">
        <f>Sheet1!G$64</f>
        <v>2580</v>
      </c>
      <c r="R4" s="11">
        <f t="shared" si="1"/>
        <v>4900</v>
      </c>
      <c r="S4" s="188">
        <f>Sheet1!G$67</f>
        <v>0</v>
      </c>
      <c r="T4" s="188">
        <f>Sheet1!G$68</f>
        <v>0</v>
      </c>
      <c r="U4" s="188">
        <f>Sheet1!G$69</f>
        <v>199</v>
      </c>
      <c r="V4" s="188">
        <f>Sheet1!G$70</f>
        <v>168</v>
      </c>
      <c r="W4" s="11">
        <f t="shared" si="2"/>
        <v>367</v>
      </c>
      <c r="X4" s="188">
        <f>Sheet1!G$73</f>
        <v>0</v>
      </c>
      <c r="Y4" s="188">
        <f>Sheet1!G$74</f>
        <v>0</v>
      </c>
      <c r="Z4" s="188">
        <f>Sheet1!G$75</f>
        <v>141</v>
      </c>
      <c r="AA4" s="188">
        <f>Sheet1!G$76</f>
        <v>136</v>
      </c>
      <c r="AB4" s="11">
        <f t="shared" si="3"/>
        <v>277</v>
      </c>
      <c r="AC4" s="11">
        <f t="shared" si="4"/>
        <v>5544</v>
      </c>
      <c r="AD4" s="188">
        <f>Sheet1!G$81</f>
        <v>137</v>
      </c>
      <c r="AE4" s="188">
        <f>Sheet1!G$82</f>
        <v>0</v>
      </c>
      <c r="AF4" s="188">
        <f>Sheet1!G$83</f>
        <v>272</v>
      </c>
      <c r="AG4" s="188">
        <f>Sheet1!G$84</f>
        <v>113</v>
      </c>
      <c r="AH4" s="11">
        <f t="shared" si="5"/>
        <v>522</v>
      </c>
      <c r="AI4" s="190">
        <f>Sheet1!G$98</f>
        <v>207</v>
      </c>
      <c r="AJ4" s="190">
        <f>Sheet1!G$99</f>
        <v>0</v>
      </c>
      <c r="AK4" s="190">
        <f>Sheet1!G$100</f>
        <v>1304.0999999999999</v>
      </c>
      <c r="AL4" s="190">
        <f>Sheet1!G$101</f>
        <v>212.17499999999998</v>
      </c>
      <c r="AM4" s="190">
        <f>Sheet1!G$102</f>
        <v>20.7</v>
      </c>
      <c r="AN4" s="190">
        <f>Sheet1!G$103</f>
        <v>0</v>
      </c>
      <c r="AO4" s="9">
        <f>Sheet1!G$112</f>
        <v>70</v>
      </c>
      <c r="AP4" s="9">
        <f>Sheet1!G$113</f>
        <v>24</v>
      </c>
      <c r="AQ4" s="11">
        <f t="shared" si="6"/>
        <v>94</v>
      </c>
      <c r="AR4" s="9">
        <f>Sheet1!G$123</f>
        <v>50</v>
      </c>
      <c r="AS4" s="9">
        <f>Sheet1!G$124</f>
        <v>13</v>
      </c>
      <c r="AT4" s="11">
        <f t="shared" si="7"/>
        <v>63</v>
      </c>
    </row>
    <row r="5" spans="1:48" x14ac:dyDescent="0.25">
      <c r="A5" t="s">
        <v>10</v>
      </c>
      <c r="B5">
        <f t="shared" si="8"/>
        <v>4</v>
      </c>
      <c r="C5">
        <v>8</v>
      </c>
      <c r="D5">
        <v>2020</v>
      </c>
      <c r="E5" s="6">
        <f>Sheet1!H8*255</f>
        <v>121.125</v>
      </c>
      <c r="F5" s="7">
        <v>0</v>
      </c>
      <c r="G5" s="188">
        <f>Sheet1!H$24</f>
        <v>2367</v>
      </c>
      <c r="H5" s="188">
        <f>Sheet1!H$25</f>
        <v>1207</v>
      </c>
      <c r="I5" s="188">
        <f>Sheet1!H$27</f>
        <v>13190</v>
      </c>
      <c r="J5" s="188">
        <f>Sheet1!H$28</f>
        <v>4504</v>
      </c>
      <c r="K5" s="188">
        <f>Sheet1!H$57</f>
        <v>0</v>
      </c>
      <c r="L5" s="188">
        <f>Sheet1!H$58</f>
        <v>494</v>
      </c>
      <c r="M5" s="11">
        <f t="shared" si="0"/>
        <v>494</v>
      </c>
      <c r="N5" s="188">
        <f>Sheet1!H$61</f>
        <v>0</v>
      </c>
      <c r="O5" s="188">
        <f>Sheet1!H$62</f>
        <v>10</v>
      </c>
      <c r="P5" s="188">
        <f>Sheet1!H$63</f>
        <v>2140</v>
      </c>
      <c r="Q5" s="188">
        <f>Sheet1!H$64</f>
        <v>2400</v>
      </c>
      <c r="R5" s="11">
        <f t="shared" si="1"/>
        <v>4550</v>
      </c>
      <c r="S5" s="188">
        <f>Sheet1!H$67</f>
        <v>0</v>
      </c>
      <c r="T5" s="188">
        <f>Sheet1!H$68</f>
        <v>0</v>
      </c>
      <c r="U5" s="188">
        <f>Sheet1!H$69</f>
        <v>150</v>
      </c>
      <c r="V5" s="188">
        <f>Sheet1!H$70</f>
        <v>189</v>
      </c>
      <c r="W5" s="11">
        <f t="shared" si="2"/>
        <v>339</v>
      </c>
      <c r="X5" s="188">
        <f>Sheet1!H$73</f>
        <v>0</v>
      </c>
      <c r="Y5" s="188">
        <f>Sheet1!H$74</f>
        <v>0</v>
      </c>
      <c r="Z5" s="188">
        <f>Sheet1!H$75</f>
        <v>108</v>
      </c>
      <c r="AA5" s="188">
        <f>Sheet1!H$76</f>
        <v>143</v>
      </c>
      <c r="AB5" s="11">
        <f t="shared" si="3"/>
        <v>251</v>
      </c>
      <c r="AC5" s="11">
        <f t="shared" si="4"/>
        <v>5140</v>
      </c>
      <c r="AD5" s="188">
        <f>Sheet1!H$81</f>
        <v>147</v>
      </c>
      <c r="AE5" s="188">
        <f>Sheet1!H$82</f>
        <v>0</v>
      </c>
      <c r="AF5" s="188">
        <f>Sheet1!H$83</f>
        <v>255</v>
      </c>
      <c r="AG5" s="188">
        <f>Sheet1!H$84</f>
        <v>122</v>
      </c>
      <c r="AH5" s="11">
        <f t="shared" si="5"/>
        <v>524</v>
      </c>
      <c r="AI5" s="190">
        <f>Sheet1!H$98</f>
        <v>186.29999999999998</v>
      </c>
      <c r="AJ5" s="190">
        <f>Sheet1!H$99</f>
        <v>0</v>
      </c>
      <c r="AK5" s="190">
        <f>Sheet1!H$100</f>
        <v>1345.5</v>
      </c>
      <c r="AL5" s="190">
        <f>Sheet1!H$101</f>
        <v>326.02499999999998</v>
      </c>
      <c r="AM5" s="190">
        <f>Sheet1!H$102</f>
        <v>25.875</v>
      </c>
      <c r="AN5" s="190">
        <f>Sheet1!H$103</f>
        <v>0</v>
      </c>
      <c r="AO5" s="9">
        <f>Sheet1!H$112</f>
        <v>80</v>
      </c>
      <c r="AP5" s="9">
        <f>Sheet1!H$113</f>
        <v>21</v>
      </c>
      <c r="AQ5" s="11">
        <f t="shared" si="6"/>
        <v>101</v>
      </c>
      <c r="AR5" s="9">
        <f>Sheet1!H$123</f>
        <v>34</v>
      </c>
      <c r="AS5" s="9">
        <f>Sheet1!H$124</f>
        <v>11</v>
      </c>
      <c r="AT5" s="11">
        <f t="shared" si="7"/>
        <v>45</v>
      </c>
      <c r="AU5" s="9"/>
      <c r="AV5" s="9"/>
    </row>
    <row r="6" spans="1:48" x14ac:dyDescent="0.25">
      <c r="A6" t="s">
        <v>10</v>
      </c>
      <c r="B6">
        <f t="shared" si="8"/>
        <v>5</v>
      </c>
      <c r="C6">
        <v>8</v>
      </c>
      <c r="D6">
        <v>2020</v>
      </c>
      <c r="E6" s="6">
        <f>Sheet1!I8*255</f>
        <v>118.83000000000001</v>
      </c>
      <c r="F6" s="7">
        <v>0</v>
      </c>
      <c r="G6" s="188">
        <f>Sheet1!I$24</f>
        <v>4677</v>
      </c>
      <c r="H6" s="188">
        <f>Sheet1!I$25</f>
        <v>1179</v>
      </c>
      <c r="I6" s="188">
        <f>Sheet1!I$27</f>
        <v>11864</v>
      </c>
      <c r="J6" s="188">
        <f>Sheet1!I$28</f>
        <v>4247</v>
      </c>
      <c r="K6" s="188">
        <f>Sheet1!I$57</f>
        <v>500</v>
      </c>
      <c r="L6" s="188">
        <f>Sheet1!I$58</f>
        <v>309</v>
      </c>
      <c r="M6" s="11">
        <f t="shared" si="0"/>
        <v>809</v>
      </c>
      <c r="N6" s="188">
        <f>Sheet1!I$61</f>
        <v>0</v>
      </c>
      <c r="O6" s="188">
        <f>Sheet1!I$62</f>
        <v>1940</v>
      </c>
      <c r="P6" s="188">
        <f>Sheet1!I$63</f>
        <v>0</v>
      </c>
      <c r="Q6" s="188">
        <f>Sheet1!I$64</f>
        <v>2770</v>
      </c>
      <c r="R6" s="11">
        <f t="shared" si="1"/>
        <v>4710</v>
      </c>
      <c r="S6" s="188">
        <f>Sheet1!I$67</f>
        <v>0</v>
      </c>
      <c r="T6" s="188">
        <f>Sheet1!I$68</f>
        <v>151</v>
      </c>
      <c r="U6" s="188">
        <f>Sheet1!I$69</f>
        <v>0</v>
      </c>
      <c r="V6" s="188">
        <f>Sheet1!I$70</f>
        <v>194</v>
      </c>
      <c r="W6" s="11">
        <f t="shared" si="2"/>
        <v>345</v>
      </c>
      <c r="X6" s="188">
        <f>Sheet1!I$73</f>
        <v>0</v>
      </c>
      <c r="Y6" s="188">
        <f>Sheet1!I$74</f>
        <v>96</v>
      </c>
      <c r="Z6" s="188">
        <f>Sheet1!I$75</f>
        <v>0</v>
      </c>
      <c r="AA6" s="188">
        <f>Sheet1!I$76</f>
        <v>137</v>
      </c>
      <c r="AB6" s="11">
        <f t="shared" si="3"/>
        <v>233</v>
      </c>
      <c r="AC6" s="11">
        <f t="shared" si="4"/>
        <v>5288</v>
      </c>
      <c r="AD6" s="188">
        <f>Sheet1!I$81</f>
        <v>164</v>
      </c>
      <c r="AE6" s="188">
        <f>Sheet1!I$82</f>
        <v>0</v>
      </c>
      <c r="AF6" s="188">
        <f>Sheet1!I$83</f>
        <v>242</v>
      </c>
      <c r="AG6" s="188">
        <f>Sheet1!I$84</f>
        <v>138</v>
      </c>
      <c r="AH6" s="11">
        <f t="shared" si="5"/>
        <v>544</v>
      </c>
      <c r="AI6" s="190">
        <f>Sheet1!I$98</f>
        <v>279.45</v>
      </c>
      <c r="AJ6" s="190">
        <f>Sheet1!I$99</f>
        <v>0</v>
      </c>
      <c r="AK6" s="190">
        <f>Sheet1!I$100</f>
        <v>1474.875</v>
      </c>
      <c r="AL6" s="190">
        <f>Sheet1!I$101</f>
        <v>947.02499999999998</v>
      </c>
      <c r="AM6" s="190">
        <f>Sheet1!I$102</f>
        <v>20.7</v>
      </c>
      <c r="AN6" s="190">
        <f>Sheet1!I$103</f>
        <v>760.72500000000002</v>
      </c>
      <c r="AO6" s="9">
        <f>Sheet1!I$112</f>
        <v>100</v>
      </c>
      <c r="AP6" s="9">
        <f>Sheet1!I$113</f>
        <v>22</v>
      </c>
      <c r="AQ6" s="11">
        <f t="shared" si="6"/>
        <v>122</v>
      </c>
      <c r="AR6" s="9">
        <f>Sheet1!I$123</f>
        <v>46</v>
      </c>
      <c r="AS6" s="9">
        <f>Sheet1!I$124</f>
        <v>16</v>
      </c>
      <c r="AT6" s="11">
        <f t="shared" si="7"/>
        <v>62</v>
      </c>
    </row>
    <row r="7" spans="1:48" x14ac:dyDescent="0.25">
      <c r="A7" t="s">
        <v>10</v>
      </c>
      <c r="B7">
        <f t="shared" si="8"/>
        <v>6</v>
      </c>
      <c r="C7">
        <v>8</v>
      </c>
      <c r="D7">
        <v>2020</v>
      </c>
      <c r="E7" s="6">
        <f>Sheet1!J8*255</f>
        <v>128.01</v>
      </c>
      <c r="F7" s="7">
        <v>0</v>
      </c>
      <c r="G7" s="188">
        <f>Sheet1!J$24</f>
        <v>4885</v>
      </c>
      <c r="H7" s="188">
        <f>Sheet1!J$25</f>
        <v>1449</v>
      </c>
      <c r="I7" s="188">
        <f>Sheet1!J$27</f>
        <v>12212</v>
      </c>
      <c r="J7" s="188">
        <f>Sheet1!J$28</f>
        <v>4671</v>
      </c>
      <c r="K7" s="188">
        <f>Sheet1!J$57</f>
        <v>-80</v>
      </c>
      <c r="L7" s="188">
        <f>Sheet1!J$58</f>
        <v>333</v>
      </c>
      <c r="M7" s="11">
        <f t="shared" si="0"/>
        <v>253</v>
      </c>
      <c r="N7" s="188">
        <f>Sheet1!J$61</f>
        <v>0</v>
      </c>
      <c r="O7" s="188">
        <f>Sheet1!J$62</f>
        <v>2150</v>
      </c>
      <c r="P7" s="188">
        <f>Sheet1!J$63</f>
        <v>0</v>
      </c>
      <c r="Q7" s="188">
        <f>Sheet1!J$64</f>
        <v>3030</v>
      </c>
      <c r="R7" s="11">
        <f t="shared" si="1"/>
        <v>5180</v>
      </c>
      <c r="S7" s="188">
        <f>Sheet1!J$67</f>
        <v>0</v>
      </c>
      <c r="T7" s="188">
        <f>Sheet1!J$68</f>
        <v>160</v>
      </c>
      <c r="U7" s="188">
        <f>Sheet1!J$69</f>
        <v>0</v>
      </c>
      <c r="V7" s="188">
        <f>Sheet1!J$70</f>
        <v>200</v>
      </c>
      <c r="W7" s="11">
        <f t="shared" si="2"/>
        <v>360</v>
      </c>
      <c r="X7" s="188">
        <f>Sheet1!J$73</f>
        <v>0</v>
      </c>
      <c r="Y7" s="188">
        <f>Sheet1!J$74</f>
        <v>99</v>
      </c>
      <c r="Z7" s="188">
        <f>Sheet1!J$75</f>
        <v>0</v>
      </c>
      <c r="AA7" s="188">
        <f>Sheet1!J$76</f>
        <v>138</v>
      </c>
      <c r="AB7" s="11">
        <f t="shared" si="3"/>
        <v>237</v>
      </c>
      <c r="AC7" s="11">
        <f t="shared" si="4"/>
        <v>5777</v>
      </c>
      <c r="AD7" s="188">
        <f>Sheet1!J$81</f>
        <v>204</v>
      </c>
      <c r="AE7" s="188">
        <f>Sheet1!J$82</f>
        <v>0</v>
      </c>
      <c r="AF7" s="188">
        <f>Sheet1!J$83</f>
        <v>214</v>
      </c>
      <c r="AG7" s="188">
        <f>Sheet1!J$84</f>
        <v>175</v>
      </c>
      <c r="AH7" s="11">
        <f t="shared" si="5"/>
        <v>593</v>
      </c>
      <c r="AI7" s="190">
        <f>Sheet1!J$98</f>
        <v>222.52500000000001</v>
      </c>
      <c r="AJ7" s="190">
        <f>Sheet1!J$99</f>
        <v>0</v>
      </c>
      <c r="AK7" s="190">
        <f>Sheet1!J$100</f>
        <v>1552.5</v>
      </c>
      <c r="AL7" s="190">
        <f>Sheet1!J$101</f>
        <v>533.02499999999998</v>
      </c>
      <c r="AM7" s="190">
        <f>Sheet1!J$102</f>
        <v>15.524999999999999</v>
      </c>
      <c r="AN7" s="190">
        <f>Sheet1!J$103</f>
        <v>791.77499999999998</v>
      </c>
      <c r="AO7" s="9">
        <f>Sheet1!J$112</f>
        <v>120</v>
      </c>
      <c r="AP7" s="9">
        <f>Sheet1!J$113</f>
        <v>24</v>
      </c>
      <c r="AQ7" s="11">
        <f t="shared" si="6"/>
        <v>144</v>
      </c>
      <c r="AR7" s="9">
        <f>Sheet1!J$123</f>
        <v>61</v>
      </c>
      <c r="AS7" s="9">
        <f>Sheet1!J$124</f>
        <v>6</v>
      </c>
      <c r="AT7" s="11">
        <f t="shared" si="7"/>
        <v>67</v>
      </c>
    </row>
    <row r="8" spans="1:48" x14ac:dyDescent="0.25">
      <c r="A8" t="s">
        <v>10</v>
      </c>
      <c r="B8">
        <f t="shared" si="8"/>
        <v>7</v>
      </c>
      <c r="C8">
        <v>8</v>
      </c>
      <c r="D8">
        <v>2020</v>
      </c>
      <c r="E8" s="6">
        <f>Sheet1!K8*255</f>
        <v>132.09</v>
      </c>
      <c r="F8" s="7">
        <v>0</v>
      </c>
      <c r="G8" s="188">
        <f>Sheet1!K$24</f>
        <v>4931</v>
      </c>
      <c r="H8" s="188">
        <f>Sheet1!K$25</f>
        <v>2261</v>
      </c>
      <c r="I8" s="188">
        <f>Sheet1!K$27</f>
        <v>12586</v>
      </c>
      <c r="J8" s="188">
        <f>Sheet1!K$28</f>
        <v>4003</v>
      </c>
      <c r="K8" s="188">
        <f>Sheet1!K$57</f>
        <v>300</v>
      </c>
      <c r="L8" s="188">
        <f>Sheet1!K$58</f>
        <v>278</v>
      </c>
      <c r="M8" s="11">
        <f t="shared" si="0"/>
        <v>578</v>
      </c>
      <c r="N8" s="188">
        <f>Sheet1!K$61</f>
        <v>0</v>
      </c>
      <c r="O8" s="188">
        <f>Sheet1!K$62</f>
        <v>2930</v>
      </c>
      <c r="P8" s="188">
        <f>Sheet1!K$63</f>
        <v>0</v>
      </c>
      <c r="Q8" s="188">
        <f>Sheet1!K$64</f>
        <v>2500</v>
      </c>
      <c r="R8" s="11">
        <f t="shared" si="1"/>
        <v>5430</v>
      </c>
      <c r="S8" s="188">
        <f>Sheet1!K$67</f>
        <v>0</v>
      </c>
      <c r="T8" s="188">
        <f>Sheet1!K$68</f>
        <v>225</v>
      </c>
      <c r="U8" s="188">
        <f>Sheet1!K$69</f>
        <v>0</v>
      </c>
      <c r="V8" s="188">
        <f>Sheet1!K$70</f>
        <v>163</v>
      </c>
      <c r="W8" s="11">
        <f t="shared" si="2"/>
        <v>388</v>
      </c>
      <c r="X8" s="188">
        <f>Sheet1!K$73</f>
        <v>0</v>
      </c>
      <c r="Y8" s="188">
        <f>Sheet1!K$74</f>
        <v>134</v>
      </c>
      <c r="Z8" s="188">
        <f>Sheet1!K$75</f>
        <v>0</v>
      </c>
      <c r="AA8" s="188">
        <f>Sheet1!K$76</f>
        <v>117</v>
      </c>
      <c r="AB8" s="11">
        <f t="shared" si="3"/>
        <v>251</v>
      </c>
      <c r="AC8" s="11">
        <f t="shared" si="4"/>
        <v>6069</v>
      </c>
      <c r="AD8" s="188">
        <f>Sheet1!K$81</f>
        <v>209</v>
      </c>
      <c r="AE8" s="188">
        <f>Sheet1!K$82</f>
        <v>0</v>
      </c>
      <c r="AF8" s="188">
        <f>Sheet1!K$83</f>
        <v>207</v>
      </c>
      <c r="AG8" s="188">
        <f>Sheet1!K$84</f>
        <v>179</v>
      </c>
      <c r="AH8" s="11">
        <f t="shared" si="5"/>
        <v>595</v>
      </c>
      <c r="AI8" s="190">
        <f>Sheet1!K$98</f>
        <v>217.35</v>
      </c>
      <c r="AJ8" s="190">
        <f>Sheet1!K$99</f>
        <v>0</v>
      </c>
      <c r="AK8" s="190">
        <f>Sheet1!K$100</f>
        <v>1687.05</v>
      </c>
      <c r="AL8" s="190">
        <f>Sheet1!K$101</f>
        <v>486.45</v>
      </c>
      <c r="AM8" s="190">
        <f>Sheet1!K$102</f>
        <v>20.7</v>
      </c>
      <c r="AN8" s="190">
        <f>Sheet1!K$103</f>
        <v>864.22500000000002</v>
      </c>
      <c r="AO8" s="9">
        <f>Sheet1!K$112</f>
        <v>110</v>
      </c>
      <c r="AP8" s="9">
        <f>Sheet1!K$113</f>
        <v>24</v>
      </c>
      <c r="AQ8" s="11">
        <f t="shared" si="6"/>
        <v>134</v>
      </c>
      <c r="AR8" s="9">
        <f>Sheet1!K$123</f>
        <v>51</v>
      </c>
      <c r="AS8" s="9">
        <f>Sheet1!K$124</f>
        <v>11</v>
      </c>
      <c r="AT8" s="11">
        <f t="shared" si="7"/>
        <v>62</v>
      </c>
    </row>
    <row r="9" spans="1:48" x14ac:dyDescent="0.25">
      <c r="A9" t="s">
        <v>10</v>
      </c>
      <c r="B9">
        <f t="shared" si="8"/>
        <v>8</v>
      </c>
      <c r="C9">
        <v>8</v>
      </c>
      <c r="D9">
        <v>2020</v>
      </c>
      <c r="E9" s="6">
        <f>Sheet1!L8*255</f>
        <v>154.01999999999998</v>
      </c>
      <c r="F9" s="7">
        <v>0</v>
      </c>
      <c r="G9" s="188">
        <f>Sheet1!L$24</f>
        <v>5015</v>
      </c>
      <c r="H9" s="188">
        <f>Sheet1!L$25</f>
        <v>1726</v>
      </c>
      <c r="I9" s="188">
        <f>Sheet1!L$27</f>
        <v>12916</v>
      </c>
      <c r="J9" s="188">
        <f>Sheet1!L$28</f>
        <v>4311</v>
      </c>
      <c r="K9" s="188">
        <f>Sheet1!L$57</f>
        <v>259</v>
      </c>
      <c r="L9" s="188">
        <f>Sheet1!L$58</f>
        <v>343</v>
      </c>
      <c r="M9" s="11">
        <f t="shared" si="0"/>
        <v>602</v>
      </c>
      <c r="N9" s="188">
        <f>Sheet1!L$61</f>
        <v>0</v>
      </c>
      <c r="O9" s="188">
        <f>Sheet1!L$62</f>
        <v>2520</v>
      </c>
      <c r="P9" s="188">
        <f>Sheet1!L$63</f>
        <v>0</v>
      </c>
      <c r="Q9" s="188">
        <f>Sheet1!L$64</f>
        <v>3120</v>
      </c>
      <c r="R9" s="11">
        <f t="shared" si="1"/>
        <v>5640</v>
      </c>
      <c r="S9" s="188">
        <f>Sheet1!L$67</f>
        <v>0</v>
      </c>
      <c r="T9" s="188">
        <f>Sheet1!L$68</f>
        <v>204</v>
      </c>
      <c r="U9" s="188">
        <f>Sheet1!L$69</f>
        <v>0</v>
      </c>
      <c r="V9" s="188">
        <f>Sheet1!L$70</f>
        <v>215</v>
      </c>
      <c r="W9" s="11">
        <f t="shared" si="2"/>
        <v>419</v>
      </c>
      <c r="X9" s="188">
        <f>Sheet1!L$73</f>
        <v>0</v>
      </c>
      <c r="Y9" s="188">
        <f>Sheet1!L$74</f>
        <v>111</v>
      </c>
      <c r="Z9" s="188">
        <f>Sheet1!L$75</f>
        <v>0</v>
      </c>
      <c r="AA9" s="188">
        <f>Sheet1!L$76</f>
        <v>133</v>
      </c>
      <c r="AB9" s="11">
        <f t="shared" si="3"/>
        <v>244</v>
      </c>
      <c r="AC9" s="11">
        <f t="shared" si="4"/>
        <v>6303</v>
      </c>
      <c r="AD9" s="188">
        <f>Sheet1!L$81</f>
        <v>219</v>
      </c>
      <c r="AE9" s="188">
        <f>Sheet1!L$82</f>
        <v>0</v>
      </c>
      <c r="AF9" s="188">
        <f>Sheet1!L$83</f>
        <v>198</v>
      </c>
      <c r="AG9" s="188">
        <f>Sheet1!L$84</f>
        <v>189</v>
      </c>
      <c r="AH9" s="11">
        <f t="shared" si="5"/>
        <v>606</v>
      </c>
      <c r="AI9" s="190">
        <f>Sheet1!L$98</f>
        <v>150.07499999999999</v>
      </c>
      <c r="AJ9" s="190">
        <f>Sheet1!L$99</f>
        <v>0</v>
      </c>
      <c r="AK9" s="190">
        <f>Sheet1!L$100</f>
        <v>1790.55</v>
      </c>
      <c r="AL9" s="190">
        <f>Sheet1!L$101</f>
        <v>486.45</v>
      </c>
      <c r="AM9" s="190">
        <f>Sheet1!L$102</f>
        <v>15.524999999999999</v>
      </c>
      <c r="AN9" s="190">
        <f>Sheet1!L$103</f>
        <v>1086.75</v>
      </c>
      <c r="AO9" s="9">
        <f>Sheet1!L$112</f>
        <v>140</v>
      </c>
      <c r="AP9" s="9">
        <f>Sheet1!L$113</f>
        <v>20</v>
      </c>
      <c r="AQ9" s="11">
        <f t="shared" si="6"/>
        <v>160</v>
      </c>
      <c r="AR9" s="9">
        <f>Sheet1!L$123</f>
        <v>51</v>
      </c>
      <c r="AS9" s="9">
        <f>Sheet1!L$124</f>
        <v>10</v>
      </c>
      <c r="AT9" s="11">
        <f t="shared" si="7"/>
        <v>61</v>
      </c>
    </row>
    <row r="10" spans="1:48" x14ac:dyDescent="0.25">
      <c r="A10" t="s">
        <v>10</v>
      </c>
      <c r="B10">
        <f t="shared" si="8"/>
        <v>9</v>
      </c>
      <c r="C10">
        <v>8</v>
      </c>
      <c r="D10">
        <v>2020</v>
      </c>
      <c r="E10" s="6">
        <f>Sheet1!M8*255</f>
        <v>172.89000000000001</v>
      </c>
      <c r="F10" s="7">
        <v>0</v>
      </c>
      <c r="G10" s="188">
        <f>Sheet1!M$24</f>
        <v>5113</v>
      </c>
      <c r="H10" s="188">
        <f>Sheet1!M$25</f>
        <v>2517</v>
      </c>
      <c r="I10" s="188">
        <f>Sheet1!M$27</f>
        <v>12548</v>
      </c>
      <c r="J10" s="188">
        <f>Sheet1!M$28</f>
        <v>4238</v>
      </c>
      <c r="K10" s="188">
        <f>Sheet1!M$57</f>
        <v>323</v>
      </c>
      <c r="L10" s="188">
        <f>Sheet1!M$58</f>
        <v>302</v>
      </c>
      <c r="M10" s="11">
        <f t="shared" si="0"/>
        <v>625</v>
      </c>
      <c r="N10" s="188">
        <f>Sheet1!M$61</f>
        <v>0</v>
      </c>
      <c r="O10" s="188">
        <f>Sheet1!M$62</f>
        <v>3120</v>
      </c>
      <c r="P10" s="188">
        <f>Sheet1!M$63</f>
        <v>0</v>
      </c>
      <c r="Q10" s="188">
        <f>Sheet1!M$64</f>
        <v>2700</v>
      </c>
      <c r="R10" s="11">
        <f t="shared" si="1"/>
        <v>5820</v>
      </c>
      <c r="S10" s="188">
        <f>Sheet1!M$67</f>
        <v>0</v>
      </c>
      <c r="T10" s="188">
        <f>Sheet1!M$68</f>
        <v>277</v>
      </c>
      <c r="U10" s="188">
        <f>Sheet1!M$69</f>
        <v>0</v>
      </c>
      <c r="V10" s="188">
        <f>Sheet1!M$70</f>
        <v>214</v>
      </c>
      <c r="W10" s="11">
        <f t="shared" si="2"/>
        <v>491</v>
      </c>
      <c r="X10" s="188">
        <f>Sheet1!M$73</f>
        <v>0</v>
      </c>
      <c r="Y10" s="188">
        <f>Sheet1!M$74</f>
        <v>131</v>
      </c>
      <c r="Z10" s="188">
        <f>Sheet1!M$75</f>
        <v>0</v>
      </c>
      <c r="AA10" s="188">
        <f>Sheet1!M$76</f>
        <v>115</v>
      </c>
      <c r="AB10" s="11">
        <f t="shared" si="3"/>
        <v>246</v>
      </c>
      <c r="AC10" s="11">
        <f t="shared" si="4"/>
        <v>6557</v>
      </c>
      <c r="AD10" s="188">
        <f>Sheet1!M$81</f>
        <v>230</v>
      </c>
      <c r="AE10" s="188">
        <f>Sheet1!M$82</f>
        <v>0</v>
      </c>
      <c r="AF10" s="188">
        <f>Sheet1!M$83</f>
        <v>200</v>
      </c>
      <c r="AG10" s="188">
        <f>Sheet1!M$84</f>
        <v>199</v>
      </c>
      <c r="AH10" s="11">
        <f t="shared" si="5"/>
        <v>629</v>
      </c>
      <c r="AI10" s="190">
        <f>Sheet1!M$98</f>
        <v>139.72499999999999</v>
      </c>
      <c r="AJ10" s="190">
        <f>Sheet1!M$99</f>
        <v>0</v>
      </c>
      <c r="AK10" s="190">
        <f>Sheet1!M$100</f>
        <v>1635.3</v>
      </c>
      <c r="AL10" s="190">
        <f>Sheet1!M$101</f>
        <v>455.4</v>
      </c>
      <c r="AM10" s="190">
        <f>Sheet1!M$102</f>
        <v>15.524999999999999</v>
      </c>
      <c r="AN10" s="190">
        <f>Sheet1!M$103</f>
        <v>1055.7</v>
      </c>
      <c r="AO10" s="9">
        <f>Sheet1!M$112</f>
        <v>120</v>
      </c>
      <c r="AP10" s="9">
        <f>Sheet1!M$113</f>
        <v>22</v>
      </c>
      <c r="AQ10" s="11">
        <f t="shared" si="6"/>
        <v>142</v>
      </c>
      <c r="AR10" s="9">
        <f>Sheet1!M$123</f>
        <v>64</v>
      </c>
      <c r="AS10" s="9">
        <f>Sheet1!M$124</f>
        <v>11</v>
      </c>
      <c r="AT10" s="11">
        <f t="shared" si="7"/>
        <v>75</v>
      </c>
    </row>
    <row r="11" spans="1:48" x14ac:dyDescent="0.25">
      <c r="A11" t="s">
        <v>10</v>
      </c>
      <c r="B11">
        <f t="shared" si="8"/>
        <v>10</v>
      </c>
      <c r="C11">
        <v>8</v>
      </c>
      <c r="D11">
        <v>2020</v>
      </c>
      <c r="E11" s="6">
        <f>Sheet1!N8*255</f>
        <v>125.97</v>
      </c>
      <c r="F11" s="7">
        <v>0</v>
      </c>
      <c r="G11" s="188">
        <f>Sheet1!N$24</f>
        <v>4915</v>
      </c>
      <c r="H11" s="188">
        <f>Sheet1!N$25</f>
        <v>1415</v>
      </c>
      <c r="I11" s="188">
        <f>Sheet1!N$27</f>
        <v>11620</v>
      </c>
      <c r="J11" s="188">
        <f>Sheet1!N$28</f>
        <v>3958</v>
      </c>
      <c r="K11" s="188">
        <f>Sheet1!N$57</f>
        <v>244</v>
      </c>
      <c r="L11" s="188">
        <f>Sheet1!N$58</f>
        <v>325</v>
      </c>
      <c r="M11" s="11">
        <f t="shared" si="0"/>
        <v>569</v>
      </c>
      <c r="N11" s="188">
        <f>Sheet1!N$61</f>
        <v>0</v>
      </c>
      <c r="O11" s="188">
        <f>Sheet1!N$62</f>
        <v>2360</v>
      </c>
      <c r="P11" s="188">
        <f>Sheet1!N$63</f>
        <v>0</v>
      </c>
      <c r="Q11" s="188">
        <f>Sheet1!N$64</f>
        <v>2940</v>
      </c>
      <c r="R11" s="11">
        <f t="shared" si="1"/>
        <v>5300</v>
      </c>
      <c r="S11" s="188">
        <f>Sheet1!N$67</f>
        <v>0</v>
      </c>
      <c r="T11" s="188">
        <f>Sheet1!N$68</f>
        <v>211</v>
      </c>
      <c r="U11" s="188">
        <f>Sheet1!N$69</f>
        <v>0</v>
      </c>
      <c r="V11" s="188">
        <f>Sheet1!N$70</f>
        <v>224</v>
      </c>
      <c r="W11" s="11">
        <f t="shared" si="2"/>
        <v>435</v>
      </c>
      <c r="X11" s="188">
        <f>Sheet1!N$73</f>
        <v>0</v>
      </c>
      <c r="Y11" s="188">
        <f>Sheet1!N$74</f>
        <v>102</v>
      </c>
      <c r="Z11" s="188">
        <f>Sheet1!N$75</f>
        <v>0</v>
      </c>
      <c r="AA11" s="188">
        <f>Sheet1!N$76</f>
        <v>125</v>
      </c>
      <c r="AB11" s="11">
        <f t="shared" si="3"/>
        <v>227</v>
      </c>
      <c r="AC11" s="11">
        <f t="shared" si="4"/>
        <v>5962</v>
      </c>
      <c r="AD11" s="188">
        <f>Sheet1!N$81</f>
        <v>224</v>
      </c>
      <c r="AE11" s="188">
        <f>Sheet1!N$82</f>
        <v>0</v>
      </c>
      <c r="AF11" s="188">
        <f>Sheet1!N$83</f>
        <v>190</v>
      </c>
      <c r="AG11" s="188">
        <f>Sheet1!N$84</f>
        <v>194</v>
      </c>
      <c r="AH11" s="11">
        <f t="shared" si="5"/>
        <v>608</v>
      </c>
      <c r="AI11" s="190">
        <f>Sheet1!N$98</f>
        <v>217.35</v>
      </c>
      <c r="AJ11" s="190">
        <f>Sheet1!N$99</f>
        <v>0</v>
      </c>
      <c r="AK11" s="190">
        <f>Sheet1!N$100</f>
        <v>1687.05</v>
      </c>
      <c r="AL11" s="190">
        <f>Sheet1!N$101</f>
        <v>372.59999999999997</v>
      </c>
      <c r="AM11" s="190">
        <f>Sheet1!N$102</f>
        <v>15.524999999999999</v>
      </c>
      <c r="AN11" s="190">
        <f>Sheet1!N$103</f>
        <v>0</v>
      </c>
      <c r="AO11" s="9">
        <f>Sheet1!N$112</f>
        <v>120</v>
      </c>
      <c r="AP11" s="9">
        <f>Sheet1!N$113</f>
        <v>25</v>
      </c>
      <c r="AQ11" s="11">
        <f t="shared" si="6"/>
        <v>145</v>
      </c>
      <c r="AR11" s="9">
        <f>Sheet1!N$123</f>
        <v>53</v>
      </c>
      <c r="AS11" s="9">
        <f>Sheet1!N$124</f>
        <v>12</v>
      </c>
      <c r="AT11" s="11">
        <f t="shared" si="7"/>
        <v>65</v>
      </c>
    </row>
    <row r="12" spans="1:48" x14ac:dyDescent="0.25">
      <c r="A12" t="s">
        <v>10</v>
      </c>
      <c r="B12">
        <f t="shared" si="8"/>
        <v>11</v>
      </c>
      <c r="C12">
        <v>8</v>
      </c>
      <c r="D12">
        <v>2020</v>
      </c>
      <c r="E12" s="6">
        <f>Sheet1!O8*255</f>
        <v>121.125</v>
      </c>
      <c r="F12" s="7">
        <v>0</v>
      </c>
      <c r="G12" s="188">
        <f>Sheet1!O$24</f>
        <v>4911</v>
      </c>
      <c r="H12" s="188">
        <f>Sheet1!O$25</f>
        <v>2203</v>
      </c>
      <c r="I12" s="188">
        <f>Sheet1!O$27</f>
        <v>11770</v>
      </c>
      <c r="J12" s="188">
        <f>Sheet1!O$28</f>
        <v>4227</v>
      </c>
      <c r="K12" s="188">
        <f>Sheet1!O$57</f>
        <v>298</v>
      </c>
      <c r="L12" s="188">
        <f>Sheet1!O$58</f>
        <v>328</v>
      </c>
      <c r="M12" s="11">
        <f t="shared" si="0"/>
        <v>626</v>
      </c>
      <c r="N12" s="188">
        <f>Sheet1!O$61</f>
        <v>0</v>
      </c>
      <c r="O12" s="188">
        <f>Sheet1!O$62</f>
        <v>2870</v>
      </c>
      <c r="P12" s="188">
        <f>Sheet1!O$63</f>
        <v>0</v>
      </c>
      <c r="Q12" s="188">
        <f>Sheet1!O$64</f>
        <v>2940</v>
      </c>
      <c r="R12" s="11">
        <f t="shared" si="1"/>
        <v>5810</v>
      </c>
      <c r="S12" s="188">
        <f>Sheet1!O$67</f>
        <v>0</v>
      </c>
      <c r="T12" s="188">
        <f>Sheet1!O$68</f>
        <v>253</v>
      </c>
      <c r="U12" s="188">
        <f>Sheet1!O$69</f>
        <v>0</v>
      </c>
      <c r="V12" s="188">
        <f>Sheet1!O$70</f>
        <v>219</v>
      </c>
      <c r="W12" s="11">
        <f t="shared" si="2"/>
        <v>472</v>
      </c>
      <c r="X12" s="188">
        <f>Sheet1!O$73</f>
        <v>0</v>
      </c>
      <c r="Y12" s="188">
        <f>Sheet1!O$74</f>
        <v>131</v>
      </c>
      <c r="Z12" s="188">
        <f>Sheet1!O$75</f>
        <v>0</v>
      </c>
      <c r="AA12" s="188">
        <f>Sheet1!O$76</f>
        <v>135</v>
      </c>
      <c r="AB12" s="11">
        <f t="shared" si="3"/>
        <v>266</v>
      </c>
      <c r="AC12" s="11">
        <f t="shared" si="4"/>
        <v>6548</v>
      </c>
      <c r="AD12" s="188">
        <f>Sheet1!O$81</f>
        <v>228</v>
      </c>
      <c r="AE12" s="188">
        <f>Sheet1!O$82</f>
        <v>0</v>
      </c>
      <c r="AF12" s="188">
        <f>Sheet1!O$83</f>
        <v>191</v>
      </c>
      <c r="AG12" s="188">
        <f>Sheet1!O$84</f>
        <v>198</v>
      </c>
      <c r="AH12" s="11">
        <f t="shared" si="5"/>
        <v>617</v>
      </c>
      <c r="AI12" s="190">
        <f>Sheet1!O$98</f>
        <v>232.875</v>
      </c>
      <c r="AJ12" s="190">
        <f>Sheet1!O$99</f>
        <v>0</v>
      </c>
      <c r="AK12" s="190">
        <f>Sheet1!O$100</f>
        <v>1692.2249999999999</v>
      </c>
      <c r="AL12" s="190">
        <f>Sheet1!O$101</f>
        <v>351.9</v>
      </c>
      <c r="AM12" s="190">
        <f>Sheet1!O$102</f>
        <v>15.524999999999999</v>
      </c>
      <c r="AN12" s="190">
        <f>Sheet1!O$103</f>
        <v>0</v>
      </c>
      <c r="AO12" s="9">
        <f>Sheet1!O$112</f>
        <v>90</v>
      </c>
      <c r="AP12" s="9">
        <f>Sheet1!O$113</f>
        <v>20</v>
      </c>
      <c r="AQ12" s="11">
        <f t="shared" si="6"/>
        <v>110</v>
      </c>
      <c r="AR12" s="9">
        <f>Sheet1!O$123</f>
        <v>67</v>
      </c>
      <c r="AS12" s="9">
        <f>Sheet1!O$124</f>
        <v>11</v>
      </c>
      <c r="AT12" s="11">
        <f t="shared" si="7"/>
        <v>78</v>
      </c>
    </row>
    <row r="13" spans="1:48" x14ac:dyDescent="0.25">
      <c r="A13" t="s">
        <v>10</v>
      </c>
      <c r="B13">
        <f t="shared" si="8"/>
        <v>12</v>
      </c>
      <c r="C13">
        <v>8</v>
      </c>
      <c r="D13">
        <v>2020</v>
      </c>
      <c r="E13" s="6">
        <f>Sheet1!P8*255</f>
        <v>123.92999999999999</v>
      </c>
      <c r="F13" s="7">
        <v>0</v>
      </c>
      <c r="G13" s="188">
        <f>Sheet1!P$24</f>
        <v>4523</v>
      </c>
      <c r="H13" s="188">
        <f>Sheet1!P$25</f>
        <v>2187</v>
      </c>
      <c r="I13" s="188">
        <f>Sheet1!P$27</f>
        <v>11980</v>
      </c>
      <c r="J13" s="188">
        <f>Sheet1!P$28</f>
        <v>4101</v>
      </c>
      <c r="K13" s="188">
        <f>Sheet1!P$57</f>
        <v>278</v>
      </c>
      <c r="L13" s="188">
        <f>Sheet1!P$58</f>
        <v>301</v>
      </c>
      <c r="M13" s="11">
        <f t="shared" si="0"/>
        <v>579</v>
      </c>
      <c r="N13" s="188">
        <f>Sheet1!P$61</f>
        <v>0</v>
      </c>
      <c r="O13" s="188">
        <f>Sheet1!P$62</f>
        <v>2700</v>
      </c>
      <c r="P13" s="188">
        <f>Sheet1!P$63</f>
        <v>0</v>
      </c>
      <c r="Q13" s="188">
        <f>Sheet1!P$64</f>
        <v>2720</v>
      </c>
      <c r="R13" s="11">
        <f t="shared" si="1"/>
        <v>5420</v>
      </c>
      <c r="S13" s="188">
        <f>Sheet1!P$67</f>
        <v>0</v>
      </c>
      <c r="T13" s="188">
        <f>Sheet1!P$68</f>
        <v>212</v>
      </c>
      <c r="U13" s="188">
        <f>Sheet1!P$69</f>
        <v>0</v>
      </c>
      <c r="V13" s="188">
        <f>Sheet1!P$70</f>
        <v>181</v>
      </c>
      <c r="W13" s="11">
        <f t="shared" si="2"/>
        <v>393</v>
      </c>
      <c r="X13" s="188">
        <f>Sheet1!P$73</f>
        <v>0</v>
      </c>
      <c r="Y13" s="188">
        <f>Sheet1!P$74</f>
        <v>133</v>
      </c>
      <c r="Z13" s="188">
        <f>Sheet1!P$75</f>
        <v>0</v>
      </c>
      <c r="AA13" s="188">
        <f>Sheet1!P$76</f>
        <v>136</v>
      </c>
      <c r="AB13" s="11">
        <f t="shared" si="3"/>
        <v>269</v>
      </c>
      <c r="AC13" s="11">
        <f t="shared" si="4"/>
        <v>6082</v>
      </c>
      <c r="AD13" s="188">
        <f>Sheet1!P$81</f>
        <v>178</v>
      </c>
      <c r="AE13" s="188">
        <f>Sheet1!P$82</f>
        <v>0</v>
      </c>
      <c r="AF13" s="188">
        <f>Sheet1!P$83</f>
        <v>232</v>
      </c>
      <c r="AG13" s="188">
        <f>Sheet1!P$84</f>
        <v>150</v>
      </c>
      <c r="AH13" s="11">
        <f t="shared" si="5"/>
        <v>560</v>
      </c>
      <c r="AI13" s="190">
        <f>Sheet1!P$98</f>
        <v>331.2</v>
      </c>
      <c r="AJ13" s="190">
        <f>Sheet1!P$99</f>
        <v>0</v>
      </c>
      <c r="AK13" s="190">
        <f>Sheet1!P$100</f>
        <v>1562.85</v>
      </c>
      <c r="AL13" s="190">
        <f>Sheet1!P$101</f>
        <v>936.67499999999995</v>
      </c>
      <c r="AM13" s="190">
        <f>Sheet1!P$102</f>
        <v>15.524999999999999</v>
      </c>
      <c r="AN13" s="190">
        <f>Sheet1!P$103</f>
        <v>988.42499999999995</v>
      </c>
      <c r="AO13" s="9">
        <f>Sheet1!P$112</f>
        <v>120</v>
      </c>
      <c r="AP13" s="9">
        <f>Sheet1!P$113</f>
        <v>19</v>
      </c>
      <c r="AQ13" s="11">
        <f t="shared" si="6"/>
        <v>139</v>
      </c>
      <c r="AR13" s="9">
        <f>Sheet1!P$123</f>
        <v>45</v>
      </c>
      <c r="AS13" s="9">
        <f>Sheet1!P$124</f>
        <v>15</v>
      </c>
      <c r="AT13" s="11">
        <f t="shared" si="7"/>
        <v>60</v>
      </c>
    </row>
    <row r="14" spans="1:48" x14ac:dyDescent="0.25">
      <c r="A14" t="s">
        <v>10</v>
      </c>
      <c r="B14">
        <f t="shared" si="8"/>
        <v>13</v>
      </c>
      <c r="C14">
        <v>8</v>
      </c>
      <c r="D14">
        <v>2020</v>
      </c>
      <c r="E14" s="6">
        <f>Sheet1!Q8*255</f>
        <v>124.95</v>
      </c>
      <c r="F14" s="7">
        <v>0</v>
      </c>
      <c r="G14" s="188">
        <f>Sheet1!Q$24</f>
        <v>4674</v>
      </c>
      <c r="H14" s="188">
        <f>Sheet1!Q$25</f>
        <v>2470</v>
      </c>
      <c r="I14" s="188">
        <f>Sheet1!Q$27</f>
        <v>12600</v>
      </c>
      <c r="J14" s="188">
        <f>Sheet1!Q$28</f>
        <v>4940</v>
      </c>
      <c r="K14" s="188">
        <f>Sheet1!Q$57</f>
        <v>298</v>
      </c>
      <c r="L14" s="188">
        <f>Sheet1!Q$58</f>
        <v>324</v>
      </c>
      <c r="M14" s="11">
        <f t="shared" si="0"/>
        <v>622</v>
      </c>
      <c r="N14" s="188">
        <f>Sheet1!Q$61</f>
        <v>0</v>
      </c>
      <c r="O14" s="188">
        <f>Sheet1!Q$62</f>
        <v>2880</v>
      </c>
      <c r="P14" s="188">
        <f>Sheet1!Q$63</f>
        <v>0</v>
      </c>
      <c r="Q14" s="188">
        <f>Sheet1!Q$64</f>
        <v>2910</v>
      </c>
      <c r="R14" s="11">
        <f t="shared" si="1"/>
        <v>5790</v>
      </c>
      <c r="S14" s="188">
        <f>Sheet1!Q$67</f>
        <v>0</v>
      </c>
      <c r="T14" s="188">
        <f>Sheet1!Q$68</f>
        <v>233</v>
      </c>
      <c r="U14" s="188">
        <f>Sheet1!Q$69</f>
        <v>0</v>
      </c>
      <c r="V14" s="188">
        <f>Sheet1!Q$70</f>
        <v>200</v>
      </c>
      <c r="W14" s="11">
        <f t="shared" si="2"/>
        <v>433</v>
      </c>
      <c r="X14" s="188">
        <f>Sheet1!Q$73</f>
        <v>0</v>
      </c>
      <c r="Y14" s="188">
        <f>Sheet1!Q$74</f>
        <v>144</v>
      </c>
      <c r="Z14" s="188">
        <f>Sheet1!Q$75</f>
        <v>0</v>
      </c>
      <c r="AA14" s="188">
        <f>Sheet1!Q$76</f>
        <v>148</v>
      </c>
      <c r="AB14" s="11">
        <f t="shared" si="3"/>
        <v>292</v>
      </c>
      <c r="AC14" s="11">
        <f t="shared" si="4"/>
        <v>6515</v>
      </c>
      <c r="AD14" s="188">
        <f>Sheet1!Q$81</f>
        <v>135</v>
      </c>
      <c r="AE14" s="188">
        <f>Sheet1!Q$82</f>
        <v>0</v>
      </c>
      <c r="AF14" s="188">
        <f>Sheet1!Q$83</f>
        <v>270</v>
      </c>
      <c r="AG14" s="188">
        <f>Sheet1!Q$84</f>
        <v>108</v>
      </c>
      <c r="AH14" s="11">
        <f t="shared" si="5"/>
        <v>513</v>
      </c>
      <c r="AI14" s="190">
        <f>Sheet1!Q$98</f>
        <v>238.04999999999998</v>
      </c>
      <c r="AJ14" s="190">
        <f>Sheet1!Q$99</f>
        <v>0</v>
      </c>
      <c r="AK14" s="190">
        <f>Sheet1!Q$100</f>
        <v>1749.1499999999999</v>
      </c>
      <c r="AL14" s="190">
        <f>Sheet1!Q$101</f>
        <v>952.19999999999993</v>
      </c>
      <c r="AM14" s="190">
        <f>Sheet1!Q$102</f>
        <v>20.7</v>
      </c>
      <c r="AN14" s="190">
        <f>Sheet1!Q$103</f>
        <v>667.57499999999993</v>
      </c>
      <c r="AO14" s="9">
        <f>Sheet1!Q$112</f>
        <v>110</v>
      </c>
      <c r="AP14" s="9">
        <f>Sheet1!Q$113</f>
        <v>21</v>
      </c>
      <c r="AQ14" s="11">
        <f t="shared" si="6"/>
        <v>131</v>
      </c>
      <c r="AR14" s="9">
        <f>Sheet1!Q$123</f>
        <v>46</v>
      </c>
      <c r="AS14" s="9">
        <f>Sheet1!Q$124</f>
        <v>11</v>
      </c>
      <c r="AT14" s="11">
        <f t="shared" si="7"/>
        <v>57</v>
      </c>
    </row>
    <row r="15" spans="1:48" x14ac:dyDescent="0.25">
      <c r="A15" t="s">
        <v>10</v>
      </c>
      <c r="B15">
        <f t="shared" si="8"/>
        <v>14</v>
      </c>
      <c r="C15">
        <v>8</v>
      </c>
      <c r="D15">
        <v>2020</v>
      </c>
      <c r="E15" s="6">
        <f>Sheet1!R8*255</f>
        <v>133.11000000000001</v>
      </c>
      <c r="F15" s="7">
        <v>0</v>
      </c>
      <c r="G15" s="188">
        <f>Sheet1!R$24</f>
        <v>4457</v>
      </c>
      <c r="H15" s="188">
        <f>Sheet1!R$25</f>
        <v>1857</v>
      </c>
      <c r="I15" s="188">
        <f>Sheet1!R$27</f>
        <v>12398</v>
      </c>
      <c r="J15" s="188">
        <f>Sheet1!R$28</f>
        <v>3801</v>
      </c>
      <c r="K15" s="188">
        <f>Sheet1!R$57</f>
        <v>256</v>
      </c>
      <c r="L15" s="188">
        <f>Sheet1!R$58</f>
        <v>278</v>
      </c>
      <c r="M15" s="11">
        <f t="shared" si="0"/>
        <v>534</v>
      </c>
      <c r="N15" s="188">
        <f>Sheet1!R$61</f>
        <v>0</v>
      </c>
      <c r="O15" s="188">
        <f>Sheet1!R$62</f>
        <v>2460</v>
      </c>
      <c r="P15" s="188">
        <f>Sheet1!R$63</f>
        <v>0</v>
      </c>
      <c r="Q15" s="188">
        <f>Sheet1!R$64</f>
        <v>2470</v>
      </c>
      <c r="R15" s="11">
        <f t="shared" si="1"/>
        <v>4930</v>
      </c>
      <c r="S15" s="188">
        <f>Sheet1!R$67</f>
        <v>0</v>
      </c>
      <c r="T15" s="188">
        <f>Sheet1!R$68</f>
        <v>207</v>
      </c>
      <c r="U15" s="188">
        <f>Sheet1!R$69</f>
        <v>0</v>
      </c>
      <c r="V15" s="188">
        <f>Sheet1!R$70</f>
        <v>177</v>
      </c>
      <c r="W15" s="11">
        <f t="shared" si="2"/>
        <v>384</v>
      </c>
      <c r="X15" s="188">
        <f>Sheet1!R$73</f>
        <v>0</v>
      </c>
      <c r="Y15" s="188">
        <f>Sheet1!R$74</f>
        <v>132</v>
      </c>
      <c r="Z15" s="188">
        <f>Sheet1!R$75</f>
        <v>0</v>
      </c>
      <c r="AA15" s="188">
        <f>Sheet1!R$76</f>
        <v>136</v>
      </c>
      <c r="AB15" s="11">
        <f t="shared" si="3"/>
        <v>268</v>
      </c>
      <c r="AC15" s="11">
        <f t="shared" si="4"/>
        <v>5582</v>
      </c>
      <c r="AD15" s="188">
        <f>Sheet1!R$81</f>
        <v>136</v>
      </c>
      <c r="AE15" s="188">
        <f>Sheet1!R$82</f>
        <v>0</v>
      </c>
      <c r="AF15" s="188">
        <f>Sheet1!R$83</f>
        <v>263</v>
      </c>
      <c r="AG15" s="188">
        <f>Sheet1!R$84</f>
        <v>110</v>
      </c>
      <c r="AH15" s="11">
        <f t="shared" si="5"/>
        <v>509</v>
      </c>
      <c r="AI15" s="190">
        <f>Sheet1!R$98</f>
        <v>232.875</v>
      </c>
      <c r="AJ15" s="190">
        <f>Sheet1!R$99</f>
        <v>0</v>
      </c>
      <c r="AK15" s="190">
        <f>Sheet1!R$100</f>
        <v>1816.425</v>
      </c>
      <c r="AL15" s="190">
        <f>Sheet1!R$101</f>
        <v>517.5</v>
      </c>
      <c r="AM15" s="190">
        <f>Sheet1!R$102</f>
        <v>25.875</v>
      </c>
      <c r="AN15" s="190">
        <f>Sheet1!R$103</f>
        <v>947.02499999999998</v>
      </c>
      <c r="AO15" s="9">
        <f>Sheet1!R$112</f>
        <v>110</v>
      </c>
      <c r="AP15" s="9">
        <f>Sheet1!R$113</f>
        <v>22</v>
      </c>
      <c r="AQ15" s="11">
        <f t="shared" si="6"/>
        <v>132</v>
      </c>
      <c r="AR15" s="9">
        <f>Sheet1!R$123</f>
        <v>43</v>
      </c>
      <c r="AS15" s="9">
        <f>Sheet1!R$124</f>
        <v>11</v>
      </c>
      <c r="AT15" s="11">
        <f t="shared" si="7"/>
        <v>54</v>
      </c>
    </row>
    <row r="16" spans="1:48" x14ac:dyDescent="0.25">
      <c r="A16" t="s">
        <v>10</v>
      </c>
      <c r="B16">
        <f t="shared" si="8"/>
        <v>15</v>
      </c>
      <c r="C16">
        <v>8</v>
      </c>
      <c r="D16">
        <v>2020</v>
      </c>
      <c r="E16" s="6">
        <f>Sheet1!S8*255</f>
        <v>138.97500000000002</v>
      </c>
      <c r="F16" s="7">
        <v>0</v>
      </c>
      <c r="G16" s="188">
        <f>Sheet1!S$24</f>
        <v>4706</v>
      </c>
      <c r="H16" s="188">
        <f>Sheet1!S$25</f>
        <v>1900</v>
      </c>
      <c r="I16" s="188">
        <f>Sheet1!S$27</f>
        <v>12450</v>
      </c>
      <c r="J16" s="188">
        <f>Sheet1!S$28</f>
        <v>4159</v>
      </c>
      <c r="K16" s="188">
        <f>Sheet1!S$57</f>
        <v>320</v>
      </c>
      <c r="L16" s="188">
        <f>Sheet1!S$58</f>
        <v>288</v>
      </c>
      <c r="M16" s="11">
        <f t="shared" si="0"/>
        <v>608</v>
      </c>
      <c r="N16" s="188">
        <f>Sheet1!S$61</f>
        <v>0</v>
      </c>
      <c r="O16" s="188">
        <f>Sheet1!S$62</f>
        <v>2570</v>
      </c>
      <c r="P16" s="188">
        <f>Sheet1!S$63</f>
        <v>0</v>
      </c>
      <c r="Q16" s="188">
        <f>Sheet1!S$64</f>
        <v>2610</v>
      </c>
      <c r="R16" s="11">
        <f t="shared" si="1"/>
        <v>5180</v>
      </c>
      <c r="S16" s="188">
        <f>Sheet1!S$67</f>
        <v>0</v>
      </c>
      <c r="T16" s="188">
        <f>Sheet1!S$68</f>
        <v>217</v>
      </c>
      <c r="U16" s="188">
        <f>Sheet1!S$69</f>
        <v>0</v>
      </c>
      <c r="V16" s="188">
        <f>Sheet1!S$70</f>
        <v>186</v>
      </c>
      <c r="W16" s="11">
        <f t="shared" si="2"/>
        <v>403</v>
      </c>
      <c r="X16" s="188">
        <f>Sheet1!S$73</f>
        <v>0</v>
      </c>
      <c r="Y16" s="188">
        <f>Sheet1!S$74</f>
        <v>135</v>
      </c>
      <c r="Z16" s="188">
        <f>Sheet1!S$75</f>
        <v>0</v>
      </c>
      <c r="AA16" s="188">
        <f>Sheet1!S$76</f>
        <v>139</v>
      </c>
      <c r="AB16" s="11">
        <f t="shared" si="3"/>
        <v>274</v>
      </c>
      <c r="AC16" s="11">
        <f t="shared" si="4"/>
        <v>5857</v>
      </c>
      <c r="AD16" s="188">
        <f>Sheet1!S$81</f>
        <v>141</v>
      </c>
      <c r="AE16" s="188">
        <f>Sheet1!S$82</f>
        <v>0</v>
      </c>
      <c r="AF16" s="188">
        <f>Sheet1!S$83</f>
        <v>255</v>
      </c>
      <c r="AG16" s="188">
        <f>Sheet1!S$84</f>
        <v>119</v>
      </c>
      <c r="AH16" s="11">
        <f t="shared" si="5"/>
        <v>515</v>
      </c>
      <c r="AI16" s="190">
        <f>Sheet1!S$98</f>
        <v>217.35</v>
      </c>
      <c r="AJ16" s="190">
        <f>Sheet1!S$99</f>
        <v>0</v>
      </c>
      <c r="AK16" s="190">
        <f>Sheet1!S$100</f>
        <v>1857.825</v>
      </c>
      <c r="AL16" s="190">
        <f>Sheet1!S$101</f>
        <v>615.82499999999993</v>
      </c>
      <c r="AM16" s="190">
        <f>Sheet1!S$102</f>
        <v>5.1749999999999998</v>
      </c>
      <c r="AN16" s="190">
        <f>Sheet1!S$103</f>
        <v>869.4</v>
      </c>
      <c r="AO16" s="9">
        <f>Sheet1!S$112</f>
        <v>110</v>
      </c>
      <c r="AP16" s="9">
        <f>Sheet1!S$113</f>
        <v>24</v>
      </c>
      <c r="AQ16" s="11">
        <f t="shared" si="6"/>
        <v>134</v>
      </c>
      <c r="AR16" s="9">
        <f>Sheet1!S$123</f>
        <v>48</v>
      </c>
      <c r="AS16" s="9">
        <f>Sheet1!S$124</f>
        <v>11</v>
      </c>
      <c r="AT16" s="11">
        <f t="shared" si="7"/>
        <v>59</v>
      </c>
    </row>
    <row r="17" spans="1:46" x14ac:dyDescent="0.25">
      <c r="A17" t="s">
        <v>10</v>
      </c>
      <c r="B17">
        <f t="shared" si="8"/>
        <v>16</v>
      </c>
      <c r="C17">
        <v>8</v>
      </c>
      <c r="D17">
        <v>2020</v>
      </c>
      <c r="E17" s="6">
        <f>Sheet1!T8*255</f>
        <v>120.10499999999999</v>
      </c>
      <c r="F17" s="7">
        <v>0</v>
      </c>
      <c r="G17" s="188">
        <f>Sheet1!T$24</f>
        <v>4524</v>
      </c>
      <c r="H17" s="188">
        <f>Sheet1!T$25</f>
        <v>1991</v>
      </c>
      <c r="I17" s="188">
        <f>Sheet1!T$27</f>
        <v>12160</v>
      </c>
      <c r="J17" s="188">
        <f>Sheet1!T$28</f>
        <v>4051</v>
      </c>
      <c r="K17" s="188">
        <f>Sheet1!T$57</f>
        <v>218</v>
      </c>
      <c r="L17" s="188">
        <f>Sheet1!T$58</f>
        <v>290</v>
      </c>
      <c r="M17" s="11">
        <f t="shared" si="0"/>
        <v>508</v>
      </c>
      <c r="N17" s="188">
        <f>Sheet1!T$61</f>
        <v>0</v>
      </c>
      <c r="O17" s="188">
        <f>Sheet1!T$62</f>
        <v>2620</v>
      </c>
      <c r="P17" s="188">
        <f>Sheet1!T$63</f>
        <v>0</v>
      </c>
      <c r="Q17" s="188">
        <f>Sheet1!T$64</f>
        <v>2630</v>
      </c>
      <c r="R17" s="11">
        <f t="shared" si="1"/>
        <v>5250</v>
      </c>
      <c r="S17" s="188">
        <f>Sheet1!T$67</f>
        <v>0</v>
      </c>
      <c r="T17" s="188">
        <f>Sheet1!T$68</f>
        <v>217</v>
      </c>
      <c r="U17" s="188">
        <f>Sheet1!T$69</f>
        <v>0</v>
      </c>
      <c r="V17" s="188">
        <f>Sheet1!T$70</f>
        <v>185</v>
      </c>
      <c r="W17" s="11">
        <f t="shared" si="2"/>
        <v>402</v>
      </c>
      <c r="X17" s="188">
        <f>Sheet1!T$73</f>
        <v>0</v>
      </c>
      <c r="Y17" s="188">
        <f>Sheet1!T$74</f>
        <v>133</v>
      </c>
      <c r="Z17" s="188">
        <f>Sheet1!T$75</f>
        <v>0</v>
      </c>
      <c r="AA17" s="188">
        <f>Sheet1!T$76</f>
        <v>137</v>
      </c>
      <c r="AB17" s="11">
        <f t="shared" si="3"/>
        <v>270</v>
      </c>
      <c r="AC17" s="11">
        <f t="shared" si="4"/>
        <v>5922</v>
      </c>
      <c r="AD17" s="188">
        <f>Sheet1!T$81</f>
        <v>137</v>
      </c>
      <c r="AE17" s="188">
        <f>Sheet1!T$82</f>
        <v>0</v>
      </c>
      <c r="AF17" s="188">
        <f>Sheet1!T$83</f>
        <v>274</v>
      </c>
      <c r="AG17" s="188">
        <f>Sheet1!T$84</f>
        <v>109</v>
      </c>
      <c r="AH17" s="11">
        <f t="shared" si="5"/>
        <v>520</v>
      </c>
      <c r="AI17" s="190">
        <f>Sheet1!T$98</f>
        <v>155.25</v>
      </c>
      <c r="AJ17" s="190">
        <f>Sheet1!T$99</f>
        <v>0</v>
      </c>
      <c r="AK17" s="190">
        <f>Sheet1!T$100</f>
        <v>1800.8999999999999</v>
      </c>
      <c r="AL17" s="190">
        <f>Sheet1!T$101</f>
        <v>289.8</v>
      </c>
      <c r="AM17" s="190">
        <f>Sheet1!T$102</f>
        <v>10.35</v>
      </c>
      <c r="AN17" s="190">
        <f>Sheet1!T$103</f>
        <v>921.15</v>
      </c>
      <c r="AO17" s="9">
        <f>Sheet1!T$112</f>
        <v>110</v>
      </c>
      <c r="AP17" s="9">
        <f>Sheet1!T$113</f>
        <v>19</v>
      </c>
      <c r="AQ17" s="11">
        <f t="shared" si="6"/>
        <v>129</v>
      </c>
      <c r="AR17" s="9">
        <f>Sheet1!T$123</f>
        <v>45</v>
      </c>
      <c r="AS17" s="9">
        <f>Sheet1!T$124</f>
        <v>11</v>
      </c>
      <c r="AT17" s="11">
        <f t="shared" si="7"/>
        <v>56</v>
      </c>
    </row>
    <row r="18" spans="1:46" x14ac:dyDescent="0.25">
      <c r="A18" t="s">
        <v>10</v>
      </c>
      <c r="B18">
        <f t="shared" si="8"/>
        <v>17</v>
      </c>
      <c r="C18">
        <v>8</v>
      </c>
      <c r="D18">
        <v>2020</v>
      </c>
      <c r="E18" s="6">
        <f>Sheet1!U8*255</f>
        <v>119.08500000000001</v>
      </c>
      <c r="F18" s="7">
        <v>0</v>
      </c>
      <c r="G18" s="188">
        <f>Sheet1!U$24</f>
        <v>4375</v>
      </c>
      <c r="H18" s="188">
        <f>Sheet1!U$25</f>
        <v>1807</v>
      </c>
      <c r="I18" s="188">
        <f>Sheet1!U$27</f>
        <v>11200</v>
      </c>
      <c r="J18" s="188">
        <f>Sheet1!U$28</f>
        <v>3838</v>
      </c>
      <c r="K18" s="188">
        <f>Sheet1!U$57</f>
        <v>257</v>
      </c>
      <c r="L18" s="188">
        <f>Sheet1!U$58</f>
        <v>278</v>
      </c>
      <c r="M18" s="11">
        <f t="shared" si="0"/>
        <v>535</v>
      </c>
      <c r="N18" s="188">
        <f>Sheet1!U$61</f>
        <v>0</v>
      </c>
      <c r="O18" s="188">
        <f>Sheet1!U$62</f>
        <v>2460</v>
      </c>
      <c r="P18" s="188">
        <f>Sheet1!U$63</f>
        <v>0</v>
      </c>
      <c r="Q18" s="188">
        <f>Sheet1!U$64</f>
        <v>2480</v>
      </c>
      <c r="R18" s="11">
        <f t="shared" si="1"/>
        <v>4940</v>
      </c>
      <c r="S18" s="188">
        <f>Sheet1!U$67</f>
        <v>0</v>
      </c>
      <c r="T18" s="188">
        <f>Sheet1!U$68</f>
        <v>210</v>
      </c>
      <c r="U18" s="188">
        <f>Sheet1!U$69</f>
        <v>0</v>
      </c>
      <c r="V18" s="188">
        <f>Sheet1!U$70</f>
        <v>180</v>
      </c>
      <c r="W18" s="11">
        <f t="shared" si="2"/>
        <v>390</v>
      </c>
      <c r="X18" s="188">
        <f>Sheet1!U$73</f>
        <v>0</v>
      </c>
      <c r="Y18" s="188">
        <f>Sheet1!U$74</f>
        <v>137</v>
      </c>
      <c r="Z18" s="188">
        <f>Sheet1!U$75</f>
        <v>0</v>
      </c>
      <c r="AA18" s="188">
        <f>Sheet1!U$76</f>
        <v>140</v>
      </c>
      <c r="AB18" s="11">
        <f t="shared" si="3"/>
        <v>277</v>
      </c>
      <c r="AC18" s="11">
        <f t="shared" si="4"/>
        <v>5607</v>
      </c>
      <c r="AD18" s="188">
        <f>Sheet1!U$81</f>
        <v>132</v>
      </c>
      <c r="AE18" s="188">
        <f>Sheet1!U$82</f>
        <v>0</v>
      </c>
      <c r="AF18" s="188">
        <f>Sheet1!U$83</f>
        <v>266</v>
      </c>
      <c r="AG18" s="188">
        <f>Sheet1!U$84</f>
        <v>107</v>
      </c>
      <c r="AH18" s="11">
        <f t="shared" si="5"/>
        <v>505</v>
      </c>
      <c r="AI18" s="190">
        <f>Sheet1!U$98</f>
        <v>217.35</v>
      </c>
      <c r="AJ18" s="190">
        <f>Sheet1!U$99</f>
        <v>0</v>
      </c>
      <c r="AK18" s="190">
        <f>Sheet1!U$100</f>
        <v>1645.6499999999999</v>
      </c>
      <c r="AL18" s="190">
        <f>Sheet1!U$101</f>
        <v>263.92500000000001</v>
      </c>
      <c r="AM18" s="190">
        <f>Sheet1!U$102</f>
        <v>10.35</v>
      </c>
      <c r="AN18" s="190">
        <f>Sheet1!U$103</f>
        <v>0</v>
      </c>
      <c r="AO18" s="9">
        <f>Sheet1!U$112</f>
        <v>80</v>
      </c>
      <c r="AP18" s="9">
        <f>Sheet1!U$113</f>
        <v>22</v>
      </c>
      <c r="AQ18" s="11">
        <f t="shared" si="6"/>
        <v>102</v>
      </c>
      <c r="AR18" s="9">
        <f>Sheet1!U$123</f>
        <v>34</v>
      </c>
      <c r="AS18" s="9">
        <f>Sheet1!U$124</f>
        <v>12</v>
      </c>
      <c r="AT18" s="11">
        <f t="shared" si="7"/>
        <v>46</v>
      </c>
    </row>
    <row r="19" spans="1:46" x14ac:dyDescent="0.25">
      <c r="A19" t="s">
        <v>10</v>
      </c>
      <c r="B19">
        <f t="shared" si="8"/>
        <v>18</v>
      </c>
      <c r="C19">
        <v>8</v>
      </c>
      <c r="D19">
        <v>2020</v>
      </c>
      <c r="E19" s="6">
        <f>Sheet1!V8*255</f>
        <v>118.06500000000001</v>
      </c>
      <c r="F19" s="7">
        <v>0</v>
      </c>
      <c r="G19" s="188">
        <f>Sheet1!V$24</f>
        <v>4359</v>
      </c>
      <c r="H19" s="188">
        <f>Sheet1!V$25</f>
        <v>1884</v>
      </c>
      <c r="I19" s="188">
        <f>Sheet1!V$27</f>
        <v>11238</v>
      </c>
      <c r="J19" s="188">
        <f>Sheet1!V$28</f>
        <v>4019</v>
      </c>
      <c r="K19" s="188">
        <f>Sheet1!V$57</f>
        <v>261</v>
      </c>
      <c r="L19" s="188">
        <f>Sheet1!V$58</f>
        <v>283</v>
      </c>
      <c r="M19" s="11">
        <f t="shared" si="0"/>
        <v>544</v>
      </c>
      <c r="N19" s="188">
        <f>Sheet1!V$61</f>
        <v>0</v>
      </c>
      <c r="O19" s="188">
        <f>Sheet1!V$62</f>
        <v>2490</v>
      </c>
      <c r="P19" s="188">
        <f>Sheet1!V$63</f>
        <v>0</v>
      </c>
      <c r="Q19" s="188">
        <f>Sheet1!V$64</f>
        <v>2510</v>
      </c>
      <c r="R19" s="11">
        <f t="shared" si="1"/>
        <v>5000</v>
      </c>
      <c r="S19" s="188">
        <f>Sheet1!V$67</f>
        <v>0</v>
      </c>
      <c r="T19" s="188">
        <f>Sheet1!V$68</f>
        <v>219</v>
      </c>
      <c r="U19" s="188">
        <f>Sheet1!V$69</f>
        <v>0</v>
      </c>
      <c r="V19" s="188">
        <f>Sheet1!V$70</f>
        <v>188</v>
      </c>
      <c r="W19" s="11">
        <f t="shared" si="2"/>
        <v>407</v>
      </c>
      <c r="X19" s="188">
        <f>Sheet1!V$73</f>
        <v>0</v>
      </c>
      <c r="Y19" s="188">
        <f>Sheet1!V$74</f>
        <v>144</v>
      </c>
      <c r="Z19" s="188">
        <f>Sheet1!V$75</f>
        <v>0</v>
      </c>
      <c r="AA19" s="188">
        <f>Sheet1!V$76</f>
        <v>169</v>
      </c>
      <c r="AB19" s="11">
        <f t="shared" si="3"/>
        <v>313</v>
      </c>
      <c r="AC19" s="11">
        <f t="shared" si="4"/>
        <v>5720</v>
      </c>
      <c r="AD19" s="188">
        <f>Sheet1!V$81</f>
        <v>118</v>
      </c>
      <c r="AE19" s="188">
        <f>Sheet1!V$82</f>
        <v>0</v>
      </c>
      <c r="AF19" s="188">
        <f>Sheet1!V$83</f>
        <v>284</v>
      </c>
      <c r="AG19" s="188">
        <f>Sheet1!V$84</f>
        <v>93</v>
      </c>
      <c r="AH19" s="11">
        <f t="shared" si="5"/>
        <v>495</v>
      </c>
      <c r="AI19" s="190">
        <f>Sheet1!V$98</f>
        <v>196.65</v>
      </c>
      <c r="AJ19" s="190">
        <f>Sheet1!V$99</f>
        <v>0</v>
      </c>
      <c r="AK19" s="190">
        <f>Sheet1!V$100</f>
        <v>1780.2</v>
      </c>
      <c r="AL19" s="190">
        <f>Sheet1!V$101</f>
        <v>238.04999999999998</v>
      </c>
      <c r="AM19" s="190">
        <f>Sheet1!V$102</f>
        <v>10.35</v>
      </c>
      <c r="AN19" s="190">
        <f>Sheet1!V$103</f>
        <v>0</v>
      </c>
      <c r="AO19" s="9">
        <f>Sheet1!V$112</f>
        <v>70</v>
      </c>
      <c r="AP19" s="9">
        <f>Sheet1!V$113</f>
        <v>22</v>
      </c>
      <c r="AQ19" s="11">
        <f t="shared" si="6"/>
        <v>92</v>
      </c>
      <c r="AR19" s="9">
        <f>Sheet1!V$123</f>
        <v>42</v>
      </c>
      <c r="AS19" s="9">
        <f>Sheet1!V$124</f>
        <v>11</v>
      </c>
      <c r="AT19" s="11">
        <f t="shared" si="7"/>
        <v>53</v>
      </c>
    </row>
    <row r="20" spans="1:46" x14ac:dyDescent="0.25">
      <c r="A20" t="s">
        <v>10</v>
      </c>
      <c r="B20">
        <f t="shared" si="8"/>
        <v>19</v>
      </c>
      <c r="C20">
        <v>8</v>
      </c>
      <c r="D20">
        <v>2020</v>
      </c>
      <c r="E20" s="6">
        <f>Sheet1!W8*255</f>
        <v>121.125</v>
      </c>
      <c r="F20" s="7">
        <v>0</v>
      </c>
      <c r="G20" s="188">
        <f>Sheet1!W$24</f>
        <v>4326</v>
      </c>
      <c r="H20" s="188">
        <f>Sheet1!W$25</f>
        <v>1894</v>
      </c>
      <c r="I20" s="188">
        <f>Sheet1!W$27</f>
        <v>11948</v>
      </c>
      <c r="J20" s="188">
        <f>Sheet1!W$28</f>
        <v>4156</v>
      </c>
      <c r="K20" s="188">
        <f>Sheet1!W$57</f>
        <v>249</v>
      </c>
      <c r="L20" s="188">
        <f>Sheet1!W$58</f>
        <v>271</v>
      </c>
      <c r="M20" s="11">
        <f t="shared" si="0"/>
        <v>520</v>
      </c>
      <c r="N20" s="188">
        <f>Sheet1!W$61</f>
        <v>0</v>
      </c>
      <c r="O20" s="188">
        <f>Sheet1!W$62</f>
        <v>2360</v>
      </c>
      <c r="P20" s="188">
        <f>Sheet1!W$63</f>
        <v>0</v>
      </c>
      <c r="Q20" s="188">
        <f>Sheet1!W$64</f>
        <v>2380</v>
      </c>
      <c r="R20" s="11">
        <f t="shared" si="1"/>
        <v>4740</v>
      </c>
      <c r="S20" s="188">
        <f>Sheet1!W$67</f>
        <v>0</v>
      </c>
      <c r="T20" s="188">
        <f>Sheet1!W$68</f>
        <v>218</v>
      </c>
      <c r="U20" s="188">
        <f>Sheet1!W$69</f>
        <v>0</v>
      </c>
      <c r="V20" s="188">
        <f>Sheet1!W$70</f>
        <v>187</v>
      </c>
      <c r="W20" s="11">
        <f t="shared" si="2"/>
        <v>405</v>
      </c>
      <c r="X20" s="188">
        <f>Sheet1!W$73</f>
        <v>0</v>
      </c>
      <c r="Y20" s="188">
        <f>Sheet1!W$74</f>
        <v>142</v>
      </c>
      <c r="Z20" s="188">
        <f>Sheet1!W$75</f>
        <v>0</v>
      </c>
      <c r="AA20" s="188">
        <f>Sheet1!W$76</f>
        <v>125</v>
      </c>
      <c r="AB20" s="11">
        <f t="shared" si="3"/>
        <v>267</v>
      </c>
      <c r="AC20" s="11">
        <f t="shared" si="4"/>
        <v>5412</v>
      </c>
      <c r="AD20" s="188">
        <f>Sheet1!W$81</f>
        <v>129</v>
      </c>
      <c r="AE20" s="188">
        <f>Sheet1!W$82</f>
        <v>0</v>
      </c>
      <c r="AF20" s="188">
        <f>Sheet1!W$83</f>
        <v>270</v>
      </c>
      <c r="AG20" s="188">
        <f>Sheet1!W$84</f>
        <v>105</v>
      </c>
      <c r="AH20" s="11">
        <f t="shared" si="5"/>
        <v>504</v>
      </c>
      <c r="AI20" s="190">
        <f>Sheet1!W$98</f>
        <v>331.2</v>
      </c>
      <c r="AJ20" s="190">
        <f>Sheet1!W$99</f>
        <v>0</v>
      </c>
      <c r="AK20" s="190">
        <f>Sheet1!W$100</f>
        <v>1614.6</v>
      </c>
      <c r="AL20" s="190">
        <f>Sheet1!W$101</f>
        <v>734.85</v>
      </c>
      <c r="AM20" s="190">
        <f>Sheet1!W$102</f>
        <v>10.35</v>
      </c>
      <c r="AN20" s="190">
        <f>Sheet1!W$103</f>
        <v>915.97500000000002</v>
      </c>
      <c r="AO20" s="9">
        <f>Sheet1!W$112</f>
        <v>80</v>
      </c>
      <c r="AP20" s="9">
        <f>Sheet1!W$113</f>
        <v>24</v>
      </c>
      <c r="AQ20" s="11">
        <f t="shared" si="6"/>
        <v>104</v>
      </c>
      <c r="AR20" s="9">
        <f>Sheet1!W$123</f>
        <v>45</v>
      </c>
      <c r="AS20" s="9">
        <f>Sheet1!W$124</f>
        <v>12</v>
      </c>
      <c r="AT20" s="11">
        <f t="shared" si="7"/>
        <v>57</v>
      </c>
    </row>
    <row r="21" spans="1:46" x14ac:dyDescent="0.25">
      <c r="A21" t="s">
        <v>10</v>
      </c>
      <c r="B21">
        <f t="shared" si="8"/>
        <v>20</v>
      </c>
      <c r="C21">
        <v>8</v>
      </c>
      <c r="D21">
        <v>2020</v>
      </c>
      <c r="E21" s="6">
        <f>Sheet1!X8*255</f>
        <v>128.01</v>
      </c>
      <c r="F21" s="7">
        <v>0</v>
      </c>
      <c r="G21" s="188">
        <f>Sheet1!X$24</f>
        <v>4424</v>
      </c>
      <c r="H21" s="188">
        <f>Sheet1!X$25</f>
        <v>1865</v>
      </c>
      <c r="I21" s="188">
        <f>Sheet1!X$27</f>
        <v>12088</v>
      </c>
      <c r="J21" s="188">
        <f>Sheet1!X$28</f>
        <v>4059</v>
      </c>
      <c r="K21" s="188">
        <f>Sheet1!X$57</f>
        <v>251</v>
      </c>
      <c r="L21" s="188">
        <f>Sheet1!X$58</f>
        <v>272</v>
      </c>
      <c r="M21" s="11">
        <f t="shared" si="0"/>
        <v>523</v>
      </c>
      <c r="N21" s="188">
        <f>Sheet1!X$61</f>
        <v>0</v>
      </c>
      <c r="O21" s="188">
        <f>Sheet1!X$62</f>
        <v>2400</v>
      </c>
      <c r="P21" s="188">
        <f>Sheet1!X$63</f>
        <v>0</v>
      </c>
      <c r="Q21" s="188">
        <f>Sheet1!X$64</f>
        <v>2410</v>
      </c>
      <c r="R21" s="11">
        <f t="shared" si="1"/>
        <v>4810</v>
      </c>
      <c r="S21" s="188">
        <f>Sheet1!X$67</f>
        <v>0</v>
      </c>
      <c r="T21" s="188">
        <f>Sheet1!X$68</f>
        <v>0</v>
      </c>
      <c r="U21" s="188">
        <f>Sheet1!X$69</f>
        <v>0</v>
      </c>
      <c r="V21" s="188">
        <f>Sheet1!X$70</f>
        <v>184</v>
      </c>
      <c r="W21" s="11">
        <f t="shared" si="2"/>
        <v>184</v>
      </c>
      <c r="X21" s="188">
        <f>Sheet1!X$73</f>
        <v>0</v>
      </c>
      <c r="Y21" s="188">
        <f>Sheet1!X$74</f>
        <v>133</v>
      </c>
      <c r="Z21" s="188">
        <f>Sheet1!X$75</f>
        <v>0</v>
      </c>
      <c r="AA21" s="188">
        <f>Sheet1!X$76</f>
        <v>138</v>
      </c>
      <c r="AB21" s="11">
        <f t="shared" si="3"/>
        <v>271</v>
      </c>
      <c r="AC21" s="11">
        <f t="shared" si="4"/>
        <v>5265</v>
      </c>
      <c r="AD21" s="188">
        <f>Sheet1!X$81</f>
        <v>158</v>
      </c>
      <c r="AE21" s="188">
        <f>Sheet1!X$82</f>
        <v>0</v>
      </c>
      <c r="AF21" s="188">
        <f>Sheet1!X$83</f>
        <v>234</v>
      </c>
      <c r="AG21" s="188">
        <f>Sheet1!X$84</f>
        <v>150</v>
      </c>
      <c r="AH21" s="11">
        <f t="shared" si="5"/>
        <v>542</v>
      </c>
      <c r="AI21" s="190">
        <f>Sheet1!X$98</f>
        <v>248.39999999999998</v>
      </c>
      <c r="AJ21" s="190">
        <f>Sheet1!X$99</f>
        <v>0</v>
      </c>
      <c r="AK21" s="190">
        <f>Sheet1!X$100</f>
        <v>1692.2249999999999</v>
      </c>
      <c r="AL21" s="190">
        <f>Sheet1!X$101</f>
        <v>476.09999999999997</v>
      </c>
      <c r="AM21" s="190">
        <f>Sheet1!X$102</f>
        <v>10.35</v>
      </c>
      <c r="AN21" s="190">
        <f>Sheet1!X$103</f>
        <v>822.82499999999993</v>
      </c>
      <c r="AO21" s="9">
        <f>Sheet1!X$112</f>
        <v>90</v>
      </c>
      <c r="AP21" s="9">
        <f>Sheet1!X$113</f>
        <v>22</v>
      </c>
      <c r="AQ21" s="11">
        <f t="shared" si="6"/>
        <v>112</v>
      </c>
      <c r="AR21" s="9">
        <f>Sheet1!X$123</f>
        <v>46</v>
      </c>
      <c r="AS21" s="9">
        <f>Sheet1!X$124</f>
        <v>13</v>
      </c>
      <c r="AT21" s="11">
        <f t="shared" si="7"/>
        <v>59</v>
      </c>
    </row>
    <row r="22" spans="1:46" x14ac:dyDescent="0.25">
      <c r="A22" t="s">
        <v>10</v>
      </c>
      <c r="B22">
        <f t="shared" si="8"/>
        <v>21</v>
      </c>
      <c r="C22">
        <v>8</v>
      </c>
      <c r="D22">
        <v>2020</v>
      </c>
      <c r="E22" s="6">
        <f>Sheet1!Y8*255</f>
        <v>142.03500000000003</v>
      </c>
      <c r="F22" s="7">
        <v>0</v>
      </c>
      <c r="G22" s="188">
        <f>Sheet1!Y$24</f>
        <v>4476</v>
      </c>
      <c r="H22" s="188">
        <f>Sheet1!Y$25</f>
        <v>1748</v>
      </c>
      <c r="I22" s="188">
        <f>Sheet1!Y$27</f>
        <v>12050</v>
      </c>
      <c r="J22" s="188">
        <f>Sheet1!Y$28</f>
        <v>3900</v>
      </c>
      <c r="K22" s="188">
        <f>Sheet1!Y$57</f>
        <v>249</v>
      </c>
      <c r="L22" s="188">
        <f>Sheet1!Y$58</f>
        <v>271</v>
      </c>
      <c r="M22" s="11">
        <f t="shared" si="0"/>
        <v>520</v>
      </c>
      <c r="N22" s="188">
        <f>Sheet1!Y$61</f>
        <v>0</v>
      </c>
      <c r="O22" s="188">
        <f>Sheet1!Y$62</f>
        <v>2370</v>
      </c>
      <c r="P22" s="188">
        <f>Sheet1!Y$63</f>
        <v>0</v>
      </c>
      <c r="Q22" s="188">
        <f>Sheet1!Y$64</f>
        <v>2390</v>
      </c>
      <c r="R22" s="11">
        <f t="shared" si="1"/>
        <v>4760</v>
      </c>
      <c r="S22" s="188">
        <f>Sheet1!Y$67</f>
        <v>0</v>
      </c>
      <c r="T22" s="188">
        <f>Sheet1!Y$68</f>
        <v>214</v>
      </c>
      <c r="U22" s="188">
        <f>Sheet1!Y$69</f>
        <v>0</v>
      </c>
      <c r="V22" s="188">
        <f>Sheet1!Y$70</f>
        <v>188</v>
      </c>
      <c r="W22" s="11">
        <f t="shared" si="2"/>
        <v>402</v>
      </c>
      <c r="X22" s="188">
        <f>Sheet1!Y$73</f>
        <v>0</v>
      </c>
      <c r="Y22" s="188">
        <f>Sheet1!Y$74</f>
        <v>130</v>
      </c>
      <c r="Z22" s="188">
        <f>Sheet1!Y$75</f>
        <v>0</v>
      </c>
      <c r="AA22" s="188">
        <f>Sheet1!Y$76</f>
        <v>133</v>
      </c>
      <c r="AB22" s="11">
        <f t="shared" si="3"/>
        <v>263</v>
      </c>
      <c r="AC22" s="11">
        <f t="shared" si="4"/>
        <v>5425</v>
      </c>
      <c r="AD22" s="188">
        <f>Sheet1!Y$81</f>
        <v>183</v>
      </c>
      <c r="AE22" s="188">
        <f>Sheet1!Y$82</f>
        <v>0</v>
      </c>
      <c r="AF22" s="188">
        <f>Sheet1!Y$83</f>
        <v>230</v>
      </c>
      <c r="AG22" s="188">
        <f>Sheet1!Y$84</f>
        <v>148</v>
      </c>
      <c r="AH22" s="11">
        <f t="shared" si="5"/>
        <v>561</v>
      </c>
      <c r="AI22" s="190">
        <f>Sheet1!Y$98</f>
        <v>222.52500000000001</v>
      </c>
      <c r="AJ22" s="190">
        <f>Sheet1!Y$99</f>
        <v>0</v>
      </c>
      <c r="AK22" s="190">
        <f>Sheet1!Y$100</f>
        <v>1826.7749999999999</v>
      </c>
      <c r="AL22" s="190">
        <f>Sheet1!Y$101</f>
        <v>527.85</v>
      </c>
      <c r="AM22" s="190">
        <f>Sheet1!Y$102</f>
        <v>10.35</v>
      </c>
      <c r="AN22" s="190">
        <f>Sheet1!Y$103</f>
        <v>729.67499999999995</v>
      </c>
      <c r="AO22" s="9">
        <f>Sheet1!Y$112</f>
        <v>120</v>
      </c>
      <c r="AP22" s="9">
        <f>Sheet1!Y$113</f>
        <v>20</v>
      </c>
      <c r="AQ22" s="11">
        <f t="shared" si="6"/>
        <v>140</v>
      </c>
      <c r="AR22" s="9">
        <f>Sheet1!Y$123</f>
        <v>67</v>
      </c>
      <c r="AS22" s="9">
        <f>Sheet1!Y$124</f>
        <v>14</v>
      </c>
      <c r="AT22" s="11">
        <f t="shared" si="7"/>
        <v>81</v>
      </c>
    </row>
    <row r="23" spans="1:46" x14ac:dyDescent="0.25">
      <c r="A23" t="s">
        <v>10</v>
      </c>
      <c r="B23">
        <f t="shared" si="8"/>
        <v>22</v>
      </c>
      <c r="C23">
        <v>8</v>
      </c>
      <c r="D23">
        <v>2020</v>
      </c>
      <c r="E23" s="6">
        <f>Sheet1!Z8*255</f>
        <v>161.92500000000001</v>
      </c>
      <c r="F23" s="7">
        <v>0</v>
      </c>
      <c r="G23" s="188">
        <f>Sheet1!Z$24</f>
        <v>4432</v>
      </c>
      <c r="H23" s="188">
        <f>Sheet1!Z$25</f>
        <v>2097</v>
      </c>
      <c r="I23" s="188">
        <f>Sheet1!Z$27</f>
        <v>12468</v>
      </c>
      <c r="J23" s="188">
        <f>Sheet1!Z$28</f>
        <v>4717</v>
      </c>
      <c r="K23" s="188">
        <f>Sheet1!Z$57</f>
        <v>0</v>
      </c>
      <c r="L23" s="188">
        <f>Sheet1!Z$58</f>
        <v>286</v>
      </c>
      <c r="M23" s="11">
        <f t="shared" si="0"/>
        <v>286</v>
      </c>
      <c r="N23" s="188">
        <f>Sheet1!Z$61</f>
        <v>0</v>
      </c>
      <c r="O23" s="188">
        <f>Sheet1!Z$62</f>
        <v>2510</v>
      </c>
      <c r="P23" s="188">
        <f>Sheet1!Z$63</f>
        <v>0</v>
      </c>
      <c r="Q23" s="188">
        <f>Sheet1!Z$64</f>
        <v>2520</v>
      </c>
      <c r="R23" s="11">
        <f t="shared" si="1"/>
        <v>5030</v>
      </c>
      <c r="S23" s="188">
        <f>Sheet1!Z$67</f>
        <v>0</v>
      </c>
      <c r="T23" s="188">
        <f>Sheet1!Z$68</f>
        <v>217</v>
      </c>
      <c r="U23" s="188">
        <f>Sheet1!Z$69</f>
        <v>0</v>
      </c>
      <c r="V23" s="188">
        <f>Sheet1!Z$70</f>
        <v>226</v>
      </c>
      <c r="W23" s="11">
        <f t="shared" si="2"/>
        <v>443</v>
      </c>
      <c r="X23" s="188">
        <f>Sheet1!Z$73</f>
        <v>0</v>
      </c>
      <c r="Y23" s="188">
        <f>Sheet1!Z$74</f>
        <v>135</v>
      </c>
      <c r="Z23" s="188">
        <f>Sheet1!Z$75</f>
        <v>0</v>
      </c>
      <c r="AA23" s="188">
        <f>Sheet1!Z$76</f>
        <v>139</v>
      </c>
      <c r="AB23" s="11">
        <f t="shared" si="3"/>
        <v>274</v>
      </c>
      <c r="AC23" s="11">
        <f t="shared" si="4"/>
        <v>5747</v>
      </c>
      <c r="AD23" s="188">
        <f>Sheet1!Z$81</f>
        <v>137</v>
      </c>
      <c r="AE23" s="188">
        <f>Sheet1!Z$82</f>
        <v>0</v>
      </c>
      <c r="AF23" s="188">
        <f>Sheet1!Z$83</f>
        <v>260</v>
      </c>
      <c r="AG23" s="188">
        <f>Sheet1!Z$84</f>
        <v>99</v>
      </c>
      <c r="AH23" s="11">
        <f t="shared" si="5"/>
        <v>496</v>
      </c>
      <c r="AI23" s="190">
        <f>Sheet1!Z$98</f>
        <v>207</v>
      </c>
      <c r="AJ23" s="190">
        <f>Sheet1!Z$99</f>
        <v>0</v>
      </c>
      <c r="AK23" s="190">
        <f>Sheet1!Z$100</f>
        <v>1863</v>
      </c>
      <c r="AL23" s="190">
        <f>Sheet1!Z$101</f>
        <v>455.4</v>
      </c>
      <c r="AM23" s="190">
        <f>Sheet1!Z$102</f>
        <v>15.524999999999999</v>
      </c>
      <c r="AN23" s="190">
        <f>Sheet1!Z$103</f>
        <v>936.67499999999995</v>
      </c>
      <c r="AO23" s="9">
        <f>Sheet1!Z$112</f>
        <v>130</v>
      </c>
      <c r="AP23" s="9">
        <f>Sheet1!Z$113</f>
        <v>23</v>
      </c>
      <c r="AQ23" s="11">
        <f t="shared" si="6"/>
        <v>153</v>
      </c>
      <c r="AR23" s="9">
        <f>Sheet1!Z$123</f>
        <v>57</v>
      </c>
      <c r="AS23" s="9">
        <f>Sheet1!Z$124</f>
        <v>15</v>
      </c>
      <c r="AT23" s="11">
        <f t="shared" si="7"/>
        <v>72</v>
      </c>
    </row>
    <row r="24" spans="1:46" x14ac:dyDescent="0.25">
      <c r="A24" t="s">
        <v>10</v>
      </c>
      <c r="B24">
        <f t="shared" si="8"/>
        <v>23</v>
      </c>
      <c r="C24">
        <v>8</v>
      </c>
      <c r="D24">
        <v>2020</v>
      </c>
      <c r="E24" s="6">
        <f>Sheet1!AA8*255</f>
        <v>129.03</v>
      </c>
      <c r="F24" s="7">
        <v>0</v>
      </c>
      <c r="G24" s="188">
        <f>Sheet1!AA$24</f>
        <v>4140</v>
      </c>
      <c r="H24" s="188">
        <f>Sheet1!AA$25</f>
        <v>1676</v>
      </c>
      <c r="I24" s="188">
        <f>Sheet1!AA$27</f>
        <v>12164</v>
      </c>
      <c r="J24" s="188">
        <f>Sheet1!AA$28</f>
        <v>3802</v>
      </c>
      <c r="K24" s="188">
        <f>Sheet1!AA$57</f>
        <v>240</v>
      </c>
      <c r="L24" s="188">
        <f>Sheet1!AA$58</f>
        <v>258</v>
      </c>
      <c r="M24" s="11">
        <f t="shared" si="0"/>
        <v>498</v>
      </c>
      <c r="N24" s="188">
        <f>Sheet1!AA$61</f>
        <v>0</v>
      </c>
      <c r="O24" s="188">
        <f>Sheet1!AA$62</f>
        <v>2250</v>
      </c>
      <c r="P24" s="188">
        <f>Sheet1!AA$63</f>
        <v>0</v>
      </c>
      <c r="Q24" s="188">
        <f>Sheet1!AA$64</f>
        <v>2270</v>
      </c>
      <c r="R24" s="11">
        <f t="shared" si="1"/>
        <v>4520</v>
      </c>
      <c r="S24" s="188">
        <f>Sheet1!AA$67</f>
        <v>0</v>
      </c>
      <c r="T24" s="188">
        <f>Sheet1!AA$68</f>
        <v>217</v>
      </c>
      <c r="U24" s="188">
        <f>Sheet1!AA$69</f>
        <v>0</v>
      </c>
      <c r="V24" s="188">
        <f>Sheet1!AA$70</f>
        <v>194</v>
      </c>
      <c r="W24" s="11">
        <f t="shared" si="2"/>
        <v>411</v>
      </c>
      <c r="X24" s="188">
        <f>Sheet1!AA$73</f>
        <v>0</v>
      </c>
      <c r="Y24" s="188">
        <f>Sheet1!AA$74</f>
        <v>142</v>
      </c>
      <c r="Z24" s="188">
        <f>Sheet1!AA$75</f>
        <v>0</v>
      </c>
      <c r="AA24" s="188">
        <f>Sheet1!AA$76</f>
        <v>146</v>
      </c>
      <c r="AB24" s="11">
        <f t="shared" si="3"/>
        <v>288</v>
      </c>
      <c r="AC24" s="11">
        <f t="shared" si="4"/>
        <v>5219</v>
      </c>
      <c r="AD24" s="188">
        <f>Sheet1!AA$81</f>
        <v>92</v>
      </c>
      <c r="AE24" s="188">
        <f>Sheet1!AA$82</f>
        <v>0</v>
      </c>
      <c r="AF24" s="188">
        <f>Sheet1!AA$83</f>
        <v>298</v>
      </c>
      <c r="AG24" s="188">
        <f>Sheet1!AA$84</f>
        <v>72</v>
      </c>
      <c r="AH24" s="11">
        <f t="shared" si="5"/>
        <v>462</v>
      </c>
      <c r="AI24" s="190">
        <f>Sheet1!AA$98</f>
        <v>165.6</v>
      </c>
      <c r="AJ24" s="190">
        <f>Sheet1!AA$99</f>
        <v>0</v>
      </c>
      <c r="AK24" s="190">
        <f>Sheet1!AA$100</f>
        <v>1800.8999999999999</v>
      </c>
      <c r="AL24" s="190">
        <f>Sheet1!AA$101</f>
        <v>398.47499999999997</v>
      </c>
      <c r="AM24" s="190">
        <f>Sheet1!AA$102</f>
        <v>10.35</v>
      </c>
      <c r="AN24" s="190">
        <f>Sheet1!AA$103</f>
        <v>864.22500000000002</v>
      </c>
      <c r="AO24" s="9">
        <f>Sheet1!AA$112</f>
        <v>120</v>
      </c>
      <c r="AP24" s="9">
        <f>Sheet1!AA$113</f>
        <v>24</v>
      </c>
      <c r="AQ24" s="11">
        <f t="shared" si="6"/>
        <v>144</v>
      </c>
      <c r="AR24" s="9">
        <f>Sheet1!AA$123</f>
        <v>31</v>
      </c>
      <c r="AS24" s="9">
        <f>Sheet1!AA$124</f>
        <v>12</v>
      </c>
      <c r="AT24" s="11">
        <f t="shared" si="7"/>
        <v>43</v>
      </c>
    </row>
    <row r="25" spans="1:46" x14ac:dyDescent="0.25">
      <c r="A25" t="s">
        <v>10</v>
      </c>
      <c r="B25">
        <f t="shared" si="8"/>
        <v>24</v>
      </c>
      <c r="C25">
        <v>8</v>
      </c>
      <c r="D25">
        <v>2020</v>
      </c>
      <c r="E25" s="6">
        <f>Sheet1!AB8*255</f>
        <v>124.95</v>
      </c>
      <c r="F25" s="7">
        <v>0</v>
      </c>
      <c r="G25" s="188">
        <f>Sheet1!AB$24</f>
        <v>4444</v>
      </c>
      <c r="H25" s="188">
        <f>Sheet1!AB$25</f>
        <v>1852</v>
      </c>
      <c r="I25" s="188">
        <f>Sheet1!AB$27</f>
        <v>11218</v>
      </c>
      <c r="J25" s="188">
        <f>Sheet1!AB$28</f>
        <v>4229</v>
      </c>
      <c r="K25" s="188">
        <f>Sheet1!AB$57</f>
        <v>253</v>
      </c>
      <c r="L25" s="188">
        <f>Sheet1!AB$58</f>
        <v>272</v>
      </c>
      <c r="M25" s="11">
        <f t="shared" si="0"/>
        <v>525</v>
      </c>
      <c r="N25" s="188">
        <f>Sheet1!AB$61</f>
        <v>0</v>
      </c>
      <c r="O25" s="188">
        <f>Sheet1!AB$62</f>
        <v>2400</v>
      </c>
      <c r="P25" s="188">
        <f>Sheet1!AB$63</f>
        <v>0</v>
      </c>
      <c r="Q25" s="188">
        <f>Sheet1!AB$64</f>
        <v>2390</v>
      </c>
      <c r="R25" s="11">
        <f t="shared" si="1"/>
        <v>4790</v>
      </c>
      <c r="S25" s="188">
        <f>Sheet1!AB$67</f>
        <v>0</v>
      </c>
      <c r="T25" s="188">
        <f>Sheet1!AB$68</f>
        <v>219</v>
      </c>
      <c r="U25" s="188">
        <f>Sheet1!AB$69</f>
        <v>0</v>
      </c>
      <c r="V25" s="188">
        <f>Sheet1!AB$70</f>
        <v>197</v>
      </c>
      <c r="W25" s="11">
        <f t="shared" si="2"/>
        <v>416</v>
      </c>
      <c r="X25" s="188">
        <f>Sheet1!AB$73</f>
        <v>0</v>
      </c>
      <c r="Y25" s="188">
        <f>Sheet1!AB$74</f>
        <v>143</v>
      </c>
      <c r="Z25" s="188">
        <f>Sheet1!AB$75</f>
        <v>0</v>
      </c>
      <c r="AA25" s="188">
        <f>Sheet1!AB$76</f>
        <v>146</v>
      </c>
      <c r="AB25" s="11">
        <f t="shared" si="3"/>
        <v>289</v>
      </c>
      <c r="AC25" s="11">
        <f t="shared" si="4"/>
        <v>5495</v>
      </c>
      <c r="AD25" s="188">
        <f>Sheet1!AB$81</f>
        <v>137</v>
      </c>
      <c r="AE25" s="188">
        <f>Sheet1!AB$82</f>
        <v>0</v>
      </c>
      <c r="AF25" s="188">
        <f>Sheet1!AB$83</f>
        <v>267</v>
      </c>
      <c r="AG25" s="188">
        <f>Sheet1!AB$84</f>
        <v>112</v>
      </c>
      <c r="AH25" s="11">
        <f t="shared" si="5"/>
        <v>516</v>
      </c>
      <c r="AI25" s="190">
        <f>Sheet1!AB$98</f>
        <v>238.04999999999998</v>
      </c>
      <c r="AJ25" s="190">
        <f>Sheet1!AB$99</f>
        <v>0</v>
      </c>
      <c r="AK25" s="190">
        <f>Sheet1!AB$100</f>
        <v>1831.95</v>
      </c>
      <c r="AL25" s="190">
        <f>Sheet1!AB$101</f>
        <v>388.125</v>
      </c>
      <c r="AM25" s="190">
        <f>Sheet1!AB$102</f>
        <v>20.7</v>
      </c>
      <c r="AN25" s="190">
        <f>Sheet1!AB$103</f>
        <v>0</v>
      </c>
      <c r="AO25" s="9">
        <f>Sheet1!AB$112</f>
        <v>110</v>
      </c>
      <c r="AP25" s="9">
        <f>Sheet1!AB$113</f>
        <v>22</v>
      </c>
      <c r="AQ25" s="11">
        <f t="shared" si="6"/>
        <v>132</v>
      </c>
      <c r="AR25" s="9">
        <f>Sheet1!AB$123</f>
        <v>44</v>
      </c>
      <c r="AS25" s="9">
        <f>Sheet1!AB$124</f>
        <v>13</v>
      </c>
      <c r="AT25" s="11">
        <f t="shared" si="7"/>
        <v>57</v>
      </c>
    </row>
    <row r="26" spans="1:46" x14ac:dyDescent="0.25">
      <c r="A26" t="s">
        <v>10</v>
      </c>
      <c r="B26">
        <f>B25+1</f>
        <v>25</v>
      </c>
      <c r="C26">
        <v>8</v>
      </c>
      <c r="D26">
        <v>2020</v>
      </c>
      <c r="E26" s="6">
        <f>Sheet1!AC8*255</f>
        <v>128.01</v>
      </c>
      <c r="F26" s="7">
        <v>0</v>
      </c>
      <c r="G26" s="188">
        <f>Sheet1!AC$24</f>
        <v>4361</v>
      </c>
      <c r="H26" s="188">
        <f>Sheet1!AC$25</f>
        <v>1728</v>
      </c>
      <c r="I26" s="188">
        <f>Sheet1!AC$27</f>
        <v>11516</v>
      </c>
      <c r="J26" s="188">
        <f>Sheet1!AC$28</f>
        <v>3688</v>
      </c>
      <c r="K26" s="188">
        <f>Sheet1!AC$57</f>
        <v>241</v>
      </c>
      <c r="L26" s="188">
        <f>Sheet1!AC$58</f>
        <v>262</v>
      </c>
      <c r="M26" s="11">
        <f t="shared" si="0"/>
        <v>503</v>
      </c>
      <c r="N26" s="188">
        <f>Sheet1!AC$61</f>
        <v>0</v>
      </c>
      <c r="O26" s="188">
        <f>Sheet1!AC$62</f>
        <v>2290</v>
      </c>
      <c r="P26" s="188">
        <f>Sheet1!AC$63</f>
        <v>0</v>
      </c>
      <c r="Q26" s="188">
        <f>Sheet1!AC$64</f>
        <v>2330</v>
      </c>
      <c r="R26" s="11">
        <f t="shared" si="1"/>
        <v>4620</v>
      </c>
      <c r="S26" s="188">
        <f>Sheet1!AC$67</f>
        <v>2</v>
      </c>
      <c r="T26" s="188">
        <f>Sheet1!AC$68</f>
        <v>208</v>
      </c>
      <c r="U26" s="188">
        <f>Sheet1!AC$69</f>
        <v>0</v>
      </c>
      <c r="V26" s="188">
        <f>Sheet1!AC$70</f>
        <v>189</v>
      </c>
      <c r="W26" s="11">
        <f t="shared" si="2"/>
        <v>399</v>
      </c>
      <c r="X26" s="188">
        <f>Sheet1!AC$73</f>
        <v>0</v>
      </c>
      <c r="Y26" s="188">
        <f>Sheet1!AC$74</f>
        <v>131</v>
      </c>
      <c r="Z26" s="188">
        <f>Sheet1!AC$75</f>
        <v>0</v>
      </c>
      <c r="AA26" s="188">
        <f>Sheet1!AC$76</f>
        <v>134</v>
      </c>
      <c r="AB26" s="11">
        <f t="shared" si="3"/>
        <v>265</v>
      </c>
      <c r="AC26" s="11">
        <f t="shared" si="4"/>
        <v>5284</v>
      </c>
      <c r="AD26" s="188">
        <f>Sheet1!AC$81</f>
        <v>160</v>
      </c>
      <c r="AE26" s="188">
        <f>Sheet1!AC$82</f>
        <v>0</v>
      </c>
      <c r="AF26" s="188">
        <f>Sheet1!AC$83</f>
        <v>250</v>
      </c>
      <c r="AG26" s="188">
        <f>Sheet1!AC$84</f>
        <v>130</v>
      </c>
      <c r="AH26" s="11">
        <f t="shared" si="5"/>
        <v>540</v>
      </c>
      <c r="AI26" s="190">
        <f>Sheet1!AC$98</f>
        <v>175.95</v>
      </c>
      <c r="AJ26" s="190">
        <f>Sheet1!AC$99</f>
        <v>0</v>
      </c>
      <c r="AK26" s="190">
        <f>Sheet1!AC$100</f>
        <v>1749.1499999999999</v>
      </c>
      <c r="AL26" s="190">
        <f>Sheet1!AC$101</f>
        <v>388.125</v>
      </c>
      <c r="AM26" s="190">
        <f>Sheet1!AC$102</f>
        <v>10.35</v>
      </c>
      <c r="AN26" s="190">
        <f>Sheet1!AC$103</f>
        <v>31.049999999999997</v>
      </c>
      <c r="AO26" s="9">
        <f>Sheet1!AC$112</f>
        <v>80</v>
      </c>
      <c r="AP26" s="9">
        <f>Sheet1!AC$113</f>
        <v>23</v>
      </c>
      <c r="AQ26" s="11">
        <f t="shared" si="6"/>
        <v>103</v>
      </c>
      <c r="AR26" s="9">
        <f>Sheet1!AC$123</f>
        <v>66</v>
      </c>
      <c r="AS26" s="9">
        <f>Sheet1!AC$124</f>
        <v>11</v>
      </c>
      <c r="AT26" s="11">
        <f t="shared" si="7"/>
        <v>77</v>
      </c>
    </row>
    <row r="27" spans="1:46" x14ac:dyDescent="0.25">
      <c r="A27" t="s">
        <v>10</v>
      </c>
      <c r="B27">
        <f t="shared" si="8"/>
        <v>26</v>
      </c>
      <c r="C27">
        <v>8</v>
      </c>
      <c r="D27">
        <v>2020</v>
      </c>
      <c r="E27" s="6">
        <f>Sheet1!AD8*255</f>
        <v>128.01</v>
      </c>
      <c r="F27" s="7">
        <v>0</v>
      </c>
      <c r="G27" s="188">
        <f>Sheet1!AD$24</f>
        <v>4456</v>
      </c>
      <c r="H27" s="188">
        <f>Sheet1!AD$25</f>
        <v>1848</v>
      </c>
      <c r="I27" s="188">
        <f>Sheet1!AD$27</f>
        <v>12190</v>
      </c>
      <c r="J27" s="188">
        <f>Sheet1!AD$28</f>
        <v>4115</v>
      </c>
      <c r="K27" s="188">
        <f>Sheet1!AD$57</f>
        <v>254</v>
      </c>
      <c r="L27" s="188">
        <f>Sheet1!AD$58</f>
        <v>275</v>
      </c>
      <c r="M27" s="11">
        <f t="shared" si="0"/>
        <v>529</v>
      </c>
      <c r="N27" s="188">
        <f>Sheet1!AD$61</f>
        <v>10</v>
      </c>
      <c r="O27" s="188">
        <f>Sheet1!AD$62</f>
        <v>2410</v>
      </c>
      <c r="P27" s="188">
        <f>Sheet1!AD$63</f>
        <v>0</v>
      </c>
      <c r="Q27" s="188">
        <f>Sheet1!AD$64</f>
        <v>2380</v>
      </c>
      <c r="R27" s="11">
        <f t="shared" si="1"/>
        <v>4800</v>
      </c>
      <c r="S27" s="188">
        <f>Sheet1!AD$67</f>
        <v>0</v>
      </c>
      <c r="T27" s="188">
        <f>Sheet1!AD$68</f>
        <v>219</v>
      </c>
      <c r="U27" s="188">
        <f>Sheet1!AD$69</f>
        <v>0</v>
      </c>
      <c r="V27" s="188">
        <f>Sheet1!AD$70</f>
        <v>197</v>
      </c>
      <c r="W27" s="11">
        <f t="shared" si="2"/>
        <v>416</v>
      </c>
      <c r="X27" s="188">
        <f>Sheet1!AD$73</f>
        <v>0</v>
      </c>
      <c r="Y27" s="188">
        <f>Sheet1!AD$74</f>
        <v>137</v>
      </c>
      <c r="Z27" s="188">
        <f>Sheet1!AD$75</f>
        <v>0</v>
      </c>
      <c r="AA27" s="188">
        <f>Sheet1!AD$76</f>
        <v>141</v>
      </c>
      <c r="AB27" s="11">
        <f t="shared" si="3"/>
        <v>278</v>
      </c>
      <c r="AC27" s="11">
        <f t="shared" si="4"/>
        <v>5494</v>
      </c>
      <c r="AD27" s="188">
        <f>Sheet1!AD$81</f>
        <v>139</v>
      </c>
      <c r="AE27" s="188">
        <f>Sheet1!AD$82</f>
        <v>0</v>
      </c>
      <c r="AF27" s="188">
        <f>Sheet1!AD$83</f>
        <v>264</v>
      </c>
      <c r="AG27" s="188">
        <f>Sheet1!AD$84</f>
        <v>112</v>
      </c>
      <c r="AH27" s="11">
        <f t="shared" si="5"/>
        <v>515</v>
      </c>
      <c r="AI27" s="190">
        <f>Sheet1!AD$98</f>
        <v>232.875</v>
      </c>
      <c r="AJ27" s="190">
        <f>Sheet1!AD$99</f>
        <v>0</v>
      </c>
      <c r="AK27" s="190">
        <f>Sheet1!AD$100</f>
        <v>1790.55</v>
      </c>
      <c r="AL27" s="190">
        <f>Sheet1!AD$101</f>
        <v>1045.3499999999999</v>
      </c>
      <c r="AM27" s="190">
        <f>Sheet1!AD$102</f>
        <v>10.35</v>
      </c>
      <c r="AN27" s="190">
        <f>Sheet1!AD$103</f>
        <v>833.17499999999995</v>
      </c>
      <c r="AO27" s="9">
        <f>Sheet1!AD$112</f>
        <v>130</v>
      </c>
      <c r="AP27" s="9">
        <f>Sheet1!AD$113</f>
        <v>21</v>
      </c>
      <c r="AQ27" s="11">
        <f t="shared" si="6"/>
        <v>151</v>
      </c>
      <c r="AR27" s="9">
        <f>Sheet1!AD$123</f>
        <v>46</v>
      </c>
      <c r="AS27" s="9">
        <f>Sheet1!AD$124</f>
        <v>17</v>
      </c>
      <c r="AT27" s="11">
        <f t="shared" si="7"/>
        <v>63</v>
      </c>
    </row>
    <row r="28" spans="1:46" x14ac:dyDescent="0.25">
      <c r="A28" t="s">
        <v>10</v>
      </c>
      <c r="B28">
        <f t="shared" si="8"/>
        <v>27</v>
      </c>
      <c r="C28">
        <v>8</v>
      </c>
      <c r="D28">
        <v>2020</v>
      </c>
      <c r="E28" s="6">
        <f>Sheet1!AE8*255</f>
        <v>131.07</v>
      </c>
      <c r="F28" s="7">
        <v>0</v>
      </c>
      <c r="G28" s="188">
        <f>Sheet1!AE$24</f>
        <v>4561</v>
      </c>
      <c r="H28" s="188">
        <f>Sheet1!AE$25</f>
        <v>1926</v>
      </c>
      <c r="I28" s="188">
        <f>Sheet1!AE$27</f>
        <v>12048</v>
      </c>
      <c r="J28" s="188">
        <f>Sheet1!AE$28</f>
        <v>4266</v>
      </c>
      <c r="K28" s="188">
        <f>Sheet1!AE$57</f>
        <v>263</v>
      </c>
      <c r="L28" s="188">
        <f>Sheet1!AE$58</f>
        <v>282</v>
      </c>
      <c r="M28" s="11">
        <f t="shared" si="0"/>
        <v>545</v>
      </c>
      <c r="N28" s="188">
        <f>Sheet1!AE$61</f>
        <v>0</v>
      </c>
      <c r="O28" s="188">
        <f>Sheet1!AE$62</f>
        <v>2510</v>
      </c>
      <c r="P28" s="188">
        <f>Sheet1!AE$63</f>
        <v>0</v>
      </c>
      <c r="Q28" s="188">
        <f>Sheet1!AE$64</f>
        <v>2510</v>
      </c>
      <c r="R28" s="11">
        <f t="shared" si="1"/>
        <v>5020</v>
      </c>
      <c r="S28" s="188">
        <f>Sheet1!AE$67</f>
        <v>0</v>
      </c>
      <c r="T28" s="188">
        <f>Sheet1!AE$68</f>
        <v>215</v>
      </c>
      <c r="U28" s="188">
        <f>Sheet1!AE$69</f>
        <v>0</v>
      </c>
      <c r="V28" s="188">
        <f>Sheet1!AE$70</f>
        <v>195</v>
      </c>
      <c r="W28" s="11">
        <f t="shared" si="2"/>
        <v>410</v>
      </c>
      <c r="X28" s="188">
        <f>Sheet1!AE$73</f>
        <v>0</v>
      </c>
      <c r="Y28" s="188">
        <f>Sheet1!AE$74</f>
        <v>144</v>
      </c>
      <c r="Z28" s="188">
        <f>Sheet1!AE$75</f>
        <v>0</v>
      </c>
      <c r="AA28" s="188">
        <f>Sheet1!AE$76</f>
        <v>148</v>
      </c>
      <c r="AB28" s="11">
        <f t="shared" si="3"/>
        <v>292</v>
      </c>
      <c r="AC28" s="11">
        <f t="shared" si="4"/>
        <v>5722</v>
      </c>
      <c r="AD28" s="188">
        <f>Sheet1!AE$81</f>
        <v>158</v>
      </c>
      <c r="AE28" s="188">
        <f>Sheet1!AE$82</f>
        <v>0</v>
      </c>
      <c r="AF28" s="188">
        <f>Sheet1!AE$83</f>
        <v>247</v>
      </c>
      <c r="AG28" s="188">
        <f>Sheet1!AE$84</f>
        <v>132</v>
      </c>
      <c r="AH28" s="11">
        <f t="shared" si="5"/>
        <v>537</v>
      </c>
      <c r="AI28" s="190">
        <f>Sheet1!AE$98</f>
        <v>175.95</v>
      </c>
      <c r="AJ28" s="190">
        <f>Sheet1!AE$99</f>
        <v>921.15</v>
      </c>
      <c r="AK28" s="190">
        <f>Sheet1!AE$100</f>
        <v>1728.45</v>
      </c>
      <c r="AL28" s="190">
        <f>Sheet1!AE$101</f>
        <v>595.125</v>
      </c>
      <c r="AM28" s="190">
        <f>Sheet1!AE$102</f>
        <v>10.35</v>
      </c>
      <c r="AN28" s="190">
        <f>Sheet1!AE$103</f>
        <v>667.57499999999993</v>
      </c>
      <c r="AO28" s="9">
        <f>Sheet1!AE$112</f>
        <v>200</v>
      </c>
      <c r="AP28" s="9">
        <f>Sheet1!AE$113</f>
        <v>20</v>
      </c>
      <c r="AQ28" s="11">
        <f t="shared" si="6"/>
        <v>220</v>
      </c>
      <c r="AR28" s="9">
        <f>Sheet1!AE$123</f>
        <v>45</v>
      </c>
      <c r="AS28" s="9">
        <f>Sheet1!AE$124</f>
        <v>12</v>
      </c>
      <c r="AT28" s="11">
        <f t="shared" si="7"/>
        <v>57</v>
      </c>
    </row>
    <row r="29" spans="1:46" x14ac:dyDescent="0.25">
      <c r="A29" t="s">
        <v>10</v>
      </c>
      <c r="B29">
        <f t="shared" si="8"/>
        <v>28</v>
      </c>
      <c r="C29">
        <v>8</v>
      </c>
      <c r="D29">
        <v>2020</v>
      </c>
      <c r="E29" s="6">
        <f>Sheet1!AF8*255</f>
        <v>141.01500000000001</v>
      </c>
      <c r="F29" s="7">
        <v>0</v>
      </c>
      <c r="G29" s="188">
        <f>Sheet1!AF$24</f>
        <v>4629</v>
      </c>
      <c r="H29" s="188">
        <f>Sheet1!AF$25</f>
        <v>1939</v>
      </c>
      <c r="I29" s="188">
        <f>Sheet1!AF$27</f>
        <v>12108</v>
      </c>
      <c r="J29" s="188">
        <f>Sheet1!AF$28</f>
        <v>4241</v>
      </c>
      <c r="K29" s="188">
        <f>Sheet1!AF$57</f>
        <v>264</v>
      </c>
      <c r="L29" s="188">
        <f>Sheet1!AF$58</f>
        <v>285</v>
      </c>
      <c r="M29" s="11">
        <f t="shared" si="0"/>
        <v>549</v>
      </c>
      <c r="N29" s="188">
        <f>Sheet1!AF$61</f>
        <v>0</v>
      </c>
      <c r="O29" s="188">
        <f>Sheet1!AF$62</f>
        <v>2510</v>
      </c>
      <c r="P29" s="188">
        <f>Sheet1!AF$63</f>
        <v>0</v>
      </c>
      <c r="Q29" s="188">
        <f>Sheet1!AF$64</f>
        <v>2520</v>
      </c>
      <c r="R29" s="11">
        <f t="shared" si="1"/>
        <v>5030</v>
      </c>
      <c r="S29" s="188">
        <f>Sheet1!AF$67</f>
        <v>0</v>
      </c>
      <c r="T29" s="188">
        <f>Sheet1!AF$68</f>
        <v>225</v>
      </c>
      <c r="U29" s="188">
        <f>Sheet1!AF$69</f>
        <v>0</v>
      </c>
      <c r="V29" s="188">
        <f>Sheet1!AF$70</f>
        <v>201</v>
      </c>
      <c r="W29" s="11">
        <f t="shared" si="2"/>
        <v>426</v>
      </c>
      <c r="X29" s="188">
        <f>Sheet1!AF$73</f>
        <v>0</v>
      </c>
      <c r="Y29" s="188">
        <f>Sheet1!AF$74</f>
        <v>146</v>
      </c>
      <c r="Z29" s="188">
        <f>Sheet1!AF$75</f>
        <v>0</v>
      </c>
      <c r="AA29" s="188">
        <f>Sheet1!AF$76</f>
        <v>150</v>
      </c>
      <c r="AB29" s="11">
        <f t="shared" si="3"/>
        <v>296</v>
      </c>
      <c r="AC29" s="11">
        <f t="shared" si="4"/>
        <v>5752</v>
      </c>
      <c r="AD29" s="188">
        <f>Sheet1!AF$81</f>
        <v>151</v>
      </c>
      <c r="AE29" s="188">
        <f>Sheet1!AF$82</f>
        <v>0</v>
      </c>
      <c r="AF29" s="188">
        <f>Sheet1!AF$83</f>
        <v>255</v>
      </c>
      <c r="AG29" s="188">
        <f>Sheet1!AF$84</f>
        <v>124</v>
      </c>
      <c r="AH29" s="11">
        <f t="shared" si="5"/>
        <v>530</v>
      </c>
      <c r="AI29" s="190">
        <f>Sheet1!AF$98</f>
        <v>263.92500000000001</v>
      </c>
      <c r="AJ29" s="190">
        <f>Sheet1!AF$99</f>
        <v>0</v>
      </c>
      <c r="AK29" s="190">
        <f>Sheet1!AF$100</f>
        <v>1733.625</v>
      </c>
      <c r="AL29" s="190">
        <f>Sheet1!AF$101</f>
        <v>398.47499999999997</v>
      </c>
      <c r="AM29" s="190">
        <f>Sheet1!AF$102</f>
        <v>15.524999999999999</v>
      </c>
      <c r="AN29" s="190">
        <f>Sheet1!AF$103</f>
        <v>947.02499999999998</v>
      </c>
      <c r="AO29" s="9">
        <f>Sheet1!AF$112</f>
        <v>110</v>
      </c>
      <c r="AP29" s="9">
        <f>Sheet1!AF$113</f>
        <v>18</v>
      </c>
      <c r="AQ29" s="11">
        <f t="shared" si="6"/>
        <v>128</v>
      </c>
      <c r="AR29" s="9">
        <f>Sheet1!AF$123</f>
        <v>51</v>
      </c>
      <c r="AS29" s="9">
        <f>Sheet1!AF$124</f>
        <v>14</v>
      </c>
      <c r="AT29" s="11">
        <f t="shared" si="7"/>
        <v>65</v>
      </c>
    </row>
    <row r="30" spans="1:46" x14ac:dyDescent="0.25">
      <c r="A30" t="s">
        <v>10</v>
      </c>
      <c r="B30">
        <f t="shared" si="8"/>
        <v>29</v>
      </c>
      <c r="C30">
        <v>8</v>
      </c>
      <c r="D30">
        <v>2020</v>
      </c>
      <c r="E30" s="6">
        <f>Sheet1!AG8*255</f>
        <v>157.07999999999998</v>
      </c>
      <c r="F30" s="7">
        <v>0</v>
      </c>
      <c r="G30" s="188">
        <f>Sheet1!AG$24</f>
        <v>4925</v>
      </c>
      <c r="H30" s="188">
        <f>Sheet1!AG$25</f>
        <v>2369</v>
      </c>
      <c r="I30" s="188">
        <f>Sheet1!AG$27</f>
        <v>12832</v>
      </c>
      <c r="J30" s="188">
        <f>Sheet1!AG$28</f>
        <v>4965</v>
      </c>
      <c r="K30" s="188">
        <f>Sheet1!AG$57</f>
        <v>292</v>
      </c>
      <c r="L30" s="188">
        <f>Sheet1!AG$58</f>
        <v>319</v>
      </c>
      <c r="M30" s="11">
        <f t="shared" si="0"/>
        <v>611</v>
      </c>
      <c r="N30" s="188">
        <f>Sheet1!AG$61</f>
        <v>0</v>
      </c>
      <c r="O30" s="188">
        <f>Sheet1!AG$62</f>
        <v>2800</v>
      </c>
      <c r="P30" s="188">
        <f>Sheet1!AG$63</f>
        <v>0</v>
      </c>
      <c r="Q30" s="188">
        <f>Sheet1!AG$64</f>
        <v>2800</v>
      </c>
      <c r="R30" s="11">
        <f t="shared" si="1"/>
        <v>5600</v>
      </c>
      <c r="S30" s="188">
        <f>Sheet1!AG$67</f>
        <v>0</v>
      </c>
      <c r="T30" s="188">
        <f>Sheet1!AG$68</f>
        <v>232</v>
      </c>
      <c r="U30" s="188">
        <f>Sheet1!AG$69</f>
        <v>0</v>
      </c>
      <c r="V30" s="188">
        <f>Sheet1!AG$70</f>
        <v>206</v>
      </c>
      <c r="W30" s="11">
        <f t="shared" si="2"/>
        <v>438</v>
      </c>
      <c r="X30" s="188">
        <f>Sheet1!AG$73</f>
        <v>0</v>
      </c>
      <c r="Y30" s="188">
        <f>Sheet1!AG$74</f>
        <v>153</v>
      </c>
      <c r="Z30" s="188">
        <f>Sheet1!AG$75</f>
        <v>0</v>
      </c>
      <c r="AA30" s="188">
        <f>Sheet1!AG$76</f>
        <v>157</v>
      </c>
      <c r="AB30" s="11">
        <f t="shared" si="3"/>
        <v>310</v>
      </c>
      <c r="AC30" s="11">
        <f t="shared" si="4"/>
        <v>6348</v>
      </c>
      <c r="AD30" s="188">
        <f>Sheet1!AG$81</f>
        <v>181</v>
      </c>
      <c r="AE30" s="188">
        <f>Sheet1!AG$82</f>
        <v>0</v>
      </c>
      <c r="AF30" s="188">
        <f>Sheet1!AG$83</f>
        <v>233</v>
      </c>
      <c r="AG30" s="188">
        <f>Sheet1!AG$84</f>
        <v>151</v>
      </c>
      <c r="AH30" s="11">
        <f t="shared" si="5"/>
        <v>565</v>
      </c>
      <c r="AI30" s="190">
        <f>Sheet1!AG$98</f>
        <v>175.95</v>
      </c>
      <c r="AJ30" s="190">
        <f>Sheet1!AG$99</f>
        <v>0</v>
      </c>
      <c r="AK30" s="190">
        <f>Sheet1!AG$100</f>
        <v>1878.5249999999999</v>
      </c>
      <c r="AL30" s="190">
        <f>Sheet1!AG$101</f>
        <v>724.5</v>
      </c>
      <c r="AM30" s="190">
        <f>Sheet1!AG$102</f>
        <v>10.35</v>
      </c>
      <c r="AN30" s="190">
        <f>Sheet1!AG$103</f>
        <v>1066.05</v>
      </c>
      <c r="AO30" s="9">
        <f>Sheet1!AG$112</f>
        <v>140</v>
      </c>
      <c r="AP30" s="9">
        <f>Sheet1!AG$113</f>
        <v>21</v>
      </c>
      <c r="AQ30" s="11">
        <f t="shared" si="6"/>
        <v>161</v>
      </c>
      <c r="AR30" s="9">
        <f>Sheet1!AG$123</f>
        <v>46</v>
      </c>
      <c r="AS30" s="9">
        <f>Sheet1!AG$124</f>
        <v>15</v>
      </c>
      <c r="AT30" s="11">
        <f t="shared" si="7"/>
        <v>61</v>
      </c>
    </row>
    <row r="31" spans="1:46" x14ac:dyDescent="0.25">
      <c r="A31" t="s">
        <v>10</v>
      </c>
      <c r="B31">
        <f t="shared" si="8"/>
        <v>30</v>
      </c>
      <c r="C31">
        <v>8</v>
      </c>
      <c r="D31">
        <v>2020</v>
      </c>
      <c r="E31" s="6">
        <f>Sheet1!AH8*255</f>
        <v>122.91</v>
      </c>
      <c r="F31" s="7">
        <v>0</v>
      </c>
      <c r="G31" s="188">
        <f>Sheet1!AH$24</f>
        <v>4718</v>
      </c>
      <c r="H31" s="188">
        <f>Sheet1!AH$25</f>
        <v>2033</v>
      </c>
      <c r="I31" s="188">
        <f>Sheet1!AH$27</f>
        <v>12380</v>
      </c>
      <c r="J31" s="188">
        <f>Sheet1!AH$28</f>
        <v>4200</v>
      </c>
      <c r="K31" s="188">
        <f>Sheet1!AH$57</f>
        <v>274</v>
      </c>
      <c r="L31" s="188">
        <f>Sheet1!AH$58</f>
        <v>297</v>
      </c>
      <c r="M31" s="11">
        <f t="shared" si="0"/>
        <v>571</v>
      </c>
      <c r="N31" s="188">
        <f>Sheet1!AH$61</f>
        <v>0</v>
      </c>
      <c r="O31" s="188">
        <f>Sheet1!AH$62</f>
        <v>2640</v>
      </c>
      <c r="P31" s="188">
        <f>Sheet1!AH$63</f>
        <v>0</v>
      </c>
      <c r="Q31" s="188">
        <f>Sheet1!AH$64</f>
        <v>2650</v>
      </c>
      <c r="R31" s="11">
        <f t="shared" si="1"/>
        <v>5290</v>
      </c>
      <c r="S31" s="188">
        <f>Sheet1!AH$67</f>
        <v>0</v>
      </c>
      <c r="T31" s="188">
        <f>Sheet1!AH$68</f>
        <v>215</v>
      </c>
      <c r="U31" s="188">
        <f>Sheet1!AH$69</f>
        <v>0</v>
      </c>
      <c r="V31" s="188">
        <f>Sheet1!AH$70</f>
        <v>192</v>
      </c>
      <c r="W31" s="11">
        <f t="shared" si="2"/>
        <v>407</v>
      </c>
      <c r="X31" s="188">
        <f>Sheet1!AH$73</f>
        <v>0</v>
      </c>
      <c r="Y31" s="188">
        <f>Sheet1!AH$74</f>
        <v>140</v>
      </c>
      <c r="Z31" s="188">
        <f>Sheet1!AH$75</f>
        <v>0</v>
      </c>
      <c r="AA31" s="188">
        <f>Sheet1!AH$76</f>
        <v>143</v>
      </c>
      <c r="AB31" s="11">
        <f t="shared" si="3"/>
        <v>283</v>
      </c>
      <c r="AC31" s="11">
        <f t="shared" si="4"/>
        <v>5980</v>
      </c>
      <c r="AD31" s="188">
        <f>Sheet1!AH$81</f>
        <v>174</v>
      </c>
      <c r="AE31" s="188">
        <f>Sheet1!AH$82</f>
        <v>0</v>
      </c>
      <c r="AF31" s="188">
        <f>Sheet1!AH$83</f>
        <v>227</v>
      </c>
      <c r="AG31" s="188">
        <f>Sheet1!AH$84</f>
        <v>145</v>
      </c>
      <c r="AH31" s="11">
        <f t="shared" si="5"/>
        <v>546</v>
      </c>
      <c r="AI31" s="190">
        <f>Sheet1!AH$98</f>
        <v>160.42499999999998</v>
      </c>
      <c r="AJ31" s="190">
        <f>Sheet1!AH$99</f>
        <v>0</v>
      </c>
      <c r="AK31" s="190">
        <f>Sheet1!AH$100</f>
        <v>1868.175</v>
      </c>
      <c r="AL31" s="190">
        <f>Sheet1!AH$101</f>
        <v>408.82499999999999</v>
      </c>
      <c r="AM31" s="190">
        <f>Sheet1!AH$102</f>
        <v>10.35</v>
      </c>
      <c r="AN31" s="190">
        <f>Sheet1!AH$103</f>
        <v>993.59999999999991</v>
      </c>
      <c r="AO31" s="9">
        <f>Sheet1!AH$112</f>
        <v>110</v>
      </c>
      <c r="AP31" s="9">
        <f>Sheet1!AH$113</f>
        <v>15</v>
      </c>
      <c r="AQ31" s="11">
        <f t="shared" si="6"/>
        <v>125</v>
      </c>
      <c r="AR31" s="9">
        <f>Sheet1!AH$123</f>
        <v>50</v>
      </c>
      <c r="AS31" s="9">
        <f>Sheet1!AH$124</f>
        <v>13</v>
      </c>
      <c r="AT31" s="11">
        <f t="shared" si="7"/>
        <v>63</v>
      </c>
    </row>
    <row r="32" spans="1:46" x14ac:dyDescent="0.25">
      <c r="A32" t="s">
        <v>10</v>
      </c>
      <c r="B32">
        <f t="shared" si="8"/>
        <v>31</v>
      </c>
      <c r="C32">
        <v>8</v>
      </c>
      <c r="D32">
        <v>2020</v>
      </c>
      <c r="E32" s="6">
        <f>Sheet1!AI8*255</f>
        <v>120.10499999999999</v>
      </c>
      <c r="F32" s="7">
        <v>0</v>
      </c>
      <c r="G32" s="188">
        <f>Sheet1!AI$24</f>
        <v>4556</v>
      </c>
      <c r="H32" s="188">
        <f>Sheet1!AI$25</f>
        <v>1952</v>
      </c>
      <c r="I32" s="188">
        <f>Sheet1!AI$27</f>
        <v>11182</v>
      </c>
      <c r="J32" s="188">
        <f>Sheet1!AI$28</f>
        <v>4071</v>
      </c>
      <c r="K32" s="188">
        <f>Sheet1!AI$57</f>
        <v>534</v>
      </c>
      <c r="L32" s="188">
        <f>Sheet1!AI$58</f>
        <v>579</v>
      </c>
      <c r="M32" s="11">
        <f t="shared" si="0"/>
        <v>1113</v>
      </c>
      <c r="N32" s="188">
        <f>Sheet1!AI$61</f>
        <v>0</v>
      </c>
      <c r="O32" s="188">
        <f>Sheet1!AI$62</f>
        <v>5130</v>
      </c>
      <c r="P32" s="188">
        <f>Sheet1!AI$63</f>
        <v>0</v>
      </c>
      <c r="Q32" s="188">
        <f>Sheet1!AI$64</f>
        <v>5140</v>
      </c>
      <c r="R32" s="11">
        <f t="shared" si="1"/>
        <v>10270</v>
      </c>
      <c r="S32" s="188">
        <f>Sheet1!AI$67</f>
        <v>0</v>
      </c>
      <c r="T32" s="188">
        <f>Sheet1!AI$68</f>
        <v>428</v>
      </c>
      <c r="U32" s="188">
        <f>Sheet1!AI$69</f>
        <v>0</v>
      </c>
      <c r="V32" s="188">
        <f>Sheet1!AI$70</f>
        <v>383</v>
      </c>
      <c r="W32" s="11">
        <f t="shared" si="2"/>
        <v>811</v>
      </c>
      <c r="X32" s="188">
        <f>Sheet1!AI$73</f>
        <v>0</v>
      </c>
      <c r="Y32" s="188">
        <f>Sheet1!AI$74</f>
        <v>275</v>
      </c>
      <c r="Z32" s="188">
        <f>Sheet1!AI$75</f>
        <v>0</v>
      </c>
      <c r="AA32" s="188">
        <f>Sheet1!AI$76</f>
        <v>281</v>
      </c>
      <c r="AB32" s="11">
        <f t="shared" si="3"/>
        <v>556</v>
      </c>
      <c r="AC32" s="11">
        <f t="shared" si="4"/>
        <v>11637</v>
      </c>
      <c r="AD32" s="188">
        <f>Sheet1!AI$81</f>
        <v>184</v>
      </c>
      <c r="AE32" s="188">
        <f>Sheet1!AI$82</f>
        <v>0</v>
      </c>
      <c r="AF32" s="188">
        <f>Sheet1!AI$83</f>
        <v>229</v>
      </c>
      <c r="AG32" s="188">
        <f>Sheet1!AI$84</f>
        <v>152</v>
      </c>
      <c r="AH32" s="11">
        <f t="shared" si="5"/>
        <v>565</v>
      </c>
      <c r="AI32" s="190">
        <f>Sheet1!AI$98</f>
        <v>181.125</v>
      </c>
      <c r="AJ32" s="190">
        <f>Sheet1!AI$99</f>
        <v>-921.15</v>
      </c>
      <c r="AK32" s="190">
        <f>Sheet1!AI$100</f>
        <v>1749.1499999999999</v>
      </c>
      <c r="AL32" s="190">
        <f>Sheet1!AI$101</f>
        <v>326.02499999999998</v>
      </c>
      <c r="AM32" s="190">
        <f>Sheet1!AI$102</f>
        <v>10.35</v>
      </c>
      <c r="AN32" s="190">
        <f>Sheet1!AI$103</f>
        <v>0</v>
      </c>
      <c r="AO32" s="9">
        <f>Sheet1!AI$112</f>
        <v>100</v>
      </c>
      <c r="AP32" s="9">
        <f>Sheet1!AI$113</f>
        <v>30</v>
      </c>
      <c r="AQ32" s="11">
        <f t="shared" si="6"/>
        <v>130</v>
      </c>
      <c r="AR32" s="9">
        <f>Sheet1!AI$123</f>
        <v>56</v>
      </c>
      <c r="AS32" s="9">
        <f>Sheet1!AI$124</f>
        <v>12</v>
      </c>
      <c r="AT32" s="11">
        <f t="shared" si="7"/>
        <v>68</v>
      </c>
    </row>
    <row r="33" spans="8:40" x14ac:dyDescent="0.25">
      <c r="H33" s="188"/>
      <c r="I33" s="188"/>
      <c r="J33" s="188"/>
      <c r="L33" s="188"/>
      <c r="N33" s="188"/>
      <c r="O33" s="188"/>
      <c r="P33" s="188"/>
      <c r="Q33" s="188"/>
      <c r="S33" s="188"/>
      <c r="T33" s="188"/>
      <c r="U33" s="188"/>
      <c r="V33" s="188"/>
      <c r="X33" s="188"/>
      <c r="Y33" s="188"/>
      <c r="Z33" s="188"/>
      <c r="AA33" s="188"/>
      <c r="AD33" s="188"/>
      <c r="AE33" s="188"/>
      <c r="AF33" s="188"/>
      <c r="AG33" s="188"/>
      <c r="AI33" s="188"/>
      <c r="AJ33" s="190"/>
      <c r="AK33" s="190"/>
      <c r="AL33" s="190"/>
      <c r="AM33" s="190"/>
      <c r="AN33" s="190"/>
    </row>
    <row r="34" spans="8:40" x14ac:dyDescent="0.25">
      <c r="N34" s="188"/>
      <c r="S34" s="188"/>
      <c r="X34" s="188"/>
      <c r="AD34" s="188"/>
      <c r="AI34" s="188"/>
    </row>
    <row r="35" spans="8:40" x14ac:dyDescent="0.25">
      <c r="AD35" s="188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6"/>
  <sheetViews>
    <sheetView topLeftCell="A13" workbookViewId="0">
      <selection activeCell="A114" sqref="A114"/>
    </sheetView>
  </sheetViews>
  <sheetFormatPr defaultRowHeight="14.25" x14ac:dyDescent="0.2"/>
  <cols>
    <col min="1" max="1" width="39.85546875" style="18" customWidth="1"/>
    <col min="2" max="3" width="20.7109375" style="18" hidden="1" customWidth="1"/>
    <col min="4" max="35" width="20.7109375" style="18" customWidth="1"/>
    <col min="36" max="36" width="17.140625" style="18" customWidth="1"/>
    <col min="37" max="37" width="16" style="18" bestFit="1" customWidth="1"/>
    <col min="38" max="257" width="8.85546875" style="18"/>
    <col min="258" max="258" width="39.85546875" style="18" customWidth="1"/>
    <col min="259" max="260" width="0" style="18" hidden="1" customWidth="1"/>
    <col min="261" max="291" width="20.7109375" style="18" customWidth="1"/>
    <col min="292" max="292" width="17.140625" style="18" customWidth="1"/>
    <col min="293" max="293" width="16" style="18" bestFit="1" customWidth="1"/>
    <col min="294" max="513" width="8.85546875" style="18"/>
    <col min="514" max="514" width="39.85546875" style="18" customWidth="1"/>
    <col min="515" max="516" width="0" style="18" hidden="1" customWidth="1"/>
    <col min="517" max="547" width="20.7109375" style="18" customWidth="1"/>
    <col min="548" max="548" width="17.140625" style="18" customWidth="1"/>
    <col min="549" max="549" width="16" style="18" bestFit="1" customWidth="1"/>
    <col min="550" max="769" width="8.85546875" style="18"/>
    <col min="770" max="770" width="39.85546875" style="18" customWidth="1"/>
    <col min="771" max="772" width="0" style="18" hidden="1" customWidth="1"/>
    <col min="773" max="803" width="20.7109375" style="18" customWidth="1"/>
    <col min="804" max="804" width="17.140625" style="18" customWidth="1"/>
    <col min="805" max="805" width="16" style="18" bestFit="1" customWidth="1"/>
    <col min="806" max="1025" width="8.85546875" style="18"/>
    <col min="1026" max="1026" width="39.85546875" style="18" customWidth="1"/>
    <col min="1027" max="1028" width="0" style="18" hidden="1" customWidth="1"/>
    <col min="1029" max="1059" width="20.7109375" style="18" customWidth="1"/>
    <col min="1060" max="1060" width="17.140625" style="18" customWidth="1"/>
    <col min="1061" max="1061" width="16" style="18" bestFit="1" customWidth="1"/>
    <col min="1062" max="1281" width="8.85546875" style="18"/>
    <col min="1282" max="1282" width="39.85546875" style="18" customWidth="1"/>
    <col min="1283" max="1284" width="0" style="18" hidden="1" customWidth="1"/>
    <col min="1285" max="1315" width="20.7109375" style="18" customWidth="1"/>
    <col min="1316" max="1316" width="17.140625" style="18" customWidth="1"/>
    <col min="1317" max="1317" width="16" style="18" bestFit="1" customWidth="1"/>
    <col min="1318" max="1537" width="8.85546875" style="18"/>
    <col min="1538" max="1538" width="39.85546875" style="18" customWidth="1"/>
    <col min="1539" max="1540" width="0" style="18" hidden="1" customWidth="1"/>
    <col min="1541" max="1571" width="20.7109375" style="18" customWidth="1"/>
    <col min="1572" max="1572" width="17.140625" style="18" customWidth="1"/>
    <col min="1573" max="1573" width="16" style="18" bestFit="1" customWidth="1"/>
    <col min="1574" max="1793" width="8.85546875" style="18"/>
    <col min="1794" max="1794" width="39.85546875" style="18" customWidth="1"/>
    <col min="1795" max="1796" width="0" style="18" hidden="1" customWidth="1"/>
    <col min="1797" max="1827" width="20.7109375" style="18" customWidth="1"/>
    <col min="1828" max="1828" width="17.140625" style="18" customWidth="1"/>
    <col min="1829" max="1829" width="16" style="18" bestFit="1" customWidth="1"/>
    <col min="1830" max="2049" width="8.85546875" style="18"/>
    <col min="2050" max="2050" width="39.85546875" style="18" customWidth="1"/>
    <col min="2051" max="2052" width="0" style="18" hidden="1" customWidth="1"/>
    <col min="2053" max="2083" width="20.7109375" style="18" customWidth="1"/>
    <col min="2084" max="2084" width="17.140625" style="18" customWidth="1"/>
    <col min="2085" max="2085" width="16" style="18" bestFit="1" customWidth="1"/>
    <col min="2086" max="2305" width="8.85546875" style="18"/>
    <col min="2306" max="2306" width="39.85546875" style="18" customWidth="1"/>
    <col min="2307" max="2308" width="0" style="18" hidden="1" customWidth="1"/>
    <col min="2309" max="2339" width="20.7109375" style="18" customWidth="1"/>
    <col min="2340" max="2340" width="17.140625" style="18" customWidth="1"/>
    <col min="2341" max="2341" width="16" style="18" bestFit="1" customWidth="1"/>
    <col min="2342" max="2561" width="8.85546875" style="18"/>
    <col min="2562" max="2562" width="39.85546875" style="18" customWidth="1"/>
    <col min="2563" max="2564" width="0" style="18" hidden="1" customWidth="1"/>
    <col min="2565" max="2595" width="20.7109375" style="18" customWidth="1"/>
    <col min="2596" max="2596" width="17.140625" style="18" customWidth="1"/>
    <col min="2597" max="2597" width="16" style="18" bestFit="1" customWidth="1"/>
    <col min="2598" max="2817" width="8.85546875" style="18"/>
    <col min="2818" max="2818" width="39.85546875" style="18" customWidth="1"/>
    <col min="2819" max="2820" width="0" style="18" hidden="1" customWidth="1"/>
    <col min="2821" max="2851" width="20.7109375" style="18" customWidth="1"/>
    <col min="2852" max="2852" width="17.140625" style="18" customWidth="1"/>
    <col min="2853" max="2853" width="16" style="18" bestFit="1" customWidth="1"/>
    <col min="2854" max="3073" width="8.85546875" style="18"/>
    <col min="3074" max="3074" width="39.85546875" style="18" customWidth="1"/>
    <col min="3075" max="3076" width="0" style="18" hidden="1" customWidth="1"/>
    <col min="3077" max="3107" width="20.7109375" style="18" customWidth="1"/>
    <col min="3108" max="3108" width="17.140625" style="18" customWidth="1"/>
    <col min="3109" max="3109" width="16" style="18" bestFit="1" customWidth="1"/>
    <col min="3110" max="3329" width="8.85546875" style="18"/>
    <col min="3330" max="3330" width="39.85546875" style="18" customWidth="1"/>
    <col min="3331" max="3332" width="0" style="18" hidden="1" customWidth="1"/>
    <col min="3333" max="3363" width="20.7109375" style="18" customWidth="1"/>
    <col min="3364" max="3364" width="17.140625" style="18" customWidth="1"/>
    <col min="3365" max="3365" width="16" style="18" bestFit="1" customWidth="1"/>
    <col min="3366" max="3585" width="8.85546875" style="18"/>
    <col min="3586" max="3586" width="39.85546875" style="18" customWidth="1"/>
    <col min="3587" max="3588" width="0" style="18" hidden="1" customWidth="1"/>
    <col min="3589" max="3619" width="20.7109375" style="18" customWidth="1"/>
    <col min="3620" max="3620" width="17.140625" style="18" customWidth="1"/>
    <col min="3621" max="3621" width="16" style="18" bestFit="1" customWidth="1"/>
    <col min="3622" max="3841" width="8.85546875" style="18"/>
    <col min="3842" max="3842" width="39.85546875" style="18" customWidth="1"/>
    <col min="3843" max="3844" width="0" style="18" hidden="1" customWidth="1"/>
    <col min="3845" max="3875" width="20.7109375" style="18" customWidth="1"/>
    <col min="3876" max="3876" width="17.140625" style="18" customWidth="1"/>
    <col min="3877" max="3877" width="16" style="18" bestFit="1" customWidth="1"/>
    <col min="3878" max="4097" width="8.85546875" style="18"/>
    <col min="4098" max="4098" width="39.85546875" style="18" customWidth="1"/>
    <col min="4099" max="4100" width="0" style="18" hidden="1" customWidth="1"/>
    <col min="4101" max="4131" width="20.7109375" style="18" customWidth="1"/>
    <col min="4132" max="4132" width="17.140625" style="18" customWidth="1"/>
    <col min="4133" max="4133" width="16" style="18" bestFit="1" customWidth="1"/>
    <col min="4134" max="4353" width="8.85546875" style="18"/>
    <col min="4354" max="4354" width="39.85546875" style="18" customWidth="1"/>
    <col min="4355" max="4356" width="0" style="18" hidden="1" customWidth="1"/>
    <col min="4357" max="4387" width="20.7109375" style="18" customWidth="1"/>
    <col min="4388" max="4388" width="17.140625" style="18" customWidth="1"/>
    <col min="4389" max="4389" width="16" style="18" bestFit="1" customWidth="1"/>
    <col min="4390" max="4609" width="8.85546875" style="18"/>
    <col min="4610" max="4610" width="39.85546875" style="18" customWidth="1"/>
    <col min="4611" max="4612" width="0" style="18" hidden="1" customWidth="1"/>
    <col min="4613" max="4643" width="20.7109375" style="18" customWidth="1"/>
    <col min="4644" max="4644" width="17.140625" style="18" customWidth="1"/>
    <col min="4645" max="4645" width="16" style="18" bestFit="1" customWidth="1"/>
    <col min="4646" max="4865" width="8.85546875" style="18"/>
    <col min="4866" max="4866" width="39.85546875" style="18" customWidth="1"/>
    <col min="4867" max="4868" width="0" style="18" hidden="1" customWidth="1"/>
    <col min="4869" max="4899" width="20.7109375" style="18" customWidth="1"/>
    <col min="4900" max="4900" width="17.140625" style="18" customWidth="1"/>
    <col min="4901" max="4901" width="16" style="18" bestFit="1" customWidth="1"/>
    <col min="4902" max="5121" width="8.85546875" style="18"/>
    <col min="5122" max="5122" width="39.85546875" style="18" customWidth="1"/>
    <col min="5123" max="5124" width="0" style="18" hidden="1" customWidth="1"/>
    <col min="5125" max="5155" width="20.7109375" style="18" customWidth="1"/>
    <col min="5156" max="5156" width="17.140625" style="18" customWidth="1"/>
    <col min="5157" max="5157" width="16" style="18" bestFit="1" customWidth="1"/>
    <col min="5158" max="5377" width="8.85546875" style="18"/>
    <col min="5378" max="5378" width="39.85546875" style="18" customWidth="1"/>
    <col min="5379" max="5380" width="0" style="18" hidden="1" customWidth="1"/>
    <col min="5381" max="5411" width="20.7109375" style="18" customWidth="1"/>
    <col min="5412" max="5412" width="17.140625" style="18" customWidth="1"/>
    <col min="5413" max="5413" width="16" style="18" bestFit="1" customWidth="1"/>
    <col min="5414" max="5633" width="8.85546875" style="18"/>
    <col min="5634" max="5634" width="39.85546875" style="18" customWidth="1"/>
    <col min="5635" max="5636" width="0" style="18" hidden="1" customWidth="1"/>
    <col min="5637" max="5667" width="20.7109375" style="18" customWidth="1"/>
    <col min="5668" max="5668" width="17.140625" style="18" customWidth="1"/>
    <col min="5669" max="5669" width="16" style="18" bestFit="1" customWidth="1"/>
    <col min="5670" max="5889" width="8.85546875" style="18"/>
    <col min="5890" max="5890" width="39.85546875" style="18" customWidth="1"/>
    <col min="5891" max="5892" width="0" style="18" hidden="1" customWidth="1"/>
    <col min="5893" max="5923" width="20.7109375" style="18" customWidth="1"/>
    <col min="5924" max="5924" width="17.140625" style="18" customWidth="1"/>
    <col min="5925" max="5925" width="16" style="18" bestFit="1" customWidth="1"/>
    <col min="5926" max="6145" width="8.85546875" style="18"/>
    <col min="6146" max="6146" width="39.85546875" style="18" customWidth="1"/>
    <col min="6147" max="6148" width="0" style="18" hidden="1" customWidth="1"/>
    <col min="6149" max="6179" width="20.7109375" style="18" customWidth="1"/>
    <col min="6180" max="6180" width="17.140625" style="18" customWidth="1"/>
    <col min="6181" max="6181" width="16" style="18" bestFit="1" customWidth="1"/>
    <col min="6182" max="6401" width="8.85546875" style="18"/>
    <col min="6402" max="6402" width="39.85546875" style="18" customWidth="1"/>
    <col min="6403" max="6404" width="0" style="18" hidden="1" customWidth="1"/>
    <col min="6405" max="6435" width="20.7109375" style="18" customWidth="1"/>
    <col min="6436" max="6436" width="17.140625" style="18" customWidth="1"/>
    <col min="6437" max="6437" width="16" style="18" bestFit="1" customWidth="1"/>
    <col min="6438" max="6657" width="8.85546875" style="18"/>
    <col min="6658" max="6658" width="39.85546875" style="18" customWidth="1"/>
    <col min="6659" max="6660" width="0" style="18" hidden="1" customWidth="1"/>
    <col min="6661" max="6691" width="20.7109375" style="18" customWidth="1"/>
    <col min="6692" max="6692" width="17.140625" style="18" customWidth="1"/>
    <col min="6693" max="6693" width="16" style="18" bestFit="1" customWidth="1"/>
    <col min="6694" max="6913" width="8.85546875" style="18"/>
    <col min="6914" max="6914" width="39.85546875" style="18" customWidth="1"/>
    <col min="6915" max="6916" width="0" style="18" hidden="1" customWidth="1"/>
    <col min="6917" max="6947" width="20.7109375" style="18" customWidth="1"/>
    <col min="6948" max="6948" width="17.140625" style="18" customWidth="1"/>
    <col min="6949" max="6949" width="16" style="18" bestFit="1" customWidth="1"/>
    <col min="6950" max="7169" width="8.85546875" style="18"/>
    <col min="7170" max="7170" width="39.85546875" style="18" customWidth="1"/>
    <col min="7171" max="7172" width="0" style="18" hidden="1" customWidth="1"/>
    <col min="7173" max="7203" width="20.7109375" style="18" customWidth="1"/>
    <col min="7204" max="7204" width="17.140625" style="18" customWidth="1"/>
    <col min="7205" max="7205" width="16" style="18" bestFit="1" customWidth="1"/>
    <col min="7206" max="7425" width="8.85546875" style="18"/>
    <col min="7426" max="7426" width="39.85546875" style="18" customWidth="1"/>
    <col min="7427" max="7428" width="0" style="18" hidden="1" customWidth="1"/>
    <col min="7429" max="7459" width="20.7109375" style="18" customWidth="1"/>
    <col min="7460" max="7460" width="17.140625" style="18" customWidth="1"/>
    <col min="7461" max="7461" width="16" style="18" bestFit="1" customWidth="1"/>
    <col min="7462" max="7681" width="8.85546875" style="18"/>
    <col min="7682" max="7682" width="39.85546875" style="18" customWidth="1"/>
    <col min="7683" max="7684" width="0" style="18" hidden="1" customWidth="1"/>
    <col min="7685" max="7715" width="20.7109375" style="18" customWidth="1"/>
    <col min="7716" max="7716" width="17.140625" style="18" customWidth="1"/>
    <col min="7717" max="7717" width="16" style="18" bestFit="1" customWidth="1"/>
    <col min="7718" max="7937" width="8.85546875" style="18"/>
    <col min="7938" max="7938" width="39.85546875" style="18" customWidth="1"/>
    <col min="7939" max="7940" width="0" style="18" hidden="1" customWidth="1"/>
    <col min="7941" max="7971" width="20.7109375" style="18" customWidth="1"/>
    <col min="7972" max="7972" width="17.140625" style="18" customWidth="1"/>
    <col min="7973" max="7973" width="16" style="18" bestFit="1" customWidth="1"/>
    <col min="7974" max="8193" width="8.85546875" style="18"/>
    <col min="8194" max="8194" width="39.85546875" style="18" customWidth="1"/>
    <col min="8195" max="8196" width="0" style="18" hidden="1" customWidth="1"/>
    <col min="8197" max="8227" width="20.7109375" style="18" customWidth="1"/>
    <col min="8228" max="8228" width="17.140625" style="18" customWidth="1"/>
    <col min="8229" max="8229" width="16" style="18" bestFit="1" customWidth="1"/>
    <col min="8230" max="8449" width="8.85546875" style="18"/>
    <col min="8450" max="8450" width="39.85546875" style="18" customWidth="1"/>
    <col min="8451" max="8452" width="0" style="18" hidden="1" customWidth="1"/>
    <col min="8453" max="8483" width="20.7109375" style="18" customWidth="1"/>
    <col min="8484" max="8484" width="17.140625" style="18" customWidth="1"/>
    <col min="8485" max="8485" width="16" style="18" bestFit="1" customWidth="1"/>
    <col min="8486" max="8705" width="8.85546875" style="18"/>
    <col min="8706" max="8706" width="39.85546875" style="18" customWidth="1"/>
    <col min="8707" max="8708" width="0" style="18" hidden="1" customWidth="1"/>
    <col min="8709" max="8739" width="20.7109375" style="18" customWidth="1"/>
    <col min="8740" max="8740" width="17.140625" style="18" customWidth="1"/>
    <col min="8741" max="8741" width="16" style="18" bestFit="1" customWidth="1"/>
    <col min="8742" max="8961" width="8.85546875" style="18"/>
    <col min="8962" max="8962" width="39.85546875" style="18" customWidth="1"/>
    <col min="8963" max="8964" width="0" style="18" hidden="1" customWidth="1"/>
    <col min="8965" max="8995" width="20.7109375" style="18" customWidth="1"/>
    <col min="8996" max="8996" width="17.140625" style="18" customWidth="1"/>
    <col min="8997" max="8997" width="16" style="18" bestFit="1" customWidth="1"/>
    <col min="8998" max="9217" width="8.85546875" style="18"/>
    <col min="9218" max="9218" width="39.85546875" style="18" customWidth="1"/>
    <col min="9219" max="9220" width="0" style="18" hidden="1" customWidth="1"/>
    <col min="9221" max="9251" width="20.7109375" style="18" customWidth="1"/>
    <col min="9252" max="9252" width="17.140625" style="18" customWidth="1"/>
    <col min="9253" max="9253" width="16" style="18" bestFit="1" customWidth="1"/>
    <col min="9254" max="9473" width="8.85546875" style="18"/>
    <col min="9474" max="9474" width="39.85546875" style="18" customWidth="1"/>
    <col min="9475" max="9476" width="0" style="18" hidden="1" customWidth="1"/>
    <col min="9477" max="9507" width="20.7109375" style="18" customWidth="1"/>
    <col min="9508" max="9508" width="17.140625" style="18" customWidth="1"/>
    <col min="9509" max="9509" width="16" style="18" bestFit="1" customWidth="1"/>
    <col min="9510" max="9729" width="8.85546875" style="18"/>
    <col min="9730" max="9730" width="39.85546875" style="18" customWidth="1"/>
    <col min="9731" max="9732" width="0" style="18" hidden="1" customWidth="1"/>
    <col min="9733" max="9763" width="20.7109375" style="18" customWidth="1"/>
    <col min="9764" max="9764" width="17.140625" style="18" customWidth="1"/>
    <col min="9765" max="9765" width="16" style="18" bestFit="1" customWidth="1"/>
    <col min="9766" max="9985" width="8.85546875" style="18"/>
    <col min="9986" max="9986" width="39.85546875" style="18" customWidth="1"/>
    <col min="9987" max="9988" width="0" style="18" hidden="1" customWidth="1"/>
    <col min="9989" max="10019" width="20.7109375" style="18" customWidth="1"/>
    <col min="10020" max="10020" width="17.140625" style="18" customWidth="1"/>
    <col min="10021" max="10021" width="16" style="18" bestFit="1" customWidth="1"/>
    <col min="10022" max="10241" width="8.85546875" style="18"/>
    <col min="10242" max="10242" width="39.85546875" style="18" customWidth="1"/>
    <col min="10243" max="10244" width="0" style="18" hidden="1" customWidth="1"/>
    <col min="10245" max="10275" width="20.7109375" style="18" customWidth="1"/>
    <col min="10276" max="10276" width="17.140625" style="18" customWidth="1"/>
    <col min="10277" max="10277" width="16" style="18" bestFit="1" customWidth="1"/>
    <col min="10278" max="10497" width="8.85546875" style="18"/>
    <col min="10498" max="10498" width="39.85546875" style="18" customWidth="1"/>
    <col min="10499" max="10500" width="0" style="18" hidden="1" customWidth="1"/>
    <col min="10501" max="10531" width="20.7109375" style="18" customWidth="1"/>
    <col min="10532" max="10532" width="17.140625" style="18" customWidth="1"/>
    <col min="10533" max="10533" width="16" style="18" bestFit="1" customWidth="1"/>
    <col min="10534" max="10753" width="8.85546875" style="18"/>
    <col min="10754" max="10754" width="39.85546875" style="18" customWidth="1"/>
    <col min="10755" max="10756" width="0" style="18" hidden="1" customWidth="1"/>
    <col min="10757" max="10787" width="20.7109375" style="18" customWidth="1"/>
    <col min="10788" max="10788" width="17.140625" style="18" customWidth="1"/>
    <col min="10789" max="10789" width="16" style="18" bestFit="1" customWidth="1"/>
    <col min="10790" max="11009" width="8.85546875" style="18"/>
    <col min="11010" max="11010" width="39.85546875" style="18" customWidth="1"/>
    <col min="11011" max="11012" width="0" style="18" hidden="1" customWidth="1"/>
    <col min="11013" max="11043" width="20.7109375" style="18" customWidth="1"/>
    <col min="11044" max="11044" width="17.140625" style="18" customWidth="1"/>
    <col min="11045" max="11045" width="16" style="18" bestFit="1" customWidth="1"/>
    <col min="11046" max="11265" width="8.85546875" style="18"/>
    <col min="11266" max="11266" width="39.85546875" style="18" customWidth="1"/>
    <col min="11267" max="11268" width="0" style="18" hidden="1" customWidth="1"/>
    <col min="11269" max="11299" width="20.7109375" style="18" customWidth="1"/>
    <col min="11300" max="11300" width="17.140625" style="18" customWidth="1"/>
    <col min="11301" max="11301" width="16" style="18" bestFit="1" customWidth="1"/>
    <col min="11302" max="11521" width="8.85546875" style="18"/>
    <col min="11522" max="11522" width="39.85546875" style="18" customWidth="1"/>
    <col min="11523" max="11524" width="0" style="18" hidden="1" customWidth="1"/>
    <col min="11525" max="11555" width="20.7109375" style="18" customWidth="1"/>
    <col min="11556" max="11556" width="17.140625" style="18" customWidth="1"/>
    <col min="11557" max="11557" width="16" style="18" bestFit="1" customWidth="1"/>
    <col min="11558" max="11777" width="8.85546875" style="18"/>
    <col min="11778" max="11778" width="39.85546875" style="18" customWidth="1"/>
    <col min="11779" max="11780" width="0" style="18" hidden="1" customWidth="1"/>
    <col min="11781" max="11811" width="20.7109375" style="18" customWidth="1"/>
    <col min="11812" max="11812" width="17.140625" style="18" customWidth="1"/>
    <col min="11813" max="11813" width="16" style="18" bestFit="1" customWidth="1"/>
    <col min="11814" max="12033" width="8.85546875" style="18"/>
    <col min="12034" max="12034" width="39.85546875" style="18" customWidth="1"/>
    <col min="12035" max="12036" width="0" style="18" hidden="1" customWidth="1"/>
    <col min="12037" max="12067" width="20.7109375" style="18" customWidth="1"/>
    <col min="12068" max="12068" width="17.140625" style="18" customWidth="1"/>
    <col min="12069" max="12069" width="16" style="18" bestFit="1" customWidth="1"/>
    <col min="12070" max="12289" width="8.85546875" style="18"/>
    <col min="12290" max="12290" width="39.85546875" style="18" customWidth="1"/>
    <col min="12291" max="12292" width="0" style="18" hidden="1" customWidth="1"/>
    <col min="12293" max="12323" width="20.7109375" style="18" customWidth="1"/>
    <col min="12324" max="12324" width="17.140625" style="18" customWidth="1"/>
    <col min="12325" max="12325" width="16" style="18" bestFit="1" customWidth="1"/>
    <col min="12326" max="12545" width="8.85546875" style="18"/>
    <col min="12546" max="12546" width="39.85546875" style="18" customWidth="1"/>
    <col min="12547" max="12548" width="0" style="18" hidden="1" customWidth="1"/>
    <col min="12549" max="12579" width="20.7109375" style="18" customWidth="1"/>
    <col min="12580" max="12580" width="17.140625" style="18" customWidth="1"/>
    <col min="12581" max="12581" width="16" style="18" bestFit="1" customWidth="1"/>
    <col min="12582" max="12801" width="8.85546875" style="18"/>
    <col min="12802" max="12802" width="39.85546875" style="18" customWidth="1"/>
    <col min="12803" max="12804" width="0" style="18" hidden="1" customWidth="1"/>
    <col min="12805" max="12835" width="20.7109375" style="18" customWidth="1"/>
    <col min="12836" max="12836" width="17.140625" style="18" customWidth="1"/>
    <col min="12837" max="12837" width="16" style="18" bestFit="1" customWidth="1"/>
    <col min="12838" max="13057" width="8.85546875" style="18"/>
    <col min="13058" max="13058" width="39.85546875" style="18" customWidth="1"/>
    <col min="13059" max="13060" width="0" style="18" hidden="1" customWidth="1"/>
    <col min="13061" max="13091" width="20.7109375" style="18" customWidth="1"/>
    <col min="13092" max="13092" width="17.140625" style="18" customWidth="1"/>
    <col min="13093" max="13093" width="16" style="18" bestFit="1" customWidth="1"/>
    <col min="13094" max="13313" width="8.85546875" style="18"/>
    <col min="13314" max="13314" width="39.85546875" style="18" customWidth="1"/>
    <col min="13315" max="13316" width="0" style="18" hidden="1" customWidth="1"/>
    <col min="13317" max="13347" width="20.7109375" style="18" customWidth="1"/>
    <col min="13348" max="13348" width="17.140625" style="18" customWidth="1"/>
    <col min="13349" max="13349" width="16" style="18" bestFit="1" customWidth="1"/>
    <col min="13350" max="13569" width="8.85546875" style="18"/>
    <col min="13570" max="13570" width="39.85546875" style="18" customWidth="1"/>
    <col min="13571" max="13572" width="0" style="18" hidden="1" customWidth="1"/>
    <col min="13573" max="13603" width="20.7109375" style="18" customWidth="1"/>
    <col min="13604" max="13604" width="17.140625" style="18" customWidth="1"/>
    <col min="13605" max="13605" width="16" style="18" bestFit="1" customWidth="1"/>
    <col min="13606" max="13825" width="8.85546875" style="18"/>
    <col min="13826" max="13826" width="39.85546875" style="18" customWidth="1"/>
    <col min="13827" max="13828" width="0" style="18" hidden="1" customWidth="1"/>
    <col min="13829" max="13859" width="20.7109375" style="18" customWidth="1"/>
    <col min="13860" max="13860" width="17.140625" style="18" customWidth="1"/>
    <col min="13861" max="13861" width="16" style="18" bestFit="1" customWidth="1"/>
    <col min="13862" max="14081" width="8.85546875" style="18"/>
    <col min="14082" max="14082" width="39.85546875" style="18" customWidth="1"/>
    <col min="14083" max="14084" width="0" style="18" hidden="1" customWidth="1"/>
    <col min="14085" max="14115" width="20.7109375" style="18" customWidth="1"/>
    <col min="14116" max="14116" width="17.140625" style="18" customWidth="1"/>
    <col min="14117" max="14117" width="16" style="18" bestFit="1" customWidth="1"/>
    <col min="14118" max="14337" width="8.85546875" style="18"/>
    <col min="14338" max="14338" width="39.85546875" style="18" customWidth="1"/>
    <col min="14339" max="14340" width="0" style="18" hidden="1" customWidth="1"/>
    <col min="14341" max="14371" width="20.7109375" style="18" customWidth="1"/>
    <col min="14372" max="14372" width="17.140625" style="18" customWidth="1"/>
    <col min="14373" max="14373" width="16" style="18" bestFit="1" customWidth="1"/>
    <col min="14374" max="14593" width="8.85546875" style="18"/>
    <col min="14594" max="14594" width="39.85546875" style="18" customWidth="1"/>
    <col min="14595" max="14596" width="0" style="18" hidden="1" customWidth="1"/>
    <col min="14597" max="14627" width="20.7109375" style="18" customWidth="1"/>
    <col min="14628" max="14628" width="17.140625" style="18" customWidth="1"/>
    <col min="14629" max="14629" width="16" style="18" bestFit="1" customWidth="1"/>
    <col min="14630" max="14849" width="8.85546875" style="18"/>
    <col min="14850" max="14850" width="39.85546875" style="18" customWidth="1"/>
    <col min="14851" max="14852" width="0" style="18" hidden="1" customWidth="1"/>
    <col min="14853" max="14883" width="20.7109375" style="18" customWidth="1"/>
    <col min="14884" max="14884" width="17.140625" style="18" customWidth="1"/>
    <col min="14885" max="14885" width="16" style="18" bestFit="1" customWidth="1"/>
    <col min="14886" max="15105" width="8.85546875" style="18"/>
    <col min="15106" max="15106" width="39.85546875" style="18" customWidth="1"/>
    <col min="15107" max="15108" width="0" style="18" hidden="1" customWidth="1"/>
    <col min="15109" max="15139" width="20.7109375" style="18" customWidth="1"/>
    <col min="15140" max="15140" width="17.140625" style="18" customWidth="1"/>
    <col min="15141" max="15141" width="16" style="18" bestFit="1" customWidth="1"/>
    <col min="15142" max="15361" width="8.85546875" style="18"/>
    <col min="15362" max="15362" width="39.85546875" style="18" customWidth="1"/>
    <col min="15363" max="15364" width="0" style="18" hidden="1" customWidth="1"/>
    <col min="15365" max="15395" width="20.7109375" style="18" customWidth="1"/>
    <col min="15396" max="15396" width="17.140625" style="18" customWidth="1"/>
    <col min="15397" max="15397" width="16" style="18" bestFit="1" customWidth="1"/>
    <col min="15398" max="15617" width="8.85546875" style="18"/>
    <col min="15618" max="15618" width="39.85546875" style="18" customWidth="1"/>
    <col min="15619" max="15620" width="0" style="18" hidden="1" customWidth="1"/>
    <col min="15621" max="15651" width="20.7109375" style="18" customWidth="1"/>
    <col min="15652" max="15652" width="17.140625" style="18" customWidth="1"/>
    <col min="15653" max="15653" width="16" style="18" bestFit="1" customWidth="1"/>
    <col min="15654" max="15873" width="8.85546875" style="18"/>
    <col min="15874" max="15874" width="39.85546875" style="18" customWidth="1"/>
    <col min="15875" max="15876" width="0" style="18" hidden="1" customWidth="1"/>
    <col min="15877" max="15907" width="20.7109375" style="18" customWidth="1"/>
    <col min="15908" max="15908" width="17.140625" style="18" customWidth="1"/>
    <col min="15909" max="15909" width="16" style="18" bestFit="1" customWidth="1"/>
    <col min="15910" max="16129" width="8.85546875" style="18"/>
    <col min="16130" max="16130" width="39.85546875" style="18" customWidth="1"/>
    <col min="16131" max="16132" width="0" style="18" hidden="1" customWidth="1"/>
    <col min="16133" max="16163" width="20.7109375" style="18" customWidth="1"/>
    <col min="16164" max="16164" width="17.140625" style="18" customWidth="1"/>
    <col min="16165" max="16165" width="16" style="18" bestFit="1" customWidth="1"/>
    <col min="16166" max="16384" width="8.85546875" style="18"/>
  </cols>
  <sheetData>
    <row r="1" spans="1:37" ht="26.25" customHeight="1" x14ac:dyDescent="0.3">
      <c r="A1" s="15" t="s">
        <v>12</v>
      </c>
      <c r="B1" s="15"/>
      <c r="C1" s="15"/>
      <c r="D1" s="16"/>
      <c r="E1" s="15"/>
      <c r="F1" s="15"/>
      <c r="G1" s="15"/>
      <c r="H1" s="15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6"/>
      <c r="AD1" s="16"/>
      <c r="AE1" s="16"/>
      <c r="AF1" s="16"/>
      <c r="AG1" s="16"/>
      <c r="AH1" s="16"/>
      <c r="AI1" s="16"/>
      <c r="AJ1" s="17"/>
    </row>
    <row r="2" spans="1:37" ht="20.25" x14ac:dyDescent="0.3">
      <c r="A2" s="15"/>
      <c r="B2" s="19"/>
      <c r="C2" s="17"/>
      <c r="D2" s="20"/>
      <c r="E2" s="17"/>
      <c r="F2" s="17"/>
      <c r="G2" s="17"/>
      <c r="H2" s="21"/>
      <c r="I2" s="21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20"/>
      <c r="AD2" s="20"/>
      <c r="AE2" s="20"/>
      <c r="AF2" s="20"/>
      <c r="AG2" s="20"/>
      <c r="AH2" s="20"/>
      <c r="AI2" s="20"/>
      <c r="AJ2" s="17"/>
    </row>
    <row r="3" spans="1:37" ht="20.25" x14ac:dyDescent="0.3">
      <c r="A3" s="15"/>
      <c r="B3" s="19"/>
      <c r="C3" s="17"/>
      <c r="D3" s="20"/>
      <c r="E3" s="17"/>
      <c r="F3" s="17"/>
      <c r="G3" s="17"/>
      <c r="H3" s="21"/>
      <c r="I3" s="21"/>
      <c r="J3" s="17"/>
      <c r="K3" s="17"/>
      <c r="L3" s="17"/>
      <c r="M3" s="17"/>
      <c r="N3" s="22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20"/>
      <c r="AD3" s="20"/>
      <c r="AE3" s="20"/>
      <c r="AF3" s="20"/>
      <c r="AG3" s="20"/>
      <c r="AH3" s="20"/>
      <c r="AI3" s="20"/>
      <c r="AJ3" s="17"/>
    </row>
    <row r="4" spans="1:37" ht="20.25" x14ac:dyDescent="0.3">
      <c r="A4" s="15"/>
      <c r="B4" s="23" t="s">
        <v>13</v>
      </c>
      <c r="C4" s="191"/>
      <c r="D4" s="191"/>
      <c r="E4" s="191"/>
      <c r="F4" s="191"/>
      <c r="G4" s="191"/>
      <c r="H4" s="21"/>
      <c r="I4" s="21"/>
      <c r="J4" s="17"/>
      <c r="K4" s="17"/>
      <c r="L4" s="17"/>
      <c r="M4" s="17"/>
      <c r="N4" s="22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20"/>
      <c r="AD4" s="20"/>
      <c r="AE4" s="20"/>
      <c r="AF4" s="20"/>
      <c r="AG4" s="20"/>
      <c r="AH4" s="20"/>
      <c r="AI4" s="20"/>
      <c r="AJ4" s="17"/>
    </row>
    <row r="5" spans="1:37" ht="20.25" x14ac:dyDescent="0.3">
      <c r="A5" s="15"/>
      <c r="B5" s="19"/>
      <c r="C5" s="17"/>
      <c r="D5" s="20"/>
      <c r="E5" s="17"/>
      <c r="F5" s="17"/>
      <c r="G5" s="17"/>
      <c r="H5" s="21"/>
      <c r="I5" s="21"/>
      <c r="J5" s="17"/>
      <c r="K5" s="17"/>
      <c r="L5" s="17"/>
      <c r="M5" s="17"/>
      <c r="N5" s="22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20"/>
      <c r="AD5" s="20"/>
      <c r="AE5" s="20"/>
      <c r="AF5" s="20"/>
      <c r="AG5" s="20"/>
      <c r="AH5" s="20"/>
      <c r="AI5" s="20"/>
      <c r="AJ5" s="17"/>
    </row>
    <row r="6" spans="1:37" ht="15" x14ac:dyDescent="0.25">
      <c r="A6" s="17"/>
      <c r="B6" s="19"/>
      <c r="C6" s="17"/>
      <c r="D6" s="20"/>
      <c r="E6" s="17"/>
      <c r="F6" s="17"/>
      <c r="G6" s="17"/>
      <c r="H6" s="17"/>
      <c r="I6" s="17"/>
      <c r="J6" s="17"/>
      <c r="K6" s="17"/>
      <c r="L6" s="17"/>
      <c r="M6" s="17"/>
      <c r="N6" s="24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20"/>
      <c r="AD6" s="20"/>
      <c r="AE6" s="20"/>
      <c r="AF6" s="20"/>
      <c r="AG6" s="20"/>
      <c r="AH6" s="20"/>
      <c r="AI6" s="20"/>
      <c r="AJ6" s="25"/>
    </row>
    <row r="7" spans="1:37" ht="25.5" customHeight="1" x14ac:dyDescent="0.2">
      <c r="A7" s="26" t="s">
        <v>13</v>
      </c>
      <c r="B7" s="27">
        <v>1</v>
      </c>
      <c r="C7" s="27">
        <f>B7+1</f>
        <v>2</v>
      </c>
      <c r="D7" s="28">
        <v>31</v>
      </c>
      <c r="E7" s="28">
        <v>1</v>
      </c>
      <c r="F7" s="28">
        <v>2</v>
      </c>
      <c r="G7" s="28">
        <f>C7+1</f>
        <v>3</v>
      </c>
      <c r="H7" s="28">
        <f t="shared" ref="H7:AE7" si="0">G7+1</f>
        <v>4</v>
      </c>
      <c r="I7" s="28">
        <f t="shared" si="0"/>
        <v>5</v>
      </c>
      <c r="J7" s="28">
        <f t="shared" si="0"/>
        <v>6</v>
      </c>
      <c r="K7" s="28">
        <f t="shared" si="0"/>
        <v>7</v>
      </c>
      <c r="L7" s="28">
        <f t="shared" si="0"/>
        <v>8</v>
      </c>
      <c r="M7" s="28">
        <f t="shared" si="0"/>
        <v>9</v>
      </c>
      <c r="N7" s="28">
        <f t="shared" si="0"/>
        <v>10</v>
      </c>
      <c r="O7" s="28">
        <f t="shared" si="0"/>
        <v>11</v>
      </c>
      <c r="P7" s="28">
        <f t="shared" si="0"/>
        <v>12</v>
      </c>
      <c r="Q7" s="28">
        <f t="shared" si="0"/>
        <v>13</v>
      </c>
      <c r="R7" s="28">
        <f t="shared" si="0"/>
        <v>14</v>
      </c>
      <c r="S7" s="28">
        <f t="shared" si="0"/>
        <v>15</v>
      </c>
      <c r="T7" s="28">
        <f t="shared" si="0"/>
        <v>16</v>
      </c>
      <c r="U7" s="28">
        <f t="shared" si="0"/>
        <v>17</v>
      </c>
      <c r="V7" s="28">
        <f t="shared" si="0"/>
        <v>18</v>
      </c>
      <c r="W7" s="28">
        <f t="shared" si="0"/>
        <v>19</v>
      </c>
      <c r="X7" s="28">
        <f t="shared" si="0"/>
        <v>20</v>
      </c>
      <c r="Y7" s="28">
        <f t="shared" si="0"/>
        <v>21</v>
      </c>
      <c r="Z7" s="28">
        <f t="shared" si="0"/>
        <v>22</v>
      </c>
      <c r="AA7" s="28">
        <f t="shared" si="0"/>
        <v>23</v>
      </c>
      <c r="AB7" s="28">
        <f t="shared" si="0"/>
        <v>24</v>
      </c>
      <c r="AC7" s="28">
        <f t="shared" si="0"/>
        <v>25</v>
      </c>
      <c r="AD7" s="28">
        <f t="shared" si="0"/>
        <v>26</v>
      </c>
      <c r="AE7" s="28">
        <f t="shared" si="0"/>
        <v>27</v>
      </c>
      <c r="AF7" s="28">
        <v>28</v>
      </c>
      <c r="AG7" s="28">
        <v>29</v>
      </c>
      <c r="AH7" s="28">
        <v>30</v>
      </c>
      <c r="AI7" s="28">
        <v>31</v>
      </c>
      <c r="AJ7" s="29" t="s">
        <v>14</v>
      </c>
      <c r="AK7" s="30" t="s">
        <v>15</v>
      </c>
    </row>
    <row r="8" spans="1:37" x14ac:dyDescent="0.2">
      <c r="A8" s="19" t="s">
        <v>16</v>
      </c>
      <c r="B8" s="31">
        <v>175</v>
      </c>
      <c r="C8" s="31">
        <v>146</v>
      </c>
      <c r="D8" s="32">
        <v>0.59199999999999997</v>
      </c>
      <c r="E8" s="33">
        <v>0.62</v>
      </c>
      <c r="F8" s="32">
        <v>0.47499999999999998</v>
      </c>
      <c r="G8" s="32">
        <v>0.47499999999999998</v>
      </c>
      <c r="H8" s="32">
        <v>0.47499999999999998</v>
      </c>
      <c r="I8" s="32">
        <v>0.46600000000000003</v>
      </c>
      <c r="J8" s="32">
        <v>0.502</v>
      </c>
      <c r="K8" s="32">
        <v>0.51800000000000002</v>
      </c>
      <c r="L8" s="32">
        <v>0.60399999999999998</v>
      </c>
      <c r="M8" s="32">
        <v>0.67800000000000005</v>
      </c>
      <c r="N8" s="34">
        <v>0.49399999999999999</v>
      </c>
      <c r="O8" s="34">
        <v>0.47499999999999998</v>
      </c>
      <c r="P8" s="34">
        <v>0.48599999999999999</v>
      </c>
      <c r="Q8" s="34">
        <v>0.49</v>
      </c>
      <c r="R8" s="34">
        <v>0.52200000000000002</v>
      </c>
      <c r="S8" s="34">
        <v>0.54500000000000004</v>
      </c>
      <c r="T8" s="34">
        <v>0.47099999999999997</v>
      </c>
      <c r="U8" s="34">
        <v>0.46700000000000003</v>
      </c>
      <c r="V8" s="34">
        <v>0.46300000000000002</v>
      </c>
      <c r="W8" s="34">
        <v>0.47499999999999998</v>
      </c>
      <c r="X8" s="34">
        <v>0.502</v>
      </c>
      <c r="Y8" s="34">
        <v>0.55700000000000005</v>
      </c>
      <c r="Z8" s="34">
        <v>0.63500000000000001</v>
      </c>
      <c r="AA8" s="34">
        <v>0.50600000000000001</v>
      </c>
      <c r="AB8" s="34">
        <v>0.49</v>
      </c>
      <c r="AC8" s="34">
        <v>0.502</v>
      </c>
      <c r="AD8" s="32">
        <v>0.502</v>
      </c>
      <c r="AE8" s="32">
        <v>0.51400000000000001</v>
      </c>
      <c r="AF8" s="32">
        <v>0.55300000000000005</v>
      </c>
      <c r="AG8" s="32">
        <v>0.61599999999999999</v>
      </c>
      <c r="AH8" s="32">
        <v>0.48199999999999998</v>
      </c>
      <c r="AI8" s="32">
        <v>0.47099999999999997</v>
      </c>
      <c r="AJ8" s="35">
        <f>SUM(E8:AI8)</f>
        <v>16.030999999999999</v>
      </c>
      <c r="AK8" s="36">
        <f>AJ8/31</f>
        <v>0.5171290322580645</v>
      </c>
    </row>
    <row r="9" spans="1:37" ht="15" x14ac:dyDescent="0.25">
      <c r="A9" s="37" t="s">
        <v>17</v>
      </c>
      <c r="B9" s="31"/>
      <c r="C9" s="31"/>
      <c r="D9" s="38">
        <v>0.85629999999999995</v>
      </c>
      <c r="E9" s="38">
        <v>0.9194</v>
      </c>
      <c r="F9" s="38">
        <v>0.9194</v>
      </c>
      <c r="G9" s="38">
        <v>0.9194</v>
      </c>
      <c r="H9" s="38">
        <v>0.9194</v>
      </c>
      <c r="I9" s="38">
        <v>0.9194</v>
      </c>
      <c r="J9" s="38">
        <v>0.9194</v>
      </c>
      <c r="K9" s="38">
        <v>0.9194</v>
      </c>
      <c r="L9" s="38">
        <v>0.9194</v>
      </c>
      <c r="M9" s="38">
        <v>0.9194</v>
      </c>
      <c r="N9" s="38">
        <v>0.9194</v>
      </c>
      <c r="O9" s="38">
        <v>0.9194</v>
      </c>
      <c r="P9" s="38">
        <v>0.9194</v>
      </c>
      <c r="Q9" s="38">
        <v>0.9194</v>
      </c>
      <c r="R9" s="38">
        <v>0.9194</v>
      </c>
      <c r="S9" s="38">
        <v>0.9194</v>
      </c>
      <c r="T9" s="38">
        <v>0.9194</v>
      </c>
      <c r="U9" s="38">
        <v>0.9194</v>
      </c>
      <c r="V9" s="38">
        <v>0.9194</v>
      </c>
      <c r="W9" s="38">
        <v>0.9194</v>
      </c>
      <c r="X9" s="38">
        <v>0.9194</v>
      </c>
      <c r="Y9" s="38">
        <v>0.9194</v>
      </c>
      <c r="Z9" s="38">
        <v>0.9194</v>
      </c>
      <c r="AA9" s="38">
        <v>0.9194</v>
      </c>
      <c r="AB9" s="38">
        <v>0.9194</v>
      </c>
      <c r="AC9" s="38">
        <v>0.9194</v>
      </c>
      <c r="AD9" s="38">
        <v>0.9194</v>
      </c>
      <c r="AE9" s="38">
        <v>0.9194</v>
      </c>
      <c r="AF9" s="38">
        <v>0.9194</v>
      </c>
      <c r="AG9" s="38">
        <v>0.9194</v>
      </c>
      <c r="AH9" s="38">
        <v>0.9194</v>
      </c>
      <c r="AI9" s="38">
        <v>0.9194</v>
      </c>
      <c r="AJ9" s="39">
        <f>SUM(E9:AI9)</f>
        <v>28.50139999999999</v>
      </c>
      <c r="AK9" s="40">
        <f>AJ9/31</f>
        <v>0.91939999999999966</v>
      </c>
    </row>
    <row r="10" spans="1:37" ht="9.75" customHeight="1" x14ac:dyDescent="0.2">
      <c r="A10" s="19"/>
      <c r="B10" s="31"/>
      <c r="C10" s="31"/>
      <c r="D10" s="41"/>
      <c r="E10" s="42"/>
      <c r="F10" s="42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3"/>
      <c r="AK10" s="44"/>
    </row>
    <row r="11" spans="1:37" x14ac:dyDescent="0.2">
      <c r="A11" s="19" t="s">
        <v>18</v>
      </c>
      <c r="B11" s="45">
        <v>1310</v>
      </c>
      <c r="C11" s="45">
        <v>1537</v>
      </c>
      <c r="D11" s="46">
        <v>333</v>
      </c>
      <c r="E11" s="45">
        <v>398</v>
      </c>
      <c r="F11" s="45">
        <v>272</v>
      </c>
      <c r="G11" s="46">
        <v>154</v>
      </c>
      <c r="H11" s="46">
        <v>312</v>
      </c>
      <c r="I11" s="46">
        <v>262</v>
      </c>
      <c r="J11" s="46">
        <v>242</v>
      </c>
      <c r="K11" s="46">
        <v>350</v>
      </c>
      <c r="L11" s="46">
        <v>349</v>
      </c>
      <c r="M11" s="46">
        <v>383</v>
      </c>
      <c r="N11" s="46">
        <v>202</v>
      </c>
      <c r="O11" s="46">
        <v>141</v>
      </c>
      <c r="P11" s="46">
        <v>269</v>
      </c>
      <c r="Q11" s="46">
        <v>247</v>
      </c>
      <c r="R11" s="46">
        <v>314</v>
      </c>
      <c r="S11" s="46">
        <v>287</v>
      </c>
      <c r="T11" s="46">
        <v>269</v>
      </c>
      <c r="U11" s="46">
        <v>155</v>
      </c>
      <c r="V11" s="46">
        <v>181</v>
      </c>
      <c r="W11" s="46">
        <v>192</v>
      </c>
      <c r="X11" s="46">
        <v>252</v>
      </c>
      <c r="Y11" s="46">
        <v>328</v>
      </c>
      <c r="Z11" s="46">
        <v>346</v>
      </c>
      <c r="AA11" s="46">
        <v>298</v>
      </c>
      <c r="AB11" s="46">
        <v>184</v>
      </c>
      <c r="AC11" s="46">
        <v>185</v>
      </c>
      <c r="AD11" s="46">
        <v>213</v>
      </c>
      <c r="AE11" s="46">
        <v>246</v>
      </c>
      <c r="AF11" s="46">
        <v>345</v>
      </c>
      <c r="AG11" s="46">
        <v>367</v>
      </c>
      <c r="AH11" s="46">
        <v>306</v>
      </c>
      <c r="AI11" s="46">
        <v>149</v>
      </c>
      <c r="AJ11" s="46">
        <f>SUM(E11:AI11)</f>
        <v>8198</v>
      </c>
      <c r="AK11" s="46">
        <f>AJ11/31</f>
        <v>264.45161290322579</v>
      </c>
    </row>
    <row r="12" spans="1:37" ht="15" x14ac:dyDescent="0.25">
      <c r="A12" s="37" t="s">
        <v>19</v>
      </c>
      <c r="B12" s="47"/>
      <c r="C12" s="45"/>
      <c r="D12" s="48">
        <v>821</v>
      </c>
      <c r="E12" s="48">
        <v>782</v>
      </c>
      <c r="F12" s="48">
        <v>782</v>
      </c>
      <c r="G12" s="48">
        <v>782</v>
      </c>
      <c r="H12" s="48">
        <v>782</v>
      </c>
      <c r="I12" s="48">
        <v>782</v>
      </c>
      <c r="J12" s="48">
        <v>782</v>
      </c>
      <c r="K12" s="48">
        <v>782</v>
      </c>
      <c r="L12" s="48">
        <v>782</v>
      </c>
      <c r="M12" s="48">
        <v>782</v>
      </c>
      <c r="N12" s="48">
        <v>782</v>
      </c>
      <c r="O12" s="48">
        <v>782</v>
      </c>
      <c r="P12" s="48">
        <v>782</v>
      </c>
      <c r="Q12" s="48">
        <v>782</v>
      </c>
      <c r="R12" s="48">
        <v>782</v>
      </c>
      <c r="S12" s="48">
        <v>782</v>
      </c>
      <c r="T12" s="48">
        <v>782</v>
      </c>
      <c r="U12" s="48">
        <v>782</v>
      </c>
      <c r="V12" s="48">
        <v>782</v>
      </c>
      <c r="W12" s="48">
        <v>782</v>
      </c>
      <c r="X12" s="48">
        <v>782</v>
      </c>
      <c r="Y12" s="48">
        <v>782</v>
      </c>
      <c r="Z12" s="48">
        <v>782</v>
      </c>
      <c r="AA12" s="48">
        <v>782</v>
      </c>
      <c r="AB12" s="48">
        <v>782</v>
      </c>
      <c r="AC12" s="48">
        <v>782</v>
      </c>
      <c r="AD12" s="48">
        <v>782</v>
      </c>
      <c r="AE12" s="48">
        <v>782</v>
      </c>
      <c r="AF12" s="48">
        <v>782</v>
      </c>
      <c r="AG12" s="48">
        <v>782</v>
      </c>
      <c r="AH12" s="48">
        <v>782</v>
      </c>
      <c r="AI12" s="48">
        <v>782</v>
      </c>
      <c r="AJ12" s="49">
        <f>SUM(E12:AI12)</f>
        <v>24242</v>
      </c>
      <c r="AK12" s="46">
        <f>AJ12/31</f>
        <v>782</v>
      </c>
    </row>
    <row r="13" spans="1:37" ht="18.75" thickBot="1" x14ac:dyDescent="0.3">
      <c r="A13" s="50"/>
      <c r="B13" s="51"/>
      <c r="C13" s="52"/>
      <c r="D13" s="52"/>
      <c r="E13" s="52"/>
      <c r="F13" s="52"/>
      <c r="G13" s="53"/>
      <c r="H13" s="52"/>
      <c r="I13" s="52"/>
      <c r="J13" s="52"/>
      <c r="K13" s="54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5"/>
      <c r="AH13" s="55"/>
      <c r="AI13" s="52"/>
      <c r="AJ13" s="56"/>
    </row>
    <row r="14" spans="1:37" ht="15.75" thickBot="1" x14ac:dyDescent="0.3">
      <c r="A14" s="57" t="s">
        <v>20</v>
      </c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5"/>
      <c r="AH14" s="55"/>
      <c r="AI14" s="52"/>
      <c r="AJ14" s="56"/>
      <c r="AK14" s="58"/>
    </row>
    <row r="15" spans="1:37" x14ac:dyDescent="0.2">
      <c r="A15" s="59" t="s">
        <v>21</v>
      </c>
      <c r="B15" s="60"/>
      <c r="C15" s="61"/>
      <c r="D15" s="61"/>
      <c r="E15" s="61"/>
      <c r="F15" s="61"/>
      <c r="G15" s="61"/>
      <c r="H15" s="61"/>
      <c r="I15" s="61"/>
      <c r="J15" s="62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61"/>
      <c r="AD15" s="61"/>
      <c r="AE15" s="61"/>
      <c r="AF15" s="61"/>
      <c r="AG15" s="63"/>
      <c r="AH15" s="63"/>
      <c r="AI15" s="61"/>
      <c r="AJ15" s="64"/>
      <c r="AK15" s="65"/>
    </row>
    <row r="16" spans="1:37" x14ac:dyDescent="0.2">
      <c r="A16" s="66" t="s">
        <v>22</v>
      </c>
      <c r="B16" s="67">
        <v>3599965</v>
      </c>
      <c r="C16" s="68">
        <v>3606737</v>
      </c>
      <c r="D16" s="67">
        <v>7487241</v>
      </c>
      <c r="E16" s="68">
        <v>7489609</v>
      </c>
      <c r="F16" s="68">
        <v>7492026</v>
      </c>
      <c r="G16" s="67">
        <v>7494533</v>
      </c>
      <c r="H16" s="68">
        <v>7496900</v>
      </c>
      <c r="I16" s="67">
        <v>7501577</v>
      </c>
      <c r="J16" s="67">
        <v>7506462</v>
      </c>
      <c r="K16" s="67">
        <v>7511393</v>
      </c>
      <c r="L16" s="67">
        <v>7516408</v>
      </c>
      <c r="M16" s="67">
        <v>7521521</v>
      </c>
      <c r="N16" s="67">
        <v>7526436</v>
      </c>
      <c r="O16" s="67">
        <v>7531347</v>
      </c>
      <c r="P16" s="67">
        <v>7535870</v>
      </c>
      <c r="Q16" s="67">
        <v>7540544</v>
      </c>
      <c r="R16" s="67">
        <v>7545001</v>
      </c>
      <c r="S16" s="67">
        <v>7549707</v>
      </c>
      <c r="T16" s="67">
        <v>7554231</v>
      </c>
      <c r="U16" s="67">
        <v>7558606</v>
      </c>
      <c r="V16" s="67">
        <v>7562965</v>
      </c>
      <c r="W16" s="67">
        <v>7567291</v>
      </c>
      <c r="X16" s="67">
        <v>7571715</v>
      </c>
      <c r="Y16" s="67">
        <v>7576191</v>
      </c>
      <c r="Z16" s="67">
        <v>7580623</v>
      </c>
      <c r="AA16" s="67">
        <v>7584763</v>
      </c>
      <c r="AB16" s="67">
        <v>7589207</v>
      </c>
      <c r="AC16" s="67">
        <v>7593568</v>
      </c>
      <c r="AD16" s="67">
        <v>7598024</v>
      </c>
      <c r="AE16" s="67">
        <v>7602585</v>
      </c>
      <c r="AF16" s="67">
        <v>7607214</v>
      </c>
      <c r="AG16" s="69">
        <v>7612139</v>
      </c>
      <c r="AH16" s="69">
        <v>7616857</v>
      </c>
      <c r="AI16" s="67">
        <v>7621413</v>
      </c>
      <c r="AJ16" s="64"/>
      <c r="AK16" s="65"/>
    </row>
    <row r="17" spans="1:37" x14ac:dyDescent="0.2">
      <c r="A17" s="66" t="s">
        <v>23</v>
      </c>
      <c r="B17" s="67">
        <v>1579860</v>
      </c>
      <c r="C17" s="68">
        <v>1582980</v>
      </c>
      <c r="D17" s="67">
        <v>3237848</v>
      </c>
      <c r="E17" s="68">
        <v>3239000</v>
      </c>
      <c r="F17" s="68">
        <v>3240080</v>
      </c>
      <c r="G17" s="67">
        <v>3241138</v>
      </c>
      <c r="H17" s="68">
        <v>3242345</v>
      </c>
      <c r="I17" s="67">
        <v>3243524</v>
      </c>
      <c r="J17" s="67">
        <v>3244973</v>
      </c>
      <c r="K17" s="67">
        <v>3247234</v>
      </c>
      <c r="L17" s="67">
        <v>3248960</v>
      </c>
      <c r="M17" s="67">
        <v>3251477</v>
      </c>
      <c r="N17" s="67">
        <v>3252892</v>
      </c>
      <c r="O17" s="67">
        <v>3255095</v>
      </c>
      <c r="P17" s="67">
        <v>3257282</v>
      </c>
      <c r="Q17" s="67">
        <v>3259752</v>
      </c>
      <c r="R17" s="67">
        <v>3261609</v>
      </c>
      <c r="S17" s="67">
        <v>3263509</v>
      </c>
      <c r="T17" s="67">
        <v>3265500</v>
      </c>
      <c r="U17" s="67">
        <v>3267307</v>
      </c>
      <c r="V17" s="67">
        <v>3269191</v>
      </c>
      <c r="W17" s="67">
        <v>3271085</v>
      </c>
      <c r="X17" s="67">
        <v>3272950</v>
      </c>
      <c r="Y17" s="67">
        <v>3274698</v>
      </c>
      <c r="Z17" s="67">
        <v>3276795</v>
      </c>
      <c r="AA17" s="67">
        <v>3278471</v>
      </c>
      <c r="AB17" s="67">
        <v>3280323</v>
      </c>
      <c r="AC17" s="67">
        <v>3282051</v>
      </c>
      <c r="AD17" s="67">
        <v>3283899</v>
      </c>
      <c r="AE17" s="67">
        <v>3285825</v>
      </c>
      <c r="AF17" s="67">
        <v>3287764</v>
      </c>
      <c r="AG17" s="69">
        <v>3290133</v>
      </c>
      <c r="AH17" s="69">
        <v>3292166</v>
      </c>
      <c r="AI17" s="67">
        <v>3294118</v>
      </c>
      <c r="AJ17" s="64"/>
      <c r="AK17" s="65"/>
    </row>
    <row r="18" spans="1:37" x14ac:dyDescent="0.2">
      <c r="A18" s="59" t="s">
        <v>24</v>
      </c>
      <c r="B18" s="67"/>
      <c r="C18" s="68"/>
      <c r="D18" s="67"/>
      <c r="E18" s="68"/>
      <c r="F18" s="68"/>
      <c r="G18" s="67"/>
      <c r="H18" s="68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9"/>
      <c r="AH18" s="69"/>
      <c r="AI18" s="67"/>
      <c r="AJ18" s="64"/>
      <c r="AK18" s="65"/>
    </row>
    <row r="19" spans="1:37" x14ac:dyDescent="0.2">
      <c r="A19" s="70" t="s">
        <v>25</v>
      </c>
      <c r="B19" s="71">
        <v>10573222</v>
      </c>
      <c r="C19" s="72">
        <v>10611021</v>
      </c>
      <c r="D19" s="71">
        <v>23791894</v>
      </c>
      <c r="E19" s="72">
        <v>23804208</v>
      </c>
      <c r="F19" s="72">
        <v>23817826</v>
      </c>
      <c r="G19" s="67">
        <v>23831308</v>
      </c>
      <c r="H19" s="72">
        <v>23844498</v>
      </c>
      <c r="I19" s="71">
        <v>23856362</v>
      </c>
      <c r="J19" s="71">
        <v>23868574</v>
      </c>
      <c r="K19" s="71">
        <v>23881160</v>
      </c>
      <c r="L19" s="71">
        <v>23894076</v>
      </c>
      <c r="M19" s="71">
        <v>23906624</v>
      </c>
      <c r="N19" s="71">
        <v>23918244</v>
      </c>
      <c r="O19" s="71">
        <v>23930014</v>
      </c>
      <c r="P19" s="71">
        <v>23941994</v>
      </c>
      <c r="Q19" s="71">
        <v>23954594</v>
      </c>
      <c r="R19" s="71">
        <v>23966992</v>
      </c>
      <c r="S19" s="71">
        <v>23979442</v>
      </c>
      <c r="T19" s="71">
        <v>23991602</v>
      </c>
      <c r="U19" s="71">
        <v>24002802</v>
      </c>
      <c r="V19" s="71">
        <v>24014040</v>
      </c>
      <c r="W19" s="71">
        <v>24025988</v>
      </c>
      <c r="X19" s="71">
        <v>24038076</v>
      </c>
      <c r="Y19" s="71">
        <v>24050126</v>
      </c>
      <c r="Z19" s="71">
        <v>24062594</v>
      </c>
      <c r="AA19" s="71">
        <v>24074758</v>
      </c>
      <c r="AB19" s="71">
        <v>24085976</v>
      </c>
      <c r="AC19" s="71">
        <v>24097492</v>
      </c>
      <c r="AD19" s="71">
        <v>24109682</v>
      </c>
      <c r="AE19" s="71">
        <v>24121730</v>
      </c>
      <c r="AF19" s="71">
        <v>24133838</v>
      </c>
      <c r="AG19" s="73">
        <v>24146670</v>
      </c>
      <c r="AH19" s="73">
        <v>24159050</v>
      </c>
      <c r="AI19" s="71">
        <v>24170232</v>
      </c>
      <c r="AJ19" s="64"/>
      <c r="AK19" s="65"/>
    </row>
    <row r="20" spans="1:37" x14ac:dyDescent="0.2">
      <c r="A20" s="74" t="s">
        <v>26</v>
      </c>
      <c r="B20" s="67">
        <v>3928636</v>
      </c>
      <c r="C20" s="68">
        <v>3943156</v>
      </c>
      <c r="D20" s="67">
        <v>8714018</v>
      </c>
      <c r="E20" s="68">
        <v>8718648</v>
      </c>
      <c r="F20" s="68">
        <v>8723041</v>
      </c>
      <c r="G20" s="67">
        <v>8727699</v>
      </c>
      <c r="H20" s="68">
        <v>8732203</v>
      </c>
      <c r="I20" s="67">
        <v>8736450</v>
      </c>
      <c r="J20" s="67">
        <v>8741121</v>
      </c>
      <c r="K20" s="67">
        <v>8745124</v>
      </c>
      <c r="L20" s="67">
        <v>8749435</v>
      </c>
      <c r="M20" s="67">
        <v>8753673</v>
      </c>
      <c r="N20" s="67">
        <v>8757631</v>
      </c>
      <c r="O20" s="67">
        <v>8761858</v>
      </c>
      <c r="P20" s="67">
        <v>8765959</v>
      </c>
      <c r="Q20" s="67">
        <v>8770899</v>
      </c>
      <c r="R20" s="67">
        <v>8774700</v>
      </c>
      <c r="S20" s="67">
        <v>8778859</v>
      </c>
      <c r="T20" s="67">
        <v>8782910</v>
      </c>
      <c r="U20" s="67">
        <v>8786748</v>
      </c>
      <c r="V20" s="67">
        <v>8790767</v>
      </c>
      <c r="W20" s="67">
        <v>8794923</v>
      </c>
      <c r="X20" s="67">
        <v>8798982</v>
      </c>
      <c r="Y20" s="67">
        <v>8802882</v>
      </c>
      <c r="Z20" s="67">
        <v>8807599</v>
      </c>
      <c r="AA20" s="67">
        <v>8811401</v>
      </c>
      <c r="AB20" s="67">
        <v>8815630</v>
      </c>
      <c r="AC20" s="67">
        <v>8819318</v>
      </c>
      <c r="AD20" s="67">
        <v>8823433</v>
      </c>
      <c r="AE20" s="75">
        <v>8827699</v>
      </c>
      <c r="AF20" s="67">
        <v>8831940</v>
      </c>
      <c r="AG20" s="69">
        <v>8836905</v>
      </c>
      <c r="AH20" s="69">
        <v>8841105</v>
      </c>
      <c r="AI20" s="67">
        <v>8845176</v>
      </c>
      <c r="AJ20" s="64"/>
      <c r="AK20" s="65"/>
    </row>
    <row r="21" spans="1:37" ht="15" thickBot="1" x14ac:dyDescent="0.25">
      <c r="A21" s="65"/>
      <c r="B21" s="60"/>
      <c r="C21" s="65"/>
      <c r="D21" s="76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76"/>
      <c r="AJ21" s="64"/>
      <c r="AK21" s="65"/>
    </row>
    <row r="22" spans="1:37" ht="16.5" thickBot="1" x14ac:dyDescent="0.3">
      <c r="A22" s="77" t="s">
        <v>27</v>
      </c>
      <c r="B22" s="60"/>
      <c r="C22" s="65"/>
      <c r="D22" s="76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76"/>
      <c r="AJ22" s="64"/>
      <c r="AK22" s="65"/>
    </row>
    <row r="23" spans="1:37" x14ac:dyDescent="0.2">
      <c r="A23" s="59" t="s">
        <v>21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9"/>
      <c r="AH23" s="79"/>
      <c r="AI23" s="78"/>
      <c r="AJ23" s="64"/>
      <c r="AK23" s="65"/>
    </row>
    <row r="24" spans="1:37" x14ac:dyDescent="0.2">
      <c r="A24" s="80" t="s">
        <v>25</v>
      </c>
      <c r="B24" s="67" t="e">
        <f>B16-#REF!</f>
        <v>#REF!</v>
      </c>
      <c r="C24" s="67">
        <f>C16-B16</f>
        <v>6772</v>
      </c>
      <c r="D24" s="67">
        <f t="shared" ref="D24:E25" si="1">D16-C16</f>
        <v>3880504</v>
      </c>
      <c r="E24" s="67">
        <f t="shared" si="1"/>
        <v>2368</v>
      </c>
      <c r="F24" s="67">
        <f>F16-E16</f>
        <v>2417</v>
      </c>
      <c r="G24" s="67">
        <f t="shared" ref="G24:AI25" si="2">G16-F16</f>
        <v>2507</v>
      </c>
      <c r="H24" s="67">
        <f t="shared" si="2"/>
        <v>2367</v>
      </c>
      <c r="I24" s="67">
        <f t="shared" si="2"/>
        <v>4677</v>
      </c>
      <c r="J24" s="67">
        <f t="shared" si="2"/>
        <v>4885</v>
      </c>
      <c r="K24" s="67">
        <f t="shared" si="2"/>
        <v>4931</v>
      </c>
      <c r="L24" s="67">
        <f t="shared" si="2"/>
        <v>5015</v>
      </c>
      <c r="M24" s="67">
        <f t="shared" si="2"/>
        <v>5113</v>
      </c>
      <c r="N24" s="67">
        <f t="shared" si="2"/>
        <v>4915</v>
      </c>
      <c r="O24" s="67">
        <f t="shared" si="2"/>
        <v>4911</v>
      </c>
      <c r="P24" s="67">
        <f t="shared" si="2"/>
        <v>4523</v>
      </c>
      <c r="Q24" s="67">
        <f t="shared" si="2"/>
        <v>4674</v>
      </c>
      <c r="R24" s="67">
        <f t="shared" si="2"/>
        <v>4457</v>
      </c>
      <c r="S24" s="67">
        <f t="shared" si="2"/>
        <v>4706</v>
      </c>
      <c r="T24" s="67">
        <f t="shared" si="2"/>
        <v>4524</v>
      </c>
      <c r="U24" s="67">
        <f t="shared" si="2"/>
        <v>4375</v>
      </c>
      <c r="V24" s="67">
        <f t="shared" si="2"/>
        <v>4359</v>
      </c>
      <c r="W24" s="67">
        <f t="shared" si="2"/>
        <v>4326</v>
      </c>
      <c r="X24" s="67">
        <f t="shared" si="2"/>
        <v>4424</v>
      </c>
      <c r="Y24" s="67">
        <f t="shared" si="2"/>
        <v>4476</v>
      </c>
      <c r="Z24" s="67">
        <f t="shared" si="2"/>
        <v>4432</v>
      </c>
      <c r="AA24" s="67">
        <f t="shared" si="2"/>
        <v>4140</v>
      </c>
      <c r="AB24" s="67">
        <f t="shared" si="2"/>
        <v>4444</v>
      </c>
      <c r="AC24" s="67">
        <f t="shared" si="2"/>
        <v>4361</v>
      </c>
      <c r="AD24" s="67">
        <f t="shared" si="2"/>
        <v>4456</v>
      </c>
      <c r="AE24" s="67">
        <f t="shared" si="2"/>
        <v>4561</v>
      </c>
      <c r="AF24" s="67">
        <f t="shared" si="2"/>
        <v>4629</v>
      </c>
      <c r="AG24" s="67">
        <f t="shared" si="2"/>
        <v>4925</v>
      </c>
      <c r="AH24" s="67">
        <f t="shared" si="2"/>
        <v>4718</v>
      </c>
      <c r="AI24" s="67">
        <f t="shared" si="2"/>
        <v>4556</v>
      </c>
      <c r="AJ24" s="64"/>
      <c r="AK24" s="65"/>
    </row>
    <row r="25" spans="1:37" x14ac:dyDescent="0.2">
      <c r="A25" s="80" t="s">
        <v>26</v>
      </c>
      <c r="B25" s="67" t="e">
        <f>B17-#REF!</f>
        <v>#REF!</v>
      </c>
      <c r="C25" s="67">
        <f>C17-B17</f>
        <v>3120</v>
      </c>
      <c r="D25" s="67">
        <f t="shared" si="1"/>
        <v>1654868</v>
      </c>
      <c r="E25" s="67">
        <f t="shared" si="1"/>
        <v>1152</v>
      </c>
      <c r="F25" s="67">
        <f>F17-E17</f>
        <v>1080</v>
      </c>
      <c r="G25" s="67">
        <f t="shared" si="2"/>
        <v>1058</v>
      </c>
      <c r="H25" s="67">
        <f t="shared" si="2"/>
        <v>1207</v>
      </c>
      <c r="I25" s="67">
        <f t="shared" si="2"/>
        <v>1179</v>
      </c>
      <c r="J25" s="67">
        <f t="shared" si="2"/>
        <v>1449</v>
      </c>
      <c r="K25" s="67">
        <f t="shared" si="2"/>
        <v>2261</v>
      </c>
      <c r="L25" s="67">
        <f t="shared" si="2"/>
        <v>1726</v>
      </c>
      <c r="M25" s="67">
        <f t="shared" si="2"/>
        <v>2517</v>
      </c>
      <c r="N25" s="67">
        <f t="shared" si="2"/>
        <v>1415</v>
      </c>
      <c r="O25" s="67">
        <f t="shared" si="2"/>
        <v>2203</v>
      </c>
      <c r="P25" s="67">
        <f t="shared" si="2"/>
        <v>2187</v>
      </c>
      <c r="Q25" s="67">
        <f t="shared" si="2"/>
        <v>2470</v>
      </c>
      <c r="R25" s="67">
        <f t="shared" si="2"/>
        <v>1857</v>
      </c>
      <c r="S25" s="67">
        <f t="shared" si="2"/>
        <v>1900</v>
      </c>
      <c r="T25" s="67">
        <f t="shared" si="2"/>
        <v>1991</v>
      </c>
      <c r="U25" s="67">
        <f t="shared" si="2"/>
        <v>1807</v>
      </c>
      <c r="V25" s="67">
        <f t="shared" si="2"/>
        <v>1884</v>
      </c>
      <c r="W25" s="67">
        <f t="shared" si="2"/>
        <v>1894</v>
      </c>
      <c r="X25" s="67">
        <f t="shared" si="2"/>
        <v>1865</v>
      </c>
      <c r="Y25" s="67">
        <f t="shared" si="2"/>
        <v>1748</v>
      </c>
      <c r="Z25" s="67">
        <f t="shared" si="2"/>
        <v>2097</v>
      </c>
      <c r="AA25" s="67">
        <f t="shared" si="2"/>
        <v>1676</v>
      </c>
      <c r="AB25" s="67">
        <f t="shared" si="2"/>
        <v>1852</v>
      </c>
      <c r="AC25" s="67">
        <f t="shared" si="2"/>
        <v>1728</v>
      </c>
      <c r="AD25" s="67">
        <f t="shared" si="2"/>
        <v>1848</v>
      </c>
      <c r="AE25" s="67">
        <f t="shared" si="2"/>
        <v>1926</v>
      </c>
      <c r="AF25" s="67">
        <f t="shared" si="2"/>
        <v>1939</v>
      </c>
      <c r="AG25" s="67">
        <f t="shared" si="2"/>
        <v>2369</v>
      </c>
      <c r="AH25" s="67">
        <f t="shared" si="2"/>
        <v>2033</v>
      </c>
      <c r="AI25" s="67">
        <f t="shared" si="2"/>
        <v>1952</v>
      </c>
      <c r="AJ25" s="64"/>
      <c r="AK25" s="81"/>
    </row>
    <row r="26" spans="1:37" x14ac:dyDescent="0.2">
      <c r="A26" s="82" t="s">
        <v>24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9"/>
      <c r="AH26" s="69"/>
      <c r="AI26" s="67"/>
      <c r="AJ26" s="64"/>
      <c r="AK26" s="81"/>
    </row>
    <row r="27" spans="1:37" x14ac:dyDescent="0.2">
      <c r="A27" s="80" t="s">
        <v>25</v>
      </c>
      <c r="B27" s="67" t="e">
        <f>B19-#REF!</f>
        <v>#REF!</v>
      </c>
      <c r="C27" s="67">
        <f>C19-B19</f>
        <v>37799</v>
      </c>
      <c r="D27" s="67">
        <f t="shared" ref="D27:E28" si="3">D19-C19</f>
        <v>13180873</v>
      </c>
      <c r="E27" s="67">
        <f t="shared" si="3"/>
        <v>12314</v>
      </c>
      <c r="F27" s="67">
        <f>F19-E19</f>
        <v>13618</v>
      </c>
      <c r="G27" s="67">
        <f t="shared" ref="G27:AI28" si="4">G19-F19</f>
        <v>13482</v>
      </c>
      <c r="H27" s="67">
        <f t="shared" si="4"/>
        <v>13190</v>
      </c>
      <c r="I27" s="67">
        <f t="shared" si="4"/>
        <v>11864</v>
      </c>
      <c r="J27" s="67">
        <f t="shared" si="4"/>
        <v>12212</v>
      </c>
      <c r="K27" s="67">
        <f t="shared" si="4"/>
        <v>12586</v>
      </c>
      <c r="L27" s="67">
        <f t="shared" si="4"/>
        <v>12916</v>
      </c>
      <c r="M27" s="67">
        <f t="shared" si="4"/>
        <v>12548</v>
      </c>
      <c r="N27" s="67">
        <f t="shared" si="4"/>
        <v>11620</v>
      </c>
      <c r="O27" s="67">
        <f t="shared" si="4"/>
        <v>11770</v>
      </c>
      <c r="P27" s="67">
        <f t="shared" si="4"/>
        <v>11980</v>
      </c>
      <c r="Q27" s="67">
        <f t="shared" si="4"/>
        <v>12600</v>
      </c>
      <c r="R27" s="67">
        <f t="shared" si="4"/>
        <v>12398</v>
      </c>
      <c r="S27" s="67">
        <f t="shared" si="4"/>
        <v>12450</v>
      </c>
      <c r="T27" s="67">
        <f t="shared" si="4"/>
        <v>12160</v>
      </c>
      <c r="U27" s="67">
        <f t="shared" si="4"/>
        <v>11200</v>
      </c>
      <c r="V27" s="67">
        <f t="shared" si="4"/>
        <v>11238</v>
      </c>
      <c r="W27" s="67">
        <f t="shared" si="4"/>
        <v>11948</v>
      </c>
      <c r="X27" s="67">
        <f t="shared" si="4"/>
        <v>12088</v>
      </c>
      <c r="Y27" s="67">
        <f t="shared" si="4"/>
        <v>12050</v>
      </c>
      <c r="Z27" s="67">
        <f t="shared" si="4"/>
        <v>12468</v>
      </c>
      <c r="AA27" s="67">
        <f t="shared" si="4"/>
        <v>12164</v>
      </c>
      <c r="AB27" s="67">
        <f t="shared" si="4"/>
        <v>11218</v>
      </c>
      <c r="AC27" s="67">
        <f t="shared" si="4"/>
        <v>11516</v>
      </c>
      <c r="AD27" s="67">
        <f t="shared" si="4"/>
        <v>12190</v>
      </c>
      <c r="AE27" s="67">
        <f t="shared" si="4"/>
        <v>12048</v>
      </c>
      <c r="AF27" s="67">
        <f t="shared" si="4"/>
        <v>12108</v>
      </c>
      <c r="AG27" s="67">
        <f t="shared" si="4"/>
        <v>12832</v>
      </c>
      <c r="AH27" s="67">
        <f t="shared" si="4"/>
        <v>12380</v>
      </c>
      <c r="AI27" s="67">
        <f t="shared" si="4"/>
        <v>11182</v>
      </c>
      <c r="AJ27" s="64"/>
      <c r="AK27" s="81"/>
    </row>
    <row r="28" spans="1:37" ht="15" x14ac:dyDescent="0.2">
      <c r="A28" s="80" t="s">
        <v>26</v>
      </c>
      <c r="B28" s="67" t="e">
        <f>B20-#REF!</f>
        <v>#REF!</v>
      </c>
      <c r="C28" s="67">
        <f>C20-B20</f>
        <v>14520</v>
      </c>
      <c r="D28" s="67">
        <f t="shared" si="3"/>
        <v>4770862</v>
      </c>
      <c r="E28" s="67">
        <f t="shared" si="3"/>
        <v>4630</v>
      </c>
      <c r="F28" s="67">
        <f>F20-E20</f>
        <v>4393</v>
      </c>
      <c r="G28" s="67">
        <f t="shared" si="4"/>
        <v>4658</v>
      </c>
      <c r="H28" s="67">
        <f t="shared" si="4"/>
        <v>4504</v>
      </c>
      <c r="I28" s="67">
        <f t="shared" si="4"/>
        <v>4247</v>
      </c>
      <c r="J28" s="67">
        <f t="shared" si="4"/>
        <v>4671</v>
      </c>
      <c r="K28" s="67">
        <f t="shared" si="4"/>
        <v>4003</v>
      </c>
      <c r="L28" s="67">
        <f t="shared" si="4"/>
        <v>4311</v>
      </c>
      <c r="M28" s="67">
        <f t="shared" si="4"/>
        <v>4238</v>
      </c>
      <c r="N28" s="67">
        <f t="shared" si="4"/>
        <v>3958</v>
      </c>
      <c r="O28" s="67">
        <f t="shared" si="4"/>
        <v>4227</v>
      </c>
      <c r="P28" s="67">
        <f t="shared" si="4"/>
        <v>4101</v>
      </c>
      <c r="Q28" s="67">
        <f t="shared" si="4"/>
        <v>4940</v>
      </c>
      <c r="R28" s="67">
        <f t="shared" si="4"/>
        <v>3801</v>
      </c>
      <c r="S28" s="67">
        <f t="shared" si="4"/>
        <v>4159</v>
      </c>
      <c r="T28" s="67">
        <f t="shared" si="4"/>
        <v>4051</v>
      </c>
      <c r="U28" s="67">
        <f t="shared" si="4"/>
        <v>3838</v>
      </c>
      <c r="V28" s="67">
        <f t="shared" si="4"/>
        <v>4019</v>
      </c>
      <c r="W28" s="67">
        <f t="shared" si="4"/>
        <v>4156</v>
      </c>
      <c r="X28" s="67">
        <f t="shared" si="4"/>
        <v>4059</v>
      </c>
      <c r="Y28" s="67">
        <f t="shared" si="4"/>
        <v>3900</v>
      </c>
      <c r="Z28" s="67">
        <f t="shared" si="4"/>
        <v>4717</v>
      </c>
      <c r="AA28" s="67">
        <f t="shared" si="4"/>
        <v>3802</v>
      </c>
      <c r="AB28" s="67">
        <f t="shared" si="4"/>
        <v>4229</v>
      </c>
      <c r="AC28" s="67">
        <f t="shared" si="4"/>
        <v>3688</v>
      </c>
      <c r="AD28" s="67">
        <f t="shared" si="4"/>
        <v>4115</v>
      </c>
      <c r="AE28" s="67">
        <f t="shared" si="4"/>
        <v>4266</v>
      </c>
      <c r="AF28" s="67">
        <f t="shared" si="4"/>
        <v>4241</v>
      </c>
      <c r="AG28" s="67">
        <f t="shared" si="4"/>
        <v>4965</v>
      </c>
      <c r="AH28" s="67">
        <f t="shared" si="4"/>
        <v>4200</v>
      </c>
      <c r="AI28" s="67">
        <f t="shared" si="4"/>
        <v>4071</v>
      </c>
      <c r="AJ28" s="83" t="s">
        <v>14</v>
      </c>
      <c r="AK28" s="30" t="s">
        <v>15</v>
      </c>
    </row>
    <row r="29" spans="1:37" ht="15.75" x14ac:dyDescent="0.25">
      <c r="A29" s="84" t="s">
        <v>28</v>
      </c>
      <c r="B29" s="85" t="e">
        <f>SUM(B24:B28)</f>
        <v>#REF!</v>
      </c>
      <c r="C29" s="85">
        <f>SUM(C24:C28)</f>
        <v>62211</v>
      </c>
      <c r="D29" s="86">
        <f t="shared" ref="D29:E29" si="5">SUM(D24:D28)</f>
        <v>23487107</v>
      </c>
      <c r="E29" s="86">
        <f t="shared" si="5"/>
        <v>20464</v>
      </c>
      <c r="F29" s="86">
        <f>SUM(F24:F28)</f>
        <v>21508</v>
      </c>
      <c r="G29" s="86">
        <f t="shared" ref="G29:AI29" si="6">SUM(G24:G28)</f>
        <v>21705</v>
      </c>
      <c r="H29" s="86">
        <f t="shared" si="6"/>
        <v>21268</v>
      </c>
      <c r="I29" s="86">
        <f t="shared" si="6"/>
        <v>21967</v>
      </c>
      <c r="J29" s="86">
        <f t="shared" si="6"/>
        <v>23217</v>
      </c>
      <c r="K29" s="86">
        <f>SUM(K24:K28)</f>
        <v>23781</v>
      </c>
      <c r="L29" s="86">
        <f>SUM(L24:L28)</f>
        <v>23968</v>
      </c>
      <c r="M29" s="86">
        <f t="shared" si="6"/>
        <v>24416</v>
      </c>
      <c r="N29" s="86">
        <f t="shared" si="6"/>
        <v>21908</v>
      </c>
      <c r="O29" s="86">
        <f t="shared" si="6"/>
        <v>23111</v>
      </c>
      <c r="P29" s="86">
        <f>SUM(P24:P28)</f>
        <v>22791</v>
      </c>
      <c r="Q29" s="86">
        <f t="shared" si="6"/>
        <v>24684</v>
      </c>
      <c r="R29" s="86">
        <f t="shared" si="6"/>
        <v>22513</v>
      </c>
      <c r="S29" s="86">
        <f t="shared" si="6"/>
        <v>23215</v>
      </c>
      <c r="T29" s="86">
        <f t="shared" si="6"/>
        <v>22726</v>
      </c>
      <c r="U29" s="86">
        <f>SUM(U24:U28)</f>
        <v>21220</v>
      </c>
      <c r="V29" s="86">
        <f t="shared" si="6"/>
        <v>21500</v>
      </c>
      <c r="W29" s="86">
        <f t="shared" si="6"/>
        <v>22324</v>
      </c>
      <c r="X29" s="86">
        <f t="shared" si="6"/>
        <v>22436</v>
      </c>
      <c r="Y29" s="86">
        <f t="shared" si="6"/>
        <v>22174</v>
      </c>
      <c r="Z29" s="86">
        <f>SUM(Z24:Z28)</f>
        <v>23714</v>
      </c>
      <c r="AA29" s="86">
        <f t="shared" si="6"/>
        <v>21782</v>
      </c>
      <c r="AB29" s="86">
        <f t="shared" si="6"/>
        <v>21743</v>
      </c>
      <c r="AC29" s="86">
        <f>SUM(AC24:AC28)</f>
        <v>21293</v>
      </c>
      <c r="AD29" s="86">
        <f>SUM(AD24:AD28)</f>
        <v>22609</v>
      </c>
      <c r="AE29" s="86">
        <f t="shared" si="6"/>
        <v>22801</v>
      </c>
      <c r="AF29" s="86">
        <f t="shared" si="6"/>
        <v>22917</v>
      </c>
      <c r="AG29" s="87">
        <f t="shared" si="6"/>
        <v>25091</v>
      </c>
      <c r="AH29" s="87">
        <f t="shared" si="6"/>
        <v>23331</v>
      </c>
      <c r="AI29" s="86">
        <f t="shared" si="6"/>
        <v>21761</v>
      </c>
      <c r="AJ29" s="88">
        <f>SUM(E29:AI29)</f>
        <v>699938</v>
      </c>
      <c r="AK29" s="89">
        <f>AJ29/31</f>
        <v>22578.645161290322</v>
      </c>
    </row>
    <row r="30" spans="1:37" ht="15.75" x14ac:dyDescent="0.25">
      <c r="A30" s="90" t="s">
        <v>29</v>
      </c>
      <c r="B30" s="91">
        <v>23235</v>
      </c>
      <c r="C30" s="91">
        <v>23235</v>
      </c>
      <c r="D30" s="91">
        <v>23480</v>
      </c>
      <c r="E30" s="91">
        <v>25178</v>
      </c>
      <c r="F30" s="91">
        <v>25178</v>
      </c>
      <c r="G30" s="91">
        <v>25178</v>
      </c>
      <c r="H30" s="91">
        <v>25178</v>
      </c>
      <c r="I30" s="91">
        <v>25178</v>
      </c>
      <c r="J30" s="91">
        <v>25178</v>
      </c>
      <c r="K30" s="91">
        <v>25178</v>
      </c>
      <c r="L30" s="91">
        <v>25178</v>
      </c>
      <c r="M30" s="91">
        <v>25178</v>
      </c>
      <c r="N30" s="91">
        <v>25178</v>
      </c>
      <c r="O30" s="91">
        <v>25178</v>
      </c>
      <c r="P30" s="91">
        <v>25178</v>
      </c>
      <c r="Q30" s="91">
        <v>25178</v>
      </c>
      <c r="R30" s="91">
        <v>25178</v>
      </c>
      <c r="S30" s="91">
        <v>25178</v>
      </c>
      <c r="T30" s="91">
        <v>25178</v>
      </c>
      <c r="U30" s="91">
        <v>25178</v>
      </c>
      <c r="V30" s="91">
        <v>25178</v>
      </c>
      <c r="W30" s="91">
        <v>25178</v>
      </c>
      <c r="X30" s="91">
        <v>25178</v>
      </c>
      <c r="Y30" s="91">
        <v>25178</v>
      </c>
      <c r="Z30" s="91">
        <v>25178</v>
      </c>
      <c r="AA30" s="91">
        <v>25178</v>
      </c>
      <c r="AB30" s="91">
        <v>25178</v>
      </c>
      <c r="AC30" s="91">
        <v>25178</v>
      </c>
      <c r="AD30" s="91">
        <v>25178</v>
      </c>
      <c r="AE30" s="91">
        <v>25178</v>
      </c>
      <c r="AF30" s="91">
        <v>25178</v>
      </c>
      <c r="AG30" s="91">
        <v>25178</v>
      </c>
      <c r="AH30" s="91">
        <v>25178</v>
      </c>
      <c r="AI30" s="91">
        <v>25178</v>
      </c>
      <c r="AJ30" s="92">
        <f>SUM(E30:AI30)</f>
        <v>780518</v>
      </c>
      <c r="AK30" s="93">
        <f>AJ30/31</f>
        <v>25178</v>
      </c>
    </row>
    <row r="31" spans="1:37" x14ac:dyDescent="0.2">
      <c r="A31" s="94"/>
      <c r="B31" s="94"/>
      <c r="C31" s="94"/>
      <c r="D31" s="94"/>
      <c r="E31" s="94"/>
      <c r="F31" s="94"/>
      <c r="G31" s="94"/>
      <c r="H31" s="94"/>
      <c r="I31" s="94"/>
      <c r="J31" s="94"/>
      <c r="K31" s="94"/>
      <c r="L31" s="94"/>
      <c r="M31" s="94"/>
      <c r="N31" s="94"/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  <c r="AC31" s="94"/>
      <c r="AD31" s="94"/>
      <c r="AE31" s="94"/>
      <c r="AF31" s="94"/>
      <c r="AG31" s="95"/>
      <c r="AH31" s="95"/>
      <c r="AI31" s="94"/>
      <c r="AJ31" s="64"/>
      <c r="AK31" s="81"/>
    </row>
    <row r="32" spans="1:37" x14ac:dyDescent="0.2">
      <c r="A32" s="96" t="s">
        <v>30</v>
      </c>
      <c r="B32" s="97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78"/>
      <c r="AB32" s="78"/>
      <c r="AC32" s="78"/>
      <c r="AD32" s="78"/>
      <c r="AE32" s="78"/>
      <c r="AF32" s="78"/>
      <c r="AG32" s="79"/>
      <c r="AH32" s="79"/>
      <c r="AI32" s="78"/>
      <c r="AJ32" s="64"/>
      <c r="AK32" s="65"/>
    </row>
    <row r="33" spans="1:37" x14ac:dyDescent="0.2">
      <c r="A33" s="98" t="s">
        <v>31</v>
      </c>
      <c r="B33" s="99">
        <v>5351900</v>
      </c>
      <c r="C33" s="99">
        <v>5351940</v>
      </c>
      <c r="D33" s="100">
        <v>700385</v>
      </c>
      <c r="E33" s="99">
        <v>700385</v>
      </c>
      <c r="F33" s="100">
        <v>700385</v>
      </c>
      <c r="G33" s="67">
        <v>700385</v>
      </c>
      <c r="H33" s="100">
        <v>700385</v>
      </c>
      <c r="I33" s="100">
        <v>700885</v>
      </c>
      <c r="J33" s="100">
        <v>700805</v>
      </c>
      <c r="K33" s="100">
        <v>701105</v>
      </c>
      <c r="L33" s="100">
        <v>701364</v>
      </c>
      <c r="M33" s="100">
        <v>701687</v>
      </c>
      <c r="N33" s="100">
        <v>701931</v>
      </c>
      <c r="O33" s="100">
        <v>702229</v>
      </c>
      <c r="P33" s="100">
        <v>702507</v>
      </c>
      <c r="Q33" s="100">
        <v>702805</v>
      </c>
      <c r="R33" s="100">
        <v>703061</v>
      </c>
      <c r="S33" s="100">
        <v>703381</v>
      </c>
      <c r="T33" s="100">
        <v>703599</v>
      </c>
      <c r="U33" s="100">
        <v>703856</v>
      </c>
      <c r="V33" s="99">
        <v>704117</v>
      </c>
      <c r="W33" s="99">
        <v>704366</v>
      </c>
      <c r="X33" s="99">
        <v>704617</v>
      </c>
      <c r="Y33" s="100">
        <v>704866</v>
      </c>
      <c r="Z33" s="100">
        <v>705131</v>
      </c>
      <c r="AA33" s="100">
        <v>705371</v>
      </c>
      <c r="AB33" s="100">
        <v>705624</v>
      </c>
      <c r="AC33" s="100">
        <v>705865</v>
      </c>
      <c r="AD33" s="100">
        <v>706119</v>
      </c>
      <c r="AE33" s="100">
        <v>706382</v>
      </c>
      <c r="AF33" s="100">
        <v>706646</v>
      </c>
      <c r="AG33" s="101">
        <v>706938</v>
      </c>
      <c r="AH33" s="101">
        <v>707212</v>
      </c>
      <c r="AI33" s="100">
        <v>707472</v>
      </c>
      <c r="AJ33" s="102"/>
      <c r="AK33" s="65"/>
    </row>
    <row r="34" spans="1:37" x14ac:dyDescent="0.2">
      <c r="A34" s="80" t="s">
        <v>32</v>
      </c>
      <c r="B34" s="68">
        <v>8425020</v>
      </c>
      <c r="C34" s="68">
        <v>8440480</v>
      </c>
      <c r="D34" s="67">
        <v>259361</v>
      </c>
      <c r="E34" s="68">
        <v>259864</v>
      </c>
      <c r="F34" s="68">
        <v>260378</v>
      </c>
      <c r="G34" s="67">
        <v>260910</v>
      </c>
      <c r="H34" s="68">
        <v>261404</v>
      </c>
      <c r="I34" s="67">
        <v>261713</v>
      </c>
      <c r="J34" s="67">
        <v>262046</v>
      </c>
      <c r="K34" s="67">
        <v>262324</v>
      </c>
      <c r="L34" s="67">
        <v>262667</v>
      </c>
      <c r="M34" s="67">
        <v>262969</v>
      </c>
      <c r="N34" s="67">
        <v>263294</v>
      </c>
      <c r="O34" s="67">
        <v>263622</v>
      </c>
      <c r="P34" s="67">
        <v>263923</v>
      </c>
      <c r="Q34" s="67">
        <v>264247</v>
      </c>
      <c r="R34" s="67">
        <v>264525</v>
      </c>
      <c r="S34" s="67">
        <v>264813</v>
      </c>
      <c r="T34" s="67">
        <v>265103</v>
      </c>
      <c r="U34" s="67">
        <v>265381</v>
      </c>
      <c r="V34" s="68">
        <v>265664</v>
      </c>
      <c r="W34" s="67">
        <v>265935</v>
      </c>
      <c r="X34" s="67">
        <v>266207</v>
      </c>
      <c r="Y34" s="67">
        <v>266478</v>
      </c>
      <c r="Z34" s="67">
        <v>266764</v>
      </c>
      <c r="AA34" s="67">
        <v>267022</v>
      </c>
      <c r="AB34" s="67">
        <v>267294</v>
      </c>
      <c r="AC34" s="67">
        <v>267556</v>
      </c>
      <c r="AD34" s="67">
        <v>267831</v>
      </c>
      <c r="AE34" s="67">
        <v>268113</v>
      </c>
      <c r="AF34" s="67">
        <v>268398</v>
      </c>
      <c r="AG34" s="69">
        <v>268717</v>
      </c>
      <c r="AH34" s="69">
        <v>269014</v>
      </c>
      <c r="AI34" s="67">
        <v>269296</v>
      </c>
      <c r="AJ34" s="102"/>
      <c r="AK34" s="65"/>
    </row>
    <row r="35" spans="1:37" x14ac:dyDescent="0.2">
      <c r="A35" s="80"/>
      <c r="B35" s="68"/>
      <c r="C35" s="68"/>
      <c r="D35" s="67"/>
      <c r="E35" s="68"/>
      <c r="F35" s="68"/>
      <c r="G35" s="67"/>
      <c r="H35" s="68"/>
      <c r="I35" s="67"/>
      <c r="J35" s="103"/>
      <c r="K35" s="67"/>
      <c r="L35" s="67"/>
      <c r="M35" s="67"/>
      <c r="N35" s="67"/>
      <c r="O35" s="67"/>
      <c r="P35" s="67"/>
      <c r="Q35" s="67"/>
      <c r="R35" s="104"/>
      <c r="S35" s="67"/>
      <c r="T35" s="67"/>
      <c r="U35" s="67"/>
      <c r="V35" s="68"/>
      <c r="W35" s="67"/>
      <c r="X35" s="67"/>
      <c r="Y35" s="104"/>
      <c r="Z35" s="67"/>
      <c r="AA35" s="67"/>
      <c r="AB35" s="67"/>
      <c r="AC35" s="105"/>
      <c r="AD35" s="67"/>
      <c r="AE35" s="67"/>
      <c r="AF35" s="67"/>
      <c r="AG35" s="69"/>
      <c r="AH35" s="69"/>
      <c r="AI35" s="67"/>
      <c r="AJ35" s="102"/>
      <c r="AK35" s="81"/>
    </row>
    <row r="36" spans="1:37" x14ac:dyDescent="0.2">
      <c r="A36" s="80" t="s">
        <v>33</v>
      </c>
      <c r="B36" s="68">
        <v>982660</v>
      </c>
      <c r="C36" s="68">
        <v>982670</v>
      </c>
      <c r="D36" s="67">
        <v>52330</v>
      </c>
      <c r="E36" s="68">
        <v>52330</v>
      </c>
      <c r="F36" s="67">
        <v>52330</v>
      </c>
      <c r="G36" s="67">
        <v>52330</v>
      </c>
      <c r="H36" s="67">
        <v>52330</v>
      </c>
      <c r="I36" s="67">
        <v>52330</v>
      </c>
      <c r="J36" s="67">
        <v>52330</v>
      </c>
      <c r="K36" s="67">
        <v>52330</v>
      </c>
      <c r="L36" s="67">
        <v>52330</v>
      </c>
      <c r="M36" s="67">
        <v>52330</v>
      </c>
      <c r="N36" s="67">
        <v>52330</v>
      </c>
      <c r="O36" s="67">
        <v>52330</v>
      </c>
      <c r="P36" s="67">
        <v>52330</v>
      </c>
      <c r="Q36" s="67">
        <v>52330</v>
      </c>
      <c r="R36" s="67">
        <v>52330</v>
      </c>
      <c r="S36" s="67">
        <v>52330</v>
      </c>
      <c r="T36" s="67">
        <v>52330</v>
      </c>
      <c r="U36" s="67">
        <v>52330</v>
      </c>
      <c r="V36" s="68">
        <v>52330</v>
      </c>
      <c r="W36" s="68">
        <v>52330</v>
      </c>
      <c r="X36" s="68">
        <v>52330</v>
      </c>
      <c r="Y36" s="67">
        <v>52330</v>
      </c>
      <c r="Z36" s="67">
        <v>52330</v>
      </c>
      <c r="AA36" s="67">
        <v>52330</v>
      </c>
      <c r="AB36" s="103">
        <v>52330</v>
      </c>
      <c r="AC36" s="67">
        <v>52330</v>
      </c>
      <c r="AD36" s="67">
        <v>52340</v>
      </c>
      <c r="AE36" s="67">
        <v>52340</v>
      </c>
      <c r="AF36" s="67">
        <v>52340</v>
      </c>
      <c r="AG36" s="69">
        <v>52340</v>
      </c>
      <c r="AH36" s="69">
        <v>52340</v>
      </c>
      <c r="AI36" s="67">
        <v>52340</v>
      </c>
      <c r="AJ36" s="102"/>
      <c r="AK36" s="81"/>
    </row>
    <row r="37" spans="1:37" x14ac:dyDescent="0.2">
      <c r="A37" s="80" t="s">
        <v>34</v>
      </c>
      <c r="B37" s="68">
        <v>959920</v>
      </c>
      <c r="C37" s="68">
        <v>959950</v>
      </c>
      <c r="D37" s="67">
        <v>235190</v>
      </c>
      <c r="E37" s="68">
        <v>235190</v>
      </c>
      <c r="F37" s="67">
        <v>235190</v>
      </c>
      <c r="G37" s="67">
        <v>235200</v>
      </c>
      <c r="H37" s="67">
        <v>235210</v>
      </c>
      <c r="I37" s="67">
        <v>237150</v>
      </c>
      <c r="J37" s="67">
        <v>239300</v>
      </c>
      <c r="K37" s="67">
        <v>242230</v>
      </c>
      <c r="L37" s="67">
        <v>244750</v>
      </c>
      <c r="M37" s="67">
        <v>247870</v>
      </c>
      <c r="N37" s="67">
        <v>250230</v>
      </c>
      <c r="O37" s="67">
        <v>253100</v>
      </c>
      <c r="P37" s="67">
        <v>255800</v>
      </c>
      <c r="Q37" s="67">
        <v>258680</v>
      </c>
      <c r="R37" s="67">
        <v>261140</v>
      </c>
      <c r="S37" s="67">
        <v>263710</v>
      </c>
      <c r="T37" s="67">
        <v>266330</v>
      </c>
      <c r="U37" s="67">
        <v>268790</v>
      </c>
      <c r="V37" s="67">
        <v>271280</v>
      </c>
      <c r="W37" s="67">
        <v>273640</v>
      </c>
      <c r="X37" s="68">
        <v>276040</v>
      </c>
      <c r="Y37" s="67">
        <v>278410</v>
      </c>
      <c r="Z37" s="67">
        <v>280920</v>
      </c>
      <c r="AA37" s="67">
        <v>283170</v>
      </c>
      <c r="AB37" s="67">
        <v>285570</v>
      </c>
      <c r="AC37" s="67">
        <v>287860</v>
      </c>
      <c r="AD37" s="67">
        <v>290270</v>
      </c>
      <c r="AE37" s="67">
        <v>292780</v>
      </c>
      <c r="AF37" s="67">
        <v>295290</v>
      </c>
      <c r="AG37" s="69">
        <v>298090</v>
      </c>
      <c r="AH37" s="69">
        <v>300730</v>
      </c>
      <c r="AI37" s="67">
        <v>303220</v>
      </c>
      <c r="AJ37" s="102"/>
      <c r="AK37" s="81"/>
    </row>
    <row r="38" spans="1:37" x14ac:dyDescent="0.2">
      <c r="A38" s="79" t="s">
        <v>11</v>
      </c>
      <c r="B38" s="68">
        <v>413050</v>
      </c>
      <c r="C38" s="68">
        <v>415960</v>
      </c>
      <c r="D38" s="67">
        <v>265450</v>
      </c>
      <c r="E38" s="68">
        <v>267650</v>
      </c>
      <c r="F38" s="67">
        <v>270800</v>
      </c>
      <c r="G38" s="67">
        <v>273110</v>
      </c>
      <c r="H38" s="67">
        <v>275250</v>
      </c>
      <c r="I38" s="67">
        <v>275250</v>
      </c>
      <c r="J38" s="67">
        <v>275250</v>
      </c>
      <c r="K38" s="67">
        <v>275250</v>
      </c>
      <c r="L38" s="67">
        <v>275250</v>
      </c>
      <c r="M38" s="67">
        <v>275250</v>
      </c>
      <c r="N38" s="67">
        <v>275250</v>
      </c>
      <c r="O38" s="67">
        <v>275250</v>
      </c>
      <c r="P38" s="67">
        <v>275250</v>
      </c>
      <c r="Q38" s="67">
        <v>275250</v>
      </c>
      <c r="R38" s="67">
        <v>275250</v>
      </c>
      <c r="S38" s="67">
        <v>275250</v>
      </c>
      <c r="T38" s="67">
        <v>275250</v>
      </c>
      <c r="U38" s="67">
        <v>275250</v>
      </c>
      <c r="V38" s="67">
        <v>275250</v>
      </c>
      <c r="W38" s="67">
        <v>275250</v>
      </c>
      <c r="X38" s="67">
        <v>275250</v>
      </c>
      <c r="Y38" s="67">
        <v>275250</v>
      </c>
      <c r="Z38" s="67">
        <v>275250</v>
      </c>
      <c r="AA38" s="67">
        <v>275250</v>
      </c>
      <c r="AB38" s="67">
        <v>275250</v>
      </c>
      <c r="AC38" s="67">
        <v>275250</v>
      </c>
      <c r="AD38" s="67">
        <v>275250</v>
      </c>
      <c r="AE38" s="67">
        <v>275250</v>
      </c>
      <c r="AF38" s="67">
        <v>275250</v>
      </c>
      <c r="AG38" s="69">
        <v>275250</v>
      </c>
      <c r="AH38" s="69">
        <v>275250</v>
      </c>
      <c r="AI38" s="67">
        <v>275250</v>
      </c>
      <c r="AJ38" s="102"/>
      <c r="AK38" s="81"/>
    </row>
    <row r="39" spans="1:37" x14ac:dyDescent="0.2">
      <c r="A39" s="79" t="s">
        <v>35</v>
      </c>
      <c r="B39" s="68">
        <v>618590</v>
      </c>
      <c r="C39" s="68">
        <v>624610</v>
      </c>
      <c r="D39" s="67">
        <v>64660</v>
      </c>
      <c r="E39" s="68">
        <v>67110</v>
      </c>
      <c r="F39" s="67">
        <v>68740</v>
      </c>
      <c r="G39" s="67">
        <v>71320</v>
      </c>
      <c r="H39" s="67">
        <v>73720</v>
      </c>
      <c r="I39" s="67">
        <v>76490</v>
      </c>
      <c r="J39" s="67">
        <v>79520</v>
      </c>
      <c r="K39" s="67">
        <v>82020</v>
      </c>
      <c r="L39" s="67">
        <v>85140</v>
      </c>
      <c r="M39" s="67">
        <v>87840</v>
      </c>
      <c r="N39" s="67">
        <v>90780</v>
      </c>
      <c r="O39" s="67">
        <v>93720</v>
      </c>
      <c r="P39" s="67">
        <v>96440</v>
      </c>
      <c r="Q39" s="67">
        <v>99350</v>
      </c>
      <c r="R39" s="67">
        <v>101820</v>
      </c>
      <c r="S39" s="67">
        <v>104430</v>
      </c>
      <c r="T39" s="67">
        <v>107060</v>
      </c>
      <c r="U39" s="67">
        <v>109540</v>
      </c>
      <c r="V39" s="68">
        <v>112050</v>
      </c>
      <c r="W39" s="67">
        <v>114430</v>
      </c>
      <c r="X39" s="67">
        <v>116840</v>
      </c>
      <c r="Y39" s="67">
        <v>119230</v>
      </c>
      <c r="Z39" s="67">
        <v>121750</v>
      </c>
      <c r="AA39" s="67">
        <v>124020</v>
      </c>
      <c r="AB39" s="67">
        <v>126410</v>
      </c>
      <c r="AC39" s="67">
        <v>128740</v>
      </c>
      <c r="AD39" s="67">
        <v>131120</v>
      </c>
      <c r="AE39" s="67">
        <v>133630</v>
      </c>
      <c r="AF39" s="67">
        <v>136150</v>
      </c>
      <c r="AG39" s="69">
        <v>138950</v>
      </c>
      <c r="AH39" s="69">
        <v>141600</v>
      </c>
      <c r="AI39" s="67">
        <v>144090</v>
      </c>
      <c r="AJ39" s="102"/>
      <c r="AK39" s="81"/>
    </row>
    <row r="40" spans="1:37" x14ac:dyDescent="0.2">
      <c r="A40" s="79"/>
      <c r="B40" s="68"/>
      <c r="C40" s="68"/>
      <c r="D40" s="67"/>
      <c r="E40" s="68"/>
      <c r="F40" s="68"/>
      <c r="G40" s="67"/>
      <c r="H40" s="68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8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9"/>
      <c r="AH40" s="69"/>
      <c r="AI40" s="67"/>
      <c r="AJ40" s="102"/>
      <c r="AK40" s="81"/>
    </row>
    <row r="41" spans="1:37" x14ac:dyDescent="0.2">
      <c r="A41" s="106" t="s">
        <v>36</v>
      </c>
      <c r="B41" s="68">
        <v>38549</v>
      </c>
      <c r="C41" s="68">
        <v>39036</v>
      </c>
      <c r="D41" s="67">
        <v>8853</v>
      </c>
      <c r="E41" s="68">
        <v>8993</v>
      </c>
      <c r="F41" s="68">
        <v>9137</v>
      </c>
      <c r="G41" s="67">
        <v>9274</v>
      </c>
      <c r="H41" s="68">
        <v>9421</v>
      </c>
      <c r="I41" s="68">
        <v>9585</v>
      </c>
      <c r="J41" s="67">
        <v>9789</v>
      </c>
      <c r="K41" s="67">
        <v>9998</v>
      </c>
      <c r="L41" s="67">
        <v>10217</v>
      </c>
      <c r="M41" s="67">
        <v>10447</v>
      </c>
      <c r="N41" s="67">
        <v>10671</v>
      </c>
      <c r="O41" s="67">
        <v>10899</v>
      </c>
      <c r="P41" s="67">
        <v>11077</v>
      </c>
      <c r="Q41" s="67">
        <v>11212</v>
      </c>
      <c r="R41" s="67">
        <v>11348</v>
      </c>
      <c r="S41" s="67">
        <v>11489</v>
      </c>
      <c r="T41" s="67">
        <v>11626</v>
      </c>
      <c r="U41" s="67">
        <v>11758</v>
      </c>
      <c r="V41" s="68">
        <v>11876</v>
      </c>
      <c r="W41" s="67">
        <v>12005</v>
      </c>
      <c r="X41" s="67">
        <v>12163</v>
      </c>
      <c r="Y41" s="67">
        <v>12346</v>
      </c>
      <c r="Z41" s="67">
        <v>12483</v>
      </c>
      <c r="AA41" s="68">
        <v>12575</v>
      </c>
      <c r="AB41" s="68">
        <v>12712</v>
      </c>
      <c r="AC41" s="68">
        <v>12872</v>
      </c>
      <c r="AD41" s="68">
        <v>13011</v>
      </c>
      <c r="AE41" s="67">
        <v>13169</v>
      </c>
      <c r="AF41" s="67">
        <v>13320</v>
      </c>
      <c r="AG41" s="69">
        <v>13501</v>
      </c>
      <c r="AH41" s="69">
        <v>13675</v>
      </c>
      <c r="AI41" s="67">
        <v>13859</v>
      </c>
      <c r="AJ41" s="102"/>
      <c r="AK41" s="81"/>
    </row>
    <row r="42" spans="1:37" x14ac:dyDescent="0.2">
      <c r="A42" s="106" t="s">
        <v>37</v>
      </c>
      <c r="B42" s="68">
        <v>25455</v>
      </c>
      <c r="C42" s="68">
        <v>25455</v>
      </c>
      <c r="D42" s="67">
        <v>23465</v>
      </c>
      <c r="E42" s="68">
        <v>23465</v>
      </c>
      <c r="F42" s="67">
        <v>23465</v>
      </c>
      <c r="G42" s="67">
        <v>23465</v>
      </c>
      <c r="H42" s="67">
        <v>23465</v>
      </c>
      <c r="I42" s="67">
        <v>23465</v>
      </c>
      <c r="J42" s="67">
        <v>23465</v>
      </c>
      <c r="K42" s="67">
        <v>23465</v>
      </c>
      <c r="L42" s="67">
        <v>23465</v>
      </c>
      <c r="M42" s="67">
        <v>23465</v>
      </c>
      <c r="N42" s="67">
        <v>23465</v>
      </c>
      <c r="O42" s="67">
        <v>23465</v>
      </c>
      <c r="P42" s="67">
        <v>23465</v>
      </c>
      <c r="Q42" s="67">
        <v>23465</v>
      </c>
      <c r="R42" s="67">
        <v>23465</v>
      </c>
      <c r="S42" s="67">
        <v>23465</v>
      </c>
      <c r="T42" s="67">
        <v>23465</v>
      </c>
      <c r="U42" s="67">
        <v>23465</v>
      </c>
      <c r="V42" s="68">
        <v>23465</v>
      </c>
      <c r="W42" s="67">
        <v>23465</v>
      </c>
      <c r="X42" s="67">
        <v>23465</v>
      </c>
      <c r="Y42" s="67">
        <v>23465</v>
      </c>
      <c r="Z42" s="67">
        <v>23465</v>
      </c>
      <c r="AA42" s="67">
        <v>23465</v>
      </c>
      <c r="AB42" s="67">
        <v>23465</v>
      </c>
      <c r="AC42" s="67">
        <v>23465</v>
      </c>
      <c r="AD42" s="67">
        <v>23465</v>
      </c>
      <c r="AE42" s="67">
        <v>23465</v>
      </c>
      <c r="AF42" s="67">
        <v>23465</v>
      </c>
      <c r="AG42" s="69">
        <v>23465</v>
      </c>
      <c r="AH42" s="69">
        <v>23465</v>
      </c>
      <c r="AI42" s="67">
        <v>23465</v>
      </c>
      <c r="AJ42" s="102"/>
      <c r="AK42" s="81"/>
    </row>
    <row r="43" spans="1:37" x14ac:dyDescent="0.2">
      <c r="A43" s="106" t="s">
        <v>38</v>
      </c>
      <c r="B43" s="68">
        <v>19116</v>
      </c>
      <c r="C43" s="68">
        <v>19571</v>
      </c>
      <c r="D43" s="67">
        <v>43796</v>
      </c>
      <c r="E43" s="68">
        <v>44062</v>
      </c>
      <c r="F43" s="68">
        <v>44326</v>
      </c>
      <c r="G43" s="67">
        <v>44598</v>
      </c>
      <c r="H43" s="68">
        <v>44853</v>
      </c>
      <c r="I43" s="67">
        <v>45095</v>
      </c>
      <c r="J43" s="67">
        <v>45309</v>
      </c>
      <c r="K43" s="67">
        <v>45516</v>
      </c>
      <c r="L43" s="67">
        <v>45714</v>
      </c>
      <c r="M43" s="67">
        <v>45914</v>
      </c>
      <c r="N43" s="67">
        <v>46104</v>
      </c>
      <c r="O43" s="67">
        <v>46295</v>
      </c>
      <c r="P43" s="67">
        <v>46527</v>
      </c>
      <c r="Q43" s="67">
        <v>46797</v>
      </c>
      <c r="R43" s="67">
        <v>47060</v>
      </c>
      <c r="S43" s="67">
        <v>47315</v>
      </c>
      <c r="T43" s="67">
        <v>47589</v>
      </c>
      <c r="U43" s="68">
        <v>47855</v>
      </c>
      <c r="V43" s="68">
        <v>48139</v>
      </c>
      <c r="W43" s="67">
        <v>48409</v>
      </c>
      <c r="X43" s="67">
        <v>48643</v>
      </c>
      <c r="Y43" s="67">
        <v>48873</v>
      </c>
      <c r="Z43" s="67">
        <v>49133</v>
      </c>
      <c r="AA43" s="67">
        <v>49431</v>
      </c>
      <c r="AB43" s="67">
        <v>49698</v>
      </c>
      <c r="AC43" s="67">
        <v>49948</v>
      </c>
      <c r="AD43" s="67">
        <v>50212</v>
      </c>
      <c r="AE43" s="67">
        <v>50459</v>
      </c>
      <c r="AF43" s="67">
        <v>50714</v>
      </c>
      <c r="AG43" s="69">
        <v>50947</v>
      </c>
      <c r="AH43" s="69">
        <v>51174</v>
      </c>
      <c r="AI43" s="67">
        <v>51403</v>
      </c>
      <c r="AJ43" s="102"/>
      <c r="AK43" s="81"/>
    </row>
    <row r="44" spans="1:37" x14ac:dyDescent="0.2">
      <c r="A44" s="106" t="s">
        <v>39</v>
      </c>
      <c r="B44" s="68">
        <v>21214</v>
      </c>
      <c r="C44" s="68">
        <v>21559</v>
      </c>
      <c r="D44" s="67">
        <v>18772</v>
      </c>
      <c r="E44" s="68">
        <v>18885</v>
      </c>
      <c r="F44" s="68">
        <v>19004</v>
      </c>
      <c r="G44" s="67">
        <v>19117</v>
      </c>
      <c r="H44" s="68">
        <v>19239</v>
      </c>
      <c r="I44" s="67">
        <v>19377</v>
      </c>
      <c r="J44" s="67">
        <v>19552</v>
      </c>
      <c r="K44" s="67">
        <v>19731</v>
      </c>
      <c r="L44" s="67">
        <v>19920</v>
      </c>
      <c r="M44" s="67">
        <v>20119</v>
      </c>
      <c r="N44" s="67">
        <v>20313</v>
      </c>
      <c r="O44" s="67">
        <v>20511</v>
      </c>
      <c r="P44" s="67">
        <v>20661</v>
      </c>
      <c r="Q44" s="67">
        <v>20769</v>
      </c>
      <c r="R44" s="67">
        <v>20879</v>
      </c>
      <c r="S44" s="67">
        <v>20998</v>
      </c>
      <c r="T44" s="67">
        <v>21107</v>
      </c>
      <c r="U44" s="67">
        <v>21214</v>
      </c>
      <c r="V44" s="68">
        <v>21307</v>
      </c>
      <c r="W44" s="67">
        <v>21412</v>
      </c>
      <c r="X44" s="67">
        <v>21562</v>
      </c>
      <c r="Y44" s="67">
        <v>21710</v>
      </c>
      <c r="Z44" s="67">
        <v>21809</v>
      </c>
      <c r="AA44" s="67">
        <v>21881</v>
      </c>
      <c r="AB44" s="67">
        <v>21993</v>
      </c>
      <c r="AC44" s="67">
        <v>22123</v>
      </c>
      <c r="AD44" s="67">
        <v>22235</v>
      </c>
      <c r="AE44" s="67">
        <v>22367</v>
      </c>
      <c r="AF44" s="67">
        <v>22491</v>
      </c>
      <c r="AG44" s="69">
        <v>22642</v>
      </c>
      <c r="AH44" s="69">
        <v>22787</v>
      </c>
      <c r="AI44" s="67">
        <v>22939</v>
      </c>
      <c r="AJ44" s="102"/>
      <c r="AK44" s="81"/>
    </row>
    <row r="45" spans="1:37" x14ac:dyDescent="0.2">
      <c r="A45" s="106"/>
      <c r="B45" s="68"/>
      <c r="C45" s="68"/>
      <c r="D45" s="67"/>
      <c r="E45" s="68"/>
      <c r="F45" s="68"/>
      <c r="G45" s="67"/>
      <c r="H45" s="68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8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69"/>
      <c r="AH45" s="69"/>
      <c r="AI45" s="67"/>
      <c r="AJ45" s="102"/>
      <c r="AK45" s="81"/>
    </row>
    <row r="46" spans="1:37" x14ac:dyDescent="0.2">
      <c r="A46" s="106" t="s">
        <v>40</v>
      </c>
      <c r="B46" s="68">
        <v>21070</v>
      </c>
      <c r="C46" s="68">
        <v>21082</v>
      </c>
      <c r="D46" s="67">
        <v>36745</v>
      </c>
      <c r="E46" s="68">
        <v>36745</v>
      </c>
      <c r="F46" s="67">
        <v>36745</v>
      </c>
      <c r="G46" s="67">
        <v>36745</v>
      </c>
      <c r="H46" s="67">
        <v>36745</v>
      </c>
      <c r="I46" s="67">
        <v>36745</v>
      </c>
      <c r="J46" s="67">
        <v>36745</v>
      </c>
      <c r="K46" s="67">
        <v>36745</v>
      </c>
      <c r="L46" s="67">
        <v>36745</v>
      </c>
      <c r="M46" s="67">
        <v>36745</v>
      </c>
      <c r="N46" s="67">
        <v>36745</v>
      </c>
      <c r="O46" s="67">
        <v>36745</v>
      </c>
      <c r="P46" s="67">
        <v>36745</v>
      </c>
      <c r="Q46" s="67">
        <v>36745</v>
      </c>
      <c r="R46" s="67">
        <v>36745</v>
      </c>
      <c r="S46" s="67">
        <v>36745</v>
      </c>
      <c r="T46" s="67">
        <v>36745</v>
      </c>
      <c r="U46" s="67">
        <v>36745</v>
      </c>
      <c r="V46" s="68">
        <v>36745</v>
      </c>
      <c r="W46" s="67">
        <v>36745</v>
      </c>
      <c r="X46" s="67">
        <v>36745</v>
      </c>
      <c r="Y46" s="67">
        <v>36745</v>
      </c>
      <c r="Z46" s="67">
        <v>36745</v>
      </c>
      <c r="AA46" s="67">
        <v>36745</v>
      </c>
      <c r="AB46" s="67">
        <v>36745</v>
      </c>
      <c r="AC46" s="67">
        <v>36747</v>
      </c>
      <c r="AD46" s="67">
        <v>36747</v>
      </c>
      <c r="AE46" s="67">
        <v>36747</v>
      </c>
      <c r="AF46" s="67">
        <v>36747</v>
      </c>
      <c r="AG46" s="69">
        <v>36747</v>
      </c>
      <c r="AH46" s="69">
        <v>36747</v>
      </c>
      <c r="AI46" s="67">
        <v>36747</v>
      </c>
      <c r="AJ46" s="102"/>
      <c r="AK46" s="81"/>
    </row>
    <row r="47" spans="1:37" x14ac:dyDescent="0.2">
      <c r="A47" s="106" t="s">
        <v>41</v>
      </c>
      <c r="B47" s="68">
        <v>20725</v>
      </c>
      <c r="C47" s="68">
        <v>20725</v>
      </c>
      <c r="D47" s="67">
        <v>3386</v>
      </c>
      <c r="E47" s="68">
        <v>3386</v>
      </c>
      <c r="F47" s="67">
        <v>3386</v>
      </c>
      <c r="G47" s="67">
        <v>3386</v>
      </c>
      <c r="H47" s="67">
        <v>3386</v>
      </c>
      <c r="I47" s="67">
        <v>3537</v>
      </c>
      <c r="J47" s="67">
        <v>3697</v>
      </c>
      <c r="K47" s="67">
        <v>3922</v>
      </c>
      <c r="L47" s="67">
        <v>4126</v>
      </c>
      <c r="M47" s="67">
        <v>4403</v>
      </c>
      <c r="N47" s="67">
        <v>4614</v>
      </c>
      <c r="O47" s="67">
        <v>4867</v>
      </c>
      <c r="P47" s="68">
        <v>5079</v>
      </c>
      <c r="Q47" s="67">
        <v>5312</v>
      </c>
      <c r="R47" s="67">
        <v>5519</v>
      </c>
      <c r="S47" s="67">
        <v>5736</v>
      </c>
      <c r="T47" s="68">
        <v>5953</v>
      </c>
      <c r="U47" s="68">
        <v>6163</v>
      </c>
      <c r="V47" s="68">
        <v>6382</v>
      </c>
      <c r="W47" s="67">
        <v>6600</v>
      </c>
      <c r="X47" s="67">
        <v>6814</v>
      </c>
      <c r="Y47" s="67">
        <v>7031</v>
      </c>
      <c r="Z47" s="67">
        <v>7282</v>
      </c>
      <c r="AA47" s="67">
        <v>7499</v>
      </c>
      <c r="AB47" s="67">
        <v>7718</v>
      </c>
      <c r="AC47" s="67">
        <v>7926</v>
      </c>
      <c r="AD47" s="67">
        <v>8145</v>
      </c>
      <c r="AE47" s="67">
        <v>8360</v>
      </c>
      <c r="AF47" s="67">
        <v>8585</v>
      </c>
      <c r="AG47" s="69">
        <v>8817</v>
      </c>
      <c r="AH47" s="69">
        <v>9032</v>
      </c>
      <c r="AI47" s="67">
        <v>9245</v>
      </c>
      <c r="AJ47" s="102"/>
      <c r="AK47" s="81"/>
    </row>
    <row r="48" spans="1:37" x14ac:dyDescent="0.2">
      <c r="A48" s="106" t="s">
        <v>42</v>
      </c>
      <c r="B48" s="68">
        <v>17299</v>
      </c>
      <c r="C48" s="68">
        <v>18872</v>
      </c>
      <c r="D48" s="67">
        <v>16448</v>
      </c>
      <c r="E48" s="68">
        <v>16600</v>
      </c>
      <c r="F48" s="67">
        <v>16813</v>
      </c>
      <c r="G48" s="67">
        <v>17012</v>
      </c>
      <c r="H48" s="67">
        <v>17162</v>
      </c>
      <c r="I48" s="67">
        <v>17162</v>
      </c>
      <c r="J48" s="67">
        <v>17162</v>
      </c>
      <c r="K48" s="67">
        <v>17162</v>
      </c>
      <c r="L48" s="67">
        <v>17162</v>
      </c>
      <c r="M48" s="67">
        <v>17162</v>
      </c>
      <c r="N48" s="67">
        <v>17162</v>
      </c>
      <c r="O48" s="67">
        <v>17162</v>
      </c>
      <c r="P48" s="67">
        <v>17162</v>
      </c>
      <c r="Q48" s="67">
        <v>17162</v>
      </c>
      <c r="R48" s="67">
        <v>17162</v>
      </c>
      <c r="S48" s="67">
        <v>17162</v>
      </c>
      <c r="T48" s="67">
        <v>17162</v>
      </c>
      <c r="U48" s="67">
        <v>17162</v>
      </c>
      <c r="V48" s="67">
        <v>17162</v>
      </c>
      <c r="W48" s="67">
        <v>17162</v>
      </c>
      <c r="X48" s="67">
        <v>17162</v>
      </c>
      <c r="Y48" s="67">
        <v>17162</v>
      </c>
      <c r="Z48" s="67">
        <v>17162</v>
      </c>
      <c r="AA48" s="67">
        <v>17162</v>
      </c>
      <c r="AB48" s="67">
        <v>17162</v>
      </c>
      <c r="AC48" s="67">
        <v>17162</v>
      </c>
      <c r="AD48" s="67">
        <v>17162</v>
      </c>
      <c r="AE48" s="67">
        <v>17162</v>
      </c>
      <c r="AF48" s="67">
        <v>17162</v>
      </c>
      <c r="AG48" s="69">
        <v>17162</v>
      </c>
      <c r="AH48" s="69">
        <v>17162</v>
      </c>
      <c r="AI48" s="67">
        <v>17162</v>
      </c>
      <c r="AJ48" s="102"/>
      <c r="AK48" s="81"/>
    </row>
    <row r="49" spans="1:37" x14ac:dyDescent="0.2">
      <c r="A49" s="106" t="s">
        <v>43</v>
      </c>
      <c r="B49" s="68">
        <v>14273</v>
      </c>
      <c r="C49" s="68">
        <v>15661</v>
      </c>
      <c r="D49" s="67">
        <v>27387</v>
      </c>
      <c r="E49" s="68">
        <v>27579</v>
      </c>
      <c r="F49" s="68">
        <v>27712</v>
      </c>
      <c r="G49" s="67">
        <v>27880</v>
      </c>
      <c r="H49" s="68">
        <v>28069</v>
      </c>
      <c r="I49" s="67">
        <v>28263</v>
      </c>
      <c r="J49" s="67">
        <v>28463</v>
      </c>
      <c r="K49" s="67">
        <v>28626</v>
      </c>
      <c r="L49" s="67">
        <v>28841</v>
      </c>
      <c r="M49" s="67">
        <v>29055</v>
      </c>
      <c r="N49" s="67">
        <v>29279</v>
      </c>
      <c r="O49" s="67">
        <v>29498</v>
      </c>
      <c r="P49" s="67">
        <v>29679</v>
      </c>
      <c r="Q49" s="67">
        <v>29879</v>
      </c>
      <c r="R49" s="67">
        <v>30056</v>
      </c>
      <c r="S49" s="67">
        <v>30242</v>
      </c>
      <c r="T49" s="67">
        <v>30427</v>
      </c>
      <c r="U49" s="67">
        <v>30607</v>
      </c>
      <c r="V49" s="68">
        <v>30795</v>
      </c>
      <c r="W49" s="67">
        <v>30982</v>
      </c>
      <c r="X49" s="67">
        <v>31166</v>
      </c>
      <c r="Y49" s="67">
        <v>31354</v>
      </c>
      <c r="Z49" s="67">
        <v>31580</v>
      </c>
      <c r="AA49" s="67">
        <v>31774</v>
      </c>
      <c r="AB49" s="67">
        <v>31971</v>
      </c>
      <c r="AC49" s="67">
        <v>32160</v>
      </c>
      <c r="AD49" s="67">
        <v>32357</v>
      </c>
      <c r="AE49" s="67">
        <v>32552</v>
      </c>
      <c r="AF49" s="67">
        <v>32753</v>
      </c>
      <c r="AG49" s="69">
        <v>32959</v>
      </c>
      <c r="AH49" s="69">
        <v>33151</v>
      </c>
      <c r="AI49" s="67">
        <v>33342</v>
      </c>
      <c r="AJ49" s="102"/>
      <c r="AK49" s="81"/>
    </row>
    <row r="50" spans="1:37" x14ac:dyDescent="0.2">
      <c r="A50" s="106"/>
      <c r="B50" s="68"/>
      <c r="C50" s="68"/>
      <c r="D50" s="67"/>
      <c r="E50" s="68"/>
      <c r="F50" s="68"/>
      <c r="G50" s="67"/>
      <c r="H50" s="68"/>
      <c r="I50" s="67"/>
      <c r="J50" s="67"/>
      <c r="K50" s="67"/>
      <c r="L50" s="67"/>
      <c r="M50" s="67"/>
      <c r="N50" s="67"/>
      <c r="O50" s="67"/>
      <c r="P50" s="67"/>
      <c r="Q50" s="67"/>
      <c r="R50" s="67"/>
      <c r="S50" s="67"/>
      <c r="T50" s="67"/>
      <c r="U50" s="67"/>
      <c r="V50" s="68"/>
      <c r="W50" s="67"/>
      <c r="X50" s="67"/>
      <c r="Y50" s="67"/>
      <c r="Z50" s="67"/>
      <c r="AA50" s="67"/>
      <c r="AB50" s="67"/>
      <c r="AC50" s="67"/>
      <c r="AD50" s="67"/>
      <c r="AE50" s="67"/>
      <c r="AF50" s="67"/>
      <c r="AG50" s="69"/>
      <c r="AH50" s="69"/>
      <c r="AI50" s="67"/>
      <c r="AJ50" s="102"/>
      <c r="AK50" s="81"/>
    </row>
    <row r="51" spans="1:37" x14ac:dyDescent="0.2">
      <c r="A51" s="106" t="s">
        <v>44</v>
      </c>
      <c r="B51" s="68">
        <v>10240</v>
      </c>
      <c r="C51" s="68">
        <v>10256</v>
      </c>
      <c r="D51" s="67">
        <v>23647</v>
      </c>
      <c r="E51" s="68">
        <v>23647</v>
      </c>
      <c r="F51" s="68">
        <v>23647</v>
      </c>
      <c r="G51" s="67">
        <v>23647</v>
      </c>
      <c r="H51" s="68">
        <v>23647</v>
      </c>
      <c r="I51" s="67">
        <v>23647</v>
      </c>
      <c r="J51" s="67">
        <v>23647</v>
      </c>
      <c r="K51" s="67">
        <v>23647</v>
      </c>
      <c r="L51" s="67">
        <v>23647</v>
      </c>
      <c r="M51" s="67">
        <v>23647</v>
      </c>
      <c r="N51" s="67">
        <v>23647</v>
      </c>
      <c r="O51" s="67">
        <v>23647</v>
      </c>
      <c r="P51" s="67">
        <v>23647</v>
      </c>
      <c r="Q51" s="67">
        <v>23647</v>
      </c>
      <c r="R51" s="67">
        <v>23647</v>
      </c>
      <c r="S51" s="67">
        <v>23647</v>
      </c>
      <c r="T51" s="103">
        <v>23647</v>
      </c>
      <c r="U51" s="67">
        <v>23647</v>
      </c>
      <c r="V51" s="68">
        <v>23647</v>
      </c>
      <c r="W51" s="67">
        <v>23647</v>
      </c>
      <c r="X51" s="67">
        <v>23647</v>
      </c>
      <c r="Y51" s="67">
        <v>23647</v>
      </c>
      <c r="Z51" s="67">
        <v>23647</v>
      </c>
      <c r="AA51" s="67">
        <v>23647</v>
      </c>
      <c r="AB51" s="67">
        <v>23647</v>
      </c>
      <c r="AC51" s="67">
        <v>23647</v>
      </c>
      <c r="AD51" s="67">
        <v>23647</v>
      </c>
      <c r="AE51" s="67">
        <v>23647</v>
      </c>
      <c r="AF51" s="67">
        <v>23647</v>
      </c>
      <c r="AG51" s="69">
        <v>23647</v>
      </c>
      <c r="AH51" s="69">
        <v>23647</v>
      </c>
      <c r="AI51" s="67">
        <v>23647</v>
      </c>
      <c r="AJ51" s="102"/>
      <c r="AK51" s="81"/>
    </row>
    <row r="52" spans="1:37" x14ac:dyDescent="0.2">
      <c r="A52" s="106" t="s">
        <v>45</v>
      </c>
      <c r="B52" s="68">
        <v>64521</v>
      </c>
      <c r="C52" s="68">
        <v>64521</v>
      </c>
      <c r="D52" s="67">
        <v>46747</v>
      </c>
      <c r="E52" s="68">
        <v>46747</v>
      </c>
      <c r="F52" s="68">
        <v>46747</v>
      </c>
      <c r="G52" s="67">
        <v>46747</v>
      </c>
      <c r="H52" s="68">
        <v>46747</v>
      </c>
      <c r="I52" s="67">
        <v>46843</v>
      </c>
      <c r="J52" s="67">
        <v>46942</v>
      </c>
      <c r="K52" s="67">
        <v>47076</v>
      </c>
      <c r="L52" s="67">
        <v>47187</v>
      </c>
      <c r="M52" s="67">
        <v>47318</v>
      </c>
      <c r="N52" s="67">
        <v>47420</v>
      </c>
      <c r="O52" s="67">
        <v>47551</v>
      </c>
      <c r="P52" s="67">
        <v>47684</v>
      </c>
      <c r="Q52" s="67">
        <v>47828</v>
      </c>
      <c r="R52" s="67">
        <v>47960</v>
      </c>
      <c r="S52" s="67">
        <v>48095</v>
      </c>
      <c r="T52" s="67">
        <v>48228</v>
      </c>
      <c r="U52" s="67">
        <v>48365</v>
      </c>
      <c r="V52" s="68">
        <v>48509</v>
      </c>
      <c r="W52" s="67">
        <v>48651</v>
      </c>
      <c r="X52" s="67">
        <v>48784</v>
      </c>
      <c r="Y52" s="67">
        <v>48914</v>
      </c>
      <c r="Z52" s="67">
        <v>49049</v>
      </c>
      <c r="AA52" s="67">
        <v>49191</v>
      </c>
      <c r="AB52" s="67">
        <v>49334</v>
      </c>
      <c r="AC52" s="67">
        <v>49465</v>
      </c>
      <c r="AD52" s="67">
        <v>49602</v>
      </c>
      <c r="AE52" s="67">
        <v>49746</v>
      </c>
      <c r="AF52" s="67">
        <v>49892</v>
      </c>
      <c r="AG52" s="69">
        <v>50045</v>
      </c>
      <c r="AH52" s="69">
        <v>50185</v>
      </c>
      <c r="AI52" s="67">
        <v>50320</v>
      </c>
      <c r="AJ52" s="102"/>
      <c r="AK52" s="81"/>
    </row>
    <row r="53" spans="1:37" x14ac:dyDescent="0.2">
      <c r="A53" s="106" t="s">
        <v>46</v>
      </c>
      <c r="B53" s="68">
        <v>59182</v>
      </c>
      <c r="C53" s="68">
        <v>59971</v>
      </c>
      <c r="D53" s="67">
        <v>19177</v>
      </c>
      <c r="E53" s="68">
        <v>19280</v>
      </c>
      <c r="F53" s="67">
        <v>19423</v>
      </c>
      <c r="G53" s="67">
        <v>19564</v>
      </c>
      <c r="H53" s="67">
        <v>19672</v>
      </c>
      <c r="I53" s="67">
        <v>19672</v>
      </c>
      <c r="J53" s="67">
        <v>19672</v>
      </c>
      <c r="K53" s="67">
        <v>19672</v>
      </c>
      <c r="L53" s="67">
        <v>19672</v>
      </c>
      <c r="M53" s="67">
        <v>19672</v>
      </c>
      <c r="N53" s="67">
        <v>19672</v>
      </c>
      <c r="O53" s="67">
        <v>19672</v>
      </c>
      <c r="P53" s="67">
        <v>19672</v>
      </c>
      <c r="Q53" s="67">
        <v>19672</v>
      </c>
      <c r="R53" s="67">
        <v>19672</v>
      </c>
      <c r="S53" s="67">
        <v>19672</v>
      </c>
      <c r="T53" s="67">
        <v>19672</v>
      </c>
      <c r="U53" s="67">
        <v>19672</v>
      </c>
      <c r="V53" s="67">
        <v>19672</v>
      </c>
      <c r="W53" s="67">
        <v>19672</v>
      </c>
      <c r="X53" s="67">
        <v>19672</v>
      </c>
      <c r="Y53" s="67">
        <v>19672</v>
      </c>
      <c r="Z53" s="67">
        <v>19672</v>
      </c>
      <c r="AA53" s="67">
        <v>19672</v>
      </c>
      <c r="AB53" s="67">
        <v>19672</v>
      </c>
      <c r="AC53" s="67">
        <v>19672</v>
      </c>
      <c r="AD53" s="67">
        <v>19672</v>
      </c>
      <c r="AE53" s="67">
        <v>19672</v>
      </c>
      <c r="AF53" s="67">
        <v>19672</v>
      </c>
      <c r="AG53" s="69">
        <v>19672</v>
      </c>
      <c r="AH53" s="69">
        <v>19672</v>
      </c>
      <c r="AI53" s="67">
        <v>19672</v>
      </c>
      <c r="AJ53" s="102"/>
      <c r="AK53" s="81"/>
    </row>
    <row r="54" spans="1:37" x14ac:dyDescent="0.2">
      <c r="A54" s="106" t="s">
        <v>47</v>
      </c>
      <c r="B54" s="68">
        <v>33903</v>
      </c>
      <c r="C54" s="68">
        <v>34631</v>
      </c>
      <c r="D54" s="67">
        <v>1562</v>
      </c>
      <c r="E54" s="68">
        <v>1701</v>
      </c>
      <c r="F54" s="68">
        <v>1801</v>
      </c>
      <c r="G54" s="67">
        <v>1937</v>
      </c>
      <c r="H54" s="68">
        <v>2080</v>
      </c>
      <c r="I54" s="68">
        <v>2217</v>
      </c>
      <c r="J54" s="68">
        <v>2355</v>
      </c>
      <c r="K54" s="68">
        <v>2472</v>
      </c>
      <c r="L54" s="68">
        <v>2605</v>
      </c>
      <c r="M54" s="68">
        <v>2720</v>
      </c>
      <c r="N54" s="68">
        <v>2845</v>
      </c>
      <c r="O54" s="68">
        <v>2980</v>
      </c>
      <c r="P54" s="68">
        <v>3116</v>
      </c>
      <c r="Q54" s="68">
        <v>3264</v>
      </c>
      <c r="R54" s="68">
        <v>3400</v>
      </c>
      <c r="S54" s="68">
        <v>3539</v>
      </c>
      <c r="T54" s="68">
        <v>3676</v>
      </c>
      <c r="U54" s="68">
        <v>3816</v>
      </c>
      <c r="V54" s="68">
        <v>3985</v>
      </c>
      <c r="W54" s="68">
        <v>4110</v>
      </c>
      <c r="X54" s="68">
        <v>4248</v>
      </c>
      <c r="Y54" s="68">
        <v>4381</v>
      </c>
      <c r="Z54" s="68">
        <v>4520</v>
      </c>
      <c r="AA54" s="68">
        <v>4666</v>
      </c>
      <c r="AB54" s="67">
        <v>4812</v>
      </c>
      <c r="AC54" s="67">
        <v>4946</v>
      </c>
      <c r="AD54" s="67">
        <v>5087</v>
      </c>
      <c r="AE54" s="67">
        <v>5235</v>
      </c>
      <c r="AF54" s="67">
        <v>5385</v>
      </c>
      <c r="AG54" s="69">
        <v>5542</v>
      </c>
      <c r="AH54" s="69">
        <v>5685</v>
      </c>
      <c r="AI54" s="67">
        <v>5823</v>
      </c>
      <c r="AJ54" s="102"/>
      <c r="AK54" s="81"/>
    </row>
    <row r="55" spans="1:37" ht="15" thickBot="1" x14ac:dyDescent="0.25">
      <c r="A55" s="78"/>
      <c r="B55" s="97"/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9"/>
      <c r="AH55" s="79"/>
      <c r="AI55" s="78"/>
      <c r="AJ55" s="102"/>
      <c r="AK55" s="81"/>
    </row>
    <row r="56" spans="1:37" ht="16.5" thickBot="1" x14ac:dyDescent="0.3">
      <c r="A56" s="107" t="s">
        <v>48</v>
      </c>
      <c r="B56" s="60"/>
      <c r="C56" s="65"/>
      <c r="D56" s="76"/>
      <c r="E56" s="65"/>
      <c r="F56" s="65"/>
      <c r="G56" s="78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 t="s">
        <v>49</v>
      </c>
      <c r="W56" s="65"/>
      <c r="X56" s="65"/>
      <c r="Y56" s="65"/>
      <c r="Z56" s="65"/>
      <c r="AA56" s="65"/>
      <c r="AB56" s="65"/>
      <c r="AC56" s="65"/>
      <c r="AD56" s="65"/>
      <c r="AE56" s="65"/>
      <c r="AF56" s="65"/>
      <c r="AG56" s="65"/>
      <c r="AH56" s="65"/>
      <c r="AI56" s="76"/>
      <c r="AJ56" s="102"/>
      <c r="AK56" s="65"/>
    </row>
    <row r="57" spans="1:37" x14ac:dyDescent="0.2">
      <c r="A57" s="108" t="s">
        <v>50</v>
      </c>
      <c r="B57" s="67" t="e">
        <f>B33-#REF!</f>
        <v>#REF!</v>
      </c>
      <c r="C57" s="67">
        <f>C33-B33</f>
        <v>40</v>
      </c>
      <c r="D57" s="67">
        <f>D33-B33</f>
        <v>-4651515</v>
      </c>
      <c r="E57" s="67">
        <f>E33-D33</f>
        <v>0</v>
      </c>
      <c r="F57" s="67">
        <f>F33-E33</f>
        <v>0</v>
      </c>
      <c r="G57" s="67">
        <f t="shared" ref="F57:AH58" si="7">G33-F33</f>
        <v>0</v>
      </c>
      <c r="H57" s="67">
        <f t="shared" si="7"/>
        <v>0</v>
      </c>
      <c r="I57" s="67">
        <f t="shared" si="7"/>
        <v>500</v>
      </c>
      <c r="J57" s="67">
        <f t="shared" si="7"/>
        <v>-80</v>
      </c>
      <c r="K57" s="67">
        <f t="shared" si="7"/>
        <v>300</v>
      </c>
      <c r="L57" s="67">
        <f t="shared" si="7"/>
        <v>259</v>
      </c>
      <c r="M57" s="67">
        <f t="shared" si="7"/>
        <v>323</v>
      </c>
      <c r="N57" s="67">
        <f t="shared" si="7"/>
        <v>244</v>
      </c>
      <c r="O57" s="67">
        <f t="shared" si="7"/>
        <v>298</v>
      </c>
      <c r="P57" s="67">
        <f t="shared" si="7"/>
        <v>278</v>
      </c>
      <c r="Q57" s="67">
        <f t="shared" si="7"/>
        <v>298</v>
      </c>
      <c r="R57" s="67">
        <f t="shared" si="7"/>
        <v>256</v>
      </c>
      <c r="S57" s="67">
        <f t="shared" si="7"/>
        <v>320</v>
      </c>
      <c r="T57" s="67">
        <f t="shared" si="7"/>
        <v>218</v>
      </c>
      <c r="U57" s="67">
        <f t="shared" si="7"/>
        <v>257</v>
      </c>
      <c r="V57" s="67">
        <f>V33-U33</f>
        <v>261</v>
      </c>
      <c r="W57" s="67">
        <f>W33-V33</f>
        <v>249</v>
      </c>
      <c r="X57" s="67">
        <f>X33-W33</f>
        <v>251</v>
      </c>
      <c r="Y57" s="67">
        <f>Y33-X33</f>
        <v>249</v>
      </c>
      <c r="Z57" s="67"/>
      <c r="AA57" s="67">
        <f t="shared" si="7"/>
        <v>240</v>
      </c>
      <c r="AB57" s="67">
        <f t="shared" si="7"/>
        <v>253</v>
      </c>
      <c r="AC57" s="67">
        <f t="shared" si="7"/>
        <v>241</v>
      </c>
      <c r="AD57" s="67">
        <f t="shared" si="7"/>
        <v>254</v>
      </c>
      <c r="AE57" s="67">
        <f t="shared" si="7"/>
        <v>263</v>
      </c>
      <c r="AF57" s="67">
        <f t="shared" si="7"/>
        <v>264</v>
      </c>
      <c r="AG57" s="69">
        <f t="shared" si="7"/>
        <v>292</v>
      </c>
      <c r="AH57" s="69">
        <f t="shared" si="7"/>
        <v>274</v>
      </c>
      <c r="AI57" s="67">
        <f>AI33-AG33</f>
        <v>534</v>
      </c>
      <c r="AJ57" s="102"/>
      <c r="AK57" s="81"/>
    </row>
    <row r="58" spans="1:37" ht="15" x14ac:dyDescent="0.2">
      <c r="A58" s="109" t="s">
        <v>51</v>
      </c>
      <c r="B58" s="67" t="e">
        <f>B34-#REF!</f>
        <v>#REF!</v>
      </c>
      <c r="C58" s="67">
        <f>C34-B34</f>
        <v>15460</v>
      </c>
      <c r="D58" s="67">
        <f>D34-B34</f>
        <v>-8165659</v>
      </c>
      <c r="E58" s="67">
        <f>E34-D34</f>
        <v>503</v>
      </c>
      <c r="F58" s="67">
        <f t="shared" si="7"/>
        <v>514</v>
      </c>
      <c r="G58" s="67">
        <f t="shared" si="7"/>
        <v>532</v>
      </c>
      <c r="H58" s="67">
        <f t="shared" si="7"/>
        <v>494</v>
      </c>
      <c r="I58" s="67">
        <f t="shared" si="7"/>
        <v>309</v>
      </c>
      <c r="J58" s="67">
        <f t="shared" si="7"/>
        <v>333</v>
      </c>
      <c r="K58" s="67">
        <f t="shared" si="7"/>
        <v>278</v>
      </c>
      <c r="L58" s="67">
        <f t="shared" si="7"/>
        <v>343</v>
      </c>
      <c r="M58" s="67">
        <f t="shared" si="7"/>
        <v>302</v>
      </c>
      <c r="N58" s="67">
        <f t="shared" si="7"/>
        <v>325</v>
      </c>
      <c r="O58" s="67">
        <f t="shared" si="7"/>
        <v>328</v>
      </c>
      <c r="P58" s="67">
        <f t="shared" si="7"/>
        <v>301</v>
      </c>
      <c r="Q58" s="67">
        <f t="shared" si="7"/>
        <v>324</v>
      </c>
      <c r="R58" s="67">
        <f t="shared" si="7"/>
        <v>278</v>
      </c>
      <c r="S58" s="67">
        <f t="shared" si="7"/>
        <v>288</v>
      </c>
      <c r="T58" s="67">
        <f t="shared" si="7"/>
        <v>290</v>
      </c>
      <c r="U58" s="67">
        <f t="shared" si="7"/>
        <v>278</v>
      </c>
      <c r="V58" s="67">
        <f t="shared" si="7"/>
        <v>283</v>
      </c>
      <c r="W58" s="67">
        <f t="shared" si="7"/>
        <v>271</v>
      </c>
      <c r="X58" s="67">
        <f t="shared" si="7"/>
        <v>272</v>
      </c>
      <c r="Y58" s="67">
        <f>Y34-X34</f>
        <v>271</v>
      </c>
      <c r="Z58" s="67">
        <f>Z34-Y34</f>
        <v>286</v>
      </c>
      <c r="AA58" s="67">
        <f t="shared" si="7"/>
        <v>258</v>
      </c>
      <c r="AB58" s="67">
        <f t="shared" si="7"/>
        <v>272</v>
      </c>
      <c r="AC58" s="67">
        <f t="shared" si="7"/>
        <v>262</v>
      </c>
      <c r="AD58" s="67">
        <f t="shared" si="7"/>
        <v>275</v>
      </c>
      <c r="AE58" s="67">
        <f t="shared" si="7"/>
        <v>282</v>
      </c>
      <c r="AF58" s="67">
        <f t="shared" si="7"/>
        <v>285</v>
      </c>
      <c r="AG58" s="69">
        <f t="shared" si="7"/>
        <v>319</v>
      </c>
      <c r="AH58" s="69">
        <f t="shared" si="7"/>
        <v>297</v>
      </c>
      <c r="AI58" s="67">
        <f>AI34-AG34</f>
        <v>579</v>
      </c>
      <c r="AJ58" s="83" t="s">
        <v>14</v>
      </c>
      <c r="AK58" s="30" t="s">
        <v>15</v>
      </c>
    </row>
    <row r="59" spans="1:37" ht="15.75" x14ac:dyDescent="0.25">
      <c r="A59" s="110" t="s">
        <v>52</v>
      </c>
      <c r="B59" s="111" t="e">
        <f>SUM(B57:B58)</f>
        <v>#REF!</v>
      </c>
      <c r="C59" s="112">
        <f>SUM(C57:C58)</f>
        <v>15500</v>
      </c>
      <c r="D59" s="86">
        <f t="shared" ref="D59" si="8">SUM(D57:D58)</f>
        <v>-12817174</v>
      </c>
      <c r="E59" s="86">
        <f>SUM(E57:E58)</f>
        <v>503</v>
      </c>
      <c r="F59" s="86">
        <f>SUM(F57:F58)</f>
        <v>514</v>
      </c>
      <c r="G59" s="86">
        <f>SUM(G57:G58)</f>
        <v>532</v>
      </c>
      <c r="H59" s="86">
        <f t="shared" ref="H59:AI59" si="9">SUM(H57:H58)</f>
        <v>494</v>
      </c>
      <c r="I59" s="86">
        <f t="shared" si="9"/>
        <v>809</v>
      </c>
      <c r="J59" s="86">
        <f t="shared" si="9"/>
        <v>253</v>
      </c>
      <c r="K59" s="86">
        <f>SUM(K57:K58)</f>
        <v>578</v>
      </c>
      <c r="L59" s="86">
        <f>SUM(L57:L58)</f>
        <v>602</v>
      </c>
      <c r="M59" s="86">
        <f t="shared" si="9"/>
        <v>625</v>
      </c>
      <c r="N59" s="86">
        <f t="shared" si="9"/>
        <v>569</v>
      </c>
      <c r="O59" s="86">
        <f t="shared" si="9"/>
        <v>626</v>
      </c>
      <c r="P59" s="86">
        <f>SUM(P57:P58)</f>
        <v>579</v>
      </c>
      <c r="Q59" s="86">
        <f t="shared" si="9"/>
        <v>622</v>
      </c>
      <c r="R59" s="86">
        <f t="shared" si="9"/>
        <v>534</v>
      </c>
      <c r="S59" s="86">
        <f t="shared" si="9"/>
        <v>608</v>
      </c>
      <c r="T59" s="86">
        <f t="shared" si="9"/>
        <v>508</v>
      </c>
      <c r="U59" s="86">
        <f t="shared" si="9"/>
        <v>535</v>
      </c>
      <c r="V59" s="86">
        <f t="shared" si="9"/>
        <v>544</v>
      </c>
      <c r="W59" s="86">
        <f t="shared" si="9"/>
        <v>520</v>
      </c>
      <c r="X59" s="86">
        <f t="shared" si="9"/>
        <v>523</v>
      </c>
      <c r="Y59" s="86">
        <f t="shared" si="9"/>
        <v>520</v>
      </c>
      <c r="Z59" s="86">
        <f>SUM(Z57:Z58)</f>
        <v>286</v>
      </c>
      <c r="AA59" s="86">
        <f t="shared" si="9"/>
        <v>498</v>
      </c>
      <c r="AB59" s="86">
        <f t="shared" si="9"/>
        <v>525</v>
      </c>
      <c r="AC59" s="86">
        <f>SUM(AC57:AC58)</f>
        <v>503</v>
      </c>
      <c r="AD59" s="86">
        <f>SUM(AD57:AD58)</f>
        <v>529</v>
      </c>
      <c r="AE59" s="86">
        <f t="shared" si="9"/>
        <v>545</v>
      </c>
      <c r="AF59" s="86">
        <f t="shared" si="9"/>
        <v>549</v>
      </c>
      <c r="AG59" s="87">
        <f t="shared" si="9"/>
        <v>611</v>
      </c>
      <c r="AH59" s="87">
        <f t="shared" si="9"/>
        <v>571</v>
      </c>
      <c r="AI59" s="86">
        <f t="shared" si="9"/>
        <v>1113</v>
      </c>
      <c r="AJ59" s="88">
        <f>SUM(E59:AI59)</f>
        <v>17328</v>
      </c>
      <c r="AK59" s="89">
        <f>AJ59/31</f>
        <v>558.9677419354839</v>
      </c>
    </row>
    <row r="60" spans="1:37" x14ac:dyDescent="0.2">
      <c r="A60" s="113"/>
      <c r="B60" s="114"/>
      <c r="C60" s="114"/>
      <c r="D60" s="114"/>
      <c r="E60" s="114"/>
      <c r="F60" s="114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115"/>
      <c r="AE60" s="115"/>
      <c r="AF60" s="115"/>
      <c r="AG60" s="115"/>
      <c r="AH60" s="115"/>
      <c r="AI60" s="114"/>
      <c r="AJ60" s="116"/>
      <c r="AK60" s="81"/>
    </row>
    <row r="61" spans="1:37" x14ac:dyDescent="0.2">
      <c r="A61" s="109" t="s">
        <v>53</v>
      </c>
      <c r="B61" s="67" t="e">
        <f>B36-#REF!</f>
        <v>#REF!</v>
      </c>
      <c r="C61" s="67">
        <f>C36-B36</f>
        <v>10</v>
      </c>
      <c r="D61" s="67">
        <f>D36-B36</f>
        <v>-930330</v>
      </c>
      <c r="E61" s="67">
        <f>E36-D36</f>
        <v>0</v>
      </c>
      <c r="F61" s="67">
        <f>F36-E36</f>
        <v>0</v>
      </c>
      <c r="G61" s="67">
        <f t="shared" ref="G61:AH64" si="10">G36-F36</f>
        <v>0</v>
      </c>
      <c r="H61" s="67">
        <f t="shared" si="10"/>
        <v>0</v>
      </c>
      <c r="I61" s="67">
        <f t="shared" si="10"/>
        <v>0</v>
      </c>
      <c r="J61" s="67">
        <f t="shared" si="10"/>
        <v>0</v>
      </c>
      <c r="K61" s="67">
        <f t="shared" si="10"/>
        <v>0</v>
      </c>
      <c r="L61" s="67">
        <f t="shared" si="10"/>
        <v>0</v>
      </c>
      <c r="M61" s="67">
        <f t="shared" si="10"/>
        <v>0</v>
      </c>
      <c r="N61" s="67">
        <f t="shared" si="10"/>
        <v>0</v>
      </c>
      <c r="O61" s="67">
        <f t="shared" si="10"/>
        <v>0</v>
      </c>
      <c r="P61" s="67">
        <f t="shared" si="10"/>
        <v>0</v>
      </c>
      <c r="Q61" s="67">
        <f t="shared" si="10"/>
        <v>0</v>
      </c>
      <c r="R61" s="67">
        <f t="shared" si="10"/>
        <v>0</v>
      </c>
      <c r="S61" s="67">
        <f t="shared" si="10"/>
        <v>0</v>
      </c>
      <c r="T61" s="67">
        <f t="shared" si="10"/>
        <v>0</v>
      </c>
      <c r="U61" s="67">
        <f t="shared" si="10"/>
        <v>0</v>
      </c>
      <c r="V61" s="67">
        <f t="shared" si="10"/>
        <v>0</v>
      </c>
      <c r="W61" s="67">
        <f t="shared" si="10"/>
        <v>0</v>
      </c>
      <c r="X61" s="67">
        <f t="shared" si="10"/>
        <v>0</v>
      </c>
      <c r="Y61" s="67">
        <f t="shared" si="10"/>
        <v>0</v>
      </c>
      <c r="Z61" s="67">
        <f t="shared" si="10"/>
        <v>0</v>
      </c>
      <c r="AA61" s="67">
        <f t="shared" si="10"/>
        <v>0</v>
      </c>
      <c r="AB61" s="67">
        <f t="shared" si="10"/>
        <v>0</v>
      </c>
      <c r="AC61" s="67">
        <f t="shared" si="10"/>
        <v>0</v>
      </c>
      <c r="AD61" s="67">
        <f t="shared" si="10"/>
        <v>10</v>
      </c>
      <c r="AE61" s="67">
        <f t="shared" si="10"/>
        <v>0</v>
      </c>
      <c r="AF61" s="67">
        <f t="shared" si="10"/>
        <v>0</v>
      </c>
      <c r="AG61" s="69">
        <f t="shared" si="10"/>
        <v>0</v>
      </c>
      <c r="AH61" s="69">
        <f t="shared" si="10"/>
        <v>0</v>
      </c>
      <c r="AI61" s="67">
        <f>AI36-AG36</f>
        <v>0</v>
      </c>
      <c r="AJ61" s="102"/>
      <c r="AK61" s="81"/>
    </row>
    <row r="62" spans="1:37" x14ac:dyDescent="0.2">
      <c r="A62" s="109" t="s">
        <v>54</v>
      </c>
      <c r="B62" s="67" t="e">
        <f>B37-#REF!</f>
        <v>#REF!</v>
      </c>
      <c r="C62" s="67">
        <f>C37-B37</f>
        <v>30</v>
      </c>
      <c r="D62" s="67">
        <f>D37-B37</f>
        <v>-724730</v>
      </c>
      <c r="E62" s="67">
        <f t="shared" ref="E62:E64" si="11">E37-D37</f>
        <v>0</v>
      </c>
      <c r="F62" s="67">
        <f>F37-E37</f>
        <v>0</v>
      </c>
      <c r="G62" s="67">
        <f t="shared" si="10"/>
        <v>10</v>
      </c>
      <c r="H62" s="67">
        <f t="shared" si="10"/>
        <v>10</v>
      </c>
      <c r="I62" s="67">
        <f t="shared" si="10"/>
        <v>1940</v>
      </c>
      <c r="J62" s="67">
        <f t="shared" si="10"/>
        <v>2150</v>
      </c>
      <c r="K62" s="67">
        <f t="shared" si="10"/>
        <v>2930</v>
      </c>
      <c r="L62" s="67">
        <f t="shared" si="10"/>
        <v>2520</v>
      </c>
      <c r="M62" s="67">
        <f t="shared" si="10"/>
        <v>3120</v>
      </c>
      <c r="N62" s="67">
        <f t="shared" si="10"/>
        <v>2360</v>
      </c>
      <c r="O62" s="67">
        <f t="shared" si="10"/>
        <v>2870</v>
      </c>
      <c r="P62" s="67">
        <f t="shared" si="10"/>
        <v>2700</v>
      </c>
      <c r="Q62" s="67">
        <f t="shared" si="10"/>
        <v>2880</v>
      </c>
      <c r="R62" s="67">
        <f t="shared" si="10"/>
        <v>2460</v>
      </c>
      <c r="S62" s="67">
        <f t="shared" si="10"/>
        <v>2570</v>
      </c>
      <c r="T62" s="67">
        <f t="shared" si="10"/>
        <v>2620</v>
      </c>
      <c r="U62" s="67">
        <f t="shared" si="10"/>
        <v>2460</v>
      </c>
      <c r="V62" s="67">
        <f t="shared" si="10"/>
        <v>2490</v>
      </c>
      <c r="W62" s="67">
        <f t="shared" si="10"/>
        <v>2360</v>
      </c>
      <c r="X62" s="67">
        <f t="shared" si="10"/>
        <v>2400</v>
      </c>
      <c r="Y62" s="67">
        <f t="shared" si="10"/>
        <v>2370</v>
      </c>
      <c r="Z62" s="67">
        <f t="shared" si="10"/>
        <v>2510</v>
      </c>
      <c r="AA62" s="67">
        <f t="shared" si="10"/>
        <v>2250</v>
      </c>
      <c r="AB62" s="67">
        <f t="shared" si="10"/>
        <v>2400</v>
      </c>
      <c r="AC62" s="67">
        <f t="shared" si="10"/>
        <v>2290</v>
      </c>
      <c r="AD62" s="67">
        <f t="shared" si="10"/>
        <v>2410</v>
      </c>
      <c r="AE62" s="67">
        <f t="shared" si="10"/>
        <v>2510</v>
      </c>
      <c r="AF62" s="67">
        <f t="shared" si="10"/>
        <v>2510</v>
      </c>
      <c r="AG62" s="69">
        <f t="shared" si="10"/>
        <v>2800</v>
      </c>
      <c r="AH62" s="69">
        <f t="shared" si="10"/>
        <v>2640</v>
      </c>
      <c r="AI62" s="67">
        <f>AI37-AG37</f>
        <v>5130</v>
      </c>
      <c r="AJ62" s="102"/>
      <c r="AK62" s="81"/>
    </row>
    <row r="63" spans="1:37" x14ac:dyDescent="0.2">
      <c r="A63" s="109" t="s">
        <v>55</v>
      </c>
      <c r="B63" s="67" t="e">
        <f>B38-#REF!</f>
        <v>#REF!</v>
      </c>
      <c r="C63" s="67">
        <f>C38-B38</f>
        <v>2910</v>
      </c>
      <c r="D63" s="67">
        <f>D38-B38</f>
        <v>-147600</v>
      </c>
      <c r="E63" s="67">
        <f t="shared" si="11"/>
        <v>2200</v>
      </c>
      <c r="F63" s="67">
        <f>F38-E38</f>
        <v>3150</v>
      </c>
      <c r="G63" s="67">
        <f t="shared" si="10"/>
        <v>2310</v>
      </c>
      <c r="H63" s="67">
        <f t="shared" si="10"/>
        <v>2140</v>
      </c>
      <c r="I63" s="67">
        <f t="shared" si="10"/>
        <v>0</v>
      </c>
      <c r="J63" s="67">
        <f t="shared" si="10"/>
        <v>0</v>
      </c>
      <c r="K63" s="67">
        <f t="shared" si="10"/>
        <v>0</v>
      </c>
      <c r="L63" s="67">
        <f t="shared" si="10"/>
        <v>0</v>
      </c>
      <c r="M63" s="67">
        <f t="shared" si="10"/>
        <v>0</v>
      </c>
      <c r="N63" s="67">
        <f t="shared" si="10"/>
        <v>0</v>
      </c>
      <c r="O63" s="67">
        <f t="shared" si="10"/>
        <v>0</v>
      </c>
      <c r="P63" s="67">
        <f t="shared" si="10"/>
        <v>0</v>
      </c>
      <c r="Q63" s="67">
        <f t="shared" si="10"/>
        <v>0</v>
      </c>
      <c r="R63" s="67">
        <f t="shared" si="10"/>
        <v>0</v>
      </c>
      <c r="S63" s="67">
        <f t="shared" si="10"/>
        <v>0</v>
      </c>
      <c r="T63" s="67">
        <f t="shared" si="10"/>
        <v>0</v>
      </c>
      <c r="U63" s="67">
        <f t="shared" si="10"/>
        <v>0</v>
      </c>
      <c r="V63" s="67">
        <f t="shared" si="10"/>
        <v>0</v>
      </c>
      <c r="W63" s="67">
        <f t="shared" si="10"/>
        <v>0</v>
      </c>
      <c r="X63" s="67">
        <f t="shared" si="10"/>
        <v>0</v>
      </c>
      <c r="Y63" s="67">
        <f>Y38-X38</f>
        <v>0</v>
      </c>
      <c r="Z63" s="67">
        <f>Z38-Y38</f>
        <v>0</v>
      </c>
      <c r="AA63" s="67">
        <f t="shared" si="10"/>
        <v>0</v>
      </c>
      <c r="AB63" s="67">
        <f t="shared" si="10"/>
        <v>0</v>
      </c>
      <c r="AC63" s="67">
        <f t="shared" si="10"/>
        <v>0</v>
      </c>
      <c r="AD63" s="67">
        <f t="shared" si="10"/>
        <v>0</v>
      </c>
      <c r="AE63" s="67">
        <f t="shared" si="10"/>
        <v>0</v>
      </c>
      <c r="AF63" s="67">
        <f t="shared" si="10"/>
        <v>0</v>
      </c>
      <c r="AG63" s="69">
        <f t="shared" si="10"/>
        <v>0</v>
      </c>
      <c r="AH63" s="69">
        <f t="shared" si="10"/>
        <v>0</v>
      </c>
      <c r="AI63" s="67">
        <f>AI38-AG38</f>
        <v>0</v>
      </c>
      <c r="AJ63" s="102"/>
      <c r="AK63" s="81"/>
    </row>
    <row r="64" spans="1:37" ht="15" x14ac:dyDescent="0.2">
      <c r="A64" s="109" t="s">
        <v>56</v>
      </c>
      <c r="B64" s="67" t="e">
        <f>B39-#REF!</f>
        <v>#REF!</v>
      </c>
      <c r="C64" s="67">
        <f>C39-B39</f>
        <v>6020</v>
      </c>
      <c r="D64" s="67">
        <f>D39-B39</f>
        <v>-553930</v>
      </c>
      <c r="E64" s="67">
        <f t="shared" si="11"/>
        <v>2450</v>
      </c>
      <c r="F64" s="67">
        <f>F39-E39</f>
        <v>1630</v>
      </c>
      <c r="G64" s="67">
        <f t="shared" si="10"/>
        <v>2580</v>
      </c>
      <c r="H64" s="67">
        <f t="shared" si="10"/>
        <v>2400</v>
      </c>
      <c r="I64" s="67">
        <f t="shared" si="10"/>
        <v>2770</v>
      </c>
      <c r="J64" s="67">
        <f t="shared" si="10"/>
        <v>3030</v>
      </c>
      <c r="K64" s="67">
        <f t="shared" si="10"/>
        <v>2500</v>
      </c>
      <c r="L64" s="67">
        <f t="shared" si="10"/>
        <v>3120</v>
      </c>
      <c r="M64" s="67">
        <f t="shared" si="10"/>
        <v>2700</v>
      </c>
      <c r="N64" s="67">
        <f t="shared" si="10"/>
        <v>2940</v>
      </c>
      <c r="O64" s="67">
        <f t="shared" si="10"/>
        <v>2940</v>
      </c>
      <c r="P64" s="67">
        <f t="shared" si="10"/>
        <v>2720</v>
      </c>
      <c r="Q64" s="67">
        <f t="shared" si="10"/>
        <v>2910</v>
      </c>
      <c r="R64" s="67">
        <f t="shared" si="10"/>
        <v>2470</v>
      </c>
      <c r="S64" s="67">
        <f t="shared" si="10"/>
        <v>2610</v>
      </c>
      <c r="T64" s="67">
        <f t="shared" si="10"/>
        <v>2630</v>
      </c>
      <c r="U64" s="67">
        <f t="shared" si="10"/>
        <v>2480</v>
      </c>
      <c r="V64" s="67">
        <f t="shared" si="10"/>
        <v>2510</v>
      </c>
      <c r="W64" s="67">
        <f t="shared" si="10"/>
        <v>2380</v>
      </c>
      <c r="X64" s="67">
        <f t="shared" si="10"/>
        <v>2410</v>
      </c>
      <c r="Y64" s="67">
        <f t="shared" si="10"/>
        <v>2390</v>
      </c>
      <c r="Z64" s="67">
        <f t="shared" si="10"/>
        <v>2520</v>
      </c>
      <c r="AA64" s="67">
        <f t="shared" si="10"/>
        <v>2270</v>
      </c>
      <c r="AB64" s="67">
        <f t="shared" si="10"/>
        <v>2390</v>
      </c>
      <c r="AC64" s="67">
        <f t="shared" si="10"/>
        <v>2330</v>
      </c>
      <c r="AD64" s="67">
        <f t="shared" si="10"/>
        <v>2380</v>
      </c>
      <c r="AE64" s="67">
        <f t="shared" si="10"/>
        <v>2510</v>
      </c>
      <c r="AF64" s="67">
        <f t="shared" si="10"/>
        <v>2520</v>
      </c>
      <c r="AG64" s="69">
        <f t="shared" si="10"/>
        <v>2800</v>
      </c>
      <c r="AH64" s="69">
        <f t="shared" si="10"/>
        <v>2650</v>
      </c>
      <c r="AI64" s="67">
        <f>AI39-AG39</f>
        <v>5140</v>
      </c>
      <c r="AJ64" s="83" t="s">
        <v>14</v>
      </c>
      <c r="AK64" s="30" t="s">
        <v>15</v>
      </c>
    </row>
    <row r="65" spans="1:37" ht="15.75" x14ac:dyDescent="0.25">
      <c r="A65" s="117" t="s">
        <v>57</v>
      </c>
      <c r="B65" s="112" t="e">
        <f>SUM(B61:B64)</f>
        <v>#REF!</v>
      </c>
      <c r="C65" s="112">
        <f>SUM(C61:C64)</f>
        <v>8970</v>
      </c>
      <c r="D65" s="86">
        <f t="shared" ref="D65:E65" si="12">SUM(D61:D64)</f>
        <v>-2356590</v>
      </c>
      <c r="E65" s="86">
        <f t="shared" si="12"/>
        <v>4650</v>
      </c>
      <c r="F65" s="86">
        <f>SUM(F61:F64)</f>
        <v>4780</v>
      </c>
      <c r="G65" s="86">
        <f>SUM(G61:G64)</f>
        <v>4900</v>
      </c>
      <c r="H65" s="86">
        <f t="shared" ref="H65:AI65" si="13">SUM(H61:H64)</f>
        <v>4550</v>
      </c>
      <c r="I65" s="86">
        <f t="shared" si="13"/>
        <v>4710</v>
      </c>
      <c r="J65" s="86">
        <f t="shared" si="13"/>
        <v>5180</v>
      </c>
      <c r="K65" s="86">
        <f>SUM(K61:K64)</f>
        <v>5430</v>
      </c>
      <c r="L65" s="86">
        <f>SUM(L61:L64)</f>
        <v>5640</v>
      </c>
      <c r="M65" s="86">
        <f t="shared" si="13"/>
        <v>5820</v>
      </c>
      <c r="N65" s="86">
        <f t="shared" si="13"/>
        <v>5300</v>
      </c>
      <c r="O65" s="86">
        <f t="shared" si="13"/>
        <v>5810</v>
      </c>
      <c r="P65" s="86">
        <f>SUM(P61:P64)</f>
        <v>5420</v>
      </c>
      <c r="Q65" s="86">
        <f t="shared" si="13"/>
        <v>5790</v>
      </c>
      <c r="R65" s="86">
        <f t="shared" si="13"/>
        <v>4930</v>
      </c>
      <c r="S65" s="86">
        <f t="shared" si="13"/>
        <v>5180</v>
      </c>
      <c r="T65" s="86">
        <f t="shared" si="13"/>
        <v>5250</v>
      </c>
      <c r="U65" s="86">
        <f t="shared" si="13"/>
        <v>4940</v>
      </c>
      <c r="V65" s="86">
        <f t="shared" si="13"/>
        <v>5000</v>
      </c>
      <c r="W65" s="86">
        <f t="shared" si="13"/>
        <v>4740</v>
      </c>
      <c r="X65" s="86">
        <f t="shared" si="13"/>
        <v>4810</v>
      </c>
      <c r="Y65" s="86">
        <f t="shared" si="13"/>
        <v>4760</v>
      </c>
      <c r="Z65" s="86">
        <f t="shared" si="13"/>
        <v>5030</v>
      </c>
      <c r="AA65" s="86">
        <f t="shared" si="13"/>
        <v>4520</v>
      </c>
      <c r="AB65" s="86">
        <f t="shared" si="13"/>
        <v>4790</v>
      </c>
      <c r="AC65" s="86">
        <f>SUM(AC61:AC64)</f>
        <v>4620</v>
      </c>
      <c r="AD65" s="86">
        <f>SUM(AD61:AD64)</f>
        <v>4800</v>
      </c>
      <c r="AE65" s="86">
        <f t="shared" si="13"/>
        <v>5020</v>
      </c>
      <c r="AF65" s="86">
        <f t="shared" si="13"/>
        <v>5030</v>
      </c>
      <c r="AG65" s="87">
        <f t="shared" si="13"/>
        <v>5600</v>
      </c>
      <c r="AH65" s="87">
        <f t="shared" si="13"/>
        <v>5290</v>
      </c>
      <c r="AI65" s="86">
        <f t="shared" si="13"/>
        <v>10270</v>
      </c>
      <c r="AJ65" s="88">
        <f>SUM(E65:AI65)</f>
        <v>162560</v>
      </c>
      <c r="AK65" s="89">
        <f>AJ65/31</f>
        <v>5243.8709677419356</v>
      </c>
    </row>
    <row r="66" spans="1:37" x14ac:dyDescent="0.2">
      <c r="A66" s="118"/>
      <c r="B66" s="78"/>
      <c r="C66" s="78"/>
      <c r="D66" s="78"/>
      <c r="E66" s="78"/>
      <c r="F66" s="78"/>
      <c r="G66" s="79"/>
      <c r="H66" s="79"/>
      <c r="I66" s="79"/>
      <c r="J66" s="79"/>
      <c r="K66" s="79"/>
      <c r="L66" s="79"/>
      <c r="M66" s="79"/>
      <c r="N66" s="79"/>
      <c r="O66" s="79"/>
      <c r="P66" s="79"/>
      <c r="Q66" s="79"/>
      <c r="R66" s="79"/>
      <c r="S66" s="79"/>
      <c r="T66" s="79"/>
      <c r="U66" s="79"/>
      <c r="V66" s="79"/>
      <c r="W66" s="79"/>
      <c r="X66" s="79"/>
      <c r="Y66" s="79"/>
      <c r="Z66" s="79"/>
      <c r="AA66" s="79"/>
      <c r="AB66" s="79"/>
      <c r="AC66" s="79"/>
      <c r="AD66" s="79"/>
      <c r="AE66" s="79"/>
      <c r="AF66" s="79"/>
      <c r="AG66" s="79"/>
      <c r="AH66" s="79"/>
      <c r="AI66" s="78"/>
      <c r="AJ66" s="102"/>
      <c r="AK66" s="81"/>
    </row>
    <row r="67" spans="1:37" x14ac:dyDescent="0.2">
      <c r="A67" s="119" t="s">
        <v>40</v>
      </c>
      <c r="B67" s="67" t="e">
        <f>B46-#REF!</f>
        <v>#REF!</v>
      </c>
      <c r="C67" s="120">
        <f>C46-B46</f>
        <v>12</v>
      </c>
      <c r="D67" s="120">
        <f>D46-B46</f>
        <v>15675</v>
      </c>
      <c r="E67" s="121">
        <f>E46-D46</f>
        <v>0</v>
      </c>
      <c r="F67" s="120">
        <f t="shared" ref="F67:AH70" si="14">F46-E46</f>
        <v>0</v>
      </c>
      <c r="G67" s="120">
        <f t="shared" si="14"/>
        <v>0</v>
      </c>
      <c r="H67" s="120">
        <f t="shared" si="14"/>
        <v>0</v>
      </c>
      <c r="I67" s="120">
        <f t="shared" si="14"/>
        <v>0</v>
      </c>
      <c r="J67" s="120">
        <f t="shared" si="14"/>
        <v>0</v>
      </c>
      <c r="K67" s="120">
        <f t="shared" si="14"/>
        <v>0</v>
      </c>
      <c r="L67" s="120">
        <f t="shared" si="14"/>
        <v>0</v>
      </c>
      <c r="M67" s="120">
        <f t="shared" si="14"/>
        <v>0</v>
      </c>
      <c r="N67" s="120">
        <f t="shared" si="14"/>
        <v>0</v>
      </c>
      <c r="O67" s="120">
        <f t="shared" si="14"/>
        <v>0</v>
      </c>
      <c r="P67" s="120">
        <f t="shared" si="14"/>
        <v>0</v>
      </c>
      <c r="Q67" s="120">
        <f t="shared" si="14"/>
        <v>0</v>
      </c>
      <c r="R67" s="120">
        <f t="shared" si="14"/>
        <v>0</v>
      </c>
      <c r="S67" s="120">
        <f t="shared" si="14"/>
        <v>0</v>
      </c>
      <c r="T67" s="120">
        <f t="shared" si="14"/>
        <v>0</v>
      </c>
      <c r="U67" s="120">
        <f t="shared" si="14"/>
        <v>0</v>
      </c>
      <c r="V67" s="120">
        <f t="shared" si="14"/>
        <v>0</v>
      </c>
      <c r="W67" s="120">
        <f t="shared" si="14"/>
        <v>0</v>
      </c>
      <c r="X67" s="122">
        <v>0</v>
      </c>
      <c r="Y67" s="120">
        <f>X46-W46</f>
        <v>0</v>
      </c>
      <c r="Z67" s="120">
        <f>Y46-X46</f>
        <v>0</v>
      </c>
      <c r="AA67" s="120">
        <f t="shared" si="14"/>
        <v>0</v>
      </c>
      <c r="AB67" s="120">
        <f t="shared" si="14"/>
        <v>0</v>
      </c>
      <c r="AC67" s="120">
        <f t="shared" si="14"/>
        <v>2</v>
      </c>
      <c r="AD67" s="120">
        <f t="shared" si="14"/>
        <v>0</v>
      </c>
      <c r="AE67" s="120">
        <f t="shared" si="14"/>
        <v>0</v>
      </c>
      <c r="AF67" s="120">
        <f t="shared" si="14"/>
        <v>0</v>
      </c>
      <c r="AG67" s="123">
        <f t="shared" si="14"/>
        <v>0</v>
      </c>
      <c r="AH67" s="123">
        <f t="shared" si="14"/>
        <v>0</v>
      </c>
      <c r="AI67" s="120">
        <f>AI46-AG46</f>
        <v>0</v>
      </c>
      <c r="AJ67" s="102"/>
      <c r="AK67" s="81"/>
    </row>
    <row r="68" spans="1:37" x14ac:dyDescent="0.2">
      <c r="A68" s="124" t="s">
        <v>41</v>
      </c>
      <c r="B68" s="67" t="e">
        <f>B47-#REF!</f>
        <v>#REF!</v>
      </c>
      <c r="C68" s="120">
        <f>C47-B47</f>
        <v>0</v>
      </c>
      <c r="D68" s="120">
        <f>D47-B47</f>
        <v>-17339</v>
      </c>
      <c r="E68" s="121">
        <f t="shared" ref="E68:E70" si="15">E47-D47</f>
        <v>0</v>
      </c>
      <c r="F68" s="120">
        <f t="shared" si="14"/>
        <v>0</v>
      </c>
      <c r="G68" s="120">
        <f t="shared" si="14"/>
        <v>0</v>
      </c>
      <c r="H68" s="120">
        <f t="shared" si="14"/>
        <v>0</v>
      </c>
      <c r="I68" s="120">
        <f t="shared" si="14"/>
        <v>151</v>
      </c>
      <c r="J68" s="120">
        <f t="shared" si="14"/>
        <v>160</v>
      </c>
      <c r="K68" s="121">
        <f>K47-J47</f>
        <v>225</v>
      </c>
      <c r="L68" s="121">
        <f>L47-K47</f>
        <v>204</v>
      </c>
      <c r="M68" s="120">
        <f t="shared" si="14"/>
        <v>277</v>
      </c>
      <c r="N68" s="120">
        <f t="shared" si="14"/>
        <v>211</v>
      </c>
      <c r="O68" s="120">
        <f t="shared" si="14"/>
        <v>253</v>
      </c>
      <c r="P68" s="120">
        <f t="shared" si="14"/>
        <v>212</v>
      </c>
      <c r="Q68" s="120">
        <f t="shared" si="14"/>
        <v>233</v>
      </c>
      <c r="R68" s="120">
        <f t="shared" si="14"/>
        <v>207</v>
      </c>
      <c r="S68" s="120">
        <f t="shared" si="14"/>
        <v>217</v>
      </c>
      <c r="T68" s="120">
        <f t="shared" si="14"/>
        <v>217</v>
      </c>
      <c r="U68" s="120">
        <f t="shared" si="14"/>
        <v>210</v>
      </c>
      <c r="V68" s="120">
        <f t="shared" si="14"/>
        <v>219</v>
      </c>
      <c r="W68" s="120">
        <f t="shared" si="14"/>
        <v>218</v>
      </c>
      <c r="X68" s="122">
        <v>0</v>
      </c>
      <c r="Y68" s="120">
        <f>X47-W47</f>
        <v>214</v>
      </c>
      <c r="Z68" s="120">
        <f>Y47-X47</f>
        <v>217</v>
      </c>
      <c r="AA68" s="120">
        <f t="shared" si="14"/>
        <v>217</v>
      </c>
      <c r="AB68" s="120">
        <f t="shared" si="14"/>
        <v>219</v>
      </c>
      <c r="AC68" s="120">
        <f t="shared" si="14"/>
        <v>208</v>
      </c>
      <c r="AD68" s="120">
        <f t="shared" si="14"/>
        <v>219</v>
      </c>
      <c r="AE68" s="120">
        <f t="shared" si="14"/>
        <v>215</v>
      </c>
      <c r="AF68" s="120">
        <f t="shared" si="14"/>
        <v>225</v>
      </c>
      <c r="AG68" s="123">
        <f t="shared" si="14"/>
        <v>232</v>
      </c>
      <c r="AH68" s="123">
        <f t="shared" si="14"/>
        <v>215</v>
      </c>
      <c r="AI68" s="120">
        <f>AI47-AG47</f>
        <v>428</v>
      </c>
      <c r="AJ68" s="102"/>
      <c r="AK68" s="81"/>
    </row>
    <row r="69" spans="1:37" x14ac:dyDescent="0.2">
      <c r="A69" s="124" t="s">
        <v>42</v>
      </c>
      <c r="B69" s="67" t="e">
        <f>B48-#REF!</f>
        <v>#REF!</v>
      </c>
      <c r="C69" s="120">
        <f>C48-B48</f>
        <v>1573</v>
      </c>
      <c r="D69" s="120">
        <f>D48-B48</f>
        <v>-851</v>
      </c>
      <c r="E69" s="121">
        <f t="shared" si="15"/>
        <v>152</v>
      </c>
      <c r="F69" s="120">
        <f t="shared" si="14"/>
        <v>213</v>
      </c>
      <c r="G69" s="120">
        <f t="shared" si="14"/>
        <v>199</v>
      </c>
      <c r="H69" s="120">
        <f t="shared" si="14"/>
        <v>150</v>
      </c>
      <c r="I69" s="120">
        <f t="shared" si="14"/>
        <v>0</v>
      </c>
      <c r="J69" s="120">
        <f t="shared" si="14"/>
        <v>0</v>
      </c>
      <c r="K69" s="120">
        <f t="shared" si="14"/>
        <v>0</v>
      </c>
      <c r="L69" s="120">
        <f t="shared" si="14"/>
        <v>0</v>
      </c>
      <c r="M69" s="120">
        <f t="shared" si="14"/>
        <v>0</v>
      </c>
      <c r="N69" s="120">
        <f t="shared" si="14"/>
        <v>0</v>
      </c>
      <c r="O69" s="120">
        <f t="shared" si="14"/>
        <v>0</v>
      </c>
      <c r="P69" s="120">
        <f t="shared" si="14"/>
        <v>0</v>
      </c>
      <c r="Q69" s="120">
        <f t="shared" si="14"/>
        <v>0</v>
      </c>
      <c r="R69" s="120">
        <f t="shared" si="14"/>
        <v>0</v>
      </c>
      <c r="S69" s="120">
        <f t="shared" si="14"/>
        <v>0</v>
      </c>
      <c r="T69" s="120">
        <f t="shared" si="14"/>
        <v>0</v>
      </c>
      <c r="U69" s="120">
        <f t="shared" si="14"/>
        <v>0</v>
      </c>
      <c r="V69" s="120">
        <f t="shared" si="14"/>
        <v>0</v>
      </c>
      <c r="W69" s="120">
        <f t="shared" si="14"/>
        <v>0</v>
      </c>
      <c r="X69" s="120">
        <f t="shared" si="14"/>
        <v>0</v>
      </c>
      <c r="Y69" s="120">
        <f>Y48-X48</f>
        <v>0</v>
      </c>
      <c r="Z69" s="120">
        <f>Z48-Y48</f>
        <v>0</v>
      </c>
      <c r="AA69" s="120">
        <f t="shared" si="14"/>
        <v>0</v>
      </c>
      <c r="AB69" s="120">
        <f t="shared" si="14"/>
        <v>0</v>
      </c>
      <c r="AC69" s="120">
        <f t="shared" si="14"/>
        <v>0</v>
      </c>
      <c r="AD69" s="120">
        <f t="shared" si="14"/>
        <v>0</v>
      </c>
      <c r="AE69" s="120">
        <f t="shared" si="14"/>
        <v>0</v>
      </c>
      <c r="AF69" s="120">
        <f t="shared" si="14"/>
        <v>0</v>
      </c>
      <c r="AG69" s="123">
        <f t="shared" si="14"/>
        <v>0</v>
      </c>
      <c r="AH69" s="123">
        <f t="shared" si="14"/>
        <v>0</v>
      </c>
      <c r="AI69" s="120">
        <f>AI48-AG48</f>
        <v>0</v>
      </c>
      <c r="AJ69" s="102"/>
      <c r="AK69" s="81"/>
    </row>
    <row r="70" spans="1:37" ht="15" x14ac:dyDescent="0.2">
      <c r="A70" s="124" t="s">
        <v>43</v>
      </c>
      <c r="B70" s="67" t="e">
        <f>B49-#REF!</f>
        <v>#REF!</v>
      </c>
      <c r="C70" s="120">
        <f>C49-B49</f>
        <v>1388</v>
      </c>
      <c r="D70" s="120">
        <f>D49-B49</f>
        <v>13114</v>
      </c>
      <c r="E70" s="121">
        <f t="shared" si="15"/>
        <v>192</v>
      </c>
      <c r="F70" s="120">
        <f t="shared" si="14"/>
        <v>133</v>
      </c>
      <c r="G70" s="120">
        <f t="shared" si="14"/>
        <v>168</v>
      </c>
      <c r="H70" s="120">
        <f t="shared" si="14"/>
        <v>189</v>
      </c>
      <c r="I70" s="120">
        <f t="shared" si="14"/>
        <v>194</v>
      </c>
      <c r="J70" s="120">
        <f t="shared" si="14"/>
        <v>200</v>
      </c>
      <c r="K70" s="120">
        <f t="shared" si="14"/>
        <v>163</v>
      </c>
      <c r="L70" s="120">
        <f t="shared" si="14"/>
        <v>215</v>
      </c>
      <c r="M70" s="120">
        <f t="shared" si="14"/>
        <v>214</v>
      </c>
      <c r="N70" s="120">
        <f t="shared" si="14"/>
        <v>224</v>
      </c>
      <c r="O70" s="120">
        <f t="shared" si="14"/>
        <v>219</v>
      </c>
      <c r="P70" s="120">
        <f t="shared" si="14"/>
        <v>181</v>
      </c>
      <c r="Q70" s="120">
        <f t="shared" si="14"/>
        <v>200</v>
      </c>
      <c r="R70" s="120">
        <f t="shared" si="14"/>
        <v>177</v>
      </c>
      <c r="S70" s="120">
        <f t="shared" si="14"/>
        <v>186</v>
      </c>
      <c r="T70" s="120">
        <f t="shared" si="14"/>
        <v>185</v>
      </c>
      <c r="U70" s="120">
        <f t="shared" si="14"/>
        <v>180</v>
      </c>
      <c r="V70" s="120">
        <f t="shared" si="14"/>
        <v>188</v>
      </c>
      <c r="W70" s="120">
        <f t="shared" si="14"/>
        <v>187</v>
      </c>
      <c r="X70" s="120">
        <f t="shared" si="14"/>
        <v>184</v>
      </c>
      <c r="Y70" s="120">
        <f t="shared" si="14"/>
        <v>188</v>
      </c>
      <c r="Z70" s="120">
        <f t="shared" si="14"/>
        <v>226</v>
      </c>
      <c r="AA70" s="120">
        <f t="shared" si="14"/>
        <v>194</v>
      </c>
      <c r="AB70" s="120">
        <f t="shared" si="14"/>
        <v>197</v>
      </c>
      <c r="AC70" s="120">
        <f t="shared" si="14"/>
        <v>189</v>
      </c>
      <c r="AD70" s="120">
        <f t="shared" si="14"/>
        <v>197</v>
      </c>
      <c r="AE70" s="120">
        <f t="shared" si="14"/>
        <v>195</v>
      </c>
      <c r="AF70" s="120">
        <f t="shared" si="14"/>
        <v>201</v>
      </c>
      <c r="AG70" s="123">
        <f t="shared" si="14"/>
        <v>206</v>
      </c>
      <c r="AH70" s="123">
        <f t="shared" si="14"/>
        <v>192</v>
      </c>
      <c r="AI70" s="120">
        <f>AI49-AG49</f>
        <v>383</v>
      </c>
      <c r="AJ70" s="83" t="s">
        <v>14</v>
      </c>
      <c r="AK70" s="30" t="s">
        <v>15</v>
      </c>
    </row>
    <row r="71" spans="1:37" ht="15.75" x14ac:dyDescent="0.25">
      <c r="A71" s="117" t="s">
        <v>58</v>
      </c>
      <c r="B71" s="112" t="e">
        <f>SUM(B67:B70)</f>
        <v>#REF!</v>
      </c>
      <c r="C71" s="112">
        <f>SUM(C67:C70)</f>
        <v>2973</v>
      </c>
      <c r="D71" s="86">
        <f t="shared" ref="D71" si="16">SUM(D67:D70)</f>
        <v>10599</v>
      </c>
      <c r="E71" s="86">
        <f>SUM(E67:E70)</f>
        <v>344</v>
      </c>
      <c r="F71" s="86">
        <f>SUM(F67:F70)</f>
        <v>346</v>
      </c>
      <c r="G71" s="86">
        <f>SUM(G67:G70)</f>
        <v>367</v>
      </c>
      <c r="H71" s="86">
        <f t="shared" ref="H71:AI71" si="17">SUM(H67:H70)</f>
        <v>339</v>
      </c>
      <c r="I71" s="86">
        <f t="shared" si="17"/>
        <v>345</v>
      </c>
      <c r="J71" s="86">
        <f t="shared" si="17"/>
        <v>360</v>
      </c>
      <c r="K71" s="86">
        <f>SUM(K67:K70)</f>
        <v>388</v>
      </c>
      <c r="L71" s="86">
        <f>SUM(L67:L70)</f>
        <v>419</v>
      </c>
      <c r="M71" s="86">
        <f t="shared" si="17"/>
        <v>491</v>
      </c>
      <c r="N71" s="86">
        <f t="shared" si="17"/>
        <v>435</v>
      </c>
      <c r="O71" s="86">
        <f t="shared" si="17"/>
        <v>472</v>
      </c>
      <c r="P71" s="86">
        <f>SUM(P67:P70)</f>
        <v>393</v>
      </c>
      <c r="Q71" s="86">
        <f t="shared" si="17"/>
        <v>433</v>
      </c>
      <c r="R71" s="86">
        <f t="shared" si="17"/>
        <v>384</v>
      </c>
      <c r="S71" s="86">
        <f t="shared" si="17"/>
        <v>403</v>
      </c>
      <c r="T71" s="86">
        <f t="shared" si="17"/>
        <v>402</v>
      </c>
      <c r="U71" s="86">
        <f t="shared" si="17"/>
        <v>390</v>
      </c>
      <c r="V71" s="86">
        <f t="shared" si="17"/>
        <v>407</v>
      </c>
      <c r="W71" s="86">
        <f t="shared" si="17"/>
        <v>405</v>
      </c>
      <c r="X71" s="86">
        <f t="shared" si="17"/>
        <v>184</v>
      </c>
      <c r="Y71" s="86">
        <f>SUM(Y67:Y70)</f>
        <v>402</v>
      </c>
      <c r="Z71" s="86">
        <f t="shared" si="17"/>
        <v>443</v>
      </c>
      <c r="AA71" s="86">
        <f t="shared" si="17"/>
        <v>411</v>
      </c>
      <c r="AB71" s="86">
        <f t="shared" si="17"/>
        <v>416</v>
      </c>
      <c r="AC71" s="86">
        <f>SUM(AC67:AC70)</f>
        <v>399</v>
      </c>
      <c r="AD71" s="86">
        <f>SUM(AD67:AD70)</f>
        <v>416</v>
      </c>
      <c r="AE71" s="86">
        <f t="shared" si="17"/>
        <v>410</v>
      </c>
      <c r="AF71" s="86">
        <f t="shared" si="17"/>
        <v>426</v>
      </c>
      <c r="AG71" s="87">
        <f t="shared" si="17"/>
        <v>438</v>
      </c>
      <c r="AH71" s="87">
        <f t="shared" si="17"/>
        <v>407</v>
      </c>
      <c r="AI71" s="86">
        <f t="shared" si="17"/>
        <v>811</v>
      </c>
      <c r="AJ71" s="88">
        <f>SUM(E71:AI71)</f>
        <v>12686</v>
      </c>
      <c r="AK71" s="89">
        <f>AJ71/31</f>
        <v>409.22580645161293</v>
      </c>
    </row>
    <row r="72" spans="1:37" x14ac:dyDescent="0.2">
      <c r="A72" s="119"/>
      <c r="B72" s="78"/>
      <c r="C72" s="78"/>
      <c r="D72" s="78"/>
      <c r="E72" s="78"/>
      <c r="F72" s="78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G72" s="79"/>
      <c r="AH72" s="79"/>
      <c r="AI72" s="78"/>
      <c r="AJ72" s="116"/>
      <c r="AK72" s="81"/>
    </row>
    <row r="73" spans="1:37" x14ac:dyDescent="0.2">
      <c r="A73" s="124" t="s">
        <v>44</v>
      </c>
      <c r="B73" s="67" t="e">
        <f>B51-#REF!</f>
        <v>#REF!</v>
      </c>
      <c r="C73" s="120">
        <f>C51-B51</f>
        <v>16</v>
      </c>
      <c r="D73" s="120">
        <f>D51-B51</f>
        <v>13407</v>
      </c>
      <c r="E73" s="121">
        <f>E51-D51</f>
        <v>0</v>
      </c>
      <c r="F73" s="120">
        <f t="shared" ref="F73:AH76" si="18">F51-E51</f>
        <v>0</v>
      </c>
      <c r="G73" s="120">
        <f t="shared" si="18"/>
        <v>0</v>
      </c>
      <c r="H73" s="120">
        <v>0</v>
      </c>
      <c r="I73" s="120">
        <f t="shared" si="18"/>
        <v>0</v>
      </c>
      <c r="J73" s="120">
        <f t="shared" si="18"/>
        <v>0</v>
      </c>
      <c r="K73" s="120">
        <f t="shared" si="18"/>
        <v>0</v>
      </c>
      <c r="L73" s="120">
        <f t="shared" si="18"/>
        <v>0</v>
      </c>
      <c r="M73" s="120">
        <f t="shared" si="18"/>
        <v>0</v>
      </c>
      <c r="N73" s="120">
        <f t="shared" si="18"/>
        <v>0</v>
      </c>
      <c r="O73" s="120">
        <f t="shared" si="18"/>
        <v>0</v>
      </c>
      <c r="P73" s="120">
        <f t="shared" si="18"/>
        <v>0</v>
      </c>
      <c r="Q73" s="120">
        <f t="shared" si="18"/>
        <v>0</v>
      </c>
      <c r="R73" s="120">
        <f t="shared" si="18"/>
        <v>0</v>
      </c>
      <c r="S73" s="120">
        <f t="shared" si="18"/>
        <v>0</v>
      </c>
      <c r="T73" s="120">
        <f t="shared" si="18"/>
        <v>0</v>
      </c>
      <c r="U73" s="120">
        <f t="shared" si="18"/>
        <v>0</v>
      </c>
      <c r="V73" s="120">
        <f t="shared" si="18"/>
        <v>0</v>
      </c>
      <c r="W73" s="120">
        <f t="shared" si="18"/>
        <v>0</v>
      </c>
      <c r="X73" s="120">
        <f t="shared" si="18"/>
        <v>0</v>
      </c>
      <c r="Y73" s="120">
        <f t="shared" si="18"/>
        <v>0</v>
      </c>
      <c r="Z73" s="120">
        <f t="shared" si="18"/>
        <v>0</v>
      </c>
      <c r="AA73" s="120">
        <f t="shared" si="18"/>
        <v>0</v>
      </c>
      <c r="AB73" s="120">
        <f t="shared" si="18"/>
        <v>0</v>
      </c>
      <c r="AC73" s="120">
        <f t="shared" si="18"/>
        <v>0</v>
      </c>
      <c r="AD73" s="120">
        <f t="shared" si="18"/>
        <v>0</v>
      </c>
      <c r="AE73" s="120">
        <f t="shared" si="18"/>
        <v>0</v>
      </c>
      <c r="AF73" s="120">
        <f t="shared" si="18"/>
        <v>0</v>
      </c>
      <c r="AG73" s="123">
        <f t="shared" si="18"/>
        <v>0</v>
      </c>
      <c r="AH73" s="123">
        <f t="shared" si="18"/>
        <v>0</v>
      </c>
      <c r="AI73" s="120">
        <f>AI51-AG51</f>
        <v>0</v>
      </c>
      <c r="AJ73" s="116"/>
      <c r="AK73" s="81"/>
    </row>
    <row r="74" spans="1:37" x14ac:dyDescent="0.2">
      <c r="A74" s="124" t="s">
        <v>45</v>
      </c>
      <c r="B74" s="67" t="e">
        <f>B52-#REF!</f>
        <v>#REF!</v>
      </c>
      <c r="C74" s="120">
        <f>C52-B52</f>
        <v>0</v>
      </c>
      <c r="D74" s="120">
        <f>D52-B52</f>
        <v>-17774</v>
      </c>
      <c r="E74" s="121">
        <f t="shared" ref="E74:E76" si="19">E52-D52</f>
        <v>0</v>
      </c>
      <c r="F74" s="120">
        <f t="shared" si="18"/>
        <v>0</v>
      </c>
      <c r="G74" s="120">
        <f t="shared" si="18"/>
        <v>0</v>
      </c>
      <c r="H74" s="120">
        <f t="shared" si="18"/>
        <v>0</v>
      </c>
      <c r="I74" s="120">
        <f t="shared" si="18"/>
        <v>96</v>
      </c>
      <c r="J74" s="120">
        <f t="shared" si="18"/>
        <v>99</v>
      </c>
      <c r="K74" s="120">
        <f t="shared" si="18"/>
        <v>134</v>
      </c>
      <c r="L74" s="120">
        <f t="shared" si="18"/>
        <v>111</v>
      </c>
      <c r="M74" s="120">
        <f t="shared" si="18"/>
        <v>131</v>
      </c>
      <c r="N74" s="120">
        <f t="shared" si="18"/>
        <v>102</v>
      </c>
      <c r="O74" s="120">
        <f t="shared" si="18"/>
        <v>131</v>
      </c>
      <c r="P74" s="120">
        <f t="shared" si="18"/>
        <v>133</v>
      </c>
      <c r="Q74" s="120">
        <f t="shared" si="18"/>
        <v>144</v>
      </c>
      <c r="R74" s="120">
        <f t="shared" si="18"/>
        <v>132</v>
      </c>
      <c r="S74" s="120">
        <f t="shared" si="18"/>
        <v>135</v>
      </c>
      <c r="T74" s="120">
        <f t="shared" si="18"/>
        <v>133</v>
      </c>
      <c r="U74" s="120">
        <f t="shared" si="18"/>
        <v>137</v>
      </c>
      <c r="V74" s="120">
        <f t="shared" si="18"/>
        <v>144</v>
      </c>
      <c r="W74" s="120">
        <f t="shared" si="18"/>
        <v>142</v>
      </c>
      <c r="X74" s="120">
        <f t="shared" si="18"/>
        <v>133</v>
      </c>
      <c r="Y74" s="120">
        <f t="shared" si="18"/>
        <v>130</v>
      </c>
      <c r="Z74" s="120">
        <f t="shared" si="18"/>
        <v>135</v>
      </c>
      <c r="AA74" s="120">
        <f t="shared" si="18"/>
        <v>142</v>
      </c>
      <c r="AB74" s="120">
        <f t="shared" si="18"/>
        <v>143</v>
      </c>
      <c r="AC74" s="120">
        <f t="shared" si="18"/>
        <v>131</v>
      </c>
      <c r="AD74" s="120">
        <f t="shared" si="18"/>
        <v>137</v>
      </c>
      <c r="AE74" s="120">
        <f t="shared" si="18"/>
        <v>144</v>
      </c>
      <c r="AF74" s="120">
        <f t="shared" si="18"/>
        <v>146</v>
      </c>
      <c r="AG74" s="123">
        <f t="shared" si="18"/>
        <v>153</v>
      </c>
      <c r="AH74" s="123">
        <f t="shared" si="18"/>
        <v>140</v>
      </c>
      <c r="AI74" s="120">
        <f>AI52-AG52</f>
        <v>275</v>
      </c>
      <c r="AJ74" s="116"/>
      <c r="AK74" s="81"/>
    </row>
    <row r="75" spans="1:37" x14ac:dyDescent="0.2">
      <c r="A75" s="124" t="s">
        <v>46</v>
      </c>
      <c r="B75" s="67" t="e">
        <f>B53-#REF!</f>
        <v>#REF!</v>
      </c>
      <c r="C75" s="120">
        <v>1108</v>
      </c>
      <c r="D75" s="120">
        <f>D53-B53</f>
        <v>-40005</v>
      </c>
      <c r="E75" s="121">
        <f t="shared" si="19"/>
        <v>103</v>
      </c>
      <c r="F75" s="120">
        <f t="shared" si="18"/>
        <v>143</v>
      </c>
      <c r="G75" s="120">
        <f t="shared" si="18"/>
        <v>141</v>
      </c>
      <c r="H75" s="120">
        <f t="shared" si="18"/>
        <v>108</v>
      </c>
      <c r="I75" s="120">
        <f t="shared" si="18"/>
        <v>0</v>
      </c>
      <c r="J75" s="120">
        <f t="shared" si="18"/>
        <v>0</v>
      </c>
      <c r="K75" s="120">
        <f t="shared" si="18"/>
        <v>0</v>
      </c>
      <c r="L75" s="120">
        <f t="shared" si="18"/>
        <v>0</v>
      </c>
      <c r="M75" s="120">
        <f t="shared" si="18"/>
        <v>0</v>
      </c>
      <c r="N75" s="120">
        <f t="shared" si="18"/>
        <v>0</v>
      </c>
      <c r="O75" s="120">
        <f t="shared" si="18"/>
        <v>0</v>
      </c>
      <c r="P75" s="120">
        <f t="shared" si="18"/>
        <v>0</v>
      </c>
      <c r="Q75" s="120">
        <f t="shared" si="18"/>
        <v>0</v>
      </c>
      <c r="R75" s="120">
        <f t="shared" si="18"/>
        <v>0</v>
      </c>
      <c r="S75" s="120">
        <f t="shared" si="18"/>
        <v>0</v>
      </c>
      <c r="T75" s="120">
        <f t="shared" si="18"/>
        <v>0</v>
      </c>
      <c r="U75" s="120">
        <f t="shared" si="18"/>
        <v>0</v>
      </c>
      <c r="V75" s="120">
        <f t="shared" si="18"/>
        <v>0</v>
      </c>
      <c r="W75" s="120">
        <f t="shared" si="18"/>
        <v>0</v>
      </c>
      <c r="X75" s="120">
        <f t="shared" si="18"/>
        <v>0</v>
      </c>
      <c r="Y75" s="120">
        <f t="shared" si="18"/>
        <v>0</v>
      </c>
      <c r="Z75" s="120">
        <f t="shared" si="18"/>
        <v>0</v>
      </c>
      <c r="AA75" s="120">
        <f t="shared" si="18"/>
        <v>0</v>
      </c>
      <c r="AB75" s="120">
        <f t="shared" si="18"/>
        <v>0</v>
      </c>
      <c r="AC75" s="120">
        <f t="shared" si="18"/>
        <v>0</v>
      </c>
      <c r="AD75" s="120">
        <f t="shared" si="18"/>
        <v>0</v>
      </c>
      <c r="AE75" s="120">
        <f t="shared" si="18"/>
        <v>0</v>
      </c>
      <c r="AF75" s="120">
        <f t="shared" si="18"/>
        <v>0</v>
      </c>
      <c r="AG75" s="123">
        <f t="shared" si="18"/>
        <v>0</v>
      </c>
      <c r="AH75" s="123">
        <f t="shared" si="18"/>
        <v>0</v>
      </c>
      <c r="AI75" s="120">
        <f>AI53-AG53</f>
        <v>0</v>
      </c>
      <c r="AJ75" s="116"/>
      <c r="AK75" s="81"/>
    </row>
    <row r="76" spans="1:37" ht="15" x14ac:dyDescent="0.2">
      <c r="A76" s="124" t="s">
        <v>47</v>
      </c>
      <c r="B76" s="67" t="e">
        <f>B54-#REF!</f>
        <v>#REF!</v>
      </c>
      <c r="C76" s="120">
        <f>C54-B54</f>
        <v>728</v>
      </c>
      <c r="D76" s="120">
        <f>D54-B54</f>
        <v>-32341</v>
      </c>
      <c r="E76" s="121">
        <f t="shared" si="19"/>
        <v>139</v>
      </c>
      <c r="F76" s="120">
        <v>0</v>
      </c>
      <c r="G76" s="120">
        <f t="shared" si="18"/>
        <v>136</v>
      </c>
      <c r="H76" s="120">
        <f t="shared" si="18"/>
        <v>143</v>
      </c>
      <c r="I76" s="120">
        <f t="shared" si="18"/>
        <v>137</v>
      </c>
      <c r="J76" s="120">
        <f t="shared" si="18"/>
        <v>138</v>
      </c>
      <c r="K76" s="120">
        <f t="shared" si="18"/>
        <v>117</v>
      </c>
      <c r="L76" s="120">
        <f t="shared" si="18"/>
        <v>133</v>
      </c>
      <c r="M76" s="120">
        <f t="shared" si="18"/>
        <v>115</v>
      </c>
      <c r="N76" s="120">
        <f t="shared" si="18"/>
        <v>125</v>
      </c>
      <c r="O76" s="120">
        <f t="shared" si="18"/>
        <v>135</v>
      </c>
      <c r="P76" s="120">
        <f t="shared" si="18"/>
        <v>136</v>
      </c>
      <c r="Q76" s="120">
        <f t="shared" si="18"/>
        <v>148</v>
      </c>
      <c r="R76" s="120">
        <f t="shared" si="18"/>
        <v>136</v>
      </c>
      <c r="S76" s="120">
        <f t="shared" si="18"/>
        <v>139</v>
      </c>
      <c r="T76" s="120">
        <f t="shared" si="18"/>
        <v>137</v>
      </c>
      <c r="U76" s="120">
        <f t="shared" si="18"/>
        <v>140</v>
      </c>
      <c r="V76" s="120">
        <f t="shared" si="18"/>
        <v>169</v>
      </c>
      <c r="W76" s="120">
        <f t="shared" si="18"/>
        <v>125</v>
      </c>
      <c r="X76" s="120">
        <f t="shared" si="18"/>
        <v>138</v>
      </c>
      <c r="Y76" s="120">
        <f t="shared" si="18"/>
        <v>133</v>
      </c>
      <c r="Z76" s="120">
        <f t="shared" si="18"/>
        <v>139</v>
      </c>
      <c r="AA76" s="120">
        <f t="shared" si="18"/>
        <v>146</v>
      </c>
      <c r="AB76" s="120">
        <f t="shared" si="18"/>
        <v>146</v>
      </c>
      <c r="AC76" s="120">
        <f t="shared" si="18"/>
        <v>134</v>
      </c>
      <c r="AD76" s="120">
        <f t="shared" si="18"/>
        <v>141</v>
      </c>
      <c r="AE76" s="120">
        <f t="shared" si="18"/>
        <v>148</v>
      </c>
      <c r="AF76" s="120">
        <f t="shared" si="18"/>
        <v>150</v>
      </c>
      <c r="AG76" s="123">
        <f t="shared" si="18"/>
        <v>157</v>
      </c>
      <c r="AH76" s="123">
        <f t="shared" si="18"/>
        <v>143</v>
      </c>
      <c r="AI76" s="120">
        <f>AI54-AG54</f>
        <v>281</v>
      </c>
      <c r="AJ76" s="83" t="s">
        <v>14</v>
      </c>
      <c r="AK76" s="30" t="s">
        <v>15</v>
      </c>
    </row>
    <row r="77" spans="1:37" ht="15.75" x14ac:dyDescent="0.25">
      <c r="A77" s="117" t="s">
        <v>59</v>
      </c>
      <c r="B77" s="112" t="e">
        <f>SUM(B73:B76)</f>
        <v>#REF!</v>
      </c>
      <c r="C77" s="112">
        <f>SUM(C73:C76)</f>
        <v>1852</v>
      </c>
      <c r="D77" s="86">
        <f t="shared" ref="D77" si="20">SUM(D73:D76)</f>
        <v>-76713</v>
      </c>
      <c r="E77" s="86">
        <f>SUM(E73:E76)</f>
        <v>242</v>
      </c>
      <c r="F77" s="86">
        <f>SUM(F73:F76)</f>
        <v>143</v>
      </c>
      <c r="G77" s="86">
        <f>SUM(G73:G76)</f>
        <v>277</v>
      </c>
      <c r="H77" s="86">
        <f t="shared" ref="H77:AI77" si="21">SUM(H73:H76)</f>
        <v>251</v>
      </c>
      <c r="I77" s="86">
        <f t="shared" si="21"/>
        <v>233</v>
      </c>
      <c r="J77" s="86">
        <f t="shared" si="21"/>
        <v>237</v>
      </c>
      <c r="K77" s="86">
        <f>SUM(K73:K76)</f>
        <v>251</v>
      </c>
      <c r="L77" s="86">
        <f>SUM(L73:L76)</f>
        <v>244</v>
      </c>
      <c r="M77" s="86">
        <f t="shared" si="21"/>
        <v>246</v>
      </c>
      <c r="N77" s="86">
        <f t="shared" si="21"/>
        <v>227</v>
      </c>
      <c r="O77" s="86">
        <f t="shared" si="21"/>
        <v>266</v>
      </c>
      <c r="P77" s="86">
        <f>SUM(P73:P76)</f>
        <v>269</v>
      </c>
      <c r="Q77" s="86">
        <f t="shared" si="21"/>
        <v>292</v>
      </c>
      <c r="R77" s="86">
        <f t="shared" si="21"/>
        <v>268</v>
      </c>
      <c r="S77" s="86">
        <f t="shared" si="21"/>
        <v>274</v>
      </c>
      <c r="T77" s="86">
        <f t="shared" si="21"/>
        <v>270</v>
      </c>
      <c r="U77" s="86">
        <f t="shared" si="21"/>
        <v>277</v>
      </c>
      <c r="V77" s="86">
        <f t="shared" si="21"/>
        <v>313</v>
      </c>
      <c r="W77" s="86">
        <f t="shared" si="21"/>
        <v>267</v>
      </c>
      <c r="X77" s="86">
        <f t="shared" si="21"/>
        <v>271</v>
      </c>
      <c r="Y77" s="86">
        <f>SUM(Y73:Y76)</f>
        <v>263</v>
      </c>
      <c r="Z77" s="86">
        <f t="shared" si="21"/>
        <v>274</v>
      </c>
      <c r="AA77" s="86">
        <f t="shared" si="21"/>
        <v>288</v>
      </c>
      <c r="AB77" s="86">
        <f t="shared" si="21"/>
        <v>289</v>
      </c>
      <c r="AC77" s="86">
        <f>SUM(AC73:AC76)</f>
        <v>265</v>
      </c>
      <c r="AD77" s="86">
        <f>SUM(AD73:AD76)</f>
        <v>278</v>
      </c>
      <c r="AE77" s="86">
        <f t="shared" si="21"/>
        <v>292</v>
      </c>
      <c r="AF77" s="86">
        <f t="shared" si="21"/>
        <v>296</v>
      </c>
      <c r="AG77" s="87">
        <f t="shared" si="21"/>
        <v>310</v>
      </c>
      <c r="AH77" s="87">
        <f t="shared" si="21"/>
        <v>283</v>
      </c>
      <c r="AI77" s="86">
        <f t="shared" si="21"/>
        <v>556</v>
      </c>
      <c r="AJ77" s="88">
        <f>SUM(E77:AI77)</f>
        <v>8512</v>
      </c>
      <c r="AK77" s="89">
        <f>AJ77/31</f>
        <v>274.58064516129031</v>
      </c>
    </row>
    <row r="78" spans="1:37" x14ac:dyDescent="0.2">
      <c r="A78" s="125"/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Z78" s="126"/>
      <c r="AA78" s="126"/>
      <c r="AB78" s="126"/>
      <c r="AC78" s="126"/>
      <c r="AD78" s="126"/>
      <c r="AE78" s="126"/>
      <c r="AF78" s="126"/>
      <c r="AG78" s="127"/>
      <c r="AH78" s="127"/>
      <c r="AI78" s="126"/>
      <c r="AJ78" s="128"/>
      <c r="AK78" s="81"/>
    </row>
    <row r="79" spans="1:37" ht="15.75" x14ac:dyDescent="0.25">
      <c r="A79" s="129" t="s">
        <v>60</v>
      </c>
      <c r="B79" s="112" t="e">
        <f>SUM(B65+B71+B77)</f>
        <v>#REF!</v>
      </c>
      <c r="C79" s="112">
        <f>SUM(C65+C71+C77)</f>
        <v>13795</v>
      </c>
      <c r="D79" s="86">
        <f t="shared" ref="D79" si="22">SUM(D65+D71+D77)</f>
        <v>-2422704</v>
      </c>
      <c r="E79" s="86">
        <f>SUM(E65+E71+E77)</f>
        <v>5236</v>
      </c>
      <c r="F79" s="86">
        <f>SUM(F65+F71+F77)</f>
        <v>5269</v>
      </c>
      <c r="G79" s="86">
        <f>SUM(G65+G71+G77)</f>
        <v>5544</v>
      </c>
      <c r="H79" s="86">
        <f t="shared" ref="H79:AI79" si="23">SUM(H65+H71+H77)</f>
        <v>5140</v>
      </c>
      <c r="I79" s="86">
        <f t="shared" si="23"/>
        <v>5288</v>
      </c>
      <c r="J79" s="86">
        <f t="shared" si="23"/>
        <v>5777</v>
      </c>
      <c r="K79" s="86">
        <f>SUM(K65+K71+K77)</f>
        <v>6069</v>
      </c>
      <c r="L79" s="86">
        <f>SUM(L65+L71+L77)</f>
        <v>6303</v>
      </c>
      <c r="M79" s="86">
        <f t="shared" si="23"/>
        <v>6557</v>
      </c>
      <c r="N79" s="86">
        <f t="shared" si="23"/>
        <v>5962</v>
      </c>
      <c r="O79" s="86">
        <f t="shared" si="23"/>
        <v>6548</v>
      </c>
      <c r="P79" s="86">
        <f>SUM(P65+P71+P77)</f>
        <v>6082</v>
      </c>
      <c r="Q79" s="86">
        <f t="shared" si="23"/>
        <v>6515</v>
      </c>
      <c r="R79" s="86">
        <f t="shared" si="23"/>
        <v>5582</v>
      </c>
      <c r="S79" s="86">
        <f t="shared" si="23"/>
        <v>5857</v>
      </c>
      <c r="T79" s="86">
        <f t="shared" si="23"/>
        <v>5922</v>
      </c>
      <c r="U79" s="86">
        <f t="shared" si="23"/>
        <v>5607</v>
      </c>
      <c r="V79" s="86">
        <f t="shared" si="23"/>
        <v>5720</v>
      </c>
      <c r="W79" s="86">
        <f t="shared" si="23"/>
        <v>5412</v>
      </c>
      <c r="X79" s="86">
        <f t="shared" si="23"/>
        <v>5265</v>
      </c>
      <c r="Y79" s="86">
        <f t="shared" si="23"/>
        <v>5425</v>
      </c>
      <c r="Z79" s="86">
        <f t="shared" si="23"/>
        <v>5747</v>
      </c>
      <c r="AA79" s="86">
        <f t="shared" si="23"/>
        <v>5219</v>
      </c>
      <c r="AB79" s="86">
        <f t="shared" si="23"/>
        <v>5495</v>
      </c>
      <c r="AC79" s="86">
        <f>SUM(AC65+AC71+AC77)</f>
        <v>5284</v>
      </c>
      <c r="AD79" s="86">
        <f>SUM(AD65+AD71+AD77)</f>
        <v>5494</v>
      </c>
      <c r="AE79" s="86">
        <f t="shared" si="23"/>
        <v>5722</v>
      </c>
      <c r="AF79" s="86">
        <f t="shared" si="23"/>
        <v>5752</v>
      </c>
      <c r="AG79" s="87">
        <f t="shared" si="23"/>
        <v>6348</v>
      </c>
      <c r="AH79" s="87">
        <f t="shared" si="23"/>
        <v>5980</v>
      </c>
      <c r="AI79" s="86">
        <f t="shared" si="23"/>
        <v>11637</v>
      </c>
      <c r="AJ79" s="88">
        <f>SUM(E79:AI79)</f>
        <v>183758</v>
      </c>
      <c r="AK79" s="89">
        <f>AJ79/31</f>
        <v>5927.677419354839</v>
      </c>
    </row>
    <row r="80" spans="1:37" x14ac:dyDescent="0.2">
      <c r="A80" s="78"/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9"/>
      <c r="AH80" s="79"/>
      <c r="AI80" s="78"/>
      <c r="AJ80" s="116"/>
      <c r="AK80" s="81"/>
    </row>
    <row r="81" spans="1:37" x14ac:dyDescent="0.2">
      <c r="A81" s="124" t="s">
        <v>36</v>
      </c>
      <c r="B81" s="67" t="e">
        <f>B41-#REF!</f>
        <v>#REF!</v>
      </c>
      <c r="C81" s="67">
        <f>C41-B41</f>
        <v>487</v>
      </c>
      <c r="D81" s="69">
        <f t="shared" ref="D81:AI84" si="24">D41-C41</f>
        <v>-30183</v>
      </c>
      <c r="E81" s="69">
        <f t="shared" si="24"/>
        <v>140</v>
      </c>
      <c r="F81" s="67">
        <f t="shared" si="24"/>
        <v>144</v>
      </c>
      <c r="G81" s="67">
        <f t="shared" si="24"/>
        <v>137</v>
      </c>
      <c r="H81" s="67">
        <f t="shared" si="24"/>
        <v>147</v>
      </c>
      <c r="I81" s="67">
        <f t="shared" si="24"/>
        <v>164</v>
      </c>
      <c r="J81" s="67">
        <f t="shared" si="24"/>
        <v>204</v>
      </c>
      <c r="K81" s="67">
        <f t="shared" si="24"/>
        <v>209</v>
      </c>
      <c r="L81" s="67">
        <f t="shared" si="24"/>
        <v>219</v>
      </c>
      <c r="M81" s="67">
        <f t="shared" si="24"/>
        <v>230</v>
      </c>
      <c r="N81" s="67">
        <f t="shared" si="24"/>
        <v>224</v>
      </c>
      <c r="O81" s="67">
        <f t="shared" si="24"/>
        <v>228</v>
      </c>
      <c r="P81" s="67">
        <f t="shared" si="24"/>
        <v>178</v>
      </c>
      <c r="Q81" s="67">
        <f t="shared" si="24"/>
        <v>135</v>
      </c>
      <c r="R81" s="67">
        <f t="shared" si="24"/>
        <v>136</v>
      </c>
      <c r="S81" s="67">
        <f t="shared" si="24"/>
        <v>141</v>
      </c>
      <c r="T81" s="67">
        <f t="shared" si="24"/>
        <v>137</v>
      </c>
      <c r="U81" s="67">
        <f t="shared" si="24"/>
        <v>132</v>
      </c>
      <c r="V81" s="67">
        <f t="shared" si="24"/>
        <v>118</v>
      </c>
      <c r="W81" s="67">
        <f t="shared" si="24"/>
        <v>129</v>
      </c>
      <c r="X81" s="67">
        <f t="shared" si="24"/>
        <v>158</v>
      </c>
      <c r="Y81" s="67">
        <f t="shared" si="24"/>
        <v>183</v>
      </c>
      <c r="Z81" s="67">
        <f t="shared" si="24"/>
        <v>137</v>
      </c>
      <c r="AA81" s="67">
        <f>AA41-Z41</f>
        <v>92</v>
      </c>
      <c r="AB81" s="67">
        <f>AB41-AA41</f>
        <v>137</v>
      </c>
      <c r="AC81" s="67">
        <f t="shared" si="24"/>
        <v>160</v>
      </c>
      <c r="AD81" s="67">
        <f t="shared" si="24"/>
        <v>139</v>
      </c>
      <c r="AE81" s="67">
        <f t="shared" si="24"/>
        <v>158</v>
      </c>
      <c r="AF81" s="67">
        <f t="shared" si="24"/>
        <v>151</v>
      </c>
      <c r="AG81" s="69">
        <f t="shared" si="24"/>
        <v>181</v>
      </c>
      <c r="AH81" s="69">
        <f t="shared" si="24"/>
        <v>174</v>
      </c>
      <c r="AI81" s="67">
        <f t="shared" si="24"/>
        <v>184</v>
      </c>
      <c r="AJ81" s="116"/>
      <c r="AK81" s="81"/>
    </row>
    <row r="82" spans="1:37" x14ac:dyDescent="0.2">
      <c r="A82" s="124" t="s">
        <v>37</v>
      </c>
      <c r="B82" s="67" t="e">
        <f>B42-#REF!</f>
        <v>#REF!</v>
      </c>
      <c r="C82" s="67">
        <f>C42-B42</f>
        <v>0</v>
      </c>
      <c r="D82" s="69">
        <f t="shared" si="24"/>
        <v>-1990</v>
      </c>
      <c r="E82" s="69">
        <f t="shared" si="24"/>
        <v>0</v>
      </c>
      <c r="F82" s="67">
        <f t="shared" si="24"/>
        <v>0</v>
      </c>
      <c r="G82" s="67">
        <f t="shared" si="24"/>
        <v>0</v>
      </c>
      <c r="H82" s="67">
        <f t="shared" si="24"/>
        <v>0</v>
      </c>
      <c r="I82" s="67">
        <f t="shared" si="24"/>
        <v>0</v>
      </c>
      <c r="J82" s="67">
        <f t="shared" si="24"/>
        <v>0</v>
      </c>
      <c r="K82" s="67">
        <f t="shared" si="24"/>
        <v>0</v>
      </c>
      <c r="L82" s="67">
        <f t="shared" si="24"/>
        <v>0</v>
      </c>
      <c r="M82" s="67">
        <f t="shared" si="24"/>
        <v>0</v>
      </c>
      <c r="N82" s="67">
        <f t="shared" si="24"/>
        <v>0</v>
      </c>
      <c r="O82" s="67">
        <f t="shared" si="24"/>
        <v>0</v>
      </c>
      <c r="P82" s="67">
        <f t="shared" si="24"/>
        <v>0</v>
      </c>
      <c r="Q82" s="67">
        <f t="shared" si="24"/>
        <v>0</v>
      </c>
      <c r="R82" s="67">
        <f t="shared" si="24"/>
        <v>0</v>
      </c>
      <c r="S82" s="67">
        <f t="shared" si="24"/>
        <v>0</v>
      </c>
      <c r="T82" s="67">
        <f t="shared" si="24"/>
        <v>0</v>
      </c>
      <c r="U82" s="67">
        <f t="shared" si="24"/>
        <v>0</v>
      </c>
      <c r="V82" s="67">
        <f t="shared" si="24"/>
        <v>0</v>
      </c>
      <c r="W82" s="67">
        <f t="shared" si="24"/>
        <v>0</v>
      </c>
      <c r="X82" s="67">
        <f t="shared" si="24"/>
        <v>0</v>
      </c>
      <c r="Y82" s="67">
        <f t="shared" si="24"/>
        <v>0</v>
      </c>
      <c r="Z82" s="67">
        <f t="shared" si="24"/>
        <v>0</v>
      </c>
      <c r="AA82" s="67">
        <f t="shared" si="24"/>
        <v>0</v>
      </c>
      <c r="AB82" s="67">
        <f t="shared" si="24"/>
        <v>0</v>
      </c>
      <c r="AC82" s="67">
        <f t="shared" si="24"/>
        <v>0</v>
      </c>
      <c r="AD82" s="67">
        <f t="shared" si="24"/>
        <v>0</v>
      </c>
      <c r="AE82" s="67">
        <f t="shared" si="24"/>
        <v>0</v>
      </c>
      <c r="AF82" s="67">
        <f t="shared" si="24"/>
        <v>0</v>
      </c>
      <c r="AG82" s="69">
        <f t="shared" si="24"/>
        <v>0</v>
      </c>
      <c r="AH82" s="69">
        <f t="shared" si="24"/>
        <v>0</v>
      </c>
      <c r="AI82" s="67">
        <f t="shared" si="24"/>
        <v>0</v>
      </c>
      <c r="AJ82" s="116"/>
      <c r="AK82" s="81"/>
    </row>
    <row r="83" spans="1:37" x14ac:dyDescent="0.2">
      <c r="A83" s="124" t="s">
        <v>38</v>
      </c>
      <c r="B83" s="67" t="e">
        <f>B43-#REF!</f>
        <v>#REF!</v>
      </c>
      <c r="C83" s="67">
        <f>C43-B43</f>
        <v>455</v>
      </c>
      <c r="D83" s="69">
        <f t="shared" si="24"/>
        <v>24225</v>
      </c>
      <c r="E83" s="69">
        <f t="shared" si="24"/>
        <v>266</v>
      </c>
      <c r="F83" s="67">
        <f t="shared" si="24"/>
        <v>264</v>
      </c>
      <c r="G83" s="67">
        <f t="shared" si="24"/>
        <v>272</v>
      </c>
      <c r="H83" s="67">
        <f t="shared" si="24"/>
        <v>255</v>
      </c>
      <c r="I83" s="67">
        <f t="shared" si="24"/>
        <v>242</v>
      </c>
      <c r="J83" s="67">
        <f t="shared" si="24"/>
        <v>214</v>
      </c>
      <c r="K83" s="67">
        <f t="shared" si="24"/>
        <v>207</v>
      </c>
      <c r="L83" s="67">
        <f t="shared" si="24"/>
        <v>198</v>
      </c>
      <c r="M83" s="67">
        <f t="shared" si="24"/>
        <v>200</v>
      </c>
      <c r="N83" s="67">
        <f t="shared" si="24"/>
        <v>190</v>
      </c>
      <c r="O83" s="67">
        <f t="shared" si="24"/>
        <v>191</v>
      </c>
      <c r="P83" s="67">
        <f t="shared" si="24"/>
        <v>232</v>
      </c>
      <c r="Q83" s="67">
        <f t="shared" si="24"/>
        <v>270</v>
      </c>
      <c r="R83" s="67">
        <f t="shared" si="24"/>
        <v>263</v>
      </c>
      <c r="S83" s="67">
        <f t="shared" si="24"/>
        <v>255</v>
      </c>
      <c r="T83" s="67">
        <f t="shared" si="24"/>
        <v>274</v>
      </c>
      <c r="U83" s="67">
        <f t="shared" si="24"/>
        <v>266</v>
      </c>
      <c r="V83" s="67">
        <f t="shared" si="24"/>
        <v>284</v>
      </c>
      <c r="W83" s="67">
        <f t="shared" si="24"/>
        <v>270</v>
      </c>
      <c r="X83" s="67">
        <f t="shared" si="24"/>
        <v>234</v>
      </c>
      <c r="Y83" s="67">
        <f>Y43-X43</f>
        <v>230</v>
      </c>
      <c r="Z83" s="67">
        <f>Z43-Y43</f>
        <v>260</v>
      </c>
      <c r="AA83" s="67">
        <f t="shared" si="24"/>
        <v>298</v>
      </c>
      <c r="AB83" s="67">
        <f t="shared" si="24"/>
        <v>267</v>
      </c>
      <c r="AC83" s="67">
        <f t="shared" si="24"/>
        <v>250</v>
      </c>
      <c r="AD83" s="67">
        <f t="shared" si="24"/>
        <v>264</v>
      </c>
      <c r="AE83" s="67">
        <f t="shared" si="24"/>
        <v>247</v>
      </c>
      <c r="AF83" s="67">
        <f t="shared" si="24"/>
        <v>255</v>
      </c>
      <c r="AG83" s="69">
        <f t="shared" si="24"/>
        <v>233</v>
      </c>
      <c r="AH83" s="69">
        <f t="shared" si="24"/>
        <v>227</v>
      </c>
      <c r="AI83" s="67">
        <f t="shared" si="24"/>
        <v>229</v>
      </c>
      <c r="AJ83" s="116"/>
      <c r="AK83" s="81"/>
    </row>
    <row r="84" spans="1:37" ht="15" x14ac:dyDescent="0.2">
      <c r="A84" s="124" t="s">
        <v>39</v>
      </c>
      <c r="B84" s="67" t="e">
        <f>B44-#REF!</f>
        <v>#REF!</v>
      </c>
      <c r="C84" s="67">
        <f>C44-B44</f>
        <v>345</v>
      </c>
      <c r="D84" s="69">
        <f t="shared" si="24"/>
        <v>-2787</v>
      </c>
      <c r="E84" s="69">
        <f t="shared" si="24"/>
        <v>113</v>
      </c>
      <c r="F84" s="67">
        <f t="shared" si="24"/>
        <v>119</v>
      </c>
      <c r="G84" s="67">
        <f t="shared" si="24"/>
        <v>113</v>
      </c>
      <c r="H84" s="67">
        <f t="shared" si="24"/>
        <v>122</v>
      </c>
      <c r="I84" s="67">
        <f t="shared" si="24"/>
        <v>138</v>
      </c>
      <c r="J84" s="67">
        <f t="shared" si="24"/>
        <v>175</v>
      </c>
      <c r="K84" s="67">
        <f t="shared" si="24"/>
        <v>179</v>
      </c>
      <c r="L84" s="67">
        <f t="shared" si="24"/>
        <v>189</v>
      </c>
      <c r="M84" s="67">
        <f t="shared" si="24"/>
        <v>199</v>
      </c>
      <c r="N84" s="67">
        <f t="shared" si="24"/>
        <v>194</v>
      </c>
      <c r="O84" s="67">
        <f t="shared" si="24"/>
        <v>198</v>
      </c>
      <c r="P84" s="67">
        <f t="shared" si="24"/>
        <v>150</v>
      </c>
      <c r="Q84" s="67">
        <f t="shared" si="24"/>
        <v>108</v>
      </c>
      <c r="R84" s="67">
        <f t="shared" si="24"/>
        <v>110</v>
      </c>
      <c r="S84" s="67">
        <f t="shared" si="24"/>
        <v>119</v>
      </c>
      <c r="T84" s="67">
        <f t="shared" si="24"/>
        <v>109</v>
      </c>
      <c r="U84" s="67">
        <f t="shared" si="24"/>
        <v>107</v>
      </c>
      <c r="V84" s="67">
        <f t="shared" si="24"/>
        <v>93</v>
      </c>
      <c r="W84" s="67">
        <f t="shared" si="24"/>
        <v>105</v>
      </c>
      <c r="X84" s="67">
        <f t="shared" si="24"/>
        <v>150</v>
      </c>
      <c r="Y84" s="67">
        <f>Y44-X44</f>
        <v>148</v>
      </c>
      <c r="Z84" s="67">
        <f>Z44-Y44</f>
        <v>99</v>
      </c>
      <c r="AA84" s="67">
        <f t="shared" si="24"/>
        <v>72</v>
      </c>
      <c r="AB84" s="67">
        <f t="shared" si="24"/>
        <v>112</v>
      </c>
      <c r="AC84" s="67">
        <f t="shared" si="24"/>
        <v>130</v>
      </c>
      <c r="AD84" s="67">
        <f t="shared" si="24"/>
        <v>112</v>
      </c>
      <c r="AE84" s="67">
        <f t="shared" si="24"/>
        <v>132</v>
      </c>
      <c r="AF84" s="67">
        <f t="shared" si="24"/>
        <v>124</v>
      </c>
      <c r="AG84" s="69">
        <f t="shared" si="24"/>
        <v>151</v>
      </c>
      <c r="AH84" s="69">
        <f t="shared" si="24"/>
        <v>145</v>
      </c>
      <c r="AI84" s="67">
        <f t="shared" si="24"/>
        <v>152</v>
      </c>
      <c r="AJ84" s="83" t="s">
        <v>14</v>
      </c>
      <c r="AK84" s="30" t="s">
        <v>15</v>
      </c>
    </row>
    <row r="85" spans="1:37" ht="15.75" x14ac:dyDescent="0.25">
      <c r="A85" s="130" t="s">
        <v>61</v>
      </c>
      <c r="B85" s="131" t="e">
        <f>SUM(B81:B84)</f>
        <v>#REF!</v>
      </c>
      <c r="C85" s="131">
        <f>SUM(C81:C84)</f>
        <v>1287</v>
      </c>
      <c r="D85" s="132">
        <f t="shared" ref="D85:E85" si="25">SUM(D81:D84)</f>
        <v>-10735</v>
      </c>
      <c r="E85" s="132">
        <f t="shared" si="25"/>
        <v>519</v>
      </c>
      <c r="F85" s="133">
        <f>SUM(F81:F84)</f>
        <v>527</v>
      </c>
      <c r="G85" s="133">
        <f>SUM(G81:G84)</f>
        <v>522</v>
      </c>
      <c r="H85" s="133">
        <f t="shared" ref="H85:AI85" si="26">SUM(H81:H84)</f>
        <v>524</v>
      </c>
      <c r="I85" s="133">
        <f t="shared" si="26"/>
        <v>544</v>
      </c>
      <c r="J85" s="133">
        <f t="shared" si="26"/>
        <v>593</v>
      </c>
      <c r="K85" s="133">
        <f>SUM(K81:K84)</f>
        <v>595</v>
      </c>
      <c r="L85" s="133">
        <f>SUM(L81:L84)</f>
        <v>606</v>
      </c>
      <c r="M85" s="133">
        <f t="shared" si="26"/>
        <v>629</v>
      </c>
      <c r="N85" s="133">
        <f t="shared" si="26"/>
        <v>608</v>
      </c>
      <c r="O85" s="133">
        <f t="shared" si="26"/>
        <v>617</v>
      </c>
      <c r="P85" s="133">
        <f>SUM(P81:P84)</f>
        <v>560</v>
      </c>
      <c r="Q85" s="133">
        <f t="shared" si="26"/>
        <v>513</v>
      </c>
      <c r="R85" s="133">
        <f t="shared" si="26"/>
        <v>509</v>
      </c>
      <c r="S85" s="133">
        <f t="shared" si="26"/>
        <v>515</v>
      </c>
      <c r="T85" s="133">
        <f t="shared" si="26"/>
        <v>520</v>
      </c>
      <c r="U85" s="133">
        <f t="shared" si="26"/>
        <v>505</v>
      </c>
      <c r="V85" s="133">
        <f t="shared" si="26"/>
        <v>495</v>
      </c>
      <c r="W85" s="133">
        <f t="shared" si="26"/>
        <v>504</v>
      </c>
      <c r="X85" s="133">
        <f t="shared" si="26"/>
        <v>542</v>
      </c>
      <c r="Y85" s="133">
        <f>SUM(Y81:Y84)</f>
        <v>561</v>
      </c>
      <c r="Z85" s="133">
        <f>SUM(Z81:Z84)</f>
        <v>496</v>
      </c>
      <c r="AA85" s="133">
        <f t="shared" si="26"/>
        <v>462</v>
      </c>
      <c r="AB85" s="133">
        <f t="shared" si="26"/>
        <v>516</v>
      </c>
      <c r="AC85" s="133">
        <f>SUM(AC81:AC84)</f>
        <v>540</v>
      </c>
      <c r="AD85" s="133">
        <f>SUM(AD81:AD84)</f>
        <v>515</v>
      </c>
      <c r="AE85" s="133">
        <f t="shared" si="26"/>
        <v>537</v>
      </c>
      <c r="AF85" s="133">
        <f t="shared" si="26"/>
        <v>530</v>
      </c>
      <c r="AG85" s="132">
        <f t="shared" si="26"/>
        <v>565</v>
      </c>
      <c r="AH85" s="132">
        <f t="shared" si="26"/>
        <v>546</v>
      </c>
      <c r="AI85" s="132">
        <f t="shared" si="26"/>
        <v>565</v>
      </c>
      <c r="AJ85" s="89">
        <f>SUM(E85:AI85)</f>
        <v>16780</v>
      </c>
      <c r="AK85" s="89">
        <f>AJ85/31</f>
        <v>541.29032258064512</v>
      </c>
    </row>
    <row r="86" spans="1:37" ht="15.75" x14ac:dyDescent="0.25">
      <c r="A86" s="130"/>
      <c r="B86" s="131"/>
      <c r="C86" s="131"/>
      <c r="D86" s="133"/>
      <c r="E86" s="133"/>
      <c r="F86" s="133"/>
      <c r="G86" s="133"/>
      <c r="H86" s="133"/>
      <c r="I86" s="133"/>
      <c r="J86" s="133"/>
      <c r="K86" s="133"/>
      <c r="L86" s="133"/>
      <c r="M86" s="133"/>
      <c r="N86" s="133"/>
      <c r="O86" s="133"/>
      <c r="P86" s="133"/>
      <c r="Q86" s="133"/>
      <c r="R86" s="133"/>
      <c r="S86" s="133"/>
      <c r="T86" s="133"/>
      <c r="U86" s="133"/>
      <c r="V86" s="133"/>
      <c r="W86" s="133"/>
      <c r="X86" s="133"/>
      <c r="Y86" s="133"/>
      <c r="Z86" s="133"/>
      <c r="AA86" s="133"/>
      <c r="AB86" s="133"/>
      <c r="AC86" s="133"/>
      <c r="AD86" s="133"/>
      <c r="AE86" s="133"/>
      <c r="AF86" s="133"/>
      <c r="AG86" s="132"/>
      <c r="AH86" s="132"/>
      <c r="AI86" s="133"/>
      <c r="AJ86" s="134"/>
      <c r="AK86" s="135"/>
    </row>
    <row r="87" spans="1:37" ht="15.75" x14ac:dyDescent="0.25">
      <c r="A87" s="130" t="s">
        <v>62</v>
      </c>
      <c r="B87" s="112" t="e">
        <f>SUM(B79+B85)</f>
        <v>#REF!</v>
      </c>
      <c r="C87" s="112">
        <f>SUM(C79+C85)</f>
        <v>15082</v>
      </c>
      <c r="D87" s="87">
        <f t="shared" ref="D87" si="27">SUM(D79+D85)</f>
        <v>-2433439</v>
      </c>
      <c r="E87" s="86">
        <f>SUM(E79+E85)</f>
        <v>5755</v>
      </c>
      <c r="F87" s="86">
        <f>SUM(F79+F85)</f>
        <v>5796</v>
      </c>
      <c r="G87" s="86">
        <f>SUM(G79+G85)</f>
        <v>6066</v>
      </c>
      <c r="H87" s="86">
        <f t="shared" ref="H87:AI87" si="28">SUM(H79+H85)</f>
        <v>5664</v>
      </c>
      <c r="I87" s="86">
        <f t="shared" si="28"/>
        <v>5832</v>
      </c>
      <c r="J87" s="86">
        <f t="shared" si="28"/>
        <v>6370</v>
      </c>
      <c r="K87" s="86">
        <f>SUM(K79+K85)</f>
        <v>6664</v>
      </c>
      <c r="L87" s="86">
        <f>SUM(L79+L85)</f>
        <v>6909</v>
      </c>
      <c r="M87" s="86">
        <f t="shared" si="28"/>
        <v>7186</v>
      </c>
      <c r="N87" s="86">
        <f t="shared" si="28"/>
        <v>6570</v>
      </c>
      <c r="O87" s="86">
        <f t="shared" si="28"/>
        <v>7165</v>
      </c>
      <c r="P87" s="86">
        <f t="shared" si="28"/>
        <v>6642</v>
      </c>
      <c r="Q87" s="86">
        <f t="shared" si="28"/>
        <v>7028</v>
      </c>
      <c r="R87" s="86">
        <f t="shared" si="28"/>
        <v>6091</v>
      </c>
      <c r="S87" s="86">
        <f t="shared" si="28"/>
        <v>6372</v>
      </c>
      <c r="T87" s="86">
        <f t="shared" si="28"/>
        <v>6442</v>
      </c>
      <c r="U87" s="86">
        <f t="shared" si="28"/>
        <v>6112</v>
      </c>
      <c r="V87" s="86">
        <f t="shared" si="28"/>
        <v>6215</v>
      </c>
      <c r="W87" s="86">
        <f t="shared" si="28"/>
        <v>5916</v>
      </c>
      <c r="X87" s="86">
        <f t="shared" si="28"/>
        <v>5807</v>
      </c>
      <c r="Y87" s="86">
        <f t="shared" si="28"/>
        <v>5986</v>
      </c>
      <c r="Z87" s="86">
        <f t="shared" si="28"/>
        <v>6243</v>
      </c>
      <c r="AA87" s="86">
        <f t="shared" si="28"/>
        <v>5681</v>
      </c>
      <c r="AB87" s="86">
        <f t="shared" si="28"/>
        <v>6011</v>
      </c>
      <c r="AC87" s="86">
        <f>SUM(AC79+AC85)</f>
        <v>5824</v>
      </c>
      <c r="AD87" s="86">
        <f>SUM(AD79+AD85)</f>
        <v>6009</v>
      </c>
      <c r="AE87" s="86">
        <f t="shared" si="28"/>
        <v>6259</v>
      </c>
      <c r="AF87" s="86">
        <f t="shared" si="28"/>
        <v>6282</v>
      </c>
      <c r="AG87" s="87">
        <f t="shared" si="28"/>
        <v>6913</v>
      </c>
      <c r="AH87" s="87">
        <f t="shared" si="28"/>
        <v>6526</v>
      </c>
      <c r="AI87" s="86">
        <f t="shared" si="28"/>
        <v>12202</v>
      </c>
      <c r="AJ87" s="88">
        <f>SUM(E87:AI87)</f>
        <v>200538</v>
      </c>
      <c r="AK87" s="89">
        <f>AJ87/31</f>
        <v>6468.9677419354839</v>
      </c>
    </row>
    <row r="88" spans="1:37" x14ac:dyDescent="0.2">
      <c r="A88" s="136"/>
      <c r="B88" s="137"/>
      <c r="C88" s="138"/>
      <c r="D88" s="139"/>
      <c r="E88" s="138"/>
      <c r="F88" s="140"/>
      <c r="G88" s="141"/>
      <c r="H88" s="140"/>
      <c r="I88" s="140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  <c r="AE88" s="138"/>
      <c r="AF88" s="138"/>
      <c r="AG88" s="138"/>
      <c r="AH88" s="138"/>
      <c r="AI88" s="139"/>
      <c r="AJ88" s="116"/>
      <c r="AK88" s="81"/>
    </row>
    <row r="89" spans="1:37" x14ac:dyDescent="0.2">
      <c r="A89" s="142" t="s">
        <v>63</v>
      </c>
      <c r="B89" s="97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  <c r="AA89" s="61"/>
      <c r="AB89" s="61"/>
      <c r="AC89" s="61"/>
      <c r="AD89" s="61"/>
      <c r="AE89" s="61"/>
      <c r="AF89" s="61"/>
      <c r="AG89" s="63"/>
      <c r="AH89" s="63"/>
      <c r="AI89" s="61"/>
      <c r="AJ89" s="64"/>
      <c r="AK89" s="65"/>
    </row>
    <row r="90" spans="1:37" x14ac:dyDescent="0.2">
      <c r="A90" s="98" t="s">
        <v>64</v>
      </c>
      <c r="B90" s="100">
        <v>87936</v>
      </c>
      <c r="C90" s="100">
        <v>88068</v>
      </c>
      <c r="D90" s="100">
        <v>145873</v>
      </c>
      <c r="E90" s="100">
        <v>145911</v>
      </c>
      <c r="F90" s="99">
        <v>145940</v>
      </c>
      <c r="G90" s="67">
        <v>145980</v>
      </c>
      <c r="H90" s="99">
        <v>146016</v>
      </c>
      <c r="I90" s="100">
        <v>146070</v>
      </c>
      <c r="J90" s="100">
        <v>146113</v>
      </c>
      <c r="K90" s="67">
        <v>146155</v>
      </c>
      <c r="L90" s="100">
        <v>146184</v>
      </c>
      <c r="M90" s="100">
        <v>146211</v>
      </c>
      <c r="N90" s="100">
        <v>146253</v>
      </c>
      <c r="O90" s="100">
        <v>146298</v>
      </c>
      <c r="P90" s="100">
        <v>146362</v>
      </c>
      <c r="Q90" s="100">
        <v>146408</v>
      </c>
      <c r="R90" s="100">
        <v>146453</v>
      </c>
      <c r="S90" s="100">
        <v>146495</v>
      </c>
      <c r="T90" s="100">
        <v>146525</v>
      </c>
      <c r="U90" s="100">
        <v>146567</v>
      </c>
      <c r="V90" s="99">
        <v>146605</v>
      </c>
      <c r="W90" s="100">
        <v>146669</v>
      </c>
      <c r="X90" s="100">
        <v>146717</v>
      </c>
      <c r="Y90" s="100">
        <v>146760</v>
      </c>
      <c r="Z90" s="100">
        <v>146800</v>
      </c>
      <c r="AA90" s="100">
        <v>146832</v>
      </c>
      <c r="AB90" s="100">
        <v>146878</v>
      </c>
      <c r="AC90" s="100">
        <v>146912</v>
      </c>
      <c r="AD90" s="100">
        <v>146957</v>
      </c>
      <c r="AE90" s="100">
        <v>146991</v>
      </c>
      <c r="AF90" s="100">
        <v>147042</v>
      </c>
      <c r="AG90" s="101">
        <v>147076</v>
      </c>
      <c r="AH90" s="101">
        <v>147107</v>
      </c>
      <c r="AI90" s="100">
        <v>147142</v>
      </c>
      <c r="AJ90" s="64"/>
      <c r="AK90" s="65"/>
    </row>
    <row r="91" spans="1:37" x14ac:dyDescent="0.2">
      <c r="A91" s="80" t="s">
        <v>65</v>
      </c>
      <c r="B91" s="67">
        <v>48</v>
      </c>
      <c r="C91" s="67">
        <v>48</v>
      </c>
      <c r="D91" s="67">
        <v>244</v>
      </c>
      <c r="E91" s="67">
        <v>244</v>
      </c>
      <c r="F91" s="67">
        <v>244</v>
      </c>
      <c r="G91" s="67">
        <v>244</v>
      </c>
      <c r="H91" s="67">
        <v>244</v>
      </c>
      <c r="I91" s="67">
        <v>244</v>
      </c>
      <c r="J91" s="67">
        <v>244</v>
      </c>
      <c r="K91" s="67">
        <v>244</v>
      </c>
      <c r="L91" s="67">
        <v>244</v>
      </c>
      <c r="M91" s="67">
        <v>244</v>
      </c>
      <c r="N91" s="67">
        <v>244</v>
      </c>
      <c r="O91" s="67">
        <v>244</v>
      </c>
      <c r="P91" s="67">
        <v>244</v>
      </c>
      <c r="Q91" s="67">
        <v>244</v>
      </c>
      <c r="R91" s="67">
        <v>244</v>
      </c>
      <c r="S91" s="67">
        <v>244</v>
      </c>
      <c r="T91" s="67">
        <v>244</v>
      </c>
      <c r="U91" s="67">
        <v>244</v>
      </c>
      <c r="V91" s="68">
        <v>244</v>
      </c>
      <c r="W91" s="67">
        <v>244</v>
      </c>
      <c r="X91" s="67">
        <v>244</v>
      </c>
      <c r="Y91" s="67">
        <v>244</v>
      </c>
      <c r="Z91" s="67">
        <v>244</v>
      </c>
      <c r="AA91" s="67">
        <v>244</v>
      </c>
      <c r="AB91" s="67">
        <v>244</v>
      </c>
      <c r="AC91" s="67">
        <v>244</v>
      </c>
      <c r="AD91" s="67">
        <v>244</v>
      </c>
      <c r="AE91" s="67">
        <v>422</v>
      </c>
      <c r="AF91" s="67">
        <v>422</v>
      </c>
      <c r="AG91" s="69">
        <v>422</v>
      </c>
      <c r="AH91" s="69">
        <v>422</v>
      </c>
      <c r="AI91" s="67">
        <v>244</v>
      </c>
      <c r="AJ91" s="64"/>
      <c r="AK91" s="65"/>
    </row>
    <row r="92" spans="1:37" x14ac:dyDescent="0.2">
      <c r="A92" s="80" t="s">
        <v>66</v>
      </c>
      <c r="B92" s="67">
        <v>369170</v>
      </c>
      <c r="C92" s="67">
        <v>369883</v>
      </c>
      <c r="D92" s="67">
        <v>686346</v>
      </c>
      <c r="E92" s="67">
        <v>686625</v>
      </c>
      <c r="F92" s="67">
        <v>686899</v>
      </c>
      <c r="G92" s="67">
        <v>687151</v>
      </c>
      <c r="H92" s="67">
        <v>687411</v>
      </c>
      <c r="I92" s="67">
        <v>687696</v>
      </c>
      <c r="J92" s="67">
        <v>687996</v>
      </c>
      <c r="K92" s="67">
        <v>688322</v>
      </c>
      <c r="L92" s="67">
        <v>688668</v>
      </c>
      <c r="M92" s="67">
        <v>688984</v>
      </c>
      <c r="N92" s="67">
        <v>689310</v>
      </c>
      <c r="O92" s="67">
        <v>689637</v>
      </c>
      <c r="P92" s="67">
        <v>689939</v>
      </c>
      <c r="Q92" s="67">
        <v>690277</v>
      </c>
      <c r="R92" s="67">
        <v>690628</v>
      </c>
      <c r="S92" s="67">
        <v>690987</v>
      </c>
      <c r="T92" s="67">
        <v>691335</v>
      </c>
      <c r="U92" s="67">
        <v>691653</v>
      </c>
      <c r="V92" s="68">
        <v>691997</v>
      </c>
      <c r="W92" s="67">
        <v>692309</v>
      </c>
      <c r="X92" s="67">
        <v>692636</v>
      </c>
      <c r="Y92" s="67">
        <v>692989</v>
      </c>
      <c r="Z92" s="67">
        <v>693349</v>
      </c>
      <c r="AA92" s="67">
        <v>693697</v>
      </c>
      <c r="AB92" s="67">
        <v>694051</v>
      </c>
      <c r="AC92" s="67">
        <v>694389</v>
      </c>
      <c r="AD92" s="67">
        <v>694735</v>
      </c>
      <c r="AE92" s="67">
        <v>695069</v>
      </c>
      <c r="AF92" s="67">
        <v>695404</v>
      </c>
      <c r="AG92" s="69">
        <v>695767</v>
      </c>
      <c r="AH92" s="69">
        <v>696128</v>
      </c>
      <c r="AI92" s="67">
        <v>696466</v>
      </c>
      <c r="AJ92" s="64"/>
      <c r="AK92" s="65"/>
    </row>
    <row r="93" spans="1:37" x14ac:dyDescent="0.2">
      <c r="A93" s="80" t="s">
        <v>67</v>
      </c>
      <c r="B93" s="67">
        <v>196453</v>
      </c>
      <c r="C93" s="67">
        <v>196907</v>
      </c>
      <c r="D93" s="67">
        <v>312758</v>
      </c>
      <c r="E93" s="67">
        <v>312832</v>
      </c>
      <c r="F93" s="68">
        <v>312910</v>
      </c>
      <c r="G93" s="67">
        <v>312951</v>
      </c>
      <c r="H93" s="68">
        <v>313014</v>
      </c>
      <c r="I93" s="67">
        <v>313197</v>
      </c>
      <c r="J93" s="67">
        <v>313300</v>
      </c>
      <c r="K93" s="67">
        <v>313394</v>
      </c>
      <c r="L93" s="67">
        <v>313488</v>
      </c>
      <c r="M93" s="67">
        <v>313576</v>
      </c>
      <c r="N93" s="67">
        <v>313648</v>
      </c>
      <c r="O93" s="67">
        <v>313716</v>
      </c>
      <c r="P93" s="67">
        <v>313897</v>
      </c>
      <c r="Q93" s="67">
        <v>314081</v>
      </c>
      <c r="R93" s="67">
        <v>314181</v>
      </c>
      <c r="S93" s="67">
        <v>314300</v>
      </c>
      <c r="T93" s="67">
        <v>314356</v>
      </c>
      <c r="U93" s="67">
        <v>314407</v>
      </c>
      <c r="V93" s="68">
        <v>314453</v>
      </c>
      <c r="W93" s="67">
        <v>314595</v>
      </c>
      <c r="X93" s="67">
        <v>314687</v>
      </c>
      <c r="Y93" s="67">
        <v>314789</v>
      </c>
      <c r="Z93" s="67">
        <v>314877</v>
      </c>
      <c r="AA93" s="67">
        <v>314954</v>
      </c>
      <c r="AB93" s="143">
        <v>315029</v>
      </c>
      <c r="AC93" s="67">
        <v>315104</v>
      </c>
      <c r="AD93" s="67">
        <v>315306</v>
      </c>
      <c r="AE93" s="67">
        <v>315421</v>
      </c>
      <c r="AF93" s="67">
        <v>315498</v>
      </c>
      <c r="AG93" s="69">
        <v>315638</v>
      </c>
      <c r="AH93" s="69">
        <v>315717</v>
      </c>
      <c r="AI93" s="67">
        <v>315780</v>
      </c>
      <c r="AJ93" s="64"/>
      <c r="AK93" s="65"/>
    </row>
    <row r="94" spans="1:37" x14ac:dyDescent="0.2">
      <c r="A94" s="80" t="s">
        <v>68</v>
      </c>
      <c r="B94" s="67">
        <v>8536</v>
      </c>
      <c r="C94" s="67">
        <v>8549</v>
      </c>
      <c r="D94" s="67">
        <v>13516</v>
      </c>
      <c r="E94" s="67">
        <v>13520</v>
      </c>
      <c r="F94" s="68">
        <v>13524</v>
      </c>
      <c r="G94" s="67">
        <v>13528</v>
      </c>
      <c r="H94" s="68">
        <v>13533</v>
      </c>
      <c r="I94" s="67">
        <v>13537</v>
      </c>
      <c r="J94" s="67">
        <v>13540</v>
      </c>
      <c r="K94" s="67">
        <v>13544</v>
      </c>
      <c r="L94" s="67">
        <v>13547</v>
      </c>
      <c r="M94" s="67">
        <v>13550</v>
      </c>
      <c r="N94" s="67">
        <v>13553</v>
      </c>
      <c r="O94" s="67">
        <v>13556</v>
      </c>
      <c r="P94" s="67">
        <v>13559</v>
      </c>
      <c r="Q94" s="67">
        <v>13563</v>
      </c>
      <c r="R94" s="67">
        <v>13568</v>
      </c>
      <c r="S94" s="68">
        <v>13569</v>
      </c>
      <c r="T94" s="67">
        <v>13571</v>
      </c>
      <c r="U94" s="67">
        <v>13573</v>
      </c>
      <c r="V94" s="68">
        <v>13575</v>
      </c>
      <c r="W94" s="67">
        <v>13577</v>
      </c>
      <c r="X94" s="67">
        <v>13579</v>
      </c>
      <c r="Y94" s="67">
        <v>13581</v>
      </c>
      <c r="Z94" s="67">
        <v>13584</v>
      </c>
      <c r="AA94" s="67">
        <v>13586</v>
      </c>
      <c r="AB94" s="67">
        <v>13590</v>
      </c>
      <c r="AC94" s="67">
        <v>13592</v>
      </c>
      <c r="AD94" s="67">
        <v>13594</v>
      </c>
      <c r="AE94" s="67">
        <v>13596</v>
      </c>
      <c r="AF94" s="67">
        <v>13599</v>
      </c>
      <c r="AG94" s="69">
        <v>13601</v>
      </c>
      <c r="AH94" s="69">
        <v>13603</v>
      </c>
      <c r="AI94" s="67">
        <v>13605</v>
      </c>
      <c r="AJ94" s="64"/>
      <c r="AK94" s="65"/>
    </row>
    <row r="95" spans="1:37" x14ac:dyDescent="0.2">
      <c r="A95" s="78" t="s">
        <v>69</v>
      </c>
      <c r="B95" s="67">
        <v>574714</v>
      </c>
      <c r="C95" s="67">
        <v>575305</v>
      </c>
      <c r="D95" s="67">
        <v>41969</v>
      </c>
      <c r="E95" s="67">
        <v>42159</v>
      </c>
      <c r="F95" s="68">
        <v>42314</v>
      </c>
      <c r="G95" s="67">
        <v>42314</v>
      </c>
      <c r="H95" s="68">
        <v>42314</v>
      </c>
      <c r="I95" s="67">
        <v>42461</v>
      </c>
      <c r="J95" s="67">
        <v>42614</v>
      </c>
      <c r="K95" s="67">
        <v>42781</v>
      </c>
      <c r="L95" s="67">
        <v>42991</v>
      </c>
      <c r="M95" s="144">
        <v>43195</v>
      </c>
      <c r="N95" s="67">
        <v>43195</v>
      </c>
      <c r="O95" s="67">
        <v>43195</v>
      </c>
      <c r="P95" s="67">
        <v>43386</v>
      </c>
      <c r="Q95" s="67">
        <v>43515</v>
      </c>
      <c r="R95" s="67">
        <v>43698</v>
      </c>
      <c r="S95" s="67">
        <v>43866</v>
      </c>
      <c r="T95" s="67">
        <v>44044</v>
      </c>
      <c r="U95" s="67">
        <v>44044</v>
      </c>
      <c r="V95" s="68">
        <v>44044</v>
      </c>
      <c r="W95" s="67">
        <v>44221</v>
      </c>
      <c r="X95" s="67">
        <v>44380</v>
      </c>
      <c r="Y95" s="67">
        <v>44521</v>
      </c>
      <c r="Z95" s="67">
        <v>44702</v>
      </c>
      <c r="AA95" s="67">
        <v>44869</v>
      </c>
      <c r="AB95" s="67">
        <v>44869</v>
      </c>
      <c r="AC95" s="67">
        <v>44875</v>
      </c>
      <c r="AD95" s="67">
        <v>45036</v>
      </c>
      <c r="AE95" s="67">
        <v>45165</v>
      </c>
      <c r="AF95" s="67">
        <v>45348</v>
      </c>
      <c r="AG95" s="69">
        <v>45554</v>
      </c>
      <c r="AH95" s="69">
        <v>45746</v>
      </c>
      <c r="AI95" s="67">
        <v>45746</v>
      </c>
      <c r="AJ95" s="64"/>
      <c r="AK95" s="65"/>
    </row>
    <row r="96" spans="1:37" x14ac:dyDescent="0.2">
      <c r="A96" s="78"/>
      <c r="B96" s="97"/>
      <c r="C96" s="78"/>
      <c r="D96" s="78"/>
      <c r="E96" s="78"/>
      <c r="F96" s="78"/>
      <c r="G96" s="78"/>
      <c r="H96" s="78"/>
      <c r="I96" s="78"/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  <c r="V96" s="78"/>
      <c r="W96" s="78"/>
      <c r="X96" s="78"/>
      <c r="Y96" s="78"/>
      <c r="Z96" s="78"/>
      <c r="AA96" s="78"/>
      <c r="AB96" s="78"/>
      <c r="AC96" s="78"/>
      <c r="AD96" s="78"/>
      <c r="AE96" s="78"/>
      <c r="AF96" s="78"/>
      <c r="AG96" s="79"/>
      <c r="AH96" s="79"/>
      <c r="AI96" s="78"/>
      <c r="AJ96" s="64"/>
      <c r="AK96" s="65"/>
    </row>
    <row r="97" spans="1:37" ht="15.75" x14ac:dyDescent="0.25">
      <c r="A97" s="145" t="s">
        <v>70</v>
      </c>
      <c r="B97" s="97"/>
      <c r="C97" s="78"/>
      <c r="D97" s="78"/>
      <c r="E97" s="78"/>
      <c r="F97" s="78"/>
      <c r="G97" s="78"/>
      <c r="H97" s="78"/>
      <c r="I97" s="78"/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  <c r="V97" s="78"/>
      <c r="W97" s="146"/>
      <c r="X97" s="146"/>
      <c r="Y97" s="78"/>
      <c r="Z97" s="78"/>
      <c r="AA97" s="78"/>
      <c r="AB97" s="78"/>
      <c r="AC97" s="78"/>
      <c r="AD97" s="78"/>
      <c r="AE97" s="78"/>
      <c r="AF97" s="78"/>
      <c r="AG97" s="79"/>
      <c r="AH97" s="79"/>
      <c r="AI97" s="78"/>
      <c r="AJ97" s="64"/>
      <c r="AK97" s="65"/>
    </row>
    <row r="98" spans="1:37" x14ac:dyDescent="0.2">
      <c r="A98" s="98" t="str">
        <f>$A$97&amp;" "&amp;"Kutulu"</f>
        <v>Gas Consumption Kutulu</v>
      </c>
      <c r="B98" s="100" t="e">
        <f>(B90-#REF!)*5.175</f>
        <v>#REF!</v>
      </c>
      <c r="C98" s="100">
        <f t="shared" ref="C98:AI103" si="29">(C90-B90)*5.175</f>
        <v>683.1</v>
      </c>
      <c r="D98" s="100">
        <f t="shared" si="29"/>
        <v>299140.875</v>
      </c>
      <c r="E98" s="100">
        <f t="shared" si="29"/>
        <v>196.65</v>
      </c>
      <c r="F98" s="100">
        <f t="shared" si="29"/>
        <v>150.07499999999999</v>
      </c>
      <c r="G98" s="100">
        <f t="shared" si="29"/>
        <v>207</v>
      </c>
      <c r="H98" s="100">
        <f t="shared" si="29"/>
        <v>186.29999999999998</v>
      </c>
      <c r="I98" s="100">
        <f t="shared" si="29"/>
        <v>279.45</v>
      </c>
      <c r="J98" s="100">
        <f t="shared" si="29"/>
        <v>222.52500000000001</v>
      </c>
      <c r="K98" s="100">
        <f t="shared" si="29"/>
        <v>217.35</v>
      </c>
      <c r="L98" s="100">
        <f t="shared" si="29"/>
        <v>150.07499999999999</v>
      </c>
      <c r="M98" s="100">
        <f t="shared" si="29"/>
        <v>139.72499999999999</v>
      </c>
      <c r="N98" s="100">
        <f t="shared" si="29"/>
        <v>217.35</v>
      </c>
      <c r="O98" s="100">
        <f t="shared" si="29"/>
        <v>232.875</v>
      </c>
      <c r="P98" s="100">
        <f t="shared" si="29"/>
        <v>331.2</v>
      </c>
      <c r="Q98" s="100">
        <f t="shared" si="29"/>
        <v>238.04999999999998</v>
      </c>
      <c r="R98" s="100">
        <f t="shared" si="29"/>
        <v>232.875</v>
      </c>
      <c r="S98" s="100">
        <f t="shared" si="29"/>
        <v>217.35</v>
      </c>
      <c r="T98" s="100">
        <f t="shared" si="29"/>
        <v>155.25</v>
      </c>
      <c r="U98" s="100">
        <f t="shared" si="29"/>
        <v>217.35</v>
      </c>
      <c r="V98" s="100">
        <f t="shared" si="29"/>
        <v>196.65</v>
      </c>
      <c r="W98" s="100">
        <f t="shared" si="29"/>
        <v>331.2</v>
      </c>
      <c r="X98" s="100">
        <f t="shared" si="29"/>
        <v>248.39999999999998</v>
      </c>
      <c r="Y98" s="100">
        <f t="shared" si="29"/>
        <v>222.52500000000001</v>
      </c>
      <c r="Z98" s="100">
        <f t="shared" si="29"/>
        <v>207</v>
      </c>
      <c r="AA98" s="100">
        <f t="shared" si="29"/>
        <v>165.6</v>
      </c>
      <c r="AB98" s="100">
        <f t="shared" si="29"/>
        <v>238.04999999999998</v>
      </c>
      <c r="AC98" s="100">
        <f t="shared" si="29"/>
        <v>175.95</v>
      </c>
      <c r="AD98" s="100">
        <f t="shared" si="29"/>
        <v>232.875</v>
      </c>
      <c r="AE98" s="100">
        <f t="shared" si="29"/>
        <v>175.95</v>
      </c>
      <c r="AF98" s="100">
        <f t="shared" si="29"/>
        <v>263.92500000000001</v>
      </c>
      <c r="AG98" s="100">
        <f t="shared" si="29"/>
        <v>175.95</v>
      </c>
      <c r="AH98" s="100">
        <f t="shared" si="29"/>
        <v>160.42499999999998</v>
      </c>
      <c r="AI98" s="100">
        <f t="shared" si="29"/>
        <v>181.125</v>
      </c>
      <c r="AJ98" s="102"/>
      <c r="AK98" s="147"/>
    </row>
    <row r="99" spans="1:37" x14ac:dyDescent="0.2">
      <c r="A99" s="98" t="str">
        <f>$A$97&amp;" "&amp;"Windows"</f>
        <v>Gas Consumption Windows</v>
      </c>
      <c r="B99" s="67" t="e">
        <f>(B91-#REF!)*5.175</f>
        <v>#REF!</v>
      </c>
      <c r="C99" s="67">
        <f t="shared" si="29"/>
        <v>0</v>
      </c>
      <c r="D99" s="100">
        <f t="shared" si="29"/>
        <v>1014.3</v>
      </c>
      <c r="E99" s="100">
        <f t="shared" si="29"/>
        <v>0</v>
      </c>
      <c r="F99" s="100">
        <f t="shared" si="29"/>
        <v>0</v>
      </c>
      <c r="G99" s="100">
        <f t="shared" si="29"/>
        <v>0</v>
      </c>
      <c r="H99" s="100">
        <f t="shared" si="29"/>
        <v>0</v>
      </c>
      <c r="I99" s="100">
        <f t="shared" si="29"/>
        <v>0</v>
      </c>
      <c r="J99" s="100">
        <f t="shared" si="29"/>
        <v>0</v>
      </c>
      <c r="K99" s="100">
        <f t="shared" si="29"/>
        <v>0</v>
      </c>
      <c r="L99" s="100">
        <f t="shared" si="29"/>
        <v>0</v>
      </c>
      <c r="M99" s="100">
        <f t="shared" si="29"/>
        <v>0</v>
      </c>
      <c r="N99" s="100">
        <f t="shared" si="29"/>
        <v>0</v>
      </c>
      <c r="O99" s="100">
        <f t="shared" si="29"/>
        <v>0</v>
      </c>
      <c r="P99" s="100">
        <f t="shared" si="29"/>
        <v>0</v>
      </c>
      <c r="Q99" s="100">
        <f t="shared" si="29"/>
        <v>0</v>
      </c>
      <c r="R99" s="100">
        <f t="shared" si="29"/>
        <v>0</v>
      </c>
      <c r="S99" s="100">
        <f t="shared" si="29"/>
        <v>0</v>
      </c>
      <c r="T99" s="100">
        <f t="shared" si="29"/>
        <v>0</v>
      </c>
      <c r="U99" s="100">
        <f t="shared" si="29"/>
        <v>0</v>
      </c>
      <c r="V99" s="100">
        <f t="shared" si="29"/>
        <v>0</v>
      </c>
      <c r="W99" s="100">
        <f t="shared" si="29"/>
        <v>0</v>
      </c>
      <c r="X99" s="100">
        <f t="shared" si="29"/>
        <v>0</v>
      </c>
      <c r="Y99" s="100">
        <f t="shared" si="29"/>
        <v>0</v>
      </c>
      <c r="Z99" s="100">
        <f t="shared" si="29"/>
        <v>0</v>
      </c>
      <c r="AA99" s="100">
        <f t="shared" si="29"/>
        <v>0</v>
      </c>
      <c r="AB99" s="100">
        <f t="shared" si="29"/>
        <v>0</v>
      </c>
      <c r="AC99" s="100">
        <f t="shared" si="29"/>
        <v>0</v>
      </c>
      <c r="AD99" s="100">
        <f t="shared" si="29"/>
        <v>0</v>
      </c>
      <c r="AE99" s="100">
        <f t="shared" si="29"/>
        <v>921.15</v>
      </c>
      <c r="AF99" s="100">
        <f t="shared" si="29"/>
        <v>0</v>
      </c>
      <c r="AG99" s="100">
        <f t="shared" si="29"/>
        <v>0</v>
      </c>
      <c r="AH99" s="100">
        <f t="shared" si="29"/>
        <v>0</v>
      </c>
      <c r="AI99" s="100">
        <f t="shared" si="29"/>
        <v>-921.15</v>
      </c>
      <c r="AJ99" s="102"/>
      <c r="AK99" s="147"/>
    </row>
    <row r="100" spans="1:37" x14ac:dyDescent="0.2">
      <c r="A100" s="98" t="str">
        <f>$A$97&amp;" "&amp;"190 Kitchen"</f>
        <v>Gas Consumption 190 Kitchen</v>
      </c>
      <c r="B100" s="67" t="e">
        <f>(B92-#REF!)*5.175</f>
        <v>#REF!</v>
      </c>
      <c r="C100" s="67">
        <f t="shared" si="29"/>
        <v>3689.7750000000001</v>
      </c>
      <c r="D100" s="100">
        <f t="shared" si="29"/>
        <v>1637696.0249999999</v>
      </c>
      <c r="E100" s="100">
        <f t="shared" si="29"/>
        <v>1443.825</v>
      </c>
      <c r="F100" s="100">
        <f t="shared" si="29"/>
        <v>1417.95</v>
      </c>
      <c r="G100" s="100">
        <f t="shared" si="29"/>
        <v>1304.0999999999999</v>
      </c>
      <c r="H100" s="100">
        <f t="shared" si="29"/>
        <v>1345.5</v>
      </c>
      <c r="I100" s="100">
        <f t="shared" si="29"/>
        <v>1474.875</v>
      </c>
      <c r="J100" s="100">
        <f t="shared" si="29"/>
        <v>1552.5</v>
      </c>
      <c r="K100" s="100">
        <f t="shared" si="29"/>
        <v>1687.05</v>
      </c>
      <c r="L100" s="100">
        <f t="shared" si="29"/>
        <v>1790.55</v>
      </c>
      <c r="M100" s="100">
        <f t="shared" si="29"/>
        <v>1635.3</v>
      </c>
      <c r="N100" s="100">
        <f t="shared" si="29"/>
        <v>1687.05</v>
      </c>
      <c r="O100" s="100">
        <f t="shared" si="29"/>
        <v>1692.2249999999999</v>
      </c>
      <c r="P100" s="100">
        <f t="shared" si="29"/>
        <v>1562.85</v>
      </c>
      <c r="Q100" s="100">
        <f t="shared" si="29"/>
        <v>1749.1499999999999</v>
      </c>
      <c r="R100" s="100">
        <f t="shared" si="29"/>
        <v>1816.425</v>
      </c>
      <c r="S100" s="100">
        <f t="shared" si="29"/>
        <v>1857.825</v>
      </c>
      <c r="T100" s="100">
        <f t="shared" si="29"/>
        <v>1800.8999999999999</v>
      </c>
      <c r="U100" s="100">
        <f t="shared" si="29"/>
        <v>1645.6499999999999</v>
      </c>
      <c r="V100" s="100">
        <f t="shared" si="29"/>
        <v>1780.2</v>
      </c>
      <c r="W100" s="100">
        <f t="shared" si="29"/>
        <v>1614.6</v>
      </c>
      <c r="X100" s="100">
        <f t="shared" si="29"/>
        <v>1692.2249999999999</v>
      </c>
      <c r="Y100" s="100">
        <f t="shared" si="29"/>
        <v>1826.7749999999999</v>
      </c>
      <c r="Z100" s="100">
        <f t="shared" si="29"/>
        <v>1863</v>
      </c>
      <c r="AA100" s="100">
        <f t="shared" si="29"/>
        <v>1800.8999999999999</v>
      </c>
      <c r="AB100" s="100">
        <f t="shared" si="29"/>
        <v>1831.95</v>
      </c>
      <c r="AC100" s="100">
        <f t="shared" si="29"/>
        <v>1749.1499999999999</v>
      </c>
      <c r="AD100" s="100">
        <f t="shared" si="29"/>
        <v>1790.55</v>
      </c>
      <c r="AE100" s="100">
        <f t="shared" si="29"/>
        <v>1728.45</v>
      </c>
      <c r="AF100" s="100">
        <f t="shared" si="29"/>
        <v>1733.625</v>
      </c>
      <c r="AG100" s="100">
        <f t="shared" si="29"/>
        <v>1878.5249999999999</v>
      </c>
      <c r="AH100" s="100">
        <f t="shared" si="29"/>
        <v>1868.175</v>
      </c>
      <c r="AI100" s="100">
        <f t="shared" si="29"/>
        <v>1749.1499999999999</v>
      </c>
      <c r="AJ100" s="102"/>
      <c r="AK100" s="147"/>
    </row>
    <row r="101" spans="1:37" x14ac:dyDescent="0.2">
      <c r="A101" s="98" t="str">
        <f>$A$97&amp;" "&amp;"Main kitchen"</f>
        <v>Gas Consumption Main kitchen</v>
      </c>
      <c r="B101" s="67" t="e">
        <f>(B93-#REF!)*5.175</f>
        <v>#REF!</v>
      </c>
      <c r="C101" s="67">
        <f t="shared" si="29"/>
        <v>2349.4499999999998</v>
      </c>
      <c r="D101" s="100">
        <f t="shared" si="29"/>
        <v>599528.92499999993</v>
      </c>
      <c r="E101" s="100">
        <f t="shared" si="29"/>
        <v>382.95</v>
      </c>
      <c r="F101" s="100">
        <f t="shared" si="29"/>
        <v>403.65</v>
      </c>
      <c r="G101" s="100">
        <f t="shared" si="29"/>
        <v>212.17499999999998</v>
      </c>
      <c r="H101" s="100">
        <f t="shared" si="29"/>
        <v>326.02499999999998</v>
      </c>
      <c r="I101" s="100">
        <f t="shared" si="29"/>
        <v>947.02499999999998</v>
      </c>
      <c r="J101" s="100">
        <f t="shared" si="29"/>
        <v>533.02499999999998</v>
      </c>
      <c r="K101" s="100">
        <f t="shared" si="29"/>
        <v>486.45</v>
      </c>
      <c r="L101" s="100">
        <f t="shared" si="29"/>
        <v>486.45</v>
      </c>
      <c r="M101" s="100">
        <f t="shared" si="29"/>
        <v>455.4</v>
      </c>
      <c r="N101" s="100">
        <f t="shared" si="29"/>
        <v>372.59999999999997</v>
      </c>
      <c r="O101" s="100">
        <f t="shared" si="29"/>
        <v>351.9</v>
      </c>
      <c r="P101" s="100">
        <f t="shared" si="29"/>
        <v>936.67499999999995</v>
      </c>
      <c r="Q101" s="100">
        <f t="shared" si="29"/>
        <v>952.19999999999993</v>
      </c>
      <c r="R101" s="100">
        <f t="shared" si="29"/>
        <v>517.5</v>
      </c>
      <c r="S101" s="100">
        <f t="shared" si="29"/>
        <v>615.82499999999993</v>
      </c>
      <c r="T101" s="100">
        <f t="shared" si="29"/>
        <v>289.8</v>
      </c>
      <c r="U101" s="100">
        <f t="shared" si="29"/>
        <v>263.92500000000001</v>
      </c>
      <c r="V101" s="100">
        <f t="shared" si="29"/>
        <v>238.04999999999998</v>
      </c>
      <c r="W101" s="100">
        <f t="shared" si="29"/>
        <v>734.85</v>
      </c>
      <c r="X101" s="100">
        <f t="shared" si="29"/>
        <v>476.09999999999997</v>
      </c>
      <c r="Y101" s="100">
        <f t="shared" si="29"/>
        <v>527.85</v>
      </c>
      <c r="Z101" s="100">
        <f t="shared" si="29"/>
        <v>455.4</v>
      </c>
      <c r="AA101" s="100">
        <f t="shared" si="29"/>
        <v>398.47499999999997</v>
      </c>
      <c r="AB101" s="100">
        <f t="shared" si="29"/>
        <v>388.125</v>
      </c>
      <c r="AC101" s="100">
        <f t="shared" si="29"/>
        <v>388.125</v>
      </c>
      <c r="AD101" s="100">
        <f t="shared" si="29"/>
        <v>1045.3499999999999</v>
      </c>
      <c r="AE101" s="100">
        <f t="shared" si="29"/>
        <v>595.125</v>
      </c>
      <c r="AF101" s="100">
        <f t="shared" si="29"/>
        <v>398.47499999999997</v>
      </c>
      <c r="AG101" s="100">
        <f t="shared" si="29"/>
        <v>724.5</v>
      </c>
      <c r="AH101" s="100">
        <f t="shared" si="29"/>
        <v>408.82499999999999</v>
      </c>
      <c r="AI101" s="100">
        <f t="shared" si="29"/>
        <v>326.02499999999998</v>
      </c>
      <c r="AJ101" s="102"/>
      <c r="AK101" s="147"/>
    </row>
    <row r="102" spans="1:37" x14ac:dyDescent="0.2">
      <c r="A102" s="98" t="str">
        <f>$A$97&amp;" "&amp;"Pastry Kitchen"</f>
        <v>Gas Consumption Pastry Kitchen</v>
      </c>
      <c r="B102" s="67" t="e">
        <f>(B94-#REF!)*5.175</f>
        <v>#REF!</v>
      </c>
      <c r="C102" s="67">
        <f t="shared" si="29"/>
        <v>67.274999999999991</v>
      </c>
      <c r="D102" s="100">
        <f t="shared" si="29"/>
        <v>25704.224999999999</v>
      </c>
      <c r="E102" s="100">
        <f t="shared" si="29"/>
        <v>20.7</v>
      </c>
      <c r="F102" s="100">
        <f t="shared" si="29"/>
        <v>20.7</v>
      </c>
      <c r="G102" s="100">
        <f t="shared" si="29"/>
        <v>20.7</v>
      </c>
      <c r="H102" s="100">
        <f t="shared" si="29"/>
        <v>25.875</v>
      </c>
      <c r="I102" s="100">
        <f t="shared" si="29"/>
        <v>20.7</v>
      </c>
      <c r="J102" s="100">
        <f t="shared" si="29"/>
        <v>15.524999999999999</v>
      </c>
      <c r="K102" s="100">
        <f t="shared" si="29"/>
        <v>20.7</v>
      </c>
      <c r="L102" s="100">
        <f t="shared" si="29"/>
        <v>15.524999999999999</v>
      </c>
      <c r="M102" s="100">
        <f t="shared" si="29"/>
        <v>15.524999999999999</v>
      </c>
      <c r="N102" s="100">
        <f t="shared" si="29"/>
        <v>15.524999999999999</v>
      </c>
      <c r="O102" s="100">
        <f t="shared" si="29"/>
        <v>15.524999999999999</v>
      </c>
      <c r="P102" s="100">
        <f t="shared" si="29"/>
        <v>15.524999999999999</v>
      </c>
      <c r="Q102" s="100">
        <f t="shared" si="29"/>
        <v>20.7</v>
      </c>
      <c r="R102" s="100">
        <f t="shared" si="29"/>
        <v>25.875</v>
      </c>
      <c r="S102" s="100">
        <f t="shared" si="29"/>
        <v>5.1749999999999998</v>
      </c>
      <c r="T102" s="100">
        <f t="shared" si="29"/>
        <v>10.35</v>
      </c>
      <c r="U102" s="100">
        <f t="shared" si="29"/>
        <v>10.35</v>
      </c>
      <c r="V102" s="100">
        <f t="shared" si="29"/>
        <v>10.35</v>
      </c>
      <c r="W102" s="100">
        <f t="shared" si="29"/>
        <v>10.35</v>
      </c>
      <c r="X102" s="100">
        <f t="shared" si="29"/>
        <v>10.35</v>
      </c>
      <c r="Y102" s="100">
        <f t="shared" si="29"/>
        <v>10.35</v>
      </c>
      <c r="Z102" s="100">
        <f t="shared" si="29"/>
        <v>15.524999999999999</v>
      </c>
      <c r="AA102" s="100">
        <f t="shared" si="29"/>
        <v>10.35</v>
      </c>
      <c r="AB102" s="100">
        <f t="shared" si="29"/>
        <v>20.7</v>
      </c>
      <c r="AC102" s="100">
        <f t="shared" si="29"/>
        <v>10.35</v>
      </c>
      <c r="AD102" s="100">
        <f t="shared" si="29"/>
        <v>10.35</v>
      </c>
      <c r="AE102" s="100">
        <f t="shared" si="29"/>
        <v>10.35</v>
      </c>
      <c r="AF102" s="100">
        <f t="shared" si="29"/>
        <v>15.524999999999999</v>
      </c>
      <c r="AG102" s="100">
        <f t="shared" si="29"/>
        <v>10.35</v>
      </c>
      <c r="AH102" s="100">
        <f t="shared" si="29"/>
        <v>10.35</v>
      </c>
      <c r="AI102" s="100">
        <f t="shared" si="29"/>
        <v>10.35</v>
      </c>
      <c r="AJ102" s="102"/>
      <c r="AK102" s="147"/>
    </row>
    <row r="103" spans="1:37" ht="15" x14ac:dyDescent="0.2">
      <c r="A103" s="98" t="str">
        <f>$A$97&amp;" "&amp;"JNC Kitchen"</f>
        <v>Gas Consumption JNC Kitchen</v>
      </c>
      <c r="B103" s="67" t="e">
        <f>(B95-#REF!)*5.175</f>
        <v>#REF!</v>
      </c>
      <c r="C103" s="67">
        <f t="shared" si="29"/>
        <v>3058.4249999999997</v>
      </c>
      <c r="D103" s="100">
        <f t="shared" si="29"/>
        <v>-2760013.8</v>
      </c>
      <c r="E103" s="100">
        <f t="shared" si="29"/>
        <v>983.25</v>
      </c>
      <c r="F103" s="100">
        <f t="shared" si="29"/>
        <v>802.125</v>
      </c>
      <c r="G103" s="100">
        <f t="shared" si="29"/>
        <v>0</v>
      </c>
      <c r="H103" s="100">
        <f t="shared" si="29"/>
        <v>0</v>
      </c>
      <c r="I103" s="100">
        <f t="shared" si="29"/>
        <v>760.72500000000002</v>
      </c>
      <c r="J103" s="100">
        <f t="shared" si="29"/>
        <v>791.77499999999998</v>
      </c>
      <c r="K103" s="100">
        <f t="shared" si="29"/>
        <v>864.22500000000002</v>
      </c>
      <c r="L103" s="100">
        <f t="shared" si="29"/>
        <v>1086.75</v>
      </c>
      <c r="M103" s="100">
        <f t="shared" si="29"/>
        <v>1055.7</v>
      </c>
      <c r="N103" s="100">
        <f t="shared" si="29"/>
        <v>0</v>
      </c>
      <c r="O103" s="100">
        <f t="shared" si="29"/>
        <v>0</v>
      </c>
      <c r="P103" s="100">
        <f t="shared" si="29"/>
        <v>988.42499999999995</v>
      </c>
      <c r="Q103" s="100">
        <f t="shared" si="29"/>
        <v>667.57499999999993</v>
      </c>
      <c r="R103" s="100">
        <f t="shared" si="29"/>
        <v>947.02499999999998</v>
      </c>
      <c r="S103" s="100">
        <f t="shared" si="29"/>
        <v>869.4</v>
      </c>
      <c r="T103" s="100">
        <f t="shared" si="29"/>
        <v>921.15</v>
      </c>
      <c r="U103" s="100">
        <f t="shared" si="29"/>
        <v>0</v>
      </c>
      <c r="V103" s="100">
        <f t="shared" si="29"/>
        <v>0</v>
      </c>
      <c r="W103" s="100">
        <f t="shared" si="29"/>
        <v>915.97500000000002</v>
      </c>
      <c r="X103" s="100">
        <f t="shared" si="29"/>
        <v>822.82499999999993</v>
      </c>
      <c r="Y103" s="100">
        <f t="shared" si="29"/>
        <v>729.67499999999995</v>
      </c>
      <c r="Z103" s="100">
        <f t="shared" si="29"/>
        <v>936.67499999999995</v>
      </c>
      <c r="AA103" s="100">
        <f t="shared" si="29"/>
        <v>864.22500000000002</v>
      </c>
      <c r="AB103" s="100">
        <f t="shared" si="29"/>
        <v>0</v>
      </c>
      <c r="AC103" s="100">
        <f t="shared" si="29"/>
        <v>31.049999999999997</v>
      </c>
      <c r="AD103" s="100">
        <f t="shared" si="29"/>
        <v>833.17499999999995</v>
      </c>
      <c r="AE103" s="100">
        <f t="shared" si="29"/>
        <v>667.57499999999993</v>
      </c>
      <c r="AF103" s="100">
        <f t="shared" si="29"/>
        <v>947.02499999999998</v>
      </c>
      <c r="AG103" s="100">
        <f t="shared" si="29"/>
        <v>1066.05</v>
      </c>
      <c r="AH103" s="100">
        <f t="shared" si="29"/>
        <v>993.59999999999991</v>
      </c>
      <c r="AI103" s="100">
        <f t="shared" si="29"/>
        <v>0</v>
      </c>
      <c r="AJ103" s="83" t="s">
        <v>14</v>
      </c>
      <c r="AK103" s="30" t="s">
        <v>15</v>
      </c>
    </row>
    <row r="104" spans="1:37" ht="15.75" x14ac:dyDescent="0.25">
      <c r="A104" s="148" t="s">
        <v>71</v>
      </c>
      <c r="B104" s="149" t="e">
        <f>SUM(B98:B103)</f>
        <v>#REF!</v>
      </c>
      <c r="C104" s="150">
        <f>SUM(C98:C103)</f>
        <v>9848.0249999999996</v>
      </c>
      <c r="D104" s="151">
        <f>SUM(D98:D103)</f>
        <v>-196929.44999999972</v>
      </c>
      <c r="E104" s="151">
        <f>SUM(E98:E103)</f>
        <v>3027.375</v>
      </c>
      <c r="F104" s="151">
        <f t="shared" ref="F104:AG104" si="30">SUM(F98:F103)</f>
        <v>2794.5</v>
      </c>
      <c r="G104" s="151">
        <f t="shared" si="30"/>
        <v>1743.9749999999999</v>
      </c>
      <c r="H104" s="151">
        <f t="shared" si="30"/>
        <v>1883.6999999999998</v>
      </c>
      <c r="I104" s="151">
        <f t="shared" si="30"/>
        <v>3482.7749999999996</v>
      </c>
      <c r="J104" s="151">
        <f t="shared" si="30"/>
        <v>3115.3500000000004</v>
      </c>
      <c r="K104" s="151">
        <f t="shared" si="30"/>
        <v>3275.7749999999996</v>
      </c>
      <c r="L104" s="151">
        <f t="shared" si="30"/>
        <v>3529.35</v>
      </c>
      <c r="M104" s="151">
        <f t="shared" si="30"/>
        <v>3301.6499999999996</v>
      </c>
      <c r="N104" s="151">
        <f t="shared" si="30"/>
        <v>2292.5250000000001</v>
      </c>
      <c r="O104" s="151">
        <f t="shared" si="30"/>
        <v>2292.5250000000001</v>
      </c>
      <c r="P104" s="151">
        <f t="shared" si="30"/>
        <v>3834.6750000000002</v>
      </c>
      <c r="Q104" s="151">
        <f t="shared" si="30"/>
        <v>3627.6749999999993</v>
      </c>
      <c r="R104" s="151">
        <f t="shared" si="30"/>
        <v>3539.7000000000003</v>
      </c>
      <c r="S104" s="151">
        <f t="shared" si="30"/>
        <v>3565.5750000000003</v>
      </c>
      <c r="T104" s="151">
        <f t="shared" si="30"/>
        <v>3177.45</v>
      </c>
      <c r="U104" s="151">
        <f t="shared" si="30"/>
        <v>2137.2749999999996</v>
      </c>
      <c r="V104" s="151">
        <f t="shared" si="30"/>
        <v>2225.25</v>
      </c>
      <c r="W104" s="151">
        <f t="shared" si="30"/>
        <v>3606.9749999999999</v>
      </c>
      <c r="X104" s="151">
        <f t="shared" si="30"/>
        <v>3249.8999999999996</v>
      </c>
      <c r="Y104" s="151">
        <f t="shared" si="30"/>
        <v>3317.1749999999993</v>
      </c>
      <c r="Z104" s="151">
        <f t="shared" si="30"/>
        <v>3477.6000000000004</v>
      </c>
      <c r="AA104" s="151">
        <f t="shared" si="30"/>
        <v>3239.5499999999997</v>
      </c>
      <c r="AB104" s="151">
        <f t="shared" si="30"/>
        <v>2478.8249999999998</v>
      </c>
      <c r="AC104" s="151">
        <f t="shared" si="30"/>
        <v>2354.625</v>
      </c>
      <c r="AD104" s="151">
        <f t="shared" si="30"/>
        <v>3912.2999999999993</v>
      </c>
      <c r="AE104" s="151">
        <f t="shared" si="30"/>
        <v>4098.6000000000004</v>
      </c>
      <c r="AF104" s="151">
        <f t="shared" si="30"/>
        <v>3358.5750000000003</v>
      </c>
      <c r="AG104" s="151">
        <f t="shared" si="30"/>
        <v>3855.375</v>
      </c>
      <c r="AH104" s="151">
        <f>SUM(AH98:AH103)</f>
        <v>3441.3749999999995</v>
      </c>
      <c r="AI104" s="151">
        <f>SUM(AI98:AI103)</f>
        <v>1345.4999999999998</v>
      </c>
      <c r="AJ104" s="88">
        <f>SUM(E104:AI104)</f>
        <v>94583.475000000006</v>
      </c>
      <c r="AK104" s="89">
        <f>AJ104/31</f>
        <v>3051.0798387096775</v>
      </c>
    </row>
    <row r="105" spans="1:37" ht="15.75" x14ac:dyDescent="0.25">
      <c r="A105" s="90" t="s">
        <v>72</v>
      </c>
      <c r="B105" s="91">
        <v>3878</v>
      </c>
      <c r="C105" s="91">
        <v>3878</v>
      </c>
      <c r="D105" s="91">
        <v>4998</v>
      </c>
      <c r="E105" s="91">
        <v>4757</v>
      </c>
      <c r="F105" s="91">
        <v>4757</v>
      </c>
      <c r="G105" s="91">
        <v>4757</v>
      </c>
      <c r="H105" s="91">
        <v>4757</v>
      </c>
      <c r="I105" s="91">
        <v>4757</v>
      </c>
      <c r="J105" s="91">
        <v>4757</v>
      </c>
      <c r="K105" s="91">
        <v>4757</v>
      </c>
      <c r="L105" s="91">
        <v>4757</v>
      </c>
      <c r="M105" s="91">
        <v>4757</v>
      </c>
      <c r="N105" s="91">
        <v>4757</v>
      </c>
      <c r="O105" s="91">
        <v>4757</v>
      </c>
      <c r="P105" s="91">
        <v>4757</v>
      </c>
      <c r="Q105" s="91">
        <v>4757</v>
      </c>
      <c r="R105" s="91">
        <v>4757</v>
      </c>
      <c r="S105" s="91">
        <v>4757</v>
      </c>
      <c r="T105" s="91">
        <v>4757</v>
      </c>
      <c r="U105" s="91">
        <v>4757</v>
      </c>
      <c r="V105" s="91">
        <v>4757</v>
      </c>
      <c r="W105" s="91">
        <v>4757</v>
      </c>
      <c r="X105" s="91">
        <v>4757</v>
      </c>
      <c r="Y105" s="91">
        <v>4757</v>
      </c>
      <c r="Z105" s="91">
        <v>4757</v>
      </c>
      <c r="AA105" s="91">
        <v>4757</v>
      </c>
      <c r="AB105" s="91">
        <v>4757</v>
      </c>
      <c r="AC105" s="91">
        <v>4757</v>
      </c>
      <c r="AD105" s="91">
        <v>4757</v>
      </c>
      <c r="AE105" s="91">
        <v>4757</v>
      </c>
      <c r="AF105" s="91">
        <v>4757</v>
      </c>
      <c r="AG105" s="91">
        <v>4757</v>
      </c>
      <c r="AH105" s="91">
        <v>4757</v>
      </c>
      <c r="AI105" s="91">
        <v>4757</v>
      </c>
      <c r="AJ105" s="152">
        <f>SUM(E105:AI105)</f>
        <v>147467</v>
      </c>
      <c r="AK105" s="153">
        <f>AJ105/31</f>
        <v>4757</v>
      </c>
    </row>
    <row r="106" spans="1:37" x14ac:dyDescent="0.2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  <c r="AF106" s="154"/>
      <c r="AG106" s="155"/>
      <c r="AH106" s="155"/>
      <c r="AI106" s="154"/>
      <c r="AJ106" s="64"/>
      <c r="AK106" s="81"/>
    </row>
    <row r="107" spans="1:37" x14ac:dyDescent="0.2">
      <c r="A107" s="142" t="s">
        <v>73</v>
      </c>
      <c r="B107" s="97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  <c r="V107" s="78"/>
      <c r="W107" s="78"/>
      <c r="X107" s="78"/>
      <c r="Y107" s="78"/>
      <c r="Z107" s="78"/>
      <c r="AA107" s="78"/>
      <c r="AB107" s="78"/>
      <c r="AC107" s="78"/>
      <c r="AD107" s="78"/>
      <c r="AE107" s="78"/>
      <c r="AF107" s="78"/>
      <c r="AG107" s="79"/>
      <c r="AH107" s="79"/>
      <c r="AI107" s="78"/>
      <c r="AJ107" s="64"/>
      <c r="AK107" s="65"/>
    </row>
    <row r="108" spans="1:37" x14ac:dyDescent="0.2">
      <c r="A108" s="156" t="s">
        <v>74</v>
      </c>
      <c r="B108" s="100">
        <v>58670</v>
      </c>
      <c r="C108" s="100">
        <v>59240</v>
      </c>
      <c r="D108" s="100">
        <v>248990</v>
      </c>
      <c r="E108" s="100">
        <v>249080</v>
      </c>
      <c r="F108" s="99">
        <v>249160</v>
      </c>
      <c r="G108" s="67">
        <v>249230</v>
      </c>
      <c r="H108" s="99">
        <v>249310</v>
      </c>
      <c r="I108" s="100">
        <v>249410</v>
      </c>
      <c r="J108" s="100">
        <v>249530</v>
      </c>
      <c r="K108" s="100">
        <v>249640</v>
      </c>
      <c r="L108" s="100">
        <v>249780</v>
      </c>
      <c r="M108" s="100">
        <v>249900</v>
      </c>
      <c r="N108" s="100">
        <v>250020</v>
      </c>
      <c r="O108" s="100">
        <v>250110</v>
      </c>
      <c r="P108" s="100">
        <v>250230</v>
      </c>
      <c r="Q108" s="100">
        <v>250340</v>
      </c>
      <c r="R108" s="100">
        <v>250450</v>
      </c>
      <c r="S108" s="100">
        <v>250560</v>
      </c>
      <c r="T108" s="100">
        <v>250670</v>
      </c>
      <c r="U108" s="100">
        <v>250750</v>
      </c>
      <c r="V108" s="100">
        <v>250820</v>
      </c>
      <c r="W108" s="99">
        <v>250900</v>
      </c>
      <c r="X108" s="100">
        <v>250990</v>
      </c>
      <c r="Y108" s="100">
        <v>251110</v>
      </c>
      <c r="Z108" s="100">
        <v>251240</v>
      </c>
      <c r="AA108" s="100">
        <v>251360</v>
      </c>
      <c r="AB108" s="100">
        <v>251470</v>
      </c>
      <c r="AC108" s="100">
        <v>251550</v>
      </c>
      <c r="AD108" s="100">
        <v>251680</v>
      </c>
      <c r="AE108" s="100">
        <v>251880</v>
      </c>
      <c r="AF108" s="100">
        <v>251990</v>
      </c>
      <c r="AG108" s="101">
        <v>252130</v>
      </c>
      <c r="AH108" s="101">
        <v>252240</v>
      </c>
      <c r="AI108" s="100">
        <v>252340</v>
      </c>
      <c r="AJ108" s="116"/>
      <c r="AK108" s="65"/>
    </row>
    <row r="109" spans="1:37" x14ac:dyDescent="0.2">
      <c r="A109" s="157" t="s">
        <v>75</v>
      </c>
      <c r="B109" s="71">
        <v>4740</v>
      </c>
      <c r="C109" s="71">
        <v>4783</v>
      </c>
      <c r="D109" s="71">
        <v>24969</v>
      </c>
      <c r="E109" s="71">
        <v>24985</v>
      </c>
      <c r="F109" s="72">
        <v>25005</v>
      </c>
      <c r="G109" s="67">
        <v>25029</v>
      </c>
      <c r="H109" s="72">
        <v>25050</v>
      </c>
      <c r="I109" s="71">
        <v>25072</v>
      </c>
      <c r="J109" s="71">
        <v>25096</v>
      </c>
      <c r="K109" s="71">
        <v>25120</v>
      </c>
      <c r="L109" s="71">
        <v>25140</v>
      </c>
      <c r="M109" s="71">
        <v>25162</v>
      </c>
      <c r="N109" s="71">
        <v>25187</v>
      </c>
      <c r="O109" s="71">
        <v>25207</v>
      </c>
      <c r="P109" s="71">
        <v>25226</v>
      </c>
      <c r="Q109" s="71">
        <v>25247</v>
      </c>
      <c r="R109" s="71">
        <v>25269</v>
      </c>
      <c r="S109" s="71">
        <v>25293</v>
      </c>
      <c r="T109" s="71">
        <v>25312</v>
      </c>
      <c r="U109" s="71">
        <v>25334</v>
      </c>
      <c r="V109" s="71">
        <v>25356</v>
      </c>
      <c r="W109" s="72">
        <v>25380</v>
      </c>
      <c r="X109" s="71">
        <v>25402</v>
      </c>
      <c r="Y109" s="71">
        <v>25422</v>
      </c>
      <c r="Z109" s="71">
        <v>25445</v>
      </c>
      <c r="AA109" s="71">
        <v>25469</v>
      </c>
      <c r="AB109" s="71">
        <v>25491</v>
      </c>
      <c r="AC109" s="71">
        <v>25514</v>
      </c>
      <c r="AD109" s="71">
        <v>25535</v>
      </c>
      <c r="AE109" s="71">
        <v>25555</v>
      </c>
      <c r="AF109" s="71">
        <v>25573</v>
      </c>
      <c r="AG109" s="73">
        <v>25594</v>
      </c>
      <c r="AH109" s="73">
        <v>25609</v>
      </c>
      <c r="AI109" s="71">
        <v>25639</v>
      </c>
      <c r="AJ109" s="64"/>
      <c r="AK109" s="65"/>
    </row>
    <row r="110" spans="1:37" x14ac:dyDescent="0.2">
      <c r="A110" s="78"/>
      <c r="B110" s="97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  <c r="V110" s="78"/>
      <c r="W110" s="78"/>
      <c r="X110" s="78"/>
      <c r="Y110" s="78"/>
      <c r="Z110" s="78"/>
      <c r="AA110" s="158"/>
      <c r="AB110" s="78"/>
      <c r="AC110" s="78"/>
      <c r="AD110" s="78"/>
      <c r="AE110" s="78"/>
      <c r="AF110" s="78"/>
      <c r="AG110" s="79"/>
      <c r="AH110" s="79"/>
      <c r="AI110" s="78"/>
      <c r="AJ110" s="64"/>
      <c r="AK110" s="65"/>
    </row>
    <row r="111" spans="1:37" ht="15.75" x14ac:dyDescent="0.25">
      <c r="A111" s="159" t="s">
        <v>76</v>
      </c>
      <c r="B111" s="97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  <c r="V111" s="78"/>
      <c r="W111" s="78"/>
      <c r="X111" s="78"/>
      <c r="Y111" s="78"/>
      <c r="Z111" s="78"/>
      <c r="AA111" s="78"/>
      <c r="AB111" s="78"/>
      <c r="AC111" s="78"/>
      <c r="AD111" s="78"/>
      <c r="AE111" s="78"/>
      <c r="AF111" s="78"/>
      <c r="AG111" s="79"/>
      <c r="AH111" s="79"/>
      <c r="AI111" s="78"/>
      <c r="AJ111" s="64"/>
      <c r="AK111" s="65"/>
    </row>
    <row r="112" spans="1:37" x14ac:dyDescent="0.2">
      <c r="A112" s="98" t="s">
        <v>77</v>
      </c>
      <c r="B112" s="160">
        <f>B108-'[1]Dec 2016'!$AF$103</f>
        <v>-925170</v>
      </c>
      <c r="C112" s="161">
        <f>C108-B108</f>
        <v>570</v>
      </c>
      <c r="D112" s="160">
        <f t="shared" ref="D112:E113" si="31">D108-C108</f>
        <v>189750</v>
      </c>
      <c r="E112" s="160">
        <f t="shared" si="31"/>
        <v>90</v>
      </c>
      <c r="F112" s="160">
        <f>F108-E108</f>
        <v>80</v>
      </c>
      <c r="G112" s="160">
        <f t="shared" ref="G112:AI113" si="32">G108-F108</f>
        <v>70</v>
      </c>
      <c r="H112" s="160">
        <f t="shared" si="32"/>
        <v>80</v>
      </c>
      <c r="I112" s="160">
        <f t="shared" si="32"/>
        <v>100</v>
      </c>
      <c r="J112" s="160">
        <f t="shared" si="32"/>
        <v>120</v>
      </c>
      <c r="K112" s="160">
        <f t="shared" si="32"/>
        <v>110</v>
      </c>
      <c r="L112" s="160">
        <f t="shared" si="32"/>
        <v>140</v>
      </c>
      <c r="M112" s="160">
        <f t="shared" si="32"/>
        <v>120</v>
      </c>
      <c r="N112" s="160">
        <f t="shared" si="32"/>
        <v>120</v>
      </c>
      <c r="O112" s="160">
        <f t="shared" si="32"/>
        <v>90</v>
      </c>
      <c r="P112" s="160">
        <f t="shared" si="32"/>
        <v>120</v>
      </c>
      <c r="Q112" s="160">
        <f t="shared" si="32"/>
        <v>110</v>
      </c>
      <c r="R112" s="160">
        <f t="shared" si="32"/>
        <v>110</v>
      </c>
      <c r="S112" s="160">
        <f t="shared" si="32"/>
        <v>110</v>
      </c>
      <c r="T112" s="160">
        <f t="shared" si="32"/>
        <v>110</v>
      </c>
      <c r="U112" s="160">
        <f t="shared" si="32"/>
        <v>80</v>
      </c>
      <c r="V112" s="160">
        <f t="shared" si="32"/>
        <v>70</v>
      </c>
      <c r="W112" s="160">
        <f t="shared" si="32"/>
        <v>80</v>
      </c>
      <c r="X112" s="160">
        <f t="shared" si="32"/>
        <v>90</v>
      </c>
      <c r="Y112" s="160">
        <f t="shared" si="32"/>
        <v>120</v>
      </c>
      <c r="Z112" s="160">
        <f t="shared" si="32"/>
        <v>130</v>
      </c>
      <c r="AA112" s="160">
        <f t="shared" si="32"/>
        <v>120</v>
      </c>
      <c r="AB112" s="160">
        <f t="shared" si="32"/>
        <v>110</v>
      </c>
      <c r="AC112" s="160">
        <f t="shared" si="32"/>
        <v>80</v>
      </c>
      <c r="AD112" s="160">
        <f t="shared" si="32"/>
        <v>130</v>
      </c>
      <c r="AE112" s="160">
        <f t="shared" si="32"/>
        <v>200</v>
      </c>
      <c r="AF112" s="160">
        <f t="shared" si="32"/>
        <v>110</v>
      </c>
      <c r="AG112" s="160">
        <f t="shared" si="32"/>
        <v>140</v>
      </c>
      <c r="AH112" s="160">
        <f t="shared" si="32"/>
        <v>110</v>
      </c>
      <c r="AI112" s="160">
        <f t="shared" si="32"/>
        <v>100</v>
      </c>
      <c r="AJ112" s="102"/>
      <c r="AK112" s="65"/>
    </row>
    <row r="113" spans="1:37" ht="15.75" thickBot="1" x14ac:dyDescent="0.25">
      <c r="A113" s="162" t="s">
        <v>75</v>
      </c>
      <c r="B113" s="121">
        <f>B109-'[1]Dec 2016'!$AF$103</f>
        <v>-979100</v>
      </c>
      <c r="C113" s="120">
        <f>C109-B109</f>
        <v>43</v>
      </c>
      <c r="D113" s="160">
        <f t="shared" si="31"/>
        <v>20186</v>
      </c>
      <c r="E113" s="160">
        <f t="shared" si="31"/>
        <v>16</v>
      </c>
      <c r="F113" s="160">
        <f>F109-E109</f>
        <v>20</v>
      </c>
      <c r="G113" s="160">
        <f t="shared" si="32"/>
        <v>24</v>
      </c>
      <c r="H113" s="160">
        <f t="shared" si="32"/>
        <v>21</v>
      </c>
      <c r="I113" s="160">
        <f t="shared" si="32"/>
        <v>22</v>
      </c>
      <c r="J113" s="160">
        <f t="shared" si="32"/>
        <v>24</v>
      </c>
      <c r="K113" s="160">
        <f t="shared" si="32"/>
        <v>24</v>
      </c>
      <c r="L113" s="160">
        <f t="shared" si="32"/>
        <v>20</v>
      </c>
      <c r="M113" s="160">
        <f t="shared" si="32"/>
        <v>22</v>
      </c>
      <c r="N113" s="160">
        <f t="shared" si="32"/>
        <v>25</v>
      </c>
      <c r="O113" s="160">
        <f t="shared" si="32"/>
        <v>20</v>
      </c>
      <c r="P113" s="160">
        <f t="shared" si="32"/>
        <v>19</v>
      </c>
      <c r="Q113" s="160">
        <f t="shared" si="32"/>
        <v>21</v>
      </c>
      <c r="R113" s="160">
        <f t="shared" si="32"/>
        <v>22</v>
      </c>
      <c r="S113" s="160">
        <f t="shared" si="32"/>
        <v>24</v>
      </c>
      <c r="T113" s="160">
        <f t="shared" si="32"/>
        <v>19</v>
      </c>
      <c r="U113" s="160">
        <f t="shared" si="32"/>
        <v>22</v>
      </c>
      <c r="V113" s="160">
        <f t="shared" si="32"/>
        <v>22</v>
      </c>
      <c r="W113" s="160">
        <f t="shared" si="32"/>
        <v>24</v>
      </c>
      <c r="X113" s="160">
        <f t="shared" si="32"/>
        <v>22</v>
      </c>
      <c r="Y113" s="160">
        <f t="shared" si="32"/>
        <v>20</v>
      </c>
      <c r="Z113" s="160">
        <f t="shared" si="32"/>
        <v>23</v>
      </c>
      <c r="AA113" s="160">
        <f t="shared" si="32"/>
        <v>24</v>
      </c>
      <c r="AB113" s="160">
        <f t="shared" si="32"/>
        <v>22</v>
      </c>
      <c r="AC113" s="160">
        <f t="shared" si="32"/>
        <v>23</v>
      </c>
      <c r="AD113" s="160">
        <f t="shared" si="32"/>
        <v>21</v>
      </c>
      <c r="AE113" s="160">
        <f t="shared" si="32"/>
        <v>20</v>
      </c>
      <c r="AF113" s="160">
        <f t="shared" si="32"/>
        <v>18</v>
      </c>
      <c r="AG113" s="160">
        <f t="shared" si="32"/>
        <v>21</v>
      </c>
      <c r="AH113" s="160">
        <f t="shared" si="32"/>
        <v>15</v>
      </c>
      <c r="AI113" s="160">
        <f t="shared" si="32"/>
        <v>30</v>
      </c>
      <c r="AJ113" s="83" t="s">
        <v>14</v>
      </c>
      <c r="AK113" s="30" t="s">
        <v>15</v>
      </c>
    </row>
    <row r="114" spans="1:37" ht="17.25" thickTop="1" thickBot="1" x14ac:dyDescent="0.3">
      <c r="A114" s="163" t="s">
        <v>78</v>
      </c>
      <c r="B114" s="164">
        <f>SUM(B112:B113)</f>
        <v>-1904270</v>
      </c>
      <c r="C114" s="165">
        <f>SUM(C112:C113)</f>
        <v>613</v>
      </c>
      <c r="D114" s="166">
        <f>SUM(D112:D113)</f>
        <v>209936</v>
      </c>
      <c r="E114" s="166">
        <f>SUM(E112:E113)</f>
        <v>106</v>
      </c>
      <c r="F114" s="166">
        <f t="shared" ref="F114:AI114" si="33">SUM(F112:F113)</f>
        <v>100</v>
      </c>
      <c r="G114" s="166">
        <f t="shared" si="33"/>
        <v>94</v>
      </c>
      <c r="H114" s="166">
        <f t="shared" si="33"/>
        <v>101</v>
      </c>
      <c r="I114" s="166">
        <f t="shared" si="33"/>
        <v>122</v>
      </c>
      <c r="J114" s="166">
        <f t="shared" si="33"/>
        <v>144</v>
      </c>
      <c r="K114" s="166">
        <f t="shared" si="33"/>
        <v>134</v>
      </c>
      <c r="L114" s="166">
        <f t="shared" si="33"/>
        <v>160</v>
      </c>
      <c r="M114" s="166">
        <f t="shared" si="33"/>
        <v>142</v>
      </c>
      <c r="N114" s="166">
        <f t="shared" si="33"/>
        <v>145</v>
      </c>
      <c r="O114" s="166">
        <f t="shared" si="33"/>
        <v>110</v>
      </c>
      <c r="P114" s="166">
        <f t="shared" si="33"/>
        <v>139</v>
      </c>
      <c r="Q114" s="166">
        <f t="shared" si="33"/>
        <v>131</v>
      </c>
      <c r="R114" s="166">
        <f t="shared" si="33"/>
        <v>132</v>
      </c>
      <c r="S114" s="166">
        <f t="shared" si="33"/>
        <v>134</v>
      </c>
      <c r="T114" s="166">
        <f t="shared" si="33"/>
        <v>129</v>
      </c>
      <c r="U114" s="166">
        <f t="shared" si="33"/>
        <v>102</v>
      </c>
      <c r="V114" s="166">
        <f t="shared" si="33"/>
        <v>92</v>
      </c>
      <c r="W114" s="166">
        <f t="shared" si="33"/>
        <v>104</v>
      </c>
      <c r="X114" s="166">
        <f t="shared" si="33"/>
        <v>112</v>
      </c>
      <c r="Y114" s="166">
        <f t="shared" si="33"/>
        <v>140</v>
      </c>
      <c r="Z114" s="166">
        <f t="shared" si="33"/>
        <v>153</v>
      </c>
      <c r="AA114" s="166">
        <f t="shared" si="33"/>
        <v>144</v>
      </c>
      <c r="AB114" s="166">
        <f t="shared" si="33"/>
        <v>132</v>
      </c>
      <c r="AC114" s="166">
        <f t="shared" si="33"/>
        <v>103</v>
      </c>
      <c r="AD114" s="166">
        <f t="shared" si="33"/>
        <v>151</v>
      </c>
      <c r="AE114" s="166">
        <f t="shared" si="33"/>
        <v>220</v>
      </c>
      <c r="AF114" s="166">
        <f t="shared" si="33"/>
        <v>128</v>
      </c>
      <c r="AG114" s="166">
        <f t="shared" si="33"/>
        <v>161</v>
      </c>
      <c r="AH114" s="166">
        <f>SUM(AH112:AH113)</f>
        <v>125</v>
      </c>
      <c r="AI114" s="166">
        <f t="shared" si="33"/>
        <v>130</v>
      </c>
      <c r="AJ114" s="88">
        <f>SUM(E114:AI114)</f>
        <v>4020</v>
      </c>
      <c r="AK114" s="89">
        <f>AJ114/31</f>
        <v>129.67741935483872</v>
      </c>
    </row>
    <row r="115" spans="1:37" ht="16.5" thickTop="1" x14ac:dyDescent="0.25">
      <c r="A115" s="167" t="s">
        <v>79</v>
      </c>
      <c r="B115" s="168">
        <v>328</v>
      </c>
      <c r="C115" s="168">
        <v>328</v>
      </c>
      <c r="D115" s="169">
        <v>356</v>
      </c>
      <c r="E115" s="169">
        <v>373</v>
      </c>
      <c r="F115" s="169">
        <v>373</v>
      </c>
      <c r="G115" s="169">
        <v>373</v>
      </c>
      <c r="H115" s="169">
        <v>373</v>
      </c>
      <c r="I115" s="169">
        <v>373</v>
      </c>
      <c r="J115" s="169">
        <v>373</v>
      </c>
      <c r="K115" s="169">
        <v>373</v>
      </c>
      <c r="L115" s="169">
        <v>373</v>
      </c>
      <c r="M115" s="169">
        <v>373</v>
      </c>
      <c r="N115" s="169">
        <v>373</v>
      </c>
      <c r="O115" s="169">
        <v>373</v>
      </c>
      <c r="P115" s="169">
        <v>373</v>
      </c>
      <c r="Q115" s="169">
        <v>373</v>
      </c>
      <c r="R115" s="169">
        <v>373</v>
      </c>
      <c r="S115" s="169">
        <v>373</v>
      </c>
      <c r="T115" s="169">
        <v>373</v>
      </c>
      <c r="U115" s="169">
        <v>373</v>
      </c>
      <c r="V115" s="169">
        <v>373</v>
      </c>
      <c r="W115" s="169">
        <v>373</v>
      </c>
      <c r="X115" s="169">
        <v>373</v>
      </c>
      <c r="Y115" s="169">
        <v>373</v>
      </c>
      <c r="Z115" s="169">
        <v>373</v>
      </c>
      <c r="AA115" s="169">
        <v>373</v>
      </c>
      <c r="AB115" s="169">
        <v>373</v>
      </c>
      <c r="AC115" s="169">
        <v>373</v>
      </c>
      <c r="AD115" s="169">
        <v>373</v>
      </c>
      <c r="AE115" s="169">
        <v>373</v>
      </c>
      <c r="AF115" s="169">
        <v>373</v>
      </c>
      <c r="AG115" s="169">
        <v>373</v>
      </c>
      <c r="AH115" s="169">
        <v>373</v>
      </c>
      <c r="AI115" s="169">
        <v>373</v>
      </c>
      <c r="AJ115" s="170">
        <f>SUM(E115:AI115)</f>
        <v>11563</v>
      </c>
      <c r="AK115" s="170">
        <f>AJ115/31</f>
        <v>373</v>
      </c>
    </row>
    <row r="116" spans="1:37" ht="15" thickBot="1" x14ac:dyDescent="0.25">
      <c r="A116" s="65"/>
      <c r="B116" s="60"/>
      <c r="C116" s="65"/>
      <c r="D116" s="76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171"/>
      <c r="S116" s="65"/>
      <c r="T116" s="65"/>
      <c r="U116" s="65"/>
      <c r="V116" s="65"/>
      <c r="W116" s="65"/>
      <c r="X116" s="65"/>
      <c r="Y116" s="65"/>
      <c r="Z116" s="65"/>
      <c r="AA116" s="65"/>
      <c r="AB116" s="65"/>
      <c r="AC116" s="65"/>
      <c r="AD116" s="65"/>
      <c r="AE116" s="65"/>
      <c r="AF116" s="65"/>
      <c r="AG116" s="65"/>
      <c r="AH116" s="65"/>
      <c r="AI116" s="76"/>
      <c r="AJ116" s="64"/>
      <c r="AK116" s="81"/>
    </row>
    <row r="117" spans="1:37" ht="15" thickBot="1" x14ac:dyDescent="0.25">
      <c r="A117" s="172" t="s">
        <v>80</v>
      </c>
      <c r="B117" s="60"/>
      <c r="C117" s="65"/>
      <c r="D117" s="76"/>
      <c r="E117" s="65"/>
      <c r="F117" s="65"/>
      <c r="G117" s="65"/>
      <c r="H117" s="65"/>
      <c r="I117" s="65"/>
      <c r="J117" s="65"/>
      <c r="K117" s="65"/>
      <c r="L117" s="65"/>
      <c r="M117" s="173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  <c r="AB117" s="65"/>
      <c r="AC117" s="65"/>
      <c r="AD117" s="65"/>
      <c r="AE117" s="65"/>
      <c r="AF117" s="65"/>
      <c r="AG117" s="65"/>
      <c r="AH117" s="65"/>
      <c r="AI117" s="76"/>
      <c r="AJ117" s="64"/>
      <c r="AK117" s="65"/>
    </row>
    <row r="118" spans="1:37" x14ac:dyDescent="0.2">
      <c r="A118" s="156" t="s">
        <v>77</v>
      </c>
      <c r="B118" s="120">
        <v>85086</v>
      </c>
      <c r="C118" s="120">
        <v>85086</v>
      </c>
      <c r="D118" s="120">
        <v>32573</v>
      </c>
      <c r="E118" s="120">
        <v>32630</v>
      </c>
      <c r="F118" s="120">
        <v>32677</v>
      </c>
      <c r="G118" s="120">
        <v>32727</v>
      </c>
      <c r="H118" s="120">
        <v>32761</v>
      </c>
      <c r="I118" s="120">
        <v>32807</v>
      </c>
      <c r="J118" s="120">
        <v>32868</v>
      </c>
      <c r="K118" s="120">
        <v>32919</v>
      </c>
      <c r="L118" s="120">
        <v>32970</v>
      </c>
      <c r="M118" s="120">
        <v>33034</v>
      </c>
      <c r="N118" s="120">
        <v>33087</v>
      </c>
      <c r="O118" s="120">
        <v>33154</v>
      </c>
      <c r="P118" s="120">
        <v>33199</v>
      </c>
      <c r="Q118" s="120">
        <v>33245</v>
      </c>
      <c r="R118" s="120">
        <v>33288</v>
      </c>
      <c r="S118" s="120">
        <v>33336</v>
      </c>
      <c r="T118" s="120">
        <v>33381</v>
      </c>
      <c r="U118" s="120">
        <v>33415</v>
      </c>
      <c r="V118" s="120">
        <v>33457</v>
      </c>
      <c r="W118" s="120">
        <v>33502</v>
      </c>
      <c r="X118" s="120">
        <v>33548</v>
      </c>
      <c r="Y118" s="120">
        <v>33615</v>
      </c>
      <c r="Z118" s="120">
        <v>33672</v>
      </c>
      <c r="AA118" s="120">
        <v>33703</v>
      </c>
      <c r="AB118" s="120">
        <v>33747</v>
      </c>
      <c r="AC118" s="120">
        <v>33813</v>
      </c>
      <c r="AD118" s="120">
        <v>33859</v>
      </c>
      <c r="AE118" s="120">
        <v>33904</v>
      </c>
      <c r="AF118" s="120">
        <v>33955</v>
      </c>
      <c r="AG118" s="123">
        <v>34001</v>
      </c>
      <c r="AH118" s="123">
        <v>34051</v>
      </c>
      <c r="AI118" s="120">
        <v>34107</v>
      </c>
      <c r="AJ118" s="64"/>
      <c r="AK118" s="65"/>
    </row>
    <row r="119" spans="1:37" ht="15" thickBot="1" x14ac:dyDescent="0.25">
      <c r="A119" s="174" t="s">
        <v>75</v>
      </c>
      <c r="B119" s="120">
        <v>2056</v>
      </c>
      <c r="C119" s="120">
        <v>2056</v>
      </c>
      <c r="D119" s="120">
        <v>18304</v>
      </c>
      <c r="E119" s="120">
        <v>18307</v>
      </c>
      <c r="F119" s="120">
        <v>18327</v>
      </c>
      <c r="G119" s="120">
        <v>18340</v>
      </c>
      <c r="H119" s="120">
        <v>18351</v>
      </c>
      <c r="I119" s="120">
        <v>18367</v>
      </c>
      <c r="J119" s="120">
        <v>18373</v>
      </c>
      <c r="K119" s="120">
        <v>18384</v>
      </c>
      <c r="L119" s="120">
        <v>18394</v>
      </c>
      <c r="M119" s="120">
        <v>18405</v>
      </c>
      <c r="N119" s="120">
        <v>18417</v>
      </c>
      <c r="O119" s="120">
        <v>18428</v>
      </c>
      <c r="P119" s="120">
        <v>18443</v>
      </c>
      <c r="Q119" s="120">
        <v>18454</v>
      </c>
      <c r="R119" s="120">
        <v>18465</v>
      </c>
      <c r="S119" s="120">
        <v>18476</v>
      </c>
      <c r="T119" s="120">
        <v>18487</v>
      </c>
      <c r="U119" s="120">
        <v>18499</v>
      </c>
      <c r="V119" s="120">
        <v>18510</v>
      </c>
      <c r="W119" s="120">
        <v>18522</v>
      </c>
      <c r="X119" s="120">
        <v>18535</v>
      </c>
      <c r="Y119" s="120">
        <v>18549</v>
      </c>
      <c r="Z119" s="120">
        <v>18564</v>
      </c>
      <c r="AA119" s="120">
        <v>18576</v>
      </c>
      <c r="AB119" s="120">
        <v>18589</v>
      </c>
      <c r="AC119" s="120">
        <v>18600</v>
      </c>
      <c r="AD119" s="120">
        <v>18617</v>
      </c>
      <c r="AE119" s="120">
        <v>18629</v>
      </c>
      <c r="AF119" s="120">
        <v>18643</v>
      </c>
      <c r="AG119" s="123">
        <v>18658</v>
      </c>
      <c r="AH119" s="123">
        <v>18671</v>
      </c>
      <c r="AI119" s="120">
        <v>18683</v>
      </c>
      <c r="AJ119" s="64"/>
      <c r="AK119" s="65"/>
    </row>
    <row r="120" spans="1:37" ht="15" thickTop="1" x14ac:dyDescent="0.2">
      <c r="A120" s="175"/>
      <c r="B120" s="176"/>
      <c r="C120" s="176"/>
      <c r="D120" s="176"/>
      <c r="E120" s="176"/>
      <c r="F120" s="176"/>
      <c r="G120" s="141"/>
      <c r="H120" s="176"/>
      <c r="I120" s="176"/>
      <c r="J120" s="176"/>
      <c r="K120" s="176"/>
      <c r="L120" s="176"/>
      <c r="M120" s="176"/>
      <c r="N120" s="176"/>
      <c r="O120" s="176"/>
      <c r="P120" s="58"/>
      <c r="Q120" s="176"/>
      <c r="R120" s="176"/>
      <c r="S120" s="176"/>
      <c r="T120" s="176"/>
      <c r="U120" s="176"/>
      <c r="V120" s="176"/>
      <c r="W120" s="176"/>
      <c r="X120" s="176"/>
      <c r="Y120" s="176"/>
      <c r="Z120" s="176"/>
      <c r="AA120" s="176"/>
      <c r="AB120" s="176"/>
      <c r="AC120" s="176"/>
      <c r="AD120" s="176"/>
      <c r="AE120" s="176"/>
      <c r="AF120" s="176"/>
      <c r="AG120" s="177"/>
      <c r="AH120" s="177"/>
      <c r="AI120" s="176"/>
      <c r="AJ120" s="64"/>
      <c r="AK120" s="65"/>
    </row>
    <row r="121" spans="1:37" x14ac:dyDescent="0.2">
      <c r="A121" s="78"/>
      <c r="B121" s="97"/>
      <c r="C121" s="78"/>
      <c r="D121" s="78"/>
      <c r="E121" s="78"/>
      <c r="F121" s="78"/>
      <c r="G121" s="78"/>
      <c r="H121" s="78"/>
      <c r="I121" s="78"/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  <c r="V121" s="78"/>
      <c r="W121" s="78"/>
      <c r="X121" s="78"/>
      <c r="Y121" s="78"/>
      <c r="Z121" s="78"/>
      <c r="AA121" s="78"/>
      <c r="AB121" s="78"/>
      <c r="AC121" s="78"/>
      <c r="AD121" s="78"/>
      <c r="AE121" s="78"/>
      <c r="AF121" s="78"/>
      <c r="AG121" s="79"/>
      <c r="AH121" s="79"/>
      <c r="AI121" s="78"/>
      <c r="AJ121" s="102"/>
      <c r="AK121" s="65"/>
    </row>
    <row r="122" spans="1:37" ht="15.75" x14ac:dyDescent="0.25">
      <c r="A122" s="159" t="s">
        <v>81</v>
      </c>
      <c r="B122" s="97"/>
      <c r="C122" s="78"/>
      <c r="D122" s="78"/>
      <c r="E122" s="78"/>
      <c r="F122" s="78"/>
      <c r="G122" s="78"/>
      <c r="H122" s="78"/>
      <c r="I122" s="78"/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  <c r="V122" s="78"/>
      <c r="W122" s="78"/>
      <c r="X122" s="78"/>
      <c r="Y122" s="78"/>
      <c r="Z122" s="78"/>
      <c r="AA122" s="78"/>
      <c r="AB122" s="78"/>
      <c r="AC122" s="78"/>
      <c r="AD122" s="78"/>
      <c r="AE122" s="78"/>
      <c r="AF122" s="78"/>
      <c r="AG122" s="79"/>
      <c r="AH122" s="79"/>
      <c r="AI122" s="78"/>
      <c r="AJ122" s="102"/>
      <c r="AK122" s="65"/>
    </row>
    <row r="123" spans="1:37" x14ac:dyDescent="0.2">
      <c r="A123" s="98" t="s">
        <v>77</v>
      </c>
      <c r="B123" s="178">
        <f>B118-'[1]Dec 2016'!$AF$112</f>
        <v>42019</v>
      </c>
      <c r="C123" s="179">
        <f>C118-B118</f>
        <v>0</v>
      </c>
      <c r="D123" s="180">
        <f>D118-B118</f>
        <v>-52513</v>
      </c>
      <c r="E123" s="180">
        <f>E118-D118</f>
        <v>57</v>
      </c>
      <c r="F123" s="180">
        <f>F118-E118</f>
        <v>47</v>
      </c>
      <c r="G123" s="180">
        <f t="shared" ref="G123:AG124" si="34">G118-F118</f>
        <v>50</v>
      </c>
      <c r="H123" s="180">
        <f t="shared" si="34"/>
        <v>34</v>
      </c>
      <c r="I123" s="180">
        <f t="shared" si="34"/>
        <v>46</v>
      </c>
      <c r="J123" s="180">
        <f t="shared" si="34"/>
        <v>61</v>
      </c>
      <c r="K123" s="180">
        <f t="shared" si="34"/>
        <v>51</v>
      </c>
      <c r="L123" s="180">
        <f t="shared" si="34"/>
        <v>51</v>
      </c>
      <c r="M123" s="180">
        <f t="shared" si="34"/>
        <v>64</v>
      </c>
      <c r="N123" s="180">
        <f t="shared" si="34"/>
        <v>53</v>
      </c>
      <c r="O123" s="180">
        <f t="shared" si="34"/>
        <v>67</v>
      </c>
      <c r="P123" s="180">
        <f t="shared" si="34"/>
        <v>45</v>
      </c>
      <c r="Q123" s="180">
        <f t="shared" si="34"/>
        <v>46</v>
      </c>
      <c r="R123" s="180">
        <f t="shared" si="34"/>
        <v>43</v>
      </c>
      <c r="S123" s="180">
        <f t="shared" si="34"/>
        <v>48</v>
      </c>
      <c r="T123" s="180">
        <f t="shared" si="34"/>
        <v>45</v>
      </c>
      <c r="U123" s="180">
        <f t="shared" si="34"/>
        <v>34</v>
      </c>
      <c r="V123" s="180">
        <f t="shared" si="34"/>
        <v>42</v>
      </c>
      <c r="W123" s="180">
        <f t="shared" si="34"/>
        <v>45</v>
      </c>
      <c r="X123" s="180">
        <f t="shared" si="34"/>
        <v>46</v>
      </c>
      <c r="Y123" s="180">
        <f t="shared" si="34"/>
        <v>67</v>
      </c>
      <c r="Z123" s="180">
        <f t="shared" si="34"/>
        <v>57</v>
      </c>
      <c r="AA123" s="180">
        <f t="shared" si="34"/>
        <v>31</v>
      </c>
      <c r="AB123" s="180">
        <f t="shared" si="34"/>
        <v>44</v>
      </c>
      <c r="AC123" s="180">
        <f t="shared" si="34"/>
        <v>66</v>
      </c>
      <c r="AD123" s="180">
        <f t="shared" si="34"/>
        <v>46</v>
      </c>
      <c r="AE123" s="180">
        <f t="shared" si="34"/>
        <v>45</v>
      </c>
      <c r="AF123" s="180">
        <f t="shared" si="34"/>
        <v>51</v>
      </c>
      <c r="AG123" s="180">
        <f t="shared" si="34"/>
        <v>46</v>
      </c>
      <c r="AH123" s="180">
        <f>AH118-AG118</f>
        <v>50</v>
      </c>
      <c r="AI123" s="180">
        <f>AI118-AH118</f>
        <v>56</v>
      </c>
      <c r="AJ123" s="102"/>
      <c r="AK123" s="65"/>
    </row>
    <row r="124" spans="1:37" ht="15.75" thickBot="1" x14ac:dyDescent="0.25">
      <c r="A124" s="162" t="s">
        <v>75</v>
      </c>
      <c r="B124" s="78">
        <f>B119-'[1]Dec 2016'!$AF$113</f>
        <v>1421</v>
      </c>
      <c r="C124" s="181">
        <f>C119-B119</f>
        <v>0</v>
      </c>
      <c r="D124" s="180">
        <f>D119-B119</f>
        <v>16248</v>
      </c>
      <c r="E124" s="180">
        <f>E119-D119</f>
        <v>3</v>
      </c>
      <c r="F124" s="180">
        <f>F119-E119</f>
        <v>20</v>
      </c>
      <c r="G124" s="180">
        <f t="shared" si="34"/>
        <v>13</v>
      </c>
      <c r="H124" s="180">
        <f t="shared" si="34"/>
        <v>11</v>
      </c>
      <c r="I124" s="180">
        <f t="shared" si="34"/>
        <v>16</v>
      </c>
      <c r="J124" s="180">
        <f t="shared" si="34"/>
        <v>6</v>
      </c>
      <c r="K124" s="180">
        <f t="shared" si="34"/>
        <v>11</v>
      </c>
      <c r="L124" s="180">
        <f t="shared" si="34"/>
        <v>10</v>
      </c>
      <c r="M124" s="180">
        <f t="shared" si="34"/>
        <v>11</v>
      </c>
      <c r="N124" s="180">
        <f t="shared" si="34"/>
        <v>12</v>
      </c>
      <c r="O124" s="180">
        <f t="shared" si="34"/>
        <v>11</v>
      </c>
      <c r="P124" s="180">
        <f t="shared" si="34"/>
        <v>15</v>
      </c>
      <c r="Q124" s="180">
        <f t="shared" si="34"/>
        <v>11</v>
      </c>
      <c r="R124" s="180">
        <f t="shared" si="34"/>
        <v>11</v>
      </c>
      <c r="S124" s="180">
        <f t="shared" si="34"/>
        <v>11</v>
      </c>
      <c r="T124" s="180">
        <f t="shared" si="34"/>
        <v>11</v>
      </c>
      <c r="U124" s="180">
        <f t="shared" si="34"/>
        <v>12</v>
      </c>
      <c r="V124" s="180">
        <f t="shared" si="34"/>
        <v>11</v>
      </c>
      <c r="W124" s="180">
        <f t="shared" si="34"/>
        <v>12</v>
      </c>
      <c r="X124" s="180">
        <f t="shared" si="34"/>
        <v>13</v>
      </c>
      <c r="Y124" s="180">
        <f t="shared" si="34"/>
        <v>14</v>
      </c>
      <c r="Z124" s="180">
        <f t="shared" si="34"/>
        <v>15</v>
      </c>
      <c r="AA124" s="180">
        <f t="shared" si="34"/>
        <v>12</v>
      </c>
      <c r="AB124" s="180">
        <f t="shared" si="34"/>
        <v>13</v>
      </c>
      <c r="AC124" s="180">
        <f t="shared" si="34"/>
        <v>11</v>
      </c>
      <c r="AD124" s="180">
        <f t="shared" si="34"/>
        <v>17</v>
      </c>
      <c r="AE124" s="180">
        <f t="shared" si="34"/>
        <v>12</v>
      </c>
      <c r="AF124" s="180">
        <f t="shared" si="34"/>
        <v>14</v>
      </c>
      <c r="AG124" s="180">
        <f t="shared" si="34"/>
        <v>15</v>
      </c>
      <c r="AH124" s="180">
        <f>AH119-AG119</f>
        <v>13</v>
      </c>
      <c r="AI124" s="180">
        <f>AI119-AH119</f>
        <v>12</v>
      </c>
      <c r="AJ124" s="83" t="s">
        <v>14</v>
      </c>
      <c r="AK124" s="182" t="s">
        <v>15</v>
      </c>
    </row>
    <row r="125" spans="1:37" ht="16.5" thickTop="1" x14ac:dyDescent="0.25">
      <c r="A125" s="148" t="s">
        <v>78</v>
      </c>
      <c r="B125" s="183">
        <f>SUM(B123:B124)</f>
        <v>43440</v>
      </c>
      <c r="C125" s="183">
        <f>SUM(C123:C124)</f>
        <v>0</v>
      </c>
      <c r="D125" s="184">
        <f t="shared" ref="D125:E125" si="35">SUM(D123:D124)</f>
        <v>-36265</v>
      </c>
      <c r="E125" s="184">
        <f t="shared" si="35"/>
        <v>60</v>
      </c>
      <c r="F125" s="184">
        <v>80</v>
      </c>
      <c r="G125" s="184">
        <f t="shared" ref="G125:AI125" si="36">SUM(G123:G124)</f>
        <v>63</v>
      </c>
      <c r="H125" s="184">
        <f t="shared" si="36"/>
        <v>45</v>
      </c>
      <c r="I125" s="184">
        <f t="shared" si="36"/>
        <v>62</v>
      </c>
      <c r="J125" s="184">
        <f t="shared" si="36"/>
        <v>67</v>
      </c>
      <c r="K125" s="184">
        <f t="shared" si="36"/>
        <v>62</v>
      </c>
      <c r="L125" s="184">
        <f t="shared" si="36"/>
        <v>61</v>
      </c>
      <c r="M125" s="184">
        <f t="shared" si="36"/>
        <v>75</v>
      </c>
      <c r="N125" s="184">
        <f t="shared" si="36"/>
        <v>65</v>
      </c>
      <c r="O125" s="184">
        <f t="shared" si="36"/>
        <v>78</v>
      </c>
      <c r="P125" s="184">
        <f t="shared" si="36"/>
        <v>60</v>
      </c>
      <c r="Q125" s="184">
        <f t="shared" si="36"/>
        <v>57</v>
      </c>
      <c r="R125" s="184">
        <f t="shared" si="36"/>
        <v>54</v>
      </c>
      <c r="S125" s="184">
        <f t="shared" si="36"/>
        <v>59</v>
      </c>
      <c r="T125" s="184">
        <f t="shared" si="36"/>
        <v>56</v>
      </c>
      <c r="U125" s="184">
        <f t="shared" si="36"/>
        <v>46</v>
      </c>
      <c r="V125" s="184">
        <f t="shared" si="36"/>
        <v>53</v>
      </c>
      <c r="W125" s="184">
        <f t="shared" si="36"/>
        <v>57</v>
      </c>
      <c r="X125" s="184">
        <f t="shared" si="36"/>
        <v>59</v>
      </c>
      <c r="Y125" s="184">
        <f t="shared" si="36"/>
        <v>81</v>
      </c>
      <c r="Z125" s="184">
        <f t="shared" si="36"/>
        <v>72</v>
      </c>
      <c r="AA125" s="184">
        <f t="shared" si="36"/>
        <v>43</v>
      </c>
      <c r="AB125" s="184">
        <f t="shared" si="36"/>
        <v>57</v>
      </c>
      <c r="AC125" s="184">
        <f t="shared" si="36"/>
        <v>77</v>
      </c>
      <c r="AD125" s="184">
        <f t="shared" si="36"/>
        <v>63</v>
      </c>
      <c r="AE125" s="184">
        <f t="shared" si="36"/>
        <v>57</v>
      </c>
      <c r="AF125" s="184">
        <f t="shared" si="36"/>
        <v>65</v>
      </c>
      <c r="AG125" s="184">
        <f t="shared" si="36"/>
        <v>61</v>
      </c>
      <c r="AH125" s="184">
        <f t="shared" si="36"/>
        <v>63</v>
      </c>
      <c r="AI125" s="184">
        <f t="shared" si="36"/>
        <v>68</v>
      </c>
      <c r="AJ125" s="185">
        <f>SUM(E125:AI125)</f>
        <v>1926</v>
      </c>
      <c r="AK125" s="89">
        <f>AJ125/31</f>
        <v>62.12903225806452</v>
      </c>
    </row>
    <row r="126" spans="1:37" ht="15" x14ac:dyDescent="0.25">
      <c r="A126" s="90" t="s">
        <v>82</v>
      </c>
      <c r="B126" s="158"/>
      <c r="C126" s="158"/>
      <c r="D126" s="186"/>
      <c r="E126" s="186"/>
      <c r="F126" s="186"/>
      <c r="G126" s="186"/>
      <c r="H126" s="186"/>
      <c r="I126" s="186"/>
      <c r="J126" s="186"/>
      <c r="K126" s="186"/>
      <c r="L126" s="186"/>
      <c r="M126" s="186"/>
      <c r="N126" s="186"/>
      <c r="O126" s="186"/>
      <c r="P126" s="186"/>
      <c r="Q126" s="186"/>
      <c r="R126" s="186"/>
      <c r="S126" s="186"/>
      <c r="T126" s="186"/>
      <c r="U126" s="186"/>
      <c r="V126" s="186"/>
      <c r="W126" s="186"/>
      <c r="X126" s="186"/>
      <c r="Y126" s="186"/>
      <c r="Z126" s="186"/>
      <c r="AA126" s="186"/>
      <c r="AB126" s="186"/>
      <c r="AC126" s="186"/>
      <c r="AD126" s="186"/>
      <c r="AE126" s="186"/>
      <c r="AF126" s="186"/>
      <c r="AG126" s="186"/>
      <c r="AH126" s="186"/>
      <c r="AI126" s="186"/>
      <c r="AJ126" s="187"/>
      <c r="AK126" s="186"/>
    </row>
  </sheetData>
  <mergeCells count="1">
    <mergeCell ref="C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Joe El Khoury</cp:lastModifiedBy>
  <cp:revision/>
  <dcterms:created xsi:type="dcterms:W3CDTF">2017-05-03T09:23:30Z</dcterms:created>
  <dcterms:modified xsi:type="dcterms:W3CDTF">2020-09-18T12:40:10Z</dcterms:modified>
  <cp:category/>
  <cp:contentStatus/>
</cp:coreProperties>
</file>