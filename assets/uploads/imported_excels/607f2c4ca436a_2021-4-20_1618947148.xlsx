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25" i="7" l="1"/>
  <c r="CM26" i="7"/>
  <c r="CM27" i="7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23" i="7" l="1"/>
  <c r="CM22" i="7"/>
  <c r="CM21" i="7"/>
  <c r="CM20" i="7"/>
  <c r="CM19" i="7"/>
  <c r="CM18" i="7"/>
  <c r="CM17" i="7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<sst xmlns="http://schemas.openxmlformats.org/spreadsheetml/2006/main" count="313" uniqueCount="148">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</sst>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6270.0000000001655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9110.0000000003092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66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9629.9999999999018</v>
      </c>
      <c r="F17" s="11">
        <f t="shared" si="1"/>
        <v>0.58765030286592534</v>
      </c>
      <c r="G17" s="12">
        <f>(Submetering!AX17+Submetering!AY17+Submetering!AZ17+Submetering!BA17+Submetering!BB17)</f>
        <v>45.787499999999994</v>
      </c>
      <c r="H17" s="11">
        <f t="shared" si="2"/>
        <v>0.99</v>
      </c>
      <c r="I17" s="12">
        <f>'FS Desroches Daily'!CM19</f>
        <v>56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15719.999999999731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99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4569.9999999999436</v>
      </c>
      <c r="F19" s="11">
        <f t="shared" si="1"/>
        <v>0.58765030286592534</v>
      </c>
      <c r="G19" s="12">
        <f>(Submetering!AX19+Submetering!AY19+Submetering!AZ19+Submetering!BA19+Submetering!BB19)</f>
        <v>21.977999999999998</v>
      </c>
      <c r="H19" s="11">
        <f t="shared" si="2"/>
        <v>0.99</v>
      </c>
      <c r="I19" s="12">
        <f>'FS Desroches Daily'!CM21</f>
        <v>33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8700.0000000000309</v>
      </c>
      <c r="F20" s="11">
        <f t="shared" si="1"/>
        <v>0.58765030286592534</v>
      </c>
      <c r="G20" s="12">
        <f>(Submetering!AX20+Submetering!AY20+Submetering!AZ20+Submetering!BA20+Submetering!BB20)</f>
        <v>12.820499999999999</v>
      </c>
      <c r="H20" s="11">
        <f t="shared" si="2"/>
        <v>0.99</v>
      </c>
      <c r="I20" s="12">
        <f>'FS Desroches Daily'!CM22</f>
        <v>65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9259.9999999998108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74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 t="e">
        <f>Submetering!E22+Submetering!F22+Submetering!G22+Submetering!H22+Submetering!J22-Submetering!AV22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'FS Desroches Daily'!CM24</f>
        <v>#VALUE!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3.6629999999999998</v>
      </c>
      <c r="BA14" s="31">
        <f>IF(LPG!M21-LPG!M20&lt;0,"0",(LPG!M21-LPG!M20)*1.8315)</f>
        <v>1.8314999999999999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1399.9999999998458</v>
      </c>
      <c r="F15" s="32">
        <f>'FS Desroches Daily'!F17</f>
        <v>2000.0000000002237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1499.9999999996128</v>
      </c>
      <c r="J15" s="32">
        <f>'FS Desroches Daily'!N17</f>
        <v>499.99999999994492</v>
      </c>
      <c r="K15" s="13">
        <f>'FS Desroches Daily'!P17</f>
        <v>9</v>
      </c>
      <c r="L15" s="31">
        <f>'FS Desroches Daily'!R17</f>
        <v>4</v>
      </c>
      <c r="M15" s="31">
        <f>'FS Desroches Daily'!T17</f>
        <v>396</v>
      </c>
      <c r="N15" s="31">
        <f>'FS Desroches Daily'!V17</f>
        <v>188.19999999995343</v>
      </c>
      <c r="O15" s="31">
        <f>'FS Desroches Daily'!X17</f>
        <v>180.00000000000682</v>
      </c>
      <c r="P15" s="31">
        <f>'FS Desroches Daily'!Z17</f>
        <v>1700.0000000000348</v>
      </c>
      <c r="Q15" s="31">
        <f>'FS Desroches Daily'!AB17</f>
        <v>129.99999999999545</v>
      </c>
      <c r="R15" s="31">
        <f>'FS Desroches Daily'!AD17</f>
        <v>79.999999999984084</v>
      </c>
      <c r="S15" s="31">
        <f>'FS Desroches Daily'!AF17</f>
        <v>169.99999999995907</v>
      </c>
      <c r="T15" s="31">
        <f>'FS Desroches Daily'!AH17</f>
        <v>26</v>
      </c>
      <c r="U15" s="35">
        <f>'FS Desroches Daily'!AJ17</f>
        <v>539.99999999996362</v>
      </c>
      <c r="V15" s="35">
        <f>'FS Desroches Daily'!AL17</f>
        <v>49.999999999982947</v>
      </c>
      <c r="W15" s="35">
        <f>'FS Desroches Daily'!AN17</f>
        <v>90.000000000003411</v>
      </c>
      <c r="X15" s="35">
        <f>'FS Desroches Daily'!AP17</f>
        <v>30.000000000001137</v>
      </c>
      <c r="Y15" s="35">
        <f>'FS Desroches Daily'!AR17</f>
        <v>60.000000000002274</v>
      </c>
      <c r="Z15" s="35">
        <f>'FS Desroches Daily'!AT17</f>
        <v>80.000000000040927</v>
      </c>
      <c r="AA15" s="35">
        <f>'FS Desroches Daily'!AT17</f>
        <v>80.000000000040927</v>
      </c>
      <c r="AB15" s="35">
        <f>'FS Desroches Daily'!AV17</f>
        <v>50.000000000011369</v>
      </c>
      <c r="AC15" s="35">
        <f>'FS Desroches Daily'!AZ17</f>
        <v>9.9999999999909051</v>
      </c>
      <c r="AD15" s="35">
        <f>'FS Desroches Daily'!BB17</f>
        <v>9.9999999999909051</v>
      </c>
      <c r="AE15" s="35">
        <f>'FS Desroches Daily'!BD17</f>
        <v>10.000000000019327</v>
      </c>
      <c r="AF15" s="31">
        <f>'FS Desroches Daily'!BF17</f>
        <v>39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30.000000000001137</v>
      </c>
      <c r="AK15" s="32">
        <f>'FS Desroches Daily'!BP17</f>
        <v>29.999999999972715</v>
      </c>
      <c r="AL15" s="32">
        <f>'FS Desroches Daily'!BR17</f>
        <v>20</v>
      </c>
      <c r="AM15" s="32">
        <f>'FS Desroches Daily'!BT17</f>
        <v>20.000000000010232</v>
      </c>
      <c r="AN15" s="32">
        <f>'FS Desroches Daily'!BV17</f>
        <v>29</v>
      </c>
      <c r="AO15" s="32">
        <f>'FS Desroches Daily'!BX17</f>
        <v>19.99999999998181</v>
      </c>
      <c r="AP15" s="32">
        <f>'FS Desroches Daily'!BZ17</f>
        <v>38</v>
      </c>
      <c r="AQ15" s="31">
        <f>'FS Desroches Daily'!CB17</f>
        <v>15.200000000000728</v>
      </c>
      <c r="AR15" s="31">
        <f>'FS Desroches Daily'!CD17</f>
        <v>3.1999999999989086</v>
      </c>
      <c r="AS15" s="31">
        <f>'FS Desroches Daily'!CF17</f>
        <v>0.3999999999996362</v>
      </c>
      <c r="AT15" s="31">
        <f>'FS Desroches Daily'!CH17</f>
        <v>15.099999999998545</v>
      </c>
      <c r="AU15" s="31">
        <f>'FS Desroches Daily'!CJ17</f>
        <v>204</v>
      </c>
      <c r="AV15" s="31">
        <f>'FS Desroches Daily'!CL17</f>
        <v>529.99999999997272</v>
      </c>
      <c r="AW15" s="31">
        <f>'FS Desroches Daily'!CM17</f>
        <v>54</v>
      </c>
      <c r="AX15" s="31">
        <f>IF(LPG!F22-LPG!F21&lt;0,"0",(LPG!F22-LPG!F21)*1.8315)</f>
        <v>9.1574999999999989</v>
      </c>
      <c r="AY15" s="31">
        <f>IF(LPG!H22-LPG!H21&lt;0,"0",(LPG!H22-LPG!H21)*1.8315)</f>
        <v>1.8314999999999999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1900.0000000000127</v>
      </c>
      <c r="F16" s="32">
        <f>'FS Desroches Daily'!F18</f>
        <v>2800.0000000001355</v>
      </c>
      <c r="G16" s="31">
        <f>'FS Desroches Daily'!H18</f>
        <v>2699.9999999999245</v>
      </c>
      <c r="H16" s="32">
        <f>'FS Desroches Daily'!J18</f>
        <v>1400.0000000000678</v>
      </c>
      <c r="I16" s="31">
        <f>'FS Desroches Daily'!L18</f>
        <v>2099.9999999999909</v>
      </c>
      <c r="J16" s="32">
        <f>'FS Desroches Daily'!N18</f>
        <v>1000.0000000001119</v>
      </c>
      <c r="K16" s="13">
        <f>'FS Desroches Daily'!P18</f>
        <v>17</v>
      </c>
      <c r="L16" s="31">
        <f>'FS Desroches Daily'!R18</f>
        <v>6</v>
      </c>
      <c r="M16" s="31">
        <f>'FS Desroches Daily'!T18</f>
        <v>805.80000000004657</v>
      </c>
      <c r="N16" s="31">
        <f>'FS Desroches Daily'!V18</f>
        <v>364.40000000002328</v>
      </c>
      <c r="O16" s="31">
        <f>'FS Desroches Daily'!X18</f>
        <v>300.00000000001137</v>
      </c>
      <c r="P16" s="31">
        <f>'FS Desroches Daily'!Z18</f>
        <v>2499.9999999999468</v>
      </c>
      <c r="Q16" s="31">
        <f>'FS Desroches Daily'!AB18</f>
        <v>439.99999999999773</v>
      </c>
      <c r="R16" s="31">
        <f>'FS Desroches Daily'!AD18</f>
        <v>170.00000000001592</v>
      </c>
      <c r="S16" s="31">
        <f>'FS Desroches Daily'!AF18</f>
        <v>240.00000000000909</v>
      </c>
      <c r="T16" s="31">
        <f>'FS Desroches Daily'!AH18</f>
        <v>36</v>
      </c>
      <c r="U16" s="35">
        <f>'FS Desroches Daily'!AJ18</f>
        <v>799.99999999995453</v>
      </c>
      <c r="V16" s="35">
        <f>'FS Desroches Daily'!AL18</f>
        <v>120.00000000000455</v>
      </c>
      <c r="W16" s="35">
        <f>'FS Desroches Daily'!AN18</f>
        <v>169.99999999998749</v>
      </c>
      <c r="X16" s="35">
        <f>'FS Desroches Daily'!AP18</f>
        <v>40.000000000020464</v>
      </c>
      <c r="Y16" s="35">
        <f>'FS Desroches Daily'!AR18</f>
        <v>79.999999999984084</v>
      </c>
      <c r="Z16" s="35">
        <f>'FS Desroches Daily'!AT18</f>
        <v>180.00000000000682</v>
      </c>
      <c r="AA16" s="35">
        <f>'FS Desroches Daily'!AT18</f>
        <v>180.00000000000682</v>
      </c>
      <c r="AB16" s="35">
        <f>'FS Desroches Daily'!AV18</f>
        <v>90.000000000031832</v>
      </c>
      <c r="AC16" s="35">
        <f>'FS Desroches Daily'!AZ18</f>
        <v>29.999999999972715</v>
      </c>
      <c r="AD16" s="35">
        <f>'FS Desroches Daily'!BB18</f>
        <v>20.000000000038654</v>
      </c>
      <c r="AE16" s="35">
        <f>'FS Desroches Daily'!BD18</f>
        <v>69.999999999993179</v>
      </c>
      <c r="AF16" s="31">
        <f>'FS Desroches Daily'!BF18</f>
        <v>50</v>
      </c>
      <c r="AG16" s="32">
        <f>'FS Desroches Daily'!BH18</f>
        <v>30.000000000001137</v>
      </c>
      <c r="AH16" s="32">
        <f>'FS Desroches Daily'!BJ18</f>
        <v>39.99999999996362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20.000000000038654</v>
      </c>
      <c r="AL16" s="32">
        <f>'FS Desroches Daily'!BR18</f>
        <v>28</v>
      </c>
      <c r="AM16" s="32">
        <f>'FS Desroches Daily'!BT18</f>
        <v>39.999999999992042</v>
      </c>
      <c r="AN16" s="32">
        <f>'FS Desroches Daily'!BV18</f>
        <v>40</v>
      </c>
      <c r="AO16" s="32">
        <f>'FS Desroches Daily'!BX18</f>
        <v>50.000000000011369</v>
      </c>
      <c r="AP16" s="32">
        <f>'FS Desroches Daily'!BZ18</f>
        <v>44</v>
      </c>
      <c r="AQ16" s="31">
        <f>'FS Desroches Daily'!CB18</f>
        <v>25</v>
      </c>
      <c r="AR16" s="31">
        <f>'FS Desroches Daily'!CD18</f>
        <v>5.8000000000010914</v>
      </c>
      <c r="AS16" s="31">
        <f>'FS Desroches Daily'!CF18</f>
        <v>15.600000000000364</v>
      </c>
      <c r="AT16" s="31">
        <f>'FS Desroches Daily'!CH18</f>
        <v>33</v>
      </c>
      <c r="AU16" s="31">
        <f>'FS Desroches Daily'!CJ18</f>
        <v>291</v>
      </c>
      <c r="AV16" s="31">
        <f>'FS Desroches Daily'!CL18</f>
        <v>689.99999999994088</v>
      </c>
      <c r="AW16" s="31">
        <f>'FS Desroches Daily'!CM18</f>
        <v>66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2000.0000000002237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1399.9999999998458</v>
      </c>
      <c r="I17" s="31">
        <f>'FS Desroches Daily'!L19</f>
        <v>2200.0000000002019</v>
      </c>
      <c r="J17" s="32">
        <f>'FS Desroches Daily'!N19</f>
        <v>999.99999999988984</v>
      </c>
      <c r="K17" s="13">
        <f>'FS Desroches Daily'!P19</f>
        <v>12</v>
      </c>
      <c r="L17" s="31">
        <f>'FS Desroches Daily'!R19</f>
        <v>7</v>
      </c>
      <c r="M17" s="31">
        <f>'FS Desroches Daily'!T19</f>
        <v>923</v>
      </c>
      <c r="N17" s="31">
        <f>'FS Desroches Daily'!V19</f>
        <v>456.79999999998836</v>
      </c>
      <c r="O17" s="31">
        <f>'FS Desroches Daily'!X19</f>
        <v>329.99999999998408</v>
      </c>
      <c r="P17" s="31">
        <f>'FS Desroches Daily'!Z19</f>
        <v>2799.9999999996917</v>
      </c>
      <c r="Q17" s="31">
        <f>'FS Desroches Daily'!AB19</f>
        <v>400.00000000003411</v>
      </c>
      <c r="R17" s="31">
        <f>'FS Desroches Daily'!AD19</f>
        <v>259.99999999999091</v>
      </c>
      <c r="S17" s="31">
        <f>'FS Desroches Daily'!AF19</f>
        <v>240.00000000000909</v>
      </c>
      <c r="T17" s="31">
        <f>'FS Desroches Daily'!AH19</f>
        <v>34</v>
      </c>
      <c r="U17" s="35">
        <f>'FS Desroches Daily'!AJ19</f>
        <v>800.00000000006821</v>
      </c>
      <c r="V17" s="35">
        <f>'FS Desroches Daily'!AL19</f>
        <v>290.00000000002046</v>
      </c>
      <c r="W17" s="35">
        <f>'FS Desroches Daily'!AN19</f>
        <v>159.99999999999659</v>
      </c>
      <c r="X17" s="35">
        <f>'FS Desroches Daily'!AP19</f>
        <v>39.999999999992042</v>
      </c>
      <c r="Y17" s="35">
        <f>'FS Desroches Daily'!AR19</f>
        <v>80.000000000012506</v>
      </c>
      <c r="Z17" s="35">
        <f>'FS Desroches Daily'!AU20</f>
        <v>279.92</v>
      </c>
      <c r="AA17" s="35">
        <f>'FS Desroches Daily'!AU20</f>
        <v>279.92</v>
      </c>
      <c r="AB17" s="35">
        <f>'FS Desroches Daily'!AV19</f>
        <v>89.999999999974989</v>
      </c>
      <c r="AC17" s="35">
        <f>'FS Desroches Daily'!AZ19</f>
        <v>20.000000000038654</v>
      </c>
      <c r="AD17" s="35">
        <f>'FS Desroches Daily'!BB19</f>
        <v>9.9999999999909051</v>
      </c>
      <c r="AE17" s="35">
        <f>'FS Desroches Daily'!BD19</f>
        <v>30.000000000001137</v>
      </c>
      <c r="AF17" s="31">
        <f>'FS Desroches Daily'!BF19</f>
        <v>30</v>
      </c>
      <c r="AG17" s="32">
        <f>'FS Desroches Daily'!BH19</f>
        <v>49.999999999982947</v>
      </c>
      <c r="AH17" s="32">
        <f>'FS Desroches Daily'!BJ19</f>
        <v>40.000000000020464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26</v>
      </c>
      <c r="AM17" s="32">
        <f>'FS Desroches Daily'!BT19</f>
        <v>39.999999999992042</v>
      </c>
      <c r="AN17" s="32">
        <f>'FS Desroches Daily'!BV19</f>
        <v>47</v>
      </c>
      <c r="AO17" s="32">
        <f>'FS Desroches Daily'!BX19</f>
        <v>9.9999999999909051</v>
      </c>
      <c r="AP17" s="32">
        <f>'FS Desroches Daily'!BZ19</f>
        <v>46</v>
      </c>
      <c r="AQ17" s="31">
        <f>'FS Desroches Daily'!CB19</f>
        <v>25.200000000000728</v>
      </c>
      <c r="AR17" s="31">
        <f>'FS Desroches Daily'!CD19</f>
        <v>6.5999999999985448</v>
      </c>
      <c r="AS17" s="31">
        <f>'FS Desroches Daily'!CF19</f>
        <v>15.699999999999818</v>
      </c>
      <c r="AT17" s="31">
        <f>'FS Desroches Daily'!CH19</f>
        <v>31.5</v>
      </c>
      <c r="AU17" s="31">
        <f>'FS Desroches Daily'!CJ19</f>
        <v>279</v>
      </c>
      <c r="AV17" s="31">
        <f>'FS Desroches Daily'!CL19</f>
        <v>670.00000000007276</v>
      </c>
      <c r="AW17" s="31">
        <f>'FS Desroches Daily'!CM19</f>
        <v>56</v>
      </c>
      <c r="AX17" s="31">
        <f>IF(LPG!F24-LPG!F23&lt;0,"0",(LPG!F24-LPG!F23)*1.8315)</f>
        <v>16.483499999999999</v>
      </c>
      <c r="AY17" s="31">
        <f>IF(LPG!H24-LPG!H23&lt;0,"0",(LPG!H24-LPG!H23)*1.8315)</f>
        <v>1.8314999999999999</v>
      </c>
      <c r="AZ17" s="31">
        <f>IF(LPG!J24-LPG!J23&lt;0,"0",(LPG!J24-LPG!J23)*1.8315)</f>
        <v>3.6629999999999998</v>
      </c>
      <c r="BA17" s="31">
        <f>IF(LPG!M24-LPG!M23&lt;0,"0",(LPG!M24-LPG!M23)*1.8315)</f>
        <v>7.3259999999999996</v>
      </c>
      <c r="BB17" s="31">
        <f>IF(LPG!Q24-LPG!Q23&lt;0,"0",(LPG!Q24-LPG!Q23)*1.8315)</f>
        <v>16.483499999999999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3499.9999999998367</v>
      </c>
      <c r="F18" s="32">
        <f>'FS Desroches Daily'!F20</f>
        <v>4900.0000000001264</v>
      </c>
      <c r="G18" s="31">
        <f>'FS Desroches Daily'!H20</f>
        <v>4099.9999999997708</v>
      </c>
      <c r="H18" s="32">
        <f>'FS Desroches Daily'!J20</f>
        <v>2199.9999999999795</v>
      </c>
      <c r="I18" s="31">
        <f>'FS Desroches Daily'!L20</f>
        <v>3400.0000000000696</v>
      </c>
      <c r="J18" s="32">
        <f>'FS Desroches Daily'!N20</f>
        <v>1900.0000000000127</v>
      </c>
      <c r="K18" s="13">
        <f>'FS Desroches Daily'!P20</f>
        <v>42</v>
      </c>
      <c r="L18" s="31">
        <f>'FS Desroches Daily'!R20</f>
        <v>11</v>
      </c>
      <c r="M18" s="31">
        <f>'FS Desroches Daily'!T20</f>
        <v>1563</v>
      </c>
      <c r="N18" s="31">
        <f>'FS Desroches Daily'!V20</f>
        <v>753.90000000002328</v>
      </c>
      <c r="O18" s="31">
        <f>'FS Desroches Daily'!X20</f>
        <v>470.00000000002728</v>
      </c>
      <c r="P18" s="31">
        <f>'FS Desroches Daily'!Z20</f>
        <v>4599.9999999999372</v>
      </c>
      <c r="Q18" s="31">
        <f>'FS Desroches Daily'!AB20</f>
        <v>669.99999999995907</v>
      </c>
      <c r="R18" s="31">
        <f>'FS Desroches Daily'!AD20</f>
        <v>389.99999999998636</v>
      </c>
      <c r="S18" s="31">
        <f>'FS Desroches Daily'!AF20</f>
        <v>750</v>
      </c>
      <c r="T18" s="31">
        <f>'FS Desroches Daily'!AH20</f>
        <v>45</v>
      </c>
      <c r="U18" s="35">
        <f>'FS Desroches Daily'!AJ20</f>
        <v>1319.9999999999363</v>
      </c>
      <c r="V18" s="35">
        <f>'FS Desroches Daily'!AL20</f>
        <v>549.99999999998295</v>
      </c>
      <c r="W18" s="35">
        <f>'FS Desroches Daily'!AN20</f>
        <v>390.00000000001478</v>
      </c>
      <c r="X18" s="35">
        <f>'FS Desroches Daily'!AP20</f>
        <v>69.999999999993179</v>
      </c>
      <c r="Y18" s="35">
        <f>'FS Desroches Daily'!AR20</f>
        <v>159.99999999999659</v>
      </c>
      <c r="Z18" s="35">
        <f>'FS Desroches Daily'!AT20</f>
        <v>329.99999999998408</v>
      </c>
      <c r="AA18" s="35">
        <f>'FS Desroches Daily'!AT20</f>
        <v>329.99999999998408</v>
      </c>
      <c r="AB18" s="35">
        <f>'FS Desroches Daily'!AV20</f>
        <v>170.00000000001592</v>
      </c>
      <c r="AC18" s="35">
        <f>'FS Desroches Daily'!AZ20</f>
        <v>39.99999999996362</v>
      </c>
      <c r="AD18" s="35">
        <f>'FS Desroches Daily'!BB20</f>
        <v>29.999999999972715</v>
      </c>
      <c r="AE18" s="35">
        <f>'FS Desroches Daily'!BD20</f>
        <v>39.999999999992042</v>
      </c>
      <c r="AF18" s="31">
        <f>'FS Desroches Daily'!BF20</f>
        <v>45</v>
      </c>
      <c r="AG18" s="32">
        <f>'FS Desroches Daily'!BH20</f>
        <v>69.999999999993179</v>
      </c>
      <c r="AH18" s="32">
        <f>'FS Desroches Daily'!BJ20</f>
        <v>69.999999999993179</v>
      </c>
      <c r="AI18" s="32">
        <f>'FS Desroches Daily'!BL20</f>
        <v>30.000000000001137</v>
      </c>
      <c r="AJ18" s="32">
        <f>'FS Desroches Daily'!BN20</f>
        <v>80.000000000012506</v>
      </c>
      <c r="AK18" s="32">
        <f>'FS Desroches Daily'!BP20</f>
        <v>50.000000000011369</v>
      </c>
      <c r="AL18" s="32">
        <f>'FS Desroches Daily'!BR20</f>
        <v>45</v>
      </c>
      <c r="AM18" s="32">
        <f>'FS Desroches Daily'!BT20</f>
        <v>60.000000000002274</v>
      </c>
      <c r="AN18" s="32">
        <f>'FS Desroches Daily'!BV20</f>
        <v>77</v>
      </c>
      <c r="AO18" s="32">
        <f>'FS Desroches Daily'!BX20</f>
        <v>50.000000000011369</v>
      </c>
      <c r="AP18" s="32">
        <f>'FS Desroches Daily'!BZ20</f>
        <v>87</v>
      </c>
      <c r="AQ18" s="31">
        <f>'FS Desroches Daily'!CB20</f>
        <v>38.299999999999272</v>
      </c>
      <c r="AR18" s="31">
        <f>'FS Desroches Daily'!CD20</f>
        <v>13.400000000001455</v>
      </c>
      <c r="AS18" s="31">
        <f>'FS Desroches Daily'!CF20</f>
        <v>0.6999999999998181</v>
      </c>
      <c r="AT18" s="31">
        <f>'FS Desroches Daily'!CH20</f>
        <v>71.5</v>
      </c>
      <c r="AU18" s="31">
        <f>'FS Desroches Daily'!CJ20</f>
        <v>456</v>
      </c>
      <c r="AV18" s="31">
        <f>'FS Desroches Daily'!CL20</f>
        <v>879.99999999999545</v>
      </c>
      <c r="AW18" s="31">
        <f>'FS Desroches Daily'!CM20</f>
        <v>99</v>
      </c>
      <c r="AX18" s="31">
        <f>IF(LPG!F25-LPG!F24&lt;0,"0",(LPG!F25-LPG!F24)*1.8315)</f>
        <v>1.8314999999999999</v>
      </c>
      <c r="AY18" s="31">
        <f>IF(LPG!H25-LPG!H24&lt;0,"0",(LPG!H25-LPG!H24)*1.8315)</f>
        <v>1.8314999999999999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900.0000000001229</v>
      </c>
      <c r="F19" s="32">
        <f>'FS Desroches Daily'!F21</f>
        <v>1499.9999999996128</v>
      </c>
      <c r="G19" s="31">
        <f>'FS Desroches Daily'!H21</f>
        <v>1300.0000000000789</v>
      </c>
      <c r="H19" s="32">
        <f>'FS Desroches Daily'!J21</f>
        <v>900.0000000001229</v>
      </c>
      <c r="I19" s="31">
        <f>'FS Desroches Daily'!L21</f>
        <v>1199.9999999998679</v>
      </c>
      <c r="J19" s="32">
        <f>'FS Desroches Daily'!N21</f>
        <v>399.99999999995595</v>
      </c>
      <c r="K19" s="13">
        <f>'FS Desroches Daily'!P21</f>
        <v>1</v>
      </c>
      <c r="L19" s="31">
        <f>'FS Desroches Daily'!R21</f>
        <v>4</v>
      </c>
      <c r="M19" s="31">
        <f>'FS Desroches Daily'!T21</f>
        <v>112</v>
      </c>
      <c r="N19" s="31">
        <f>'FS Desroches Daily'!V21</f>
        <v>159.20000000001164</v>
      </c>
      <c r="O19" s="31">
        <f>'FS Desroches Daily'!X21</f>
        <v>119.9999999999477</v>
      </c>
      <c r="P19" s="31">
        <f>'FS Desroches Daily'!Z21</f>
        <v>1200.000000000312</v>
      </c>
      <c r="Q19" s="31">
        <f>'FS Desroches Daily'!AB21</f>
        <v>100.00000000002274</v>
      </c>
      <c r="R19" s="31">
        <f>'FS Desroches Daily'!AD21</f>
        <v>80.000000000040927</v>
      </c>
      <c r="S19" s="31">
        <f>'FS Desroches Daily'!AF21</f>
        <v>139.99999999998636</v>
      </c>
      <c r="T19" s="31">
        <f>'FS Desroches Daily'!AH21</f>
        <v>28</v>
      </c>
      <c r="U19" s="35">
        <f>'FS Desroches Daily'!AJ21</f>
        <v>350.00000000002274</v>
      </c>
      <c r="V19" s="35">
        <f>'FS Desroches Daily'!AL21</f>
        <v>69.999999999993179</v>
      </c>
      <c r="W19" s="35">
        <f>'FS Desroches Daily'!AN21</f>
        <v>49.999999999982947</v>
      </c>
      <c r="X19" s="35">
        <f>'FS Desroches Daily'!AP21</f>
        <v>20.000000000010232</v>
      </c>
      <c r="Y19" s="35">
        <f>'FS Desroches Daily'!AR21</f>
        <v>39.999999999992042</v>
      </c>
      <c r="Z19" s="35">
        <f>'FS Desroches Daily'!AT21</f>
        <v>90.000000000031832</v>
      </c>
      <c r="AA19" s="35">
        <f>'FS Desroches Daily'!AT21</f>
        <v>90.000000000031832</v>
      </c>
      <c r="AB19" s="35">
        <f>'FS Desroches Daily'!AV21</f>
        <v>39.99999999996362</v>
      </c>
      <c r="AC19" s="35">
        <f>'FS Desroches Daily'!AZ21</f>
        <v>10.000000000047748</v>
      </c>
      <c r="AD19" s="35">
        <f>'FS Desroches Daily'!BB21</f>
        <v>9.9999999999909051</v>
      </c>
      <c r="AE19" s="35">
        <f>'FS Desroches Daily'!BD21</f>
        <v>9.9999999999909051</v>
      </c>
      <c r="AF19" s="31">
        <f>'FS Desroches Daily'!BF21</f>
        <v>43</v>
      </c>
      <c r="AG19" s="32">
        <f>'FS Desroches Daily'!BH21</f>
        <v>20.000000000010232</v>
      </c>
      <c r="AH19" s="32">
        <f>'FS Desroches Daily'!BJ21</f>
        <v>19.99999999998181</v>
      </c>
      <c r="AI19" s="32">
        <f>'FS Desroches Daily'!BL21</f>
        <v>30.000000000001137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16</v>
      </c>
      <c r="AM19" s="32">
        <f>'FS Desroches Daily'!BT21</f>
        <v>20.000000000010232</v>
      </c>
      <c r="AN19" s="32">
        <f>'FS Desroches Daily'!BV21</f>
        <v>22</v>
      </c>
      <c r="AO19" s="32">
        <f>'FS Desroches Daily'!BX21</f>
        <v>9.9999999999909051</v>
      </c>
      <c r="AP19" s="32">
        <f>'FS Desroches Daily'!BZ21</f>
        <v>24</v>
      </c>
      <c r="AQ19" s="31">
        <f>'FS Desroches Daily'!CB21</f>
        <v>10</v>
      </c>
      <c r="AR19" s="31">
        <f>'FS Desroches Daily'!CD21</f>
        <v>3</v>
      </c>
      <c r="AS19" s="31">
        <f>'FS Desroches Daily'!CF21</f>
        <v>18.800000000000182</v>
      </c>
      <c r="AT19" s="31">
        <f>'FS Desroches Daily'!CH21</f>
        <v>18.80000000000291</v>
      </c>
      <c r="AU19" s="31">
        <f>'FS Desroches Daily'!CJ21</f>
        <v>160</v>
      </c>
      <c r="AV19" s="31">
        <f>'FS Desroches Daily'!CL21</f>
        <v>429.99999999994998</v>
      </c>
      <c r="AW19" s="31">
        <f>'FS Desroches Daily'!CM21</f>
        <v>33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7.3259999999999996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1799.9999999998017</v>
      </c>
      <c r="F20" s="32">
        <f>'FS Desroches Daily'!F22</f>
        <v>2700.0000000003688</v>
      </c>
      <c r="G20" s="31">
        <f>'FS Desroches Daily'!H22</f>
        <v>2499.9999999999468</v>
      </c>
      <c r="H20" s="32">
        <f>'FS Desroches Daily'!J22</f>
        <v>1399.9999999998458</v>
      </c>
      <c r="I20" s="31">
        <f>'FS Desroches Daily'!L22</f>
        <v>2099.9999999999909</v>
      </c>
      <c r="J20" s="32">
        <f>'FS Desroches Daily'!N22</f>
        <v>1000.0000000001119</v>
      </c>
      <c r="K20" s="13">
        <f>'FS Desroches Daily'!P22</f>
        <v>18</v>
      </c>
      <c r="L20" s="31">
        <f>'FS Desroches Daily'!R22</f>
        <v>7</v>
      </c>
      <c r="M20" s="31">
        <f>'FS Desroches Daily'!T22</f>
        <v>826.40000000002328</v>
      </c>
      <c r="N20" s="31">
        <f>'FS Desroches Daily'!V22</f>
        <v>297.5</v>
      </c>
      <c r="O20" s="31">
        <f>'FS Desroches Daily'!X22</f>
        <v>220.00000000002728</v>
      </c>
      <c r="P20" s="31">
        <f>'FS Desroches Daily'!Z22</f>
        <v>2599.9999999997135</v>
      </c>
      <c r="Q20" s="31">
        <f>'FS Desroches Daily'!AB22</f>
        <v>420.00000000001592</v>
      </c>
      <c r="R20" s="31">
        <f>'FS Desroches Daily'!AD22</f>
        <v>189.99999999999773</v>
      </c>
      <c r="S20" s="31">
        <f>'FS Desroches Daily'!AF22</f>
        <v>279.99999999997272</v>
      </c>
      <c r="T20" s="31">
        <f>'FS Desroches Daily'!AH22</f>
        <v>33</v>
      </c>
      <c r="U20" s="35">
        <f>'FS Desroches Daily'!AJ22</f>
        <v>669.99999999995907</v>
      </c>
      <c r="V20" s="35">
        <f>'FS Desroches Daily'!AL22</f>
        <v>159.99999999999659</v>
      </c>
      <c r="W20" s="35">
        <f>'FS Desroches Daily'!AN22</f>
        <v>129.99999999999545</v>
      </c>
      <c r="X20" s="35">
        <f>'FS Desroches Daily'!AP22</f>
        <v>49.999999999982947</v>
      </c>
      <c r="Y20" s="35">
        <f>'FS Desroches Daily'!AR22</f>
        <v>80.000000000012506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60.000000000002274</v>
      </c>
      <c r="AC20" s="35">
        <f>'FS Desroches Daily'!AZ22</f>
        <v>29.999999999972715</v>
      </c>
      <c r="AD20" s="35">
        <f>'FS Desroches Daily'!BB22</f>
        <v>20.000000000038654</v>
      </c>
      <c r="AE20" s="35">
        <f>'FS Desroches Daily'!BD22</f>
        <v>30.000000000001137</v>
      </c>
      <c r="AF20" s="31">
        <f>'FS Desroches Daily'!BF22</f>
        <v>34</v>
      </c>
      <c r="AG20" s="32">
        <f>'FS Desroches Daily'!BH22</f>
        <v>50.000000000011369</v>
      </c>
      <c r="AH20" s="32">
        <f>'FS Desroches Daily'!BJ22</f>
        <v>50.000000000011369</v>
      </c>
      <c r="AI20" s="32">
        <f>'FS Desroches Daily'!BL22</f>
        <v>49.999999999982947</v>
      </c>
      <c r="AJ20" s="32">
        <f>'FS Desroches Daily'!BN22</f>
        <v>60.000000000002274</v>
      </c>
      <c r="AK20" s="32">
        <f>'FS Desroches Daily'!BP22</f>
        <v>9.9999999999909051</v>
      </c>
      <c r="AL20" s="32">
        <f>'FS Desroches Daily'!BR22</f>
        <v>35</v>
      </c>
      <c r="AM20" s="32">
        <f>'FS Desroches Daily'!BT22</f>
        <v>30.000000000001137</v>
      </c>
      <c r="AN20" s="32">
        <f>'FS Desroches Daily'!BV22</f>
        <v>52</v>
      </c>
      <c r="AO20" s="32">
        <f>'FS Desroches Daily'!BX22</f>
        <v>40.000000000020464</v>
      </c>
      <c r="AP20" s="32">
        <f>'FS Desroches Daily'!BZ22</f>
        <v>49</v>
      </c>
      <c r="AQ20" s="31">
        <f>'FS Desroches Daily'!CB22</f>
        <v>35.900000000001455</v>
      </c>
      <c r="AR20" s="31">
        <f>'FS Desroches Daily'!CD22</f>
        <v>5.2999999999992724</v>
      </c>
      <c r="AS20" s="31">
        <f>'FS Desroches Daily'!CF22</f>
        <v>9.8000000000001819</v>
      </c>
      <c r="AT20" s="31">
        <f>'FS Desroches Daily'!CH22</f>
        <v>42.19999999999709</v>
      </c>
      <c r="AU20" s="31">
        <f>'FS Desroches Daily'!CJ22</f>
        <v>288</v>
      </c>
      <c r="AV20" s="31">
        <f>'FS Desroches Daily'!CL22</f>
        <v>700.00000000004547</v>
      </c>
      <c r="AW20" s="31">
        <f>'FS Desroches Daily'!CM22</f>
        <v>65</v>
      </c>
      <c r="AX20" s="31">
        <f>IF(LPG!F27-LPG!F26&lt;0,"0",(LPG!F27-LPG!F26)*1.8315)</f>
        <v>0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1700.0000000000348</v>
      </c>
      <c r="F21" s="32">
        <f>'FS Desroches Daily'!F23</f>
        <v>2899.9999999999027</v>
      </c>
      <c r="G21" s="31">
        <f>'FS Desroches Daily'!H23</f>
        <v>2699.9999999999245</v>
      </c>
      <c r="H21" s="32">
        <f>'FS Desroches Daily'!J23</f>
        <v>1500.0000000000568</v>
      </c>
      <c r="I21" s="31">
        <f>'FS Desroches Daily'!L23</f>
        <v>2099.9999999999909</v>
      </c>
      <c r="J21" s="32">
        <f>'FS Desroches Daily'!N23</f>
        <v>1099.9999999998788</v>
      </c>
      <c r="K21" s="13">
        <f>'FS Desroches Daily'!P23</f>
        <v>16</v>
      </c>
      <c r="L21" s="31">
        <f>'FS Desroches Daily'!R23</f>
        <v>5</v>
      </c>
      <c r="M21" s="31">
        <f>'FS Desroches Daily'!T23</f>
        <v>695.40000000002328</v>
      </c>
      <c r="N21" s="31">
        <f>'FS Desroches Daily'!V23</f>
        <v>342.5</v>
      </c>
      <c r="O21" s="31">
        <f>'FS Desroches Daily'!X23</f>
        <v>230.00000000001819</v>
      </c>
      <c r="P21" s="31">
        <f>'FS Desroches Daily'!Z23</f>
        <v>2700.0000000003688</v>
      </c>
      <c r="Q21" s="31">
        <f>'FS Desroches Daily'!AB23</f>
        <v>459.99999999997954</v>
      </c>
      <c r="R21" s="31">
        <f>'FS Desroches Daily'!AD23</f>
        <v>189.99999999999773</v>
      </c>
      <c r="S21" s="31">
        <f>'FS Desroches Daily'!AF23</f>
        <v>320.00000000005002</v>
      </c>
      <c r="T21" s="31">
        <f>'FS Desroches Daily'!AH23</f>
        <v>33</v>
      </c>
      <c r="U21" s="35">
        <f>'FS Desroches Daily'!AJ23</f>
        <v>650.00000000009095</v>
      </c>
      <c r="V21" s="35">
        <f>'FS Desroches Daily'!AL23</f>
        <v>290.00000000002046</v>
      </c>
      <c r="W21" s="35">
        <f>'FS Desroches Daily'!AN23</f>
        <v>60.000000000002274</v>
      </c>
      <c r="X21" s="35">
        <f>'FS Desroches Daily'!AP23</f>
        <v>50.000000000011369</v>
      </c>
      <c r="Y21" s="35">
        <f>'FS Desroches Daily'!AR23</f>
        <v>90.000000000003411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30.000000000029559</v>
      </c>
      <c r="AC21" s="35">
        <f>'FS Desroches Daily'!AZ23</f>
        <v>30.000000000029559</v>
      </c>
      <c r="AD21" s="35">
        <f>'FS Desroches Daily'!BB23</f>
        <v>19.99999999998181</v>
      </c>
      <c r="AE21" s="35">
        <f>'FS Desroches Daily'!BD23</f>
        <v>30.000000000001137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60.000000000002274</v>
      </c>
      <c r="AI21" s="32">
        <f>'FS Desroches Daily'!BL23</f>
        <v>30.000000000001137</v>
      </c>
      <c r="AJ21" s="32">
        <f>'FS Desroches Daily'!BN23</f>
        <v>39.999999999992042</v>
      </c>
      <c r="AK21" s="32">
        <f>'FS Desroches Daily'!BP23</f>
        <v>30.000000000029559</v>
      </c>
      <c r="AL21" s="32">
        <f>'FS Desroches Daily'!BR23</f>
        <v>24</v>
      </c>
      <c r="AM21" s="32">
        <f>'FS Desroches Daily'!BT23</f>
        <v>30.000000000001137</v>
      </c>
      <c r="AN21" s="32">
        <f>'FS Desroches Daily'!BV23</f>
        <v>44</v>
      </c>
      <c r="AO21" s="32">
        <f>'FS Desroches Daily'!BX23</f>
        <v>19.99999999998181</v>
      </c>
      <c r="AP21" s="32">
        <f>'FS Desroches Daily'!BZ23</f>
        <v>44</v>
      </c>
      <c r="AQ21" s="31">
        <f>'FS Desroches Daily'!CB23</f>
        <v>34.700000000000728</v>
      </c>
      <c r="AR21" s="31">
        <f>'FS Desroches Daily'!CD23</f>
        <v>5.5</v>
      </c>
      <c r="AS21" s="31">
        <f>'FS Desroches Daily'!CF23</f>
        <v>12.599999999999454</v>
      </c>
      <c r="AT21" s="31">
        <f>'FS Desroches Daily'!CH23</f>
        <v>50.80000000000291</v>
      </c>
      <c r="AU21" s="31">
        <f>'FS Desroches Daily'!CJ23</f>
        <v>300</v>
      </c>
      <c r="AV21" s="31">
        <f>'FS Desroches Daily'!CL23</f>
        <v>639.99999999998636</v>
      </c>
      <c r="AW21" s="31">
        <f>'FS Desroches Daily'!CM23</f>
        <v>74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str">
        <f>'FS Desroches Daily'!T24</f>
        <v/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48000.000000000051</v>
      </c>
      <c r="F33" s="17">
        <f t="shared" ref="F33:BC33" si="1">SUM(F2:F32)</f>
        <v>63600.000000000109</v>
      </c>
      <c r="G33" s="17">
        <f t="shared" si="1"/>
        <v>56599.999999999985</v>
      </c>
      <c r="H33" s="17">
        <f t="shared" si="1"/>
        <v>29700.000000000062</v>
      </c>
      <c r="I33" s="17">
        <f t="shared" si="1"/>
        <v>45099.999999999709</v>
      </c>
      <c r="J33" s="17">
        <f t="shared" si="1"/>
        <v>21099.999999999898</v>
      </c>
      <c r="K33" s="17">
        <f t="shared" si="1"/>
        <v>436</v>
      </c>
      <c r="L33" s="17">
        <f t="shared" si="1"/>
        <v>143</v>
      </c>
      <c r="M33" s="17">
        <f t="shared" si="1"/>
        <v>19576.20000000007</v>
      </c>
      <c r="N33" s="17">
        <f t="shared" si="1"/>
        <v>9118.1000000000349</v>
      </c>
      <c r="O33" s="17">
        <f t="shared" si="1"/>
        <v>6149.9999999999764</v>
      </c>
      <c r="P33" s="17">
        <f t="shared" si="1"/>
        <v>57900.000000000065</v>
      </c>
      <c r="Q33" s="17">
        <f t="shared" si="1"/>
        <v>8329.9999999999854</v>
      </c>
      <c r="R33" s="17">
        <f t="shared" si="1"/>
        <v>3990.0000000000091</v>
      </c>
      <c r="S33" s="17">
        <f t="shared" si="1"/>
        <v>6690.0000000000546</v>
      </c>
      <c r="T33" s="17">
        <f t="shared" si="1"/>
        <v>745</v>
      </c>
      <c r="U33" s="35">
        <f t="shared" si="1"/>
        <v>17950.000000000047</v>
      </c>
      <c r="V33" s="35">
        <f t="shared" si="1"/>
        <v>4140.0000000000146</v>
      </c>
      <c r="W33" s="35">
        <f t="shared" si="1"/>
        <v>3069.9999999999923</v>
      </c>
      <c r="X33" s="35">
        <f t="shared" si="1"/>
        <v>2900.0000000000059</v>
      </c>
      <c r="Y33" s="35">
        <f t="shared" si="1"/>
        <v>3180.0000000000082</v>
      </c>
      <c r="Z33" s="35">
        <f t="shared" si="1"/>
        <v>3729.9200000000455</v>
      </c>
      <c r="AA33" s="35">
        <f t="shared" si="1"/>
        <v>3729.9200000000455</v>
      </c>
      <c r="AB33" s="35">
        <f t="shared" si="1"/>
        <v>2699.9999999999886</v>
      </c>
      <c r="AC33" s="35">
        <f t="shared" si="1"/>
        <v>670.00000000001592</v>
      </c>
      <c r="AD33" s="35">
        <f t="shared" si="1"/>
        <v>350.00000000002274</v>
      </c>
      <c r="AE33" s="35">
        <f t="shared" si="1"/>
        <v>2229.9999999999891</v>
      </c>
      <c r="AF33" s="17">
        <f t="shared" si="1"/>
        <v>794</v>
      </c>
      <c r="AG33" s="32">
        <f t="shared" si="1"/>
        <v>889.99999999998636</v>
      </c>
      <c r="AH33" s="32">
        <f t="shared" si="1"/>
        <v>870.00000000000455</v>
      </c>
      <c r="AI33" s="32">
        <f t="shared" si="1"/>
        <v>659.99999999999659</v>
      </c>
      <c r="AJ33" s="32">
        <f t="shared" si="1"/>
        <v>960.00000000000796</v>
      </c>
      <c r="AK33" s="32">
        <f t="shared" si="1"/>
        <v>620.00000000000455</v>
      </c>
      <c r="AL33" s="32">
        <f t="shared" si="1"/>
        <v>558</v>
      </c>
      <c r="AM33" s="32">
        <f t="shared" si="1"/>
        <v>780.00000000000114</v>
      </c>
      <c r="AN33" s="32">
        <f t="shared" si="1"/>
        <v>950</v>
      </c>
      <c r="AO33" s="32">
        <f t="shared" si="1"/>
        <v>579.99999999998408</v>
      </c>
      <c r="AP33" s="32">
        <f t="shared" si="1"/>
        <v>1052</v>
      </c>
      <c r="AQ33" s="17">
        <f t="shared" si="1"/>
        <v>524.30000000000291</v>
      </c>
      <c r="AR33" s="17">
        <f t="shared" si="1"/>
        <v>144.60000000000036</v>
      </c>
      <c r="AS33" s="17">
        <f t="shared" si="1"/>
        <v>204.09999999999945</v>
      </c>
      <c r="AT33" s="17">
        <f t="shared" si="1"/>
        <v>875.5</v>
      </c>
      <c r="AU33" s="17">
        <f t="shared" si="1"/>
        <v>6214</v>
      </c>
      <c r="AV33" s="17">
        <f t="shared" si="1"/>
        <v>13439.999999999942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0.22842132313051436</v>
      </c>
      <c r="G35" s="29">
        <f>G33-M36</f>
        <v>27905.699999999881</v>
      </c>
      <c r="AE35" s="35">
        <f>SUM(U33:AE33)</f>
        <v>44649.840000000171</v>
      </c>
      <c r="AG35" s="32">
        <f>SUM(AG33:AP33)</f>
        <v>7919.9999999999854</v>
      </c>
    </row>
    <row r="36" spans="5:55" x14ac:dyDescent="0.25">
      <c r="G36" s="29">
        <f>G35-633*14</f>
        <v>19043.699999999881</v>
      </c>
      <c r="M36" s="29">
        <f>M33+N33</f>
        <v>28694.300000000105</v>
      </c>
    </row>
    <row r="37" spans="5:55" x14ac:dyDescent="0.25">
      <c r="E37" s="17">
        <f>E33+F33+G33+H33+J33-633*14</f>
        <v>210138.00000000012</v>
      </c>
      <c r="G37" s="37">
        <f>M36/E37</f>
        <v>0.13654979108966531</v>
      </c>
      <c r="M37" s="35">
        <f>AE35</f>
        <v>44649.840000000171</v>
      </c>
    </row>
    <row r="38" spans="5:55" x14ac:dyDescent="0.25">
      <c r="L38" s="27">
        <f>M38/E37</f>
        <v>3.7689518316534755E-2</v>
      </c>
      <c r="M38" s="29">
        <f>AG35</f>
        <v>7919.9999999999854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topLeftCell="BX1" zoomScale="77" zoomScaleNormal="77" workbookViewId="0">
      <pane ySplit="1" topLeftCell="A10" activePane="bottomLeft" state="frozen"/>
      <selection pane="bottomLeft" activeCell="BG28" sqref="BG28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>
        <v>2.1328999999999998</v>
      </c>
      <c r="D13" s="64">
        <f t="shared" si="1"/>
        <v>2499.9999999999468</v>
      </c>
      <c r="E13" s="58">
        <v>3.0287000000000002</v>
      </c>
      <c r="F13" s="64">
        <f t="shared" si="2"/>
        <v>3200.0000000000919</v>
      </c>
      <c r="G13" s="58">
        <v>3.1128999999999998</v>
      </c>
      <c r="H13" s="64">
        <f t="shared" si="3"/>
        <v>2799.9999999996917</v>
      </c>
      <c r="I13" s="58">
        <v>1.53</v>
      </c>
      <c r="J13" s="64">
        <f t="shared" si="4"/>
        <v>1500.0000000000568</v>
      </c>
      <c r="K13" s="58">
        <v>2.4809000000000001</v>
      </c>
      <c r="L13" s="64">
        <f t="shared" si="37"/>
        <v>2200.0000000002019</v>
      </c>
      <c r="M13" s="58">
        <v>1.3834</v>
      </c>
      <c r="N13" s="64">
        <f t="shared" si="5"/>
        <v>1099.9999999998788</v>
      </c>
      <c r="O13" s="58">
        <v>13513</v>
      </c>
      <c r="P13" s="67">
        <f t="shared" si="43"/>
        <v>18</v>
      </c>
      <c r="Q13" s="58">
        <v>672</v>
      </c>
      <c r="R13" s="67">
        <f t="shared" si="7"/>
        <v>6</v>
      </c>
      <c r="S13" s="58">
        <v>930272.1</v>
      </c>
      <c r="T13" s="67">
        <f t="shared" si="8"/>
        <v>912.69999999995343</v>
      </c>
      <c r="U13" s="58">
        <v>389949.5</v>
      </c>
      <c r="V13" s="67">
        <f t="shared" si="38"/>
        <v>456.79999999998836</v>
      </c>
      <c r="W13" s="58">
        <v>373.89</v>
      </c>
      <c r="X13" s="65">
        <f t="shared" si="41"/>
        <v>289.99999999996362</v>
      </c>
      <c r="Y13" s="58">
        <v>2.6415000000000002</v>
      </c>
      <c r="Z13" s="65">
        <f t="shared" si="9"/>
        <v>2800.0000000001355</v>
      </c>
      <c r="AA13" s="58">
        <v>370.59</v>
      </c>
      <c r="AB13" s="65">
        <f t="shared" si="10"/>
        <v>359.9999999999568</v>
      </c>
      <c r="AC13" s="58">
        <v>352.64</v>
      </c>
      <c r="AD13" s="65">
        <f t="shared" si="11"/>
        <v>250</v>
      </c>
      <c r="AE13" s="58">
        <v>543.59</v>
      </c>
      <c r="AF13" s="65">
        <f t="shared" si="12"/>
        <v>290.00000000007731</v>
      </c>
      <c r="AG13" s="58">
        <v>1684</v>
      </c>
      <c r="AH13" s="67">
        <f t="shared" si="13"/>
        <v>40</v>
      </c>
      <c r="AI13" s="58">
        <v>556.58000000000004</v>
      </c>
      <c r="AJ13" s="65">
        <f t="shared" si="14"/>
        <v>710.00000000003638</v>
      </c>
      <c r="AK13" s="58">
        <v>188.36</v>
      </c>
      <c r="AL13" s="65">
        <f t="shared" si="14"/>
        <v>250</v>
      </c>
      <c r="AM13" s="58">
        <v>183.06</v>
      </c>
      <c r="AN13" s="65">
        <f t="shared" si="14"/>
        <v>170.00000000001592</v>
      </c>
      <c r="AO13" s="58">
        <v>177.75</v>
      </c>
      <c r="AP13" s="65">
        <f t="shared" si="14"/>
        <v>199.99999999998863</v>
      </c>
      <c r="AQ13" s="58">
        <v>236.82</v>
      </c>
      <c r="AR13" s="65">
        <f t="shared" si="15"/>
        <v>90.000000000003411</v>
      </c>
      <c r="AS13" s="58">
        <v>361.87</v>
      </c>
      <c r="AT13" s="65">
        <f t="shared" si="16"/>
        <v>79.999999999984084</v>
      </c>
      <c r="AU13" s="58">
        <v>278.93</v>
      </c>
      <c r="AV13" s="65">
        <f t="shared" si="17"/>
        <v>209.99999999997954</v>
      </c>
      <c r="AW13" s="58">
        <v>313.89</v>
      </c>
      <c r="AX13" s="65">
        <f t="shared" si="18"/>
        <v>199.99999999998863</v>
      </c>
      <c r="AY13" s="58">
        <v>358.64</v>
      </c>
      <c r="AZ13" s="65">
        <f t="shared" si="19"/>
        <v>29.999999999972715</v>
      </c>
      <c r="BA13" s="58">
        <v>379.44</v>
      </c>
      <c r="BB13" s="65">
        <f t="shared" si="20"/>
        <v>9.9999999999909051</v>
      </c>
      <c r="BC13" s="58">
        <v>238.94</v>
      </c>
      <c r="BD13" s="65">
        <f t="shared" si="21"/>
        <v>159.99999999999659</v>
      </c>
      <c r="BE13" s="59">
        <v>37527</v>
      </c>
      <c r="BF13" s="67">
        <f t="shared" si="39"/>
        <v>59</v>
      </c>
      <c r="BG13" s="60">
        <v>231.06</v>
      </c>
      <c r="BH13" s="65">
        <f t="shared" si="22"/>
        <v>39.999999999992042</v>
      </c>
      <c r="BI13" s="60">
        <v>290.3</v>
      </c>
      <c r="BJ13" s="65">
        <f t="shared" si="40"/>
        <v>30.000000000029559</v>
      </c>
      <c r="BK13" s="60">
        <v>234.22</v>
      </c>
      <c r="BL13" s="65">
        <f t="shared" si="23"/>
        <v>30.000000000001137</v>
      </c>
      <c r="BM13" s="60">
        <v>220.74</v>
      </c>
      <c r="BN13" s="65">
        <f t="shared" si="24"/>
        <v>30.000000000001137</v>
      </c>
      <c r="BO13" s="60">
        <v>285.32</v>
      </c>
      <c r="BP13" s="65">
        <f t="shared" si="25"/>
        <v>29.999999999972715</v>
      </c>
      <c r="BQ13" s="60">
        <v>43171</v>
      </c>
      <c r="BR13" s="65">
        <f t="shared" si="26"/>
        <v>26</v>
      </c>
      <c r="BS13" s="60">
        <v>198.72</v>
      </c>
      <c r="BT13" s="65">
        <f t="shared" si="42"/>
        <v>39.999999999992042</v>
      </c>
      <c r="BU13" s="60">
        <v>37222</v>
      </c>
      <c r="BV13" s="65">
        <f t="shared" si="27"/>
        <v>35</v>
      </c>
      <c r="BW13" s="60">
        <v>229.78</v>
      </c>
      <c r="BX13" s="65">
        <f t="shared" si="28"/>
        <v>30.000000000001137</v>
      </c>
      <c r="BY13" s="60">
        <v>56461</v>
      </c>
      <c r="BZ13" s="67">
        <f t="shared" si="29"/>
        <v>55</v>
      </c>
      <c r="CA13" s="60">
        <v>29265.5</v>
      </c>
      <c r="CB13" s="67">
        <f t="shared" si="30"/>
        <v>21.799999999999272</v>
      </c>
      <c r="CC13" s="60">
        <v>11433.4</v>
      </c>
      <c r="CD13" s="67">
        <f t="shared" si="31"/>
        <v>6.6999999999989086</v>
      </c>
      <c r="CE13" s="60">
        <v>5844.6</v>
      </c>
      <c r="CF13" s="67">
        <f t="shared" si="32"/>
        <v>10.400000000000546</v>
      </c>
      <c r="CG13" s="60">
        <v>56981.1</v>
      </c>
      <c r="CH13" s="67">
        <f t="shared" si="33"/>
        <v>38.400000000001455</v>
      </c>
      <c r="CI13" s="60">
        <v>925542</v>
      </c>
      <c r="CJ13" s="67">
        <f t="shared" si="34"/>
        <v>336</v>
      </c>
      <c r="CK13" s="60">
        <v>708.89</v>
      </c>
      <c r="CL13" s="64">
        <f t="shared" si="35"/>
        <v>639.99999999998636</v>
      </c>
      <c r="CM13" s="65">
        <f t="shared" si="0"/>
        <v>63</v>
      </c>
      <c r="CN13" s="62">
        <v>0</v>
      </c>
      <c r="CO13" s="62">
        <v>0</v>
      </c>
      <c r="CP13" s="68">
        <v>5679</v>
      </c>
      <c r="CQ13" s="67">
        <f>IF((CP13-CP12&lt;0), "",CP13-CP12)</f>
        <v>50</v>
      </c>
      <c r="CR13" s="68">
        <v>12667</v>
      </c>
      <c r="CS13" s="67">
        <f t="shared" si="36"/>
        <v>13</v>
      </c>
      <c r="CT13" s="75">
        <v>5389</v>
      </c>
      <c r="CU13" s="67">
        <f t="shared" si="36"/>
        <v>15</v>
      </c>
      <c r="CV13" s="68">
        <v>13484</v>
      </c>
      <c r="CW13" s="67">
        <f t="shared" si="36"/>
        <v>13</v>
      </c>
    </row>
    <row r="14" spans="1:101" ht="25.5" customHeight="1" thickBot="1" x14ac:dyDescent="0.45">
      <c r="A14" s="63">
        <v>44296</v>
      </c>
      <c r="B14" s="44"/>
      <c r="C14" s="58">
        <v>2.1354000000000002</v>
      </c>
      <c r="D14" s="64">
        <f t="shared" si="1"/>
        <v>2500.0000000003906</v>
      </c>
      <c r="E14" s="58">
        <v>3.0318999999999998</v>
      </c>
      <c r="F14" s="64">
        <f t="shared" si="2"/>
        <v>3199.9999999996476</v>
      </c>
      <c r="G14" s="58">
        <v>3.1158000000000001</v>
      </c>
      <c r="H14" s="64">
        <f t="shared" si="3"/>
        <v>2900.0000000003465</v>
      </c>
      <c r="I14" s="58">
        <v>1.5315000000000001</v>
      </c>
      <c r="J14" s="64">
        <f t="shared" si="4"/>
        <v>1500.0000000000568</v>
      </c>
      <c r="K14" s="58">
        <v>2.4830999999999999</v>
      </c>
      <c r="L14" s="64">
        <f t="shared" si="37"/>
        <v>2199.9999999997576</v>
      </c>
      <c r="M14" s="58">
        <v>1.3844000000000001</v>
      </c>
      <c r="N14" s="64">
        <f t="shared" si="5"/>
        <v>1000.0000000001119</v>
      </c>
      <c r="O14" s="58">
        <v>13533</v>
      </c>
      <c r="P14" s="67">
        <f t="shared" si="43"/>
        <v>20</v>
      </c>
      <c r="Q14" s="58">
        <v>680</v>
      </c>
      <c r="R14" s="67">
        <f t="shared" si="7"/>
        <v>8</v>
      </c>
      <c r="S14" s="58">
        <v>931154</v>
      </c>
      <c r="T14" s="67">
        <f t="shared" si="8"/>
        <v>881.90000000002328</v>
      </c>
      <c r="U14" s="58">
        <v>390360.3</v>
      </c>
      <c r="V14" s="67">
        <f t="shared" si="38"/>
        <v>410.79999999998836</v>
      </c>
      <c r="W14" s="58">
        <v>374.19</v>
      </c>
      <c r="X14" s="65">
        <f t="shared" si="41"/>
        <v>300.00000000001137</v>
      </c>
      <c r="Y14" s="58">
        <v>2.6444000000000001</v>
      </c>
      <c r="Z14" s="65">
        <f t="shared" si="9"/>
        <v>2899.9999999999027</v>
      </c>
      <c r="AA14" s="58">
        <v>371.13</v>
      </c>
      <c r="AB14" s="65">
        <f t="shared" si="10"/>
        <v>540.00000000002046</v>
      </c>
      <c r="AC14" s="58">
        <v>352.87</v>
      </c>
      <c r="AD14" s="65">
        <f t="shared" si="11"/>
        <v>230.00000000001819</v>
      </c>
      <c r="AE14" s="58">
        <v>543.84</v>
      </c>
      <c r="AF14" s="65">
        <f t="shared" si="12"/>
        <v>250</v>
      </c>
      <c r="AG14" s="58">
        <v>1731</v>
      </c>
      <c r="AH14" s="67">
        <f t="shared" si="13"/>
        <v>47</v>
      </c>
      <c r="AI14" s="58">
        <v>557.4</v>
      </c>
      <c r="AJ14" s="65">
        <f t="shared" si="14"/>
        <v>819.99999999993634</v>
      </c>
      <c r="AK14" s="58">
        <v>188.52</v>
      </c>
      <c r="AL14" s="65">
        <f t="shared" si="14"/>
        <v>159.99999999999659</v>
      </c>
      <c r="AM14" s="58">
        <v>183.26</v>
      </c>
      <c r="AN14" s="65">
        <f t="shared" si="14"/>
        <v>199.99999999998863</v>
      </c>
      <c r="AO14" s="58">
        <v>178.01</v>
      </c>
      <c r="AP14" s="65">
        <f t="shared" si="14"/>
        <v>259.99999999999091</v>
      </c>
      <c r="AQ14" s="58">
        <v>236.91</v>
      </c>
      <c r="AR14" s="65">
        <f t="shared" si="15"/>
        <v>90.000000000003411</v>
      </c>
      <c r="AS14" s="58">
        <v>362.09</v>
      </c>
      <c r="AT14" s="65">
        <f t="shared" si="16"/>
        <v>219.99999999997044</v>
      </c>
      <c r="AU14" s="58">
        <v>279.08999999999997</v>
      </c>
      <c r="AV14" s="65">
        <f t="shared" si="17"/>
        <v>159.99999999996817</v>
      </c>
      <c r="AW14" s="58">
        <v>314.04000000000002</v>
      </c>
      <c r="AX14" s="65">
        <f t="shared" si="18"/>
        <v>150.00000000003411</v>
      </c>
      <c r="AY14" s="58">
        <v>358.67</v>
      </c>
      <c r="AZ14" s="65">
        <f t="shared" si="19"/>
        <v>30.000000000029559</v>
      </c>
      <c r="BA14" s="58">
        <v>379.46</v>
      </c>
      <c r="BB14" s="65">
        <f t="shared" si="20"/>
        <v>19.99999999998181</v>
      </c>
      <c r="BC14" s="58">
        <v>239.1</v>
      </c>
      <c r="BD14" s="65">
        <f t="shared" si="21"/>
        <v>159.99999999999659</v>
      </c>
      <c r="BE14" s="59">
        <v>37566</v>
      </c>
      <c r="BF14" s="67">
        <f t="shared" si="39"/>
        <v>39</v>
      </c>
      <c r="BG14" s="60">
        <v>231.1</v>
      </c>
      <c r="BH14" s="65">
        <f t="shared" si="22"/>
        <v>39.999999999992042</v>
      </c>
      <c r="BI14" s="60">
        <v>290.35000000000002</v>
      </c>
      <c r="BJ14" s="65">
        <f t="shared" si="40"/>
        <v>50.000000000011369</v>
      </c>
      <c r="BK14" s="60">
        <v>234.25</v>
      </c>
      <c r="BL14" s="65">
        <f t="shared" si="23"/>
        <v>30.000000000001137</v>
      </c>
      <c r="BM14" s="60">
        <v>220.78</v>
      </c>
      <c r="BN14" s="65">
        <f t="shared" si="24"/>
        <v>39.999999999992042</v>
      </c>
      <c r="BO14" s="60">
        <v>285.35000000000002</v>
      </c>
      <c r="BP14" s="65">
        <f t="shared" si="25"/>
        <v>30.000000000029559</v>
      </c>
      <c r="BQ14" s="60">
        <v>43199</v>
      </c>
      <c r="BR14" s="65">
        <f t="shared" si="26"/>
        <v>28</v>
      </c>
      <c r="BS14" s="60">
        <v>198.75</v>
      </c>
      <c r="BT14" s="65">
        <f t="shared" si="42"/>
        <v>30.000000000001137</v>
      </c>
      <c r="BU14" s="60">
        <v>37266</v>
      </c>
      <c r="BV14" s="65">
        <f t="shared" si="27"/>
        <v>44</v>
      </c>
      <c r="BW14" s="60">
        <v>229.81</v>
      </c>
      <c r="BX14" s="65">
        <f t="shared" si="28"/>
        <v>30.000000000001137</v>
      </c>
      <c r="BY14" s="60">
        <v>56517</v>
      </c>
      <c r="BZ14" s="67">
        <f t="shared" si="29"/>
        <v>56</v>
      </c>
      <c r="CA14" s="60">
        <v>29289.9</v>
      </c>
      <c r="CB14" s="67">
        <f t="shared" si="30"/>
        <v>24.400000000001455</v>
      </c>
      <c r="CC14" s="60">
        <v>11438.6</v>
      </c>
      <c r="CD14" s="67">
        <f t="shared" si="31"/>
        <v>5.2000000000007276</v>
      </c>
      <c r="CE14" s="60">
        <v>5861.7</v>
      </c>
      <c r="CF14" s="67">
        <f t="shared" si="32"/>
        <v>17.099999999999454</v>
      </c>
      <c r="CG14" s="60">
        <v>57023.1</v>
      </c>
      <c r="CH14" s="67">
        <f t="shared" si="33"/>
        <v>42</v>
      </c>
      <c r="CI14" s="60">
        <v>925900</v>
      </c>
      <c r="CJ14" s="67">
        <f t="shared" si="34"/>
        <v>358</v>
      </c>
      <c r="CK14" s="60">
        <v>709.61</v>
      </c>
      <c r="CL14" s="64">
        <f t="shared" si="35"/>
        <v>720.00000000002728</v>
      </c>
      <c r="CM14" s="65">
        <f t="shared" si="0"/>
        <v>70</v>
      </c>
      <c r="CN14" s="62">
        <v>0</v>
      </c>
      <c r="CO14" s="62">
        <v>0</v>
      </c>
      <c r="CP14" s="68">
        <v>5737</v>
      </c>
      <c r="CQ14" s="67">
        <f t="shared" si="36"/>
        <v>58</v>
      </c>
      <c r="CR14" s="68">
        <v>12679</v>
      </c>
      <c r="CS14" s="67">
        <f t="shared" si="36"/>
        <v>12</v>
      </c>
      <c r="CT14" s="75">
        <v>5404</v>
      </c>
      <c r="CU14" s="67">
        <f t="shared" si="36"/>
        <v>15</v>
      </c>
      <c r="CV14" s="68">
        <v>13506</v>
      </c>
      <c r="CW14" s="67">
        <f t="shared" si="36"/>
        <v>22</v>
      </c>
    </row>
    <row r="15" spans="1:101" ht="25.5" customHeight="1" thickBot="1" x14ac:dyDescent="0.45">
      <c r="A15" s="63">
        <v>44297</v>
      </c>
      <c r="B15" s="44"/>
      <c r="C15" s="58">
        <v>2.1392000000000002</v>
      </c>
      <c r="D15" s="64">
        <f t="shared" si="1"/>
        <v>3800.0000000000255</v>
      </c>
      <c r="E15" s="58">
        <v>3.0367000000000002</v>
      </c>
      <c r="F15" s="64">
        <f t="shared" si="2"/>
        <v>4800.0000000003593</v>
      </c>
      <c r="G15" s="58">
        <v>3.1198999999999999</v>
      </c>
      <c r="H15" s="64">
        <f t="shared" si="3"/>
        <v>4099.9999999997708</v>
      </c>
      <c r="I15" s="58">
        <v>1.5335000000000001</v>
      </c>
      <c r="J15" s="64">
        <f t="shared" si="4"/>
        <v>2000.0000000000018</v>
      </c>
      <c r="K15" s="58">
        <v>2.4862000000000002</v>
      </c>
      <c r="L15" s="64">
        <f t="shared" si="37"/>
        <v>3100.0000000003247</v>
      </c>
      <c r="M15" s="58">
        <v>1.3859999999999999</v>
      </c>
      <c r="N15" s="64">
        <f t="shared" si="5"/>
        <v>1599.9999999998238</v>
      </c>
      <c r="O15" s="58">
        <v>13569</v>
      </c>
      <c r="P15" s="67">
        <f t="shared" si="43"/>
        <v>36</v>
      </c>
      <c r="Q15" s="58">
        <v>690</v>
      </c>
      <c r="R15" s="67">
        <f t="shared" si="7"/>
        <v>10</v>
      </c>
      <c r="S15" s="58">
        <v>932686.9</v>
      </c>
      <c r="T15" s="67">
        <f t="shared" si="8"/>
        <v>1532.9000000000233</v>
      </c>
      <c r="U15" s="58">
        <v>391134</v>
      </c>
      <c r="V15" s="67">
        <f t="shared" si="38"/>
        <v>773.70000000001164</v>
      </c>
      <c r="W15" s="58">
        <v>374.69</v>
      </c>
      <c r="X15" s="65">
        <f t="shared" si="41"/>
        <v>500</v>
      </c>
      <c r="Y15" s="58">
        <v>2.6486999999999998</v>
      </c>
      <c r="Z15" s="65">
        <f t="shared" si="9"/>
        <v>4299.9999999997481</v>
      </c>
      <c r="AA15" s="58">
        <v>371.76</v>
      </c>
      <c r="AB15" s="65">
        <f t="shared" si="10"/>
        <v>629.99999999999545</v>
      </c>
      <c r="AC15" s="58">
        <v>353.17</v>
      </c>
      <c r="AD15" s="65">
        <f t="shared" si="11"/>
        <v>300.00000000001137</v>
      </c>
      <c r="AE15" s="58">
        <v>544.14</v>
      </c>
      <c r="AF15" s="65">
        <f t="shared" si="12"/>
        <v>299.99999999995453</v>
      </c>
      <c r="AG15" s="58">
        <v>1779</v>
      </c>
      <c r="AH15" s="67">
        <f t="shared" si="13"/>
        <v>48</v>
      </c>
      <c r="AI15" s="58">
        <v>558.79999999999995</v>
      </c>
      <c r="AJ15" s="65">
        <f t="shared" si="14"/>
        <v>1399.9999999999773</v>
      </c>
      <c r="AK15" s="58">
        <v>188.78</v>
      </c>
      <c r="AL15" s="65">
        <f t="shared" si="14"/>
        <v>259.99999999999091</v>
      </c>
      <c r="AM15" s="58">
        <v>183.64</v>
      </c>
      <c r="AN15" s="65">
        <f t="shared" si="14"/>
        <v>379.99999999999545</v>
      </c>
      <c r="AO15" s="58">
        <v>178.45</v>
      </c>
      <c r="AP15" s="65">
        <f t="shared" si="14"/>
        <v>439.99999999999773</v>
      </c>
      <c r="AQ15" s="58">
        <v>237.04</v>
      </c>
      <c r="AR15" s="65">
        <f t="shared" si="15"/>
        <v>129.99999999999545</v>
      </c>
      <c r="AS15" s="58">
        <v>362.21</v>
      </c>
      <c r="AT15" s="65">
        <f t="shared" si="16"/>
        <v>120.00000000000455</v>
      </c>
      <c r="AU15" s="58">
        <v>279.42</v>
      </c>
      <c r="AV15" s="65">
        <f t="shared" si="17"/>
        <v>330.00000000004093</v>
      </c>
      <c r="AW15" s="58">
        <v>314.43</v>
      </c>
      <c r="AX15" s="65">
        <f t="shared" si="18"/>
        <v>389.99999999998636</v>
      </c>
      <c r="AY15" s="58">
        <v>358.71</v>
      </c>
      <c r="AZ15" s="65">
        <f t="shared" si="19"/>
        <v>39.99999999996362</v>
      </c>
      <c r="BA15" s="58">
        <v>379.49</v>
      </c>
      <c r="BB15" s="65">
        <f t="shared" si="20"/>
        <v>30.000000000029559</v>
      </c>
      <c r="BC15" s="58">
        <v>239.38</v>
      </c>
      <c r="BD15" s="65">
        <f t="shared" si="21"/>
        <v>280.00000000000114</v>
      </c>
      <c r="BE15" s="59">
        <v>37603</v>
      </c>
      <c r="BF15" s="67">
        <f t="shared" si="39"/>
        <v>37</v>
      </c>
      <c r="BG15" s="60">
        <v>231.17</v>
      </c>
      <c r="BH15" s="65">
        <f t="shared" si="22"/>
        <v>69.999999999993179</v>
      </c>
      <c r="BI15" s="60">
        <v>290.39999999999998</v>
      </c>
      <c r="BJ15" s="65">
        <f t="shared" si="40"/>
        <v>49.999999999954525</v>
      </c>
      <c r="BK15" s="60">
        <v>234.29</v>
      </c>
      <c r="BL15" s="65">
        <f t="shared" si="23"/>
        <v>39.999999999992042</v>
      </c>
      <c r="BM15" s="60">
        <v>220.89</v>
      </c>
      <c r="BN15" s="65">
        <f t="shared" si="24"/>
        <v>109.99999999998522</v>
      </c>
      <c r="BO15" s="60">
        <v>285.39</v>
      </c>
      <c r="BP15" s="65">
        <f t="shared" si="25"/>
        <v>39.99999999996362</v>
      </c>
      <c r="BQ15" s="60">
        <v>43236</v>
      </c>
      <c r="BR15" s="65">
        <f t="shared" si="26"/>
        <v>37</v>
      </c>
      <c r="BS15" s="60">
        <v>198.81</v>
      </c>
      <c r="BT15" s="65">
        <f t="shared" si="42"/>
        <v>60.000000000002274</v>
      </c>
      <c r="BU15" s="60">
        <v>37331</v>
      </c>
      <c r="BV15" s="65">
        <f t="shared" si="27"/>
        <v>65</v>
      </c>
      <c r="BW15" s="60">
        <v>229.85</v>
      </c>
      <c r="BX15" s="65">
        <f t="shared" si="28"/>
        <v>39.999999999992042</v>
      </c>
      <c r="BY15" s="60">
        <v>56595</v>
      </c>
      <c r="BZ15" s="67">
        <f t="shared" si="29"/>
        <v>78</v>
      </c>
      <c r="CA15" s="60">
        <v>29322.5</v>
      </c>
      <c r="CB15" s="67">
        <f t="shared" si="30"/>
        <v>32.599999999998545</v>
      </c>
      <c r="CC15" s="60">
        <v>11452.9</v>
      </c>
      <c r="CD15" s="67">
        <f t="shared" si="31"/>
        <v>14.299999999999272</v>
      </c>
      <c r="CE15" s="60">
        <v>5882.6</v>
      </c>
      <c r="CF15" s="67">
        <f t="shared" si="32"/>
        <v>20.900000000000546</v>
      </c>
      <c r="CG15" s="60">
        <v>57072.1</v>
      </c>
      <c r="CH15" s="67">
        <f t="shared" si="33"/>
        <v>49</v>
      </c>
      <c r="CI15" s="60">
        <v>926313</v>
      </c>
      <c r="CJ15" s="67">
        <f t="shared" si="34"/>
        <v>413</v>
      </c>
      <c r="CK15" s="60">
        <v>710.41</v>
      </c>
      <c r="CL15" s="64">
        <f t="shared" si="35"/>
        <v>799.99999999995453</v>
      </c>
      <c r="CM15" s="65">
        <f t="shared" si="0"/>
        <v>91</v>
      </c>
      <c r="CN15" s="62">
        <v>0</v>
      </c>
      <c r="CO15" s="62">
        <v>0</v>
      </c>
      <c r="CP15" s="68">
        <v>5804</v>
      </c>
      <c r="CQ15" s="67">
        <f t="shared" si="36"/>
        <v>67</v>
      </c>
      <c r="CR15" s="68">
        <v>12703</v>
      </c>
      <c r="CS15" s="67">
        <f t="shared" si="36"/>
        <v>24</v>
      </c>
      <c r="CT15" s="75">
        <v>5426</v>
      </c>
      <c r="CU15" s="67">
        <f t="shared" si="36"/>
        <v>22</v>
      </c>
      <c r="CV15" s="68">
        <v>13526</v>
      </c>
      <c r="CW15" s="67">
        <f t="shared" si="36"/>
        <v>20</v>
      </c>
    </row>
    <row r="16" spans="1:101" ht="25.5" customHeight="1" thickBot="1" x14ac:dyDescent="0.45">
      <c r="A16" s="63">
        <v>44298</v>
      </c>
      <c r="B16" s="44"/>
      <c r="C16" s="58">
        <v>2.1414</v>
      </c>
      <c r="D16" s="64">
        <f t="shared" si="1"/>
        <v>2199.9999999997576</v>
      </c>
      <c r="E16" s="58">
        <v>3.0396999999999998</v>
      </c>
      <c r="F16" s="64">
        <f t="shared" si="2"/>
        <v>2999.9999999996694</v>
      </c>
      <c r="G16" s="58">
        <v>3.1227</v>
      </c>
      <c r="H16" s="64">
        <f t="shared" si="3"/>
        <v>2800.0000000001355</v>
      </c>
      <c r="I16" s="58">
        <v>1.5349999999999999</v>
      </c>
      <c r="J16" s="64">
        <f t="shared" si="4"/>
        <v>1499.9999999998347</v>
      </c>
      <c r="K16" s="58">
        <v>2.4883000000000002</v>
      </c>
      <c r="L16" s="64">
        <f t="shared" si="37"/>
        <v>2099.9999999999909</v>
      </c>
      <c r="M16" s="58">
        <v>1.3869</v>
      </c>
      <c r="N16" s="64">
        <f t="shared" si="5"/>
        <v>900.0000000001229</v>
      </c>
      <c r="O16" s="58">
        <v>13583</v>
      </c>
      <c r="P16" s="67">
        <f t="shared" si="43"/>
        <v>14</v>
      </c>
      <c r="Q16" s="58">
        <v>697</v>
      </c>
      <c r="R16" s="67">
        <f t="shared" si="7"/>
        <v>7</v>
      </c>
      <c r="S16" s="58">
        <v>933989.2</v>
      </c>
      <c r="T16" s="67">
        <f t="shared" si="8"/>
        <v>1302.2999999999302</v>
      </c>
      <c r="U16" s="58">
        <v>391705.4</v>
      </c>
      <c r="V16" s="67">
        <f t="shared" si="38"/>
        <v>571.40000000002328</v>
      </c>
      <c r="W16" s="58">
        <v>374.94</v>
      </c>
      <c r="X16" s="65">
        <f t="shared" si="41"/>
        <v>250</v>
      </c>
      <c r="Y16" s="58">
        <v>2.6516000000000002</v>
      </c>
      <c r="Z16" s="65">
        <f t="shared" si="9"/>
        <v>2900.0000000003465</v>
      </c>
      <c r="AA16" s="58">
        <v>372.25</v>
      </c>
      <c r="AB16" s="65">
        <f t="shared" si="10"/>
        <v>490.00000000000909</v>
      </c>
      <c r="AC16" s="58">
        <v>353.43</v>
      </c>
      <c r="AD16" s="65">
        <f t="shared" si="11"/>
        <v>259.99999999999091</v>
      </c>
      <c r="AE16" s="58">
        <v>544.45000000000005</v>
      </c>
      <c r="AF16" s="65">
        <f t="shared" si="12"/>
        <v>310.00000000005912</v>
      </c>
      <c r="AG16" s="58">
        <v>1813</v>
      </c>
      <c r="AH16" s="67">
        <f t="shared" si="13"/>
        <v>34</v>
      </c>
      <c r="AI16" s="58">
        <v>559.58000000000004</v>
      </c>
      <c r="AJ16" s="65">
        <f t="shared" si="14"/>
        <v>780.0000000000864</v>
      </c>
      <c r="AK16" s="58">
        <v>188.9</v>
      </c>
      <c r="AL16" s="65">
        <f t="shared" si="14"/>
        <v>120.00000000000455</v>
      </c>
      <c r="AM16" s="58">
        <v>183.74</v>
      </c>
      <c r="AN16" s="65">
        <f t="shared" si="14"/>
        <v>100.00000000002274</v>
      </c>
      <c r="AO16" s="58">
        <v>178.64</v>
      </c>
      <c r="AP16" s="65">
        <f t="shared" si="14"/>
        <v>189.99999999999773</v>
      </c>
      <c r="AQ16" s="58">
        <v>237.12</v>
      </c>
      <c r="AR16" s="65">
        <f t="shared" si="15"/>
        <v>80.000000000012506</v>
      </c>
      <c r="AS16" s="58">
        <v>362.28</v>
      </c>
      <c r="AT16" s="65">
        <f t="shared" si="16"/>
        <v>69.999999999993179</v>
      </c>
      <c r="AU16" s="58">
        <v>279.52</v>
      </c>
      <c r="AV16" s="65">
        <f t="shared" si="17"/>
        <v>99.999999999965894</v>
      </c>
      <c r="AW16" s="58">
        <v>314.51</v>
      </c>
      <c r="AX16" s="65">
        <f t="shared" si="18"/>
        <v>79.999999999984084</v>
      </c>
      <c r="AY16" s="58">
        <v>358.74</v>
      </c>
      <c r="AZ16" s="65">
        <f t="shared" si="19"/>
        <v>30.000000000029559</v>
      </c>
      <c r="BA16" s="58">
        <v>379.51</v>
      </c>
      <c r="BB16" s="65">
        <f t="shared" si="20"/>
        <v>19.99999999998181</v>
      </c>
      <c r="BC16" s="58">
        <v>239.51</v>
      </c>
      <c r="BD16" s="65">
        <f t="shared" si="21"/>
        <v>129.99999999999545</v>
      </c>
      <c r="BE16" s="59">
        <v>37640</v>
      </c>
      <c r="BF16" s="67">
        <f t="shared" si="39"/>
        <v>37</v>
      </c>
      <c r="BG16" s="60">
        <v>231.21</v>
      </c>
      <c r="BH16" s="65">
        <f t="shared" si="22"/>
        <v>40.000000000020464</v>
      </c>
      <c r="BI16" s="60">
        <v>290.44</v>
      </c>
      <c r="BJ16" s="65">
        <f t="shared" si="40"/>
        <v>40.000000000020464</v>
      </c>
      <c r="BK16" s="60">
        <v>234.32</v>
      </c>
      <c r="BL16" s="65">
        <f t="shared" si="23"/>
        <v>30.000000000001137</v>
      </c>
      <c r="BM16" s="60">
        <v>220.9</v>
      </c>
      <c r="BN16" s="65">
        <f t="shared" si="24"/>
        <v>10.000000000019327</v>
      </c>
      <c r="BO16" s="60">
        <v>285.42</v>
      </c>
      <c r="BP16" s="65">
        <f t="shared" si="25"/>
        <v>30.000000000029559</v>
      </c>
      <c r="BQ16" s="60">
        <v>43261</v>
      </c>
      <c r="BR16" s="65">
        <f t="shared" si="26"/>
        <v>25</v>
      </c>
      <c r="BS16" s="60">
        <v>198.85</v>
      </c>
      <c r="BT16" s="65">
        <f t="shared" si="42"/>
        <v>39.999999999992042</v>
      </c>
      <c r="BU16" s="60">
        <v>37373</v>
      </c>
      <c r="BV16" s="65">
        <f t="shared" si="27"/>
        <v>42</v>
      </c>
      <c r="BW16" s="60">
        <v>229.87</v>
      </c>
      <c r="BX16" s="65">
        <f t="shared" si="28"/>
        <v>20.000000000010232</v>
      </c>
      <c r="BY16" s="60">
        <v>56638</v>
      </c>
      <c r="BZ16" s="67">
        <f t="shared" si="29"/>
        <v>43</v>
      </c>
      <c r="CA16" s="60">
        <v>29347.599999999999</v>
      </c>
      <c r="CB16" s="67">
        <f>IF((CA16-CA15&lt;0), "",CA16-CA15)</f>
        <v>25.099999999998545</v>
      </c>
      <c r="CC16" s="60">
        <v>11460.7</v>
      </c>
      <c r="CD16" s="67">
        <f t="shared" si="31"/>
        <v>7.8000000000010914</v>
      </c>
      <c r="CE16" s="60">
        <v>5897.6</v>
      </c>
      <c r="CF16" s="67">
        <f t="shared" si="32"/>
        <v>15</v>
      </c>
      <c r="CG16" s="60">
        <v>57107.6</v>
      </c>
      <c r="CH16" s="67">
        <f t="shared" si="33"/>
        <v>35.5</v>
      </c>
      <c r="CI16" s="60">
        <v>926608</v>
      </c>
      <c r="CJ16" s="67">
        <f t="shared" si="34"/>
        <v>295</v>
      </c>
      <c r="CK16" s="60">
        <v>711.09</v>
      </c>
      <c r="CL16" s="64">
        <f t="shared" si="35"/>
        <v>680.00000000006366</v>
      </c>
      <c r="CM16" s="65">
        <f t="shared" si="0"/>
        <v>109</v>
      </c>
      <c r="CN16" s="62">
        <v>0</v>
      </c>
      <c r="CO16" s="62">
        <v>0</v>
      </c>
      <c r="CP16" s="68">
        <v>5899</v>
      </c>
      <c r="CQ16" s="67">
        <f t="shared" si="36"/>
        <v>95</v>
      </c>
      <c r="CR16" s="68">
        <v>12717</v>
      </c>
      <c r="CS16" s="67">
        <f t="shared" si="36"/>
        <v>14</v>
      </c>
      <c r="CT16" s="75">
        <v>5440</v>
      </c>
      <c r="CU16" s="67">
        <f t="shared" si="36"/>
        <v>14</v>
      </c>
      <c r="CV16" s="68">
        <v>13538</v>
      </c>
      <c r="CW16" s="67">
        <f t="shared" si="36"/>
        <v>12</v>
      </c>
    </row>
    <row r="17" spans="1:101" ht="25.5" customHeight="1" thickBot="1" x14ac:dyDescent="0.45">
      <c r="A17" s="63">
        <v>44299</v>
      </c>
      <c r="B17" s="44"/>
      <c r="C17" s="58">
        <v>2.1427999999999998</v>
      </c>
      <c r="D17" s="64">
        <f t="shared" si="1"/>
        <v>1399.9999999998458</v>
      </c>
      <c r="E17" s="58">
        <v>3.0417000000000001</v>
      </c>
      <c r="F17" s="64">
        <f t="shared" si="2"/>
        <v>2000.0000000002237</v>
      </c>
      <c r="G17" s="58">
        <v>3.1246</v>
      </c>
      <c r="H17" s="64">
        <f t="shared" si="3"/>
        <v>1900.0000000000127</v>
      </c>
      <c r="I17" s="58">
        <v>1.536</v>
      </c>
      <c r="J17" s="64">
        <f t="shared" si="4"/>
        <v>1000.0000000001119</v>
      </c>
      <c r="K17" s="58">
        <v>2.4897999999999998</v>
      </c>
      <c r="L17" s="64">
        <f t="shared" si="37"/>
        <v>1499.9999999996128</v>
      </c>
      <c r="M17" s="58">
        <v>1.3874</v>
      </c>
      <c r="N17" s="64">
        <f t="shared" si="5"/>
        <v>499.99999999994492</v>
      </c>
      <c r="O17" s="58">
        <v>13592</v>
      </c>
      <c r="P17" s="67">
        <f t="shared" si="43"/>
        <v>9</v>
      </c>
      <c r="Q17" s="58">
        <v>701</v>
      </c>
      <c r="R17" s="67">
        <f t="shared" si="7"/>
        <v>4</v>
      </c>
      <c r="S17" s="58">
        <v>934385.2</v>
      </c>
      <c r="T17" s="67">
        <f t="shared" si="8"/>
        <v>396</v>
      </c>
      <c r="U17" s="58">
        <v>391893.6</v>
      </c>
      <c r="V17" s="67">
        <f t="shared" si="38"/>
        <v>188.19999999995343</v>
      </c>
      <c r="W17" s="58">
        <v>375.12</v>
      </c>
      <c r="X17" s="65">
        <f t="shared" si="41"/>
        <v>180.00000000000682</v>
      </c>
      <c r="Y17" s="58">
        <v>2.6533000000000002</v>
      </c>
      <c r="Z17" s="65">
        <f t="shared" si="9"/>
        <v>1700.0000000000348</v>
      </c>
      <c r="AA17" s="58">
        <v>372.38</v>
      </c>
      <c r="AB17" s="65">
        <f t="shared" si="10"/>
        <v>129.99999999999545</v>
      </c>
      <c r="AC17" s="58">
        <v>353.51</v>
      </c>
      <c r="AD17" s="65">
        <f t="shared" si="11"/>
        <v>79.999999999984084</v>
      </c>
      <c r="AE17" s="58">
        <v>544.62</v>
      </c>
      <c r="AF17" s="65">
        <f t="shared" si="12"/>
        <v>169.99999999995907</v>
      </c>
      <c r="AG17" s="58">
        <v>1839</v>
      </c>
      <c r="AH17" s="67">
        <f t="shared" si="13"/>
        <v>26</v>
      </c>
      <c r="AI17" s="58">
        <v>560.12</v>
      </c>
      <c r="AJ17" s="65">
        <f t="shared" si="14"/>
        <v>539.99999999996362</v>
      </c>
      <c r="AK17" s="58">
        <v>188.95</v>
      </c>
      <c r="AL17" s="65">
        <f t="shared" si="14"/>
        <v>49.999999999982947</v>
      </c>
      <c r="AM17" s="58">
        <v>183.83</v>
      </c>
      <c r="AN17" s="65">
        <f t="shared" si="14"/>
        <v>90.000000000003411</v>
      </c>
      <c r="AO17" s="58">
        <v>178.67</v>
      </c>
      <c r="AP17" s="65">
        <f t="shared" si="14"/>
        <v>30.000000000001137</v>
      </c>
      <c r="AQ17" s="58">
        <v>237.18</v>
      </c>
      <c r="AR17" s="65">
        <f t="shared" si="15"/>
        <v>60.000000000002274</v>
      </c>
      <c r="AS17" s="58">
        <v>362.36</v>
      </c>
      <c r="AT17" s="65">
        <f t="shared" si="16"/>
        <v>80.000000000040927</v>
      </c>
      <c r="AU17" s="58">
        <v>279.57</v>
      </c>
      <c r="AV17" s="65">
        <f t="shared" si="17"/>
        <v>50.000000000011369</v>
      </c>
      <c r="AW17" s="58">
        <v>314.54000000000002</v>
      </c>
      <c r="AX17" s="65">
        <f t="shared" si="18"/>
        <v>30.000000000029559</v>
      </c>
      <c r="AY17" s="58">
        <v>358.75</v>
      </c>
      <c r="AZ17" s="65">
        <f t="shared" si="19"/>
        <v>9.9999999999909051</v>
      </c>
      <c r="BA17" s="58">
        <v>379.52</v>
      </c>
      <c r="BB17" s="65">
        <f t="shared" si="20"/>
        <v>9.9999999999909051</v>
      </c>
      <c r="BC17" s="58">
        <v>239.52</v>
      </c>
      <c r="BD17" s="65">
        <f t="shared" si="21"/>
        <v>10.000000000019327</v>
      </c>
      <c r="BE17" s="59">
        <v>37679</v>
      </c>
      <c r="BF17" s="67">
        <f t="shared" si="39"/>
        <v>39</v>
      </c>
      <c r="BG17" s="60">
        <v>231.24</v>
      </c>
      <c r="BH17" s="65">
        <f t="shared" si="22"/>
        <v>30.000000000001137</v>
      </c>
      <c r="BI17" s="60">
        <v>290.47000000000003</v>
      </c>
      <c r="BJ17" s="65">
        <f t="shared" si="40"/>
        <v>30.000000000029559</v>
      </c>
      <c r="BK17" s="60">
        <v>234.34</v>
      </c>
      <c r="BL17" s="65">
        <f t="shared" si="23"/>
        <v>20.000000000010232</v>
      </c>
      <c r="BM17" s="60">
        <v>220.93</v>
      </c>
      <c r="BN17" s="65">
        <f t="shared" si="24"/>
        <v>30.000000000001137</v>
      </c>
      <c r="BO17" s="60">
        <v>285.45</v>
      </c>
      <c r="BP17" s="65">
        <f t="shared" si="25"/>
        <v>29.999999999972715</v>
      </c>
      <c r="BQ17" s="60">
        <v>43281</v>
      </c>
      <c r="BR17" s="65">
        <f t="shared" si="26"/>
        <v>20</v>
      </c>
      <c r="BS17" s="60">
        <v>198.87</v>
      </c>
      <c r="BT17" s="65">
        <f t="shared" si="42"/>
        <v>20.000000000010232</v>
      </c>
      <c r="BU17" s="60">
        <v>37402</v>
      </c>
      <c r="BV17" s="65">
        <f t="shared" si="27"/>
        <v>29</v>
      </c>
      <c r="BW17" s="60">
        <v>229.89</v>
      </c>
      <c r="BX17" s="65">
        <f t="shared" si="28"/>
        <v>19.99999999998181</v>
      </c>
      <c r="BY17" s="60">
        <v>56676</v>
      </c>
      <c r="BZ17" s="67">
        <f t="shared" si="29"/>
        <v>38</v>
      </c>
      <c r="CA17" s="60">
        <v>29362.799999999999</v>
      </c>
      <c r="CB17" s="67">
        <f>IF((CA17-CA16&lt;0), "",CA17-CA16)</f>
        <v>15.200000000000728</v>
      </c>
      <c r="CC17" s="60">
        <v>11463.9</v>
      </c>
      <c r="CD17" s="67">
        <f t="shared" si="31"/>
        <v>3.1999999999989086</v>
      </c>
      <c r="CE17" s="60">
        <v>5898</v>
      </c>
      <c r="CF17" s="67">
        <f t="shared" si="32"/>
        <v>0.3999999999996362</v>
      </c>
      <c r="CG17" s="60">
        <v>57122.7</v>
      </c>
      <c r="CH17" s="67">
        <f t="shared" si="33"/>
        <v>15.099999999998545</v>
      </c>
      <c r="CI17" s="60">
        <v>926812</v>
      </c>
      <c r="CJ17" s="67">
        <f t="shared" si="34"/>
        <v>204</v>
      </c>
      <c r="CK17" s="60">
        <v>711.62</v>
      </c>
      <c r="CL17" s="64">
        <f t="shared" si="35"/>
        <v>529.99999999997272</v>
      </c>
      <c r="CM17" s="65">
        <f t="shared" si="0"/>
        <v>54</v>
      </c>
      <c r="CN17" s="62">
        <v>0</v>
      </c>
      <c r="CO17" s="62">
        <v>0</v>
      </c>
      <c r="CP17" s="68">
        <v>5928</v>
      </c>
      <c r="CQ17" s="67">
        <f t="shared" si="36"/>
        <v>29</v>
      </c>
      <c r="CR17" s="68">
        <v>12742</v>
      </c>
      <c r="CS17" s="67">
        <f t="shared" si="36"/>
        <v>25</v>
      </c>
      <c r="CT17" s="75">
        <v>5452</v>
      </c>
      <c r="CU17" s="67">
        <f t="shared" si="36"/>
        <v>12</v>
      </c>
      <c r="CV17" s="68">
        <v>13557</v>
      </c>
      <c r="CW17" s="67">
        <f t="shared" si="36"/>
        <v>19</v>
      </c>
    </row>
    <row r="18" spans="1:101" ht="25.5" customHeight="1" thickBot="1" x14ac:dyDescent="0.45">
      <c r="A18" s="63">
        <v>44300</v>
      </c>
      <c r="B18" s="44"/>
      <c r="C18" s="58">
        <v>2.1446999999999998</v>
      </c>
      <c r="D18" s="64">
        <f t="shared" si="1"/>
        <v>1900.0000000000127</v>
      </c>
      <c r="E18" s="58">
        <v>3.0445000000000002</v>
      </c>
      <c r="F18" s="64">
        <f t="shared" si="2"/>
        <v>2800.0000000001355</v>
      </c>
      <c r="G18" s="58">
        <v>3.1273</v>
      </c>
      <c r="H18" s="64">
        <f t="shared" si="3"/>
        <v>2699.9999999999245</v>
      </c>
      <c r="I18" s="58">
        <v>1.5374000000000001</v>
      </c>
      <c r="J18" s="64">
        <f t="shared" si="4"/>
        <v>1400.0000000000678</v>
      </c>
      <c r="K18" s="58">
        <v>2.4918999999999998</v>
      </c>
      <c r="L18" s="64">
        <f t="shared" si="37"/>
        <v>2099.9999999999909</v>
      </c>
      <c r="M18" s="58">
        <v>1.3884000000000001</v>
      </c>
      <c r="N18" s="64">
        <f t="shared" si="5"/>
        <v>1000.0000000001119</v>
      </c>
      <c r="O18" s="58">
        <v>13609</v>
      </c>
      <c r="P18" s="67">
        <f t="shared" si="43"/>
        <v>17</v>
      </c>
      <c r="Q18" s="58">
        <v>707</v>
      </c>
      <c r="R18" s="67">
        <f t="shared" si="7"/>
        <v>6</v>
      </c>
      <c r="S18" s="58">
        <v>935191</v>
      </c>
      <c r="T18" s="67">
        <f t="shared" si="8"/>
        <v>805.80000000004657</v>
      </c>
      <c r="U18" s="58">
        <v>392258</v>
      </c>
      <c r="V18" s="67">
        <f t="shared" si="38"/>
        <v>364.40000000002328</v>
      </c>
      <c r="W18" s="58">
        <v>375.42</v>
      </c>
      <c r="X18" s="65">
        <f t="shared" si="41"/>
        <v>300.00000000001137</v>
      </c>
      <c r="Y18" s="58">
        <v>2.6558000000000002</v>
      </c>
      <c r="Z18" s="65">
        <f t="shared" si="9"/>
        <v>2499.9999999999468</v>
      </c>
      <c r="AA18" s="58">
        <v>372.82</v>
      </c>
      <c r="AB18" s="65">
        <f t="shared" si="10"/>
        <v>439.99999999999773</v>
      </c>
      <c r="AC18" s="58">
        <v>353.68</v>
      </c>
      <c r="AD18" s="65">
        <f t="shared" si="11"/>
        <v>170.00000000001592</v>
      </c>
      <c r="AE18" s="58">
        <v>544.86</v>
      </c>
      <c r="AF18" s="65">
        <f t="shared" si="12"/>
        <v>240.00000000000909</v>
      </c>
      <c r="AG18" s="58">
        <v>1875</v>
      </c>
      <c r="AH18" s="67">
        <f t="shared" si="13"/>
        <v>36</v>
      </c>
      <c r="AI18" s="58">
        <v>560.91999999999996</v>
      </c>
      <c r="AJ18" s="65">
        <f t="shared" si="14"/>
        <v>799.99999999995453</v>
      </c>
      <c r="AK18" s="58">
        <v>189.07</v>
      </c>
      <c r="AL18" s="65">
        <f t="shared" si="14"/>
        <v>120.00000000000455</v>
      </c>
      <c r="AM18" s="58">
        <v>184</v>
      </c>
      <c r="AN18" s="65">
        <f t="shared" si="14"/>
        <v>169.99999999998749</v>
      </c>
      <c r="AO18" s="58">
        <v>178.71</v>
      </c>
      <c r="AP18" s="65">
        <f t="shared" si="14"/>
        <v>40.000000000020464</v>
      </c>
      <c r="AQ18" s="58">
        <v>237.26</v>
      </c>
      <c r="AR18" s="65">
        <f t="shared" si="15"/>
        <v>79.999999999984084</v>
      </c>
      <c r="AS18" s="58">
        <v>362.54</v>
      </c>
      <c r="AT18" s="65">
        <f t="shared" si="16"/>
        <v>180.00000000000682</v>
      </c>
      <c r="AU18" s="58">
        <v>279.66000000000003</v>
      </c>
      <c r="AV18" s="65">
        <f t="shared" si="17"/>
        <v>90.000000000031832</v>
      </c>
      <c r="AW18" s="58">
        <v>314.58</v>
      </c>
      <c r="AX18" s="65">
        <f t="shared" si="18"/>
        <v>39.99999999996362</v>
      </c>
      <c r="AY18" s="58">
        <v>358.78</v>
      </c>
      <c r="AZ18" s="65">
        <f t="shared" si="19"/>
        <v>29.999999999972715</v>
      </c>
      <c r="BA18" s="58">
        <v>379.54</v>
      </c>
      <c r="BB18" s="65">
        <f t="shared" si="20"/>
        <v>20.000000000038654</v>
      </c>
      <c r="BC18" s="58">
        <v>239.59</v>
      </c>
      <c r="BD18" s="65">
        <f t="shared" si="21"/>
        <v>69.999999999993179</v>
      </c>
      <c r="BE18" s="59">
        <v>37729</v>
      </c>
      <c r="BF18" s="67">
        <f t="shared" si="39"/>
        <v>50</v>
      </c>
      <c r="BG18" s="60">
        <v>231.27</v>
      </c>
      <c r="BH18" s="65">
        <f t="shared" si="22"/>
        <v>30.000000000001137</v>
      </c>
      <c r="BI18" s="60">
        <v>290.51</v>
      </c>
      <c r="BJ18" s="65">
        <f t="shared" si="40"/>
        <v>39.99999999996362</v>
      </c>
      <c r="BK18" s="60">
        <v>234.37</v>
      </c>
      <c r="BL18" s="65">
        <f t="shared" si="23"/>
        <v>30.000000000001137</v>
      </c>
      <c r="BM18" s="60">
        <v>220.97</v>
      </c>
      <c r="BN18" s="65">
        <f t="shared" si="24"/>
        <v>39.999999999992042</v>
      </c>
      <c r="BO18" s="60">
        <v>285.47000000000003</v>
      </c>
      <c r="BP18" s="65">
        <f t="shared" si="25"/>
        <v>20.000000000038654</v>
      </c>
      <c r="BQ18" s="60">
        <v>43309</v>
      </c>
      <c r="BR18" s="65">
        <f t="shared" si="26"/>
        <v>28</v>
      </c>
      <c r="BS18" s="60">
        <v>198.91</v>
      </c>
      <c r="BT18" s="65">
        <f t="shared" si="42"/>
        <v>39.999999999992042</v>
      </c>
      <c r="BU18" s="60">
        <v>37442</v>
      </c>
      <c r="BV18" s="65">
        <f t="shared" si="27"/>
        <v>40</v>
      </c>
      <c r="BW18" s="60">
        <v>229.94</v>
      </c>
      <c r="BX18" s="65">
        <f t="shared" si="28"/>
        <v>50.000000000011369</v>
      </c>
      <c r="BY18" s="60">
        <v>56720</v>
      </c>
      <c r="BZ18" s="67">
        <f t="shared" si="29"/>
        <v>44</v>
      </c>
      <c r="CA18" s="60">
        <v>29387.8</v>
      </c>
      <c r="CB18" s="67">
        <f>IF((CA18-CA17&lt;0), "",CA18-CA17)</f>
        <v>25</v>
      </c>
      <c r="CC18" s="60">
        <v>11469.7</v>
      </c>
      <c r="CD18" s="67">
        <f t="shared" si="31"/>
        <v>5.8000000000010914</v>
      </c>
      <c r="CE18" s="60">
        <v>5913.6</v>
      </c>
      <c r="CF18" s="67">
        <f t="shared" si="32"/>
        <v>15.600000000000364</v>
      </c>
      <c r="CG18" s="60">
        <v>57155.7</v>
      </c>
      <c r="CH18" s="67">
        <f t="shared" si="33"/>
        <v>33</v>
      </c>
      <c r="CI18" s="60">
        <v>927103</v>
      </c>
      <c r="CJ18" s="67">
        <f t="shared" si="34"/>
        <v>291</v>
      </c>
      <c r="CK18" s="60">
        <v>712.31</v>
      </c>
      <c r="CL18" s="64">
        <f t="shared" si="35"/>
        <v>689.99999999994088</v>
      </c>
      <c r="CM18" s="65">
        <f t="shared" si="0"/>
        <v>66</v>
      </c>
      <c r="CN18" s="62">
        <v>0</v>
      </c>
      <c r="CO18" s="62">
        <v>0</v>
      </c>
      <c r="CP18" s="68">
        <v>5982</v>
      </c>
      <c r="CQ18" s="67">
        <f t="shared" si="36"/>
        <v>54</v>
      </c>
      <c r="CR18" s="68">
        <v>12754</v>
      </c>
      <c r="CS18" s="67">
        <f t="shared" si="36"/>
        <v>12</v>
      </c>
      <c r="CT18" s="75">
        <v>5466</v>
      </c>
      <c r="CU18" s="67">
        <f t="shared" si="36"/>
        <v>14</v>
      </c>
      <c r="CV18" s="68">
        <v>13564</v>
      </c>
      <c r="CW18" s="67">
        <f t="shared" si="36"/>
        <v>7</v>
      </c>
    </row>
    <row r="19" spans="1:101" ht="25.5" customHeight="1" thickBot="1" x14ac:dyDescent="0.45">
      <c r="A19" s="63">
        <v>44301</v>
      </c>
      <c r="B19" s="44"/>
      <c r="C19" s="58">
        <v>2.1467000000000001</v>
      </c>
      <c r="D19" s="64">
        <f t="shared" si="1"/>
        <v>2000.0000000002237</v>
      </c>
      <c r="E19" s="58">
        <v>3.0476000000000001</v>
      </c>
      <c r="F19" s="64">
        <f t="shared" si="2"/>
        <v>3099.9999999998809</v>
      </c>
      <c r="G19" s="58">
        <v>3.1301000000000001</v>
      </c>
      <c r="H19" s="64">
        <f t="shared" si="3"/>
        <v>2800.0000000001355</v>
      </c>
      <c r="I19" s="58">
        <v>1.5387999999999999</v>
      </c>
      <c r="J19" s="64">
        <f t="shared" si="4"/>
        <v>1399.9999999998458</v>
      </c>
      <c r="K19" s="58">
        <v>2.4941</v>
      </c>
      <c r="L19" s="64">
        <f t="shared" si="37"/>
        <v>2200.0000000002019</v>
      </c>
      <c r="M19" s="58">
        <v>1.3894</v>
      </c>
      <c r="N19" s="64">
        <f t="shared" si="5"/>
        <v>999.99999999988984</v>
      </c>
      <c r="O19" s="58">
        <v>13621</v>
      </c>
      <c r="P19" s="67">
        <f t="shared" si="43"/>
        <v>12</v>
      </c>
      <c r="Q19" s="58">
        <v>714</v>
      </c>
      <c r="R19" s="67">
        <f t="shared" si="7"/>
        <v>7</v>
      </c>
      <c r="S19" s="58">
        <v>936114</v>
      </c>
      <c r="T19" s="67">
        <f t="shared" si="8"/>
        <v>923</v>
      </c>
      <c r="U19" s="58">
        <v>392714.8</v>
      </c>
      <c r="V19" s="67">
        <f t="shared" si="38"/>
        <v>456.79999999998836</v>
      </c>
      <c r="W19" s="58">
        <v>375.75</v>
      </c>
      <c r="X19" s="65">
        <f t="shared" si="41"/>
        <v>329.99999999998408</v>
      </c>
      <c r="Y19" s="58">
        <v>2.6585999999999999</v>
      </c>
      <c r="Z19" s="65">
        <f t="shared" si="9"/>
        <v>2799.9999999996917</v>
      </c>
      <c r="AA19" s="58">
        <v>373.22</v>
      </c>
      <c r="AB19" s="65">
        <f t="shared" si="10"/>
        <v>400.00000000003411</v>
      </c>
      <c r="AC19" s="58">
        <v>353.94</v>
      </c>
      <c r="AD19" s="65">
        <f t="shared" si="11"/>
        <v>259.99999999999091</v>
      </c>
      <c r="AE19" s="58">
        <v>545.1</v>
      </c>
      <c r="AF19" s="65">
        <f t="shared" si="12"/>
        <v>240.00000000000909</v>
      </c>
      <c r="AG19" s="58">
        <v>1909</v>
      </c>
      <c r="AH19" s="67">
        <f t="shared" si="13"/>
        <v>34</v>
      </c>
      <c r="AI19" s="58">
        <v>561.72</v>
      </c>
      <c r="AJ19" s="65">
        <f t="shared" si="14"/>
        <v>800.00000000006821</v>
      </c>
      <c r="AK19" s="58">
        <v>189.36</v>
      </c>
      <c r="AL19" s="65">
        <f t="shared" si="14"/>
        <v>290.00000000002046</v>
      </c>
      <c r="AM19" s="58">
        <v>184.16</v>
      </c>
      <c r="AN19" s="65">
        <f t="shared" si="14"/>
        <v>159.99999999999659</v>
      </c>
      <c r="AO19" s="58">
        <v>178.75</v>
      </c>
      <c r="AP19" s="65">
        <f t="shared" si="14"/>
        <v>39.999999999992042</v>
      </c>
      <c r="AQ19" s="58">
        <v>237.34</v>
      </c>
      <c r="AR19" s="65">
        <f t="shared" si="15"/>
        <v>80.000000000012506</v>
      </c>
      <c r="AS19" s="58">
        <v>362.76</v>
      </c>
      <c r="AT19" s="65">
        <f t="shared" si="16"/>
        <v>219.99999999997044</v>
      </c>
      <c r="AU19" s="58">
        <v>279.75</v>
      </c>
      <c r="AV19" s="65">
        <f t="shared" si="17"/>
        <v>89.999999999974989</v>
      </c>
      <c r="AW19" s="58">
        <v>314.64999999999998</v>
      </c>
      <c r="AX19" s="65">
        <f t="shared" si="18"/>
        <v>69.999999999993179</v>
      </c>
      <c r="AY19" s="58">
        <v>358.8</v>
      </c>
      <c r="AZ19" s="65">
        <f t="shared" si="19"/>
        <v>20.000000000038654</v>
      </c>
      <c r="BA19" s="58">
        <v>379.55</v>
      </c>
      <c r="BB19" s="65">
        <f t="shared" si="20"/>
        <v>9.9999999999909051</v>
      </c>
      <c r="BC19" s="58">
        <v>239.62</v>
      </c>
      <c r="BD19" s="65">
        <f t="shared" si="21"/>
        <v>30.000000000001137</v>
      </c>
      <c r="BE19" s="59">
        <v>37759</v>
      </c>
      <c r="BF19" s="67">
        <f t="shared" si="39"/>
        <v>30</v>
      </c>
      <c r="BG19" s="60">
        <v>231.32</v>
      </c>
      <c r="BH19" s="65">
        <f t="shared" si="22"/>
        <v>49.999999999982947</v>
      </c>
      <c r="BI19" s="60">
        <v>290.55</v>
      </c>
      <c r="BJ19" s="65">
        <f t="shared" si="40"/>
        <v>40.000000000020464</v>
      </c>
      <c r="BK19" s="60">
        <v>234.4</v>
      </c>
      <c r="BL19" s="65">
        <f t="shared" si="23"/>
        <v>30.000000000001137</v>
      </c>
      <c r="BM19" s="60">
        <v>221.01</v>
      </c>
      <c r="BN19" s="65">
        <f t="shared" si="24"/>
        <v>39.999999999992042</v>
      </c>
      <c r="BO19" s="60">
        <v>285.5</v>
      </c>
      <c r="BP19" s="65">
        <f t="shared" si="25"/>
        <v>29.999999999972715</v>
      </c>
      <c r="BQ19" s="60">
        <v>43335</v>
      </c>
      <c r="BR19" s="65">
        <f t="shared" si="26"/>
        <v>26</v>
      </c>
      <c r="BS19" s="60">
        <v>198.95</v>
      </c>
      <c r="BT19" s="65">
        <f t="shared" si="42"/>
        <v>39.999999999992042</v>
      </c>
      <c r="BU19" s="60">
        <v>37489</v>
      </c>
      <c r="BV19" s="65">
        <f t="shared" si="27"/>
        <v>47</v>
      </c>
      <c r="BW19" s="60">
        <v>229.95</v>
      </c>
      <c r="BX19" s="65">
        <f t="shared" si="28"/>
        <v>9.9999999999909051</v>
      </c>
      <c r="BY19" s="60">
        <v>56766</v>
      </c>
      <c r="BZ19" s="67">
        <f t="shared" si="29"/>
        <v>46</v>
      </c>
      <c r="CA19" s="60">
        <v>29413</v>
      </c>
      <c r="CB19" s="67">
        <f t="shared" si="30"/>
        <v>25.200000000000728</v>
      </c>
      <c r="CC19" s="60">
        <v>11476.3</v>
      </c>
      <c r="CD19" s="67">
        <f t="shared" si="31"/>
        <v>6.5999999999985448</v>
      </c>
      <c r="CE19" s="60">
        <v>5929.3</v>
      </c>
      <c r="CF19" s="67">
        <f t="shared" si="32"/>
        <v>15.699999999999818</v>
      </c>
      <c r="CG19" s="60">
        <v>57187.199999999997</v>
      </c>
      <c r="CH19" s="67">
        <f t="shared" si="33"/>
        <v>31.5</v>
      </c>
      <c r="CI19" s="60">
        <v>927382</v>
      </c>
      <c r="CJ19" s="67">
        <f t="shared" si="34"/>
        <v>279</v>
      </c>
      <c r="CK19" s="60">
        <v>712.98</v>
      </c>
      <c r="CL19" s="64">
        <f t="shared" si="35"/>
        <v>670.00000000007276</v>
      </c>
      <c r="CM19" s="65">
        <f t="shared" si="0"/>
        <v>56</v>
      </c>
      <c r="CN19" s="62">
        <v>0</v>
      </c>
      <c r="CO19" s="62">
        <v>0</v>
      </c>
      <c r="CP19" s="68">
        <v>6027</v>
      </c>
      <c r="CQ19" s="67">
        <f t="shared" si="36"/>
        <v>45</v>
      </c>
      <c r="CR19" s="68">
        <v>12765</v>
      </c>
      <c r="CS19" s="67">
        <f t="shared" si="36"/>
        <v>11</v>
      </c>
      <c r="CT19" s="75">
        <v>5482</v>
      </c>
      <c r="CU19" s="67">
        <f t="shared" si="36"/>
        <v>16</v>
      </c>
      <c r="CV19" s="68">
        <v>13579</v>
      </c>
      <c r="CW19" s="67">
        <f t="shared" si="36"/>
        <v>15</v>
      </c>
    </row>
    <row r="20" spans="1:101" ht="25.5" customHeight="1" thickBot="1" x14ac:dyDescent="0.45">
      <c r="A20" s="63">
        <v>44302</v>
      </c>
      <c r="B20" s="44"/>
      <c r="C20" s="58">
        <v>2.1501999999999999</v>
      </c>
      <c r="D20" s="64">
        <f t="shared" si="1"/>
        <v>3499.9999999998367</v>
      </c>
      <c r="E20" s="58">
        <v>3.0525000000000002</v>
      </c>
      <c r="F20" s="64">
        <f t="shared" si="2"/>
        <v>4900.0000000001264</v>
      </c>
      <c r="G20" s="58">
        <v>3.1341999999999999</v>
      </c>
      <c r="H20" s="64">
        <f t="shared" si="3"/>
        <v>4099.9999999997708</v>
      </c>
      <c r="I20" s="58">
        <v>1.5409999999999999</v>
      </c>
      <c r="J20" s="64">
        <f t="shared" si="4"/>
        <v>2199.9999999999795</v>
      </c>
      <c r="K20" s="58">
        <v>2.4975000000000001</v>
      </c>
      <c r="L20" s="64">
        <f t="shared" si="37"/>
        <v>3400.0000000000696</v>
      </c>
      <c r="M20" s="58">
        <v>1.3913</v>
      </c>
      <c r="N20" s="64">
        <f t="shared" si="5"/>
        <v>1900.0000000000127</v>
      </c>
      <c r="O20" s="58">
        <v>13663</v>
      </c>
      <c r="P20" s="67">
        <f t="shared" si="43"/>
        <v>42</v>
      </c>
      <c r="Q20" s="58">
        <v>725</v>
      </c>
      <c r="R20" s="67">
        <f t="shared" si="7"/>
        <v>11</v>
      </c>
      <c r="S20" s="58">
        <v>937677</v>
      </c>
      <c r="T20" s="67">
        <f t="shared" si="8"/>
        <v>1563</v>
      </c>
      <c r="U20" s="58">
        <v>393468.7</v>
      </c>
      <c r="V20" s="67">
        <f t="shared" si="38"/>
        <v>753.90000000002328</v>
      </c>
      <c r="W20" s="58">
        <v>376.22</v>
      </c>
      <c r="X20" s="65">
        <f t="shared" si="41"/>
        <v>470.00000000002728</v>
      </c>
      <c r="Y20" s="58">
        <v>2.6631999999999998</v>
      </c>
      <c r="Z20" s="65">
        <f t="shared" si="9"/>
        <v>4599.9999999999372</v>
      </c>
      <c r="AA20" s="58">
        <v>373.89</v>
      </c>
      <c r="AB20" s="65">
        <f t="shared" si="10"/>
        <v>669.99999999995907</v>
      </c>
      <c r="AC20" s="58">
        <v>354.33</v>
      </c>
      <c r="AD20" s="65">
        <f t="shared" si="11"/>
        <v>389.99999999998636</v>
      </c>
      <c r="AE20" s="58">
        <v>545.85</v>
      </c>
      <c r="AF20" s="65">
        <f t="shared" si="12"/>
        <v>750</v>
      </c>
      <c r="AG20" s="58">
        <v>1954</v>
      </c>
      <c r="AH20" s="67">
        <f t="shared" si="13"/>
        <v>45</v>
      </c>
      <c r="AI20" s="58">
        <v>563.04</v>
      </c>
      <c r="AJ20" s="65">
        <f t="shared" si="14"/>
        <v>1319.9999999999363</v>
      </c>
      <c r="AK20" s="58">
        <v>189.91</v>
      </c>
      <c r="AL20" s="65">
        <f t="shared" si="14"/>
        <v>549.99999999998295</v>
      </c>
      <c r="AM20" s="58">
        <v>184.55</v>
      </c>
      <c r="AN20" s="65">
        <f t="shared" si="14"/>
        <v>390.00000000001478</v>
      </c>
      <c r="AO20" s="58">
        <v>178.82</v>
      </c>
      <c r="AP20" s="65">
        <f t="shared" si="14"/>
        <v>69.999999999993179</v>
      </c>
      <c r="AQ20" s="58">
        <v>237.5</v>
      </c>
      <c r="AR20" s="65">
        <f t="shared" si="15"/>
        <v>159.99999999999659</v>
      </c>
      <c r="AS20" s="58">
        <v>363.09</v>
      </c>
      <c r="AT20" s="65">
        <f t="shared" si="16"/>
        <v>329.99999999998408</v>
      </c>
      <c r="AU20" s="58">
        <v>279.92</v>
      </c>
      <c r="AV20" s="65">
        <f t="shared" si="17"/>
        <v>170.00000000001592</v>
      </c>
      <c r="AW20" s="58">
        <v>314.7</v>
      </c>
      <c r="AX20" s="65">
        <f t="shared" si="18"/>
        <v>50.000000000011369</v>
      </c>
      <c r="AY20" s="58">
        <v>358.84</v>
      </c>
      <c r="AZ20" s="65">
        <f t="shared" si="19"/>
        <v>39.99999999996362</v>
      </c>
      <c r="BA20" s="58">
        <v>379.58</v>
      </c>
      <c r="BB20" s="65">
        <f t="shared" si="20"/>
        <v>29.999999999972715</v>
      </c>
      <c r="BC20" s="58">
        <v>239.66</v>
      </c>
      <c r="BD20" s="65">
        <f t="shared" si="21"/>
        <v>39.999999999992042</v>
      </c>
      <c r="BE20" s="59">
        <v>37804</v>
      </c>
      <c r="BF20" s="67">
        <f t="shared" si="39"/>
        <v>45</v>
      </c>
      <c r="BG20" s="60">
        <v>231.39</v>
      </c>
      <c r="BH20" s="65">
        <f t="shared" si="22"/>
        <v>69.999999999993179</v>
      </c>
      <c r="BI20" s="60">
        <v>290.62</v>
      </c>
      <c r="BJ20" s="65">
        <f t="shared" si="40"/>
        <v>69.999999999993179</v>
      </c>
      <c r="BK20" s="60">
        <v>234.43</v>
      </c>
      <c r="BL20" s="65">
        <f t="shared" si="23"/>
        <v>30.000000000001137</v>
      </c>
      <c r="BM20" s="60">
        <v>221.09</v>
      </c>
      <c r="BN20" s="65">
        <f t="shared" si="24"/>
        <v>80.000000000012506</v>
      </c>
      <c r="BO20" s="60">
        <v>285.55</v>
      </c>
      <c r="BP20" s="65">
        <f t="shared" si="25"/>
        <v>50.000000000011369</v>
      </c>
      <c r="BQ20" s="60">
        <v>43380</v>
      </c>
      <c r="BR20" s="65">
        <f t="shared" si="26"/>
        <v>45</v>
      </c>
      <c r="BS20" s="60">
        <v>199.01</v>
      </c>
      <c r="BT20" s="65">
        <f t="shared" si="42"/>
        <v>60.000000000002274</v>
      </c>
      <c r="BU20" s="60">
        <v>37566</v>
      </c>
      <c r="BV20" s="65">
        <f t="shared" si="27"/>
        <v>77</v>
      </c>
      <c r="BW20" s="60">
        <v>230</v>
      </c>
      <c r="BX20" s="65">
        <f t="shared" si="28"/>
        <v>50.000000000011369</v>
      </c>
      <c r="BY20" s="60">
        <v>56853</v>
      </c>
      <c r="BZ20" s="67">
        <f t="shared" si="29"/>
        <v>87</v>
      </c>
      <c r="CA20" s="60">
        <v>29451.3</v>
      </c>
      <c r="CB20" s="67">
        <f t="shared" si="30"/>
        <v>38.299999999999272</v>
      </c>
      <c r="CC20" s="60">
        <v>11489.7</v>
      </c>
      <c r="CD20" s="67">
        <f t="shared" si="31"/>
        <v>13.400000000001455</v>
      </c>
      <c r="CE20" s="60">
        <v>5930</v>
      </c>
      <c r="CF20" s="67">
        <f t="shared" si="32"/>
        <v>0.6999999999998181</v>
      </c>
      <c r="CG20" s="60">
        <v>57258.7</v>
      </c>
      <c r="CH20" s="67">
        <f t="shared" si="33"/>
        <v>71.5</v>
      </c>
      <c r="CI20" s="60">
        <v>927838</v>
      </c>
      <c r="CJ20" s="67">
        <f t="shared" si="34"/>
        <v>456</v>
      </c>
      <c r="CK20" s="60">
        <v>713.86</v>
      </c>
      <c r="CL20" s="64">
        <f t="shared" si="35"/>
        <v>879.99999999999545</v>
      </c>
      <c r="CM20" s="65">
        <f t="shared" si="0"/>
        <v>99</v>
      </c>
      <c r="CN20" s="62">
        <v>0</v>
      </c>
      <c r="CO20" s="62">
        <v>0</v>
      </c>
      <c r="CP20" s="68">
        <v>6114</v>
      </c>
      <c r="CQ20" s="67">
        <f t="shared" si="36"/>
        <v>87</v>
      </c>
      <c r="CR20" s="68">
        <v>12777</v>
      </c>
      <c r="CS20" s="67">
        <f t="shared" si="36"/>
        <v>12</v>
      </c>
      <c r="CT20" s="75">
        <v>5502</v>
      </c>
      <c r="CU20" s="67">
        <f t="shared" si="36"/>
        <v>20</v>
      </c>
      <c r="CV20" s="68">
        <v>13602</v>
      </c>
      <c r="CW20" s="67">
        <f t="shared" si="36"/>
        <v>23</v>
      </c>
    </row>
    <row r="21" spans="1:101" ht="25.5" customHeight="1" thickBot="1" x14ac:dyDescent="0.45">
      <c r="A21" s="63">
        <v>44303</v>
      </c>
      <c r="B21" s="44"/>
      <c r="C21" s="58">
        <v>2.1511</v>
      </c>
      <c r="D21" s="64">
        <f t="shared" si="1"/>
        <v>900.0000000001229</v>
      </c>
      <c r="E21" s="58">
        <v>3.0539999999999998</v>
      </c>
      <c r="F21" s="64">
        <f t="shared" si="2"/>
        <v>1499.9999999996128</v>
      </c>
      <c r="G21" s="58">
        <v>3.1355</v>
      </c>
      <c r="H21" s="64">
        <f t="shared" si="3"/>
        <v>1300.0000000000789</v>
      </c>
      <c r="I21" s="58">
        <v>1.5419</v>
      </c>
      <c r="J21" s="64">
        <f t="shared" si="4"/>
        <v>900.0000000001229</v>
      </c>
      <c r="K21" s="58">
        <v>2.4986999999999999</v>
      </c>
      <c r="L21" s="64">
        <f t="shared" si="37"/>
        <v>1199.9999999998679</v>
      </c>
      <c r="M21" s="58">
        <v>1.3916999999999999</v>
      </c>
      <c r="N21" s="64">
        <f t="shared" si="5"/>
        <v>399.99999999995595</v>
      </c>
      <c r="O21" s="58">
        <v>13664</v>
      </c>
      <c r="P21" s="67">
        <f t="shared" si="43"/>
        <v>1</v>
      </c>
      <c r="Q21" s="58">
        <v>729</v>
      </c>
      <c r="R21" s="67">
        <f t="shared" si="7"/>
        <v>4</v>
      </c>
      <c r="S21" s="58">
        <v>937789</v>
      </c>
      <c r="T21" s="67">
        <f t="shared" si="8"/>
        <v>112</v>
      </c>
      <c r="U21" s="58">
        <v>393627.9</v>
      </c>
      <c r="V21" s="67">
        <f t="shared" si="38"/>
        <v>159.20000000001164</v>
      </c>
      <c r="W21" s="58">
        <v>376.34</v>
      </c>
      <c r="X21" s="65">
        <f t="shared" si="41"/>
        <v>119.9999999999477</v>
      </c>
      <c r="Y21" s="58">
        <v>2.6644000000000001</v>
      </c>
      <c r="Z21" s="65">
        <f t="shared" si="9"/>
        <v>1200.000000000312</v>
      </c>
      <c r="AA21" s="58">
        <v>373.99</v>
      </c>
      <c r="AB21" s="65">
        <f t="shared" si="10"/>
        <v>100.00000000002274</v>
      </c>
      <c r="AC21" s="58">
        <v>354.41</v>
      </c>
      <c r="AD21" s="65">
        <f t="shared" si="11"/>
        <v>80.000000000040927</v>
      </c>
      <c r="AE21" s="58">
        <v>545.99</v>
      </c>
      <c r="AF21" s="65">
        <f t="shared" si="12"/>
        <v>139.99999999998636</v>
      </c>
      <c r="AG21" s="58">
        <v>1982</v>
      </c>
      <c r="AH21" s="67">
        <f t="shared" si="13"/>
        <v>28</v>
      </c>
      <c r="AI21" s="58">
        <v>563.39</v>
      </c>
      <c r="AJ21" s="65">
        <f t="shared" si="14"/>
        <v>350.00000000002274</v>
      </c>
      <c r="AK21" s="58">
        <v>189.98</v>
      </c>
      <c r="AL21" s="65">
        <f t="shared" si="14"/>
        <v>69.999999999993179</v>
      </c>
      <c r="AM21" s="58">
        <v>184.6</v>
      </c>
      <c r="AN21" s="65">
        <f t="shared" si="14"/>
        <v>49.999999999982947</v>
      </c>
      <c r="AO21" s="58">
        <v>178.84</v>
      </c>
      <c r="AP21" s="65">
        <f t="shared" si="14"/>
        <v>20.000000000010232</v>
      </c>
      <c r="AQ21" s="58">
        <v>237.54</v>
      </c>
      <c r="AR21" s="65">
        <f t="shared" si="15"/>
        <v>39.999999999992042</v>
      </c>
      <c r="AS21" s="58">
        <v>363.18</v>
      </c>
      <c r="AT21" s="65">
        <f t="shared" si="16"/>
        <v>90.000000000031832</v>
      </c>
      <c r="AU21" s="58">
        <v>279.95999999999998</v>
      </c>
      <c r="AV21" s="65">
        <f t="shared" si="17"/>
        <v>39.99999999996362</v>
      </c>
      <c r="AW21" s="58">
        <v>314.70999999999998</v>
      </c>
      <c r="AX21" s="65">
        <f t="shared" si="18"/>
        <v>9.9999999999909051</v>
      </c>
      <c r="AY21" s="58">
        <v>358.85</v>
      </c>
      <c r="AZ21" s="65">
        <f t="shared" si="19"/>
        <v>10.000000000047748</v>
      </c>
      <c r="BA21" s="58">
        <v>379.59</v>
      </c>
      <c r="BB21" s="65">
        <f t="shared" si="20"/>
        <v>9.9999999999909051</v>
      </c>
      <c r="BC21" s="58">
        <v>239.67</v>
      </c>
      <c r="BD21" s="65">
        <f t="shared" si="21"/>
        <v>9.9999999999909051</v>
      </c>
      <c r="BE21" s="59">
        <v>37847</v>
      </c>
      <c r="BF21" s="67">
        <f t="shared" si="39"/>
        <v>43</v>
      </c>
      <c r="BG21" s="60">
        <v>231.41</v>
      </c>
      <c r="BH21" s="65">
        <f t="shared" si="22"/>
        <v>20.000000000010232</v>
      </c>
      <c r="BI21" s="60">
        <v>290.64</v>
      </c>
      <c r="BJ21" s="65">
        <f t="shared" si="40"/>
        <v>19.99999999998181</v>
      </c>
      <c r="BK21" s="60">
        <v>234.46</v>
      </c>
      <c r="BL21" s="65">
        <f t="shared" si="23"/>
        <v>30.000000000001137</v>
      </c>
      <c r="BM21" s="60">
        <v>221.12</v>
      </c>
      <c r="BN21" s="65">
        <f t="shared" si="24"/>
        <v>30.000000000001137</v>
      </c>
      <c r="BO21" s="60">
        <v>285.58</v>
      </c>
      <c r="BP21" s="65">
        <f t="shared" si="25"/>
        <v>29.999999999972715</v>
      </c>
      <c r="BQ21" s="60">
        <v>43396</v>
      </c>
      <c r="BR21" s="65">
        <f t="shared" si="26"/>
        <v>16</v>
      </c>
      <c r="BS21" s="60">
        <v>199.03</v>
      </c>
      <c r="BT21" s="65">
        <f t="shared" si="42"/>
        <v>20.000000000010232</v>
      </c>
      <c r="BU21" s="60">
        <v>37588</v>
      </c>
      <c r="BV21" s="65">
        <f t="shared" si="27"/>
        <v>22</v>
      </c>
      <c r="BW21" s="60">
        <v>230.01</v>
      </c>
      <c r="BX21" s="65">
        <f t="shared" si="28"/>
        <v>9.9999999999909051</v>
      </c>
      <c r="BY21" s="60">
        <v>56877</v>
      </c>
      <c r="BZ21" s="67">
        <f t="shared" si="29"/>
        <v>24</v>
      </c>
      <c r="CA21" s="60">
        <v>29461.3</v>
      </c>
      <c r="CB21" s="67">
        <f t="shared" si="30"/>
        <v>10</v>
      </c>
      <c r="CC21" s="60">
        <v>11492.7</v>
      </c>
      <c r="CD21" s="67">
        <f t="shared" si="31"/>
        <v>3</v>
      </c>
      <c r="CE21" s="60">
        <v>5948.8</v>
      </c>
      <c r="CF21" s="67">
        <f t="shared" si="32"/>
        <v>18.800000000000182</v>
      </c>
      <c r="CG21" s="60">
        <v>57277.5</v>
      </c>
      <c r="CH21" s="67">
        <f t="shared" si="33"/>
        <v>18.80000000000291</v>
      </c>
      <c r="CI21" s="60">
        <v>927998</v>
      </c>
      <c r="CJ21" s="67">
        <f t="shared" si="34"/>
        <v>160</v>
      </c>
      <c r="CK21" s="60">
        <v>714.29</v>
      </c>
      <c r="CL21" s="64">
        <f t="shared" si="35"/>
        <v>429.99999999994998</v>
      </c>
      <c r="CM21" s="65">
        <f t="shared" si="0"/>
        <v>33</v>
      </c>
      <c r="CN21" s="62">
        <v>0</v>
      </c>
      <c r="CO21" s="62">
        <v>0</v>
      </c>
      <c r="CP21" s="68">
        <v>6127</v>
      </c>
      <c r="CQ21" s="67">
        <f t="shared" si="36"/>
        <v>13</v>
      </c>
      <c r="CR21" s="68">
        <v>12797</v>
      </c>
      <c r="CS21" s="67">
        <f t="shared" si="36"/>
        <v>20</v>
      </c>
      <c r="CT21" s="75">
        <v>5513</v>
      </c>
      <c r="CU21" s="67">
        <f t="shared" si="36"/>
        <v>11</v>
      </c>
      <c r="CV21" s="68">
        <v>13614</v>
      </c>
      <c r="CW21" s="67">
        <f t="shared" si="36"/>
        <v>12</v>
      </c>
    </row>
    <row r="22" spans="1:101" ht="25.5" customHeight="1" thickBot="1" x14ac:dyDescent="0.45">
      <c r="A22" s="63">
        <v>44304</v>
      </c>
      <c r="B22" s="44"/>
      <c r="C22" s="58">
        <v>2.1528999999999998</v>
      </c>
      <c r="D22" s="64">
        <f t="shared" si="1"/>
        <v>1799.9999999998017</v>
      </c>
      <c r="E22" s="58">
        <v>3.0567000000000002</v>
      </c>
      <c r="F22" s="64">
        <f t="shared" si="2"/>
        <v>2700.0000000003688</v>
      </c>
      <c r="G22" s="58">
        <v>3.1379999999999999</v>
      </c>
      <c r="H22" s="64">
        <f t="shared" si="3"/>
        <v>2499.9999999999468</v>
      </c>
      <c r="I22" s="58">
        <v>1.5432999999999999</v>
      </c>
      <c r="J22" s="64">
        <f t="shared" si="4"/>
        <v>1399.9999999998458</v>
      </c>
      <c r="K22" s="58">
        <v>2.5007999999999999</v>
      </c>
      <c r="L22" s="64">
        <f t="shared" si="37"/>
        <v>2099.9999999999909</v>
      </c>
      <c r="M22" s="58">
        <v>1.3927</v>
      </c>
      <c r="N22" s="64">
        <f t="shared" si="5"/>
        <v>1000.0000000001119</v>
      </c>
      <c r="O22" s="58">
        <v>13682</v>
      </c>
      <c r="P22" s="67">
        <f t="shared" si="43"/>
        <v>18</v>
      </c>
      <c r="Q22" s="58">
        <v>736</v>
      </c>
      <c r="R22" s="67">
        <f t="shared" si="7"/>
        <v>7</v>
      </c>
      <c r="S22" s="58">
        <v>938615.4</v>
      </c>
      <c r="T22" s="67">
        <f t="shared" si="8"/>
        <v>826.40000000002328</v>
      </c>
      <c r="U22" s="58">
        <v>393925.4</v>
      </c>
      <c r="V22" s="67">
        <f t="shared" si="38"/>
        <v>297.5</v>
      </c>
      <c r="W22" s="58">
        <v>376.56</v>
      </c>
      <c r="X22" s="65">
        <f t="shared" si="41"/>
        <v>220.00000000002728</v>
      </c>
      <c r="Y22" s="58">
        <v>2.6669999999999998</v>
      </c>
      <c r="Z22" s="65">
        <f t="shared" si="9"/>
        <v>2599.9999999997135</v>
      </c>
      <c r="AA22" s="58">
        <v>374.41</v>
      </c>
      <c r="AB22" s="65">
        <f t="shared" si="10"/>
        <v>420.00000000001592</v>
      </c>
      <c r="AC22" s="58">
        <v>354.6</v>
      </c>
      <c r="AD22" s="65">
        <f t="shared" si="11"/>
        <v>189.99999999999773</v>
      </c>
      <c r="AE22" s="58">
        <v>546.27</v>
      </c>
      <c r="AF22" s="65">
        <f t="shared" si="12"/>
        <v>279.99999999997272</v>
      </c>
      <c r="AG22" s="58">
        <v>2015</v>
      </c>
      <c r="AH22" s="67">
        <f t="shared" si="13"/>
        <v>33</v>
      </c>
      <c r="AI22" s="58">
        <v>564.05999999999995</v>
      </c>
      <c r="AJ22" s="65">
        <f t="shared" si="14"/>
        <v>669.99999999995907</v>
      </c>
      <c r="AK22" s="58">
        <v>190.14</v>
      </c>
      <c r="AL22" s="65">
        <f t="shared" si="14"/>
        <v>159.99999999999659</v>
      </c>
      <c r="AM22" s="58">
        <v>184.73</v>
      </c>
      <c r="AN22" s="65">
        <f t="shared" si="14"/>
        <v>129.99999999999545</v>
      </c>
      <c r="AO22" s="58">
        <v>178.89</v>
      </c>
      <c r="AP22" s="65">
        <f t="shared" si="14"/>
        <v>49.999999999982947</v>
      </c>
      <c r="AQ22" s="58">
        <v>237.62</v>
      </c>
      <c r="AR22" s="65">
        <f t="shared" si="15"/>
        <v>80.000000000012506</v>
      </c>
      <c r="AS22" s="58">
        <v>363.38</v>
      </c>
      <c r="AT22" s="65">
        <f t="shared" si="16"/>
        <v>199.99999999998863</v>
      </c>
      <c r="AU22" s="58">
        <v>280.02</v>
      </c>
      <c r="AV22" s="65">
        <f t="shared" si="17"/>
        <v>60.000000000002274</v>
      </c>
      <c r="AW22" s="58">
        <v>314.74</v>
      </c>
      <c r="AX22" s="65">
        <f t="shared" si="18"/>
        <v>30.000000000029559</v>
      </c>
      <c r="AY22" s="58">
        <v>358.88</v>
      </c>
      <c r="AZ22" s="65">
        <f t="shared" si="19"/>
        <v>29.999999999972715</v>
      </c>
      <c r="BA22" s="58">
        <v>379.61</v>
      </c>
      <c r="BB22" s="65">
        <f t="shared" si="20"/>
        <v>20.000000000038654</v>
      </c>
      <c r="BC22" s="58">
        <v>239.7</v>
      </c>
      <c r="BD22" s="65">
        <f t="shared" si="21"/>
        <v>30.000000000001137</v>
      </c>
      <c r="BE22" s="59">
        <v>37881</v>
      </c>
      <c r="BF22" s="67">
        <f t="shared" si="39"/>
        <v>34</v>
      </c>
      <c r="BG22" s="60">
        <v>231.46</v>
      </c>
      <c r="BH22" s="65">
        <f t="shared" si="22"/>
        <v>50.000000000011369</v>
      </c>
      <c r="BI22" s="60">
        <v>290.69</v>
      </c>
      <c r="BJ22" s="65">
        <f t="shared" si="40"/>
        <v>50.000000000011369</v>
      </c>
      <c r="BK22" s="60">
        <v>234.51</v>
      </c>
      <c r="BL22" s="65">
        <f t="shared" si="23"/>
        <v>49.999999999982947</v>
      </c>
      <c r="BM22" s="60">
        <v>221.18</v>
      </c>
      <c r="BN22" s="65">
        <f t="shared" si="24"/>
        <v>60.000000000002274</v>
      </c>
      <c r="BO22" s="60">
        <v>285.58999999999997</v>
      </c>
      <c r="BP22" s="65">
        <f t="shared" si="25"/>
        <v>9.9999999999909051</v>
      </c>
      <c r="BQ22" s="60">
        <v>43431</v>
      </c>
      <c r="BR22" s="65">
        <f t="shared" si="26"/>
        <v>35</v>
      </c>
      <c r="BS22" s="60">
        <v>199.06</v>
      </c>
      <c r="BT22" s="65">
        <f t="shared" si="42"/>
        <v>30.000000000001137</v>
      </c>
      <c r="BU22" s="60">
        <v>37640</v>
      </c>
      <c r="BV22" s="65">
        <f t="shared" si="27"/>
        <v>52</v>
      </c>
      <c r="BW22" s="60">
        <v>230.05</v>
      </c>
      <c r="BX22" s="65">
        <f t="shared" si="28"/>
        <v>40.000000000020464</v>
      </c>
      <c r="BY22" s="60">
        <v>56926</v>
      </c>
      <c r="BZ22" s="67">
        <f t="shared" si="29"/>
        <v>49</v>
      </c>
      <c r="CA22" s="60">
        <v>29497.200000000001</v>
      </c>
      <c r="CB22" s="67">
        <f t="shared" si="30"/>
        <v>35.900000000001455</v>
      </c>
      <c r="CC22" s="60">
        <v>11498</v>
      </c>
      <c r="CD22" s="67">
        <f t="shared" si="31"/>
        <v>5.2999999999992724</v>
      </c>
      <c r="CE22" s="60">
        <v>5958.6</v>
      </c>
      <c r="CF22" s="67">
        <f t="shared" si="32"/>
        <v>9.8000000000001819</v>
      </c>
      <c r="CG22" s="60">
        <v>57319.7</v>
      </c>
      <c r="CH22" s="67">
        <f t="shared" si="33"/>
        <v>42.19999999999709</v>
      </c>
      <c r="CI22" s="60">
        <v>928286</v>
      </c>
      <c r="CJ22" s="67">
        <f t="shared" si="34"/>
        <v>288</v>
      </c>
      <c r="CK22" s="60">
        <v>714.99</v>
      </c>
      <c r="CL22" s="64">
        <f t="shared" si="35"/>
        <v>700.00000000004547</v>
      </c>
      <c r="CM22" s="65">
        <f t="shared" si="0"/>
        <v>65</v>
      </c>
      <c r="CN22" s="62">
        <v>0</v>
      </c>
      <c r="CO22" s="62">
        <v>0</v>
      </c>
      <c r="CP22" s="68">
        <v>6179</v>
      </c>
      <c r="CQ22" s="67">
        <f t="shared" si="36"/>
        <v>52</v>
      </c>
      <c r="CR22" s="68">
        <v>12810</v>
      </c>
      <c r="CS22" s="67">
        <f t="shared" si="36"/>
        <v>13</v>
      </c>
      <c r="CT22" s="75">
        <v>5529</v>
      </c>
      <c r="CU22" s="67">
        <f t="shared" si="36"/>
        <v>16</v>
      </c>
      <c r="CV22" s="68">
        <v>13634</v>
      </c>
      <c r="CW22" s="67">
        <f t="shared" si="36"/>
        <v>20</v>
      </c>
    </row>
    <row r="23" spans="1:101" ht="25.5" customHeight="1" thickBot="1" x14ac:dyDescent="0.45">
      <c r="A23" s="63">
        <v>44305</v>
      </c>
      <c r="B23" s="44"/>
      <c r="C23" s="58">
        <v>2.1545999999999998</v>
      </c>
      <c r="D23" s="64">
        <f t="shared" si="1"/>
        <v>1700.0000000000348</v>
      </c>
      <c r="E23" s="58">
        <v>3.0596000000000001</v>
      </c>
      <c r="F23" s="64">
        <f t="shared" si="2"/>
        <v>2899.9999999999027</v>
      </c>
      <c r="G23" s="58">
        <v>3.1406999999999998</v>
      </c>
      <c r="H23" s="64">
        <f t="shared" si="3"/>
        <v>2699.9999999999245</v>
      </c>
      <c r="I23" s="58">
        <v>1.5448</v>
      </c>
      <c r="J23" s="64">
        <f t="shared" si="4"/>
        <v>1500.0000000000568</v>
      </c>
      <c r="K23" s="58">
        <v>2.5028999999999999</v>
      </c>
      <c r="L23" s="64">
        <f t="shared" si="37"/>
        <v>2099.9999999999909</v>
      </c>
      <c r="M23" s="58">
        <v>1.3937999999999999</v>
      </c>
      <c r="N23" s="64">
        <f t="shared" si="5"/>
        <v>1099.9999999998788</v>
      </c>
      <c r="O23" s="58">
        <v>13698</v>
      </c>
      <c r="P23" s="67">
        <f t="shared" si="43"/>
        <v>16</v>
      </c>
      <c r="Q23" s="58">
        <v>741</v>
      </c>
      <c r="R23" s="67">
        <f t="shared" si="7"/>
        <v>5</v>
      </c>
      <c r="S23" s="58">
        <v>939310.8</v>
      </c>
      <c r="T23" s="67">
        <f t="shared" si="8"/>
        <v>695.40000000002328</v>
      </c>
      <c r="U23" s="58">
        <v>394267.9</v>
      </c>
      <c r="V23" s="67">
        <f t="shared" si="38"/>
        <v>342.5</v>
      </c>
      <c r="W23" s="58">
        <v>376.79</v>
      </c>
      <c r="X23" s="65">
        <f t="shared" si="41"/>
        <v>230.00000000001819</v>
      </c>
      <c r="Y23" s="58">
        <v>2.6697000000000002</v>
      </c>
      <c r="Z23" s="65">
        <f t="shared" si="9"/>
        <v>2700.0000000003688</v>
      </c>
      <c r="AA23" s="58">
        <v>374.87</v>
      </c>
      <c r="AB23" s="65">
        <f t="shared" si="10"/>
        <v>459.99999999997954</v>
      </c>
      <c r="AC23" s="58">
        <v>354.79</v>
      </c>
      <c r="AD23" s="65">
        <f t="shared" si="11"/>
        <v>189.99999999999773</v>
      </c>
      <c r="AE23" s="58">
        <v>546.59</v>
      </c>
      <c r="AF23" s="65">
        <f t="shared" si="12"/>
        <v>320.00000000005002</v>
      </c>
      <c r="AG23" s="58">
        <v>2048</v>
      </c>
      <c r="AH23" s="67">
        <f t="shared" si="13"/>
        <v>33</v>
      </c>
      <c r="AI23" s="58">
        <v>564.71</v>
      </c>
      <c r="AJ23" s="65">
        <f t="shared" si="14"/>
        <v>650.00000000009095</v>
      </c>
      <c r="AK23" s="58">
        <v>190.43</v>
      </c>
      <c r="AL23" s="65">
        <f t="shared" si="14"/>
        <v>290.00000000002046</v>
      </c>
      <c r="AM23" s="58">
        <v>184.79</v>
      </c>
      <c r="AN23" s="65">
        <f t="shared" si="14"/>
        <v>60.000000000002274</v>
      </c>
      <c r="AO23" s="58">
        <v>178.94</v>
      </c>
      <c r="AP23" s="65">
        <f t="shared" si="14"/>
        <v>50.000000000011369</v>
      </c>
      <c r="AQ23" s="58">
        <v>237.71</v>
      </c>
      <c r="AR23" s="65">
        <f t="shared" si="15"/>
        <v>90.000000000003411</v>
      </c>
      <c r="AS23" s="58">
        <v>363.56</v>
      </c>
      <c r="AT23" s="65">
        <f t="shared" si="16"/>
        <v>180.00000000000682</v>
      </c>
      <c r="AU23" s="58">
        <v>280.05</v>
      </c>
      <c r="AV23" s="65">
        <f t="shared" si="17"/>
        <v>30.000000000029559</v>
      </c>
      <c r="AW23" s="58">
        <v>314.77</v>
      </c>
      <c r="AX23" s="65">
        <f t="shared" si="18"/>
        <v>29.999999999972715</v>
      </c>
      <c r="AY23" s="58">
        <v>358.91</v>
      </c>
      <c r="AZ23" s="65">
        <f t="shared" si="19"/>
        <v>30.000000000029559</v>
      </c>
      <c r="BA23" s="58">
        <v>379.63</v>
      </c>
      <c r="BB23" s="65">
        <f t="shared" si="20"/>
        <v>19.99999999998181</v>
      </c>
      <c r="BC23" s="58">
        <v>239.73</v>
      </c>
      <c r="BD23" s="65">
        <f t="shared" si="21"/>
        <v>30.000000000001137</v>
      </c>
      <c r="BE23" s="59">
        <v>37916</v>
      </c>
      <c r="BF23" s="67">
        <f t="shared" si="39"/>
        <v>35</v>
      </c>
      <c r="BG23" s="60">
        <v>231.5</v>
      </c>
      <c r="BH23" s="65">
        <f t="shared" si="22"/>
        <v>39.999999999992042</v>
      </c>
      <c r="BI23" s="60">
        <v>290.75</v>
      </c>
      <c r="BJ23" s="65">
        <f t="shared" si="40"/>
        <v>60.000000000002274</v>
      </c>
      <c r="BK23" s="60">
        <v>234.54</v>
      </c>
      <c r="BL23" s="65">
        <f t="shared" si="23"/>
        <v>30.000000000001137</v>
      </c>
      <c r="BM23" s="60">
        <v>221.22</v>
      </c>
      <c r="BN23" s="65">
        <f t="shared" si="24"/>
        <v>39.999999999992042</v>
      </c>
      <c r="BO23" s="60">
        <v>285.62</v>
      </c>
      <c r="BP23" s="65">
        <f t="shared" si="25"/>
        <v>30.000000000029559</v>
      </c>
      <c r="BQ23" s="60">
        <v>43455</v>
      </c>
      <c r="BR23" s="65">
        <f t="shared" si="26"/>
        <v>24</v>
      </c>
      <c r="BS23" s="60">
        <v>199.09</v>
      </c>
      <c r="BT23" s="65">
        <f t="shared" si="42"/>
        <v>30.000000000001137</v>
      </c>
      <c r="BU23" s="60">
        <v>37684</v>
      </c>
      <c r="BV23" s="65">
        <f t="shared" si="27"/>
        <v>44</v>
      </c>
      <c r="BW23" s="60">
        <v>230.07</v>
      </c>
      <c r="BX23" s="65">
        <f t="shared" si="28"/>
        <v>19.99999999998181</v>
      </c>
      <c r="BY23" s="60">
        <v>56970</v>
      </c>
      <c r="BZ23" s="67">
        <f t="shared" si="29"/>
        <v>44</v>
      </c>
      <c r="CA23" s="60">
        <v>29531.9</v>
      </c>
      <c r="CB23" s="67">
        <f t="shared" si="30"/>
        <v>34.700000000000728</v>
      </c>
      <c r="CC23" s="60">
        <v>11503.5</v>
      </c>
      <c r="CD23" s="67">
        <f t="shared" si="31"/>
        <v>5.5</v>
      </c>
      <c r="CE23" s="60">
        <v>5971.2</v>
      </c>
      <c r="CF23" s="67">
        <f t="shared" si="32"/>
        <v>12.599999999999454</v>
      </c>
      <c r="CG23" s="60">
        <v>57370.5</v>
      </c>
      <c r="CH23" s="67">
        <f t="shared" si="33"/>
        <v>50.80000000000291</v>
      </c>
      <c r="CI23" s="60">
        <v>928586</v>
      </c>
      <c r="CJ23" s="67">
        <f t="shared" si="34"/>
        <v>300</v>
      </c>
      <c r="CK23" s="60">
        <v>715.63</v>
      </c>
      <c r="CL23" s="64">
        <f t="shared" si="35"/>
        <v>639.99999999998636</v>
      </c>
      <c r="CM23" s="65">
        <f t="shared" si="0"/>
        <v>74</v>
      </c>
      <c r="CN23" s="62">
        <v>0</v>
      </c>
      <c r="CO23" s="62">
        <v>0</v>
      </c>
      <c r="CP23" s="68">
        <v>6238</v>
      </c>
      <c r="CQ23" s="67">
        <f t="shared" si="36"/>
        <v>59</v>
      </c>
      <c r="CR23" s="68">
        <v>12825</v>
      </c>
      <c r="CS23" s="67">
        <f t="shared" si="36"/>
        <v>15</v>
      </c>
      <c r="CT23" s="75">
        <v>5545</v>
      </c>
      <c r="CU23" s="67">
        <f t="shared" si="36"/>
        <v>16</v>
      </c>
      <c r="CV23" s="68">
        <v>13656</v>
      </c>
      <c r="CW23" s="67">
        <f t="shared" si="36"/>
        <v>22</v>
      </c>
    </row>
    <row r="24" spans="1:101" ht="25.5" customHeight="1" thickBot="1" x14ac:dyDescent="0.45">
      <c r="A24" s="63">
        <v>44306</v>
      </c>
      <c r="B24" s="44"/>
      <c r="C24" s="58"/>
      <c r="D24" s="64" t="str">
        <f t="shared" si="1"/>
        <v>0</v>
      </c>
      <c r="E24" s="58"/>
      <c r="F24" s="64" t="str">
        <f t="shared" si="2"/>
        <v>0</v>
      </c>
      <c r="G24" s="58"/>
      <c r="H24" s="64" t="str">
        <f t="shared" si="3"/>
        <v>0</v>
      </c>
      <c r="I24" s="58"/>
      <c r="J24" s="64" t="str">
        <f t="shared" si="4"/>
        <v>0</v>
      </c>
      <c r="K24" s="58"/>
      <c r="L24" s="64" t="str">
        <f t="shared" si="37"/>
        <v>0</v>
      </c>
      <c r="M24" s="58"/>
      <c r="N24" s="64" t="str">
        <f t="shared" si="5"/>
        <v/>
      </c>
      <c r="O24" s="58"/>
      <c r="P24" s="67" t="str">
        <f t="shared" si="43"/>
        <v/>
      </c>
      <c r="Q24" s="58"/>
      <c r="R24" s="67" t="str">
        <f t="shared" si="7"/>
        <v/>
      </c>
      <c r="S24" s="58"/>
      <c r="T24" s="67" t="str">
        <f t="shared" si="8"/>
        <v/>
      </c>
      <c r="U24" s="58"/>
      <c r="V24" s="67" t="str">
        <f t="shared" si="38"/>
        <v/>
      </c>
      <c r="W24" s="58"/>
      <c r="X24" s="65" t="str">
        <f t="shared" si="41"/>
        <v/>
      </c>
      <c r="Y24" s="58"/>
      <c r="Z24" s="65" t="str">
        <f t="shared" si="9"/>
        <v/>
      </c>
      <c r="AA24" s="58"/>
      <c r="AB24" s="65" t="str">
        <f t="shared" si="10"/>
        <v/>
      </c>
      <c r="AC24" s="58"/>
      <c r="AD24" s="65" t="str">
        <f t="shared" si="11"/>
        <v/>
      </c>
      <c r="AE24" s="58"/>
      <c r="AF24" s="65" t="str">
        <f t="shared" si="12"/>
        <v/>
      </c>
      <c r="AG24" s="58"/>
      <c r="AH24" s="67" t="str">
        <f t="shared" si="13"/>
        <v/>
      </c>
      <c r="AI24" s="58"/>
      <c r="AJ24" s="65" t="str">
        <f t="shared" si="14"/>
        <v/>
      </c>
      <c r="AK24" s="58"/>
      <c r="AL24" s="65" t="str">
        <f t="shared" si="14"/>
        <v/>
      </c>
      <c r="AM24" s="58"/>
      <c r="AN24" s="65" t="str">
        <f t="shared" si="14"/>
        <v/>
      </c>
      <c r="AO24" s="58"/>
      <c r="AP24" s="65" t="str">
        <f t="shared" si="14"/>
        <v/>
      </c>
      <c r="AQ24" s="58"/>
      <c r="AR24" s="65" t="str">
        <f t="shared" si="15"/>
        <v/>
      </c>
      <c r="AS24" s="58"/>
      <c r="AT24" s="65" t="str">
        <f t="shared" si="16"/>
        <v/>
      </c>
      <c r="AU24" s="58"/>
      <c r="AV24" s="65" t="str">
        <f t="shared" si="17"/>
        <v/>
      </c>
      <c r="AW24" s="58"/>
      <c r="AX24" s="65" t="str">
        <f t="shared" si="18"/>
        <v/>
      </c>
      <c r="AY24" s="58"/>
      <c r="AZ24" s="65" t="str">
        <f t="shared" si="19"/>
        <v/>
      </c>
      <c r="BA24" s="58"/>
      <c r="BB24" s="65" t="str">
        <f t="shared" si="20"/>
        <v/>
      </c>
      <c r="BC24" s="58"/>
      <c r="BD24" s="65" t="str">
        <f t="shared" si="21"/>
        <v/>
      </c>
      <c r="BE24" s="59"/>
      <c r="BF24" s="67" t="str">
        <f t="shared" si="39"/>
        <v/>
      </c>
      <c r="BG24" s="60"/>
      <c r="BH24" s="65" t="str">
        <f t="shared" si="22"/>
        <v/>
      </c>
      <c r="BI24" s="60"/>
      <c r="BJ24" s="65" t="str">
        <f t="shared" si="40"/>
        <v/>
      </c>
      <c r="BK24" s="60"/>
      <c r="BL24" s="65" t="str">
        <f t="shared" si="23"/>
        <v/>
      </c>
      <c r="BM24" s="60"/>
      <c r="BN24" s="65" t="str">
        <f t="shared" si="24"/>
        <v/>
      </c>
      <c r="BO24" s="60"/>
      <c r="BP24" s="65" t="str">
        <f t="shared" si="25"/>
        <v/>
      </c>
      <c r="BQ24" s="60"/>
      <c r="BR24" s="65" t="str">
        <f t="shared" si="26"/>
        <v/>
      </c>
      <c r="BS24" s="60"/>
      <c r="BT24" s="65" t="str">
        <f t="shared" si="42"/>
        <v/>
      </c>
      <c r="BU24" s="60"/>
      <c r="BV24" s="65" t="str">
        <f t="shared" si="27"/>
        <v/>
      </c>
      <c r="BW24" s="60"/>
      <c r="BX24" s="65" t="str">
        <f t="shared" si="28"/>
        <v/>
      </c>
      <c r="BY24" s="60"/>
      <c r="BZ24" s="67" t="str">
        <f t="shared" si="29"/>
        <v/>
      </c>
      <c r="CA24" s="60"/>
      <c r="CB24" s="67" t="str">
        <f t="shared" si="30"/>
        <v/>
      </c>
      <c r="CC24" s="60"/>
      <c r="CD24" s="67" t="str">
        <f t="shared" si="31"/>
        <v/>
      </c>
      <c r="CE24" s="60"/>
      <c r="CF24" s="67" t="str">
        <f t="shared" si="32"/>
        <v/>
      </c>
      <c r="CG24" s="60"/>
      <c r="CH24" s="67" t="str">
        <f t="shared" si="33"/>
        <v/>
      </c>
      <c r="CI24" s="60"/>
      <c r="CJ24" s="67" t="str">
        <f t="shared" si="34"/>
        <v/>
      </c>
      <c r="CK24" s="60"/>
      <c r="CL24" s="64" t="str">
        <f t="shared" si="35"/>
        <v/>
      </c>
      <c r="CM24" s="65" t="e">
        <f t="shared" si="0"/>
        <v>#VALUE!</v>
      </c>
      <c r="CN24" s="62">
        <v>0</v>
      </c>
      <c r="CO24" s="62">
        <v>0</v>
      </c>
      <c r="CP24" s="68"/>
      <c r="CQ24" s="67" t="str">
        <f t="shared" si="36"/>
        <v/>
      </c>
      <c r="CR24" s="68"/>
      <c r="CS24" s="67" t="str">
        <f t="shared" si="36"/>
        <v/>
      </c>
      <c r="CT24" s="75"/>
      <c r="CU24" s="67" t="str">
        <f t="shared" si="36"/>
        <v/>
      </c>
      <c r="CV24" s="68"/>
      <c r="CW24" s="67" t="str">
        <f t="shared" si="36"/>
        <v/>
      </c>
    </row>
    <row r="25" spans="1:101" ht="25.5" customHeight="1" thickBot="1" x14ac:dyDescent="0.45">
      <c r="A25" s="63">
        <v>44307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37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38"/>
        <v>0</v>
      </c>
      <c r="W25" s="58"/>
      <c r="X25" s="65">
        <f t="shared" si="41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7"/>
        <v>0</v>
      </c>
      <c r="BW25" s="60"/>
      <c r="BX25" s="65">
        <f t="shared" si="28"/>
        <v>0</v>
      </c>
      <c r="BY25" s="60"/>
      <c r="BZ25" s="67">
        <f t="shared" si="29"/>
        <v>0</v>
      </c>
      <c r="CA25" s="60"/>
      <c r="CB25" s="67">
        <f t="shared" si="30"/>
        <v>0</v>
      </c>
      <c r="CC25" s="60"/>
      <c r="CD25" s="67">
        <f t="shared" si="31"/>
        <v>0</v>
      </c>
      <c r="CE25" s="60"/>
      <c r="CF25" s="67">
        <f t="shared" si="32"/>
        <v>0</v>
      </c>
      <c r="CG25" s="60"/>
      <c r="CH25" s="67">
        <f t="shared" si="33"/>
        <v>0</v>
      </c>
      <c r="CI25" s="60"/>
      <c r="CJ25" s="67">
        <f t="shared" si="34"/>
        <v>0</v>
      </c>
      <c r="CK25" s="60"/>
      <c r="CL25" s="64">
        <f t="shared" si="35"/>
        <v>0</v>
      </c>
      <c r="CM25" s="65">
        <f t="shared" si="0"/>
        <v>0</v>
      </c>
      <c r="CN25" s="62">
        <v>0</v>
      </c>
      <c r="CO25" s="62">
        <v>0</v>
      </c>
      <c r="CP25" s="68"/>
      <c r="CQ25" s="67">
        <f t="shared" si="36"/>
        <v>0</v>
      </c>
      <c r="CR25" s="68"/>
      <c r="CS25" s="67">
        <f t="shared" si="36"/>
        <v>0</v>
      </c>
      <c r="CT25" s="75"/>
      <c r="CU25" s="67">
        <f t="shared" si="36"/>
        <v>0</v>
      </c>
      <c r="CV25" s="68"/>
      <c r="CW25" s="67">
        <f t="shared" si="36"/>
        <v>0</v>
      </c>
    </row>
    <row r="26" spans="1:101" ht="25.5" customHeight="1" thickBot="1" x14ac:dyDescent="0.45">
      <c r="A26" s="63">
        <v>44308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37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38"/>
        <v>0</v>
      </c>
      <c r="W26" s="58"/>
      <c r="X26" s="65">
        <f t="shared" si="41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7"/>
        <v>0</v>
      </c>
      <c r="BW26" s="60"/>
      <c r="BX26" s="65">
        <f t="shared" si="28"/>
        <v>0</v>
      </c>
      <c r="BY26" s="60"/>
      <c r="BZ26" s="67">
        <f t="shared" si="29"/>
        <v>0</v>
      </c>
      <c r="CA26" s="60"/>
      <c r="CB26" s="67">
        <f t="shared" si="30"/>
        <v>0</v>
      </c>
      <c r="CC26" s="60"/>
      <c r="CD26" s="67">
        <f t="shared" si="31"/>
        <v>0</v>
      </c>
      <c r="CE26" s="60"/>
      <c r="CF26" s="67">
        <f t="shared" si="32"/>
        <v>0</v>
      </c>
      <c r="CG26" s="60"/>
      <c r="CH26" s="67">
        <f t="shared" si="33"/>
        <v>0</v>
      </c>
      <c r="CI26" s="60"/>
      <c r="CJ26" s="67">
        <f t="shared" si="34"/>
        <v>0</v>
      </c>
      <c r="CK26" s="60"/>
      <c r="CL26" s="64">
        <f t="shared" si="35"/>
        <v>0</v>
      </c>
      <c r="CM26" s="65">
        <f t="shared" si="0"/>
        <v>0</v>
      </c>
      <c r="CN26" s="62">
        <v>0</v>
      </c>
      <c r="CO26" s="62">
        <v>0</v>
      </c>
      <c r="CP26" s="68"/>
      <c r="CQ26" s="67">
        <f t="shared" si="36"/>
        <v>0</v>
      </c>
      <c r="CR26" s="68"/>
      <c r="CS26" s="67">
        <f t="shared" si="36"/>
        <v>0</v>
      </c>
      <c r="CT26" s="75"/>
      <c r="CU26" s="67">
        <f t="shared" si="36"/>
        <v>0</v>
      </c>
      <c r="CV26" s="68"/>
      <c r="CW26" s="67">
        <f t="shared" si="36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A7" zoomScaleNormal="100" workbookViewId="0">
      <selection activeCell="M30" sqref="M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7">
        <v>75</v>
      </c>
      <c r="S17" s="77">
        <v>197</v>
      </c>
      <c r="T17">
        <f t="shared" si="0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7">
        <v>75</v>
      </c>
      <c r="S18" s="77">
        <v>197</v>
      </c>
      <c r="T18">
        <f t="shared" si="0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7">
        <v>75</v>
      </c>
      <c r="S19" s="77">
        <v>197</v>
      </c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7">
        <v>75</v>
      </c>
      <c r="S20" s="77">
        <v>197</v>
      </c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>
        <v>0</v>
      </c>
      <c r="F21" s="41">
        <v>5006</v>
      </c>
      <c r="G21" s="41">
        <v>0</v>
      </c>
      <c r="H21" s="41">
        <v>1406</v>
      </c>
      <c r="I21" s="41">
        <v>50</v>
      </c>
      <c r="J21" s="41">
        <v>287</v>
      </c>
      <c r="K21" s="42">
        <v>20</v>
      </c>
      <c r="L21" s="42">
        <v>85</v>
      </c>
      <c r="M21" s="42">
        <v>1231</v>
      </c>
      <c r="N21" s="39">
        <v>0</v>
      </c>
      <c r="O21" s="39">
        <v>79</v>
      </c>
      <c r="P21" s="39">
        <v>85</v>
      </c>
      <c r="Q21" s="39">
        <v>3531</v>
      </c>
      <c r="R21" s="77">
        <v>75</v>
      </c>
      <c r="S21" s="77">
        <v>197</v>
      </c>
      <c r="T21">
        <f t="shared" si="0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>
        <v>0</v>
      </c>
      <c r="F22" s="41">
        <v>5011</v>
      </c>
      <c r="G22" s="41">
        <v>0</v>
      </c>
      <c r="H22" s="41">
        <v>1407</v>
      </c>
      <c r="I22" s="41">
        <v>40</v>
      </c>
      <c r="J22" s="41">
        <v>288</v>
      </c>
      <c r="K22" s="42">
        <v>20</v>
      </c>
      <c r="L22" s="42">
        <v>85</v>
      </c>
      <c r="M22" s="42">
        <v>1232</v>
      </c>
      <c r="N22" s="39">
        <v>0</v>
      </c>
      <c r="O22" s="39">
        <v>70</v>
      </c>
      <c r="P22" s="39">
        <v>85</v>
      </c>
      <c r="Q22" s="39">
        <v>3537</v>
      </c>
      <c r="R22" s="77">
        <v>75</v>
      </c>
      <c r="S22" s="77">
        <v>197</v>
      </c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>
        <v>0</v>
      </c>
      <c r="F23" s="41">
        <v>5016</v>
      </c>
      <c r="G23" s="41">
        <v>0</v>
      </c>
      <c r="H23" s="41">
        <v>1409</v>
      </c>
      <c r="I23" s="41">
        <v>30</v>
      </c>
      <c r="J23" s="41">
        <v>289</v>
      </c>
      <c r="K23" s="42">
        <v>20</v>
      </c>
      <c r="L23" s="42">
        <v>85</v>
      </c>
      <c r="M23" s="42">
        <v>1232</v>
      </c>
      <c r="N23" s="39">
        <v>0</v>
      </c>
      <c r="O23" s="39">
        <v>60</v>
      </c>
      <c r="P23" s="39">
        <v>85</v>
      </c>
      <c r="Q23" s="39">
        <v>3543</v>
      </c>
      <c r="R23" s="77">
        <v>75</v>
      </c>
      <c r="S23" s="77">
        <v>197</v>
      </c>
      <c r="T23">
        <f t="shared" si="0"/>
        <v>0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>
        <v>85</v>
      </c>
      <c r="F24" s="41">
        <v>5025</v>
      </c>
      <c r="G24" s="41">
        <v>85</v>
      </c>
      <c r="H24" s="41">
        <v>1410</v>
      </c>
      <c r="I24" s="41">
        <v>80</v>
      </c>
      <c r="J24" s="41">
        <v>291</v>
      </c>
      <c r="K24" s="42">
        <v>15</v>
      </c>
      <c r="L24" s="42">
        <v>85</v>
      </c>
      <c r="M24" s="42">
        <v>1236</v>
      </c>
      <c r="N24" s="39">
        <v>85</v>
      </c>
      <c r="O24" s="39">
        <v>85</v>
      </c>
      <c r="P24" s="39">
        <v>85</v>
      </c>
      <c r="Q24" s="39">
        <v>3552</v>
      </c>
      <c r="R24" s="77">
        <v>75</v>
      </c>
      <c r="S24" s="77">
        <v>197</v>
      </c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>
        <v>85</v>
      </c>
      <c r="F25" s="41">
        <v>5026</v>
      </c>
      <c r="G25" s="41">
        <v>85</v>
      </c>
      <c r="H25" s="41">
        <v>1411</v>
      </c>
      <c r="I25" s="41">
        <v>80</v>
      </c>
      <c r="J25" s="41">
        <v>292</v>
      </c>
      <c r="K25" s="42">
        <v>15</v>
      </c>
      <c r="L25" s="42">
        <v>85</v>
      </c>
      <c r="M25" s="42">
        <v>1236</v>
      </c>
      <c r="N25" s="39">
        <v>85</v>
      </c>
      <c r="O25" s="39">
        <v>85</v>
      </c>
      <c r="P25" s="39">
        <v>85</v>
      </c>
      <c r="Q25" s="39">
        <v>3554</v>
      </c>
      <c r="R25" s="77">
        <v>75</v>
      </c>
      <c r="S25" s="77">
        <v>197</v>
      </c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>
        <v>85</v>
      </c>
      <c r="F26" s="41">
        <v>5026</v>
      </c>
      <c r="G26" s="41">
        <v>85</v>
      </c>
      <c r="H26" s="41">
        <v>1413</v>
      </c>
      <c r="I26" s="41">
        <v>70</v>
      </c>
      <c r="J26" s="41">
        <v>293</v>
      </c>
      <c r="K26" s="42">
        <v>11</v>
      </c>
      <c r="L26" s="42">
        <v>85</v>
      </c>
      <c r="M26" s="42">
        <v>1240</v>
      </c>
      <c r="N26" s="39">
        <v>85</v>
      </c>
      <c r="O26" s="39">
        <v>80</v>
      </c>
      <c r="P26" s="39">
        <v>85</v>
      </c>
      <c r="Q26" s="39">
        <v>3559</v>
      </c>
      <c r="R26" s="77">
        <v>75</v>
      </c>
      <c r="S26" s="77">
        <v>197</v>
      </c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>
        <v>85</v>
      </c>
      <c r="F27" s="41">
        <v>5026</v>
      </c>
      <c r="G27" s="41">
        <v>85</v>
      </c>
      <c r="H27" s="41">
        <v>1414</v>
      </c>
      <c r="I27" s="41">
        <v>60</v>
      </c>
      <c r="J27" s="41">
        <v>294</v>
      </c>
      <c r="K27" s="42">
        <v>10</v>
      </c>
      <c r="L27" s="42">
        <v>85</v>
      </c>
      <c r="M27" s="42">
        <v>1241</v>
      </c>
      <c r="N27" s="39">
        <v>85</v>
      </c>
      <c r="O27" s="39">
        <v>75</v>
      </c>
      <c r="P27" s="39">
        <v>85</v>
      </c>
      <c r="Q27" s="39">
        <v>3563</v>
      </c>
      <c r="R27" s="77">
        <v>75</v>
      </c>
      <c r="S27" s="77">
        <v>197</v>
      </c>
      <c r="T27">
        <f t="shared" si="0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-197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2021-04-20T19:30:23Z</dcterms:modified>
</cp:coreProperties>
</file>