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06 - 2022" sheetId="5" r:id="rId1"/>
    <sheet name="Total Daily " sheetId="3" r:id="rId2"/>
    <sheet name="Submetering Daily " sheetId="2" r:id="rId3"/>
  </sheets>
  <definedNames>
    <definedName name="_xlnm.Print_Area" localSheetId="0">'06 - 2022'!$A$1:$J$35</definedName>
  </definedNames>
  <calcPr calcId="162913"/>
</workbook>
</file>

<file path=xl/calcChain.xml><?xml version="1.0" encoding="utf-8"?>
<calcChain xmlns="http://schemas.openxmlformats.org/spreadsheetml/2006/main"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A12" i="5"/>
  <c r="A13" i="5" s="1"/>
  <c r="A11" i="5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H38" i="5"/>
  <c r="G38" i="5"/>
  <c r="F38" i="5"/>
  <c r="E38" i="5"/>
  <c r="C38" i="5"/>
  <c r="B38" i="5"/>
  <c r="A8" i="5"/>
  <c r="A9" i="5" s="1"/>
  <c r="A10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4" i="2" l="1"/>
  <c r="I24" i="2"/>
  <c r="H24" i="2"/>
  <c r="F24" i="2"/>
  <c r="E24" i="2"/>
  <c r="L24" i="3"/>
  <c r="K24" i="3"/>
  <c r="I24" i="3"/>
  <c r="G24" i="3"/>
  <c r="E24" i="3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<sst xmlns="http://schemas.openxmlformats.org/spreadsheetml/2006/main" count="105" uniqueCount="38">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</sst>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2" fillId="3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43" fontId="6" fillId="0" borderId="3" xfId="2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2" borderId="13" xfId="2" applyFont="1" applyFill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43" fontId="5" fillId="0" borderId="13" xfId="2" applyFont="1" applyFill="1" applyBorder="1" applyAlignment="1">
      <alignment horizontal="center" vertical="center"/>
    </xf>
    <xf numFmtId="43" fontId="4" fillId="0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 vertical="center"/>
    </xf>
    <xf numFmtId="43" fontId="4" fillId="0" borderId="0" xfId="2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7" zoomScaleNormal="100" workbookViewId="0">
      <selection activeCell="C32" sqref="C31:C32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4"/>
      <c r="B1" s="54"/>
      <c r="C1" s="54"/>
      <c r="D1" s="54"/>
      <c r="E1" s="54"/>
      <c r="F1" s="54"/>
      <c r="G1" s="54"/>
      <c r="H1" s="55"/>
      <c r="I1" s="55"/>
      <c r="J1" s="54"/>
      <c r="K1" s="54"/>
      <c r="L1" s="54"/>
    </row>
    <row r="2" spans="1:17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7" ht="18.75" x14ac:dyDescent="0.25">
      <c r="A3" s="84" t="s">
        <v>30</v>
      </c>
      <c r="B3" s="84"/>
      <c r="C3" s="84"/>
      <c r="D3" s="84"/>
      <c r="E3" s="84"/>
      <c r="F3" s="84"/>
      <c r="G3" s="84"/>
      <c r="H3" s="84"/>
      <c r="I3" s="84"/>
      <c r="J3" s="84"/>
      <c r="K3" s="54"/>
      <c r="L3" s="54"/>
    </row>
    <row r="4" spans="1:17" ht="16.5" thickBot="1" x14ac:dyDescent="0.3">
      <c r="A4" s="85" t="s">
        <v>37</v>
      </c>
      <c r="B4" s="85"/>
      <c r="C4" s="85"/>
      <c r="D4" s="85"/>
      <c r="E4" s="85"/>
      <c r="F4" s="85"/>
      <c r="G4" s="85"/>
      <c r="H4" s="85"/>
      <c r="I4" s="85"/>
      <c r="J4" s="85"/>
      <c r="K4" s="54"/>
      <c r="L4" s="54"/>
    </row>
    <row r="5" spans="1:17" ht="16.5" thickBot="1" x14ac:dyDescent="0.3">
      <c r="A5" s="56"/>
      <c r="B5" s="86" t="s">
        <v>36</v>
      </c>
      <c r="C5" s="87"/>
      <c r="D5" s="86" t="s">
        <v>0</v>
      </c>
      <c r="E5" s="88"/>
      <c r="F5" s="88"/>
      <c r="G5" s="89"/>
      <c r="H5" s="90" t="s">
        <v>1</v>
      </c>
      <c r="I5" s="91"/>
      <c r="J5" s="57" t="s">
        <v>2</v>
      </c>
      <c r="K5" s="56"/>
      <c r="L5" s="54"/>
    </row>
    <row r="6" spans="1:17" ht="12" customHeight="1" thickBot="1" x14ac:dyDescent="0.3">
      <c r="A6" s="46" t="s">
        <v>3</v>
      </c>
      <c r="B6" s="47" t="s">
        <v>33</v>
      </c>
      <c r="C6" s="48" t="s">
        <v>34</v>
      </c>
      <c r="D6" s="48" t="s">
        <v>4</v>
      </c>
      <c r="E6" s="48" t="s">
        <v>5</v>
      </c>
      <c r="F6" s="48" t="s">
        <v>6</v>
      </c>
      <c r="G6" s="49" t="s">
        <v>7</v>
      </c>
      <c r="H6" s="48" t="s">
        <v>28</v>
      </c>
      <c r="I6" s="48" t="s">
        <v>29</v>
      </c>
      <c r="J6" s="48" t="s">
        <v>8</v>
      </c>
      <c r="K6" s="48" t="s">
        <v>31</v>
      </c>
      <c r="L6" s="58" t="s">
        <v>32</v>
      </c>
    </row>
    <row r="7" spans="1:17" s="12" customFormat="1" ht="12.95" customHeight="1" thickBot="1" x14ac:dyDescent="0.3">
      <c r="A7" s="59">
        <v>44347</v>
      </c>
      <c r="B7" s="60">
        <v>113326</v>
      </c>
      <c r="C7" s="61">
        <v>911522</v>
      </c>
      <c r="D7" s="62">
        <v>0.52</v>
      </c>
      <c r="E7" s="63">
        <v>1867.06</v>
      </c>
      <c r="F7" s="64">
        <v>2301.79</v>
      </c>
      <c r="G7" s="64">
        <v>42447.1</v>
      </c>
      <c r="H7" s="60">
        <v>14528</v>
      </c>
      <c r="I7" s="60">
        <v>158931</v>
      </c>
      <c r="J7" s="60">
        <v>55846526</v>
      </c>
      <c r="K7" s="65"/>
      <c r="L7" s="66"/>
      <c r="M7" s="17"/>
    </row>
    <row r="8" spans="1:17" s="28" customFormat="1" ht="12.95" customHeight="1" thickTop="1" x14ac:dyDescent="0.25">
      <c r="A8" s="67">
        <f>A7+1</f>
        <v>44348</v>
      </c>
      <c r="B8" s="68">
        <v>117348</v>
      </c>
      <c r="C8" s="68">
        <v>917421</v>
      </c>
      <c r="D8" s="50">
        <v>0.45</v>
      </c>
      <c r="E8" s="51">
        <v>1893.88</v>
      </c>
      <c r="F8" s="42">
        <v>2309.62</v>
      </c>
      <c r="G8" s="68">
        <v>42480.68</v>
      </c>
      <c r="H8" s="68">
        <v>14528</v>
      </c>
      <c r="I8" s="68">
        <v>159048</v>
      </c>
      <c r="J8" s="68">
        <v>55873580</v>
      </c>
      <c r="K8" s="69"/>
      <c r="L8" s="70"/>
      <c r="M8" s="52"/>
    </row>
    <row r="9" spans="1:17" s="28" customFormat="1" ht="12.95" customHeight="1" x14ac:dyDescent="0.25">
      <c r="A9" s="67">
        <f t="shared" ref="A9:A37" si="0">A8+1</f>
        <v>44349</v>
      </c>
      <c r="B9" s="35">
        <v>121154</v>
      </c>
      <c r="C9" s="34">
        <v>922875</v>
      </c>
      <c r="D9" s="43">
        <v>0.39</v>
      </c>
      <c r="E9" s="40">
        <v>1918.32</v>
      </c>
      <c r="F9" s="26">
        <v>2316.23</v>
      </c>
      <c r="G9" s="26">
        <v>42513.03</v>
      </c>
      <c r="H9" s="68">
        <v>14528</v>
      </c>
      <c r="I9" s="35">
        <v>159163</v>
      </c>
      <c r="J9" s="35">
        <v>55900456</v>
      </c>
      <c r="K9" s="71"/>
      <c r="L9" s="72"/>
      <c r="M9" s="52"/>
    </row>
    <row r="10" spans="1:17" s="28" customFormat="1" ht="12.95" customHeight="1" x14ac:dyDescent="0.25">
      <c r="A10" s="67">
        <f t="shared" si="0"/>
        <v>44350</v>
      </c>
      <c r="B10" s="35">
        <v>125279</v>
      </c>
      <c r="C10" s="35">
        <v>928882</v>
      </c>
      <c r="D10" s="43">
        <v>0.3</v>
      </c>
      <c r="E10" s="40">
        <v>1945.27</v>
      </c>
      <c r="F10" s="26">
        <v>2323.87</v>
      </c>
      <c r="G10" s="26">
        <v>42546.42</v>
      </c>
      <c r="H10" s="68">
        <v>14528</v>
      </c>
      <c r="I10" s="35">
        <v>159294</v>
      </c>
      <c r="J10" s="44">
        <v>55929591</v>
      </c>
      <c r="K10" s="71">
        <v>3500</v>
      </c>
      <c r="L10" s="72"/>
      <c r="M10" s="52"/>
    </row>
    <row r="11" spans="1:17" s="28" customFormat="1" ht="12.95" customHeight="1" x14ac:dyDescent="0.25">
      <c r="A11" s="67">
        <f t="shared" si="0"/>
        <v>44351</v>
      </c>
      <c r="B11" s="35">
        <v>129027</v>
      </c>
      <c r="C11" s="35">
        <v>934368</v>
      </c>
      <c r="D11" s="43">
        <v>0.75</v>
      </c>
      <c r="E11" s="40">
        <v>1972.45</v>
      </c>
      <c r="F11" s="26">
        <v>2331.6</v>
      </c>
      <c r="G11" s="26">
        <v>42579.63</v>
      </c>
      <c r="H11" s="68">
        <v>14528</v>
      </c>
      <c r="I11" s="35">
        <v>159420</v>
      </c>
      <c r="J11" s="35">
        <v>55957494</v>
      </c>
      <c r="K11" s="71"/>
      <c r="L11" s="72"/>
      <c r="M11" s="52"/>
    </row>
    <row r="12" spans="1:17" s="28" customFormat="1" ht="12.95" customHeight="1" x14ac:dyDescent="0.25">
      <c r="A12" s="67">
        <f t="shared" si="0"/>
        <v>44352</v>
      </c>
      <c r="B12" s="35">
        <v>132849</v>
      </c>
      <c r="C12" s="35">
        <v>939903</v>
      </c>
      <c r="D12" s="43">
        <v>0.69</v>
      </c>
      <c r="E12" s="73">
        <v>1997.97</v>
      </c>
      <c r="F12" s="35">
        <v>2339.39</v>
      </c>
      <c r="G12" s="35">
        <v>42613.35</v>
      </c>
      <c r="H12" s="68">
        <v>14528</v>
      </c>
      <c r="I12" s="35">
        <v>159532</v>
      </c>
      <c r="J12" s="35">
        <v>55984405</v>
      </c>
      <c r="K12" s="71"/>
      <c r="L12" s="72"/>
      <c r="M12" s="52"/>
      <c r="N12" s="27"/>
    </row>
    <row r="13" spans="1:17" s="28" customFormat="1" ht="12.95" customHeight="1" x14ac:dyDescent="0.25">
      <c r="A13" s="67">
        <f t="shared" si="0"/>
        <v>44353</v>
      </c>
      <c r="B13" s="35">
        <v>136725</v>
      </c>
      <c r="C13" s="34">
        <v>945457</v>
      </c>
      <c r="D13" s="43">
        <v>0.6</v>
      </c>
      <c r="E13" s="40">
        <v>2023.16</v>
      </c>
      <c r="F13" s="26">
        <v>2347.7600000000002</v>
      </c>
      <c r="G13" s="26">
        <v>42647.6</v>
      </c>
      <c r="H13" s="68">
        <v>14528</v>
      </c>
      <c r="I13" s="34">
        <v>159647</v>
      </c>
      <c r="J13" s="34">
        <v>56011200</v>
      </c>
      <c r="K13" s="71"/>
      <c r="L13" s="72"/>
      <c r="M13" s="52"/>
      <c r="N13" s="29"/>
      <c r="O13" s="29"/>
      <c r="P13" s="29"/>
      <c r="Q13" s="29"/>
    </row>
    <row r="14" spans="1:17" s="28" customFormat="1" ht="12.95" customHeight="1" x14ac:dyDescent="0.25">
      <c r="A14" s="67">
        <f t="shared" si="0"/>
        <v>44354</v>
      </c>
      <c r="B14" s="35">
        <v>140646</v>
      </c>
      <c r="C14" s="35">
        <v>951000</v>
      </c>
      <c r="D14" s="43">
        <v>0.53</v>
      </c>
      <c r="E14" s="40">
        <v>2048.89</v>
      </c>
      <c r="F14" s="26">
        <v>2354.7600000000002</v>
      </c>
      <c r="G14" s="34">
        <v>42681.1</v>
      </c>
      <c r="H14" s="68">
        <v>14528</v>
      </c>
      <c r="I14" s="35">
        <v>159758</v>
      </c>
      <c r="J14" s="35">
        <v>56037714</v>
      </c>
      <c r="K14" s="71"/>
      <c r="L14" s="72"/>
      <c r="M14" s="52"/>
      <c r="N14" s="29"/>
      <c r="O14" s="29"/>
      <c r="P14" s="29"/>
      <c r="Q14" s="29"/>
    </row>
    <row r="15" spans="1:17" s="28" customFormat="1" ht="12.95" customHeight="1" x14ac:dyDescent="0.25">
      <c r="A15" s="67">
        <f t="shared" si="0"/>
        <v>44355</v>
      </c>
      <c r="B15" s="35">
        <v>144591</v>
      </c>
      <c r="C15" s="35">
        <v>956596</v>
      </c>
      <c r="D15" s="43">
        <v>0.45</v>
      </c>
      <c r="E15" s="40">
        <v>2075.39</v>
      </c>
      <c r="F15" s="26">
        <v>2364</v>
      </c>
      <c r="G15" s="34">
        <v>42715.040000000001</v>
      </c>
      <c r="H15" s="68">
        <v>14528</v>
      </c>
      <c r="I15" s="35">
        <v>159871</v>
      </c>
      <c r="J15" s="35">
        <v>56065336</v>
      </c>
      <c r="K15" s="71"/>
      <c r="L15" s="72"/>
      <c r="M15" s="52"/>
      <c r="N15" s="29"/>
      <c r="O15" s="29"/>
      <c r="P15" s="29"/>
      <c r="Q15" s="29"/>
    </row>
    <row r="16" spans="1:17" s="28" customFormat="1" ht="12.95" customHeight="1" x14ac:dyDescent="0.25">
      <c r="A16" s="67">
        <f t="shared" si="0"/>
        <v>44356</v>
      </c>
      <c r="B16" s="74">
        <v>148386</v>
      </c>
      <c r="C16" s="35">
        <v>961989</v>
      </c>
      <c r="D16" s="43">
        <v>0.37</v>
      </c>
      <c r="E16" s="40">
        <v>2106.1799999999998</v>
      </c>
      <c r="F16" s="26">
        <v>2372.2199999999998</v>
      </c>
      <c r="G16" s="34">
        <v>42747.05</v>
      </c>
      <c r="H16" s="68">
        <v>14528</v>
      </c>
      <c r="I16" s="35">
        <v>159980</v>
      </c>
      <c r="J16" s="35">
        <v>56091975</v>
      </c>
      <c r="K16" s="71"/>
      <c r="L16" s="72"/>
      <c r="M16" s="52"/>
      <c r="N16" s="29"/>
      <c r="O16" s="29"/>
      <c r="P16" s="29"/>
      <c r="Q16" s="29"/>
    </row>
    <row r="17" spans="1:19" s="28" customFormat="1" ht="12.95" customHeight="1" x14ac:dyDescent="0.25">
      <c r="A17" s="67">
        <f t="shared" si="0"/>
        <v>44357</v>
      </c>
      <c r="B17" s="34">
        <v>152349</v>
      </c>
      <c r="C17" s="34">
        <v>967689</v>
      </c>
      <c r="D17" s="43">
        <v>0.3</v>
      </c>
      <c r="E17" s="40">
        <v>2125.54</v>
      </c>
      <c r="F17" s="26">
        <v>2381.64</v>
      </c>
      <c r="G17" s="34">
        <v>42784.3</v>
      </c>
      <c r="H17" s="68">
        <v>14528</v>
      </c>
      <c r="I17" s="34">
        <v>160104</v>
      </c>
      <c r="J17" s="34">
        <v>56117999</v>
      </c>
      <c r="K17" s="71">
        <v>3850</v>
      </c>
      <c r="L17" s="72"/>
      <c r="M17" s="52"/>
      <c r="N17" s="29"/>
      <c r="O17" s="29"/>
      <c r="P17" s="29"/>
      <c r="Q17" s="29"/>
    </row>
    <row r="18" spans="1:19" s="28" customFormat="1" ht="12.95" customHeight="1" x14ac:dyDescent="0.25">
      <c r="A18" s="67">
        <f t="shared" si="0"/>
        <v>44358</v>
      </c>
      <c r="B18" s="35">
        <v>156328</v>
      </c>
      <c r="C18" s="35">
        <v>973572</v>
      </c>
      <c r="D18" s="43">
        <v>0.8</v>
      </c>
      <c r="E18" s="40">
        <v>2153.88</v>
      </c>
      <c r="F18" s="26">
        <v>2391.0500000000002</v>
      </c>
      <c r="G18" s="34">
        <v>42817.22</v>
      </c>
      <c r="H18" s="68">
        <v>14528</v>
      </c>
      <c r="I18" s="35">
        <v>160231</v>
      </c>
      <c r="J18" s="35">
        <v>56150544</v>
      </c>
      <c r="K18" s="71"/>
      <c r="L18" s="72"/>
      <c r="M18" s="52"/>
      <c r="N18" s="29"/>
      <c r="O18" s="30"/>
      <c r="P18" s="29"/>
      <c r="Q18" s="29"/>
    </row>
    <row r="19" spans="1:19" s="28" customFormat="1" ht="12.95" customHeight="1" x14ac:dyDescent="0.25">
      <c r="A19" s="67">
        <f t="shared" si="0"/>
        <v>44359</v>
      </c>
      <c r="B19" s="37">
        <v>160169</v>
      </c>
      <c r="C19" s="37">
        <v>979186</v>
      </c>
      <c r="D19" s="43">
        <v>0.72</v>
      </c>
      <c r="E19" s="40">
        <v>2180.1</v>
      </c>
      <c r="F19" s="26">
        <v>2400.34</v>
      </c>
      <c r="G19" s="38">
        <v>42850.96</v>
      </c>
      <c r="H19" s="68">
        <v>14528</v>
      </c>
      <c r="I19" s="37">
        <v>160345</v>
      </c>
      <c r="J19" s="37">
        <v>56180641</v>
      </c>
      <c r="K19" s="71"/>
      <c r="L19" s="72"/>
      <c r="M19" s="52"/>
      <c r="N19" s="29"/>
      <c r="O19" s="30"/>
      <c r="P19" s="29"/>
      <c r="Q19" s="29"/>
    </row>
    <row r="20" spans="1:19" s="28" customFormat="1" ht="12.95" customHeight="1" x14ac:dyDescent="0.25">
      <c r="A20" s="67">
        <f t="shared" si="0"/>
        <v>44360</v>
      </c>
      <c r="B20" s="37">
        <v>163939</v>
      </c>
      <c r="C20" s="37">
        <v>984800</v>
      </c>
      <c r="D20" s="43">
        <v>0.64</v>
      </c>
      <c r="E20" s="40">
        <v>2206.46</v>
      </c>
      <c r="F20" s="26">
        <v>2409.25</v>
      </c>
      <c r="G20" s="38">
        <v>42882.99</v>
      </c>
      <c r="H20" s="68">
        <v>14528</v>
      </c>
      <c r="I20" s="37">
        <v>160453</v>
      </c>
      <c r="J20" s="37">
        <v>56211570</v>
      </c>
      <c r="K20" s="71"/>
      <c r="L20" s="72"/>
      <c r="M20" s="52"/>
      <c r="N20" s="31"/>
      <c r="O20" s="29"/>
      <c r="P20" s="29"/>
      <c r="Q20" s="29"/>
    </row>
    <row r="21" spans="1:19" s="28" customFormat="1" ht="12.95" customHeight="1" x14ac:dyDescent="0.25">
      <c r="A21" s="67">
        <f t="shared" si="0"/>
        <v>44361</v>
      </c>
      <c r="B21" s="37">
        <v>168108</v>
      </c>
      <c r="C21" s="37">
        <v>990401</v>
      </c>
      <c r="D21" s="43">
        <v>0.56999999999999995</v>
      </c>
      <c r="E21" s="45">
        <v>2231.58</v>
      </c>
      <c r="F21" s="83">
        <v>2416.9699999999998</v>
      </c>
      <c r="G21" s="38">
        <v>42915.31</v>
      </c>
      <c r="H21" s="68">
        <v>14528</v>
      </c>
      <c r="I21" s="37">
        <v>160571</v>
      </c>
      <c r="J21" s="37">
        <v>56244345</v>
      </c>
      <c r="K21" s="71"/>
      <c r="L21" s="72"/>
      <c r="M21" s="52"/>
      <c r="N21" s="31"/>
      <c r="O21" s="31"/>
      <c r="P21" s="32"/>
      <c r="Q21" s="32"/>
      <c r="S21" s="27"/>
    </row>
    <row r="22" spans="1:19" s="28" customFormat="1" ht="12.95" customHeight="1" x14ac:dyDescent="0.25">
      <c r="A22" s="67">
        <f t="shared" si="0"/>
        <v>44362</v>
      </c>
      <c r="B22" s="35">
        <v>172372</v>
      </c>
      <c r="C22" s="74">
        <v>996264</v>
      </c>
      <c r="D22" s="43">
        <v>0.5</v>
      </c>
      <c r="E22" s="40">
        <v>2254.89</v>
      </c>
      <c r="F22" s="26">
        <v>2425.48</v>
      </c>
      <c r="G22" s="38">
        <v>42947.82</v>
      </c>
      <c r="H22" s="68">
        <v>14528</v>
      </c>
      <c r="I22" s="38">
        <v>160684</v>
      </c>
      <c r="J22" s="37">
        <v>56277484</v>
      </c>
      <c r="K22" s="71"/>
      <c r="L22" s="72"/>
      <c r="M22" s="52"/>
      <c r="N22" s="31"/>
      <c r="O22" s="31"/>
      <c r="P22" s="29"/>
      <c r="Q22" s="29"/>
    </row>
    <row r="23" spans="1:19" s="28" customFormat="1" ht="12.95" customHeight="1" x14ac:dyDescent="0.25">
      <c r="A23" s="67">
        <f t="shared" si="0"/>
        <v>44363</v>
      </c>
      <c r="B23" s="37">
        <v>176158</v>
      </c>
      <c r="C23" s="37">
        <v>1001844.71</v>
      </c>
      <c r="D23" s="43">
        <v>0.43</v>
      </c>
      <c r="E23" s="45">
        <v>2279.37</v>
      </c>
      <c r="F23" s="26">
        <v>2433.3200000000002</v>
      </c>
      <c r="G23" s="38">
        <v>42976.83</v>
      </c>
      <c r="H23" s="68">
        <v>14528</v>
      </c>
      <c r="I23" s="37">
        <v>160801</v>
      </c>
      <c r="J23" s="37">
        <v>56308968</v>
      </c>
      <c r="K23" s="71"/>
      <c r="L23" s="72"/>
      <c r="M23" s="52"/>
      <c r="N23" s="31"/>
      <c r="O23" s="29"/>
      <c r="P23" s="29"/>
      <c r="Q23" s="29"/>
    </row>
    <row r="24" spans="1:19" s="28" customFormat="1" ht="12.95" customHeight="1" x14ac:dyDescent="0.25">
      <c r="A24" s="67">
        <f t="shared" si="0"/>
        <v>44364</v>
      </c>
      <c r="B24" s="37">
        <v>180197</v>
      </c>
      <c r="C24" s="37">
        <v>1007627.28</v>
      </c>
      <c r="D24" s="43">
        <v>0.32</v>
      </c>
      <c r="E24" s="40">
        <v>2306.94</v>
      </c>
      <c r="F24" s="26">
        <v>2441.21</v>
      </c>
      <c r="G24" s="38">
        <v>43007.87</v>
      </c>
      <c r="H24" s="68">
        <v>14528</v>
      </c>
      <c r="I24" s="37">
        <v>160930</v>
      </c>
      <c r="J24" s="37">
        <v>56339060</v>
      </c>
      <c r="K24" s="71"/>
      <c r="L24" s="75"/>
      <c r="M24" s="52"/>
      <c r="N24" s="31"/>
      <c r="O24" s="31"/>
      <c r="P24" s="29"/>
      <c r="Q24" s="29"/>
    </row>
    <row r="25" spans="1:19" s="28" customFormat="1" ht="12.95" customHeight="1" x14ac:dyDescent="0.25">
      <c r="A25" s="67">
        <f t="shared" si="0"/>
        <v>44365</v>
      </c>
      <c r="B25" s="38">
        <v>184120</v>
      </c>
      <c r="C25" s="38">
        <v>1013504.7</v>
      </c>
      <c r="D25" s="43">
        <v>0.26</v>
      </c>
      <c r="E25" s="40">
        <v>2330.59</v>
      </c>
      <c r="F25" s="26">
        <v>2449.35</v>
      </c>
      <c r="G25" s="38">
        <v>43045.85</v>
      </c>
      <c r="H25" s="68">
        <v>14528</v>
      </c>
      <c r="I25" s="37">
        <v>161062</v>
      </c>
      <c r="J25" s="37">
        <v>56377015</v>
      </c>
      <c r="K25" s="76"/>
      <c r="L25" s="75"/>
      <c r="M25" s="52"/>
      <c r="N25" s="31"/>
      <c r="O25" s="31"/>
      <c r="P25" s="29"/>
      <c r="Q25" s="29"/>
    </row>
    <row r="26" spans="1:19" s="28" customFormat="1" ht="12.95" customHeight="1" x14ac:dyDescent="0.25">
      <c r="A26" s="67">
        <f t="shared" si="0"/>
        <v>44366</v>
      </c>
      <c r="B26" s="38">
        <v>188007</v>
      </c>
      <c r="C26" s="38">
        <v>1019451.6</v>
      </c>
      <c r="D26" s="43">
        <v>0.78</v>
      </c>
      <c r="E26" s="40">
        <v>2358.0500000000002</v>
      </c>
      <c r="F26" s="26">
        <v>2457.83</v>
      </c>
      <c r="G26" s="38">
        <v>43082.7</v>
      </c>
      <c r="H26" s="68">
        <v>14528</v>
      </c>
      <c r="I26" s="37">
        <v>161185</v>
      </c>
      <c r="J26" s="37">
        <v>56416250</v>
      </c>
      <c r="K26" s="71">
        <v>4100</v>
      </c>
      <c r="L26" s="75"/>
      <c r="M26" s="52"/>
      <c r="N26" s="31"/>
      <c r="O26" s="31"/>
      <c r="P26" s="29"/>
      <c r="Q26" s="29"/>
    </row>
    <row r="27" spans="1:19" s="28" customFormat="1" ht="12.95" customHeight="1" x14ac:dyDescent="0.25">
      <c r="A27" s="67">
        <f t="shared" si="0"/>
        <v>44367</v>
      </c>
      <c r="B27" s="37">
        <v>191955</v>
      </c>
      <c r="C27" s="37">
        <v>1025299.7</v>
      </c>
      <c r="D27" s="43">
        <v>0.71</v>
      </c>
      <c r="E27" s="45">
        <v>2385.14</v>
      </c>
      <c r="F27" s="26">
        <v>2466.02</v>
      </c>
      <c r="G27" s="38">
        <v>43117.17</v>
      </c>
      <c r="H27" s="68">
        <v>14528</v>
      </c>
      <c r="I27" s="37">
        <v>161284</v>
      </c>
      <c r="J27" s="37">
        <v>56451259</v>
      </c>
      <c r="K27" s="71"/>
      <c r="L27" s="72"/>
      <c r="M27" s="52"/>
    </row>
    <row r="28" spans="1:19" s="28" customFormat="1" ht="12.95" customHeight="1" x14ac:dyDescent="0.25">
      <c r="A28" s="67">
        <f t="shared" si="0"/>
        <v>44368</v>
      </c>
      <c r="B28" s="37">
        <v>196050</v>
      </c>
      <c r="C28" s="37">
        <v>1031101.7</v>
      </c>
      <c r="D28" s="43">
        <v>0.64</v>
      </c>
      <c r="E28" s="45">
        <v>2409.4499999999998</v>
      </c>
      <c r="F28" s="26">
        <v>2473.5</v>
      </c>
      <c r="G28" s="38">
        <v>43151.18</v>
      </c>
      <c r="H28" s="68">
        <v>14528</v>
      </c>
      <c r="I28" s="37">
        <v>161397</v>
      </c>
      <c r="J28" s="37">
        <v>56486348</v>
      </c>
      <c r="K28" s="71"/>
      <c r="L28" s="72"/>
      <c r="M28" s="52"/>
    </row>
    <row r="29" spans="1:19" s="28" customFormat="1" ht="12.95" customHeight="1" x14ac:dyDescent="0.25">
      <c r="A29" s="67">
        <f t="shared" si="0"/>
        <v>44369</v>
      </c>
      <c r="B29" s="37"/>
      <c r="C29" s="37"/>
      <c r="D29" s="43"/>
      <c r="E29" s="45"/>
      <c r="F29" s="26"/>
      <c r="G29" s="38"/>
      <c r="H29" s="35"/>
      <c r="I29" s="37"/>
      <c r="J29" s="37"/>
      <c r="K29" s="71"/>
      <c r="L29" s="72"/>
      <c r="M29" s="52"/>
      <c r="N29" s="27"/>
    </row>
    <row r="30" spans="1:19" s="28" customFormat="1" ht="12.95" customHeight="1" x14ac:dyDescent="0.25">
      <c r="A30" s="67">
        <f t="shared" si="0"/>
        <v>44370</v>
      </c>
      <c r="B30" s="37"/>
      <c r="C30" s="37"/>
      <c r="D30" s="43"/>
      <c r="E30" s="45"/>
      <c r="F30" s="26"/>
      <c r="G30" s="38"/>
      <c r="H30" s="35"/>
      <c r="I30" s="37"/>
      <c r="J30" s="37"/>
      <c r="K30" s="71"/>
      <c r="L30" s="72"/>
      <c r="M30" s="52"/>
    </row>
    <row r="31" spans="1:19" s="28" customFormat="1" ht="12.95" customHeight="1" x14ac:dyDescent="0.25">
      <c r="A31" s="67">
        <f t="shared" si="0"/>
        <v>44371</v>
      </c>
      <c r="B31" s="37"/>
      <c r="C31" s="37"/>
      <c r="D31" s="43"/>
      <c r="E31" s="45"/>
      <c r="F31" s="26"/>
      <c r="G31" s="38"/>
      <c r="H31" s="35"/>
      <c r="I31" s="37"/>
      <c r="J31" s="37"/>
      <c r="K31" s="71"/>
      <c r="L31" s="77"/>
      <c r="M31" s="52"/>
      <c r="N31" s="27"/>
      <c r="O31" s="27"/>
    </row>
    <row r="32" spans="1:19" s="28" customFormat="1" ht="12.95" customHeight="1" x14ac:dyDescent="0.25">
      <c r="A32" s="67">
        <f t="shared" si="0"/>
        <v>44372</v>
      </c>
      <c r="B32" s="37"/>
      <c r="C32" s="37"/>
      <c r="D32" s="43"/>
      <c r="E32" s="40"/>
      <c r="F32" s="26"/>
      <c r="G32" s="38"/>
      <c r="H32" s="35"/>
      <c r="I32" s="37"/>
      <c r="J32" s="37"/>
      <c r="K32" s="71"/>
      <c r="L32" s="77"/>
      <c r="M32" s="52"/>
      <c r="N32" s="27"/>
      <c r="O32" s="27"/>
    </row>
    <row r="33" spans="1:16" s="28" customFormat="1" ht="12.95" customHeight="1" x14ac:dyDescent="0.25">
      <c r="A33" s="67">
        <f t="shared" si="0"/>
        <v>44373</v>
      </c>
      <c r="B33" s="37"/>
      <c r="C33" s="37"/>
      <c r="D33" s="43"/>
      <c r="E33" s="40"/>
      <c r="F33" s="26"/>
      <c r="G33" s="38"/>
      <c r="H33" s="35"/>
      <c r="I33" s="37"/>
      <c r="J33" s="37"/>
      <c r="K33" s="71"/>
      <c r="L33" s="72"/>
      <c r="M33" s="53"/>
      <c r="N33" s="27"/>
      <c r="O33" s="27"/>
    </row>
    <row r="34" spans="1:16" s="28" customFormat="1" ht="12.95" customHeight="1" x14ac:dyDescent="0.25">
      <c r="A34" s="67">
        <f t="shared" si="0"/>
        <v>44374</v>
      </c>
      <c r="B34" s="38"/>
      <c r="C34" s="39"/>
      <c r="D34" s="43"/>
      <c r="E34" s="45"/>
      <c r="F34" s="26"/>
      <c r="G34" s="38"/>
      <c r="H34" s="35"/>
      <c r="I34" s="38"/>
      <c r="J34" s="38"/>
      <c r="K34" s="71"/>
      <c r="L34" s="72"/>
      <c r="M34" s="53"/>
      <c r="N34" s="27"/>
      <c r="P34" s="27"/>
    </row>
    <row r="35" spans="1:16" s="28" customFormat="1" ht="12.95" customHeight="1" x14ac:dyDescent="0.25">
      <c r="A35" s="67">
        <f>A34+1</f>
        <v>44375</v>
      </c>
      <c r="B35" s="35"/>
      <c r="C35" s="41"/>
      <c r="D35" s="43"/>
      <c r="E35" s="40"/>
      <c r="F35" s="34"/>
      <c r="G35" s="34"/>
      <c r="H35" s="35"/>
      <c r="I35" s="35"/>
      <c r="J35" s="35"/>
      <c r="K35" s="71"/>
      <c r="L35" s="72"/>
      <c r="M35" s="52"/>
      <c r="N35" s="27"/>
      <c r="O35" s="27"/>
    </row>
    <row r="36" spans="1:16" s="28" customFormat="1" ht="12.95" customHeight="1" x14ac:dyDescent="0.25">
      <c r="A36" s="78">
        <f t="shared" si="0"/>
        <v>44376</v>
      </c>
      <c r="B36" s="35"/>
      <c r="C36" s="41"/>
      <c r="D36" s="43"/>
      <c r="E36" s="40"/>
      <c r="F36" s="34"/>
      <c r="G36" s="34"/>
      <c r="H36" s="35"/>
      <c r="I36" s="35"/>
      <c r="J36" s="35"/>
      <c r="K36" s="71"/>
      <c r="L36" s="71"/>
      <c r="M36" s="52"/>
      <c r="N36" s="27"/>
      <c r="O36" s="27"/>
    </row>
    <row r="37" spans="1:16" s="28" customFormat="1" ht="12.95" customHeight="1" x14ac:dyDescent="0.25">
      <c r="A37" s="78">
        <f t="shared" si="0"/>
        <v>44377</v>
      </c>
      <c r="B37" s="35"/>
      <c r="C37" s="41"/>
      <c r="D37" s="43"/>
      <c r="E37" s="40"/>
      <c r="F37" s="34"/>
      <c r="G37" s="34"/>
      <c r="H37" s="35"/>
      <c r="I37" s="35"/>
      <c r="J37" s="35"/>
      <c r="K37" s="71"/>
      <c r="L37" s="71"/>
      <c r="M37" s="52"/>
      <c r="N37" s="27"/>
      <c r="O37" s="27"/>
    </row>
    <row r="38" spans="1:16" s="28" customFormat="1" ht="12.95" customHeight="1" x14ac:dyDescent="0.25">
      <c r="A38" s="79" t="s">
        <v>35</v>
      </c>
      <c r="B38" s="80">
        <f>B37-B7</f>
        <v>-113326</v>
      </c>
      <c r="C38" s="80">
        <f>C37-C7</f>
        <v>-911522</v>
      </c>
      <c r="D38" s="80"/>
      <c r="E38" s="80">
        <f t="shared" ref="E38:J38" si="1">E37-E7</f>
        <v>-1867.06</v>
      </c>
      <c r="F38" s="80">
        <f t="shared" si="1"/>
        <v>-2301.79</v>
      </c>
      <c r="G38" s="80">
        <f t="shared" si="1"/>
        <v>-42447.1</v>
      </c>
      <c r="H38" s="80">
        <f t="shared" si="1"/>
        <v>-14528</v>
      </c>
      <c r="I38" s="80">
        <f t="shared" si="1"/>
        <v>-158931</v>
      </c>
      <c r="J38" s="80">
        <f t="shared" si="1"/>
        <v>-55846526</v>
      </c>
      <c r="K38" s="80">
        <f>SUM(K7:K37)</f>
        <v>11450</v>
      </c>
      <c r="L38" s="54"/>
      <c r="M38" s="52"/>
      <c r="N38" s="27"/>
      <c r="O38" s="27"/>
    </row>
    <row r="39" spans="1:16" s="28" customFormat="1" ht="12.95" customHeight="1" x14ac:dyDescent="0.25">
      <c r="A39" s="54"/>
      <c r="B39" s="54"/>
      <c r="C39" s="80"/>
      <c r="D39" s="54"/>
      <c r="E39" s="81"/>
      <c r="F39" s="81"/>
      <c r="G39" s="81"/>
      <c r="H39" s="82"/>
      <c r="I39" s="80"/>
      <c r="J39" s="81"/>
      <c r="K39" s="54"/>
      <c r="L39" s="54"/>
      <c r="M39" s="14"/>
      <c r="N39" s="27"/>
      <c r="O39" s="27"/>
    </row>
    <row r="40" spans="1:16" s="33" customFormat="1" x14ac:dyDescent="0.25">
      <c r="A40" s="14"/>
      <c r="B40" s="14"/>
      <c r="C40" s="36"/>
      <c r="D40" s="14"/>
      <c r="E40" s="16"/>
      <c r="F40" s="16"/>
      <c r="G40" s="16"/>
      <c r="H40" s="13"/>
      <c r="I40" s="36"/>
      <c r="J40" s="16"/>
      <c r="K40" s="14"/>
      <c r="L40" s="14"/>
      <c r="M40" s="14"/>
    </row>
    <row r="41" spans="1:16" s="33" customFormat="1" x14ac:dyDescent="0.25">
      <c r="A41" s="14"/>
      <c r="B41" s="14"/>
      <c r="C41" s="36"/>
      <c r="D41" s="14"/>
      <c r="E41" s="16"/>
      <c r="F41" s="16"/>
      <c r="G41" s="16"/>
      <c r="H41" s="13"/>
      <c r="I41" s="36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opLeftCell="A4" workbookViewId="0">
      <selection activeCell="S12" sqref="S1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6</v>
      </c>
      <c r="D2" s="14">
        <v>2022</v>
      </c>
      <c r="E2" s="16">
        <f>'06 - 2022'!B8-'06 - 2022'!B7+'06 - 2022'!C8-'06 - 2022'!C7</f>
        <v>9921</v>
      </c>
      <c r="F2" s="14">
        <v>0.11799999999999999</v>
      </c>
      <c r="G2" s="16">
        <f>'06 - 2022'!D8-'06 - 2022'!D7+'06 - 2022'!E8-'06 - 2022'!E7</f>
        <v>26.750000000000227</v>
      </c>
      <c r="H2" s="14">
        <v>0.99</v>
      </c>
      <c r="I2" s="16">
        <f>'06 - 2022'!J8-'06 - 2022'!J7</f>
        <v>27054</v>
      </c>
      <c r="J2" s="14">
        <v>8.1000000000000003E-2</v>
      </c>
      <c r="K2" s="23">
        <f>'06 - 2022'!H8-'06 - 2022'!H7</f>
        <v>0</v>
      </c>
      <c r="L2" s="16">
        <f>'06 - 2022'!I8-'06 - 2022'!I7</f>
        <v>117</v>
      </c>
      <c r="M2" s="15">
        <v>4.393629424766913</v>
      </c>
      <c r="N2" s="16">
        <v>92</v>
      </c>
    </row>
    <row r="3" spans="1:21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'06 - 2022'!B9-'06 - 2022'!B8+'06 - 2022'!C9-'06 - 2022'!C8</f>
        <v>9260</v>
      </c>
      <c r="F3" s="14">
        <v>0.11799999999999999</v>
      </c>
      <c r="G3" s="16">
        <f>'06 - 2022'!D9-'06 - 2022'!D8+'06 - 2022'!E9-'06 - 2022'!E8</f>
        <v>24.379999999999882</v>
      </c>
      <c r="H3" s="14">
        <v>0.99</v>
      </c>
      <c r="I3" s="16">
        <f>'06 - 2022'!J9-'06 - 2022'!J8</f>
        <v>26876</v>
      </c>
      <c r="J3" s="14">
        <v>8.1000000000000003E-2</v>
      </c>
      <c r="K3" s="23">
        <f>'06 - 2022'!H9-'06 - 2022'!H8</f>
        <v>0</v>
      </c>
      <c r="L3" s="16">
        <f>'06 - 2022'!I9-'06 - 2022'!I8</f>
        <v>115</v>
      </c>
      <c r="M3" s="15">
        <v>4.393629424766913</v>
      </c>
      <c r="N3" s="18">
        <v>102</v>
      </c>
    </row>
    <row r="4" spans="1:21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'06 - 2022'!B10-'06 - 2022'!B9+'06 - 2022'!C10-'06 - 2022'!C9</f>
        <v>10132</v>
      </c>
      <c r="F4" s="14">
        <v>0.11799999999999999</v>
      </c>
      <c r="G4" s="16">
        <f>'06 - 2022'!D10-'06 - 2022'!D9+'06 - 2022'!E10-'06 - 2022'!E9</f>
        <v>26.860000000000127</v>
      </c>
      <c r="H4" s="14">
        <v>0.99</v>
      </c>
      <c r="I4" s="16">
        <f>'06 - 2022'!J10-'06 - 2022'!J9</f>
        <v>29135</v>
      </c>
      <c r="J4" s="14">
        <v>8.1000000000000003E-2</v>
      </c>
      <c r="K4" s="23">
        <f>'06 - 2022'!H10-'06 - 2022'!H9</f>
        <v>0</v>
      </c>
      <c r="L4" s="16">
        <f>'06 - 2022'!I10-'06 - 2022'!I9</f>
        <v>131</v>
      </c>
      <c r="M4" s="15">
        <v>4.393629424766913</v>
      </c>
      <c r="N4" s="18">
        <v>84</v>
      </c>
    </row>
    <row r="5" spans="1:21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'06 - 2022'!B11-'06 - 2022'!B10+'06 - 2022'!C11-'06 - 2022'!C10</f>
        <v>9234</v>
      </c>
      <c r="F5" s="14">
        <v>0.11799999999999999</v>
      </c>
      <c r="G5" s="16">
        <f>'06 - 2022'!D11-'06 - 2022'!D10+'06 - 2022'!E11-'06 - 2022'!E10</f>
        <v>27.630000000000109</v>
      </c>
      <c r="H5" s="14">
        <v>0.99</v>
      </c>
      <c r="I5" s="16">
        <f>'06 - 2022'!J11-'06 - 2022'!J10</f>
        <v>27903</v>
      </c>
      <c r="J5" s="14">
        <v>8.1000000000000003E-2</v>
      </c>
      <c r="K5" s="23">
        <f>'06 - 2022'!H11-'06 - 2022'!H10</f>
        <v>0</v>
      </c>
      <c r="L5" s="16">
        <f>'06 - 2022'!I11-'06 - 2022'!I10</f>
        <v>126</v>
      </c>
      <c r="M5" s="15">
        <v>4.393629424766913</v>
      </c>
      <c r="N5" s="18">
        <v>65</v>
      </c>
      <c r="R5" s="14"/>
    </row>
    <row r="6" spans="1:21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'06 - 2022'!B12-'06 - 2022'!B11+'06 - 2022'!C12-'06 - 2022'!C11</f>
        <v>9357</v>
      </c>
      <c r="F6" s="14">
        <v>0.11799999999999999</v>
      </c>
      <c r="G6" s="16">
        <f>'06 - 2022'!D12-'06 - 2022'!D11+'06 - 2022'!E12-'06 - 2022'!E11</f>
        <v>25.460000000000036</v>
      </c>
      <c r="H6" s="14">
        <v>0.99</v>
      </c>
      <c r="I6" s="16">
        <f>'06 - 2022'!J12-'06 - 2022'!J11</f>
        <v>26911</v>
      </c>
      <c r="J6" s="14">
        <v>8.1000000000000003E-2</v>
      </c>
      <c r="K6" s="23">
        <f>'06 - 2022'!H12-'06 - 2022'!H11</f>
        <v>0</v>
      </c>
      <c r="L6" s="16">
        <f>'06 - 2022'!I12-'06 - 2022'!I11</f>
        <v>112</v>
      </c>
      <c r="M6" s="15">
        <v>4.393629424766913</v>
      </c>
      <c r="N6" s="18">
        <v>48</v>
      </c>
    </row>
    <row r="7" spans="1:21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'06 - 2022'!B13-'06 - 2022'!B12+'06 - 2022'!C13-'06 - 2022'!C12</f>
        <v>9430</v>
      </c>
      <c r="F7" s="14">
        <v>0.11799999999999999</v>
      </c>
      <c r="G7" s="16">
        <f>'06 - 2022'!D13-'06 - 2022'!D12+'06 - 2022'!E13-'06 - 2022'!E12</f>
        <v>25.100000000000136</v>
      </c>
      <c r="H7" s="14">
        <v>0.99</v>
      </c>
      <c r="I7" s="16">
        <f>'06 - 2022'!J13-'06 - 2022'!J12</f>
        <v>26795</v>
      </c>
      <c r="J7" s="14">
        <v>8.1000000000000003E-2</v>
      </c>
      <c r="K7" s="23">
        <f>'06 - 2022'!H13-'06 - 2022'!H12</f>
        <v>0</v>
      </c>
      <c r="L7" s="16">
        <f>'06 - 2022'!I13-'06 - 2022'!I12</f>
        <v>115</v>
      </c>
      <c r="M7" s="15">
        <v>4.393629424766913</v>
      </c>
      <c r="N7" s="18">
        <v>58</v>
      </c>
    </row>
    <row r="8" spans="1:21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'06 - 2022'!B14-'06 - 2022'!B13+'06 - 2022'!C14-'06 - 2022'!C13</f>
        <v>9464</v>
      </c>
      <c r="F8" s="14">
        <v>0.11799999999999999</v>
      </c>
      <c r="G8" s="16">
        <f>'06 - 2022'!D14-'06 - 2022'!D13+'06 - 2022'!E14-'06 - 2022'!E13</f>
        <v>25.659999999999627</v>
      </c>
      <c r="H8" s="14">
        <v>0.99</v>
      </c>
      <c r="I8" s="16">
        <f>'06 - 2022'!J14-'06 - 2022'!J13</f>
        <v>26514</v>
      </c>
      <c r="J8" s="14">
        <v>8.1000000000000003E-2</v>
      </c>
      <c r="K8" s="23">
        <f>'06 - 2022'!H14-'06 - 2022'!H13</f>
        <v>0</v>
      </c>
      <c r="L8" s="16">
        <f>'06 - 2022'!I14-'06 - 2022'!I13</f>
        <v>111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'06 - 2022'!B15-'06 - 2022'!B14+'06 - 2022'!C15-'06 - 2022'!C14</f>
        <v>9541</v>
      </c>
      <c r="F9" s="14">
        <v>0.11799999999999999</v>
      </c>
      <c r="G9" s="16">
        <f>'06 - 2022'!D15-'06 - 2022'!D14+'06 - 2022'!E15-'06 - 2022'!E14</f>
        <v>26.420000000000073</v>
      </c>
      <c r="H9" s="14">
        <v>0.99</v>
      </c>
      <c r="I9" s="16">
        <f>'06 - 2022'!J15-'06 - 2022'!J14</f>
        <v>27622</v>
      </c>
      <c r="J9" s="14">
        <v>8.1000000000000003E-2</v>
      </c>
      <c r="K9" s="23">
        <f>'06 - 2022'!H15-'06 - 2022'!H14</f>
        <v>0</v>
      </c>
      <c r="L9" s="16">
        <f>'06 - 2022'!I15-'06 - 2022'!I14</f>
        <v>113</v>
      </c>
      <c r="M9" s="15">
        <v>4.393629424766913</v>
      </c>
      <c r="N9" s="18">
        <v>76</v>
      </c>
    </row>
    <row r="10" spans="1:21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'06 - 2022'!B16-'06 - 2022'!B15+'06 - 2022'!C16-'06 - 2022'!C15</f>
        <v>9188</v>
      </c>
      <c r="F10" s="14">
        <v>0.11799999999999999</v>
      </c>
      <c r="G10" s="16">
        <f>'06 - 2022'!D16-'06 - 2022'!D15+'06 - 2022'!E16-'06 - 2022'!E15</f>
        <v>30.710000000000036</v>
      </c>
      <c r="H10" s="14">
        <v>0.99</v>
      </c>
      <c r="I10" s="16">
        <f>'06 - 2022'!J16-'06 - 2022'!J15</f>
        <v>26639</v>
      </c>
      <c r="J10" s="14">
        <v>8.1000000000000003E-2</v>
      </c>
      <c r="K10" s="23">
        <f>'06 - 2022'!H16-'06 - 2022'!H15</f>
        <v>0</v>
      </c>
      <c r="L10" s="16">
        <f>'06 - 2022'!I16-'06 - 2022'!I15</f>
        <v>109</v>
      </c>
      <c r="M10" s="15">
        <v>4.393629424766913</v>
      </c>
      <c r="N10" s="18">
        <v>80</v>
      </c>
    </row>
    <row r="11" spans="1:21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'06 - 2022'!B17-'06 - 2022'!B16+'06 - 2022'!C17-'06 - 2022'!C16</f>
        <v>9663</v>
      </c>
      <c r="F11" s="14">
        <v>0.11799999999999999</v>
      </c>
      <c r="G11" s="16">
        <f>'06 - 2022'!D17-'06 - 2022'!D16+'06 - 2022'!E17-'06 - 2022'!E16</f>
        <v>19.289999999999964</v>
      </c>
      <c r="H11" s="14">
        <v>0.99</v>
      </c>
      <c r="I11" s="16">
        <f>'06 - 2022'!J17-'06 - 2022'!J16</f>
        <v>26024</v>
      </c>
      <c r="J11" s="14">
        <v>8.1000000000000003E-2</v>
      </c>
      <c r="K11" s="23">
        <f>'06 - 2022'!H17-'06 - 2022'!H16</f>
        <v>0</v>
      </c>
      <c r="L11" s="16">
        <f>'06 - 2022'!I17-'06 - 2022'!I16</f>
        <v>124</v>
      </c>
      <c r="M11" s="15">
        <v>4.393629424766913</v>
      </c>
      <c r="N11" s="18">
        <v>81</v>
      </c>
    </row>
    <row r="12" spans="1:21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'06 - 2022'!B18-'06 - 2022'!B17+'06 - 2022'!C18-'06 - 2022'!C17</f>
        <v>9862</v>
      </c>
      <c r="F12" s="14">
        <v>0.11799999999999999</v>
      </c>
      <c r="G12" s="16">
        <f>'06 - 2022'!D18-'06 - 2022'!D17+'06 - 2022'!E18-'06 - 2022'!E17</f>
        <v>28.840000000000146</v>
      </c>
      <c r="H12" s="14">
        <v>0.99</v>
      </c>
      <c r="I12" s="16">
        <f>'06 - 2022'!J18-'06 - 2022'!J17</f>
        <v>32545</v>
      </c>
      <c r="J12" s="14">
        <v>8.1000000000000003E-2</v>
      </c>
      <c r="K12" s="23">
        <f>'06 - 2022'!H18-'06 - 2022'!H17</f>
        <v>0</v>
      </c>
      <c r="L12" s="16">
        <f>'06 - 2022'!I18-'06 - 2022'!I17</f>
        <v>127</v>
      </c>
      <c r="M12" s="15">
        <v>4.393629424766913</v>
      </c>
      <c r="N12" s="16">
        <v>51</v>
      </c>
    </row>
    <row r="13" spans="1:21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'06 - 2022'!B19-'06 - 2022'!B18+'06 - 2022'!C19-'06 - 2022'!C18</f>
        <v>9455</v>
      </c>
      <c r="F13" s="14">
        <v>0.11799999999999999</v>
      </c>
      <c r="G13" s="16">
        <f>'06 - 2022'!D19-'06 - 2022'!D18+'06 - 2022'!E19-'06 - 2022'!E18</f>
        <v>26.139999999999873</v>
      </c>
      <c r="H13" s="14">
        <v>0.99</v>
      </c>
      <c r="I13" s="16">
        <f>'06 - 2022'!J19-'06 - 2022'!J18</f>
        <v>30097</v>
      </c>
      <c r="J13" s="14">
        <v>8.1000000000000003E-2</v>
      </c>
      <c r="K13" s="23">
        <f>'06 - 2022'!H19-'06 - 2022'!H18</f>
        <v>0</v>
      </c>
      <c r="L13" s="16">
        <f>'06 - 2022'!I19-'06 - 2022'!I18</f>
        <v>114</v>
      </c>
      <c r="M13" s="15">
        <v>4.393629424766913</v>
      </c>
      <c r="N13" s="16">
        <v>44</v>
      </c>
    </row>
    <row r="14" spans="1:21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'06 - 2022'!B20-'06 - 2022'!B19+'06 - 2022'!C20-'06 - 2022'!C19</f>
        <v>9384</v>
      </c>
      <c r="F14" s="14">
        <v>0.11799999999999999</v>
      </c>
      <c r="G14" s="16">
        <f>'06 - 2022'!D20-'06 - 2022'!D19+'06 - 2022'!E20-'06 - 2022'!E19</f>
        <v>26.2800000000002</v>
      </c>
      <c r="H14" s="14">
        <v>0.99</v>
      </c>
      <c r="I14" s="16">
        <f>'06 - 2022'!J20-'06 - 2022'!J19</f>
        <v>30929</v>
      </c>
      <c r="J14" s="14">
        <v>8.1000000000000003E-2</v>
      </c>
      <c r="K14" s="23">
        <f>'06 - 2022'!H20-'06 - 2022'!H19</f>
        <v>0</v>
      </c>
      <c r="L14" s="16">
        <f>'06 - 2022'!I20-'06 - 2022'!I19</f>
        <v>108</v>
      </c>
      <c r="M14" s="15">
        <v>4.393629424766913</v>
      </c>
      <c r="N14" s="16">
        <v>48</v>
      </c>
      <c r="O14" s="16"/>
    </row>
    <row r="15" spans="1:21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'06 - 2022'!B21-'06 - 2022'!B20+'06 - 2022'!C21-'06 - 2022'!C20</f>
        <v>9770</v>
      </c>
      <c r="F15" s="14">
        <v>0.11799999999999999</v>
      </c>
      <c r="G15" s="16">
        <f>'06 - 2022'!D21-'06 - 2022'!D20+'06 - 2022'!E21-'06 - 2022'!E20</f>
        <v>25.049999999999727</v>
      </c>
      <c r="H15" s="14">
        <v>0.99</v>
      </c>
      <c r="I15" s="16">
        <f>'06 - 2022'!J21-'06 - 2022'!J20</f>
        <v>32775</v>
      </c>
      <c r="J15" s="14">
        <v>8.1000000000000003E-2</v>
      </c>
      <c r="K15" s="23">
        <f>'06 - 2022'!H21-'06 - 2022'!H20</f>
        <v>0</v>
      </c>
      <c r="L15" s="16">
        <f>'06 - 2022'!I21-'06 - 2022'!I20</f>
        <v>118</v>
      </c>
      <c r="M15" s="15">
        <v>4.393629424766913</v>
      </c>
      <c r="N15" s="16">
        <v>60</v>
      </c>
      <c r="R15" s="14"/>
    </row>
    <row r="16" spans="1:21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'06 - 2022'!B22-'06 - 2022'!B21+'06 - 2022'!C22-'06 - 2022'!C21</f>
        <v>10127</v>
      </c>
      <c r="F16" s="14">
        <v>0.11799999999999999</v>
      </c>
      <c r="G16" s="16">
        <f>'06 - 2022'!D22-'06 - 2022'!D21+'06 - 2022'!E22-'06 - 2022'!E21</f>
        <v>23.239999999999782</v>
      </c>
      <c r="H16" s="14">
        <v>0.99</v>
      </c>
      <c r="I16" s="16">
        <f>'06 - 2022'!J22-'06 - 2022'!J21</f>
        <v>33139</v>
      </c>
      <c r="J16" s="14">
        <v>8.1000000000000003E-2</v>
      </c>
      <c r="K16" s="23">
        <f>'06 - 2022'!H22-'06 - 2022'!H21</f>
        <v>0</v>
      </c>
      <c r="L16" s="16">
        <f>'06 - 2022'!I22-'06 - 2022'!I21</f>
        <v>113</v>
      </c>
      <c r="M16" s="15">
        <v>4.393629424766913</v>
      </c>
      <c r="N16" s="16">
        <v>73</v>
      </c>
      <c r="U16" s="14"/>
    </row>
    <row r="17" spans="1:17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'06 - 2022'!B23-'06 - 2022'!B22+'06 - 2022'!C23-'06 - 2022'!C22</f>
        <v>9366.7099999999627</v>
      </c>
      <c r="F17" s="14">
        <v>0.11799999999999999</v>
      </c>
      <c r="G17" s="16">
        <f>'06 - 2022'!D23-'06 - 2022'!D22+'06 - 2022'!E23-'06 - 2022'!E22</f>
        <v>24.409999999999854</v>
      </c>
      <c r="H17" s="14">
        <v>0.99</v>
      </c>
      <c r="I17" s="16">
        <f>'06 - 2022'!J23-'06 - 2022'!J22</f>
        <v>31484</v>
      </c>
      <c r="J17" s="14">
        <v>8.1000000000000003E-2</v>
      </c>
      <c r="K17" s="23">
        <f>'06 - 2022'!H23-'06 - 2022'!H22</f>
        <v>0</v>
      </c>
      <c r="L17" s="16">
        <f>'06 - 2022'!I23-'06 - 2022'!I22</f>
        <v>117</v>
      </c>
      <c r="M17" s="15">
        <v>4.393629424766913</v>
      </c>
      <c r="N17" s="16">
        <v>76</v>
      </c>
      <c r="O17" s="14"/>
    </row>
    <row r="18" spans="1:17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'06 - 2022'!B24-'06 - 2022'!B23+'06 - 2022'!C24-'06 - 2022'!C23</f>
        <v>9821.5700000000652</v>
      </c>
      <c r="F18" s="14">
        <v>0.11799999999999999</v>
      </c>
      <c r="G18" s="16">
        <f>'06 - 2022'!D24-'06 - 2022'!D23+'06 - 2022'!E24-'06 - 2022'!E23</f>
        <v>27.460000000000036</v>
      </c>
      <c r="H18" s="14">
        <v>0.99</v>
      </c>
      <c r="I18" s="16">
        <f>'06 - 2022'!J24-'06 - 2022'!J23</f>
        <v>30092</v>
      </c>
      <c r="J18" s="14">
        <v>8.1000000000000003E-2</v>
      </c>
      <c r="K18" s="23">
        <f>'06 - 2022'!H24-'06 - 2022'!H23</f>
        <v>0</v>
      </c>
      <c r="L18" s="16">
        <f>'06 - 2022'!I24-'06 - 2022'!I23</f>
        <v>129</v>
      </c>
      <c r="M18" s="15">
        <v>4.393629424766913</v>
      </c>
      <c r="N18" s="16">
        <v>77</v>
      </c>
      <c r="Q18" s="14"/>
    </row>
    <row r="19" spans="1:17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'06 - 2022'!B25-'06 - 2022'!B24+'06 - 2022'!C25-'06 - 2022'!C24</f>
        <v>9800.4199999999255</v>
      </c>
      <c r="F19" s="14">
        <v>0.11799999999999999</v>
      </c>
      <c r="G19" s="16">
        <f>'06 - 2022'!D25-'06 - 2022'!D24+'06 - 2022'!E25-'06 - 2022'!E24</f>
        <v>23.590000000000146</v>
      </c>
      <c r="H19" s="14">
        <v>0.99</v>
      </c>
      <c r="I19" s="16">
        <f>'06 - 2022'!J25-'06 - 2022'!J24</f>
        <v>37955</v>
      </c>
      <c r="J19" s="14">
        <v>8.1000000000000003E-2</v>
      </c>
      <c r="K19" s="23">
        <f>'06 - 2022'!H25-'06 - 2022'!H24</f>
        <v>0</v>
      </c>
      <c r="L19" s="16">
        <f>'06 - 2022'!I25-'06 - 2022'!I24</f>
        <v>132</v>
      </c>
      <c r="M19" s="15">
        <v>4.393629424766913</v>
      </c>
      <c r="N19" s="16">
        <v>73</v>
      </c>
    </row>
    <row r="20" spans="1:17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'06 - 2022'!B26-'06 - 2022'!B25+'06 - 2022'!C26-'06 - 2022'!C25</f>
        <v>9833.9000000000233</v>
      </c>
      <c r="F20" s="14">
        <v>0.11799999999999999</v>
      </c>
      <c r="G20" s="16">
        <f>'06 - 2022'!D26-'06 - 2022'!D25+'06 - 2022'!E26-'06 - 2022'!E25</f>
        <v>27.980000000000018</v>
      </c>
      <c r="H20" s="14">
        <v>0.99</v>
      </c>
      <c r="I20" s="16">
        <f>'06 - 2022'!J26-'06 - 2022'!J25</f>
        <v>39235</v>
      </c>
      <c r="J20" s="14">
        <v>8.1000000000000003E-2</v>
      </c>
      <c r="K20" s="23">
        <f>'06 - 2022'!H26-'06 - 2022'!H25</f>
        <v>0</v>
      </c>
      <c r="L20" s="16">
        <f>'06 - 2022'!I26-'06 - 2022'!I25</f>
        <v>123</v>
      </c>
      <c r="M20" s="15">
        <v>4.393629424766913</v>
      </c>
      <c r="N20" s="16">
        <v>56</v>
      </c>
    </row>
    <row r="21" spans="1:17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'06 - 2022'!B27-'06 - 2022'!B26+'06 - 2022'!C27-'06 - 2022'!C26</f>
        <v>9796.0999999999767</v>
      </c>
      <c r="F21" s="14">
        <v>0.11799999999999999</v>
      </c>
      <c r="G21" s="16">
        <f>'06 - 2022'!D27-'06 - 2022'!D26+'06 - 2022'!E27-'06 - 2022'!E26</f>
        <v>27.019999999999527</v>
      </c>
      <c r="H21" s="14">
        <v>0.99</v>
      </c>
      <c r="I21" s="16">
        <f>'06 - 2022'!J27-'06 - 2022'!J26</f>
        <v>35009</v>
      </c>
      <c r="J21" s="14">
        <v>8.1000000000000003E-2</v>
      </c>
      <c r="K21" s="23">
        <f>'06 - 2022'!H27-'06 - 2022'!H26</f>
        <v>0</v>
      </c>
      <c r="L21" s="16">
        <f>'06 - 2022'!I27-'06 - 2022'!I26</f>
        <v>99</v>
      </c>
      <c r="M21" s="15">
        <v>4.393629424766913</v>
      </c>
      <c r="N21" s="16">
        <v>46</v>
      </c>
    </row>
    <row r="22" spans="1:17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'06 - 2022'!B28-'06 - 2022'!B27+'06 - 2022'!C28-'06 - 2022'!C27</f>
        <v>9897</v>
      </c>
      <c r="F22" s="14">
        <v>0.11799999999999999</v>
      </c>
      <c r="G22" s="16">
        <f>'06 - 2022'!D28-'06 - 2022'!D27+'06 - 2022'!E28-'06 - 2022'!E27</f>
        <v>24.239999999999782</v>
      </c>
      <c r="H22" s="14">
        <v>0.99</v>
      </c>
      <c r="I22" s="16">
        <f>'06 - 2022'!J28-'06 - 2022'!J27</f>
        <v>35089</v>
      </c>
      <c r="J22" s="14">
        <v>8.1000000000000003E-2</v>
      </c>
      <c r="K22" s="23">
        <f>'06 - 2022'!H28-'06 - 2022'!H27</f>
        <v>0</v>
      </c>
      <c r="L22" s="16">
        <f>'06 - 2022'!I28-'06 - 2022'!I27</f>
        <v>113</v>
      </c>
      <c r="M22" s="15">
        <v>4.393629424766913</v>
      </c>
      <c r="N22" s="16">
        <v>58</v>
      </c>
    </row>
    <row r="23" spans="1:17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v>0</v>
      </c>
      <c r="F23" s="14">
        <v>0.11799999999999999</v>
      </c>
      <c r="G23" s="16">
        <v>0</v>
      </c>
      <c r="H23" s="14">
        <v>0.99</v>
      </c>
      <c r="I23" s="16">
        <v>0</v>
      </c>
      <c r="J23" s="14">
        <v>8.1000000000000003E-2</v>
      </c>
      <c r="K23" s="23">
        <v>0</v>
      </c>
      <c r="L23" s="16"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'06 - 2022'!B30-'06 - 2022'!B29+'06 - 2022'!C30-'06 - 2022'!C29</f>
        <v>0</v>
      </c>
      <c r="F24" s="14">
        <v>0.11799999999999999</v>
      </c>
      <c r="G24" s="16">
        <f>'06 - 2022'!D30-'06 - 2022'!D29+'06 - 2022'!E30-'06 - 2022'!E29</f>
        <v>0</v>
      </c>
      <c r="H24" s="14">
        <v>0.99</v>
      </c>
      <c r="I24" s="16">
        <f>'06 - 2022'!J30-'06 - 2022'!J29</f>
        <v>0</v>
      </c>
      <c r="J24" s="14">
        <v>8.1000000000000003E-2</v>
      </c>
      <c r="K24" s="23">
        <f>'06 - 2022'!H30-'06 - 2022'!H29</f>
        <v>0</v>
      </c>
      <c r="L24" s="16">
        <f>'06 - 2022'!I30-'06 - 2022'!I29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'06 - 2022'!B31-'06 - 2022'!B30+'06 - 2022'!C31-'06 - 2022'!C30</f>
        <v>0</v>
      </c>
      <c r="F25" s="14">
        <v>0.11799999999999999</v>
      </c>
      <c r="G25" s="16">
        <f>'06 - 2022'!D31-'06 - 2022'!D30+'06 - 2022'!E31-'06 - 2022'!E30</f>
        <v>0</v>
      </c>
      <c r="H25" s="14">
        <v>0.99</v>
      </c>
      <c r="I25" s="16">
        <f>'06 - 2022'!J31-'06 - 2022'!J30</f>
        <v>0</v>
      </c>
      <c r="J25" s="14">
        <v>8.1000000000000003E-2</v>
      </c>
      <c r="K25" s="23">
        <f>'06 - 2022'!H31-'06 - 2022'!H30</f>
        <v>0</v>
      </c>
      <c r="L25" s="16">
        <f>'06 - 2022'!I31-'06 - 2022'!I30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'06 - 2022'!B32-'06 - 2022'!B31+'06 - 2022'!C32-'06 - 2022'!C31</f>
        <v>0</v>
      </c>
      <c r="F26" s="14">
        <v>0.11799999999999999</v>
      </c>
      <c r="G26" s="16">
        <f>'06 - 2022'!D32-'06 - 2022'!D31+'06 - 2022'!E32-'06 - 2022'!E31</f>
        <v>0</v>
      </c>
      <c r="H26" s="14">
        <v>0.99</v>
      </c>
      <c r="I26" s="16">
        <f>'06 - 2022'!J32-'06 - 2022'!J31</f>
        <v>0</v>
      </c>
      <c r="J26" s="14">
        <v>8.1000000000000003E-2</v>
      </c>
      <c r="K26" s="23">
        <f>'06 - 2022'!H32-'06 - 2022'!H31</f>
        <v>0</v>
      </c>
      <c r="L26" s="16">
        <f>'06 - 2022'!I32-'06 - 2022'!I31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'06 - 2022'!B33-'06 - 2022'!B32+'06 - 2022'!C33-'06 - 2022'!C32</f>
        <v>0</v>
      </c>
      <c r="F27" s="14">
        <v>0.11799999999999999</v>
      </c>
      <c r="G27" s="16">
        <f>'06 - 2022'!D33-'06 - 2022'!D32+'06 - 2022'!E33-'06 - 2022'!E32</f>
        <v>0</v>
      </c>
      <c r="H27" s="14">
        <v>0.99</v>
      </c>
      <c r="I27" s="16">
        <f>'06 - 2022'!J33-'06 - 2022'!J32</f>
        <v>0</v>
      </c>
      <c r="J27" s="14">
        <v>8.1000000000000003E-2</v>
      </c>
      <c r="K27" s="23">
        <f>'06 - 2022'!H33-'06 - 2022'!H32</f>
        <v>0</v>
      </c>
      <c r="L27" s="16">
        <f>'06 - 2022'!I33-'06 - 2022'!I32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'06 - 2022'!B34-'06 - 2022'!B33+'06 - 2022'!C34-'06 - 2022'!C33</f>
        <v>0</v>
      </c>
      <c r="F28" s="14">
        <v>0.11799999999999999</v>
      </c>
      <c r="G28" s="16">
        <f>'06 - 2022'!D34-'06 - 2022'!D33+'06 - 2022'!E34-'06 - 2022'!E33</f>
        <v>0</v>
      </c>
      <c r="H28" s="14">
        <v>0.99</v>
      </c>
      <c r="I28" s="16">
        <f>'06 - 2022'!J34-'06 - 2022'!J33</f>
        <v>0</v>
      </c>
      <c r="J28" s="14">
        <v>8.1000000000000003E-2</v>
      </c>
      <c r="K28" s="23">
        <f>'06 - 2022'!H34-'06 - 2022'!H33</f>
        <v>0</v>
      </c>
      <c r="L28" s="16">
        <f>'06 - 2022'!I34-'06 - 2022'!I33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'06 - 2022'!B35-'06 - 2022'!B34+'06 - 2022'!C35-'06 - 2022'!C34</f>
        <v>0</v>
      </c>
      <c r="F29" s="14">
        <v>0.11799999999999999</v>
      </c>
      <c r="G29" s="16">
        <f>'06 - 2022'!D35-'06 - 2022'!D34+'06 - 2022'!E35-'06 - 2022'!E34</f>
        <v>0</v>
      </c>
      <c r="H29" s="14">
        <v>0.99</v>
      </c>
      <c r="I29" s="16">
        <f>'06 - 2022'!J35-'06 - 2022'!J34</f>
        <v>0</v>
      </c>
      <c r="J29" s="14">
        <v>8.1000000000000003E-2</v>
      </c>
      <c r="K29" s="23">
        <f>'06 - 2022'!H35-'06 - 2022'!H34</f>
        <v>0</v>
      </c>
      <c r="L29" s="16">
        <f>'06 - 2022'!I35-'06 - 2022'!I34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'06 - 2022'!B36-'06 - 2022'!B35+'06 - 2022'!C36-'06 - 2022'!C35</f>
        <v>0</v>
      </c>
      <c r="F30" s="14">
        <v>0.11799999999999999</v>
      </c>
      <c r="G30" s="16">
        <f>'06 - 2022'!D36-'06 - 2022'!D35+'06 - 2022'!E36-'06 - 2022'!E35</f>
        <v>0</v>
      </c>
      <c r="H30" s="14">
        <v>0.99</v>
      </c>
      <c r="I30" s="16">
        <f>'06 - 2022'!J36-'06 - 2022'!J35</f>
        <v>0</v>
      </c>
      <c r="J30" s="14">
        <v>8.1000000000000003E-2</v>
      </c>
      <c r="K30" s="23">
        <f>'06 - 2022'!H36-'06 - 2022'!H35</f>
        <v>0</v>
      </c>
      <c r="L30" s="16">
        <f>'06 - 2022'!I36-'06 - 2022'!I35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'06 - 2022'!B37-'06 - 2022'!B36+'06 - 2022'!C37-'06 - 2022'!C36</f>
        <v>0</v>
      </c>
      <c r="F31" s="14">
        <v>0.11799999999999999</v>
      </c>
      <c r="G31" s="16">
        <f>'06 - 2022'!D37-'06 - 2022'!D36+'06 - 2022'!E37-'06 - 2022'!E36</f>
        <v>0</v>
      </c>
      <c r="H31" s="14">
        <v>0.99</v>
      </c>
      <c r="I31" s="16">
        <f>'06 - 2022'!J37-'06 - 2022'!J36</f>
        <v>0</v>
      </c>
      <c r="J31" s="14">
        <v>8.1000000000000003E-2</v>
      </c>
      <c r="K31" s="23">
        <f>'06 - 2022'!H37-'06 - 2022'!H36</f>
        <v>0</v>
      </c>
      <c r="L31" s="16">
        <f>'06 - 2022'!I37-'06 - 2022'!I36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4" workbookViewId="0">
      <selection activeCell="L28" sqref="L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6</v>
      </c>
      <c r="D2">
        <v>2022</v>
      </c>
      <c r="E2" s="16">
        <f>'06 - 2022'!B8-'06 - 2022'!B7</f>
        <v>4022</v>
      </c>
      <c r="F2" s="16">
        <f>'06 - 2022'!C8-'06 - 2022'!C7</f>
        <v>5899</v>
      </c>
      <c r="G2" s="14">
        <v>0.11799999999999999</v>
      </c>
      <c r="H2" s="16">
        <f>'06 - 2022'!E8-'06 - 2022'!E7</f>
        <v>26.820000000000164</v>
      </c>
      <c r="I2" s="16">
        <f>'06 - 2022'!F8-'06 - 2022'!F7</f>
        <v>7.8299999999999272</v>
      </c>
      <c r="J2" s="16">
        <f>'06 - 2022'!G8-'06 - 2022'!G7</f>
        <v>33.580000000001746</v>
      </c>
      <c r="K2" s="14">
        <v>0.74</v>
      </c>
      <c r="L2" s="16">
        <v>92</v>
      </c>
      <c r="M2" s="10"/>
    </row>
    <row r="3" spans="1:13" x14ac:dyDescent="0.25">
      <c r="A3" t="s">
        <v>27</v>
      </c>
      <c r="B3">
        <f>B2+1</f>
        <v>2</v>
      </c>
      <c r="C3" s="14">
        <v>6</v>
      </c>
      <c r="D3" s="14">
        <v>2022</v>
      </c>
      <c r="E3" s="16">
        <f>'06 - 2022'!B9-'06 - 2022'!B8</f>
        <v>3806</v>
      </c>
      <c r="F3" s="16">
        <f>'06 - 2022'!C9-'06 - 2022'!C8</f>
        <v>5454</v>
      </c>
      <c r="G3" s="14">
        <v>0.11799999999999999</v>
      </c>
      <c r="H3" s="16">
        <f>'06 - 2022'!E9-'06 - 2022'!E8</f>
        <v>24.439999999999827</v>
      </c>
      <c r="I3" s="16">
        <f>'06 - 2022'!F9-'06 - 2022'!F8</f>
        <v>6.6100000000001273</v>
      </c>
      <c r="J3" s="16">
        <f>'06 - 2022'!G9-'06 - 2022'!G8</f>
        <v>32.349999999998545</v>
      </c>
      <c r="K3" s="14">
        <v>0.74</v>
      </c>
      <c r="L3" s="18">
        <v>102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6</v>
      </c>
      <c r="D4" s="14">
        <v>2022</v>
      </c>
      <c r="E4" s="16">
        <f>'06 - 2022'!B10-'06 - 2022'!B9</f>
        <v>4125</v>
      </c>
      <c r="F4" s="16">
        <f>'06 - 2022'!C10-'06 - 2022'!C9</f>
        <v>6007</v>
      </c>
      <c r="G4" s="14">
        <v>0.11799999999999999</v>
      </c>
      <c r="H4" s="16">
        <f>'06 - 2022'!E10-'06 - 2022'!E9</f>
        <v>26.950000000000045</v>
      </c>
      <c r="I4" s="16">
        <f>'06 - 2022'!F10-'06 - 2022'!F9</f>
        <v>7.6399999999998727</v>
      </c>
      <c r="J4" s="16">
        <f>'06 - 2022'!G10-'06 - 2022'!G9</f>
        <v>33.389999999999418</v>
      </c>
      <c r="K4" s="14">
        <v>0.74</v>
      </c>
      <c r="L4" s="18">
        <v>84</v>
      </c>
      <c r="M4" s="10"/>
    </row>
    <row r="5" spans="1:13" x14ac:dyDescent="0.25">
      <c r="A5" t="s">
        <v>27</v>
      </c>
      <c r="B5">
        <f t="shared" si="0"/>
        <v>4</v>
      </c>
      <c r="C5" s="14">
        <v>6</v>
      </c>
      <c r="D5" s="14">
        <v>2022</v>
      </c>
      <c r="E5" s="16">
        <f>'06 - 2022'!B11-'06 - 2022'!B10</f>
        <v>3748</v>
      </c>
      <c r="F5" s="16">
        <f>'06 - 2022'!C11-'06 - 2022'!C10</f>
        <v>5486</v>
      </c>
      <c r="G5" s="14">
        <v>0.11799999999999999</v>
      </c>
      <c r="H5" s="16">
        <f>'06 - 2022'!E11-'06 - 2022'!E10</f>
        <v>27.180000000000064</v>
      </c>
      <c r="I5" s="16">
        <f>'06 - 2022'!F11-'06 - 2022'!F10</f>
        <v>7.7300000000000182</v>
      </c>
      <c r="J5" s="16">
        <f>'06 - 2022'!G11-'06 - 2022'!G10</f>
        <v>33.209999999999127</v>
      </c>
      <c r="K5" s="14">
        <v>0.74</v>
      </c>
      <c r="L5" s="18">
        <v>65</v>
      </c>
      <c r="M5" s="10"/>
    </row>
    <row r="6" spans="1:13" x14ac:dyDescent="0.25">
      <c r="A6" t="s">
        <v>27</v>
      </c>
      <c r="B6">
        <f t="shared" si="0"/>
        <v>5</v>
      </c>
      <c r="C6" s="14">
        <v>6</v>
      </c>
      <c r="D6" s="14">
        <v>2022</v>
      </c>
      <c r="E6" s="16">
        <f>'06 - 2022'!B12-'06 - 2022'!B11</f>
        <v>3822</v>
      </c>
      <c r="F6" s="16">
        <f>'06 - 2022'!C12-'06 - 2022'!C11</f>
        <v>5535</v>
      </c>
      <c r="G6" s="14">
        <v>0.11799999999999999</v>
      </c>
      <c r="H6" s="16">
        <f>'06 - 2022'!E12-'06 - 2022'!E11</f>
        <v>25.519999999999982</v>
      </c>
      <c r="I6" s="16">
        <f>'06 - 2022'!F12-'06 - 2022'!F11</f>
        <v>7.7899999999999636</v>
      </c>
      <c r="J6" s="16">
        <f>'06 - 2022'!G12-'06 - 2022'!G11</f>
        <v>33.720000000001164</v>
      </c>
      <c r="K6" s="14">
        <v>0.74</v>
      </c>
      <c r="L6" s="18">
        <v>48</v>
      </c>
      <c r="M6" s="11"/>
    </row>
    <row r="7" spans="1:13" x14ac:dyDescent="0.25">
      <c r="A7" t="s">
        <v>27</v>
      </c>
      <c r="B7">
        <f t="shared" si="0"/>
        <v>6</v>
      </c>
      <c r="C7" s="14">
        <v>6</v>
      </c>
      <c r="D7" s="14">
        <v>2022</v>
      </c>
      <c r="E7" s="16">
        <f>'06 - 2022'!B13-'06 - 2022'!B12</f>
        <v>3876</v>
      </c>
      <c r="F7" s="16">
        <f>'06 - 2022'!C13-'06 - 2022'!C12</f>
        <v>5554</v>
      </c>
      <c r="G7" s="14">
        <v>0.11799999999999999</v>
      </c>
      <c r="H7" s="16">
        <f>'06 - 2022'!E13-'06 - 2022'!E12</f>
        <v>25.190000000000055</v>
      </c>
      <c r="I7" s="16">
        <f>'06 - 2022'!F13-'06 - 2022'!F12</f>
        <v>8.3700000000003456</v>
      </c>
      <c r="J7" s="16">
        <f>'06 - 2022'!G13-'06 - 2022'!G12</f>
        <v>34.25</v>
      </c>
      <c r="K7" s="14">
        <v>0.74</v>
      </c>
      <c r="L7" s="18">
        <v>58</v>
      </c>
      <c r="M7" s="11"/>
    </row>
    <row r="8" spans="1:13" x14ac:dyDescent="0.25">
      <c r="A8" t="s">
        <v>27</v>
      </c>
      <c r="B8">
        <f t="shared" si="0"/>
        <v>7</v>
      </c>
      <c r="C8" s="14">
        <v>6</v>
      </c>
      <c r="D8" s="14">
        <v>2022</v>
      </c>
      <c r="E8" s="16">
        <f>'06 - 2022'!B14-'06 - 2022'!B13</f>
        <v>3921</v>
      </c>
      <c r="F8" s="16">
        <f>'06 - 2022'!C14-'06 - 2022'!C13</f>
        <v>5543</v>
      </c>
      <c r="G8" s="14">
        <v>0.11799999999999999</v>
      </c>
      <c r="H8" s="16">
        <f>'06 - 2022'!E14-'06 - 2022'!E13</f>
        <v>25.729999999999791</v>
      </c>
      <c r="I8" s="16">
        <f>'06 - 2022'!F14-'06 - 2022'!F13</f>
        <v>7</v>
      </c>
      <c r="J8" s="16">
        <f>'06 - 2022'!G14-'06 - 2022'!G13</f>
        <v>33.5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6</v>
      </c>
      <c r="D9" s="14">
        <v>2022</v>
      </c>
      <c r="E9" s="16">
        <f>'06 - 2022'!B15-'06 - 2022'!B14</f>
        <v>3945</v>
      </c>
      <c r="F9" s="16">
        <f>'06 - 2022'!C15-'06 - 2022'!C14</f>
        <v>5596</v>
      </c>
      <c r="G9" s="14">
        <v>0.11799999999999999</v>
      </c>
      <c r="H9" s="16">
        <f>'06 - 2022'!E15-'06 - 2022'!E14</f>
        <v>26.5</v>
      </c>
      <c r="I9" s="16">
        <f>'06 - 2022'!F15-'06 - 2022'!F14</f>
        <v>9.2399999999997817</v>
      </c>
      <c r="J9" s="16">
        <f>'06 - 2022'!G15-'06 - 2022'!G14</f>
        <v>33.940000000002328</v>
      </c>
      <c r="K9" s="14">
        <v>0.74</v>
      </c>
      <c r="L9" s="18">
        <v>76</v>
      </c>
      <c r="M9" s="11"/>
    </row>
    <row r="10" spans="1:13" x14ac:dyDescent="0.25">
      <c r="A10" t="s">
        <v>27</v>
      </c>
      <c r="B10">
        <f t="shared" si="0"/>
        <v>9</v>
      </c>
      <c r="C10" s="14">
        <v>6</v>
      </c>
      <c r="D10" s="14">
        <v>2022</v>
      </c>
      <c r="E10" s="16">
        <f>'06 - 2022'!B16-'06 - 2022'!B15</f>
        <v>3795</v>
      </c>
      <c r="F10" s="16">
        <f>'06 - 2022'!C16-'06 - 2022'!C15</f>
        <v>5393</v>
      </c>
      <c r="G10" s="14">
        <v>0.11799999999999999</v>
      </c>
      <c r="H10" s="16">
        <f>'06 - 2022'!E16-'06 - 2022'!E15</f>
        <v>30.789999999999964</v>
      </c>
      <c r="I10" s="16">
        <f>'06 - 2022'!F16-'06 - 2022'!F15</f>
        <v>8.2199999999997999</v>
      </c>
      <c r="J10" s="16">
        <f>'06 - 2022'!G16-'06 - 2022'!G15</f>
        <v>32.010000000002037</v>
      </c>
      <c r="K10" s="14">
        <v>0.74</v>
      </c>
      <c r="L10" s="18">
        <v>80</v>
      </c>
      <c r="M10" s="11"/>
    </row>
    <row r="11" spans="1:13" x14ac:dyDescent="0.25">
      <c r="A11" t="s">
        <v>27</v>
      </c>
      <c r="B11">
        <f t="shared" si="0"/>
        <v>10</v>
      </c>
      <c r="C11" s="14">
        <v>6</v>
      </c>
      <c r="D11" s="14">
        <v>2022</v>
      </c>
      <c r="E11" s="16">
        <f>'06 - 2022'!B17-'06 - 2022'!B16</f>
        <v>3963</v>
      </c>
      <c r="F11" s="16">
        <f>'06 - 2022'!C17-'06 - 2022'!C16</f>
        <v>5700</v>
      </c>
      <c r="G11" s="14">
        <v>0.11799999999999999</v>
      </c>
      <c r="H11" s="16">
        <f>'06 - 2022'!E17-'06 - 2022'!E16</f>
        <v>19.360000000000127</v>
      </c>
      <c r="I11" s="16">
        <f>'06 - 2022'!F17-'06 - 2022'!F16</f>
        <v>9.4200000000000728</v>
      </c>
      <c r="J11" s="16">
        <f>'06 - 2022'!G17-'06 - 2022'!G16</f>
        <v>37.25</v>
      </c>
      <c r="K11" s="14">
        <v>0.74</v>
      </c>
      <c r="L11" s="18">
        <v>81</v>
      </c>
      <c r="M11" s="11"/>
    </row>
    <row r="12" spans="1:13" x14ac:dyDescent="0.25">
      <c r="A12" t="s">
        <v>27</v>
      </c>
      <c r="B12">
        <f t="shared" si="0"/>
        <v>11</v>
      </c>
      <c r="C12" s="14">
        <v>6</v>
      </c>
      <c r="D12" s="14">
        <v>2022</v>
      </c>
      <c r="E12" s="16">
        <f>'06 - 2022'!B18-'06 - 2022'!B17</f>
        <v>3979</v>
      </c>
      <c r="F12" s="16">
        <f>'06 - 2022'!C18-'06 - 2022'!C17</f>
        <v>5883</v>
      </c>
      <c r="G12" s="14">
        <v>0.11799999999999999</v>
      </c>
      <c r="H12" s="16">
        <f>'06 - 2022'!E18-'06 - 2022'!E17</f>
        <v>28.340000000000146</v>
      </c>
      <c r="I12" s="16">
        <f>'06 - 2022'!F18-'06 - 2022'!F17</f>
        <v>9.4100000000003092</v>
      </c>
      <c r="J12" s="16">
        <f>'06 - 2022'!G18-'06 - 2022'!G17</f>
        <v>32.919999999998254</v>
      </c>
      <c r="K12" s="14">
        <v>0.74</v>
      </c>
      <c r="L12" s="16">
        <v>51</v>
      </c>
      <c r="M12" s="11"/>
    </row>
    <row r="13" spans="1:13" x14ac:dyDescent="0.25">
      <c r="A13" t="s">
        <v>27</v>
      </c>
      <c r="B13">
        <f t="shared" si="0"/>
        <v>12</v>
      </c>
      <c r="C13" s="14">
        <v>6</v>
      </c>
      <c r="D13" s="14">
        <v>2022</v>
      </c>
      <c r="E13" s="16">
        <f>'06 - 2022'!B19-'06 - 2022'!B18</f>
        <v>3841</v>
      </c>
      <c r="F13" s="16">
        <f>'06 - 2022'!C19-'06 - 2022'!C18</f>
        <v>5614</v>
      </c>
      <c r="G13" s="14">
        <v>0.11799999999999999</v>
      </c>
      <c r="H13" s="16">
        <f>'06 - 2022'!E19-'06 - 2022'!E18</f>
        <v>26.2199999999998</v>
      </c>
      <c r="I13" s="16">
        <f>'06 - 2022'!F19-'06 - 2022'!F18</f>
        <v>9.2899999999999636</v>
      </c>
      <c r="J13" s="16">
        <f>'06 - 2022'!G19-'06 - 2022'!G18</f>
        <v>33.739999999997963</v>
      </c>
      <c r="K13" s="14">
        <v>0.74</v>
      </c>
      <c r="L13" s="16">
        <v>44</v>
      </c>
      <c r="M13" s="11"/>
    </row>
    <row r="14" spans="1:13" x14ac:dyDescent="0.25">
      <c r="A14" t="s">
        <v>27</v>
      </c>
      <c r="B14">
        <f t="shared" si="0"/>
        <v>13</v>
      </c>
      <c r="C14" s="14">
        <v>6</v>
      </c>
      <c r="D14" s="14">
        <v>2022</v>
      </c>
      <c r="E14" s="16">
        <f>'06 - 2022'!B20-'06 - 2022'!B19</f>
        <v>3770</v>
      </c>
      <c r="F14" s="16">
        <f>'06 - 2022'!C20-'06 - 2022'!C19</f>
        <v>5614</v>
      </c>
      <c r="G14" s="14">
        <v>0.11799999999999999</v>
      </c>
      <c r="H14" s="16">
        <f>'06 - 2022'!E20-'06 - 2022'!E19</f>
        <v>26.360000000000127</v>
      </c>
      <c r="I14" s="16">
        <f>'06 - 2022'!F20-'06 - 2022'!F19</f>
        <v>8.9099999999998545</v>
      </c>
      <c r="J14" s="16">
        <f>'06 - 2022'!G20-'06 - 2022'!G19</f>
        <v>32.029999999998836</v>
      </c>
      <c r="K14" s="14">
        <v>0.74</v>
      </c>
      <c r="L14" s="16">
        <v>48</v>
      </c>
      <c r="M14" s="11"/>
    </row>
    <row r="15" spans="1:13" x14ac:dyDescent="0.25">
      <c r="A15" t="s">
        <v>27</v>
      </c>
      <c r="B15">
        <f t="shared" si="0"/>
        <v>14</v>
      </c>
      <c r="C15" s="14">
        <v>6</v>
      </c>
      <c r="D15" s="14">
        <v>2022</v>
      </c>
      <c r="E15" s="16">
        <f>'06 - 2022'!B21-'06 - 2022'!B20</f>
        <v>4169</v>
      </c>
      <c r="F15" s="16">
        <f>'06 - 2022'!C21-'06 - 2022'!C20</f>
        <v>5601</v>
      </c>
      <c r="G15" s="14">
        <v>0.11799999999999999</v>
      </c>
      <c r="H15" s="16">
        <f>'06 - 2022'!E21-'06 - 2022'!E20</f>
        <v>25.119999999999891</v>
      </c>
      <c r="I15" s="16">
        <f>'06 - 2022'!F21-'06 - 2022'!F20</f>
        <v>7.7199999999997999</v>
      </c>
      <c r="J15" s="16">
        <f>'06 - 2022'!G21-'06 - 2022'!G20</f>
        <v>32.319999999999709</v>
      </c>
      <c r="K15" s="14">
        <v>0.74</v>
      </c>
      <c r="L15" s="16">
        <v>60</v>
      </c>
      <c r="M15" s="11"/>
    </row>
    <row r="16" spans="1:13" x14ac:dyDescent="0.25">
      <c r="A16" t="s">
        <v>27</v>
      </c>
      <c r="B16">
        <f t="shared" si="0"/>
        <v>15</v>
      </c>
      <c r="C16" s="14">
        <v>6</v>
      </c>
      <c r="D16" s="14">
        <v>2022</v>
      </c>
      <c r="E16" s="16">
        <f>'06 - 2022'!B22-'06 - 2022'!B21</f>
        <v>4264</v>
      </c>
      <c r="F16" s="16">
        <f>'06 - 2022'!C22-'06 - 2022'!C21</f>
        <v>5863</v>
      </c>
      <c r="G16" s="14">
        <v>0.11799999999999999</v>
      </c>
      <c r="H16" s="16">
        <f>'06 - 2022'!E22-'06 - 2022'!E21</f>
        <v>23.309999999999945</v>
      </c>
      <c r="I16" s="16">
        <f>'06 - 2022'!F22-'06 - 2022'!F21</f>
        <v>8.5100000000002183</v>
      </c>
      <c r="J16" s="16">
        <f>'06 - 2022'!G22-'06 - 2022'!G21</f>
        <v>32.510000000002037</v>
      </c>
      <c r="K16" s="14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4">
        <v>6</v>
      </c>
      <c r="D17" s="14">
        <v>2022</v>
      </c>
      <c r="E17" s="16">
        <f>'06 - 2022'!B23-'06 - 2022'!B22</f>
        <v>3786</v>
      </c>
      <c r="F17" s="16">
        <f>'06 - 2022'!C23-'06 - 2022'!C22</f>
        <v>5580.7099999999627</v>
      </c>
      <c r="G17" s="14">
        <v>0.11799999999999999</v>
      </c>
      <c r="H17" s="16">
        <f>'06 - 2022'!E23-'06 - 2022'!E22</f>
        <v>24.480000000000018</v>
      </c>
      <c r="I17" s="16">
        <f>'06 - 2022'!F23-'06 - 2022'!F22</f>
        <v>7.8400000000001455</v>
      </c>
      <c r="J17" s="16">
        <f>'06 - 2022'!G23-'06 - 2022'!G22</f>
        <v>29.010000000002037</v>
      </c>
      <c r="K17" s="14">
        <v>0.74</v>
      </c>
      <c r="L17" s="16">
        <v>76</v>
      </c>
      <c r="M17" s="11"/>
    </row>
    <row r="18" spans="1:13" x14ac:dyDescent="0.25">
      <c r="A18" t="s">
        <v>27</v>
      </c>
      <c r="B18">
        <f t="shared" si="0"/>
        <v>17</v>
      </c>
      <c r="C18" s="14">
        <v>6</v>
      </c>
      <c r="D18" s="14">
        <v>2022</v>
      </c>
      <c r="E18" s="16">
        <f>'06 - 2022'!B24-'06 - 2022'!B23</f>
        <v>4039</v>
      </c>
      <c r="F18" s="16">
        <f>'06 - 2022'!C24-'06 - 2022'!C23</f>
        <v>5782.5700000000652</v>
      </c>
      <c r="G18" s="14">
        <v>0.11799999999999999</v>
      </c>
      <c r="H18" s="16">
        <f>'06 - 2022'!E24-'06 - 2022'!E23</f>
        <v>27.570000000000164</v>
      </c>
      <c r="I18" s="16">
        <f>'06 - 2022'!F24-'06 - 2022'!F23</f>
        <v>7.8899999999998727</v>
      </c>
      <c r="J18" s="16">
        <f>'06 - 2022'!G24-'06 - 2022'!G23</f>
        <v>31.040000000000873</v>
      </c>
      <c r="K18" s="14">
        <v>0.74</v>
      </c>
      <c r="L18" s="16">
        <v>77</v>
      </c>
      <c r="M18" s="11"/>
    </row>
    <row r="19" spans="1:13" x14ac:dyDescent="0.25">
      <c r="A19" t="s">
        <v>27</v>
      </c>
      <c r="B19">
        <f>B18+1</f>
        <v>18</v>
      </c>
      <c r="C19" s="14">
        <v>6</v>
      </c>
      <c r="D19" s="14">
        <v>2022</v>
      </c>
      <c r="E19" s="16">
        <f>'06 - 2022'!B25-'06 - 2022'!B24</f>
        <v>3923</v>
      </c>
      <c r="F19" s="16">
        <f>'06 - 2022'!C25-'06 - 2022'!C24</f>
        <v>5877.4199999999255</v>
      </c>
      <c r="G19" s="14">
        <v>0.11799999999999999</v>
      </c>
      <c r="H19" s="16">
        <f>'06 - 2022'!E25-'06 - 2022'!E24</f>
        <v>23.650000000000091</v>
      </c>
      <c r="I19" s="16">
        <f>'06 - 2022'!F25-'06 - 2022'!F24</f>
        <v>8.1399999999998727</v>
      </c>
      <c r="J19" s="16">
        <f>'06 - 2022'!G25-'06 - 2022'!G24</f>
        <v>37.979999999995925</v>
      </c>
      <c r="K19" s="14">
        <v>0.74</v>
      </c>
      <c r="L19" s="16">
        <v>73</v>
      </c>
      <c r="M19" s="11"/>
    </row>
    <row r="20" spans="1:13" x14ac:dyDescent="0.25">
      <c r="A20" t="s">
        <v>27</v>
      </c>
      <c r="B20">
        <f t="shared" si="0"/>
        <v>19</v>
      </c>
      <c r="C20" s="14">
        <v>6</v>
      </c>
      <c r="D20" s="14">
        <v>2022</v>
      </c>
      <c r="E20" s="16">
        <f>'06 - 2022'!B26-'06 - 2022'!B25</f>
        <v>3887</v>
      </c>
      <c r="F20" s="16">
        <f>'06 - 2022'!C26-'06 - 2022'!C25</f>
        <v>5946.9000000000233</v>
      </c>
      <c r="G20" s="14">
        <v>0.11799999999999999</v>
      </c>
      <c r="H20" s="16">
        <f>'06 - 2022'!E26-'06 - 2022'!E25</f>
        <v>27.460000000000036</v>
      </c>
      <c r="I20" s="16">
        <f>'06 - 2022'!F26-'06 - 2022'!F25</f>
        <v>8.4800000000000182</v>
      </c>
      <c r="J20" s="16">
        <f>'06 - 2022'!G26-'06 - 2022'!G25</f>
        <v>36.849999999998545</v>
      </c>
      <c r="K20" s="14">
        <v>0.74</v>
      </c>
      <c r="L20" s="4">
        <v>56</v>
      </c>
      <c r="M20" s="11"/>
    </row>
    <row r="21" spans="1:13" x14ac:dyDescent="0.25">
      <c r="A21" t="s">
        <v>27</v>
      </c>
      <c r="B21">
        <f t="shared" si="0"/>
        <v>20</v>
      </c>
      <c r="C21" s="14">
        <v>6</v>
      </c>
      <c r="D21" s="14">
        <v>2022</v>
      </c>
      <c r="E21" s="16">
        <f>'06 - 2022'!B27-'06 - 2022'!B26</f>
        <v>3948</v>
      </c>
      <c r="F21" s="16">
        <f>'06 - 2022'!C27-'06 - 2022'!C26</f>
        <v>5848.0999999999767</v>
      </c>
      <c r="G21" s="14">
        <v>0.11799999999999999</v>
      </c>
      <c r="H21" s="16">
        <f>'06 - 2022'!E27-'06 - 2022'!E26</f>
        <v>27.089999999999691</v>
      </c>
      <c r="I21" s="16">
        <f>'06 - 2022'!F27-'06 - 2022'!F26</f>
        <v>8.1900000000000546</v>
      </c>
      <c r="J21" s="16">
        <f>'06 - 2022'!G27-'06 - 2022'!G26</f>
        <v>34.470000000001164</v>
      </c>
      <c r="K21" s="14">
        <v>0.74</v>
      </c>
      <c r="L21" s="4">
        <v>46</v>
      </c>
      <c r="M21" s="11"/>
    </row>
    <row r="22" spans="1:13" x14ac:dyDescent="0.25">
      <c r="A22" t="s">
        <v>27</v>
      </c>
      <c r="B22">
        <f t="shared" si="0"/>
        <v>21</v>
      </c>
      <c r="C22" s="14">
        <v>6</v>
      </c>
      <c r="D22" s="14">
        <v>2022</v>
      </c>
      <c r="E22" s="16">
        <f>'06 - 2022'!B28-'06 - 2022'!B27</f>
        <v>4095</v>
      </c>
      <c r="F22" s="16">
        <f>'06 - 2022'!C28-'06 - 2022'!C27</f>
        <v>5802</v>
      </c>
      <c r="G22" s="14">
        <v>0.11799999999999999</v>
      </c>
      <c r="H22" s="16">
        <f>'06 - 2022'!E28-'06 - 2022'!E27</f>
        <v>24.309999999999945</v>
      </c>
      <c r="I22" s="16">
        <f>'06 - 2022'!F28-'06 - 2022'!F27</f>
        <v>7.4800000000000182</v>
      </c>
      <c r="J22" s="16">
        <f>'06 - 2022'!G28-'06 - 2022'!G27</f>
        <v>34.010000000002037</v>
      </c>
      <c r="K22" s="14">
        <v>0.74</v>
      </c>
      <c r="L22" s="16">
        <v>58</v>
      </c>
      <c r="M22" s="11"/>
    </row>
    <row r="23" spans="1:13" x14ac:dyDescent="0.25">
      <c r="A23" t="s">
        <v>27</v>
      </c>
      <c r="B23">
        <f t="shared" si="0"/>
        <v>22</v>
      </c>
      <c r="C23" s="14">
        <v>6</v>
      </c>
      <c r="D23" s="14">
        <v>2022</v>
      </c>
      <c r="E23" s="16">
        <v>0</v>
      </c>
      <c r="F23" s="16">
        <v>0</v>
      </c>
      <c r="G23" s="14">
        <v>0.11799999999999999</v>
      </c>
      <c r="H23" s="16">
        <v>0</v>
      </c>
      <c r="I23" s="16">
        <v>0</v>
      </c>
      <c r="J23" s="16"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6</v>
      </c>
      <c r="D24" s="14">
        <v>2022</v>
      </c>
      <c r="E24" s="16">
        <f>'06 - 2022'!B30-'06 - 2022'!B29</f>
        <v>0</v>
      </c>
      <c r="F24" s="16">
        <f>'06 - 2022'!C30-'06 - 2022'!C29</f>
        <v>0</v>
      </c>
      <c r="G24" s="14">
        <v>0.11799999999999999</v>
      </c>
      <c r="H24" s="16">
        <f>'06 - 2022'!E30-'06 - 2022'!E29</f>
        <v>0</v>
      </c>
      <c r="I24" s="16">
        <f>'06 - 2022'!F30-'06 - 2022'!F29</f>
        <v>0</v>
      </c>
      <c r="J24" s="16">
        <f>'06 - 2022'!G30-'06 - 2022'!G29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6</v>
      </c>
      <c r="D25" s="14">
        <v>2022</v>
      </c>
      <c r="E25" s="16">
        <f>'06 - 2022'!B31-'06 - 2022'!B30</f>
        <v>0</v>
      </c>
      <c r="F25" s="16">
        <f>'06 - 2022'!C31-'06 - 2022'!C30</f>
        <v>0</v>
      </c>
      <c r="G25" s="14">
        <v>0.11799999999999999</v>
      </c>
      <c r="H25" s="16">
        <f>'06 - 2022'!E31-'06 - 2022'!E30</f>
        <v>0</v>
      </c>
      <c r="I25" s="16">
        <f>'06 - 2022'!F31-'06 - 2022'!F30</f>
        <v>0</v>
      </c>
      <c r="J25" s="16">
        <f>'06 - 2022'!G31-'06 - 2022'!G30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6</v>
      </c>
      <c r="D26" s="14">
        <v>2022</v>
      </c>
      <c r="E26" s="16">
        <f>'06 - 2022'!B32-'06 - 2022'!B31</f>
        <v>0</v>
      </c>
      <c r="F26" s="16">
        <f>'06 - 2022'!C32-'06 - 2022'!C31</f>
        <v>0</v>
      </c>
      <c r="G26" s="14">
        <v>0.11799999999999999</v>
      </c>
      <c r="H26" s="16">
        <f>'06 - 2022'!E32-'06 - 2022'!E31</f>
        <v>0</v>
      </c>
      <c r="I26" s="16">
        <f>'06 - 2022'!F32-'06 - 2022'!F31</f>
        <v>0</v>
      </c>
      <c r="J26" s="16">
        <f>'06 - 2022'!G32-'06 - 2022'!G31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6</v>
      </c>
      <c r="D27" s="14">
        <v>2022</v>
      </c>
      <c r="E27" s="16">
        <f>'06 - 2022'!B33-'06 - 2022'!B32</f>
        <v>0</v>
      </c>
      <c r="F27" s="16">
        <f>'06 - 2022'!C33-'06 - 2022'!C32</f>
        <v>0</v>
      </c>
      <c r="G27" s="14">
        <v>0.11799999999999999</v>
      </c>
      <c r="H27" s="16">
        <f>'06 - 2022'!E33-'06 - 2022'!E32</f>
        <v>0</v>
      </c>
      <c r="I27" s="16">
        <f>'06 - 2022'!F33-'06 - 2022'!F32</f>
        <v>0</v>
      </c>
      <c r="J27" s="16">
        <f>'06 - 2022'!G33-'06 - 2022'!G32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6</v>
      </c>
      <c r="D28" s="14">
        <v>2022</v>
      </c>
      <c r="E28" s="16">
        <f>'06 - 2022'!B34-'06 - 2022'!B33</f>
        <v>0</v>
      </c>
      <c r="F28" s="16">
        <f>'06 - 2022'!C34-'06 - 2022'!C33</f>
        <v>0</v>
      </c>
      <c r="G28" s="14">
        <v>0.11799999999999999</v>
      </c>
      <c r="H28" s="16">
        <f>'06 - 2022'!E34-'06 - 2022'!E33</f>
        <v>0</v>
      </c>
      <c r="I28" s="16">
        <f>'06 - 2022'!F34-'06 - 2022'!F33</f>
        <v>0</v>
      </c>
      <c r="J28" s="16">
        <f>'06 - 2022'!G34-'06 - 2022'!G33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6</v>
      </c>
      <c r="D29" s="14">
        <v>2022</v>
      </c>
      <c r="E29" s="16">
        <f>'06 - 2022'!B35-'06 - 2022'!B34</f>
        <v>0</v>
      </c>
      <c r="F29" s="16">
        <f>'06 - 2022'!C35-'06 - 2022'!C34</f>
        <v>0</v>
      </c>
      <c r="G29" s="14">
        <v>0.11799999999999999</v>
      </c>
      <c r="H29" s="16">
        <f>'06 - 2022'!E35-'06 - 2022'!E34</f>
        <v>0</v>
      </c>
      <c r="I29" s="16">
        <f>'06 - 2022'!F35-'06 - 2022'!F34</f>
        <v>0</v>
      </c>
      <c r="J29" s="16">
        <f>'06 - 2022'!G35-'06 - 2022'!G34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6</v>
      </c>
      <c r="D30" s="14">
        <v>2022</v>
      </c>
      <c r="E30" s="16">
        <f>'06 - 2022'!B36-'06 - 2022'!B35</f>
        <v>0</v>
      </c>
      <c r="F30" s="16">
        <f>'06 - 2022'!C36-'06 - 2022'!C35</f>
        <v>0</v>
      </c>
      <c r="G30" s="14">
        <v>0.11799999999999999</v>
      </c>
      <c r="H30" s="16">
        <f>'06 - 2022'!E36-'06 - 2022'!E35</f>
        <v>0</v>
      </c>
      <c r="I30" s="16">
        <f>'06 - 2022'!F36-'06 - 2022'!F35</f>
        <v>0</v>
      </c>
      <c r="J30" s="16">
        <f>'06 - 2022'!G36-'06 - 2022'!G35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6</v>
      </c>
      <c r="D31" s="14">
        <v>2022</v>
      </c>
      <c r="E31" s="16">
        <f>'06 - 2022'!B37-'06 - 2022'!B36</f>
        <v>0</v>
      </c>
      <c r="F31" s="16">
        <f>'06 - 2022'!C37-'06 - 2022'!C36</f>
        <v>0</v>
      </c>
      <c r="G31" s="14">
        <v>0.11799999999999999</v>
      </c>
      <c r="H31" s="16">
        <f>'06 - 2022'!E37-'06 - 2022'!E36</f>
        <v>0</v>
      </c>
      <c r="I31" s="16">
        <f>'06 - 2022'!F37-'06 - 2022'!F36</f>
        <v>0</v>
      </c>
      <c r="J31" s="16">
        <f>'06 - 2022'!G37-'06 - 2022'!G36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06 - 2022</vt:lpstr>
      <vt:lpstr>Total Daily </vt:lpstr>
      <vt:lpstr>Submetering Daily </vt:lpstr>
      <vt:lpstr>'06 - 2022'!Print_Area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2022-06-21T05:13:11Z</dcterms:modified>
</cp:coreProperties>
</file>