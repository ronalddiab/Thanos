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<sst xmlns="http://schemas.openxmlformats.org/spreadsheetml/2006/main" count="315" uniqueCount="148">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</sst>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18.314999999999998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21.977999999999998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11849.999999999756</v>
      </c>
      <c r="F7" s="11">
        <f t="shared" si="1"/>
        <v>0.58765030286592534</v>
      </c>
      <c r="G7" s="12">
        <f>(Submetering!AX7+Submetering!AY7+Submetering!AZ7+Submetering!BA7+Submetering!BB7)</f>
        <v>21.977999999999998</v>
      </c>
      <c r="H7" s="11">
        <f t="shared" si="2"/>
        <v>0.99</v>
      </c>
      <c r="I7" s="12">
        <f>'FS Desroches Daily'!CM9</f>
        <v>77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11360.000000000724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84.900000000001455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11869.999999999294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159.29999999999927</v>
      </c>
      <c r="J9" s="11">
        <f t="shared" si="3"/>
        <v>10.487297712684205</v>
      </c>
      <c r="K9" s="13">
        <f>'FS Desroches Daily'!CN11</f>
        <v>17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 t="e">
        <f>Submetering!E10+Submetering!F10+Submetering!G10+Submetering!H10+Submetering!J10-Submetering!AV10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 t="e">
        <f>'FS Desroches Daily'!CM12</f>
        <v>#VALUE!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>
        <f>IF(LPG!F13-LPG!F12&lt;0,"0",(LPG!F13-LPG!F12)*1.8315)</f>
        <v>7.3259999999999996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5.4944999999999995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3200.0000000000919</v>
      </c>
      <c r="F7" s="32">
        <f>'FS Desroches Daily'!F9</f>
        <v>2999.9999999996694</v>
      </c>
      <c r="G7" s="31">
        <f>'FS Desroches Daily'!H9</f>
        <v>2899.9999999999027</v>
      </c>
      <c r="H7" s="32">
        <f>'FS Desroches Daily'!J9</f>
        <v>1700.0000000000348</v>
      </c>
      <c r="I7" s="31">
        <f>'FS Desroches Daily'!L9</f>
        <v>2299.9999999999686</v>
      </c>
      <c r="J7" s="32">
        <f>'FS Desroches Daily'!N9</f>
        <v>1700.0000000000348</v>
      </c>
      <c r="K7" s="13">
        <f>'FS Desroches Daily'!P9</f>
        <v>0</v>
      </c>
      <c r="L7" s="31">
        <f>'FS Desroches Daily'!R9</f>
        <v>6</v>
      </c>
      <c r="M7" s="31">
        <f>'FS Desroches Daily'!T9</f>
        <v>1.2000000000000455</v>
      </c>
      <c r="N7" s="31">
        <f>'FS Desroches Daily'!V9</f>
        <v>422.70000000001164</v>
      </c>
      <c r="O7" s="31">
        <f>'FS Desroches Daily'!X9</f>
        <v>379.99999999999545</v>
      </c>
      <c r="P7" s="31">
        <f>'FS Desroches Daily'!Z9</f>
        <v>2299.9999999999686</v>
      </c>
      <c r="Q7" s="31">
        <f>'FS Desroches Daily'!AB9</f>
        <v>409.99999999996817</v>
      </c>
      <c r="R7" s="31">
        <f>'FS Desroches Daily'!AD9</f>
        <v>529.99999999997272</v>
      </c>
      <c r="S7" s="31">
        <f>'FS Desroches Daily'!AF9</f>
        <v>529.99999999997272</v>
      </c>
      <c r="T7" s="31">
        <f>'FS Desroches Daily'!AH9</f>
        <v>48</v>
      </c>
      <c r="U7" s="35">
        <f>'FS Desroches Daily'!AJ9</f>
        <v>799.99999999995453</v>
      </c>
      <c r="V7" s="35">
        <f>'FS Desroches Daily'!AL9</f>
        <v>100.00000000002274</v>
      </c>
      <c r="W7" s="35">
        <f>'FS Desroches Daily'!AN9</f>
        <v>350.00000000002274</v>
      </c>
      <c r="X7" s="35">
        <f>'FS Desroches Daily'!AP9</f>
        <v>200.00000000001705</v>
      </c>
      <c r="Y7" s="35">
        <f>'FS Desroches Daily'!AR9</f>
        <v>160.00000000002501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180.00000000000682</v>
      </c>
      <c r="AC7" s="35">
        <f>'FS Desroches Daily'!AZ9</f>
        <v>129.99999999999545</v>
      </c>
      <c r="AD7" s="35">
        <f>'FS Desroches Daily'!BB9</f>
        <v>189.99999999999773</v>
      </c>
      <c r="AE7" s="35">
        <f>'FS Desroches Daily'!BD9</f>
        <v>130.0000000000523</v>
      </c>
      <c r="AF7" s="31">
        <f>'FS Desroches Daily'!BF9</f>
        <v>21</v>
      </c>
      <c r="AG7" s="32">
        <f>'FS Desroches Daily'!BH9</f>
        <v>39.999999999992042</v>
      </c>
      <c r="AH7" s="32">
        <f>'FS Desroches Daily'!BJ9</f>
        <v>39.99999999996362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69.999999999993179</v>
      </c>
      <c r="AL7" s="32">
        <f>'FS Desroches Daily'!BR9</f>
        <v>41</v>
      </c>
      <c r="AM7" s="32">
        <f>'FS Desroches Daily'!BT9</f>
        <v>70.0000000000216</v>
      </c>
      <c r="AN7" s="32">
        <f>'FS Desroches Daily'!BV9</f>
        <v>36</v>
      </c>
      <c r="AO7" s="32">
        <f>'FS Desroches Daily'!BX9</f>
        <v>39.999999999992042</v>
      </c>
      <c r="AP7" s="32">
        <f>'FS Desroches Daily'!BZ9</f>
        <v>48</v>
      </c>
      <c r="AQ7" s="31">
        <f>'FS Desroches Daily'!CB9</f>
        <v>44.399999999994179</v>
      </c>
      <c r="AR7" s="31">
        <f>'FS Desroches Daily'!CD9</f>
        <v>4.8999999999996362</v>
      </c>
      <c r="AS7" s="31">
        <f>'FS Desroches Daily'!CF9</f>
        <v>9.8999999999996362</v>
      </c>
      <c r="AT7" s="31">
        <f>'FS Desroches Daily'!CH9</f>
        <v>41</v>
      </c>
      <c r="AU7" s="31">
        <f>'FS Desroches Daily'!CJ9</f>
        <v>310</v>
      </c>
      <c r="AV7" s="31">
        <f>'FS Desroches Daily'!CL9</f>
        <v>649.99999999997726</v>
      </c>
      <c r="AW7" s="31">
        <f>'FS Desroches Daily'!CM9</f>
        <v>77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3000.0000000001137</v>
      </c>
      <c r="F8" s="32">
        <f>'FS Desroches Daily'!F10</f>
        <v>2900.0000000003465</v>
      </c>
      <c r="G8" s="31">
        <f>'FS Desroches Daily'!H10</f>
        <v>2600.0000000001578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1700.0000000000348</v>
      </c>
      <c r="K8" s="13">
        <f>'FS Desroches Daily'!P10</f>
        <v>56</v>
      </c>
      <c r="L8" s="31">
        <f>'FS Desroches Daily'!R10</f>
        <v>6</v>
      </c>
      <c r="M8" s="31">
        <f>'FS Desroches Daily'!T10</f>
        <v>0.90000000000009095</v>
      </c>
      <c r="N8" s="31">
        <f>'FS Desroches Daily'!V10</f>
        <v>406.20000000001164</v>
      </c>
      <c r="O8" s="31">
        <f>'FS Desroches Daily'!X10</f>
        <v>380.0000000000523</v>
      </c>
      <c r="P8" s="31">
        <f>'FS Desroches Daily'!Z10</f>
        <v>2600.0000000001578</v>
      </c>
      <c r="Q8" s="31">
        <f>'FS Desroches Daily'!AB10</f>
        <v>470.00000000002728</v>
      </c>
      <c r="R8" s="31">
        <f>'FS Desroches Daily'!AD10</f>
        <v>600.00000000002274</v>
      </c>
      <c r="S8" s="31">
        <f>'FS Desroches Daily'!AF10</f>
        <v>569.99999999993634</v>
      </c>
      <c r="T8" s="31">
        <f>'FS Desroches Daily'!AH10</f>
        <v>43</v>
      </c>
      <c r="U8" s="35">
        <f>'FS Desroches Daily'!AJ10</f>
        <v>840.00000000003183</v>
      </c>
      <c r="V8" s="35">
        <f>'FS Desroches Daily'!AL10</f>
        <v>149.99999999997726</v>
      </c>
      <c r="W8" s="35">
        <f>'FS Desroches Daily'!AN10</f>
        <v>239.99999999998067</v>
      </c>
      <c r="X8" s="35">
        <f>'FS Desroches Daily'!AP10</f>
        <v>229.99999999998977</v>
      </c>
      <c r="Y8" s="35">
        <f>'FS Desroches Daily'!AR10</f>
        <v>120.00000000000455</v>
      </c>
      <c r="Z8" s="35">
        <f>'FS Desroches Daily'!AT10</f>
        <v>240.00000000000909</v>
      </c>
      <c r="AA8" s="35">
        <f>'FS Desroches Daily'!AT10</f>
        <v>240.00000000000909</v>
      </c>
      <c r="AB8" s="35">
        <f>'FS Desroches Daily'!AV10</f>
        <v>209.99999999997954</v>
      </c>
      <c r="AC8" s="35">
        <f>'FS Desroches Daily'!AZ10</f>
        <v>150.00000000003411</v>
      </c>
      <c r="AD8" s="35">
        <f>'FS Desroches Daily'!BB10</f>
        <v>210.00000000003638</v>
      </c>
      <c r="AE8" s="35">
        <f>'FS Desroches Daily'!BD10</f>
        <v>129.99999999999545</v>
      </c>
      <c r="AF8" s="31">
        <f>'FS Desroches Daily'!BF10</f>
        <v>34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49.999999999982947</v>
      </c>
      <c r="AJ8" s="32">
        <f>'FS Desroches Daily'!BN10</f>
        <v>60.000000000002274</v>
      </c>
      <c r="AK8" s="32">
        <f>'FS Desroches Daily'!BP10</f>
        <v>60.000000000002274</v>
      </c>
      <c r="AL8" s="32">
        <f>'FS Desroches Daily'!BR10</f>
        <v>44</v>
      </c>
      <c r="AM8" s="32">
        <f>'FS Desroches Daily'!BT10</f>
        <v>49.999999999982947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47</v>
      </c>
      <c r="AQ8" s="31">
        <f>'FS Desroches Daily'!CB10</f>
        <v>29.700000000004366</v>
      </c>
      <c r="AR8" s="31">
        <f>'FS Desroches Daily'!CD10</f>
        <v>8.3000000000010914</v>
      </c>
      <c r="AS8" s="31">
        <f>'FS Desroches Daily'!CF10</f>
        <v>9.3000000000001819</v>
      </c>
      <c r="AT8" s="31">
        <f>'FS Desroches Daily'!CH10</f>
        <v>35.80000000000291</v>
      </c>
      <c r="AU8" s="31">
        <f>'FS Desroches Daily'!CJ10</f>
        <v>304</v>
      </c>
      <c r="AV8" s="31">
        <f>'FS Desroches Daily'!CL10</f>
        <v>539.99999999996362</v>
      </c>
      <c r="AW8" s="31">
        <f>'FS Desroches Daily'!CM10</f>
        <v>84.900000000001455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3099.9999999998809</v>
      </c>
      <c r="F9" s="32">
        <f>'FS Desroches Daily'!F11</f>
        <v>3499.9999999998367</v>
      </c>
      <c r="G9" s="31">
        <f>'FS Desroches Daily'!H11</f>
        <v>2599.9999999997135</v>
      </c>
      <c r="H9" s="32">
        <f>'FS Desroches Daily'!J11</f>
        <v>1699.9999999998129</v>
      </c>
      <c r="I9" s="31">
        <f>'FS Desroches Daily'!L11</f>
        <v>2099.9999999999909</v>
      </c>
      <c r="J9" s="32">
        <f>'FS Desroches Daily'!N11</f>
        <v>1600.0000000000459</v>
      </c>
      <c r="K9" s="13">
        <f>'FS Desroches Daily'!P11</f>
        <v>41</v>
      </c>
      <c r="L9" s="31">
        <f>'FS Desroches Daily'!R11</f>
        <v>6</v>
      </c>
      <c r="M9" s="31">
        <f>'FS Desroches Daily'!T11</f>
        <v>0.79999999999995453</v>
      </c>
      <c r="N9" s="31">
        <f>'FS Desroches Daily'!V11</f>
        <v>374.89999999996508</v>
      </c>
      <c r="O9" s="31">
        <f>'FS Desroches Daily'!X11</f>
        <v>419.99999999995907</v>
      </c>
      <c r="P9" s="31">
        <f>'FS Desroches Daily'!Z11</f>
        <v>2999.9999999996694</v>
      </c>
      <c r="Q9" s="31">
        <f>'FS Desroches Daily'!AB11</f>
        <v>339.99999999997499</v>
      </c>
      <c r="R9" s="31">
        <f>'FS Desroches Daily'!AD11</f>
        <v>600.00000000002274</v>
      </c>
      <c r="S9" s="31">
        <f>'FS Desroches Daily'!AF11</f>
        <v>509.99999999999091</v>
      </c>
      <c r="T9" s="31">
        <f>'FS Desroches Daily'!AH11</f>
        <v>42</v>
      </c>
      <c r="U9" s="35">
        <f>'FS Desroches Daily'!AJ11</f>
        <v>850.00000000002274</v>
      </c>
      <c r="V9" s="35">
        <f>'FS Desroches Daily'!AL11</f>
        <v>130.00000000002387</v>
      </c>
      <c r="W9" s="35">
        <f>'FS Desroches Daily'!AN11</f>
        <v>219.99999999999886</v>
      </c>
      <c r="X9" s="35">
        <f>'FS Desroches Daily'!AP11</f>
        <v>250</v>
      </c>
      <c r="Y9" s="35">
        <f>'FS Desroches Daily'!AR11</f>
        <v>170.00000000001592</v>
      </c>
      <c r="Z9" s="35">
        <f>'FS Desroches Daily'!AT11</f>
        <v>269.99999999998181</v>
      </c>
      <c r="AA9" s="35">
        <f>'FS Desroches Daily'!AT11</f>
        <v>269.99999999998181</v>
      </c>
      <c r="AB9" s="35">
        <f>'FS Desroches Daily'!AV11</f>
        <v>180.00000000000682</v>
      </c>
      <c r="AC9" s="35">
        <f>'FS Desroches Daily'!AZ11</f>
        <v>159.99999999996817</v>
      </c>
      <c r="AD9" s="35">
        <f>'FS Desroches Daily'!BB11</f>
        <v>250</v>
      </c>
      <c r="AE9" s="35">
        <f>'FS Desroches Daily'!BD11</f>
        <v>180.00000000000682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42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37.69999999999709</v>
      </c>
      <c r="AR9" s="31">
        <f>'FS Desroches Daily'!CD11</f>
        <v>12.399999999999636</v>
      </c>
      <c r="AS9" s="31">
        <f>'FS Desroches Daily'!CF11</f>
        <v>0.3000000000001819</v>
      </c>
      <c r="AT9" s="31">
        <f>'FS Desroches Daily'!CH11</f>
        <v>38</v>
      </c>
      <c r="AU9" s="31">
        <f>'FS Desroches Daily'!CJ11</f>
        <v>280</v>
      </c>
      <c r="AV9" s="31">
        <f>'FS Desroches Daily'!CL11</f>
        <v>629.99999999999545</v>
      </c>
      <c r="AW9" s="31">
        <f>'FS Desroches Daily'!CM11</f>
        <v>159.29999999999927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17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24999.999999999909</v>
      </c>
      <c r="F33" s="17">
        <f t="shared" ref="F33:BC33" si="1">SUM(F2:F32)</f>
        <v>25599.999999999844</v>
      </c>
      <c r="G33" s="17">
        <f t="shared" si="1"/>
        <v>21899.999999999582</v>
      </c>
      <c r="H33" s="17">
        <f t="shared" si="1"/>
        <v>13099.999999999889</v>
      </c>
      <c r="I33" s="17">
        <f t="shared" si="1"/>
        <v>17300.000000000095</v>
      </c>
      <c r="J33" s="17">
        <f t="shared" si="1"/>
        <v>12699.999999999933</v>
      </c>
      <c r="K33" s="17">
        <f t="shared" si="1"/>
        <v>300</v>
      </c>
      <c r="L33" s="17">
        <f t="shared" si="1"/>
        <v>45</v>
      </c>
      <c r="M33" s="17">
        <f t="shared" si="1"/>
        <v>8.2000000000000455</v>
      </c>
      <c r="N33" s="17">
        <f t="shared" si="1"/>
        <v>3341.5</v>
      </c>
      <c r="O33" s="17">
        <f t="shared" si="1"/>
        <v>3479.9999999999613</v>
      </c>
      <c r="P33" s="17">
        <f t="shared" si="1"/>
        <v>21999.999999999793</v>
      </c>
      <c r="Q33" s="17">
        <f t="shared" si="1"/>
        <v>2930.0000000000068</v>
      </c>
      <c r="R33" s="17">
        <f t="shared" si="1"/>
        <v>4660.0000000000255</v>
      </c>
      <c r="S33" s="17">
        <f t="shared" si="1"/>
        <v>4250</v>
      </c>
      <c r="T33" s="17">
        <f t="shared" si="1"/>
        <v>362</v>
      </c>
      <c r="U33" s="35">
        <f t="shared" si="1"/>
        <v>6340.0000000000318</v>
      </c>
      <c r="V33" s="35">
        <f t="shared" si="1"/>
        <v>1260.0000000000193</v>
      </c>
      <c r="W33" s="35">
        <f t="shared" si="1"/>
        <v>1899.9999999999773</v>
      </c>
      <c r="X33" s="35">
        <f t="shared" si="1"/>
        <v>1789.999999999992</v>
      </c>
      <c r="Y33" s="35">
        <f t="shared" si="1"/>
        <v>2040.0000000000205</v>
      </c>
      <c r="Z33" s="35">
        <f t="shared" si="1"/>
        <v>1800.0000000000114</v>
      </c>
      <c r="AA33" s="35">
        <f t="shared" si="1"/>
        <v>1800.0000000000114</v>
      </c>
      <c r="AB33" s="35">
        <f t="shared" si="1"/>
        <v>1439.9999999999977</v>
      </c>
      <c r="AC33" s="35">
        <f t="shared" si="1"/>
        <v>1050.0000000000114</v>
      </c>
      <c r="AD33" s="35">
        <f t="shared" si="1"/>
        <v>1800.0000000000114</v>
      </c>
      <c r="AE33" s="35">
        <f t="shared" si="1"/>
        <v>1340.0000000000318</v>
      </c>
      <c r="AF33" s="17">
        <f t="shared" si="1"/>
        <v>327</v>
      </c>
      <c r="AG33" s="32">
        <f t="shared" si="1"/>
        <v>370.00000000000455</v>
      </c>
      <c r="AH33" s="32">
        <f t="shared" si="1"/>
        <v>280.00000000002956</v>
      </c>
      <c r="AI33" s="32">
        <f t="shared" si="1"/>
        <v>400.00000000000568</v>
      </c>
      <c r="AJ33" s="32">
        <f t="shared" si="1"/>
        <v>390.00000000001478</v>
      </c>
      <c r="AK33" s="32">
        <f t="shared" si="1"/>
        <v>480.00000000001819</v>
      </c>
      <c r="AL33" s="32">
        <f t="shared" si="1"/>
        <v>307</v>
      </c>
      <c r="AM33" s="32">
        <f t="shared" si="1"/>
        <v>500</v>
      </c>
      <c r="AN33" s="32">
        <f t="shared" si="1"/>
        <v>321</v>
      </c>
      <c r="AO33" s="32">
        <f t="shared" si="1"/>
        <v>319.99999999999318</v>
      </c>
      <c r="AP33" s="32">
        <f t="shared" si="1"/>
        <v>363</v>
      </c>
      <c r="AQ33" s="17">
        <f t="shared" si="1"/>
        <v>345.79999999999563</v>
      </c>
      <c r="AR33" s="17">
        <f t="shared" si="1"/>
        <v>57.800000000001091</v>
      </c>
      <c r="AS33" s="17">
        <f t="shared" si="1"/>
        <v>37</v>
      </c>
      <c r="AT33" s="17">
        <f t="shared" si="1"/>
        <v>313.80000000000291</v>
      </c>
      <c r="AU33" s="17">
        <f t="shared" si="1"/>
        <v>2326</v>
      </c>
      <c r="AV33" s="17">
        <f t="shared" si="1"/>
        <v>4559.9999999999454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38.461499999999994</v>
      </c>
      <c r="BC33" s="17">
        <f t="shared" si="1"/>
        <v>179</v>
      </c>
    </row>
    <row r="35" spans="5:55" x14ac:dyDescent="0.25">
      <c r="E35" s="38">
        <f>E33/E37</f>
        <v>0.27952324515306859</v>
      </c>
      <c r="G35" s="29">
        <f>G33-M36</f>
        <v>18550.299999999581</v>
      </c>
      <c r="AE35" s="35">
        <f>SUM(U33:AE33)</f>
        <v>22560.000000000116</v>
      </c>
      <c r="AG35" s="32">
        <f>SUM(AG33:AP33)</f>
        <v>3731.0000000000659</v>
      </c>
    </row>
    <row r="36" spans="5:55" x14ac:dyDescent="0.25">
      <c r="G36" s="29">
        <f>G35-633*14</f>
        <v>9688.2999999995809</v>
      </c>
      <c r="M36" s="29">
        <f>M33+N33</f>
        <v>3349.7</v>
      </c>
    </row>
    <row r="37" spans="5:55" x14ac:dyDescent="0.25">
      <c r="E37" s="17">
        <f>E33+F33+G33+H33+J33-633*14</f>
        <v>89437.999999999141</v>
      </c>
      <c r="G37" s="37">
        <f>M36/E37</f>
        <v>3.7452760571569488E-2</v>
      </c>
      <c r="M37" s="35">
        <f>AE35</f>
        <v>22560.000000000116</v>
      </c>
    </row>
    <row r="38" spans="5:55" x14ac:dyDescent="0.25">
      <c r="L38" s="27">
        <f>M38/E37</f>
        <v>4.1716049106644844E-2</v>
      </c>
      <c r="M38" s="29">
        <f>AG35</f>
        <v>3731.0000000000659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C1" zoomScale="82" zoomScaleNormal="82" workbookViewId="0">
      <pane ySplit="1" topLeftCell="A2" activePane="bottomLeft" state="frozen"/>
      <selection pane="bottomLeft" activeCell="CE12" sqref="CE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>
        <v>2.8614999999999999</v>
      </c>
      <c r="D9" s="64">
        <f t="shared" si="1"/>
        <v>3200.0000000000919</v>
      </c>
      <c r="E9" s="58">
        <v>3.9434999999999998</v>
      </c>
      <c r="F9" s="64">
        <f t="shared" si="2"/>
        <v>2999.9999999996694</v>
      </c>
      <c r="G9" s="58">
        <v>3.9279999999999999</v>
      </c>
      <c r="H9" s="64">
        <f t="shared" si="3"/>
        <v>2899.9999999999027</v>
      </c>
      <c r="I9" s="58">
        <v>1.9611000000000001</v>
      </c>
      <c r="J9" s="64">
        <f t="shared" si="4"/>
        <v>1700.0000000000348</v>
      </c>
      <c r="K9" s="58">
        <v>3.1031</v>
      </c>
      <c r="L9" s="64">
        <f t="shared" si="5"/>
        <v>2299.9999999999686</v>
      </c>
      <c r="M9" s="58">
        <v>1.7262</v>
      </c>
      <c r="N9" s="64">
        <f t="shared" si="6"/>
        <v>1700.0000000000348</v>
      </c>
      <c r="O9" s="58">
        <v>16999</v>
      </c>
      <c r="P9" s="67">
        <f t="shared" si="7"/>
        <v>0</v>
      </c>
      <c r="Q9" s="58">
        <v>1945</v>
      </c>
      <c r="R9" s="67">
        <f t="shared" si="8"/>
        <v>6</v>
      </c>
      <c r="S9" s="58">
        <v>1210.8</v>
      </c>
      <c r="T9" s="67">
        <f t="shared" si="9"/>
        <v>1.2000000000000455</v>
      </c>
      <c r="U9" s="58">
        <v>500536</v>
      </c>
      <c r="V9" s="67">
        <f t="shared" si="10"/>
        <v>422.70000000001164</v>
      </c>
      <c r="W9" s="58">
        <v>468.03</v>
      </c>
      <c r="X9" s="65">
        <f t="shared" si="11"/>
        <v>379.99999999999545</v>
      </c>
      <c r="Y9" s="58">
        <v>3.4636</v>
      </c>
      <c r="Z9" s="65">
        <f t="shared" si="12"/>
        <v>2299.9999999999686</v>
      </c>
      <c r="AA9" s="58">
        <v>470.77</v>
      </c>
      <c r="AB9" s="65">
        <f t="shared" si="13"/>
        <v>409.99999999996817</v>
      </c>
      <c r="AC9" s="58">
        <v>452.78</v>
      </c>
      <c r="AD9" s="65">
        <f t="shared" si="14"/>
        <v>529.99999999997272</v>
      </c>
      <c r="AE9" s="58">
        <v>654.72</v>
      </c>
      <c r="AF9" s="65">
        <f t="shared" si="15"/>
        <v>529.99999999997272</v>
      </c>
      <c r="AG9" s="58">
        <v>12823</v>
      </c>
      <c r="AH9" s="67">
        <f t="shared" si="16"/>
        <v>48</v>
      </c>
      <c r="AI9" s="58">
        <v>765.75</v>
      </c>
      <c r="AJ9" s="65">
        <f t="shared" si="17"/>
        <v>799.99999999995453</v>
      </c>
      <c r="AK9" s="58">
        <v>255.77</v>
      </c>
      <c r="AL9" s="65">
        <f t="shared" si="18"/>
        <v>100.00000000002274</v>
      </c>
      <c r="AM9" s="58">
        <v>240.02</v>
      </c>
      <c r="AN9" s="65">
        <f t="shared" si="19"/>
        <v>350.00000000002274</v>
      </c>
      <c r="AO9" s="58">
        <v>231.15</v>
      </c>
      <c r="AP9" s="65">
        <f t="shared" si="20"/>
        <v>200.00000000001705</v>
      </c>
      <c r="AQ9" s="58">
        <v>288.69</v>
      </c>
      <c r="AR9" s="65">
        <f t="shared" si="21"/>
        <v>160.00000000002501</v>
      </c>
      <c r="AS9" s="58">
        <v>414.92</v>
      </c>
      <c r="AT9" s="65">
        <f t="shared" si="22"/>
        <v>259.99999999999091</v>
      </c>
      <c r="AU9" s="58">
        <v>320.48</v>
      </c>
      <c r="AV9" s="65">
        <f t="shared" si="23"/>
        <v>180.00000000000682</v>
      </c>
      <c r="AW9" s="58">
        <v>353.12</v>
      </c>
      <c r="AX9" s="65">
        <f t="shared" si="24"/>
        <v>259.99999999999091</v>
      </c>
      <c r="AY9" s="58">
        <v>387.39</v>
      </c>
      <c r="AZ9" s="65">
        <f t="shared" si="25"/>
        <v>129.99999999999545</v>
      </c>
      <c r="BA9" s="58">
        <v>408.15</v>
      </c>
      <c r="BB9" s="65">
        <f t="shared" si="26"/>
        <v>189.99999999999773</v>
      </c>
      <c r="BC9" s="58">
        <v>261.66000000000003</v>
      </c>
      <c r="BD9" s="65">
        <f t="shared" si="27"/>
        <v>130.0000000000523</v>
      </c>
      <c r="BE9" s="59">
        <v>47820</v>
      </c>
      <c r="BF9" s="67">
        <f t="shared" si="28"/>
        <v>21</v>
      </c>
      <c r="BG9" s="60">
        <v>243.44</v>
      </c>
      <c r="BH9" s="65">
        <f t="shared" si="29"/>
        <v>39.999999999992042</v>
      </c>
      <c r="BI9" s="60">
        <v>299.45999999999998</v>
      </c>
      <c r="BJ9" s="65">
        <f t="shared" si="30"/>
        <v>39.99999999996362</v>
      </c>
      <c r="BK9" s="60">
        <v>246.15</v>
      </c>
      <c r="BL9" s="65">
        <f t="shared" si="31"/>
        <v>50.000000000011369</v>
      </c>
      <c r="BM9" s="60">
        <v>233.25</v>
      </c>
      <c r="BN9" s="65">
        <f t="shared" si="32"/>
        <v>50.000000000011369</v>
      </c>
      <c r="BO9" s="60">
        <v>299.06</v>
      </c>
      <c r="BP9" s="65">
        <f t="shared" si="33"/>
        <v>69.999999999993179</v>
      </c>
      <c r="BQ9" s="60">
        <v>52193</v>
      </c>
      <c r="BR9" s="65">
        <f t="shared" si="34"/>
        <v>41</v>
      </c>
      <c r="BS9" s="60">
        <v>210.08</v>
      </c>
      <c r="BT9" s="65">
        <f t="shared" si="35"/>
        <v>70.0000000000216</v>
      </c>
      <c r="BU9" s="60">
        <v>49053</v>
      </c>
      <c r="BV9" s="65">
        <f t="shared" si="36"/>
        <v>36</v>
      </c>
      <c r="BW9" s="60">
        <v>238.62</v>
      </c>
      <c r="BX9" s="65">
        <f t="shared" si="37"/>
        <v>39.999999999992042</v>
      </c>
      <c r="BY9" s="60">
        <v>68853</v>
      </c>
      <c r="BZ9" s="67">
        <f t="shared" si="38"/>
        <v>48</v>
      </c>
      <c r="CA9" s="60">
        <v>42838.2</v>
      </c>
      <c r="CB9" s="67">
        <f t="shared" si="39"/>
        <v>44.399999999994179</v>
      </c>
      <c r="CC9" s="60">
        <v>14230.4</v>
      </c>
      <c r="CD9" s="67">
        <f t="shared" si="40"/>
        <v>4.8999999999996362</v>
      </c>
      <c r="CE9" s="60">
        <v>7569.5</v>
      </c>
      <c r="CF9" s="67">
        <f t="shared" si="41"/>
        <v>9.8999999999996362</v>
      </c>
      <c r="CG9" s="60">
        <v>69446.899999999994</v>
      </c>
      <c r="CH9" s="67">
        <f t="shared" si="42"/>
        <v>41</v>
      </c>
      <c r="CI9" s="60">
        <v>1012767</v>
      </c>
      <c r="CJ9" s="67">
        <f t="shared" si="43"/>
        <v>310</v>
      </c>
      <c r="CK9" s="60">
        <v>907</v>
      </c>
      <c r="CL9" s="64">
        <f t="shared" si="44"/>
        <v>649.99999999997726</v>
      </c>
      <c r="CM9" s="65">
        <f t="shared" si="45"/>
        <v>77</v>
      </c>
      <c r="CN9" s="62">
        <v>20</v>
      </c>
      <c r="CO9" s="62">
        <v>43</v>
      </c>
      <c r="CP9" s="68">
        <v>21595</v>
      </c>
      <c r="CQ9" s="67">
        <f t="shared" si="46"/>
        <v>64.900000000001455</v>
      </c>
      <c r="CR9" s="68">
        <v>19065.099999999999</v>
      </c>
      <c r="CS9" s="67">
        <f t="shared" si="47"/>
        <v>12.099999999998545</v>
      </c>
      <c r="CT9" s="75">
        <v>8788</v>
      </c>
      <c r="CU9" s="67">
        <f t="shared" si="48"/>
        <v>6</v>
      </c>
      <c r="CV9" s="68">
        <v>21717</v>
      </c>
      <c r="CW9" s="67">
        <f t="shared" si="49"/>
        <v>49</v>
      </c>
      <c r="CX9" s="58">
        <v>1772.3</v>
      </c>
      <c r="CY9" s="67">
        <f t="shared" si="50"/>
        <v>12</v>
      </c>
    </row>
    <row r="10" spans="1:103" ht="25.5" customHeight="1" thickBot="1" x14ac:dyDescent="0.45">
      <c r="A10" s="63">
        <v>44599</v>
      </c>
      <c r="B10" s="44"/>
      <c r="C10" s="58">
        <v>2.8645</v>
      </c>
      <c r="D10" s="64">
        <f t="shared" si="1"/>
        <v>3000.0000000001137</v>
      </c>
      <c r="E10" s="58">
        <v>3.9464000000000001</v>
      </c>
      <c r="F10" s="64">
        <f t="shared" si="2"/>
        <v>2900.0000000003465</v>
      </c>
      <c r="G10" s="58">
        <v>3.9306000000000001</v>
      </c>
      <c r="H10" s="64">
        <f t="shared" si="3"/>
        <v>2600.0000000001578</v>
      </c>
      <c r="I10" s="58">
        <v>1.9628000000000001</v>
      </c>
      <c r="J10" s="64">
        <f t="shared" si="4"/>
        <v>1700.0000000000348</v>
      </c>
      <c r="K10" s="58">
        <v>3.1052</v>
      </c>
      <c r="L10" s="64">
        <f t="shared" si="5"/>
        <v>2099.9999999999909</v>
      </c>
      <c r="M10" s="58">
        <v>1.7279</v>
      </c>
      <c r="N10" s="64">
        <f t="shared" si="6"/>
        <v>1700.0000000000348</v>
      </c>
      <c r="O10" s="58">
        <v>17055</v>
      </c>
      <c r="P10" s="67">
        <f t="shared" si="7"/>
        <v>56</v>
      </c>
      <c r="Q10" s="58">
        <v>1951</v>
      </c>
      <c r="R10" s="67">
        <f t="shared" si="8"/>
        <v>6</v>
      </c>
      <c r="S10" s="58">
        <v>1211.7</v>
      </c>
      <c r="T10" s="67">
        <f t="shared" si="9"/>
        <v>0.90000000000009095</v>
      </c>
      <c r="U10" s="58">
        <v>500942.2</v>
      </c>
      <c r="V10" s="67">
        <f t="shared" si="10"/>
        <v>406.20000000001164</v>
      </c>
      <c r="W10" s="58">
        <v>468.41</v>
      </c>
      <c r="X10" s="65">
        <f t="shared" si="11"/>
        <v>380.0000000000523</v>
      </c>
      <c r="Y10" s="58">
        <v>3.4662000000000002</v>
      </c>
      <c r="Z10" s="65">
        <f t="shared" si="12"/>
        <v>2600.0000000001578</v>
      </c>
      <c r="AA10" s="58">
        <v>471.24</v>
      </c>
      <c r="AB10" s="65">
        <f t="shared" si="13"/>
        <v>470.00000000002728</v>
      </c>
      <c r="AC10" s="58">
        <v>453.38</v>
      </c>
      <c r="AD10" s="65">
        <f t="shared" si="14"/>
        <v>600.00000000002274</v>
      </c>
      <c r="AE10" s="58">
        <v>655.29</v>
      </c>
      <c r="AF10" s="65">
        <f t="shared" si="15"/>
        <v>569.99999999993634</v>
      </c>
      <c r="AG10" s="58">
        <v>12866</v>
      </c>
      <c r="AH10" s="67">
        <f t="shared" si="16"/>
        <v>43</v>
      </c>
      <c r="AI10" s="58">
        <v>766.59</v>
      </c>
      <c r="AJ10" s="65">
        <f t="shared" si="17"/>
        <v>840.00000000003183</v>
      </c>
      <c r="AK10" s="58">
        <v>255.92</v>
      </c>
      <c r="AL10" s="65">
        <f t="shared" si="18"/>
        <v>149.99999999997726</v>
      </c>
      <c r="AM10" s="58">
        <v>240.26</v>
      </c>
      <c r="AN10" s="65">
        <f t="shared" si="19"/>
        <v>239.99999999998067</v>
      </c>
      <c r="AO10" s="58">
        <v>231.38</v>
      </c>
      <c r="AP10" s="65">
        <f t="shared" si="20"/>
        <v>229.99999999998977</v>
      </c>
      <c r="AQ10" s="58">
        <v>288.81</v>
      </c>
      <c r="AR10" s="65">
        <f t="shared" si="21"/>
        <v>120.00000000000455</v>
      </c>
      <c r="AS10" s="58">
        <v>415.16</v>
      </c>
      <c r="AT10" s="65">
        <f t="shared" si="22"/>
        <v>240.00000000000909</v>
      </c>
      <c r="AU10" s="58">
        <v>320.69</v>
      </c>
      <c r="AV10" s="65">
        <f t="shared" si="23"/>
        <v>209.99999999997954</v>
      </c>
      <c r="AW10" s="58">
        <v>353.34</v>
      </c>
      <c r="AX10" s="65">
        <f t="shared" si="24"/>
        <v>219.99999999997044</v>
      </c>
      <c r="AY10" s="58">
        <v>387.54</v>
      </c>
      <c r="AZ10" s="65">
        <f t="shared" si="25"/>
        <v>150.00000000003411</v>
      </c>
      <c r="BA10" s="58">
        <v>408.36</v>
      </c>
      <c r="BB10" s="65">
        <f t="shared" si="26"/>
        <v>210.00000000003638</v>
      </c>
      <c r="BC10" s="58">
        <v>261.79000000000002</v>
      </c>
      <c r="BD10" s="65">
        <f t="shared" si="27"/>
        <v>129.99999999999545</v>
      </c>
      <c r="BE10" s="59">
        <v>47854</v>
      </c>
      <c r="BF10" s="67">
        <f t="shared" si="28"/>
        <v>34</v>
      </c>
      <c r="BG10" s="60">
        <v>243.49</v>
      </c>
      <c r="BH10" s="65">
        <f t="shared" si="29"/>
        <v>50.000000000011369</v>
      </c>
      <c r="BI10" s="60">
        <v>299.5</v>
      </c>
      <c r="BJ10" s="65">
        <f t="shared" si="30"/>
        <v>40.000000000020464</v>
      </c>
      <c r="BK10" s="60">
        <v>246.2</v>
      </c>
      <c r="BL10" s="65">
        <f t="shared" si="31"/>
        <v>49.999999999982947</v>
      </c>
      <c r="BM10" s="60">
        <v>233.31</v>
      </c>
      <c r="BN10" s="65">
        <f t="shared" si="32"/>
        <v>60.000000000002274</v>
      </c>
      <c r="BO10" s="60">
        <v>299.12</v>
      </c>
      <c r="BP10" s="65">
        <f t="shared" si="33"/>
        <v>60.000000000002274</v>
      </c>
      <c r="BQ10" s="60">
        <v>52237</v>
      </c>
      <c r="BR10" s="65">
        <f t="shared" si="34"/>
        <v>44</v>
      </c>
      <c r="BS10" s="60">
        <v>210.13</v>
      </c>
      <c r="BT10" s="65">
        <f t="shared" si="35"/>
        <v>49.999999999982947</v>
      </c>
      <c r="BU10" s="60">
        <v>49089</v>
      </c>
      <c r="BV10" s="65">
        <f t="shared" si="36"/>
        <v>36</v>
      </c>
      <c r="BW10" s="60">
        <v>238.66</v>
      </c>
      <c r="BX10" s="65">
        <f t="shared" si="37"/>
        <v>39.999999999992042</v>
      </c>
      <c r="BY10" s="60">
        <v>68900</v>
      </c>
      <c r="BZ10" s="67">
        <f t="shared" si="38"/>
        <v>47</v>
      </c>
      <c r="CA10" s="60">
        <v>42867.9</v>
      </c>
      <c r="CB10" s="67">
        <f t="shared" si="39"/>
        <v>29.700000000004366</v>
      </c>
      <c r="CC10" s="60">
        <v>14238.7</v>
      </c>
      <c r="CD10" s="67">
        <f t="shared" si="40"/>
        <v>8.3000000000010914</v>
      </c>
      <c r="CE10" s="60">
        <v>7578.8</v>
      </c>
      <c r="CF10" s="67">
        <f t="shared" si="41"/>
        <v>9.3000000000001819</v>
      </c>
      <c r="CG10" s="60">
        <v>69482.7</v>
      </c>
      <c r="CH10" s="67">
        <f t="shared" si="42"/>
        <v>35.80000000000291</v>
      </c>
      <c r="CI10" s="60">
        <v>1013071</v>
      </c>
      <c r="CJ10" s="67">
        <f t="shared" si="43"/>
        <v>304</v>
      </c>
      <c r="CK10" s="60">
        <v>907.54</v>
      </c>
      <c r="CL10" s="64">
        <f t="shared" si="44"/>
        <v>539.99999999996362</v>
      </c>
      <c r="CM10" s="65">
        <f t="shared" si="45"/>
        <v>84.900000000001455</v>
      </c>
      <c r="CN10" s="62">
        <v>20</v>
      </c>
      <c r="CO10" s="62">
        <v>43</v>
      </c>
      <c r="CP10" s="68">
        <v>21666</v>
      </c>
      <c r="CQ10" s="67">
        <f t="shared" si="46"/>
        <v>71</v>
      </c>
      <c r="CR10" s="68">
        <v>19079</v>
      </c>
      <c r="CS10" s="67">
        <f t="shared" si="47"/>
        <v>13.900000000001455</v>
      </c>
      <c r="CT10" s="75">
        <v>8796</v>
      </c>
      <c r="CU10" s="67">
        <f t="shared" si="48"/>
        <v>8</v>
      </c>
      <c r="CV10" s="68">
        <v>21764</v>
      </c>
      <c r="CW10" s="67">
        <f t="shared" si="49"/>
        <v>47</v>
      </c>
      <c r="CX10" s="58">
        <v>1784.2</v>
      </c>
      <c r="CY10" s="67">
        <f t="shared" si="50"/>
        <v>11.900000000000091</v>
      </c>
    </row>
    <row r="11" spans="1:103" ht="25.5" customHeight="1" thickBot="1" x14ac:dyDescent="0.45">
      <c r="A11" s="63">
        <v>44600</v>
      </c>
      <c r="B11" s="44"/>
      <c r="C11" s="58">
        <v>2.8675999999999999</v>
      </c>
      <c r="D11" s="64">
        <f t="shared" si="1"/>
        <v>3099.9999999998809</v>
      </c>
      <c r="E11" s="58">
        <v>3.9499</v>
      </c>
      <c r="F11" s="64">
        <f t="shared" si="2"/>
        <v>3499.9999999998367</v>
      </c>
      <c r="G11" s="58">
        <v>3.9331999999999998</v>
      </c>
      <c r="H11" s="64">
        <f t="shared" si="3"/>
        <v>2599.9999999997135</v>
      </c>
      <c r="I11" s="58">
        <v>1.9644999999999999</v>
      </c>
      <c r="J11" s="64">
        <f t="shared" si="4"/>
        <v>1699.9999999998129</v>
      </c>
      <c r="K11" s="58">
        <v>3.1073</v>
      </c>
      <c r="L11" s="64">
        <f t="shared" si="5"/>
        <v>2099.9999999999909</v>
      </c>
      <c r="M11" s="58">
        <v>1.7295</v>
      </c>
      <c r="N11" s="64">
        <f t="shared" si="6"/>
        <v>1600.0000000000459</v>
      </c>
      <c r="O11" s="58">
        <v>17096</v>
      </c>
      <c r="P11" s="67">
        <f t="shared" si="7"/>
        <v>41</v>
      </c>
      <c r="Q11" s="58">
        <v>1957</v>
      </c>
      <c r="R11" s="67">
        <f t="shared" si="8"/>
        <v>6</v>
      </c>
      <c r="S11" s="58">
        <v>1212.5</v>
      </c>
      <c r="T11" s="67">
        <f t="shared" si="9"/>
        <v>0.79999999999995453</v>
      </c>
      <c r="U11" s="58">
        <v>501317.1</v>
      </c>
      <c r="V11" s="67">
        <f t="shared" si="10"/>
        <v>374.89999999996508</v>
      </c>
      <c r="W11" s="58">
        <v>468.83</v>
      </c>
      <c r="X11" s="65">
        <f t="shared" si="11"/>
        <v>419.99999999995907</v>
      </c>
      <c r="Y11" s="58">
        <v>3.4691999999999998</v>
      </c>
      <c r="Z11" s="65">
        <f t="shared" si="12"/>
        <v>2999.9999999996694</v>
      </c>
      <c r="AA11" s="58">
        <v>471.58</v>
      </c>
      <c r="AB11" s="65">
        <f t="shared" si="13"/>
        <v>339.99999999997499</v>
      </c>
      <c r="AC11" s="58">
        <v>453.98</v>
      </c>
      <c r="AD11" s="65">
        <f t="shared" si="14"/>
        <v>600.00000000002274</v>
      </c>
      <c r="AE11" s="58">
        <v>655.8</v>
      </c>
      <c r="AF11" s="65">
        <f t="shared" si="15"/>
        <v>509.99999999999091</v>
      </c>
      <c r="AG11" s="58">
        <v>12908</v>
      </c>
      <c r="AH11" s="67">
        <f t="shared" si="16"/>
        <v>42</v>
      </c>
      <c r="AI11" s="58">
        <v>767.44</v>
      </c>
      <c r="AJ11" s="65">
        <f t="shared" si="17"/>
        <v>850.00000000002274</v>
      </c>
      <c r="AK11" s="58">
        <v>256.05</v>
      </c>
      <c r="AL11" s="65">
        <f t="shared" si="18"/>
        <v>130.00000000002387</v>
      </c>
      <c r="AM11" s="58">
        <v>240.48</v>
      </c>
      <c r="AN11" s="65">
        <f t="shared" si="19"/>
        <v>219.99999999999886</v>
      </c>
      <c r="AO11" s="58">
        <v>231.63</v>
      </c>
      <c r="AP11" s="65">
        <f t="shared" si="20"/>
        <v>250</v>
      </c>
      <c r="AQ11" s="58">
        <v>288.98</v>
      </c>
      <c r="AR11" s="65">
        <f t="shared" si="21"/>
        <v>170.00000000001592</v>
      </c>
      <c r="AS11" s="58">
        <v>415.43</v>
      </c>
      <c r="AT11" s="65">
        <f t="shared" si="22"/>
        <v>269.99999999998181</v>
      </c>
      <c r="AU11" s="58">
        <v>320.87</v>
      </c>
      <c r="AV11" s="65">
        <f t="shared" si="23"/>
        <v>180.00000000000682</v>
      </c>
      <c r="AW11" s="58">
        <v>353.55</v>
      </c>
      <c r="AX11" s="65">
        <f t="shared" si="24"/>
        <v>210.00000000003638</v>
      </c>
      <c r="AY11" s="58">
        <v>387.7</v>
      </c>
      <c r="AZ11" s="65">
        <f t="shared" si="25"/>
        <v>159.99999999996817</v>
      </c>
      <c r="BA11" s="58">
        <v>408.61</v>
      </c>
      <c r="BB11" s="65">
        <f t="shared" si="26"/>
        <v>250</v>
      </c>
      <c r="BC11" s="58">
        <v>261.97000000000003</v>
      </c>
      <c r="BD11" s="65">
        <f t="shared" si="27"/>
        <v>180.00000000000682</v>
      </c>
      <c r="BE11" s="59">
        <v>47892</v>
      </c>
      <c r="BF11" s="67">
        <f t="shared" si="28"/>
        <v>38</v>
      </c>
      <c r="BG11" s="60">
        <v>243.53</v>
      </c>
      <c r="BH11" s="65">
        <f t="shared" si="29"/>
        <v>39.999999999992042</v>
      </c>
      <c r="BI11" s="60">
        <v>299.54000000000002</v>
      </c>
      <c r="BJ11" s="65">
        <f t="shared" si="30"/>
        <v>40.000000000020464</v>
      </c>
      <c r="BK11" s="60">
        <v>246.25</v>
      </c>
      <c r="BL11" s="65">
        <f t="shared" si="31"/>
        <v>50.000000000011369</v>
      </c>
      <c r="BM11" s="60">
        <v>233.36</v>
      </c>
      <c r="BN11" s="65">
        <f t="shared" si="32"/>
        <v>50.000000000011369</v>
      </c>
      <c r="BO11" s="60">
        <v>299.17</v>
      </c>
      <c r="BP11" s="65">
        <f t="shared" si="33"/>
        <v>50.000000000011369</v>
      </c>
      <c r="BQ11" s="60">
        <v>52279</v>
      </c>
      <c r="BR11" s="65">
        <f t="shared" si="34"/>
        <v>42</v>
      </c>
      <c r="BS11" s="60">
        <v>210.19</v>
      </c>
      <c r="BT11" s="65">
        <f t="shared" si="35"/>
        <v>60.000000000002274</v>
      </c>
      <c r="BU11" s="60">
        <v>49138</v>
      </c>
      <c r="BV11" s="65">
        <f t="shared" si="36"/>
        <v>49</v>
      </c>
      <c r="BW11" s="60">
        <v>238.7</v>
      </c>
      <c r="BX11" s="65">
        <f t="shared" si="37"/>
        <v>39.999999999992042</v>
      </c>
      <c r="BY11" s="60">
        <v>68946</v>
      </c>
      <c r="BZ11" s="67">
        <f t="shared" si="38"/>
        <v>46</v>
      </c>
      <c r="CA11" s="60">
        <v>42905.599999999999</v>
      </c>
      <c r="CB11" s="67">
        <f t="shared" si="39"/>
        <v>37.69999999999709</v>
      </c>
      <c r="CC11" s="60">
        <v>14251.1</v>
      </c>
      <c r="CD11" s="67">
        <f t="shared" si="40"/>
        <v>12.399999999999636</v>
      </c>
      <c r="CE11" s="60">
        <v>7579.1</v>
      </c>
      <c r="CF11" s="67">
        <f t="shared" si="41"/>
        <v>0.3000000000001819</v>
      </c>
      <c r="CG11" s="60">
        <v>69520.7</v>
      </c>
      <c r="CH11" s="67">
        <f t="shared" si="42"/>
        <v>38</v>
      </c>
      <c r="CI11" s="60">
        <v>1013351</v>
      </c>
      <c r="CJ11" s="67">
        <f t="shared" si="43"/>
        <v>280</v>
      </c>
      <c r="CK11" s="60">
        <v>908.17</v>
      </c>
      <c r="CL11" s="64">
        <f t="shared" si="44"/>
        <v>629.99999999999545</v>
      </c>
      <c r="CM11" s="65">
        <f t="shared" si="45"/>
        <v>159.29999999999927</v>
      </c>
      <c r="CN11" s="62">
        <v>17</v>
      </c>
      <c r="CO11" s="62">
        <v>38</v>
      </c>
      <c r="CP11" s="68">
        <v>21754</v>
      </c>
      <c r="CQ11" s="67">
        <f t="shared" si="46"/>
        <v>88</v>
      </c>
      <c r="CR11" s="68">
        <v>19150.3</v>
      </c>
      <c r="CS11" s="67">
        <f t="shared" si="47"/>
        <v>71.299999999999272</v>
      </c>
      <c r="CT11" s="75">
        <v>8803</v>
      </c>
      <c r="CU11" s="67">
        <f t="shared" si="48"/>
        <v>7</v>
      </c>
      <c r="CV11" s="68">
        <v>21799</v>
      </c>
      <c r="CW11" s="67">
        <f t="shared" si="49"/>
        <v>35</v>
      </c>
      <c r="CX11" s="58">
        <v>1795.8</v>
      </c>
      <c r="CY11" s="67">
        <f t="shared" si="50"/>
        <v>11.599999999999909</v>
      </c>
    </row>
    <row r="12" spans="1:103" ht="25.5" customHeight="1" thickBot="1" x14ac:dyDescent="0.45">
      <c r="A12" s="63">
        <v>44601</v>
      </c>
      <c r="B12" s="44"/>
      <c r="C12" s="58"/>
      <c r="D12" s="64" t="str">
        <f t="shared" si="1"/>
        <v>0</v>
      </c>
      <c r="E12" s="58"/>
      <c r="F12" s="64" t="str">
        <f t="shared" si="2"/>
        <v>0</v>
      </c>
      <c r="G12" s="58"/>
      <c r="H12" s="64" t="str">
        <f t="shared" si="3"/>
        <v>0</v>
      </c>
      <c r="I12" s="58"/>
      <c r="J12" s="64" t="str">
        <f t="shared" si="4"/>
        <v>0</v>
      </c>
      <c r="K12" s="58"/>
      <c r="L12" s="64" t="str">
        <f t="shared" si="5"/>
        <v>0</v>
      </c>
      <c r="M12" s="58"/>
      <c r="N12" s="64" t="str">
        <f t="shared" si="6"/>
        <v/>
      </c>
      <c r="O12" s="58"/>
      <c r="P12" s="67" t="str">
        <f t="shared" si="7"/>
        <v/>
      </c>
      <c r="Q12" s="58"/>
      <c r="R12" s="67" t="str">
        <f t="shared" si="8"/>
        <v/>
      </c>
      <c r="S12" s="58"/>
      <c r="T12" s="67" t="str">
        <f t="shared" si="9"/>
        <v/>
      </c>
      <c r="U12" s="58"/>
      <c r="V12" s="67" t="str">
        <f t="shared" si="10"/>
        <v/>
      </c>
      <c r="W12" s="58"/>
      <c r="X12" s="65" t="str">
        <f t="shared" si="11"/>
        <v/>
      </c>
      <c r="Y12" s="58"/>
      <c r="Z12" s="65" t="str">
        <f t="shared" si="12"/>
        <v/>
      </c>
      <c r="AA12" s="58"/>
      <c r="AB12" s="65" t="str">
        <f t="shared" si="13"/>
        <v/>
      </c>
      <c r="AC12" s="58"/>
      <c r="AD12" s="65" t="str">
        <f t="shared" si="14"/>
        <v/>
      </c>
      <c r="AE12" s="58"/>
      <c r="AF12" s="65" t="str">
        <f t="shared" si="15"/>
        <v/>
      </c>
      <c r="AG12" s="58"/>
      <c r="AH12" s="67" t="str">
        <f t="shared" si="16"/>
        <v/>
      </c>
      <c r="AI12" s="58"/>
      <c r="AJ12" s="65" t="str">
        <f t="shared" si="17"/>
        <v/>
      </c>
      <c r="AK12" s="58"/>
      <c r="AL12" s="65" t="str">
        <f t="shared" si="18"/>
        <v/>
      </c>
      <c r="AM12" s="58"/>
      <c r="AN12" s="65" t="str">
        <f t="shared" si="19"/>
        <v/>
      </c>
      <c r="AO12" s="58"/>
      <c r="AP12" s="65" t="str">
        <f t="shared" si="20"/>
        <v/>
      </c>
      <c r="AQ12" s="58"/>
      <c r="AR12" s="65" t="str">
        <f t="shared" si="21"/>
        <v/>
      </c>
      <c r="AS12" s="58"/>
      <c r="AT12" s="65" t="str">
        <f t="shared" si="22"/>
        <v/>
      </c>
      <c r="AU12" s="58"/>
      <c r="AV12" s="65" t="str">
        <f t="shared" si="23"/>
        <v/>
      </c>
      <c r="AW12" s="58"/>
      <c r="AX12" s="65" t="str">
        <f t="shared" si="24"/>
        <v/>
      </c>
      <c r="AY12" s="58"/>
      <c r="AZ12" s="65" t="str">
        <f t="shared" si="25"/>
        <v/>
      </c>
      <c r="BA12" s="58"/>
      <c r="BB12" s="65" t="str">
        <f t="shared" si="26"/>
        <v/>
      </c>
      <c r="BC12" s="58"/>
      <c r="BD12" s="65" t="str">
        <f t="shared" si="27"/>
        <v/>
      </c>
      <c r="BE12" s="59"/>
      <c r="BF12" s="67" t="str">
        <f t="shared" si="28"/>
        <v/>
      </c>
      <c r="BG12" s="60"/>
      <c r="BH12" s="65" t="str">
        <f t="shared" si="29"/>
        <v/>
      </c>
      <c r="BI12" s="60"/>
      <c r="BJ12" s="65" t="str">
        <f t="shared" si="30"/>
        <v/>
      </c>
      <c r="BK12" s="60"/>
      <c r="BL12" s="65" t="str">
        <f t="shared" si="31"/>
        <v/>
      </c>
      <c r="BM12" s="60"/>
      <c r="BN12" s="65" t="str">
        <f t="shared" si="32"/>
        <v/>
      </c>
      <c r="BO12" s="60"/>
      <c r="BP12" s="65" t="str">
        <f t="shared" si="33"/>
        <v/>
      </c>
      <c r="BQ12" s="60"/>
      <c r="BR12" s="65" t="str">
        <f t="shared" si="34"/>
        <v/>
      </c>
      <c r="BS12" s="60"/>
      <c r="BT12" s="65" t="str">
        <f t="shared" si="35"/>
        <v/>
      </c>
      <c r="BU12" s="60"/>
      <c r="BV12" s="65" t="str">
        <f t="shared" si="36"/>
        <v/>
      </c>
      <c r="BW12" s="60"/>
      <c r="BX12" s="65" t="str">
        <f t="shared" si="37"/>
        <v/>
      </c>
      <c r="BY12" s="60"/>
      <c r="BZ12" s="67" t="str">
        <f t="shared" si="38"/>
        <v/>
      </c>
      <c r="CA12" s="60"/>
      <c r="CB12" s="67" t="str">
        <f t="shared" si="39"/>
        <v/>
      </c>
      <c r="CC12" s="60"/>
      <c r="CD12" s="67" t="str">
        <f t="shared" si="40"/>
        <v/>
      </c>
      <c r="CE12" s="60"/>
      <c r="CF12" s="67" t="str">
        <f t="shared" si="41"/>
        <v/>
      </c>
      <c r="CG12" s="60"/>
      <c r="CH12" s="67" t="str">
        <f t="shared" si="42"/>
        <v/>
      </c>
      <c r="CI12" s="60"/>
      <c r="CJ12" s="67" t="str">
        <f t="shared" si="43"/>
        <v/>
      </c>
      <c r="CK12" s="60"/>
      <c r="CL12" s="64" t="str">
        <f t="shared" si="44"/>
        <v/>
      </c>
      <c r="CM12" s="65" t="e">
        <f t="shared" si="45"/>
        <v>#VALUE!</v>
      </c>
      <c r="CN12" s="62"/>
      <c r="CO12" s="62"/>
      <c r="CP12" s="68"/>
      <c r="CQ12" s="67" t="str">
        <f t="shared" si="46"/>
        <v/>
      </c>
      <c r="CR12" s="68"/>
      <c r="CS12" s="67" t="str">
        <f t="shared" si="47"/>
        <v/>
      </c>
      <c r="CT12" s="75"/>
      <c r="CU12" s="67" t="str">
        <f t="shared" si="48"/>
        <v/>
      </c>
      <c r="CV12" s="68"/>
      <c r="CW12" s="67" t="str">
        <f t="shared" si="49"/>
        <v/>
      </c>
      <c r="CX12" s="58"/>
      <c r="CY12" s="67" t="str">
        <f t="shared" si="50"/>
        <v/>
      </c>
    </row>
    <row r="13" spans="1:103" ht="25.5" customHeight="1" thickBot="1" x14ac:dyDescent="0.45">
      <c r="A13" s="63">
        <v>44602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44603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44604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44605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44606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44607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44608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44609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44610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44611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44612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44613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44614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16" sqref="B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82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>
        <v>0</v>
      </c>
      <c r="C13" s="40">
        <v>20</v>
      </c>
      <c r="D13" s="40">
        <v>43</v>
      </c>
      <c r="E13" s="41">
        <v>85</v>
      </c>
      <c r="F13" s="41">
        <v>6474</v>
      </c>
      <c r="G13" s="41">
        <v>40</v>
      </c>
      <c r="H13" s="41">
        <v>2025</v>
      </c>
      <c r="I13" s="41">
        <v>85</v>
      </c>
      <c r="J13" s="41">
        <v>541</v>
      </c>
      <c r="K13" s="42">
        <v>36</v>
      </c>
      <c r="L13" s="42">
        <v>85</v>
      </c>
      <c r="M13" s="42">
        <v>1573</v>
      </c>
      <c r="N13" s="39">
        <v>85</v>
      </c>
      <c r="O13" s="39">
        <v>71</v>
      </c>
      <c r="P13" s="39">
        <v>82</v>
      </c>
      <c r="Q13" s="39">
        <v>4657</v>
      </c>
      <c r="R13" s="77">
        <v>83</v>
      </c>
      <c r="S13" s="77">
        <v>220</v>
      </c>
      <c r="T13">
        <f t="shared" si="1"/>
        <v>0</v>
      </c>
    </row>
    <row r="14" spans="1:20" ht="17.25" customHeight="1" x14ac:dyDescent="0.25">
      <c r="A14" s="73">
        <v>44599</v>
      </c>
      <c r="B14" s="40">
        <v>0</v>
      </c>
      <c r="C14" s="40">
        <v>20</v>
      </c>
      <c r="D14" s="40">
        <v>43</v>
      </c>
      <c r="E14" s="41">
        <v>85</v>
      </c>
      <c r="F14" s="41">
        <v>6479</v>
      </c>
      <c r="G14" s="41">
        <v>30</v>
      </c>
      <c r="H14" s="41">
        <v>2027</v>
      </c>
      <c r="I14" s="41">
        <v>85</v>
      </c>
      <c r="J14" s="41">
        <v>541</v>
      </c>
      <c r="K14" s="42">
        <v>34</v>
      </c>
      <c r="L14" s="42">
        <v>85</v>
      </c>
      <c r="M14" s="42">
        <v>1576</v>
      </c>
      <c r="N14" s="39">
        <v>85</v>
      </c>
      <c r="O14" s="39">
        <v>70</v>
      </c>
      <c r="P14" s="39">
        <v>82</v>
      </c>
      <c r="Q14" s="39">
        <v>4659</v>
      </c>
      <c r="R14" s="77">
        <v>83</v>
      </c>
      <c r="S14" s="77">
        <v>220</v>
      </c>
      <c r="T14">
        <f t="shared" si="1"/>
        <v>0</v>
      </c>
    </row>
    <row r="15" spans="1:20" x14ac:dyDescent="0.25">
      <c r="A15" s="73">
        <v>44600</v>
      </c>
      <c r="B15" s="40">
        <v>0</v>
      </c>
      <c r="C15" s="40">
        <v>17</v>
      </c>
      <c r="D15" s="40">
        <v>38</v>
      </c>
      <c r="E15" s="41">
        <v>85</v>
      </c>
      <c r="F15" s="41">
        <v>6483</v>
      </c>
      <c r="G15" s="41">
        <v>20</v>
      </c>
      <c r="H15" s="41">
        <v>2029</v>
      </c>
      <c r="I15" s="41">
        <v>85</v>
      </c>
      <c r="J15" s="41">
        <v>541</v>
      </c>
      <c r="K15" s="42">
        <v>34</v>
      </c>
      <c r="L15" s="42">
        <v>85</v>
      </c>
      <c r="M15" s="42">
        <v>1576</v>
      </c>
      <c r="N15" s="39">
        <v>85</v>
      </c>
      <c r="O15" s="39">
        <v>65</v>
      </c>
      <c r="P15" s="39">
        <v>82</v>
      </c>
      <c r="Q15" s="39">
        <v>4662</v>
      </c>
      <c r="R15" s="77">
        <v>83</v>
      </c>
      <c r="S15" s="77">
        <v>220</v>
      </c>
      <c r="T15">
        <f t="shared" si="1"/>
        <v>0</v>
      </c>
    </row>
    <row r="16" spans="1:20" x14ac:dyDescent="0.25">
      <c r="A16" s="73">
        <v>44601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-220</v>
      </c>
    </row>
    <row r="17" spans="1:20" x14ac:dyDescent="0.25">
      <c r="A17" s="73">
        <v>44602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44603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44604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44605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44606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44607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44608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44609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44610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44611</v>
      </c>
      <c r="B26" s="40"/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44612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44613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2022-02-09T19:59:55Z</dcterms:modified>
</cp:coreProperties>
</file>