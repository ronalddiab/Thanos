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B3E8CDB2-50BF-46D3-A810-7E4CAC8261B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Z34" i="8" l="1"/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D28" i="8" s="1"/>
  <c r="B29" i="8"/>
  <c r="Z29" i="8" s="1"/>
  <c r="B30" i="8"/>
  <c r="Z30" i="8" s="1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G30" i="3" s="1"/>
  <c r="I29" i="2"/>
  <c r="J30" i="2"/>
  <c r="J31" i="2"/>
  <c r="I30" i="2"/>
  <c r="I31" i="2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F10" i="2"/>
  <c r="D11" i="4" s="1"/>
  <c r="F16" i="2"/>
  <c r="D17" i="4" s="1"/>
  <c r="F17" i="2"/>
  <c r="D18" i="4" s="1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M16" i="3" s="1"/>
  <c r="B17" i="3"/>
  <c r="D17" i="3" s="1"/>
  <c r="B18" i="3"/>
  <c r="B19" i="3"/>
  <c r="C19" i="3" s="1"/>
  <c r="B20" i="3"/>
  <c r="X19" i="2"/>
  <c r="B21" i="3"/>
  <c r="B22" i="3"/>
  <c r="B23" i="3"/>
  <c r="M23" i="3" s="1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M8" i="2"/>
  <c r="L8" i="2"/>
  <c r="K8" i="2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H12" i="3" s="1"/>
  <c r="L12" i="2"/>
  <c r="M12" i="2"/>
  <c r="L13" i="2"/>
  <c r="H14" i="3" s="1"/>
  <c r="M13" i="2"/>
  <c r="L14" i="2"/>
  <c r="M14" i="2"/>
  <c r="L15" i="2"/>
  <c r="M15" i="2"/>
  <c r="H16" i="3" s="1"/>
  <c r="L16" i="2"/>
  <c r="M16" i="2"/>
  <c r="L17" i="2"/>
  <c r="G18" i="4" s="1"/>
  <c r="M17" i="2"/>
  <c r="M18" i="2"/>
  <c r="M19" i="2"/>
  <c r="L20" i="2"/>
  <c r="M20" i="2"/>
  <c r="H21" i="3" s="1"/>
  <c r="L22" i="2"/>
  <c r="H23" i="3" s="1"/>
  <c r="L23" i="2"/>
  <c r="H24" i="3" s="1"/>
  <c r="L24" i="2"/>
  <c r="L25" i="2"/>
  <c r="L26" i="2"/>
  <c r="M26" i="2"/>
  <c r="L27" i="2"/>
  <c r="M27" i="2"/>
  <c r="G28" i="4" s="1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X23" i="2"/>
  <c r="K24" i="4" s="1"/>
  <c r="X24" i="2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J12" i="4" s="1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J17" i="4" s="1"/>
  <c r="V17" i="2"/>
  <c r="V18" i="2"/>
  <c r="V19" i="2"/>
  <c r="V20" i="2"/>
  <c r="V22" i="2"/>
  <c r="V23" i="2"/>
  <c r="V24" i="2"/>
  <c r="V26" i="2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C30" i="3"/>
  <c r="C29" i="3"/>
  <c r="L29" i="3"/>
  <c r="D29" i="3"/>
  <c r="C25" i="3"/>
  <c r="C24" i="3"/>
  <c r="C7" i="3"/>
  <c r="L21" i="3"/>
  <c r="C22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V11" i="8"/>
  <c r="E14" i="3"/>
  <c r="D17" i="8"/>
  <c r="C28" i="3"/>
  <c r="D3" i="3"/>
  <c r="G16" i="4"/>
  <c r="K10" i="4"/>
  <c r="F3" i="3"/>
  <c r="C3" i="4"/>
  <c r="I29" i="3"/>
  <c r="G23" i="4"/>
  <c r="H32" i="4"/>
  <c r="D11" i="3"/>
  <c r="L22" i="3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G6" i="4"/>
  <c r="G20" i="4"/>
  <c r="H29" i="4"/>
  <c r="M31" i="3"/>
  <c r="H6" i="3"/>
  <c r="M32" i="3"/>
  <c r="F32" i="4"/>
  <c r="L7" i="3"/>
  <c r="M3" i="3"/>
  <c r="M33" i="3" s="1"/>
  <c r="M12" i="3"/>
  <c r="M17" i="3"/>
  <c r="M14" i="3"/>
  <c r="E13" i="3"/>
  <c r="M19" i="3"/>
  <c r="E21" i="3"/>
  <c r="M6" i="3"/>
  <c r="K7" i="3"/>
  <c r="M4" i="3"/>
  <c r="L18" i="3"/>
  <c r="M5" i="3"/>
  <c r="G9" i="4"/>
  <c r="G26" i="4"/>
  <c r="M29" i="3"/>
  <c r="M21" i="3"/>
  <c r="C33" i="3"/>
  <c r="M11" i="3"/>
  <c r="M7" i="3"/>
  <c r="M24" i="3"/>
  <c r="L12" i="3"/>
  <c r="Z31" i="8" l="1"/>
  <c r="I32" i="4"/>
  <c r="G31" i="3"/>
  <c r="E32" i="3"/>
  <c r="N31" i="8"/>
  <c r="D30" i="3"/>
  <c r="F31" i="3"/>
  <c r="F30" i="3"/>
  <c r="K29" i="3"/>
  <c r="J29" i="4"/>
  <c r="F23" i="3"/>
  <c r="L10" i="3"/>
  <c r="H28" i="3"/>
  <c r="H8" i="2"/>
  <c r="D13" i="3"/>
  <c r="F27" i="4"/>
  <c r="J22" i="4"/>
  <c r="M8" i="3"/>
  <c r="E10" i="3"/>
  <c r="F25" i="3"/>
  <c r="I6" i="3"/>
  <c r="C23" i="3"/>
  <c r="J13" i="4"/>
  <c r="L25" i="3"/>
  <c r="D24" i="3"/>
  <c r="H9" i="4"/>
  <c r="L20" i="3"/>
  <c r="K12" i="3"/>
  <c r="H25" i="3"/>
  <c r="L23" i="3"/>
  <c r="H13" i="3"/>
  <c r="G32" i="3"/>
  <c r="I8" i="3"/>
  <c r="X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C33" i="4" s="1"/>
  <c r="C35" i="4" s="1"/>
  <c r="E25" i="3"/>
  <c r="I10" i="3"/>
  <c r="H14" i="8"/>
  <c r="T14" i="8"/>
  <c r="H26" i="4"/>
  <c r="X30" i="8"/>
  <c r="E12" i="3"/>
  <c r="F12" i="8"/>
  <c r="H5" i="3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L16" i="4" s="1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D31" i="3"/>
  <c r="T33" i="2"/>
  <c r="L32" i="3"/>
  <c r="U33" i="2"/>
  <c r="I31" i="4"/>
  <c r="H31" i="2"/>
  <c r="N33" i="2"/>
  <c r="K31" i="3"/>
  <c r="I31" i="3"/>
  <c r="H31" i="4"/>
  <c r="H32" i="8"/>
  <c r="Y31" i="8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9" i="4" l="1"/>
  <c r="L27" i="4"/>
  <c r="L26" i="4"/>
  <c r="L24" i="4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<sst xmlns="http://schemas.openxmlformats.org/spreadsheetml/2006/main" count="236" uniqueCount="130">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</sst>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="115" zoomScaleNormal="115" workbookViewId="0">
      <selection activeCell="O31" sqref="O31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16040.000000000822</v>
      </c>
      <c r="F25" s="90"/>
      <c r="G25" s="84">
        <v>4484</v>
      </c>
      <c r="H25" s="116"/>
      <c r="I25" s="52">
        <v>349</v>
      </c>
      <c r="J25" s="118"/>
      <c r="K25" s="81"/>
      <c r="L25" s="119"/>
      <c r="M25" s="58">
        <v>35.4</v>
      </c>
      <c r="N25" s="58">
        <v>80</v>
      </c>
      <c r="O25" s="58">
        <v>204</v>
      </c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16599.999999999192</v>
      </c>
      <c r="F26" s="90"/>
      <c r="G26" s="84">
        <v>4522</v>
      </c>
      <c r="H26" s="116"/>
      <c r="I26" s="52">
        <v>251</v>
      </c>
      <c r="J26" s="118"/>
      <c r="K26" s="81"/>
      <c r="L26" s="119"/>
      <c r="M26" s="58">
        <v>37.5</v>
      </c>
      <c r="N26" s="58">
        <v>91</v>
      </c>
      <c r="O26" s="58">
        <v>225</v>
      </c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19100.000000000437</v>
      </c>
      <c r="F27" s="90"/>
      <c r="G27" s="84">
        <v>5079</v>
      </c>
      <c r="H27" s="116"/>
      <c r="I27" s="52">
        <v>298</v>
      </c>
      <c r="J27" s="118"/>
      <c r="K27" s="81"/>
      <c r="L27" s="119"/>
      <c r="M27" s="58">
        <v>50</v>
      </c>
      <c r="N27" s="58">
        <v>104</v>
      </c>
      <c r="O27" s="58">
        <v>266</v>
      </c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18580.000000000113</v>
      </c>
      <c r="F28" s="90"/>
      <c r="G28" s="84">
        <v>5118</v>
      </c>
      <c r="H28" s="116"/>
      <c r="I28" s="52">
        <v>299</v>
      </c>
      <c r="J28" s="118"/>
      <c r="K28" s="81"/>
      <c r="L28" s="119"/>
      <c r="M28" s="58">
        <v>46.9</v>
      </c>
      <c r="N28" s="58">
        <v>99</v>
      </c>
      <c r="O28" s="58">
        <v>305</v>
      </c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17689.999999999472</v>
      </c>
      <c r="F29" s="90"/>
      <c r="G29" s="84">
        <v>4964</v>
      </c>
      <c r="H29" s="116"/>
      <c r="I29" s="52">
        <v>286</v>
      </c>
      <c r="J29" s="118"/>
      <c r="K29" s="81"/>
      <c r="L29" s="119"/>
      <c r="M29" s="58">
        <v>38.5</v>
      </c>
      <c r="N29" s="58">
        <v>78</v>
      </c>
      <c r="O29" s="58">
        <v>236</v>
      </c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16210.000000001117</v>
      </c>
      <c r="F30" s="90"/>
      <c r="G30" s="84">
        <v>4425</v>
      </c>
      <c r="H30" s="116"/>
      <c r="I30" s="52">
        <v>272</v>
      </c>
      <c r="J30" s="118"/>
      <c r="K30" s="81"/>
      <c r="L30" s="119"/>
      <c r="M30" s="58">
        <v>45.8</v>
      </c>
      <c r="N30" s="58">
        <v>98</v>
      </c>
      <c r="O30" s="58">
        <v>245</v>
      </c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571720.00000000151</v>
      </c>
      <c r="F33" s="113">
        <v>0</v>
      </c>
      <c r="G33" s="80">
        <f>SUM(G2:G32)</f>
        <v>158294</v>
      </c>
      <c r="H33" s="113">
        <v>0</v>
      </c>
      <c r="I33" s="80">
        <f>SUM(I2:I32)</f>
        <v>11677</v>
      </c>
      <c r="J33" s="113">
        <v>0</v>
      </c>
      <c r="K33" s="79">
        <f>SUM(K2:K31)</f>
        <v>0</v>
      </c>
      <c r="L33" s="120">
        <v>0</v>
      </c>
      <c r="M33" s="80">
        <f>SUM(M2:M32)</f>
        <v>1722.9</v>
      </c>
      <c r="N33" s="80">
        <f>SUM(N2:N32)</f>
        <v>4137</v>
      </c>
      <c r="O33" s="80">
        <f>SUM(O2:O32)</f>
        <v>11175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K24" sqref="K24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509.99999999999091</v>
      </c>
      <c r="F25" s="21">
        <f>('Kwh Reading'!F28-'Kwh Reading'!F27)*1000000</f>
        <v>2400.0000000001796</v>
      </c>
      <c r="G25" s="21">
        <f>('Kwh Reading'!C28-'Kwh Reading'!C27)*1000</f>
        <v>259.99999999999091</v>
      </c>
      <c r="H25" s="2">
        <f t="shared" si="0"/>
        <v>1199.9999999999886</v>
      </c>
      <c r="I25" s="21">
        <f>('Kwh Reading'!J28-'Kwh Reading'!J27)*1000</f>
        <v>610.00000000001364</v>
      </c>
      <c r="J25" s="21">
        <f>('Kwh Reading'!K28-'Kwh Reading'!K27)*1000</f>
        <v>299.99999999995453</v>
      </c>
      <c r="K25" s="21">
        <f>('Kwh Reading'!L28-'Kwh Reading'!L27)*1000</f>
        <v>290.00000000002046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220.00000000002728</v>
      </c>
      <c r="O25" s="2">
        <f>('Kwh Reading'!B28-'Kwh Reading'!B27)*1000000</f>
        <v>900.0000000001229</v>
      </c>
      <c r="P25" s="21">
        <f>('Kwh Reading'!M28-'Kwh Reading'!M27)*1000</f>
        <v>330.00000000004093</v>
      </c>
      <c r="Q25" s="2">
        <f>('Kwh Reading'!H28-'Kwh Reading'!H27)*1000000</f>
        <v>399.99999999995595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250</v>
      </c>
      <c r="U25" s="21">
        <f>('Kwh Reading'!N28-'Kwh Reading'!N27)*1000</f>
        <v>269.99999999998181</v>
      </c>
      <c r="V25" s="21">
        <f>'Kwh Reading'!E28-'Kwh Reading'!E27</f>
        <v>2086.0300000011921</v>
      </c>
      <c r="W25" s="21">
        <f>'Kwh Reading'!D28-'Kwh Reading'!D27</f>
        <v>1184.859999999986</v>
      </c>
      <c r="X25" s="21">
        <f>('Kwh Reading'!O28-'Kwh Reading'!O27)*1000</f>
        <v>199.99999999998863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450.00000000004547</v>
      </c>
      <c r="F26" s="21">
        <f>('Kwh Reading'!F29-'Kwh Reading'!F28)*1000000</f>
        <v>2299.9999999999686</v>
      </c>
      <c r="G26" s="21">
        <f>('Kwh Reading'!C29-'Kwh Reading'!C28)*1000</f>
        <v>250</v>
      </c>
      <c r="H26" s="2">
        <f t="shared" si="0"/>
        <v>1140.0000000001</v>
      </c>
      <c r="I26" s="21">
        <f>('Kwh Reading'!J29-'Kwh Reading'!J28)*1000</f>
        <v>570.00000000005002</v>
      </c>
      <c r="J26" s="21">
        <f>('Kwh Reading'!K29-'Kwh Reading'!K28)*1000</f>
        <v>290.00000000007731</v>
      </c>
      <c r="K26" s="21">
        <f>('Kwh Reading'!L29-'Kwh Reading'!L28)*1000</f>
        <v>279.99999999997272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229.99999999996135</v>
      </c>
      <c r="O26" s="2">
        <f>('Kwh Reading'!B29-'Kwh Reading'!B28)*1000000</f>
        <v>999.99999999988984</v>
      </c>
      <c r="P26" s="21">
        <f>('Kwh Reading'!M29-'Kwh Reading'!M28)*1000</f>
        <v>350.00000000002274</v>
      </c>
      <c r="Q26" s="2">
        <f>('Kwh Reading'!H29-'Kwh Reading'!H28)*1000000</f>
        <v>499.99999999994492</v>
      </c>
      <c r="R26" s="2">
        <f>('Kwh Reading'!P29-'Kwh Reading'!P28)*1000000</f>
        <v>299.99999999996697</v>
      </c>
      <c r="S26" s="21">
        <f>('Kwh Reading'!G29-'Kwh Reading'!G28)*1000000</f>
        <v>399.99999999995595</v>
      </c>
      <c r="T26" s="21">
        <f>('Kwh Reading'!Q29-'Kwh Reading'!Q28)*1000</f>
        <v>240.00000000000909</v>
      </c>
      <c r="U26" s="21">
        <f>('Kwh Reading'!N29-'Kwh Reading'!N28)*1000</f>
        <v>280.0000000000864</v>
      </c>
      <c r="V26" s="21">
        <f>'Kwh Reading'!E29-'Kwh Reading'!E28</f>
        <v>2097.6899999994785</v>
      </c>
      <c r="W26" s="21">
        <f>'Kwh Reading'!D29-'Kwh Reading'!D28</f>
        <v>1289.3099999999977</v>
      </c>
      <c r="X26" s="21">
        <f>('Kwh Reading'!O29-'Kwh Reading'!O28)*1000</f>
        <v>229.99999999996135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500</v>
      </c>
      <c r="F27" s="2">
        <f>('Kwh Reading'!F30-'Kwh Reading'!F29)*1000000</f>
        <v>2499.9999999999468</v>
      </c>
      <c r="G27" s="2">
        <f>('Kwh Reading'!C30-'Kwh Reading'!C29)*1000</f>
        <v>269.99999999998181</v>
      </c>
      <c r="H27" s="2">
        <f t="shared" si="0"/>
        <v>1219.9999999998568</v>
      </c>
      <c r="I27" s="2">
        <f>('Kwh Reading'!J30-'Kwh Reading'!J29)*1000</f>
        <v>569.99999999993634</v>
      </c>
      <c r="J27" s="2">
        <f>('Kwh Reading'!K30-'Kwh Reading'!K29)*1000</f>
        <v>319.99999999993634</v>
      </c>
      <c r="K27" s="2">
        <f>('Kwh Reading'!L30-'Kwh Reading'!L29)*1000</f>
        <v>329.99999999998408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270.00000000003865</v>
      </c>
      <c r="O27" s="2">
        <f>('Kwh Reading'!B30-'Kwh Reading'!B29)*1000000</f>
        <v>1000.0000000001119</v>
      </c>
      <c r="P27" s="2">
        <f>('Kwh Reading'!M30-'Kwh Reading'!M29)*1000</f>
        <v>439.99999999994088</v>
      </c>
      <c r="Q27" s="2">
        <f>('Kwh Reading'!H30-'Kwh Reading'!H29)*1000000</f>
        <v>599.99999999993395</v>
      </c>
      <c r="R27" s="2">
        <f>('Kwh Reading'!P30-'Kwh Reading'!P29)*1000000</f>
        <v>399.99999999995595</v>
      </c>
      <c r="S27" s="2">
        <f>('Kwh Reading'!G30-'Kwh Reading'!G29)*1000000</f>
        <v>400.00000000017798</v>
      </c>
      <c r="T27" s="2">
        <f>('Kwh Reading'!Q30-'Kwh Reading'!Q29)*1000</f>
        <v>339.99999999991815</v>
      </c>
      <c r="U27" s="2">
        <f>('Kwh Reading'!N30-'Kwh Reading'!N29)*1000</f>
        <v>379.99999999999545</v>
      </c>
      <c r="V27" s="2">
        <f>'Kwh Reading'!E30-'Kwh Reading'!E29</f>
        <v>2573.1999999992549</v>
      </c>
      <c r="W27" s="2">
        <f>'Kwh Reading'!D30-'Kwh Reading'!D29</f>
        <v>1669.0200000000186</v>
      </c>
      <c r="X27" s="21">
        <f>('Kwh Reading'!O30-'Kwh Reading'!O29)*1000</f>
        <v>230.00000000001819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409.99999999996817</v>
      </c>
      <c r="F28" s="2">
        <f>('Kwh Reading'!F31-'Kwh Reading'!F30)*1000000</f>
        <v>2499.9999999999468</v>
      </c>
      <c r="G28" s="2">
        <f>('Kwh Reading'!C31-'Kwh Reading'!C30)*1000</f>
        <v>220.00000000002728</v>
      </c>
      <c r="H28" s="2">
        <f t="shared" si="0"/>
        <v>1150.0000000000341</v>
      </c>
      <c r="I28" s="2">
        <f>('Kwh Reading'!J31-'Kwh Reading'!J30)*1000</f>
        <v>509.99999999999091</v>
      </c>
      <c r="J28" s="2">
        <f>('Kwh Reading'!K31-'Kwh Reading'!K30)*1000</f>
        <v>350.00000000002274</v>
      </c>
      <c r="K28" s="2">
        <f>('Kwh Reading'!L31-'Kwh Reading'!L30)*1000</f>
        <v>290.00000000002046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279.99999999997272</v>
      </c>
      <c r="O28" s="2">
        <f>('Kwh Reading'!B31-'Kwh Reading'!B30)*1000000</f>
        <v>999.99999999988984</v>
      </c>
      <c r="P28" s="2">
        <f>('Kwh Reading'!M31-'Kwh Reading'!M30)*1000</f>
        <v>460.00000000003638</v>
      </c>
      <c r="Q28" s="2">
        <f>('Kwh Reading'!H31-'Kwh Reading'!H30)*1000000</f>
        <v>500.00000000016701</v>
      </c>
      <c r="R28" s="2">
        <f>('Kwh Reading'!P31-'Kwh Reading'!P30)*1000000</f>
        <v>399.99999999995595</v>
      </c>
      <c r="S28" s="2">
        <f>('Kwh Reading'!G31-'Kwh Reading'!G30)*1000000</f>
        <v>399.99999999995595</v>
      </c>
      <c r="T28" s="2">
        <f>('Kwh Reading'!Q31-'Kwh Reading'!Q30)*1000</f>
        <v>310.00000000005912</v>
      </c>
      <c r="U28" s="2">
        <f>('Kwh Reading'!N31-'Kwh Reading'!N30)*1000</f>
        <v>339.99999999991815</v>
      </c>
      <c r="V28" s="2">
        <f>'Kwh Reading'!E31-'Kwh Reading'!E30</f>
        <v>2445.2400000002235</v>
      </c>
      <c r="W28" s="2">
        <f>'Kwh Reading'!D31-'Kwh Reading'!D30</f>
        <v>1569.9799999999814</v>
      </c>
      <c r="X28" s="21">
        <f>('Kwh Reading'!O31-'Kwh Reading'!O30)*1000</f>
        <v>259.99999999999091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350.00000000002274</v>
      </c>
      <c r="F29" s="2">
        <f>('Kwh Reading'!F32-'Kwh Reading'!F31)*1000000</f>
        <v>2499.9999999999468</v>
      </c>
      <c r="G29" s="2">
        <f>('Kwh Reading'!C32-'Kwh Reading'!C31)*1000</f>
        <v>259.99999999999091</v>
      </c>
      <c r="H29" s="2">
        <f t="shared" si="0"/>
        <v>1280.0000000000296</v>
      </c>
      <c r="I29" s="2">
        <f>('Kwh Reading'!J32-'Kwh Reading'!J31)*1000</f>
        <v>590.00000000003183</v>
      </c>
      <c r="J29" s="2">
        <f>('Kwh Reading'!K32-'Kwh Reading'!K31)*1000</f>
        <v>360.00000000001364</v>
      </c>
      <c r="K29" s="2">
        <f>('Kwh Reading'!L32-'Kwh Reading'!L31)*1000</f>
        <v>329.99999999998408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310.00000000000227</v>
      </c>
      <c r="O29" s="2">
        <f>('Kwh Reading'!B32-'Kwh Reading'!B31)*1000000</f>
        <v>1100.000000000101</v>
      </c>
      <c r="P29" s="2">
        <f>('Kwh Reading'!M32-'Kwh Reading'!M31)*1000</f>
        <v>419.99999999995907</v>
      </c>
      <c r="Q29" s="2">
        <f>('Kwh Reading'!H32-'Kwh Reading'!H31)*1000000</f>
        <v>599.99999999993395</v>
      </c>
      <c r="R29" s="2">
        <f>('Kwh Reading'!P32-'Kwh Reading'!P31)*1000000</f>
        <v>400.00000000017798</v>
      </c>
      <c r="S29" s="2">
        <f>('Kwh Reading'!G32-'Kwh Reading'!G31)*1000000</f>
        <v>499.99999999994492</v>
      </c>
      <c r="T29" s="2">
        <f>('Kwh Reading'!Q32-'Kwh Reading'!Q31)*1000</f>
        <v>289.99999999996362</v>
      </c>
      <c r="U29" s="2">
        <f>('Kwh Reading'!N32-'Kwh Reading'!N31)*1000</f>
        <v>320.00000000005002</v>
      </c>
      <c r="V29" s="2">
        <f>'Kwh Reading'!E32-'Kwh Reading'!E31</f>
        <v>2181.7200000006706</v>
      </c>
      <c r="W29" s="2">
        <f>'Kwh Reading'!D32-'Kwh Reading'!D31</f>
        <v>1448.8000000000175</v>
      </c>
      <c r="X29" s="21">
        <f>('Kwh Reading'!O32-'Kwh Reading'!O31)*1000</f>
        <v>250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509.99999999999091</v>
      </c>
      <c r="F30" s="2">
        <f>('Kwh Reading'!F33-'Kwh Reading'!F32)*1000000</f>
        <v>2400.0000000001796</v>
      </c>
      <c r="G30" s="2">
        <f>('Kwh Reading'!C33-'Kwh Reading'!C32)*1000</f>
        <v>240.00000000000909</v>
      </c>
      <c r="H30" s="2">
        <f t="shared" si="0"/>
        <v>930.00000000000682</v>
      </c>
      <c r="I30" s="2">
        <f>('Kwh Reading'!J33-'Kwh Reading'!J32)*1000</f>
        <v>389.99999999998636</v>
      </c>
      <c r="J30" s="2">
        <f>('Kwh Reading'!K33-'Kwh Reading'!K32)*1000</f>
        <v>259.99999999999091</v>
      </c>
      <c r="K30" s="2">
        <f>('Kwh Reading'!L33-'Kwh Reading'!L32)*1000</f>
        <v>280.00000000002956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230.00000000001819</v>
      </c>
      <c r="O30" s="2">
        <f>('Kwh Reading'!B33-'Kwh Reading'!B32)*1000000</f>
        <v>899.99999999990087</v>
      </c>
      <c r="P30" s="2">
        <f>('Kwh Reading'!M33-'Kwh Reading'!M32)*1000</f>
        <v>360.00000000001364</v>
      </c>
      <c r="Q30" s="2">
        <f>('Kwh Reading'!H33-'Kwh Reading'!H32)*1000000</f>
        <v>499.99999999994492</v>
      </c>
      <c r="R30" s="2">
        <f>('Kwh Reading'!P33-'Kwh Reading'!P32)*1000000</f>
        <v>299.99999999996697</v>
      </c>
      <c r="S30" s="2">
        <f>('Kwh Reading'!G33-'Kwh Reading'!G32)*1000000</f>
        <v>399.99999999995595</v>
      </c>
      <c r="T30" s="2">
        <f>('Kwh Reading'!Q33-'Kwh Reading'!Q32)*1000</f>
        <v>250</v>
      </c>
      <c r="U30" s="2">
        <f>('Kwh Reading'!N33-'Kwh Reading'!N32)*1000</f>
        <v>309.99999999994543</v>
      </c>
      <c r="V30" s="2">
        <f>'Kwh Reading'!E33-'Kwh Reading'!E32</f>
        <v>1995.660000000149</v>
      </c>
      <c r="W30" s="2">
        <f>'Kwh Reading'!D33-'Kwh Reading'!D32</f>
        <v>1098.1600000000035</v>
      </c>
      <c r="X30" s="21">
        <f>('Kwh Reading'!O33-'Kwh Reading'!O32)*1000</f>
        <v>240.00000000000909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-701400</v>
      </c>
      <c r="F31" s="2">
        <f>('Kwh Reading'!F34-'Kwh Reading'!F33)*1000000</f>
        <v>-3883500</v>
      </c>
      <c r="G31" s="2">
        <f>('Kwh Reading'!C34-'Kwh Reading'!C33)*1000</f>
        <v>-375750</v>
      </c>
      <c r="H31" s="2">
        <f t="shared" si="0"/>
        <v>-1503500</v>
      </c>
      <c r="I31" s="2">
        <f>('Kwh Reading'!J34-'Kwh Reading'!J33)*1000</f>
        <v>-590000</v>
      </c>
      <c r="J31" s="2">
        <f>('Kwh Reading'!K34-'Kwh Reading'!K33)*1000</f>
        <v>-537640</v>
      </c>
      <c r="K31" s="2">
        <f>('Kwh Reading'!L34-'Kwh Reading'!L33)*1000</f>
        <v>-375860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-408610</v>
      </c>
      <c r="O31" s="2">
        <f>('Kwh Reading'!B34-'Kwh Reading'!B33)*1000000</f>
        <v>-1633100</v>
      </c>
      <c r="P31" s="2">
        <f>('Kwh Reading'!M34-'Kwh Reading'!M33)*1000</f>
        <v>-900920</v>
      </c>
      <c r="Q31" s="2">
        <f>('Kwh Reading'!H34-'Kwh Reading'!H33)*1000000</f>
        <v>-1127200</v>
      </c>
      <c r="R31" s="2">
        <f>('Kwh Reading'!P34-'Kwh Reading'!P33)*1000000</f>
        <v>-1090200</v>
      </c>
      <c r="S31" s="2">
        <f>('Kwh Reading'!G34-'Kwh Reading'!G33)*1000000</f>
        <v>-1195900</v>
      </c>
      <c r="T31" s="2">
        <f>('Kwh Reading'!Q34-'Kwh Reading'!Q33)*1000</f>
        <v>-790130</v>
      </c>
      <c r="U31" s="2">
        <f>('Kwh Reading'!N34-'Kwh Reading'!N33)*1000</f>
        <v>-813420</v>
      </c>
      <c r="V31" s="2">
        <f>'Kwh Reading'!E34-'Kwh Reading'!E33</f>
        <v>-9716611.6600000001</v>
      </c>
      <c r="W31" s="2">
        <f>'Kwh Reading'!D34-'Kwh Reading'!D33</f>
        <v>-179780.67</v>
      </c>
      <c r="X31" s="21">
        <f>('Kwh Reading'!O34-'Kwh Reading'!O33)*1000</f>
        <v>-276010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11" activePane="bottomLeft" state="frozen"/>
      <selection pane="bottomLeft" activeCell="T33" sqref="T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1.6281000000000001</v>
      </c>
      <c r="C28" s="85">
        <v>374.51</v>
      </c>
      <c r="D28" s="85">
        <v>172705.4</v>
      </c>
      <c r="E28" s="85">
        <v>9705318.1500000004</v>
      </c>
      <c r="F28" s="85">
        <v>3.8713000000000002</v>
      </c>
      <c r="G28" s="85">
        <v>1.1938</v>
      </c>
      <c r="H28" s="85">
        <v>1.1245000000000001</v>
      </c>
      <c r="I28" s="85">
        <v>407.29</v>
      </c>
      <c r="J28" s="85">
        <v>587.37</v>
      </c>
      <c r="K28" s="85">
        <v>536.05999999999995</v>
      </c>
      <c r="L28" s="85">
        <v>374.35</v>
      </c>
      <c r="M28" s="85">
        <v>898.89</v>
      </c>
      <c r="N28" s="85">
        <v>811.79</v>
      </c>
      <c r="O28" s="85">
        <v>274.8</v>
      </c>
      <c r="P28" s="85">
        <v>1.0884</v>
      </c>
      <c r="Q28" s="85">
        <v>788.7</v>
      </c>
      <c r="R28" s="85">
        <v>0</v>
      </c>
      <c r="S28" s="85">
        <v>0</v>
      </c>
      <c r="T28" s="85">
        <v>699.18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1.6291</v>
      </c>
      <c r="C29" s="85">
        <v>374.76</v>
      </c>
      <c r="D29" s="85">
        <v>173994.71</v>
      </c>
      <c r="E29" s="85">
        <v>9707415.8399999999</v>
      </c>
      <c r="F29" s="85">
        <v>3.8736000000000002</v>
      </c>
      <c r="G29" s="85">
        <v>1.1941999999999999</v>
      </c>
      <c r="H29" s="85">
        <v>1.125</v>
      </c>
      <c r="I29" s="85">
        <v>407.52</v>
      </c>
      <c r="J29" s="85">
        <v>587.94000000000005</v>
      </c>
      <c r="K29" s="85">
        <v>536.35</v>
      </c>
      <c r="L29" s="85">
        <v>374.63</v>
      </c>
      <c r="M29" s="85">
        <v>899.24</v>
      </c>
      <c r="N29" s="85">
        <v>812.07</v>
      </c>
      <c r="O29" s="85">
        <v>275.02999999999997</v>
      </c>
      <c r="P29" s="85">
        <v>1.0887</v>
      </c>
      <c r="Q29" s="85">
        <v>788.94</v>
      </c>
      <c r="R29" s="85">
        <v>0</v>
      </c>
      <c r="S29" s="85">
        <v>0</v>
      </c>
      <c r="T29" s="85">
        <v>699.63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1.6301000000000001</v>
      </c>
      <c r="C30" s="85">
        <v>375.03</v>
      </c>
      <c r="D30" s="85">
        <v>175663.73</v>
      </c>
      <c r="E30" s="85">
        <v>9709989.0399999991</v>
      </c>
      <c r="F30" s="85">
        <v>3.8761000000000001</v>
      </c>
      <c r="G30" s="85">
        <v>1.1946000000000001</v>
      </c>
      <c r="H30" s="85">
        <v>1.1255999999999999</v>
      </c>
      <c r="I30" s="85">
        <v>407.79</v>
      </c>
      <c r="J30" s="85">
        <v>588.51</v>
      </c>
      <c r="K30" s="85">
        <v>536.66999999999996</v>
      </c>
      <c r="L30" s="85">
        <v>374.96</v>
      </c>
      <c r="M30" s="85">
        <v>899.68</v>
      </c>
      <c r="N30" s="85">
        <v>812.45</v>
      </c>
      <c r="O30" s="85">
        <v>275.26</v>
      </c>
      <c r="P30" s="85">
        <v>1.0891</v>
      </c>
      <c r="Q30" s="85">
        <v>789.28</v>
      </c>
      <c r="R30" s="85">
        <v>0</v>
      </c>
      <c r="S30" s="85">
        <v>0</v>
      </c>
      <c r="T30" s="85">
        <v>700.13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1.6311</v>
      </c>
      <c r="C31" s="85">
        <v>375.25</v>
      </c>
      <c r="D31" s="85">
        <v>177233.71</v>
      </c>
      <c r="E31" s="85">
        <v>9712434.2799999993</v>
      </c>
      <c r="F31" s="85">
        <v>3.8786</v>
      </c>
      <c r="G31" s="85">
        <v>1.1950000000000001</v>
      </c>
      <c r="H31" s="85">
        <v>1.1261000000000001</v>
      </c>
      <c r="I31" s="85">
        <v>408.07</v>
      </c>
      <c r="J31" s="85">
        <v>589.02</v>
      </c>
      <c r="K31" s="85">
        <v>537.02</v>
      </c>
      <c r="L31" s="85">
        <v>375.25</v>
      </c>
      <c r="M31" s="85">
        <v>900.14</v>
      </c>
      <c r="N31" s="85">
        <v>812.79</v>
      </c>
      <c r="O31" s="85">
        <v>275.52</v>
      </c>
      <c r="P31" s="85">
        <v>1.0894999999999999</v>
      </c>
      <c r="Q31" s="85">
        <v>789.59</v>
      </c>
      <c r="R31" s="85">
        <v>0</v>
      </c>
      <c r="S31" s="85">
        <v>0</v>
      </c>
      <c r="T31" s="85">
        <v>700.54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1.6322000000000001</v>
      </c>
      <c r="C32" s="85">
        <v>375.51</v>
      </c>
      <c r="D32" s="85">
        <v>178682.51</v>
      </c>
      <c r="E32" s="85">
        <v>9714616</v>
      </c>
      <c r="F32" s="85">
        <v>3.8811</v>
      </c>
      <c r="G32" s="85">
        <v>1.1955</v>
      </c>
      <c r="H32" s="85">
        <v>1.1267</v>
      </c>
      <c r="I32" s="85">
        <v>408.38</v>
      </c>
      <c r="J32" s="85">
        <v>589.61</v>
      </c>
      <c r="K32" s="85">
        <v>537.38</v>
      </c>
      <c r="L32" s="85">
        <v>375.58</v>
      </c>
      <c r="M32" s="85">
        <v>900.56</v>
      </c>
      <c r="N32" s="85">
        <v>813.11</v>
      </c>
      <c r="O32" s="85">
        <v>275.77</v>
      </c>
      <c r="P32" s="85">
        <v>1.0899000000000001</v>
      </c>
      <c r="Q32" s="85">
        <v>789.88</v>
      </c>
      <c r="R32" s="85">
        <v>0</v>
      </c>
      <c r="S32" s="85">
        <v>0</v>
      </c>
      <c r="T32" s="85">
        <v>700.89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1.6331</v>
      </c>
      <c r="C33" s="85">
        <v>375.75</v>
      </c>
      <c r="D33" s="85">
        <v>179780.67</v>
      </c>
      <c r="E33" s="85">
        <v>9716611.6600000001</v>
      </c>
      <c r="F33" s="85">
        <v>3.8835000000000002</v>
      </c>
      <c r="G33" s="85">
        <v>1.1959</v>
      </c>
      <c r="H33" s="85">
        <v>1.1272</v>
      </c>
      <c r="I33" s="85">
        <v>408.61</v>
      </c>
      <c r="J33" s="85">
        <v>590</v>
      </c>
      <c r="K33" s="85">
        <v>537.64</v>
      </c>
      <c r="L33" s="85">
        <v>375.86</v>
      </c>
      <c r="M33" s="85">
        <v>900.92</v>
      </c>
      <c r="N33" s="85">
        <v>813.42</v>
      </c>
      <c r="O33" s="85">
        <v>276.01</v>
      </c>
      <c r="P33" s="85">
        <v>1.0902000000000001</v>
      </c>
      <c r="Q33" s="85">
        <v>790.13</v>
      </c>
      <c r="R33" s="85">
        <v>0</v>
      </c>
      <c r="S33" s="85">
        <v>0</v>
      </c>
      <c r="T33" s="85">
        <v>701.4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31" sqref="C31:K3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16040.000000000822</v>
      </c>
      <c r="C26" s="1">
        <f>Submeters!E25</f>
        <v>509.99999999999091</v>
      </c>
      <c r="D26" s="1">
        <f>Submeters!F25</f>
        <v>2400.0000000001796</v>
      </c>
      <c r="E26" s="1">
        <f>Submeters!G25</f>
        <v>259.99999999999091</v>
      </c>
      <c r="F26" s="1">
        <f>(Submeters!I25+Submeters!J25+Submeters!K25)</f>
        <v>1199.9999999999886</v>
      </c>
      <c r="G26" s="1">
        <f>(Submeters!L25+Submeters!M25)</f>
        <v>0</v>
      </c>
      <c r="H26" s="1">
        <f>(Submeters!N25+Submeters!O25)</f>
        <v>1120.0000000001501</v>
      </c>
      <c r="I26" s="1">
        <f>(Submeters!P25+Submeters!Q25+Submeters!R25+Submeters!S25+Submeters!T25+Submeters!U25)</f>
        <v>2149.9999999998795</v>
      </c>
      <c r="J26" s="1">
        <f>(Submeters!V25+Submeters!W25)</f>
        <v>3270.8900000011781</v>
      </c>
      <c r="K26" s="1">
        <f>Submeters!X25</f>
        <v>199.99999999998863</v>
      </c>
      <c r="L26" s="24">
        <f t="shared" si="0"/>
        <v>4929.1099999994731</v>
      </c>
    </row>
    <row r="27" spans="1:12" x14ac:dyDescent="0.25">
      <c r="A27" s="10">
        <f>'Kwh Reading'!A28</f>
        <v>44951</v>
      </c>
      <c r="B27" s="65">
        <f>TOTAL!E26</f>
        <v>16599.999999999192</v>
      </c>
      <c r="C27" s="1">
        <f>Submeters!E26</f>
        <v>450.00000000004547</v>
      </c>
      <c r="D27" s="1">
        <f>Submeters!F26</f>
        <v>2299.9999999999686</v>
      </c>
      <c r="E27" s="1">
        <f>Submeters!G26</f>
        <v>250</v>
      </c>
      <c r="F27" s="1">
        <f>(Submeters!I26+Submeters!J26+Submeters!K26)</f>
        <v>1140.0000000001</v>
      </c>
      <c r="G27" s="1">
        <f>(Submeters!L26+Submeters!M26)</f>
        <v>0</v>
      </c>
      <c r="H27" s="1">
        <f>(Submeters!N26+Submeters!O26)</f>
        <v>1229.9999999998513</v>
      </c>
      <c r="I27" s="1">
        <f>(Submeters!P26+Submeters!Q26+Submeters!R26+Submeters!S26+Submeters!T26+Submeters!U26)</f>
        <v>2069.9999999999864</v>
      </c>
      <c r="J27" s="1">
        <f>(Submeters!V26+Submeters!W26)</f>
        <v>3386.9999999994761</v>
      </c>
      <c r="K27" s="1">
        <f>Submeters!X26</f>
        <v>229.99999999996135</v>
      </c>
      <c r="L27" s="24">
        <f t="shared" si="0"/>
        <v>5542.9999999998017</v>
      </c>
    </row>
    <row r="28" spans="1:12" x14ac:dyDescent="0.25">
      <c r="A28" s="10">
        <f>'Kwh Reading'!A29</f>
        <v>44952</v>
      </c>
      <c r="B28" s="65">
        <f>TOTAL!E27</f>
        <v>19100.000000000437</v>
      </c>
      <c r="C28" s="1">
        <f>Submeters!E27</f>
        <v>500</v>
      </c>
      <c r="D28" s="1">
        <f>Submeters!F27</f>
        <v>2499.9999999999468</v>
      </c>
      <c r="E28" s="1">
        <f>Submeters!G27</f>
        <v>269.99999999998181</v>
      </c>
      <c r="F28" s="1">
        <f>(Submeters!I27+Submeters!J27+Submeters!K27)</f>
        <v>1219.9999999998568</v>
      </c>
      <c r="G28" s="1">
        <f>(Submeters!L27+Submeters!M27)</f>
        <v>0</v>
      </c>
      <c r="H28" s="1">
        <f>(Submeters!N27+Submeters!O27)</f>
        <v>1270.0000000001505</v>
      </c>
      <c r="I28" s="1">
        <f>(Submeters!P27+Submeters!Q27+Submeters!R27+Submeters!S27+Submeters!T27+Submeters!U27)</f>
        <v>2559.9999999999227</v>
      </c>
      <c r="J28" s="1">
        <f>(Submeters!V27+Submeters!W27)</f>
        <v>4242.2199999992736</v>
      </c>
      <c r="K28" s="1">
        <f>Submeters!X27</f>
        <v>230.00000000001819</v>
      </c>
      <c r="L28" s="24">
        <f t="shared" si="0"/>
        <v>6307.7800000012867</v>
      </c>
    </row>
    <row r="29" spans="1:12" x14ac:dyDescent="0.25">
      <c r="A29" s="10">
        <f>'Kwh Reading'!A30</f>
        <v>44953</v>
      </c>
      <c r="B29" s="65">
        <f>TOTAL!E28</f>
        <v>18580.000000000113</v>
      </c>
      <c r="C29" s="1">
        <f>Submeters!E28</f>
        <v>409.99999999996817</v>
      </c>
      <c r="D29" s="1">
        <f>Submeters!F28</f>
        <v>2499.9999999999468</v>
      </c>
      <c r="E29" s="1">
        <f>Submeters!G28</f>
        <v>220.00000000002728</v>
      </c>
      <c r="F29" s="1">
        <f>(Submeters!I28+Submeters!J28+Submeters!K28)</f>
        <v>1150.0000000000341</v>
      </c>
      <c r="G29" s="1">
        <f>(Submeters!L28+Submeters!M28)</f>
        <v>0</v>
      </c>
      <c r="H29" s="1">
        <f>(Submeters!N28+Submeters!O28)</f>
        <v>1279.9999999998627</v>
      </c>
      <c r="I29" s="1">
        <f>(Submeters!P28+Submeters!Q28+Submeters!R28+Submeters!S28+Submeters!T28+Submeters!U28)</f>
        <v>2410.0000000000928</v>
      </c>
      <c r="J29" s="1">
        <f>(Submeters!V28+Submeters!W28)</f>
        <v>4015.2200000002049</v>
      </c>
      <c r="K29" s="1">
        <f>Submeters!X28</f>
        <v>259.99999999999091</v>
      </c>
      <c r="L29" s="24">
        <f t="shared" si="0"/>
        <v>6334.7799999999843</v>
      </c>
    </row>
    <row r="30" spans="1:12" x14ac:dyDescent="0.25">
      <c r="A30" s="10">
        <f>'Kwh Reading'!A31</f>
        <v>44954</v>
      </c>
      <c r="B30" s="65">
        <f>TOTAL!E29</f>
        <v>17689.999999999472</v>
      </c>
      <c r="C30" s="1">
        <f>Submeters!E29</f>
        <v>350.00000000002274</v>
      </c>
      <c r="D30" s="1">
        <f>Submeters!F29</f>
        <v>2499.9999999999468</v>
      </c>
      <c r="E30" s="1">
        <f>Submeters!G29</f>
        <v>259.99999999999091</v>
      </c>
      <c r="F30" s="1">
        <f>(Submeters!I29+Submeters!J29+Submeters!K29)</f>
        <v>1280.0000000000296</v>
      </c>
      <c r="G30" s="1">
        <f>(Submeters!L29+Submeters!M29)</f>
        <v>0</v>
      </c>
      <c r="H30" s="1">
        <f>(Submeters!N29+Submeters!O29)</f>
        <v>1410.0000000001032</v>
      </c>
      <c r="I30" s="1">
        <f>(Submeters!P29+Submeters!Q29+Submeters!R29+Submeters!S29+Submeters!T29+Submeters!U29)</f>
        <v>2530.0000000000296</v>
      </c>
      <c r="J30" s="1">
        <f>(Submeters!V29+Submeters!W29)</f>
        <v>3630.520000000688</v>
      </c>
      <c r="K30" s="1">
        <f>Submeters!X29</f>
        <v>250</v>
      </c>
      <c r="L30" s="24">
        <f t="shared" si="0"/>
        <v>5479.4799999986626</v>
      </c>
    </row>
    <row r="31" spans="1:12" x14ac:dyDescent="0.25">
      <c r="A31" s="10">
        <f>'Kwh Reading'!A32</f>
        <v>44955</v>
      </c>
      <c r="B31" s="65">
        <f>TOTAL!E30</f>
        <v>16210.000000001117</v>
      </c>
      <c r="C31" s="1">
        <f>Submeters!E30</f>
        <v>509.99999999999091</v>
      </c>
      <c r="D31" s="1">
        <f>Submeters!F30</f>
        <v>2400.0000000001796</v>
      </c>
      <c r="E31" s="1">
        <f>Submeters!G30</f>
        <v>240.00000000000909</v>
      </c>
      <c r="F31" s="1">
        <f>(Submeters!I30+Submeters!J30+Submeters!K30)</f>
        <v>930.00000000000682</v>
      </c>
      <c r="G31" s="1">
        <f>(Submeters!L30+Submeters!M30)</f>
        <v>0</v>
      </c>
      <c r="H31" s="1">
        <f>(Submeters!N30+Submeters!O30)</f>
        <v>1129.9999999999191</v>
      </c>
      <c r="I31" s="1">
        <f>(Submeters!P30+Submeters!Q30+Submeters!R30+Submeters!S30+Submeters!T30+Submeters!U30)</f>
        <v>2119.9999999998272</v>
      </c>
      <c r="J31" s="1">
        <f>(Submeters!V30+Submeters!W30)</f>
        <v>3093.8200000001525</v>
      </c>
      <c r="K31" s="1">
        <f>Submeters!X30</f>
        <v>240.00000000000909</v>
      </c>
      <c r="L31" s="24">
        <f t="shared" si="0"/>
        <v>5546.1800000010226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-701400</v>
      </c>
      <c r="D32" s="1">
        <f>Submeters!F31</f>
        <v>-3883500</v>
      </c>
      <c r="E32" s="1">
        <f>Submeters!G31</f>
        <v>-375750</v>
      </c>
      <c r="F32" s="1">
        <f>(Submeters!I31+Submeters!J31+Submeters!K31)</f>
        <v>-1503500</v>
      </c>
      <c r="G32" s="1">
        <f>(Submeters!L31+Submeters!M31)</f>
        <v>0</v>
      </c>
      <c r="H32" s="1">
        <f>(Submeters!N31+Submeters!O31)</f>
        <v>-2041710</v>
      </c>
      <c r="I32" s="1">
        <f>(Submeters!P31+Submeters!Q31+Submeters!R31+Submeters!S31+Submeters!T31+Submeters!U31)</f>
        <v>-5917770</v>
      </c>
      <c r="J32" s="1">
        <f>(Submeters!V31+Submeters!W31)</f>
        <v>-9896392.3300000001</v>
      </c>
      <c r="K32" s="1">
        <f>Submeters!X31</f>
        <v>-276010</v>
      </c>
      <c r="L32" s="24">
        <f t="shared" si="0"/>
        <v>24596032.329999998</v>
      </c>
    </row>
    <row r="33" spans="1:13" ht="15.75" x14ac:dyDescent="0.25">
      <c r="A33" s="67" t="s">
        <v>108</v>
      </c>
      <c r="B33" s="60">
        <f>SUM(B3:B32)</f>
        <v>571720.00000000151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24781044.390000001</v>
      </c>
      <c r="M33" s="66">
        <f>C33+D33+E33+F33+G33+H33+I33+J33+K33+L33</f>
        <v>571720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G32" sqref="G3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33145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1024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1024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1024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1024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1024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1024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1024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1024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1024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1024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1024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30634</v>
      </c>
      <c r="C27" s="25">
        <v>47299</v>
      </c>
      <c r="D27" s="25">
        <v>306168</v>
      </c>
      <c r="E27" s="25">
        <v>288487</v>
      </c>
      <c r="F27" s="25">
        <v>27067</v>
      </c>
      <c r="G27" s="25">
        <v>125497</v>
      </c>
      <c r="H27" s="45">
        <v>1626</v>
      </c>
      <c r="I27" s="109">
        <v>80768</v>
      </c>
      <c r="J27" s="25">
        <v>24234</v>
      </c>
      <c r="K27" s="25">
        <v>1024</v>
      </c>
      <c r="L27" s="25">
        <v>19676</v>
      </c>
      <c r="M27" s="25">
        <v>28917</v>
      </c>
      <c r="N27" s="25">
        <v>9171</v>
      </c>
      <c r="O27" s="25">
        <v>2535</v>
      </c>
      <c r="P27" s="25">
        <v>33315</v>
      </c>
      <c r="Q27" s="25">
        <v>2500</v>
      </c>
      <c r="R27" s="25">
        <v>1131</v>
      </c>
    </row>
    <row r="28" spans="1:21" x14ac:dyDescent="0.25">
      <c r="A28" s="44">
        <v>44952</v>
      </c>
      <c r="B28" s="25">
        <v>30720</v>
      </c>
      <c r="C28" s="25">
        <v>47457</v>
      </c>
      <c r="D28" s="25">
        <v>306256</v>
      </c>
      <c r="E28" s="25">
        <v>288557</v>
      </c>
      <c r="F28" s="25">
        <v>27098</v>
      </c>
      <c r="G28" s="25">
        <v>125519</v>
      </c>
      <c r="H28" s="45">
        <v>1643</v>
      </c>
      <c r="I28" s="109">
        <v>80779</v>
      </c>
      <c r="J28" s="25">
        <v>24246</v>
      </c>
      <c r="K28" s="25">
        <v>1024</v>
      </c>
      <c r="L28" s="25">
        <v>19680</v>
      </c>
      <c r="M28" s="25">
        <v>28924</v>
      </c>
      <c r="N28" s="25">
        <v>9173</v>
      </c>
      <c r="O28" s="25">
        <v>2536</v>
      </c>
      <c r="P28" s="25">
        <v>33315</v>
      </c>
      <c r="Q28" s="25">
        <v>2500</v>
      </c>
      <c r="R28" s="25">
        <v>1135</v>
      </c>
    </row>
    <row r="29" spans="1:21" x14ac:dyDescent="0.25">
      <c r="A29" s="44">
        <v>44953</v>
      </c>
      <c r="B29" s="25">
        <v>30834</v>
      </c>
      <c r="C29" s="25">
        <v>47656</v>
      </c>
      <c r="D29" s="25">
        <v>306386</v>
      </c>
      <c r="E29" s="25">
        <v>288634</v>
      </c>
      <c r="F29" s="25">
        <v>27129</v>
      </c>
      <c r="G29" s="25">
        <v>125543</v>
      </c>
      <c r="H29" s="45">
        <v>1666</v>
      </c>
      <c r="I29" s="109">
        <v>80791</v>
      </c>
      <c r="J29" s="25">
        <v>24247</v>
      </c>
      <c r="K29" s="25">
        <v>1024</v>
      </c>
      <c r="L29" s="25">
        <v>19682</v>
      </c>
      <c r="M29" s="25">
        <v>28931</v>
      </c>
      <c r="N29" s="25">
        <v>9174</v>
      </c>
      <c r="O29" s="25">
        <v>2538</v>
      </c>
      <c r="P29" s="25">
        <v>33329</v>
      </c>
      <c r="Q29" s="25">
        <v>2504</v>
      </c>
      <c r="R29" s="25">
        <v>1139</v>
      </c>
    </row>
    <row r="30" spans="1:21" x14ac:dyDescent="0.25">
      <c r="A30" s="44">
        <v>44954</v>
      </c>
      <c r="B30" s="25">
        <v>30944</v>
      </c>
      <c r="C30" s="25">
        <v>47852</v>
      </c>
      <c r="D30" s="25">
        <v>306499</v>
      </c>
      <c r="E30" s="25">
        <v>288702</v>
      </c>
      <c r="F30" s="25">
        <v>27156</v>
      </c>
      <c r="G30" s="25">
        <v>125565</v>
      </c>
      <c r="H30" s="45">
        <v>1696</v>
      </c>
      <c r="I30" s="109">
        <v>80824</v>
      </c>
      <c r="J30" s="25">
        <v>24253</v>
      </c>
      <c r="K30" s="25">
        <v>1024</v>
      </c>
      <c r="L30" s="25">
        <v>19685</v>
      </c>
      <c r="M30" s="25">
        <v>28936</v>
      </c>
      <c r="N30" s="25">
        <v>9178</v>
      </c>
      <c r="O30" s="25">
        <v>2540</v>
      </c>
      <c r="P30" s="25">
        <v>33330</v>
      </c>
      <c r="Q30" s="25">
        <v>2505</v>
      </c>
      <c r="R30" s="25">
        <v>1143</v>
      </c>
    </row>
    <row r="31" spans="1:21" x14ac:dyDescent="0.25">
      <c r="A31" s="44">
        <v>44955</v>
      </c>
      <c r="B31" s="25">
        <v>31045</v>
      </c>
      <c r="C31" s="25">
        <v>48037</v>
      </c>
      <c r="D31" s="25">
        <v>306612</v>
      </c>
      <c r="E31" s="25">
        <v>288777</v>
      </c>
      <c r="F31" s="25">
        <v>27190</v>
      </c>
      <c r="G31" s="25">
        <v>125590</v>
      </c>
      <c r="H31" s="45">
        <v>1724</v>
      </c>
      <c r="I31" s="109">
        <v>80828</v>
      </c>
      <c r="J31" s="25">
        <v>24260</v>
      </c>
      <c r="K31" s="25">
        <v>1024</v>
      </c>
      <c r="L31" s="25">
        <v>19688</v>
      </c>
      <c r="M31" s="25">
        <v>28944</v>
      </c>
      <c r="N31" s="25">
        <v>9179</v>
      </c>
      <c r="O31" s="25">
        <v>2542</v>
      </c>
      <c r="P31" s="25">
        <v>33355</v>
      </c>
      <c r="Q31" s="25">
        <v>2512</v>
      </c>
      <c r="R31" s="25">
        <v>1146</v>
      </c>
    </row>
    <row r="32" spans="1:21" x14ac:dyDescent="0.25">
      <c r="A32" s="44">
        <v>44956</v>
      </c>
      <c r="B32" s="25">
        <v>31140</v>
      </c>
      <c r="C32" s="25">
        <v>48212</v>
      </c>
      <c r="D32" s="25">
        <v>306715</v>
      </c>
      <c r="E32" s="25">
        <v>288846</v>
      </c>
      <c r="F32" s="25">
        <v>27218</v>
      </c>
      <c r="G32" s="25">
        <v>125612</v>
      </c>
      <c r="H32" s="45">
        <v>1746</v>
      </c>
      <c r="I32" s="109">
        <v>80850</v>
      </c>
      <c r="J32" s="25">
        <v>24266</v>
      </c>
      <c r="K32" s="25">
        <v>1024</v>
      </c>
      <c r="L32" s="25">
        <v>19691</v>
      </c>
      <c r="M32" s="25">
        <v>28950</v>
      </c>
      <c r="N32" s="25">
        <v>9180</v>
      </c>
      <c r="O32" s="25">
        <v>2544</v>
      </c>
      <c r="P32" s="25">
        <v>33370</v>
      </c>
      <c r="Q32" s="25">
        <v>2516</v>
      </c>
      <c r="R32" s="25">
        <v>1150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Y32" sqref="Y32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6</v>
      </c>
      <c r="J11" s="55">
        <f t="shared" si="5"/>
        <v>1.2396694214876033E-2</v>
      </c>
      <c r="K11" s="71">
        <f>('Water Reading'!I11-'Water Reading'!I10)-('Water Reading'!P11-'Water Reading'!P10)</f>
        <v>-1</v>
      </c>
      <c r="L11" s="55">
        <f t="shared" si="6"/>
        <v>-2.0661157024793389E-3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15</v>
      </c>
      <c r="J12" s="55">
        <f t="shared" si="5"/>
        <v>3.5046728971962614E-2</v>
      </c>
      <c r="K12" s="71">
        <f>('Water Reading'!I12-'Water Reading'!I11)-('Water Reading'!P12-'Water Reading'!P11)</f>
        <v>16</v>
      </c>
      <c r="L12" s="55">
        <f t="shared" si="6"/>
        <v>3.7383177570093455E-2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349</v>
      </c>
      <c r="C27" s="53">
        <f>('Water Reading'!B27-'Water Reading'!B26)+('Water Reading'!C27-'Water Reading'!C26)</f>
        <v>339</v>
      </c>
      <c r="D27" s="54">
        <f t="shared" si="2"/>
        <v>0.97134670487106012</v>
      </c>
      <c r="E27" s="68">
        <f>'Water Reading'!H27-'Water Reading'!H26</f>
        <v>23</v>
      </c>
      <c r="F27" s="69">
        <f t="shared" si="3"/>
        <v>6.7846607669616518E-2</v>
      </c>
      <c r="G27" s="73">
        <f>('Water Reading'!D27-'Water Reading'!D26)-('Water Reading'!R27-'Water Reading'!R26)-('Water Reading'!Q27-'Water Reading'!Q26)</f>
        <v>138</v>
      </c>
      <c r="H27" s="69">
        <f t="shared" si="4"/>
        <v>0.40707964601769914</v>
      </c>
      <c r="I27" s="70">
        <f>'Water Reading'!P27-'Water Reading'!P26</f>
        <v>17</v>
      </c>
      <c r="J27" s="55">
        <f t="shared" si="5"/>
        <v>5.0147492625368731E-2</v>
      </c>
      <c r="K27" s="71">
        <f>('Water Reading'!I27-'Water Reading'!I26)-('Water Reading'!P27-'Water Reading'!P26)</f>
        <v>9</v>
      </c>
      <c r="L27" s="55">
        <f t="shared" si="6"/>
        <v>2.6548672566371681E-2</v>
      </c>
      <c r="M27" s="70">
        <f>'Water Reading'!R27-'Water Reading'!R26</f>
        <v>4</v>
      </c>
      <c r="N27" s="72">
        <f t="shared" si="7"/>
        <v>1.1799410029498525E-2</v>
      </c>
      <c r="O27" s="70">
        <f>'Water Reading'!Q27-'Water Reading'!Q26</f>
        <v>9</v>
      </c>
      <c r="P27" s="77">
        <f t="shared" si="8"/>
        <v>2.6548672566371681E-2</v>
      </c>
      <c r="Q27" s="71">
        <f>'Water Reading'!F27-'Water Reading'!F26</f>
        <v>34</v>
      </c>
      <c r="R27" s="78">
        <f t="shared" si="9"/>
        <v>0.10029498525073746</v>
      </c>
      <c r="S27" s="70">
        <f>'Water Reading'!E27-'Water Reading'!E26</f>
        <v>83</v>
      </c>
      <c r="T27" s="78">
        <f t="shared" si="10"/>
        <v>0.24483775811209441</v>
      </c>
      <c r="U27" s="70">
        <f>'Water Reading'!G27-'Water Reading'!G26</f>
        <v>26</v>
      </c>
      <c r="V27" s="78">
        <f t="shared" si="11"/>
        <v>7.6696165191740412E-2</v>
      </c>
      <c r="W27" s="71">
        <f>'Water Reading'!J27-'Water Reading'!J26</f>
        <v>6</v>
      </c>
      <c r="X27" s="78">
        <f t="shared" si="12"/>
        <v>1.7699115044247787E-2</v>
      </c>
      <c r="Y27" s="53">
        <f t="shared" si="0"/>
        <v>349</v>
      </c>
      <c r="Z27" s="54">
        <f t="shared" si="1"/>
        <v>1</v>
      </c>
    </row>
    <row r="28" spans="1:26" x14ac:dyDescent="0.25">
      <c r="A28" s="6">
        <f>'Water Reading'!A27</f>
        <v>44951</v>
      </c>
      <c r="B28" s="52">
        <f>TOTAL!I26</f>
        <v>251</v>
      </c>
      <c r="C28" s="53">
        <f>('Water Reading'!B28-'Water Reading'!B27)+('Water Reading'!C28-'Water Reading'!C27)</f>
        <v>244</v>
      </c>
      <c r="D28" s="54">
        <f t="shared" si="2"/>
        <v>0.97211155378486058</v>
      </c>
      <c r="E28" s="68">
        <f>'Water Reading'!H28-'Water Reading'!H27</f>
        <v>17</v>
      </c>
      <c r="F28" s="69">
        <f t="shared" si="3"/>
        <v>6.9672131147540978E-2</v>
      </c>
      <c r="G28" s="73">
        <f>('Water Reading'!D28-'Water Reading'!D27)-('Water Reading'!R28-'Water Reading'!R27)-('Water Reading'!Q28-'Water Reading'!Q27)</f>
        <v>84</v>
      </c>
      <c r="H28" s="69">
        <f t="shared" si="4"/>
        <v>0.34426229508196721</v>
      </c>
      <c r="I28" s="70">
        <f>'Water Reading'!P28-'Water Reading'!P27</f>
        <v>0</v>
      </c>
      <c r="J28" s="55">
        <f t="shared" si="5"/>
        <v>0</v>
      </c>
      <c r="K28" s="94">
        <f>('Water Reading'!I28-'Water Reading'!I27)-('Water Reading'!P28-'Water Reading'!P27)</f>
        <v>11</v>
      </c>
      <c r="L28" s="100">
        <f t="shared" si="6"/>
        <v>4.5081967213114756E-2</v>
      </c>
      <c r="M28" s="70">
        <f>'Water Reading'!R28-'Water Reading'!R27</f>
        <v>4</v>
      </c>
      <c r="N28" s="72">
        <f t="shared" si="7"/>
        <v>1.6393442622950821E-2</v>
      </c>
      <c r="O28" s="70">
        <f>'Water Reading'!Q28-'Water Reading'!Q27</f>
        <v>0</v>
      </c>
      <c r="P28" s="77">
        <f t="shared" si="8"/>
        <v>0</v>
      </c>
      <c r="Q28" s="94">
        <f>'Water Reading'!F28-'Water Reading'!F27</f>
        <v>31</v>
      </c>
      <c r="R28" s="78">
        <f t="shared" si="9"/>
        <v>0.12704918032786885</v>
      </c>
      <c r="S28" s="70">
        <f>'Water Reading'!E28-'Water Reading'!E27</f>
        <v>70</v>
      </c>
      <c r="T28" s="78">
        <f t="shared" si="10"/>
        <v>0.28688524590163933</v>
      </c>
      <c r="U28" s="70">
        <f>'Water Reading'!G28-'Water Reading'!G27</f>
        <v>22</v>
      </c>
      <c r="V28" s="78">
        <f t="shared" si="11"/>
        <v>9.0163934426229511E-2</v>
      </c>
      <c r="W28" s="71">
        <f>'Water Reading'!J28-'Water Reading'!J27</f>
        <v>12</v>
      </c>
      <c r="X28" s="78">
        <f t="shared" si="12"/>
        <v>4.9180327868852458E-2</v>
      </c>
      <c r="Y28" s="53">
        <f t="shared" si="0"/>
        <v>251</v>
      </c>
      <c r="Z28" s="54">
        <f t="shared" si="1"/>
        <v>1</v>
      </c>
    </row>
    <row r="29" spans="1:26" x14ac:dyDescent="0.25">
      <c r="A29" s="6">
        <f>'Water Reading'!A28</f>
        <v>44952</v>
      </c>
      <c r="B29" s="52">
        <f>TOTAL!I27</f>
        <v>298</v>
      </c>
      <c r="C29" s="53">
        <f>('Water Reading'!B29-'Water Reading'!B28)+('Water Reading'!C29-'Water Reading'!C28)</f>
        <v>313</v>
      </c>
      <c r="D29" s="54">
        <f t="shared" si="2"/>
        <v>1.0503355704697988</v>
      </c>
      <c r="E29" s="68">
        <f>'Water Reading'!H29-'Water Reading'!H28</f>
        <v>23</v>
      </c>
      <c r="F29" s="69">
        <f t="shared" si="3"/>
        <v>7.3482428115015971E-2</v>
      </c>
      <c r="G29" s="73">
        <f>('Water Reading'!D29-'Water Reading'!D28)-('Water Reading'!R29-'Water Reading'!R28)-('Water Reading'!Q29-'Water Reading'!Q28)</f>
        <v>122</v>
      </c>
      <c r="H29" s="69">
        <f t="shared" si="4"/>
        <v>0.38977635782747605</v>
      </c>
      <c r="I29" s="70">
        <f>'Water Reading'!P29-'Water Reading'!P28</f>
        <v>14</v>
      </c>
      <c r="J29" s="55">
        <f t="shared" si="5"/>
        <v>4.472843450479233E-2</v>
      </c>
      <c r="K29" s="71">
        <f>('Water Reading'!I29-'Water Reading'!I28)-('Water Reading'!P29-'Water Reading'!P28)</f>
        <v>-2</v>
      </c>
      <c r="L29" s="55">
        <f t="shared" si="6"/>
        <v>-6.3897763578274758E-3</v>
      </c>
      <c r="M29" s="70">
        <f>'Water Reading'!R29-'Water Reading'!R28</f>
        <v>4</v>
      </c>
      <c r="N29" s="72">
        <f t="shared" si="7"/>
        <v>1.2779552715654952E-2</v>
      </c>
      <c r="O29" s="70">
        <f>'Water Reading'!Q29-'Water Reading'!Q28</f>
        <v>4</v>
      </c>
      <c r="P29" s="77">
        <f t="shared" si="8"/>
        <v>1.2779552715654952E-2</v>
      </c>
      <c r="Q29" s="71">
        <f>'Water Reading'!F29-'Water Reading'!F28</f>
        <v>31</v>
      </c>
      <c r="R29" s="78">
        <f t="shared" si="9"/>
        <v>9.9041533546325874E-2</v>
      </c>
      <c r="S29" s="70">
        <f>'Water Reading'!E29-'Water Reading'!E28</f>
        <v>77</v>
      </c>
      <c r="T29" s="78">
        <f t="shared" si="10"/>
        <v>0.24600638977635783</v>
      </c>
      <c r="U29" s="70">
        <f>'Water Reading'!G29-'Water Reading'!G28</f>
        <v>24</v>
      </c>
      <c r="V29" s="78">
        <f t="shared" si="11"/>
        <v>7.6677316293929709E-2</v>
      </c>
      <c r="W29" s="71">
        <f>'Water Reading'!J29-'Water Reading'!J28</f>
        <v>1</v>
      </c>
      <c r="X29" s="78">
        <f t="shared" si="12"/>
        <v>3.1948881789137379E-3</v>
      </c>
      <c r="Y29" s="53">
        <f t="shared" si="0"/>
        <v>298</v>
      </c>
      <c r="Z29" s="54">
        <f t="shared" si="1"/>
        <v>1</v>
      </c>
    </row>
    <row r="30" spans="1:26" x14ac:dyDescent="0.25">
      <c r="A30" s="6">
        <f>'Water Reading'!A29</f>
        <v>44953</v>
      </c>
      <c r="B30" s="52">
        <f>TOTAL!I28</f>
        <v>299</v>
      </c>
      <c r="C30" s="53">
        <f>('Water Reading'!B30-'Water Reading'!B29)+('Water Reading'!C30-'Water Reading'!C29)</f>
        <v>306</v>
      </c>
      <c r="D30" s="54">
        <f t="shared" si="2"/>
        <v>1.0234113712374582</v>
      </c>
      <c r="E30" s="68">
        <f>'Water Reading'!H30-'Water Reading'!H29</f>
        <v>30</v>
      </c>
      <c r="F30" s="69">
        <f t="shared" si="3"/>
        <v>9.8039215686274508E-2</v>
      </c>
      <c r="G30" s="73">
        <f>('Water Reading'!D30-'Water Reading'!D29)-('Water Reading'!R30-'Water Reading'!R29)-('Water Reading'!Q30-'Water Reading'!Q29)</f>
        <v>108</v>
      </c>
      <c r="H30" s="69">
        <f t="shared" si="4"/>
        <v>0.35294117647058826</v>
      </c>
      <c r="I30" s="70">
        <f>'Water Reading'!P30-'Water Reading'!P29</f>
        <v>1</v>
      </c>
      <c r="J30" s="55">
        <f t="shared" si="5"/>
        <v>3.2679738562091504E-3</v>
      </c>
      <c r="K30" s="71">
        <f>('Water Reading'!I30-'Water Reading'!I29)-('Water Reading'!P30-'Water Reading'!P29)</f>
        <v>32</v>
      </c>
      <c r="L30" s="55">
        <f t="shared" si="6"/>
        <v>0.10457516339869281</v>
      </c>
      <c r="M30" s="70">
        <f>'Water Reading'!R30-'Water Reading'!R29</f>
        <v>4</v>
      </c>
      <c r="N30" s="72">
        <f t="shared" si="7"/>
        <v>1.3071895424836602E-2</v>
      </c>
      <c r="O30" s="70">
        <f>'Water Reading'!Q30-'Water Reading'!Q29</f>
        <v>1</v>
      </c>
      <c r="P30" s="77">
        <f t="shared" si="8"/>
        <v>3.2679738562091504E-3</v>
      </c>
      <c r="Q30" s="71">
        <f>'Water Reading'!F30-'Water Reading'!F29</f>
        <v>27</v>
      </c>
      <c r="R30" s="78">
        <f t="shared" si="9"/>
        <v>8.8235294117647065E-2</v>
      </c>
      <c r="S30" s="70">
        <f>'Water Reading'!E30-'Water Reading'!E29</f>
        <v>68</v>
      </c>
      <c r="T30" s="78">
        <f t="shared" si="10"/>
        <v>0.22222222222222221</v>
      </c>
      <c r="U30" s="70">
        <f>'Water Reading'!G30-'Water Reading'!G29</f>
        <v>22</v>
      </c>
      <c r="V30" s="78">
        <f t="shared" si="11"/>
        <v>7.1895424836601302E-2</v>
      </c>
      <c r="W30" s="71">
        <f>'Water Reading'!J30-'Water Reading'!J29</f>
        <v>6</v>
      </c>
      <c r="X30" s="78">
        <f t="shared" si="12"/>
        <v>1.9607843137254902E-2</v>
      </c>
      <c r="Y30" s="53">
        <f t="shared" si="0"/>
        <v>299</v>
      </c>
      <c r="Z30" s="54">
        <f t="shared" si="1"/>
        <v>1</v>
      </c>
    </row>
    <row r="31" spans="1:26" x14ac:dyDescent="0.25">
      <c r="A31" s="6">
        <f>'Water Reading'!A30</f>
        <v>44954</v>
      </c>
      <c r="B31" s="52">
        <f>TOTAL!I29</f>
        <v>286</v>
      </c>
      <c r="C31" s="53">
        <f>('Water Reading'!B31-'Water Reading'!B30)+('Water Reading'!C31-'Water Reading'!C30)</f>
        <v>286</v>
      </c>
      <c r="D31" s="54">
        <f t="shared" si="2"/>
        <v>1</v>
      </c>
      <c r="E31" s="68">
        <f>'Water Reading'!H31-'Water Reading'!H30</f>
        <v>28</v>
      </c>
      <c r="F31" s="69">
        <f t="shared" si="3"/>
        <v>9.7902097902097904E-2</v>
      </c>
      <c r="G31" s="73">
        <f>('Water Reading'!D31-'Water Reading'!D30)-('Water Reading'!R31-'Water Reading'!R30)-('Water Reading'!Q31-'Water Reading'!Q30)</f>
        <v>103</v>
      </c>
      <c r="H31" s="69">
        <f t="shared" si="4"/>
        <v>0.36013986013986016</v>
      </c>
      <c r="I31" s="70">
        <f>'Water Reading'!P31-'Water Reading'!P30</f>
        <v>25</v>
      </c>
      <c r="J31" s="55">
        <f t="shared" si="5"/>
        <v>8.7412587412587409E-2</v>
      </c>
      <c r="K31" s="71">
        <f>('Water Reading'!I31-'Water Reading'!I30)-('Water Reading'!P31-'Water Reading'!P30)</f>
        <v>-21</v>
      </c>
      <c r="L31" s="55">
        <f t="shared" si="6"/>
        <v>-7.3426573426573424E-2</v>
      </c>
      <c r="M31" s="70">
        <f>'Water Reading'!R31-'Water Reading'!R30</f>
        <v>3</v>
      </c>
      <c r="N31" s="72">
        <f t="shared" si="7"/>
        <v>1.048951048951049E-2</v>
      </c>
      <c r="O31" s="70">
        <f>'Water Reading'!Q31-'Water Reading'!Q30</f>
        <v>7</v>
      </c>
      <c r="P31" s="77">
        <f t="shared" si="8"/>
        <v>2.4475524475524476E-2</v>
      </c>
      <c r="Q31" s="71">
        <f>'Water Reading'!F31-'Water Reading'!F30</f>
        <v>34</v>
      </c>
      <c r="R31" s="78">
        <f t="shared" si="9"/>
        <v>0.11888111888111888</v>
      </c>
      <c r="S31" s="70">
        <f>'Water Reading'!E31-'Water Reading'!E30</f>
        <v>75</v>
      </c>
      <c r="T31" s="78">
        <f t="shared" si="10"/>
        <v>0.26223776223776224</v>
      </c>
      <c r="U31" s="70">
        <f>'Water Reading'!G31-'Water Reading'!G30</f>
        <v>25</v>
      </c>
      <c r="V31" s="78">
        <f t="shared" si="11"/>
        <v>8.7412587412587409E-2</v>
      </c>
      <c r="W31" s="71">
        <f>'Water Reading'!J31-'Water Reading'!J30</f>
        <v>7</v>
      </c>
      <c r="X31" s="78">
        <f t="shared" si="12"/>
        <v>2.4475524475524476E-2</v>
      </c>
      <c r="Y31" s="53">
        <f t="shared" si="0"/>
        <v>286</v>
      </c>
      <c r="Z31" s="54">
        <f t="shared" si="1"/>
        <v>1</v>
      </c>
    </row>
    <row r="32" spans="1:26" x14ac:dyDescent="0.25">
      <c r="A32" s="6">
        <f>'Water Reading'!A31</f>
        <v>44955</v>
      </c>
      <c r="B32" s="52">
        <f>TOTAL!I30</f>
        <v>272</v>
      </c>
      <c r="C32" s="53">
        <f>('Water Reading'!B32-'Water Reading'!B31)+('Water Reading'!C32-'Water Reading'!C31)</f>
        <v>270</v>
      </c>
      <c r="D32" s="54">
        <f t="shared" si="2"/>
        <v>0.99264705882352944</v>
      </c>
      <c r="E32" s="68">
        <f>'Water Reading'!H32-'Water Reading'!H31</f>
        <v>22</v>
      </c>
      <c r="F32" s="69">
        <f t="shared" si="3"/>
        <v>8.1481481481481488E-2</v>
      </c>
      <c r="G32" s="73">
        <f>('Water Reading'!D32-'Water Reading'!D31)-('Water Reading'!R32-'Water Reading'!R31)-('Water Reading'!Q32-'Water Reading'!Q31)</f>
        <v>95</v>
      </c>
      <c r="H32" s="69">
        <f t="shared" si="4"/>
        <v>0.35185185185185186</v>
      </c>
      <c r="I32" s="70">
        <f>'Water Reading'!P32-'Water Reading'!P31</f>
        <v>15</v>
      </c>
      <c r="J32" s="55">
        <f t="shared" si="5"/>
        <v>5.5555555555555552E-2</v>
      </c>
      <c r="K32" s="71">
        <f>('Water Reading'!I32-'Water Reading'!I31)-('Water Reading'!P32-'Water Reading'!P31)</f>
        <v>7</v>
      </c>
      <c r="L32" s="55">
        <f t="shared" si="6"/>
        <v>2.5925925925925925E-2</v>
      </c>
      <c r="M32" s="70">
        <f>'Water Reading'!R32-'Water Reading'!R31</f>
        <v>4</v>
      </c>
      <c r="N32" s="72">
        <f t="shared" si="7"/>
        <v>1.4814814814814815E-2</v>
      </c>
      <c r="O32" s="70">
        <f>'Water Reading'!Q32-'Water Reading'!Q31</f>
        <v>4</v>
      </c>
      <c r="P32" s="77">
        <f t="shared" si="8"/>
        <v>1.4814814814814815E-2</v>
      </c>
      <c r="Q32" s="71">
        <f>'Water Reading'!F32-'Water Reading'!F31</f>
        <v>28</v>
      </c>
      <c r="R32" s="78">
        <f t="shared" si="9"/>
        <v>0.1037037037037037</v>
      </c>
      <c r="S32" s="70">
        <f>'Water Reading'!E32-'Water Reading'!E31</f>
        <v>69</v>
      </c>
      <c r="T32" s="78">
        <f t="shared" si="10"/>
        <v>0.25555555555555554</v>
      </c>
      <c r="U32" s="70">
        <f>'Water Reading'!G32-'Water Reading'!G31</f>
        <v>22</v>
      </c>
      <c r="V32" s="78">
        <f t="shared" si="11"/>
        <v>8.1481481481481488E-2</v>
      </c>
      <c r="W32" s="71">
        <f>'Water Reading'!J32-'Water Reading'!J31</f>
        <v>6</v>
      </c>
      <c r="X32" s="78">
        <f t="shared" si="12"/>
        <v>2.2222222222222223E-2</v>
      </c>
      <c r="Y32" s="53">
        <f t="shared" si="0"/>
        <v>272</v>
      </c>
      <c r="Z32" s="54">
        <f t="shared" si="1"/>
        <v>1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-79352</v>
      </c>
      <c r="D33" s="54" t="e">
        <f t="shared" si="2"/>
        <v>#DIV/0!</v>
      </c>
      <c r="E33" s="68">
        <f>'Water Reading'!H33-'Water Reading'!H32</f>
        <v>-1746</v>
      </c>
      <c r="F33" s="69">
        <f t="shared" si="3"/>
        <v>2.2003226131666498E-2</v>
      </c>
      <c r="G33" s="73">
        <f>('Water Reading'!D33-'Water Reading'!D32)-('Water Reading'!R33-'Water Reading'!R32)-('Water Reading'!Q33-'Water Reading'!Q32)</f>
        <v>-303049</v>
      </c>
      <c r="H33" s="69">
        <f t="shared" si="4"/>
        <v>3.8190467789091644</v>
      </c>
      <c r="I33" s="70">
        <f>'Water Reading'!P33-'Water Reading'!P32</f>
        <v>-33370</v>
      </c>
      <c r="J33" s="55">
        <f t="shared" si="5"/>
        <v>0.42053130355882651</v>
      </c>
      <c r="K33" s="71">
        <f>('Water Reading'!I33-'Water Reading'!I32)-('Water Reading'!P33-'Water Reading'!P32)</f>
        <v>-47480</v>
      </c>
      <c r="L33" s="55">
        <f t="shared" si="6"/>
        <v>0.59834660752091939</v>
      </c>
      <c r="M33" s="70">
        <f>'Water Reading'!R33-'Water Reading'!R32</f>
        <v>-1150</v>
      </c>
      <c r="N33" s="72">
        <f t="shared" si="7"/>
        <v>1.4492388345599355E-2</v>
      </c>
      <c r="O33" s="70">
        <f>'Water Reading'!Q33-'Water Reading'!Q32</f>
        <v>-2516</v>
      </c>
      <c r="P33" s="77">
        <f t="shared" si="8"/>
        <v>3.1706825284806936E-2</v>
      </c>
      <c r="Q33" s="71">
        <f>'Water Reading'!F33-'Water Reading'!F32</f>
        <v>-27218</v>
      </c>
      <c r="R33" s="78">
        <f t="shared" si="9"/>
        <v>0.34300332694828106</v>
      </c>
      <c r="S33" s="70">
        <f>'Water Reading'!E33-'Water Reading'!E32</f>
        <v>-288846</v>
      </c>
      <c r="T33" s="78">
        <f t="shared" si="10"/>
        <v>3.6400594818026009</v>
      </c>
      <c r="U33" s="70">
        <f>'Water Reading'!G33-'Water Reading'!G32</f>
        <v>-125612</v>
      </c>
      <c r="V33" s="78">
        <f t="shared" si="11"/>
        <v>1.5829720737977619</v>
      </c>
      <c r="W33" s="71">
        <f>'Water Reading'!J33-'Water Reading'!J32</f>
        <v>-24266</v>
      </c>
      <c r="X33" s="78">
        <f t="shared" si="12"/>
        <v>0.30580199616896864</v>
      </c>
      <c r="Y33" s="53">
        <f t="shared" si="0"/>
        <v>-855253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si="1"/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2023-01-30T08:19:23Z</dcterms:modified>
  <cp:category/>
  <cp:contentStatus/>
</cp:coreProperties>
</file>