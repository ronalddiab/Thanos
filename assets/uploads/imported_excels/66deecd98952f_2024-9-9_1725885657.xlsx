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23" documentId="8_{94E09A37-EE3F-4C9E-A72D-0ED23F721CEB}" xr6:coauthVersionLast="47" xr6:coauthVersionMax="47" xr10:uidLastSave="{774881A7-2BB7-45C9-96E4-C5DA05ED84BE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7" i="1" l="1"/>
  <c r="AF28" i="1"/>
  <c r="AF29" i="1"/>
  <c r="AF30" i="1"/>
  <c r="AF31" i="1"/>
  <c r="AF32" i="1"/>
  <c r="AD27" i="1"/>
  <c r="AD28" i="1"/>
  <c r="AD29" i="1"/>
  <c r="AD30" i="1"/>
  <c r="AD31" i="1"/>
  <c r="AD32" i="1"/>
  <c r="AB27" i="1"/>
  <c r="AB28" i="1"/>
  <c r="AB29" i="1"/>
  <c r="AB30" i="1"/>
  <c r="AB31" i="1"/>
  <c r="AB32" i="1"/>
  <c r="U27" i="1"/>
  <c r="U28" i="1"/>
  <c r="K28" i="2" s="1"/>
  <c r="U29" i="1"/>
  <c r="K29" i="2" s="1"/>
  <c r="U30" i="1"/>
  <c r="K30" i="2" s="1"/>
  <c r="U31" i="1"/>
  <c r="K31" i="2" s="1"/>
  <c r="U32" i="1"/>
  <c r="K32" i="2" s="1"/>
  <c r="Q27" i="1"/>
  <c r="Q28" i="1"/>
  <c r="Q29" i="1"/>
  <c r="Q30" i="1"/>
  <c r="Q31" i="1"/>
  <c r="Q32" i="1"/>
  <c r="O27" i="1"/>
  <c r="O28" i="1"/>
  <c r="O29" i="1"/>
  <c r="O30" i="1"/>
  <c r="O31" i="1"/>
  <c r="O32" i="1"/>
  <c r="M27" i="1"/>
  <c r="M28" i="1"/>
  <c r="M29" i="1"/>
  <c r="M30" i="1"/>
  <c r="M31" i="1"/>
  <c r="M32" i="1"/>
  <c r="K27" i="1"/>
  <c r="K28" i="1"/>
  <c r="K29" i="1"/>
  <c r="K30" i="1"/>
  <c r="K31" i="1"/>
  <c r="K32" i="1"/>
  <c r="G27" i="1"/>
  <c r="G28" i="1"/>
  <c r="G29" i="1"/>
  <c r="G30" i="1"/>
  <c r="G31" i="1"/>
  <c r="G32" i="1"/>
  <c r="E27" i="1"/>
  <c r="E28" i="1"/>
  <c r="E29" i="1"/>
  <c r="E30" i="1"/>
  <c r="E31" i="1"/>
  <c r="E32" i="1"/>
  <c r="C27" i="1"/>
  <c r="C28" i="1"/>
  <c r="C29" i="1"/>
  <c r="C30" i="1"/>
  <c r="C31" i="1"/>
  <c r="C32" i="1"/>
  <c r="AF20" i="1"/>
  <c r="AF21" i="1"/>
  <c r="AF22" i="1"/>
  <c r="AF23" i="1"/>
  <c r="AF24" i="1"/>
  <c r="AF25" i="1"/>
  <c r="AF26" i="1"/>
  <c r="AD20" i="1"/>
  <c r="AD21" i="1"/>
  <c r="AD22" i="1"/>
  <c r="AD23" i="1"/>
  <c r="AD24" i="1"/>
  <c r="AD25" i="1"/>
  <c r="AD26" i="1"/>
  <c r="AB20" i="1"/>
  <c r="AB21" i="1"/>
  <c r="AB22" i="1"/>
  <c r="AB23" i="1"/>
  <c r="AB24" i="1"/>
  <c r="AB25" i="1"/>
  <c r="AB26" i="1"/>
  <c r="U20" i="1"/>
  <c r="U21" i="1"/>
  <c r="U22" i="1"/>
  <c r="K22" i="2" s="1"/>
  <c r="U23" i="1"/>
  <c r="K23" i="2" s="1"/>
  <c r="U24" i="1"/>
  <c r="K24" i="2" s="1"/>
  <c r="U25" i="1"/>
  <c r="U26" i="1"/>
  <c r="K26" i="2" s="1"/>
  <c r="Q20" i="1"/>
  <c r="Q21" i="1"/>
  <c r="Q22" i="1"/>
  <c r="Q23" i="1"/>
  <c r="Q24" i="1"/>
  <c r="Q25" i="1"/>
  <c r="Q26" i="1"/>
  <c r="O20" i="1"/>
  <c r="O21" i="1"/>
  <c r="O22" i="1"/>
  <c r="O23" i="1"/>
  <c r="O24" i="1"/>
  <c r="O25" i="1"/>
  <c r="O26" i="1"/>
  <c r="M20" i="1"/>
  <c r="M21" i="1"/>
  <c r="M22" i="1"/>
  <c r="M23" i="1"/>
  <c r="M24" i="1"/>
  <c r="M25" i="1"/>
  <c r="M26" i="1"/>
  <c r="K20" i="1"/>
  <c r="K21" i="1"/>
  <c r="K22" i="1"/>
  <c r="K23" i="1"/>
  <c r="K24" i="1"/>
  <c r="K25" i="1"/>
  <c r="K26" i="1"/>
  <c r="G20" i="1"/>
  <c r="G21" i="1"/>
  <c r="G22" i="1"/>
  <c r="G23" i="1"/>
  <c r="G24" i="1"/>
  <c r="G25" i="1"/>
  <c r="G26" i="1"/>
  <c r="E20" i="1"/>
  <c r="E21" i="1"/>
  <c r="E22" i="1"/>
  <c r="E23" i="1"/>
  <c r="E24" i="1"/>
  <c r="E25" i="1"/>
  <c r="E26" i="1"/>
  <c r="C20" i="1"/>
  <c r="C21" i="1"/>
  <c r="C22" i="1"/>
  <c r="C23" i="1"/>
  <c r="C24" i="1"/>
  <c r="C25" i="1"/>
  <c r="C26" i="1"/>
  <c r="AF13" i="1"/>
  <c r="AF14" i="1"/>
  <c r="AF15" i="1"/>
  <c r="AF16" i="1"/>
  <c r="AF17" i="1"/>
  <c r="AF18" i="1"/>
  <c r="AF19" i="1"/>
  <c r="AD13" i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4" i="1"/>
  <c r="K14" i="2" s="1"/>
  <c r="U15" i="1"/>
  <c r="K15" i="2" s="1"/>
  <c r="U16" i="1"/>
  <c r="K16" i="2" s="1"/>
  <c r="U17" i="1"/>
  <c r="K17" i="2" s="1"/>
  <c r="U18" i="1"/>
  <c r="K18" i="2" s="1"/>
  <c r="U19" i="1"/>
  <c r="Q14" i="1"/>
  <c r="Q15" i="1"/>
  <c r="Q16" i="1"/>
  <c r="Q17" i="1"/>
  <c r="Q18" i="1"/>
  <c r="Q19" i="1"/>
  <c r="O14" i="1"/>
  <c r="O15" i="1"/>
  <c r="O16" i="1"/>
  <c r="O17" i="1"/>
  <c r="O18" i="1"/>
  <c r="O19" i="1"/>
  <c r="M14" i="1"/>
  <c r="M15" i="1"/>
  <c r="M16" i="1"/>
  <c r="M17" i="1"/>
  <c r="M18" i="1"/>
  <c r="M19" i="1"/>
  <c r="K14" i="1"/>
  <c r="K15" i="1"/>
  <c r="K16" i="1"/>
  <c r="K17" i="1"/>
  <c r="K18" i="1"/>
  <c r="K19" i="1"/>
  <c r="G14" i="1"/>
  <c r="G15" i="1"/>
  <c r="G16" i="1"/>
  <c r="G17" i="1"/>
  <c r="G18" i="1"/>
  <c r="G19" i="1"/>
  <c r="E14" i="1"/>
  <c r="E15" i="1"/>
  <c r="E16" i="1"/>
  <c r="E17" i="1"/>
  <c r="E18" i="1"/>
  <c r="E19" i="1"/>
  <c r="C14" i="1"/>
  <c r="C15" i="1"/>
  <c r="C16" i="1"/>
  <c r="C17" i="1"/>
  <c r="C18" i="1"/>
  <c r="C19" i="1"/>
  <c r="U13" i="1"/>
  <c r="K13" i="2" s="1"/>
  <c r="Q13" i="1"/>
  <c r="O13" i="1"/>
  <c r="M13" i="1"/>
  <c r="K13" i="1"/>
  <c r="G13" i="1"/>
  <c r="E13" i="1"/>
  <c r="C13" i="1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N2" i="2"/>
  <c r="M2" i="2"/>
  <c r="K3" i="2"/>
  <c r="K4" i="2"/>
  <c r="K5" i="2"/>
  <c r="K6" i="2"/>
  <c r="K7" i="2"/>
  <c r="K8" i="2"/>
  <c r="K9" i="2"/>
  <c r="K10" i="2"/>
  <c r="K11" i="2"/>
  <c r="K12" i="2"/>
  <c r="K19" i="2"/>
  <c r="K20" i="2"/>
  <c r="K21" i="2"/>
  <c r="K25" i="2"/>
  <c r="K27" i="2"/>
  <c r="K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2" i="2"/>
  <c r="F4" i="2"/>
  <c r="F5" i="2"/>
  <c r="F6" i="2"/>
  <c r="F7" i="2"/>
  <c r="F8" i="2"/>
  <c r="F9" i="2"/>
  <c r="F10" i="2"/>
  <c r="F2" i="2"/>
  <c r="E3" i="2"/>
  <c r="F3" i="2" s="1"/>
  <c r="E4" i="2"/>
  <c r="E5" i="2"/>
  <c r="E6" i="2"/>
  <c r="E7" i="2"/>
  <c r="E8" i="2"/>
  <c r="E9" i="2"/>
  <c r="E10" i="2"/>
  <c r="E11" i="2"/>
  <c r="F11" i="2" s="1"/>
  <c r="E12" i="2"/>
  <c r="F12" i="2" s="1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AH34" i="1" l="1"/>
  <c r="Y34" i="1"/>
  <c r="AK34" i="1"/>
  <c r="AJ34" i="1"/>
  <c r="AI34" i="1"/>
  <c r="K2" i="1"/>
  <c r="M2" i="1"/>
  <c r="O2" i="1"/>
  <c r="Q2" i="1"/>
  <c r="R2" i="1"/>
  <c r="U2" i="1"/>
  <c r="X2" i="1"/>
  <c r="AB2" i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U4" i="1"/>
  <c r="U5" i="1"/>
  <c r="U6" i="1"/>
  <c r="U7" i="1"/>
  <c r="U8" i="1"/>
  <c r="U9" i="1"/>
  <c r="U10" i="1"/>
  <c r="U11" i="1"/>
  <c r="U12" i="1"/>
  <c r="U3" i="1"/>
  <c r="Z32" i="1" l="1"/>
  <c r="G32" i="2" s="1"/>
  <c r="Z31" i="1"/>
  <c r="G31" i="2" s="1"/>
  <c r="Z30" i="1"/>
  <c r="G30" i="2" s="1"/>
  <c r="Z29" i="1"/>
  <c r="G29" i="2" s="1"/>
  <c r="Z28" i="1"/>
  <c r="G28" i="2" s="1"/>
  <c r="Z27" i="1"/>
  <c r="G27" i="2" s="1"/>
  <c r="Z26" i="1"/>
  <c r="G26" i="2" s="1"/>
  <c r="Z25" i="1"/>
  <c r="G25" i="2" s="1"/>
  <c r="Z24" i="1"/>
  <c r="G24" i="2" s="1"/>
  <c r="Z23" i="1"/>
  <c r="G23" i="2" s="1"/>
  <c r="Z22" i="1"/>
  <c r="G22" i="2" s="1"/>
  <c r="Z20" i="1"/>
  <c r="G20" i="2" s="1"/>
  <c r="Z21" i="1"/>
  <c r="G21" i="2" s="1"/>
  <c r="Z19" i="1"/>
  <c r="G19" i="2" s="1"/>
  <c r="Z18" i="1"/>
  <c r="G18" i="2" s="1"/>
  <c r="Z17" i="1"/>
  <c r="G17" i="2" s="1"/>
  <c r="Z16" i="1"/>
  <c r="G16" i="2" s="1"/>
  <c r="Z15" i="1"/>
  <c r="G15" i="2" s="1"/>
  <c r="Z13" i="1"/>
  <c r="G13" i="2" s="1"/>
  <c r="Z14" i="1"/>
  <c r="G14" i="2" s="1"/>
  <c r="U34" i="1"/>
  <c r="Z3" i="1"/>
  <c r="Z2" i="1"/>
  <c r="Z10" i="1"/>
  <c r="Z6" i="1"/>
  <c r="Z9" i="1"/>
  <c r="Z5" i="1"/>
  <c r="Z12" i="1"/>
  <c r="Z8" i="1"/>
  <c r="Z4" i="1"/>
  <c r="Z11" i="1"/>
  <c r="Z7" i="1"/>
  <c r="AF12" i="1"/>
  <c r="AF11" i="1"/>
  <c r="AF10" i="1"/>
  <c r="AF9" i="1"/>
  <c r="AF8" i="1"/>
  <c r="AF7" i="1"/>
  <c r="AF6" i="1"/>
  <c r="AF5" i="1"/>
  <c r="AF4" i="1"/>
  <c r="AF3" i="1"/>
  <c r="AD12" i="1"/>
  <c r="AD11" i="1"/>
  <c r="AD10" i="1"/>
  <c r="AD9" i="1"/>
  <c r="AD8" i="1"/>
  <c r="AD7" i="1"/>
  <c r="AD6" i="1"/>
  <c r="AD5" i="1"/>
  <c r="AD4" i="1"/>
  <c r="AD3" i="1"/>
  <c r="AB12" i="1"/>
  <c r="AB11" i="1"/>
  <c r="AB10" i="1"/>
  <c r="AB9" i="1"/>
  <c r="AB8" i="1"/>
  <c r="AB7" i="1"/>
  <c r="AB6" i="1"/>
  <c r="AB5" i="1"/>
  <c r="AB4" i="1"/>
  <c r="AB3" i="1"/>
  <c r="Q12" i="1"/>
  <c r="Q11" i="1"/>
  <c r="Q10" i="1"/>
  <c r="Q9" i="1"/>
  <c r="Q8" i="1"/>
  <c r="Q7" i="1"/>
  <c r="Q6" i="1"/>
  <c r="Q5" i="1"/>
  <c r="Q4" i="1"/>
  <c r="Q3" i="1"/>
  <c r="O12" i="1"/>
  <c r="O11" i="1"/>
  <c r="O10" i="1"/>
  <c r="O9" i="1"/>
  <c r="O8" i="1"/>
  <c r="O7" i="1"/>
  <c r="O6" i="1"/>
  <c r="O5" i="1"/>
  <c r="O4" i="1"/>
  <c r="O3" i="1"/>
  <c r="M12" i="1"/>
  <c r="M11" i="1"/>
  <c r="M10" i="1"/>
  <c r="M9" i="1"/>
  <c r="M8" i="1"/>
  <c r="M7" i="1"/>
  <c r="M6" i="1"/>
  <c r="M5" i="1"/>
  <c r="M4" i="1"/>
  <c r="M3" i="1"/>
  <c r="K12" i="1"/>
  <c r="K11" i="1"/>
  <c r="K10" i="1"/>
  <c r="K9" i="1"/>
  <c r="K8" i="1"/>
  <c r="K7" i="1"/>
  <c r="K6" i="1"/>
  <c r="K5" i="1"/>
  <c r="K4" i="1"/>
  <c r="K3" i="1"/>
  <c r="G12" i="1"/>
  <c r="G11" i="1"/>
  <c r="G10" i="1"/>
  <c r="G9" i="1"/>
  <c r="G8" i="1"/>
  <c r="G7" i="1"/>
  <c r="G6" i="1"/>
  <c r="G5" i="1"/>
  <c r="G4" i="1"/>
  <c r="G3" i="1"/>
  <c r="G2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s="1"/>
  <c r="C2" i="1"/>
  <c r="I31" i="1" l="1"/>
  <c r="E31" i="2"/>
  <c r="F31" i="2" s="1"/>
  <c r="Q34" i="1"/>
  <c r="I3" i="1"/>
  <c r="H13" i="1"/>
  <c r="E13" i="2" s="1"/>
  <c r="F13" i="2" s="1"/>
  <c r="H11" i="1"/>
  <c r="I11" i="1" s="1"/>
  <c r="H9" i="1"/>
  <c r="H7" i="1"/>
  <c r="H5" i="1"/>
  <c r="I5" i="1" s="1"/>
  <c r="AF34" i="1"/>
  <c r="AD34" i="1"/>
  <c r="AB34" i="1"/>
  <c r="Z34" i="1"/>
  <c r="I27" i="1"/>
  <c r="I19" i="1"/>
  <c r="I7" i="1"/>
  <c r="I23" i="1"/>
  <c r="I15" i="1"/>
  <c r="O34" i="1"/>
  <c r="M34" i="1"/>
  <c r="I29" i="1"/>
  <c r="I25" i="1"/>
  <c r="I21" i="1"/>
  <c r="I17" i="1"/>
  <c r="I13" i="1"/>
  <c r="I9" i="1"/>
  <c r="K34" i="1"/>
  <c r="G34" i="1"/>
  <c r="H30" i="1"/>
  <c r="H26" i="1"/>
  <c r="H22" i="1"/>
  <c r="H18" i="1"/>
  <c r="H14" i="1"/>
  <c r="H10" i="1"/>
  <c r="I10" i="1" s="1"/>
  <c r="H6" i="1"/>
  <c r="I6" i="1" s="1"/>
  <c r="H28" i="1"/>
  <c r="H24" i="1"/>
  <c r="H16" i="1"/>
  <c r="H12" i="1"/>
  <c r="I12" i="1" s="1"/>
  <c r="H4" i="1"/>
  <c r="I4" i="1" s="1"/>
  <c r="E34" i="1"/>
  <c r="H32" i="1"/>
  <c r="H20" i="1"/>
  <c r="H8" i="1"/>
  <c r="I8" i="1" s="1"/>
  <c r="H2" i="1"/>
  <c r="C34" i="1"/>
  <c r="I24" i="1" l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E32" i="2"/>
  <c r="F32" i="2" s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<sst xmlns="http://schemas.openxmlformats.org/spreadsheetml/2006/main" count="82" uniqueCount="41">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</sst>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36" sqref="C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7</v>
      </c>
      <c r="I1" s="134" t="s">
        <v>8</v>
      </c>
      <c r="J1" s="134" t="s">
        <v>9</v>
      </c>
      <c r="K1" s="138" t="s">
        <v>10</v>
      </c>
      <c r="L1" s="138" t="s">
        <v>11</v>
      </c>
      <c r="M1" s="142" t="s">
        <v>12</v>
      </c>
      <c r="N1" s="142" t="s">
        <v>13</v>
      </c>
    </row>
    <row r="2" spans="1:14" ht="15.75" thickTop="1" x14ac:dyDescent="0.25">
      <c r="A2" s="122" t="s">
        <v>14</v>
      </c>
      <c r="B2" s="5">
        <v>1</v>
      </c>
      <c r="C2" s="146">
        <v>8</v>
      </c>
      <c r="D2" s="147">
        <v>2024</v>
      </c>
      <c r="E2" s="126">
        <f>IF(ALMYRA!H2&lt;0,"0",ALMYRA!H2)</f>
        <v>9571</v>
      </c>
      <c r="F2" s="127">
        <f>(ALMYRA!C2*0.24)/E2</f>
        <v>0.17680911085570997</v>
      </c>
      <c r="G2" s="131">
        <f>ALMYRA!Z2</f>
        <v>175</v>
      </c>
      <c r="H2" s="132">
        <v>0.65800000000000003</v>
      </c>
      <c r="I2" s="135">
        <f>IF(ALMYRA!AB2&lt;0,"0",ALMYRA!AB2)</f>
        <v>91</v>
      </c>
      <c r="J2" s="136">
        <v>2.4</v>
      </c>
      <c r="K2" s="139">
        <f>ALMYRA!U2</f>
        <v>101</v>
      </c>
      <c r="L2" s="140">
        <v>0.88</v>
      </c>
      <c r="M2" s="143">
        <f>ALMYRA!AJ2</f>
        <v>152</v>
      </c>
      <c r="N2" s="143">
        <f>ALMYRA!AK2</f>
        <v>332</v>
      </c>
    </row>
    <row r="3" spans="1:14" ht="15" x14ac:dyDescent="0.25">
      <c r="A3" s="122" t="s">
        <v>14</v>
      </c>
      <c r="B3" s="5">
        <f>B2+1</f>
        <v>2</v>
      </c>
      <c r="C3" s="146">
        <v>8</v>
      </c>
      <c r="D3" s="147">
        <v>2024</v>
      </c>
      <c r="E3" s="126">
        <f>IF(ALMYRA!H3&lt;0,"0",ALMYRA!H3)</f>
        <v>9867</v>
      </c>
      <c r="F3" s="127">
        <f>(ALMYRA!C3*0.24)/E3</f>
        <v>0.17743995135299484</v>
      </c>
      <c r="G3" s="131">
        <f>ALMYRA!Z3</f>
        <v>225</v>
      </c>
      <c r="H3" s="132">
        <v>0.65800000000000003</v>
      </c>
      <c r="I3" s="135">
        <f>IF(ALMYRA!AB3&lt;0,"0",ALMYRA!AB3)</f>
        <v>99</v>
      </c>
      <c r="J3" s="136">
        <v>2.4</v>
      </c>
      <c r="K3" s="139">
        <f>ALMYRA!U3</f>
        <v>53</v>
      </c>
      <c r="L3" s="140">
        <v>0.88</v>
      </c>
      <c r="M3" s="143">
        <f>ALMYRA!AJ3</f>
        <v>165</v>
      </c>
      <c r="N3" s="143">
        <f>ALMYRA!AK3</f>
        <v>343</v>
      </c>
    </row>
    <row r="4" spans="1:14" ht="15" x14ac:dyDescent="0.25">
      <c r="A4" s="122" t="s">
        <v>14</v>
      </c>
      <c r="B4" s="5">
        <f t="shared" ref="B4:B32" si="0">B3+1</f>
        <v>3</v>
      </c>
      <c r="C4" s="146">
        <v>8</v>
      </c>
      <c r="D4" s="147">
        <v>2024</v>
      </c>
      <c r="E4" s="126">
        <f>IF(ALMYRA!H4&lt;0,"0",ALMYRA!H4)</f>
        <v>9516</v>
      </c>
      <c r="F4" s="127">
        <f>(ALMYRA!C4*0.24)/E4</f>
        <v>0.18055485498108448</v>
      </c>
      <c r="G4" s="131">
        <f>ALMYRA!Z4</f>
        <v>225</v>
      </c>
      <c r="H4" s="132">
        <v>0.65800000000000003</v>
      </c>
      <c r="I4" s="135">
        <f>IF(ALMYRA!AB4&lt;0,"0",ALMYRA!AB4)</f>
        <v>96</v>
      </c>
      <c r="J4" s="136">
        <v>2.4</v>
      </c>
      <c r="K4" s="139">
        <f>ALMYRA!U4</f>
        <v>20</v>
      </c>
      <c r="L4" s="140">
        <v>0.88</v>
      </c>
      <c r="M4" s="143">
        <f>ALMYRA!AJ4</f>
        <v>167</v>
      </c>
      <c r="N4" s="143">
        <f>ALMYRA!AK4</f>
        <v>347</v>
      </c>
    </row>
    <row r="5" spans="1:14" ht="15" x14ac:dyDescent="0.25">
      <c r="A5" s="122" t="s">
        <v>14</v>
      </c>
      <c r="B5" s="5">
        <f t="shared" si="0"/>
        <v>4</v>
      </c>
      <c r="C5" s="146">
        <v>8</v>
      </c>
      <c r="D5" s="147">
        <v>2024</v>
      </c>
      <c r="E5" s="126">
        <f>IF(ALMYRA!H5&lt;0,"0",ALMYRA!H5)</f>
        <v>9670</v>
      </c>
      <c r="F5" s="127">
        <f>(ALMYRA!C5*0.24)/E5</f>
        <v>0.17839917269906927</v>
      </c>
      <c r="G5" s="131">
        <f>ALMYRA!Z5</f>
        <v>25</v>
      </c>
      <c r="H5" s="132">
        <v>0.65800000000000003</v>
      </c>
      <c r="I5" s="135">
        <f>IF(ALMYRA!AB5&lt;0,"0",ALMYRA!AB5)</f>
        <v>85</v>
      </c>
      <c r="J5" s="136">
        <v>2.4</v>
      </c>
      <c r="K5" s="139">
        <f>ALMYRA!U5</f>
        <v>90</v>
      </c>
      <c r="L5" s="140">
        <v>0.88</v>
      </c>
      <c r="M5" s="143">
        <f>ALMYRA!AJ5</f>
        <v>141</v>
      </c>
      <c r="N5" s="143">
        <f>ALMYRA!AK5</f>
        <v>299</v>
      </c>
    </row>
    <row r="6" spans="1:14" ht="15" x14ac:dyDescent="0.25">
      <c r="A6" s="122" t="s">
        <v>14</v>
      </c>
      <c r="B6" s="5">
        <f t="shared" si="0"/>
        <v>5</v>
      </c>
      <c r="C6" s="146">
        <v>8</v>
      </c>
      <c r="D6" s="147">
        <v>2024</v>
      </c>
      <c r="E6" s="126">
        <f>IF(ALMYRA!H6&lt;0,"0",ALMYRA!H6)</f>
        <v>9066</v>
      </c>
      <c r="F6" s="127">
        <f>(ALMYRA!C6*0.24)/E6</f>
        <v>0.17183322303110521</v>
      </c>
      <c r="G6" s="131">
        <f>ALMYRA!Z6</f>
        <v>303.15999999999985</v>
      </c>
      <c r="H6" s="132">
        <v>0.65800000000000003</v>
      </c>
      <c r="I6" s="135">
        <f>IF(ALMYRA!AB6&lt;0,"0",ALMYRA!AB6)</f>
        <v>97</v>
      </c>
      <c r="J6" s="136">
        <v>2.4</v>
      </c>
      <c r="K6" s="139">
        <f>ALMYRA!U6</f>
        <v>39</v>
      </c>
      <c r="L6" s="140">
        <v>0.88</v>
      </c>
      <c r="M6" s="143">
        <f>ALMYRA!AJ6</f>
        <v>155</v>
      </c>
      <c r="N6" s="143">
        <f>ALMYRA!AK6</f>
        <v>329</v>
      </c>
    </row>
    <row r="7" spans="1:14" ht="15" x14ac:dyDescent="0.25">
      <c r="A7" s="122" t="s">
        <v>14</v>
      </c>
      <c r="B7" s="5">
        <f t="shared" si="0"/>
        <v>6</v>
      </c>
      <c r="C7" s="146">
        <v>8</v>
      </c>
      <c r="D7" s="147">
        <v>2024</v>
      </c>
      <c r="E7" s="126">
        <f>IF(ALMYRA!H7&lt;0,"0",ALMYRA!H7)</f>
        <v>9942</v>
      </c>
      <c r="F7" s="127">
        <f>(ALMYRA!C7*0.24)/E7</f>
        <v>0.17914302957151479</v>
      </c>
      <c r="G7" s="131">
        <f>ALMYRA!Z7</f>
        <v>200</v>
      </c>
      <c r="H7" s="132">
        <v>0.65800000000000003</v>
      </c>
      <c r="I7" s="135">
        <f>IF(ALMYRA!AB7&lt;0,"0",ALMYRA!AB7)</f>
        <v>95</v>
      </c>
      <c r="J7" s="136">
        <v>2.4</v>
      </c>
      <c r="K7" s="139">
        <f>ALMYRA!U7</f>
        <v>51</v>
      </c>
      <c r="L7" s="140">
        <v>0.88</v>
      </c>
      <c r="M7" s="143">
        <f>ALMYRA!AJ7</f>
        <v>178</v>
      </c>
      <c r="N7" s="143">
        <f>ALMYRA!AK7</f>
        <v>373</v>
      </c>
    </row>
    <row r="8" spans="1:14" ht="15" x14ac:dyDescent="0.25">
      <c r="A8" s="122" t="s">
        <v>14</v>
      </c>
      <c r="B8" s="5">
        <f t="shared" si="0"/>
        <v>7</v>
      </c>
      <c r="C8" s="146">
        <v>8</v>
      </c>
      <c r="D8" s="147">
        <v>2024</v>
      </c>
      <c r="E8" s="126">
        <f>IF(ALMYRA!H8&lt;0,"0",ALMYRA!H8)</f>
        <v>9825</v>
      </c>
      <c r="F8" s="127">
        <f>(ALMYRA!C8*0.24)/E8</f>
        <v>0.17973740458015267</v>
      </c>
      <c r="G8" s="131">
        <f>ALMYRA!Z8</f>
        <v>125</v>
      </c>
      <c r="H8" s="132">
        <v>0.65800000000000003</v>
      </c>
      <c r="I8" s="135">
        <f>IF(ALMYRA!AB8&lt;0,"0",ALMYRA!AB8)</f>
        <v>108</v>
      </c>
      <c r="J8" s="136">
        <v>2.4</v>
      </c>
      <c r="K8" s="139">
        <f>ALMYRA!U8</f>
        <v>49</v>
      </c>
      <c r="L8" s="140">
        <v>0.88</v>
      </c>
      <c r="M8" s="143">
        <f>ALMYRA!AJ8</f>
        <v>180</v>
      </c>
      <c r="N8" s="143">
        <f>ALMYRA!AK8</f>
        <v>374</v>
      </c>
    </row>
    <row r="9" spans="1:14" ht="15" x14ac:dyDescent="0.25">
      <c r="A9" s="122" t="s">
        <v>14</v>
      </c>
      <c r="B9" s="5">
        <f t="shared" si="0"/>
        <v>8</v>
      </c>
      <c r="C9" s="146">
        <v>8</v>
      </c>
      <c r="D9" s="147">
        <v>2024</v>
      </c>
      <c r="E9" s="126">
        <f>IF(ALMYRA!H9&lt;0,"0",ALMYRA!H9)</f>
        <v>9642</v>
      </c>
      <c r="F9" s="127">
        <f>(ALMYRA!C9*0.24)/E9</f>
        <v>0.17787181082762912</v>
      </c>
      <c r="G9" s="131">
        <f>ALMYRA!Z9</f>
        <v>150</v>
      </c>
      <c r="H9" s="132">
        <v>0.65800000000000003</v>
      </c>
      <c r="I9" s="135">
        <f>IF(ALMYRA!AB9&lt;0,"0",ALMYRA!AB9)</f>
        <v>107</v>
      </c>
      <c r="J9" s="136">
        <v>2.4</v>
      </c>
      <c r="K9" s="139">
        <f>ALMYRA!U9</f>
        <v>101</v>
      </c>
      <c r="L9" s="140">
        <v>0.88</v>
      </c>
      <c r="M9" s="143">
        <f>ALMYRA!AJ9</f>
        <v>167</v>
      </c>
      <c r="N9" s="143">
        <f>ALMYRA!AK9</f>
        <v>366</v>
      </c>
    </row>
    <row r="10" spans="1:14" ht="15" x14ac:dyDescent="0.25">
      <c r="A10" s="122" t="s">
        <v>14</v>
      </c>
      <c r="B10" s="5">
        <f t="shared" si="0"/>
        <v>9</v>
      </c>
      <c r="C10" s="146">
        <v>8</v>
      </c>
      <c r="D10" s="147">
        <v>2024</v>
      </c>
      <c r="E10" s="126">
        <f>IF(ALMYRA!H10&lt;0,"0",ALMYRA!H10)</f>
        <v>10174</v>
      </c>
      <c r="F10" s="127">
        <f>(ALMYRA!C10*0.24)/E10</f>
        <v>0.18137998820522899</v>
      </c>
      <c r="G10" s="131">
        <f>ALMYRA!Z10</f>
        <v>225</v>
      </c>
      <c r="H10" s="132">
        <v>0.65800000000000003</v>
      </c>
      <c r="I10" s="135">
        <f>IF(ALMYRA!AB10&lt;0,"0",ALMYRA!AB10)</f>
        <v>113</v>
      </c>
      <c r="J10" s="136">
        <v>2.4</v>
      </c>
      <c r="K10" s="139">
        <f>ALMYRA!U10</f>
        <v>110</v>
      </c>
      <c r="L10" s="140">
        <v>0.88</v>
      </c>
      <c r="M10" s="143">
        <f>ALMYRA!AJ10</f>
        <v>178</v>
      </c>
      <c r="N10" s="143">
        <f>ALMYRA!AK10</f>
        <v>399</v>
      </c>
    </row>
    <row r="11" spans="1:14" ht="15" x14ac:dyDescent="0.25">
      <c r="A11" s="122" t="s">
        <v>14</v>
      </c>
      <c r="B11" s="5">
        <f t="shared" si="0"/>
        <v>10</v>
      </c>
      <c r="C11" s="146">
        <v>8</v>
      </c>
      <c r="D11" s="147">
        <v>2024</v>
      </c>
      <c r="E11" s="126">
        <f>IF(ALMYRA!H11&lt;0,"0",ALMYRA!H11)</f>
        <v>9593</v>
      </c>
      <c r="F11" s="127">
        <f>(ALMYRA!C11*0.24)/E11</f>
        <v>0.17925570728656312</v>
      </c>
      <c r="G11" s="131">
        <f>ALMYRA!Z11</f>
        <v>200</v>
      </c>
      <c r="H11" s="132">
        <v>0.65800000000000003</v>
      </c>
      <c r="I11" s="135">
        <f>IF(ALMYRA!AB11&lt;0,"0",ALMYRA!AB11)</f>
        <v>103</v>
      </c>
      <c r="J11" s="136">
        <v>2.4</v>
      </c>
      <c r="K11" s="139">
        <f>ALMYRA!U11</f>
        <v>60</v>
      </c>
      <c r="L11" s="140">
        <v>0.88</v>
      </c>
      <c r="M11" s="143">
        <f>ALMYRA!AJ11</f>
        <v>177</v>
      </c>
      <c r="N11" s="143">
        <f>ALMYRA!AK11</f>
        <v>387</v>
      </c>
    </row>
    <row r="12" spans="1:14" ht="15" x14ac:dyDescent="0.25">
      <c r="A12" s="122" t="s">
        <v>14</v>
      </c>
      <c r="B12" s="5">
        <f t="shared" si="0"/>
        <v>11</v>
      </c>
      <c r="C12" s="146">
        <v>8</v>
      </c>
      <c r="D12" s="147">
        <v>2024</v>
      </c>
      <c r="E12" s="126">
        <f>IF(ALMYRA!H12&lt;0,"0",ALMYRA!H12)</f>
        <v>9532</v>
      </c>
      <c r="F12" s="127">
        <f>(ALMYRA!C12*0.24)/E12</f>
        <v>0.17934536298783046</v>
      </c>
      <c r="G12" s="131">
        <f>ALMYRA!Z12</f>
        <v>150</v>
      </c>
      <c r="H12" s="132">
        <v>0.65800000000000003</v>
      </c>
      <c r="I12" s="135">
        <f>IF(ALMYRA!AB12&lt;0,"0",ALMYRA!AB12)</f>
        <v>101</v>
      </c>
      <c r="J12" s="136">
        <v>2.4</v>
      </c>
      <c r="K12" s="139">
        <f>ALMYRA!U12</f>
        <v>31</v>
      </c>
      <c r="L12" s="140">
        <v>0.88</v>
      </c>
      <c r="M12" s="143">
        <f>ALMYRA!AJ12</f>
        <v>173</v>
      </c>
      <c r="N12" s="143">
        <f>ALMYRA!AK12</f>
        <v>387</v>
      </c>
    </row>
    <row r="13" spans="1:14" ht="15" x14ac:dyDescent="0.25">
      <c r="A13" s="122" t="s">
        <v>14</v>
      </c>
      <c r="B13" s="5">
        <f t="shared" si="0"/>
        <v>12</v>
      </c>
      <c r="C13" s="146">
        <v>8</v>
      </c>
      <c r="D13" s="147">
        <v>2024</v>
      </c>
      <c r="E13" s="126">
        <f>IF(ALMYRA!H13&lt;0,"0",ALMYRA!H13)</f>
        <v>10448</v>
      </c>
      <c r="F13" s="127">
        <f>(ALMYRA!C13*0.24)/E13</f>
        <v>0.18346860643185298</v>
      </c>
      <c r="G13" s="131">
        <f>ALMYRA!Z13</f>
        <v>231.01000000000022</v>
      </c>
      <c r="H13" s="132">
        <v>0.65800000000000003</v>
      </c>
      <c r="I13" s="135">
        <f>IF(ALMYRA!AB13&lt;0,"0",ALMYRA!AB13)</f>
        <v>108</v>
      </c>
      <c r="J13" s="136">
        <v>2.4</v>
      </c>
      <c r="K13" s="139">
        <f>ALMYRA!U13</f>
        <v>100</v>
      </c>
      <c r="L13" s="140">
        <v>0.88</v>
      </c>
      <c r="M13" s="143">
        <f>ALMYRA!AJ13</f>
        <v>182</v>
      </c>
      <c r="N13" s="143">
        <f>ALMYRA!AK13</f>
        <v>414</v>
      </c>
    </row>
    <row r="14" spans="1:14" ht="15" x14ac:dyDescent="0.25">
      <c r="A14" s="122" t="s">
        <v>14</v>
      </c>
      <c r="B14" s="5">
        <f t="shared" si="0"/>
        <v>13</v>
      </c>
      <c r="C14" s="146">
        <v>8</v>
      </c>
      <c r="D14" s="147">
        <v>2024</v>
      </c>
      <c r="E14" s="126">
        <f>IF(ALMYRA!H14&lt;0,"0",ALMYRA!H14)</f>
        <v>10327</v>
      </c>
      <c r="F14" s="127">
        <f>(ALMYRA!C14*0.24)/E14</f>
        <v>0.18322455698654011</v>
      </c>
      <c r="G14" s="131">
        <f>ALMYRA!Z14</f>
        <v>175</v>
      </c>
      <c r="H14" s="132">
        <v>0.65800000000000003</v>
      </c>
      <c r="I14" s="135">
        <f>IF(ALMYRA!AB14&lt;0,"0",ALMYRA!AB14)</f>
        <v>110</v>
      </c>
      <c r="J14" s="136">
        <v>2.4</v>
      </c>
      <c r="K14" s="139">
        <f>ALMYRA!U14</f>
        <v>59</v>
      </c>
      <c r="L14" s="140">
        <v>0.88</v>
      </c>
      <c r="M14" s="143">
        <f>ALMYRA!AJ14</f>
        <v>183</v>
      </c>
      <c r="N14" s="143">
        <f>ALMYRA!AK14</f>
        <v>423</v>
      </c>
    </row>
    <row r="15" spans="1:14" ht="15" x14ac:dyDescent="0.25">
      <c r="A15" s="122" t="s">
        <v>14</v>
      </c>
      <c r="B15" s="5">
        <f t="shared" si="0"/>
        <v>14</v>
      </c>
      <c r="C15" s="146">
        <v>8</v>
      </c>
      <c r="D15" s="147">
        <v>2024</v>
      </c>
      <c r="E15" s="126">
        <f>IF(ALMYRA!H15&lt;0,"0",ALMYRA!H15)</f>
        <v>9965</v>
      </c>
      <c r="F15" s="127">
        <f>(ALMYRA!C15*0.24)/E15</f>
        <v>0.18226994480682387</v>
      </c>
      <c r="G15" s="131">
        <f>ALMYRA!Z15</f>
        <v>125</v>
      </c>
      <c r="H15" s="132">
        <v>0.65800000000000003</v>
      </c>
      <c r="I15" s="135">
        <f>IF(ALMYRA!AB15&lt;0,"0",ALMYRA!AB15)</f>
        <v>105</v>
      </c>
      <c r="J15" s="136">
        <v>2.4</v>
      </c>
      <c r="K15" s="139">
        <f>ALMYRA!U15</f>
        <v>42</v>
      </c>
      <c r="L15" s="140">
        <v>0.88</v>
      </c>
      <c r="M15" s="143">
        <f>ALMYRA!AJ15</f>
        <v>185</v>
      </c>
      <c r="N15" s="143">
        <f>ALMYRA!AK15</f>
        <v>418</v>
      </c>
    </row>
    <row r="16" spans="1:14" ht="15" x14ac:dyDescent="0.25">
      <c r="A16" s="122" t="s">
        <v>14</v>
      </c>
      <c r="B16" s="5">
        <f t="shared" si="0"/>
        <v>15</v>
      </c>
      <c r="C16" s="146">
        <v>8</v>
      </c>
      <c r="D16" s="147">
        <v>2024</v>
      </c>
      <c r="E16" s="126">
        <f>IF(ALMYRA!H16&lt;0,"0",ALMYRA!H16)</f>
        <v>10279</v>
      </c>
      <c r="F16" s="127">
        <f>(ALMYRA!C16*0.24)/E16</f>
        <v>0.18365988909426986</v>
      </c>
      <c r="G16" s="131">
        <f>ALMYRA!Z16</f>
        <v>225</v>
      </c>
      <c r="H16" s="132">
        <v>0.65800000000000003</v>
      </c>
      <c r="I16" s="135">
        <f>IF(ALMYRA!AB16&lt;0,"0",ALMYRA!AB16)</f>
        <v>101</v>
      </c>
      <c r="J16" s="136">
        <v>2.4</v>
      </c>
      <c r="K16" s="139">
        <f>ALMYRA!U16</f>
        <v>88</v>
      </c>
      <c r="L16" s="140">
        <v>0.88</v>
      </c>
      <c r="M16" s="143">
        <f>ALMYRA!AJ16</f>
        <v>186</v>
      </c>
      <c r="N16" s="143">
        <f>ALMYRA!AK16</f>
        <v>420</v>
      </c>
    </row>
    <row r="17" spans="1:14" ht="15" x14ac:dyDescent="0.25">
      <c r="A17" s="122" t="s">
        <v>14</v>
      </c>
      <c r="B17" s="5">
        <f t="shared" si="0"/>
        <v>16</v>
      </c>
      <c r="C17" s="146">
        <v>8</v>
      </c>
      <c r="D17" s="147">
        <v>2024</v>
      </c>
      <c r="E17" s="126">
        <f>IF(ALMYRA!H17&lt;0,"0",ALMYRA!H17)</f>
        <v>10228</v>
      </c>
      <c r="F17" s="127">
        <f>(ALMYRA!C17*0.24)/E17</f>
        <v>0.18436448963629251</v>
      </c>
      <c r="G17" s="131">
        <f>ALMYRA!Z17</f>
        <v>75</v>
      </c>
      <c r="H17" s="132">
        <v>0.65800000000000003</v>
      </c>
      <c r="I17" s="135">
        <f>IF(ALMYRA!AB17&lt;0,"0",ALMYRA!AB17)</f>
        <v>93</v>
      </c>
      <c r="J17" s="136">
        <v>2.4</v>
      </c>
      <c r="K17" s="139">
        <f>ALMYRA!U17</f>
        <v>60</v>
      </c>
      <c r="L17" s="140">
        <v>0.88</v>
      </c>
      <c r="M17" s="143">
        <f>ALMYRA!AJ17</f>
        <v>186</v>
      </c>
      <c r="N17" s="143">
        <f>ALMYRA!AK17</f>
        <v>424</v>
      </c>
    </row>
    <row r="18" spans="1:14" ht="15" x14ac:dyDescent="0.25">
      <c r="A18" s="122" t="s">
        <v>14</v>
      </c>
      <c r="B18" s="5">
        <f t="shared" si="0"/>
        <v>17</v>
      </c>
      <c r="C18" s="146">
        <v>8</v>
      </c>
      <c r="D18" s="147">
        <v>2024</v>
      </c>
      <c r="E18" s="126">
        <f>IF(ALMYRA!H18&lt;0,"0",ALMYRA!H18)</f>
        <v>10233</v>
      </c>
      <c r="F18" s="127">
        <f>(ALMYRA!C18*0.24)/E18</f>
        <v>0.18443858106127234</v>
      </c>
      <c r="G18" s="131">
        <f>ALMYRA!Z18</f>
        <v>200</v>
      </c>
      <c r="H18" s="132">
        <v>0.65800000000000003</v>
      </c>
      <c r="I18" s="135">
        <f>IF(ALMYRA!AB18&lt;0,"0",ALMYRA!AB18)</f>
        <v>104</v>
      </c>
      <c r="J18" s="136">
        <v>2.4</v>
      </c>
      <c r="K18" s="139">
        <f>ALMYRA!U18</f>
        <v>52</v>
      </c>
      <c r="L18" s="140">
        <v>0.88</v>
      </c>
      <c r="M18" s="143">
        <f>ALMYRA!AJ18</f>
        <v>176</v>
      </c>
      <c r="N18" s="143">
        <f>ALMYRA!AK18</f>
        <v>391</v>
      </c>
    </row>
    <row r="19" spans="1:14" ht="15" x14ac:dyDescent="0.25">
      <c r="A19" s="122" t="s">
        <v>14</v>
      </c>
      <c r="B19" s="5">
        <f t="shared" si="0"/>
        <v>18</v>
      </c>
      <c r="C19" s="146">
        <v>8</v>
      </c>
      <c r="D19" s="147">
        <v>2024</v>
      </c>
      <c r="E19" s="126">
        <f>IF(ALMYRA!H19&lt;0,"0",ALMYRA!H19)</f>
        <v>9737</v>
      </c>
      <c r="F19" s="127">
        <f>(ALMYRA!C19*0.24)/E19</f>
        <v>0.18074560953065624</v>
      </c>
      <c r="G19" s="131">
        <f>ALMYRA!Z19</f>
        <v>125</v>
      </c>
      <c r="H19" s="132">
        <v>0.65800000000000003</v>
      </c>
      <c r="I19" s="135">
        <f>IF(ALMYRA!AB19&lt;0,"0",ALMYRA!AB19)</f>
        <v>93</v>
      </c>
      <c r="J19" s="136">
        <v>2.4</v>
      </c>
      <c r="K19" s="139">
        <f>ALMYRA!U19</f>
        <v>88</v>
      </c>
      <c r="L19" s="140">
        <v>0.88</v>
      </c>
      <c r="M19" s="143">
        <f>ALMYRA!AJ19</f>
        <v>173</v>
      </c>
      <c r="N19" s="143">
        <f>ALMYRA!AK19</f>
        <v>393</v>
      </c>
    </row>
    <row r="20" spans="1:14" ht="15" x14ac:dyDescent="0.25">
      <c r="A20" s="122" t="s">
        <v>14</v>
      </c>
      <c r="B20" s="5">
        <f t="shared" si="0"/>
        <v>19</v>
      </c>
      <c r="C20" s="146">
        <v>8</v>
      </c>
      <c r="D20" s="147">
        <v>2024</v>
      </c>
      <c r="E20" s="126">
        <f>IF(ALMYRA!H20&lt;0,"0",ALMYRA!H20)</f>
        <v>9911</v>
      </c>
      <c r="F20" s="127">
        <f>(ALMYRA!C20*0.24)/E20</f>
        <v>0.18147109272525477</v>
      </c>
      <c r="G20" s="131">
        <f>ALMYRA!Z20</f>
        <v>313.01000000000022</v>
      </c>
      <c r="H20" s="132">
        <v>0.65800000000000003</v>
      </c>
      <c r="I20" s="135">
        <f>IF(ALMYRA!AB20&lt;0,"0",ALMYRA!AB20)</f>
        <v>106</v>
      </c>
      <c r="J20" s="136">
        <v>2.4</v>
      </c>
      <c r="K20" s="139">
        <f>ALMYRA!U20</f>
        <v>11</v>
      </c>
      <c r="L20" s="140">
        <v>0.88</v>
      </c>
      <c r="M20" s="143">
        <f>ALMYRA!AJ20</f>
        <v>176</v>
      </c>
      <c r="N20" s="143">
        <f>ALMYRA!AK20</f>
        <v>406</v>
      </c>
    </row>
    <row r="21" spans="1:14" ht="15" x14ac:dyDescent="0.25">
      <c r="A21" s="122" t="s">
        <v>14</v>
      </c>
      <c r="B21" s="5">
        <f t="shared" si="0"/>
        <v>20</v>
      </c>
      <c r="C21" s="146">
        <v>8</v>
      </c>
      <c r="D21" s="147">
        <v>2024</v>
      </c>
      <c r="E21" s="126">
        <f>IF(ALMYRA!H21&lt;0,"0",ALMYRA!H21)</f>
        <v>9420</v>
      </c>
      <c r="F21" s="127">
        <f>(ALMYRA!C21*0.24)/E21</f>
        <v>0.17831847133757961</v>
      </c>
      <c r="G21" s="131">
        <f>ALMYRA!Z21</f>
        <v>125</v>
      </c>
      <c r="H21" s="132">
        <v>0.65800000000000003</v>
      </c>
      <c r="I21" s="135">
        <f>IF(ALMYRA!AB21&lt;0,"0",ALMYRA!AB21)</f>
        <v>94</v>
      </c>
      <c r="J21" s="136">
        <v>2.4</v>
      </c>
      <c r="K21" s="139">
        <f>ALMYRA!U21</f>
        <v>100</v>
      </c>
      <c r="L21" s="140">
        <v>0.88</v>
      </c>
      <c r="M21" s="143">
        <f>ALMYRA!AJ21</f>
        <v>172</v>
      </c>
      <c r="N21" s="143">
        <f>ALMYRA!AK21</f>
        <v>395</v>
      </c>
    </row>
    <row r="22" spans="1:14" ht="15" x14ac:dyDescent="0.25">
      <c r="A22" s="122" t="s">
        <v>14</v>
      </c>
      <c r="B22" s="5">
        <f t="shared" si="0"/>
        <v>21</v>
      </c>
      <c r="C22" s="146">
        <v>8</v>
      </c>
      <c r="D22" s="147">
        <v>2024</v>
      </c>
      <c r="E22" s="126">
        <f>IF(ALMYRA!H22&lt;0,"0",ALMYRA!H22)</f>
        <v>10211</v>
      </c>
      <c r="F22" s="127">
        <f>(ALMYRA!C22*0.24)/E22</f>
        <v>0.18631671726569385</v>
      </c>
      <c r="G22" s="131">
        <f>ALMYRA!Z22</f>
        <v>225</v>
      </c>
      <c r="H22" s="132">
        <v>0.65800000000000003</v>
      </c>
      <c r="I22" s="135">
        <f>IF(ALMYRA!AB22&lt;0,"0",ALMYRA!AB22)</f>
        <v>103</v>
      </c>
      <c r="J22" s="136">
        <v>2.4</v>
      </c>
      <c r="K22" s="139">
        <f>ALMYRA!U22</f>
        <v>0</v>
      </c>
      <c r="L22" s="140">
        <v>0.88</v>
      </c>
      <c r="M22" s="143">
        <f>ALMYRA!AJ22</f>
        <v>172</v>
      </c>
      <c r="N22" s="143">
        <f>ALMYRA!AK22</f>
        <v>388</v>
      </c>
    </row>
    <row r="23" spans="1:14" ht="15" x14ac:dyDescent="0.25">
      <c r="A23" s="122" t="s">
        <v>14</v>
      </c>
      <c r="B23" s="5">
        <f t="shared" si="0"/>
        <v>22</v>
      </c>
      <c r="C23" s="146">
        <v>8</v>
      </c>
      <c r="D23" s="147">
        <v>2024</v>
      </c>
      <c r="E23" s="126">
        <f>IF(ALMYRA!H23&lt;0,"0",ALMYRA!H23)</f>
        <v>10089</v>
      </c>
      <c r="F23" s="127">
        <f>(ALMYRA!C23*0.24)/E23</f>
        <v>0.1849063336306869</v>
      </c>
      <c r="G23" s="131">
        <f>ALMYRA!Z23</f>
        <v>99.999999999999545</v>
      </c>
      <c r="H23" s="132">
        <v>0.65800000000000003</v>
      </c>
      <c r="I23" s="135">
        <f>IF(ALMYRA!AB23&lt;0,"0",ALMYRA!AB23)</f>
        <v>107</v>
      </c>
      <c r="J23" s="136">
        <v>2.4</v>
      </c>
      <c r="K23" s="139">
        <f>ALMYRA!U23</f>
        <v>100</v>
      </c>
      <c r="L23" s="140">
        <v>0.88</v>
      </c>
      <c r="M23" s="143">
        <f>ALMYRA!AJ23</f>
        <v>170</v>
      </c>
      <c r="N23" s="143">
        <f>ALMYRA!AK23</f>
        <v>392</v>
      </c>
    </row>
    <row r="24" spans="1:14" ht="15" x14ac:dyDescent="0.25">
      <c r="A24" s="122" t="s">
        <v>14</v>
      </c>
      <c r="B24" s="5">
        <f t="shared" si="0"/>
        <v>23</v>
      </c>
      <c r="C24" s="146">
        <v>8</v>
      </c>
      <c r="D24" s="147">
        <v>2024</v>
      </c>
      <c r="E24" s="126">
        <f>IF(ALMYRA!H24&lt;0,"0",ALMYRA!H24)</f>
        <v>9451</v>
      </c>
      <c r="F24" s="127">
        <f>(ALMYRA!C24*0.24)/E24</f>
        <v>0.18172045286213098</v>
      </c>
      <c r="G24" s="131">
        <f>ALMYRA!Z24</f>
        <v>125.00000000000045</v>
      </c>
      <c r="H24" s="132">
        <v>0.65800000000000003</v>
      </c>
      <c r="I24" s="135">
        <f>IF(ALMYRA!AB24&lt;0,"0",ALMYRA!AB24)</f>
        <v>101</v>
      </c>
      <c r="J24" s="136">
        <v>2.4</v>
      </c>
      <c r="K24" s="139">
        <f>ALMYRA!U24</f>
        <v>99</v>
      </c>
      <c r="L24" s="140">
        <v>0.88</v>
      </c>
      <c r="M24" s="143">
        <f>ALMYRA!AJ24</f>
        <v>182</v>
      </c>
      <c r="N24" s="143">
        <f>ALMYRA!AK24</f>
        <v>417</v>
      </c>
    </row>
    <row r="25" spans="1:14" ht="15" x14ac:dyDescent="0.25">
      <c r="A25" s="122" t="s">
        <v>14</v>
      </c>
      <c r="B25" s="5">
        <f t="shared" si="0"/>
        <v>24</v>
      </c>
      <c r="C25" s="146">
        <v>8</v>
      </c>
      <c r="D25" s="147">
        <v>2024</v>
      </c>
      <c r="E25" s="126">
        <f>IF(ALMYRA!H25&lt;0,"0",ALMYRA!H25)</f>
        <v>10138</v>
      </c>
      <c r="F25" s="127">
        <f>(ALMYRA!C25*0.24)/E25</f>
        <v>0.18628526336555534</v>
      </c>
      <c r="G25" s="131">
        <f>ALMYRA!Z25</f>
        <v>275</v>
      </c>
      <c r="H25" s="132">
        <v>0.65800000000000003</v>
      </c>
      <c r="I25" s="135">
        <f>IF(ALMYRA!AB25&lt;0,"0",ALMYRA!AB25)</f>
        <v>95</v>
      </c>
      <c r="J25" s="136">
        <v>2.4</v>
      </c>
      <c r="K25" s="139">
        <f>ALMYRA!U25</f>
        <v>99</v>
      </c>
      <c r="L25" s="140">
        <v>0.88</v>
      </c>
      <c r="M25" s="143">
        <f>ALMYRA!AJ25</f>
        <v>181</v>
      </c>
      <c r="N25" s="143">
        <f>ALMYRA!AK25</f>
        <v>418</v>
      </c>
    </row>
    <row r="26" spans="1:14" ht="15" x14ac:dyDescent="0.25">
      <c r="A26" s="122" t="s">
        <v>14</v>
      </c>
      <c r="B26" s="5">
        <f>B25+1</f>
        <v>25</v>
      </c>
      <c r="C26" s="146">
        <v>8</v>
      </c>
      <c r="D26" s="147">
        <v>2024</v>
      </c>
      <c r="E26" s="126">
        <f>IF(ALMYRA!H26&lt;0,"0",ALMYRA!H26)</f>
        <v>9748</v>
      </c>
      <c r="F26" s="127">
        <f>(ALMYRA!C26*0.24)/E26</f>
        <v>0.18617972917521541</v>
      </c>
      <c r="G26" s="131">
        <f>ALMYRA!Z26</f>
        <v>250</v>
      </c>
      <c r="H26" s="132">
        <v>0.65800000000000003</v>
      </c>
      <c r="I26" s="135">
        <f>IF(ALMYRA!AB26&lt;0,"0",ALMYRA!AB26)</f>
        <v>95</v>
      </c>
      <c r="J26" s="136">
        <v>2.4</v>
      </c>
      <c r="K26" s="139">
        <f>ALMYRA!U26</f>
        <v>71</v>
      </c>
      <c r="L26" s="140">
        <v>0.88</v>
      </c>
      <c r="M26" s="143">
        <f>ALMYRA!AJ26</f>
        <v>163</v>
      </c>
      <c r="N26" s="143">
        <f>ALMYRA!AK26</f>
        <v>379</v>
      </c>
    </row>
    <row r="27" spans="1:14" ht="15" x14ac:dyDescent="0.25">
      <c r="A27" s="122" t="s">
        <v>14</v>
      </c>
      <c r="B27" s="5">
        <f t="shared" si="0"/>
        <v>26</v>
      </c>
      <c r="C27" s="146">
        <v>8</v>
      </c>
      <c r="D27" s="147">
        <v>2024</v>
      </c>
      <c r="E27" s="126">
        <f>IF(ALMYRA!H27&lt;0,"0",ALMYRA!H27)</f>
        <v>10327</v>
      </c>
      <c r="F27" s="127">
        <f>(ALMYRA!C27*0.24)/E27</f>
        <v>0.18636196378425485</v>
      </c>
      <c r="G27" s="131">
        <f>ALMYRA!Z27</f>
        <v>140.80000000000018</v>
      </c>
      <c r="H27" s="132">
        <v>0.65800000000000003</v>
      </c>
      <c r="I27" s="135">
        <f>IF(ALMYRA!AB27&lt;0,"0",ALMYRA!AB27)</f>
        <v>95</v>
      </c>
      <c r="J27" s="136">
        <v>2.4</v>
      </c>
      <c r="K27" s="139">
        <f>ALMYRA!U27</f>
        <v>28</v>
      </c>
      <c r="L27" s="140">
        <v>0.88</v>
      </c>
      <c r="M27" s="143">
        <f>ALMYRA!AJ27</f>
        <v>166</v>
      </c>
      <c r="N27" s="143">
        <f>ALMYRA!AK27</f>
        <v>369</v>
      </c>
    </row>
    <row r="28" spans="1:14" ht="15" x14ac:dyDescent="0.25">
      <c r="A28" s="122" t="s">
        <v>14</v>
      </c>
      <c r="B28" s="5">
        <f t="shared" si="0"/>
        <v>27</v>
      </c>
      <c r="C28" s="146">
        <v>8</v>
      </c>
      <c r="D28" s="147">
        <v>2024</v>
      </c>
      <c r="E28" s="126">
        <f>IF(ALMYRA!H28&lt;0,"0",ALMYRA!H28)</f>
        <v>9372</v>
      </c>
      <c r="F28" s="127">
        <f>(ALMYRA!C28*0.24)/E28</f>
        <v>0.1818437900128041</v>
      </c>
      <c r="G28" s="131">
        <f>ALMYRA!Z28</f>
        <v>175</v>
      </c>
      <c r="H28" s="132">
        <v>0.65800000000000003</v>
      </c>
      <c r="I28" s="135">
        <f>IF(ALMYRA!AB28&lt;0,"0",ALMYRA!AB28)</f>
        <v>91</v>
      </c>
      <c r="J28" s="136">
        <v>2.4</v>
      </c>
      <c r="K28" s="139">
        <f>ALMYRA!U28</f>
        <v>99</v>
      </c>
      <c r="L28" s="140">
        <v>0.88</v>
      </c>
      <c r="M28" s="143">
        <f>ALMYRA!AJ28</f>
        <v>176</v>
      </c>
      <c r="N28" s="143">
        <f>ALMYRA!AK28</f>
        <v>374</v>
      </c>
    </row>
    <row r="29" spans="1:14" ht="15" x14ac:dyDescent="0.25">
      <c r="A29" s="122" t="s">
        <v>14</v>
      </c>
      <c r="B29" s="5">
        <f t="shared" si="0"/>
        <v>28</v>
      </c>
      <c r="C29" s="146">
        <v>8</v>
      </c>
      <c r="D29" s="147">
        <v>2024</v>
      </c>
      <c r="E29" s="126">
        <f>IF(ALMYRA!H29&lt;0,"0",ALMYRA!H29)</f>
        <v>9602</v>
      </c>
      <c r="F29" s="127">
        <f>(ALMYRA!C29*0.24)/E29</f>
        <v>0.18386169548010831</v>
      </c>
      <c r="G29" s="131">
        <f>ALMYRA!Z29</f>
        <v>275</v>
      </c>
      <c r="H29" s="132">
        <v>0.65800000000000003</v>
      </c>
      <c r="I29" s="135">
        <f>IF(ALMYRA!AB29&lt;0,"0",ALMYRA!AB29)</f>
        <v>88</v>
      </c>
      <c r="J29" s="136">
        <v>2.4</v>
      </c>
      <c r="K29" s="139">
        <f>ALMYRA!U29</f>
        <v>98</v>
      </c>
      <c r="L29" s="140">
        <v>0.88</v>
      </c>
      <c r="M29" s="143">
        <f>ALMYRA!AJ29</f>
        <v>163</v>
      </c>
      <c r="N29" s="143">
        <f>ALMYRA!AK29</f>
        <v>357</v>
      </c>
    </row>
    <row r="30" spans="1:14" ht="15" x14ac:dyDescent="0.25">
      <c r="A30" s="122" t="s">
        <v>14</v>
      </c>
      <c r="B30" s="5">
        <f t="shared" si="0"/>
        <v>29</v>
      </c>
      <c r="C30" s="146">
        <v>8</v>
      </c>
      <c r="D30" s="147">
        <v>2024</v>
      </c>
      <c r="E30" s="126">
        <f>IF(ALMYRA!H30&lt;0,"0",ALMYRA!H30)</f>
        <v>9435</v>
      </c>
      <c r="F30" s="127">
        <f>(ALMYRA!C30*0.24)/E30</f>
        <v>0.1829697933227345</v>
      </c>
      <c r="G30" s="131">
        <f>ALMYRA!Z30</f>
        <v>150</v>
      </c>
      <c r="H30" s="132">
        <v>0.65800000000000003</v>
      </c>
      <c r="I30" s="135">
        <f>IF(ALMYRA!AB30&lt;0,"0",ALMYRA!AB30)</f>
        <v>101</v>
      </c>
      <c r="J30" s="136">
        <v>2.4</v>
      </c>
      <c r="K30" s="139">
        <f>ALMYRA!U30</f>
        <v>0</v>
      </c>
      <c r="L30" s="140">
        <v>0.88</v>
      </c>
      <c r="M30" s="143">
        <f>ALMYRA!AJ30</f>
        <v>152</v>
      </c>
      <c r="N30" s="143">
        <f>ALMYRA!AK30</f>
        <v>339</v>
      </c>
    </row>
    <row r="31" spans="1:14" ht="15" x14ac:dyDescent="0.25">
      <c r="A31" s="122" t="s">
        <v>14</v>
      </c>
      <c r="B31" s="5">
        <f t="shared" si="0"/>
        <v>30</v>
      </c>
      <c r="C31" s="146">
        <v>8</v>
      </c>
      <c r="D31" s="147">
        <v>2024</v>
      </c>
      <c r="E31" s="126">
        <f>IF(ALMYRA!H31&lt;0,"0",ALMYRA!H31)</f>
        <v>9876</v>
      </c>
      <c r="F31" s="127">
        <f>(ALMYRA!C31*0.24)/E31</f>
        <v>0.1873876063183475</v>
      </c>
      <c r="G31" s="131">
        <f>ALMYRA!Z31</f>
        <v>100</v>
      </c>
      <c r="H31" s="132">
        <v>0.65800000000000003</v>
      </c>
      <c r="I31" s="135">
        <f>IF(ALMYRA!AB31&lt;0,"0",ALMYRA!AB31)</f>
        <v>91</v>
      </c>
      <c r="J31" s="136">
        <v>2.4</v>
      </c>
      <c r="K31" s="139">
        <f>ALMYRA!U31</f>
        <v>196</v>
      </c>
      <c r="L31" s="140">
        <v>0.88</v>
      </c>
      <c r="M31" s="143">
        <f>ALMYRA!AJ31</f>
        <v>136</v>
      </c>
      <c r="N31" s="143">
        <f>ALMYRA!AK31</f>
        <v>283</v>
      </c>
    </row>
    <row r="32" spans="1:14" ht="15" x14ac:dyDescent="0.25">
      <c r="A32" s="122" t="s">
        <v>14</v>
      </c>
      <c r="B32" s="5">
        <f t="shared" si="0"/>
        <v>31</v>
      </c>
      <c r="C32" s="146">
        <v>8</v>
      </c>
      <c r="D32" s="147">
        <v>2024</v>
      </c>
      <c r="E32" s="126">
        <f>IF(ALMYRA!H32&lt;0,"0",ALMYRA!H32)</f>
        <v>8755</v>
      </c>
      <c r="F32" s="127">
        <f>(ALMYRA!C32*0.24)/E32</f>
        <v>0.18232324386065105</v>
      </c>
      <c r="G32" s="131">
        <f>ALMYRA!Z32</f>
        <v>100</v>
      </c>
      <c r="H32" s="132">
        <v>0.65800000000000003</v>
      </c>
      <c r="I32" s="135">
        <f>IF(ALMYRA!AB32&lt;0,"0",ALMYRA!AB32)</f>
        <v>82</v>
      </c>
      <c r="J32" s="136">
        <v>2.4</v>
      </c>
      <c r="K32" s="139">
        <f>ALMYRA!U32</f>
        <v>79</v>
      </c>
      <c r="L32" s="140">
        <v>0.88</v>
      </c>
      <c r="M32" s="143">
        <f>ALMYRA!AJ32</f>
        <v>149</v>
      </c>
      <c r="N32" s="143">
        <f>ALMYRA!AK32</f>
        <v>306</v>
      </c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D39" s="148"/>
      <c r="E39" s="4"/>
      <c r="F39" s="148"/>
      <c r="G39" s="4"/>
      <c r="H39" s="149"/>
      <c r="I39" s="148"/>
      <c r="J39" s="148"/>
      <c r="K39"/>
      <c r="L39"/>
      <c r="M39" s="148"/>
      <c r="N39" s="148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148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2" s="5" customFormat="1" x14ac:dyDescent="0.2">
      <c r="E49" s="4"/>
      <c r="G49" s="4"/>
      <c r="H49" s="149"/>
      <c r="K49"/>
      <c r="L49"/>
    </row>
    <row r="50" spans="5:12" s="5" customFormat="1" x14ac:dyDescent="0.2">
      <c r="E50" s="4"/>
      <c r="G50" s="4"/>
      <c r="H50" s="149"/>
      <c r="K50"/>
      <c r="L50"/>
    </row>
    <row r="51" spans="5:12" s="5" customFormat="1" x14ac:dyDescent="0.2">
      <c r="E51" s="4"/>
      <c r="G51" s="4"/>
      <c r="H51" s="149"/>
      <c r="K51"/>
      <c r="L51"/>
    </row>
    <row r="52" spans="5:12" s="5" customFormat="1" x14ac:dyDescent="0.2">
      <c r="E52" s="4"/>
      <c r="G52" s="4"/>
      <c r="H52" s="149"/>
      <c r="K52"/>
      <c r="L52"/>
    </row>
    <row r="53" spans="5:12" s="5" customFormat="1" x14ac:dyDescent="0.2">
      <c r="E53" s="4"/>
      <c r="G53" s="4"/>
      <c r="H53" s="149"/>
      <c r="K53"/>
      <c r="L53"/>
    </row>
    <row r="54" spans="5:12" s="5" customFormat="1" x14ac:dyDescent="0.2">
      <c r="E54" s="4"/>
      <c r="G54" s="4"/>
      <c r="H54" s="149"/>
      <c r="K54"/>
      <c r="L54"/>
    </row>
    <row r="55" spans="5:12" s="5" customFormat="1" x14ac:dyDescent="0.2">
      <c r="E55" s="4"/>
      <c r="G55" s="4"/>
      <c r="H55" s="149"/>
      <c r="K55"/>
      <c r="L55"/>
    </row>
    <row r="56" spans="5:12" s="5" customFormat="1" x14ac:dyDescent="0.2">
      <c r="E56" s="4"/>
      <c r="G56" s="4"/>
      <c r="H56" s="149"/>
      <c r="K56"/>
      <c r="L56"/>
    </row>
    <row r="57" spans="5:12" s="5" customFormat="1" x14ac:dyDescent="0.2">
      <c r="E57" s="4"/>
      <c r="G57" s="4"/>
      <c r="H57" s="149"/>
      <c r="K57"/>
      <c r="L57"/>
    </row>
    <row r="58" spans="5:12" s="5" customFormat="1" x14ac:dyDescent="0.2">
      <c r="E58" s="4"/>
      <c r="G58" s="4"/>
      <c r="H58" s="149"/>
      <c r="K58"/>
      <c r="L58"/>
    </row>
    <row r="59" spans="5:12" s="5" customFormat="1" x14ac:dyDescent="0.2">
      <c r="E59" s="4"/>
      <c r="G59" s="4"/>
      <c r="H59" s="149"/>
      <c r="K59"/>
      <c r="L59"/>
    </row>
    <row r="60" spans="5:12" s="5" customFormat="1" x14ac:dyDescent="0.2">
      <c r="E60" s="4"/>
      <c r="G60" s="4"/>
      <c r="H60" s="149"/>
      <c r="K60"/>
      <c r="L60"/>
    </row>
    <row r="61" spans="5:12" s="5" customFormat="1" x14ac:dyDescent="0.2">
      <c r="E61" s="4"/>
      <c r="G61" s="4"/>
      <c r="H61" s="149"/>
      <c r="K61"/>
      <c r="L61"/>
    </row>
    <row r="62" spans="5:12" s="5" customFormat="1" x14ac:dyDescent="0.2">
      <c r="E62" s="4"/>
      <c r="G62" s="4"/>
      <c r="H62" s="149"/>
      <c r="K62"/>
      <c r="L62"/>
    </row>
    <row r="63" spans="5:12" s="5" customFormat="1" x14ac:dyDescent="0.2">
      <c r="E63" s="4"/>
      <c r="G63" s="4"/>
      <c r="H63" s="149"/>
      <c r="K63"/>
      <c r="L63"/>
    </row>
    <row r="64" spans="5:12" s="5" customFormat="1" x14ac:dyDescent="0.2">
      <c r="E64" s="4"/>
      <c r="G64" s="4"/>
      <c r="H64" s="149"/>
      <c r="K64"/>
      <c r="L64"/>
    </row>
    <row r="65" spans="5:12" s="5" customFormat="1" x14ac:dyDescent="0.2">
      <c r="E65" s="4"/>
      <c r="G65" s="4"/>
      <c r="H65" s="149"/>
      <c r="K65"/>
      <c r="L65"/>
    </row>
    <row r="66" spans="5:12" s="5" customFormat="1" x14ac:dyDescent="0.2">
      <c r="E66" s="4"/>
      <c r="G66" s="4"/>
      <c r="H66" s="149"/>
      <c r="K66"/>
      <c r="L66"/>
    </row>
    <row r="67" spans="5:12" s="5" customFormat="1" x14ac:dyDescent="0.2">
      <c r="E67" s="4"/>
      <c r="G67" s="4"/>
      <c r="H67" s="149"/>
      <c r="K67"/>
      <c r="L67"/>
    </row>
    <row r="68" spans="5:12" s="5" customFormat="1" x14ac:dyDescent="0.2">
      <c r="E68" s="4"/>
      <c r="G68" s="4"/>
      <c r="H68" s="149"/>
      <c r="K68"/>
      <c r="L68"/>
    </row>
    <row r="69" spans="5:12" s="5" customFormat="1" x14ac:dyDescent="0.2">
      <c r="E69" s="4"/>
      <c r="G69" s="4"/>
      <c r="H69" s="149"/>
      <c r="K69"/>
      <c r="L69"/>
    </row>
    <row r="70" spans="5:12" s="5" customFormat="1" x14ac:dyDescent="0.2">
      <c r="E70" s="4"/>
      <c r="G70" s="4"/>
      <c r="H70" s="149"/>
      <c r="K70"/>
      <c r="L70"/>
    </row>
    <row r="71" spans="5:12" s="5" customFormat="1" x14ac:dyDescent="0.2">
      <c r="E71" s="4"/>
      <c r="G71" s="4"/>
      <c r="H71" s="149"/>
      <c r="K71"/>
      <c r="L71"/>
    </row>
    <row r="72" spans="5:12" s="5" customFormat="1" x14ac:dyDescent="0.2">
      <c r="E72" s="4"/>
      <c r="G72" s="4"/>
      <c r="H72" s="149"/>
      <c r="K72"/>
      <c r="L72"/>
    </row>
    <row r="73" spans="5:12" s="5" customFormat="1" x14ac:dyDescent="0.2">
      <c r="E73" s="4"/>
      <c r="G73" s="4"/>
      <c r="H73" s="149"/>
      <c r="K73"/>
      <c r="L73"/>
    </row>
    <row r="74" spans="5:12" s="5" customFormat="1" x14ac:dyDescent="0.2">
      <c r="E74" s="4"/>
      <c r="G74" s="4"/>
      <c r="H74" s="149"/>
      <c r="K74"/>
      <c r="L74"/>
    </row>
    <row r="75" spans="5:12" s="5" customFormat="1" x14ac:dyDescent="0.2">
      <c r="E75" s="4"/>
      <c r="G75" s="4"/>
      <c r="H75" s="149"/>
      <c r="K75"/>
      <c r="L75"/>
    </row>
    <row r="76" spans="5:12" s="5" customFormat="1" x14ac:dyDescent="0.2">
      <c r="E76" s="4"/>
      <c r="G76" s="4"/>
      <c r="H76" s="149"/>
      <c r="K76"/>
      <c r="L76"/>
    </row>
    <row r="77" spans="5:12" s="5" customFormat="1" x14ac:dyDescent="0.2">
      <c r="E77" s="4"/>
      <c r="G77" s="4"/>
      <c r="H77" s="149"/>
      <c r="K77"/>
      <c r="L77"/>
    </row>
    <row r="78" spans="5:12" s="5" customFormat="1" x14ac:dyDescent="0.2">
      <c r="E78" s="4"/>
      <c r="G78" s="4"/>
      <c r="H78" s="149"/>
      <c r="K78"/>
      <c r="L78"/>
    </row>
    <row r="79" spans="5:12" s="5" customFormat="1" x14ac:dyDescent="0.2">
      <c r="E79" s="4"/>
      <c r="G79" s="4"/>
      <c r="H79" s="149"/>
      <c r="K79"/>
      <c r="L79"/>
    </row>
    <row r="80" spans="5:12" s="5" customFormat="1" x14ac:dyDescent="0.2">
      <c r="E80" s="4"/>
      <c r="G80" s="4"/>
      <c r="H80" s="149"/>
      <c r="K80"/>
      <c r="L80"/>
    </row>
    <row r="81" spans="5:12" s="5" customFormat="1" x14ac:dyDescent="0.2">
      <c r="E81" s="4"/>
      <c r="G81" s="4"/>
      <c r="H81" s="149"/>
      <c r="K81"/>
      <c r="L81"/>
    </row>
    <row r="82" spans="5:12" s="5" customFormat="1" x14ac:dyDescent="0.2">
      <c r="E82" s="4"/>
      <c r="G82" s="4"/>
      <c r="H82" s="149"/>
      <c r="K82"/>
      <c r="L82"/>
    </row>
    <row r="83" spans="5:12" s="5" customFormat="1" x14ac:dyDescent="0.2">
      <c r="E83" s="4"/>
      <c r="G83" s="4"/>
      <c r="H83" s="149"/>
      <c r="K83"/>
      <c r="L83"/>
    </row>
    <row r="84" spans="5:12" s="5" customFormat="1" x14ac:dyDescent="0.2">
      <c r="E84" s="4"/>
      <c r="G84" s="4"/>
      <c r="H84" s="149"/>
      <c r="K84"/>
      <c r="L84"/>
    </row>
    <row r="85" spans="5:12" s="5" customFormat="1" x14ac:dyDescent="0.2">
      <c r="E85" s="4"/>
      <c r="G85" s="4"/>
      <c r="H85" s="149"/>
      <c r="K85"/>
      <c r="L85"/>
    </row>
    <row r="86" spans="5:12" s="5" customFormat="1" x14ac:dyDescent="0.2">
      <c r="E86" s="4"/>
      <c r="G86" s="4"/>
      <c r="H86" s="149"/>
      <c r="K86"/>
      <c r="L86"/>
    </row>
    <row r="87" spans="5:12" s="5" customFormat="1" x14ac:dyDescent="0.2">
      <c r="E87" s="4"/>
      <c r="G87" s="4"/>
      <c r="H87" s="149"/>
      <c r="K87"/>
      <c r="L87"/>
    </row>
    <row r="88" spans="5:12" s="5" customFormat="1" x14ac:dyDescent="0.2">
      <c r="E88" s="4"/>
      <c r="G88" s="4"/>
      <c r="H88" s="149"/>
      <c r="K88"/>
      <c r="L88"/>
    </row>
    <row r="89" spans="5:12" s="5" customFormat="1" x14ac:dyDescent="0.2">
      <c r="E89" s="4"/>
      <c r="G89" s="4"/>
      <c r="H89" s="149"/>
      <c r="K89"/>
      <c r="L89"/>
    </row>
    <row r="90" spans="5:12" s="5" customFormat="1" x14ac:dyDescent="0.2">
      <c r="E90" s="4"/>
      <c r="G90" s="4"/>
      <c r="H90" s="149"/>
      <c r="K90"/>
      <c r="L90"/>
    </row>
    <row r="91" spans="5:12" s="5" customFormat="1" x14ac:dyDescent="0.2">
      <c r="E91" s="4"/>
      <c r="G91" s="4"/>
      <c r="H91" s="149"/>
      <c r="K91"/>
      <c r="L91"/>
    </row>
    <row r="92" spans="5:12" s="5" customFormat="1" x14ac:dyDescent="0.2">
      <c r="E92" s="4"/>
      <c r="G92" s="4"/>
      <c r="H92" s="149"/>
      <c r="K92"/>
      <c r="L92"/>
    </row>
    <row r="93" spans="5:12" s="5" customFormat="1" x14ac:dyDescent="0.2">
      <c r="E93" s="4"/>
      <c r="G93" s="4"/>
      <c r="H93" s="149"/>
      <c r="K93"/>
      <c r="L93"/>
    </row>
    <row r="94" spans="5:12" s="5" customFormat="1" x14ac:dyDescent="0.2">
      <c r="E94" s="4"/>
      <c r="G94" s="4"/>
      <c r="H94" s="149"/>
      <c r="K94"/>
      <c r="L94"/>
    </row>
    <row r="95" spans="5:12" s="5" customFormat="1" x14ac:dyDescent="0.2">
      <c r="E95" s="4"/>
      <c r="G95" s="4"/>
      <c r="H95" s="149"/>
      <c r="K95"/>
      <c r="L95"/>
    </row>
    <row r="96" spans="5:12" s="5" customFormat="1" x14ac:dyDescent="0.2">
      <c r="E96" s="4"/>
      <c r="G96" s="4"/>
      <c r="H96" s="149"/>
      <c r="K96"/>
      <c r="L96"/>
    </row>
    <row r="97" spans="5:12" s="5" customFormat="1" x14ac:dyDescent="0.2">
      <c r="E97" s="4"/>
      <c r="G97" s="4"/>
      <c r="H97" s="149"/>
      <c r="K97"/>
      <c r="L97"/>
    </row>
    <row r="98" spans="5:12" s="5" customFormat="1" x14ac:dyDescent="0.2">
      <c r="E98" s="4"/>
      <c r="G98" s="4"/>
      <c r="H98" s="149"/>
      <c r="K98"/>
      <c r="L98"/>
    </row>
    <row r="99" spans="5:12" s="5" customFormat="1" x14ac:dyDescent="0.2">
      <c r="E99" s="4"/>
      <c r="G99" s="4"/>
      <c r="H99" s="149"/>
      <c r="K99"/>
      <c r="L99"/>
    </row>
    <row r="100" spans="5:12" s="5" customFormat="1" x14ac:dyDescent="0.2">
      <c r="E100" s="4"/>
      <c r="G100" s="4"/>
      <c r="H100" s="149"/>
      <c r="K100"/>
      <c r="L100"/>
    </row>
    <row r="101" spans="5:12" s="5" customFormat="1" x14ac:dyDescent="0.2">
      <c r="E101" s="4"/>
      <c r="G101" s="4"/>
      <c r="H101" s="149"/>
      <c r="K101"/>
      <c r="L101"/>
    </row>
    <row r="102" spans="5:12" s="5" customFormat="1" x14ac:dyDescent="0.2">
      <c r="E102" s="4"/>
      <c r="G102" s="4"/>
      <c r="H102" s="149"/>
      <c r="K102"/>
      <c r="L102"/>
    </row>
    <row r="103" spans="5:12" s="5" customFormat="1" x14ac:dyDescent="0.2">
      <c r="E103" s="4"/>
      <c r="G103" s="4"/>
      <c r="H103" s="149"/>
      <c r="K103"/>
      <c r="L103"/>
    </row>
    <row r="104" spans="5:12" s="5" customFormat="1" x14ac:dyDescent="0.2">
      <c r="E104" s="4"/>
      <c r="G104" s="4"/>
      <c r="H104" s="149"/>
      <c r="K104"/>
      <c r="L104"/>
    </row>
    <row r="105" spans="5:12" s="5" customFormat="1" x14ac:dyDescent="0.2">
      <c r="E105" s="4"/>
      <c r="G105" s="4"/>
      <c r="H105" s="149"/>
      <c r="K105"/>
      <c r="L105"/>
    </row>
    <row r="106" spans="5:12" s="5" customFormat="1" x14ac:dyDescent="0.2">
      <c r="E106" s="4"/>
      <c r="G106" s="4"/>
      <c r="H106" s="149"/>
      <c r="K106"/>
      <c r="L106"/>
    </row>
    <row r="107" spans="5:12" s="5" customFormat="1" x14ac:dyDescent="0.2">
      <c r="E107" s="4"/>
      <c r="G107" s="4"/>
      <c r="H107" s="149"/>
      <c r="K107"/>
      <c r="L107"/>
    </row>
    <row r="108" spans="5:12" s="5" customFormat="1" x14ac:dyDescent="0.2">
      <c r="E108" s="4"/>
      <c r="G108" s="4"/>
      <c r="H108" s="149"/>
      <c r="K108"/>
      <c r="L108"/>
    </row>
    <row r="109" spans="5:12" s="5" customFormat="1" x14ac:dyDescent="0.2">
      <c r="E109" s="4"/>
      <c r="G109" s="4"/>
      <c r="H109" s="149"/>
      <c r="K109"/>
      <c r="L109"/>
    </row>
    <row r="110" spans="5:12" s="5" customFormat="1" x14ac:dyDescent="0.2">
      <c r="E110" s="4"/>
      <c r="G110" s="4"/>
      <c r="H110" s="149"/>
      <c r="K110"/>
      <c r="L110"/>
    </row>
    <row r="111" spans="5:12" s="5" customFormat="1" x14ac:dyDescent="0.2">
      <c r="E111" s="4"/>
      <c r="G111" s="4"/>
      <c r="H111" s="149"/>
      <c r="K111"/>
      <c r="L111"/>
    </row>
    <row r="112" spans="5:12" s="5" customFormat="1" x14ac:dyDescent="0.2">
      <c r="E112" s="4"/>
      <c r="G112" s="4"/>
      <c r="H112" s="149"/>
      <c r="K112"/>
      <c r="L112"/>
    </row>
    <row r="113" spans="5:12" s="5" customFormat="1" x14ac:dyDescent="0.2">
      <c r="E113" s="4"/>
      <c r="G113" s="4"/>
      <c r="H113" s="149"/>
      <c r="K113"/>
      <c r="L113"/>
    </row>
    <row r="114" spans="5:12" s="5" customFormat="1" x14ac:dyDescent="0.2">
      <c r="E114" s="4"/>
      <c r="G114" s="4"/>
      <c r="H114" s="149"/>
      <c r="K114"/>
      <c r="L114"/>
    </row>
    <row r="115" spans="5:12" s="5" customFormat="1" x14ac:dyDescent="0.2">
      <c r="E115" s="4"/>
      <c r="G115" s="4"/>
      <c r="H115" s="149"/>
      <c r="K115"/>
      <c r="L115"/>
    </row>
    <row r="116" spans="5:12" s="5" customFormat="1" x14ac:dyDescent="0.2">
      <c r="E116" s="4"/>
      <c r="G116" s="4"/>
      <c r="H116" s="149"/>
      <c r="K116"/>
      <c r="L116"/>
    </row>
    <row r="117" spans="5:12" s="5" customFormat="1" x14ac:dyDescent="0.2">
      <c r="E117" s="4"/>
      <c r="G117" s="4"/>
      <c r="H117" s="149"/>
      <c r="K117"/>
      <c r="L117"/>
    </row>
    <row r="118" spans="5:12" s="5" customFormat="1" x14ac:dyDescent="0.2">
      <c r="E118" s="4"/>
      <c r="G118" s="4"/>
      <c r="H118" s="149"/>
      <c r="K118"/>
      <c r="L118"/>
    </row>
    <row r="119" spans="5:12" s="5" customFormat="1" x14ac:dyDescent="0.2">
      <c r="E119" s="4"/>
      <c r="G119" s="4"/>
      <c r="H119" s="149"/>
      <c r="K119"/>
      <c r="L119"/>
    </row>
    <row r="120" spans="5:12" s="5" customFormat="1" x14ac:dyDescent="0.2">
      <c r="E120" s="4"/>
      <c r="G120" s="4"/>
      <c r="H120" s="149"/>
      <c r="K120"/>
      <c r="L120"/>
    </row>
    <row r="121" spans="5:12" s="5" customFormat="1" x14ac:dyDescent="0.2">
      <c r="E121" s="4"/>
      <c r="G121" s="4"/>
      <c r="H121" s="149"/>
      <c r="K121"/>
      <c r="L121"/>
    </row>
    <row r="122" spans="5:12" s="5" customFormat="1" x14ac:dyDescent="0.2">
      <c r="E122" s="4"/>
      <c r="G122" s="4"/>
      <c r="H122" s="149"/>
      <c r="K122"/>
      <c r="L122"/>
    </row>
    <row r="123" spans="5:12" s="5" customFormat="1" x14ac:dyDescent="0.2">
      <c r="E123" s="4"/>
      <c r="G123" s="4"/>
      <c r="H123" s="149"/>
      <c r="K123"/>
      <c r="L123"/>
    </row>
    <row r="124" spans="5:12" s="5" customFormat="1" x14ac:dyDescent="0.2">
      <c r="E124" s="4"/>
      <c r="G124" s="4"/>
      <c r="H124" s="149"/>
      <c r="K124"/>
      <c r="L124"/>
    </row>
    <row r="125" spans="5:12" s="5" customFormat="1" x14ac:dyDescent="0.2">
      <c r="E125" s="4"/>
      <c r="G125" s="4"/>
      <c r="H125" s="149"/>
      <c r="K125"/>
      <c r="L125"/>
    </row>
    <row r="126" spans="5:12" s="5" customFormat="1" x14ac:dyDescent="0.2">
      <c r="E126" s="4"/>
      <c r="G126" s="4"/>
      <c r="H126" s="149"/>
      <c r="K126"/>
      <c r="L126"/>
    </row>
    <row r="127" spans="5:12" s="5" customFormat="1" x14ac:dyDescent="0.2">
      <c r="E127" s="4"/>
      <c r="G127" s="4"/>
      <c r="H127" s="149"/>
      <c r="K127"/>
      <c r="L127"/>
    </row>
    <row r="128" spans="5:12" s="5" customFormat="1" x14ac:dyDescent="0.2">
      <c r="E128" s="4"/>
      <c r="G128" s="4"/>
      <c r="H128" s="149"/>
      <c r="K128"/>
      <c r="L128"/>
    </row>
    <row r="129" spans="5:12" s="5" customFormat="1" x14ac:dyDescent="0.2">
      <c r="E129" s="4"/>
      <c r="G129" s="4"/>
      <c r="H129" s="149"/>
      <c r="K129"/>
      <c r="L129"/>
    </row>
    <row r="130" spans="5:12" s="5" customFormat="1" x14ac:dyDescent="0.2">
      <c r="E130" s="4"/>
      <c r="G130" s="4"/>
      <c r="H130" s="149"/>
      <c r="K130"/>
      <c r="L130"/>
    </row>
    <row r="131" spans="5:12" s="5" customFormat="1" x14ac:dyDescent="0.2">
      <c r="E131" s="4"/>
      <c r="G131" s="4"/>
      <c r="H131" s="149"/>
      <c r="K131"/>
      <c r="L131"/>
    </row>
    <row r="132" spans="5:12" s="5" customFormat="1" x14ac:dyDescent="0.2">
      <c r="E132" s="4"/>
      <c r="G132" s="4"/>
      <c r="H132" s="149"/>
      <c r="K132"/>
      <c r="L132"/>
    </row>
    <row r="133" spans="5:12" s="5" customFormat="1" x14ac:dyDescent="0.2">
      <c r="E133" s="4"/>
      <c r="G133" s="4"/>
      <c r="H133" s="149"/>
      <c r="K133"/>
      <c r="L133"/>
    </row>
    <row r="134" spans="5:12" s="5" customFormat="1" x14ac:dyDescent="0.2">
      <c r="E134" s="4"/>
      <c r="G134" s="4"/>
      <c r="H134" s="149"/>
      <c r="K134"/>
      <c r="L134"/>
    </row>
    <row r="135" spans="5:12" s="5" customFormat="1" x14ac:dyDescent="0.2">
      <c r="E135" s="4"/>
      <c r="G135" s="4"/>
      <c r="H135" s="149"/>
      <c r="K135"/>
      <c r="L135"/>
    </row>
    <row r="136" spans="5:12" s="5" customFormat="1" x14ac:dyDescent="0.2">
      <c r="E136" s="4"/>
      <c r="G136" s="4"/>
      <c r="H136" s="149"/>
      <c r="K136"/>
      <c r="L136"/>
    </row>
    <row r="137" spans="5:12" s="5" customFormat="1" x14ac:dyDescent="0.2">
      <c r="E137" s="4"/>
      <c r="G137" s="4"/>
      <c r="H137" s="149"/>
      <c r="K137"/>
      <c r="L137"/>
    </row>
    <row r="138" spans="5:12" s="5" customFormat="1" x14ac:dyDescent="0.2">
      <c r="E138" s="4"/>
      <c r="G138" s="4"/>
      <c r="H138" s="149"/>
      <c r="K138"/>
      <c r="L138"/>
    </row>
    <row r="139" spans="5:12" s="5" customFormat="1" x14ac:dyDescent="0.2">
      <c r="E139" s="4"/>
      <c r="G139" s="4"/>
      <c r="H139" s="149"/>
      <c r="K139"/>
      <c r="L139"/>
    </row>
    <row r="140" spans="5:12" s="5" customFormat="1" x14ac:dyDescent="0.2">
      <c r="E140" s="4"/>
      <c r="G140" s="4"/>
      <c r="H140" s="149"/>
      <c r="K140"/>
      <c r="L140"/>
    </row>
    <row r="141" spans="5:12" s="5" customFormat="1" x14ac:dyDescent="0.2">
      <c r="E141" s="4"/>
      <c r="G141" s="4"/>
      <c r="H141" s="149"/>
      <c r="K141"/>
      <c r="L141"/>
    </row>
    <row r="142" spans="5:12" s="5" customFormat="1" x14ac:dyDescent="0.2">
      <c r="E142" s="4"/>
      <c r="G142" s="4"/>
      <c r="H142" s="149"/>
      <c r="K142"/>
      <c r="L142"/>
    </row>
    <row r="143" spans="5:12" s="5" customFormat="1" x14ac:dyDescent="0.2">
      <c r="E143" s="4"/>
      <c r="G143" s="4"/>
      <c r="H143" s="149"/>
      <c r="K143"/>
      <c r="L143"/>
    </row>
    <row r="144" spans="5:12" s="5" customFormat="1" x14ac:dyDescent="0.2">
      <c r="E144" s="4"/>
      <c r="G144" s="4"/>
      <c r="H144" s="149"/>
      <c r="K144"/>
      <c r="L144"/>
    </row>
    <row r="145" spans="5:12" s="5" customFormat="1" x14ac:dyDescent="0.2">
      <c r="E145" s="4"/>
      <c r="G145" s="4"/>
      <c r="H145" s="149"/>
      <c r="K145"/>
      <c r="L145"/>
    </row>
    <row r="146" spans="5:12" s="5" customFormat="1" x14ac:dyDescent="0.2">
      <c r="E146" s="4"/>
      <c r="G146" s="4"/>
      <c r="H146" s="149"/>
      <c r="K146"/>
      <c r="L146"/>
    </row>
    <row r="147" spans="5:12" s="5" customFormat="1" x14ac:dyDescent="0.2">
      <c r="E147" s="4"/>
      <c r="G147" s="4"/>
      <c r="H147" s="149"/>
      <c r="K147"/>
      <c r="L147"/>
    </row>
    <row r="148" spans="5:12" s="5" customFormat="1" x14ac:dyDescent="0.2">
      <c r="E148" s="4"/>
      <c r="G148" s="4"/>
      <c r="H148" s="149"/>
      <c r="K148"/>
      <c r="L148"/>
    </row>
    <row r="149" spans="5:12" s="5" customFormat="1" x14ac:dyDescent="0.2">
      <c r="E149" s="4"/>
      <c r="G149" s="4"/>
      <c r="H149" s="149"/>
      <c r="K149"/>
      <c r="L149"/>
    </row>
    <row r="150" spans="5:12" s="5" customFormat="1" x14ac:dyDescent="0.2">
      <c r="E150" s="4"/>
      <c r="G150" s="4"/>
      <c r="H150" s="149"/>
      <c r="K150"/>
      <c r="L150"/>
    </row>
    <row r="151" spans="5:12" s="5" customFormat="1" x14ac:dyDescent="0.2">
      <c r="E151" s="4"/>
      <c r="G151" s="4"/>
      <c r="H151" s="149"/>
      <c r="K151"/>
      <c r="L151"/>
    </row>
    <row r="152" spans="5:12" s="5" customFormat="1" x14ac:dyDescent="0.2">
      <c r="E152" s="4"/>
      <c r="G152" s="4"/>
      <c r="H152" s="149"/>
      <c r="K152"/>
      <c r="L152"/>
    </row>
    <row r="153" spans="5:12" s="5" customFormat="1" x14ac:dyDescent="0.2">
      <c r="E153" s="4"/>
      <c r="G153" s="4"/>
      <c r="H153" s="149"/>
      <c r="K153"/>
      <c r="L153"/>
    </row>
    <row r="154" spans="5:12" s="5" customFormat="1" x14ac:dyDescent="0.2">
      <c r="E154" s="4"/>
      <c r="G154" s="4"/>
      <c r="H154" s="149"/>
      <c r="K154"/>
      <c r="L154"/>
    </row>
    <row r="155" spans="5:12" s="5" customFormat="1" x14ac:dyDescent="0.2">
      <c r="E155" s="4"/>
      <c r="G155" s="4"/>
      <c r="H155" s="149"/>
      <c r="K155"/>
      <c r="L155"/>
    </row>
    <row r="156" spans="5:12" s="5" customFormat="1" x14ac:dyDescent="0.2">
      <c r="E156" s="4"/>
      <c r="G156" s="4"/>
      <c r="H156" s="149"/>
      <c r="K156"/>
      <c r="L156"/>
    </row>
    <row r="157" spans="5:12" s="5" customFormat="1" x14ac:dyDescent="0.2">
      <c r="E157" s="4"/>
      <c r="G157" s="4"/>
      <c r="H157" s="149"/>
      <c r="K157"/>
      <c r="L157"/>
    </row>
    <row r="158" spans="5:12" s="5" customFormat="1" x14ac:dyDescent="0.2">
      <c r="E158" s="4"/>
      <c r="G158" s="4"/>
      <c r="H158" s="149"/>
      <c r="K158"/>
      <c r="L158"/>
    </row>
    <row r="159" spans="5:12" s="5" customFormat="1" x14ac:dyDescent="0.2">
      <c r="E159" s="4"/>
      <c r="G159" s="4"/>
      <c r="H159" s="149"/>
      <c r="K159"/>
      <c r="L159"/>
    </row>
    <row r="160" spans="5:12" s="5" customFormat="1" x14ac:dyDescent="0.2">
      <c r="E160" s="4"/>
      <c r="G160" s="4"/>
      <c r="H160" s="149"/>
      <c r="K160"/>
      <c r="L160"/>
    </row>
    <row r="161" spans="5:12" s="5" customFormat="1" x14ac:dyDescent="0.2">
      <c r="E161" s="4"/>
      <c r="G161" s="4"/>
      <c r="H161" s="149"/>
      <c r="K161"/>
      <c r="L161"/>
    </row>
    <row r="162" spans="5:12" s="5" customFormat="1" x14ac:dyDescent="0.2">
      <c r="E162" s="4"/>
      <c r="G162" s="4"/>
      <c r="H162" s="149"/>
      <c r="K162"/>
      <c r="L162"/>
    </row>
    <row r="163" spans="5:12" s="5" customFormat="1" x14ac:dyDescent="0.2">
      <c r="E163" s="4"/>
      <c r="G163" s="4"/>
      <c r="H163" s="149"/>
      <c r="K163"/>
      <c r="L163"/>
    </row>
    <row r="164" spans="5:12" s="5" customFormat="1" x14ac:dyDescent="0.2">
      <c r="E164" s="4"/>
      <c r="G164" s="4"/>
      <c r="H164" s="149"/>
      <c r="K164"/>
      <c r="L164"/>
    </row>
    <row r="165" spans="5:12" s="5" customFormat="1" x14ac:dyDescent="0.2">
      <c r="E165" s="4"/>
      <c r="G165" s="4"/>
      <c r="H165" s="149"/>
      <c r="K165"/>
      <c r="L165"/>
    </row>
    <row r="166" spans="5:12" s="5" customFormat="1" x14ac:dyDescent="0.2">
      <c r="E166" s="4"/>
      <c r="G166" s="4"/>
      <c r="H166" s="149"/>
      <c r="K166"/>
      <c r="L166"/>
    </row>
    <row r="167" spans="5:12" s="5" customFormat="1" x14ac:dyDescent="0.2">
      <c r="E167" s="4"/>
      <c r="G167" s="4"/>
      <c r="H167" s="149"/>
      <c r="K167"/>
      <c r="L167"/>
    </row>
    <row r="168" spans="5:12" s="5" customFormat="1" x14ac:dyDescent="0.2">
      <c r="E168" s="4"/>
      <c r="G168" s="4"/>
      <c r="H168" s="149"/>
      <c r="K168"/>
      <c r="L168"/>
    </row>
    <row r="169" spans="5:12" s="5" customFormat="1" x14ac:dyDescent="0.2">
      <c r="E169" s="4"/>
      <c r="G169" s="4"/>
      <c r="H169" s="149"/>
      <c r="K169"/>
      <c r="L169"/>
    </row>
    <row r="170" spans="5:12" s="5" customFormat="1" x14ac:dyDescent="0.2">
      <c r="E170" s="4"/>
      <c r="G170" s="4"/>
      <c r="H170" s="149"/>
      <c r="K170"/>
      <c r="L170"/>
    </row>
    <row r="171" spans="5:12" s="5" customFormat="1" x14ac:dyDescent="0.2">
      <c r="E171" s="4"/>
      <c r="G171" s="4"/>
      <c r="H171" s="149"/>
      <c r="K171"/>
      <c r="L171"/>
    </row>
    <row r="172" spans="5:12" s="5" customFormat="1" x14ac:dyDescent="0.2">
      <c r="E172" s="4"/>
      <c r="G172" s="4"/>
      <c r="H172" s="149"/>
      <c r="K172"/>
      <c r="L172"/>
    </row>
    <row r="173" spans="5:12" s="5" customFormat="1" x14ac:dyDescent="0.2">
      <c r="E173" s="4"/>
      <c r="G173" s="4"/>
      <c r="H173" s="149"/>
      <c r="K173"/>
      <c r="L173"/>
    </row>
    <row r="174" spans="5:12" s="5" customFormat="1" x14ac:dyDescent="0.2">
      <c r="E174" s="4"/>
      <c r="G174" s="4"/>
      <c r="H174" s="149"/>
      <c r="K174"/>
      <c r="L174"/>
    </row>
    <row r="175" spans="5:12" s="5" customFormat="1" x14ac:dyDescent="0.2">
      <c r="E175" s="4"/>
      <c r="G175" s="4"/>
      <c r="H175" s="149"/>
      <c r="K175"/>
      <c r="L175"/>
    </row>
    <row r="176" spans="5:12" s="5" customFormat="1" x14ac:dyDescent="0.2">
      <c r="E176" s="4"/>
      <c r="G176" s="4"/>
      <c r="H176" s="149"/>
      <c r="K176"/>
      <c r="L176"/>
    </row>
    <row r="177" spans="5:12" s="5" customFormat="1" x14ac:dyDescent="0.2">
      <c r="E177" s="4"/>
      <c r="G177" s="4"/>
      <c r="H177" s="149"/>
      <c r="K177"/>
      <c r="L177"/>
    </row>
    <row r="178" spans="5:12" s="5" customFormat="1" x14ac:dyDescent="0.2">
      <c r="E178" s="4"/>
      <c r="G178" s="4"/>
      <c r="H178" s="149"/>
      <c r="K178"/>
      <c r="L178"/>
    </row>
    <row r="179" spans="5:12" s="5" customFormat="1" x14ac:dyDescent="0.2">
      <c r="E179" s="4"/>
      <c r="G179" s="4"/>
      <c r="H179" s="149"/>
      <c r="K179"/>
      <c r="L179"/>
    </row>
    <row r="180" spans="5:12" s="5" customFormat="1" x14ac:dyDescent="0.2">
      <c r="E180" s="4"/>
      <c r="G180" s="4"/>
      <c r="H180" s="149"/>
      <c r="K180"/>
      <c r="L180"/>
    </row>
    <row r="181" spans="5:12" s="5" customFormat="1" x14ac:dyDescent="0.2">
      <c r="E181" s="4"/>
      <c r="G181" s="4"/>
      <c r="H181" s="149"/>
      <c r="K181"/>
      <c r="L181"/>
    </row>
    <row r="182" spans="5:12" s="5" customFormat="1" x14ac:dyDescent="0.2">
      <c r="E182" s="4"/>
      <c r="G182" s="4"/>
      <c r="H182" s="149"/>
      <c r="K182"/>
      <c r="L182"/>
    </row>
    <row r="183" spans="5:12" s="5" customFormat="1" x14ac:dyDescent="0.2">
      <c r="E183" s="4"/>
      <c r="G183" s="4"/>
      <c r="H183" s="149"/>
      <c r="K183"/>
      <c r="L183"/>
    </row>
    <row r="184" spans="5:12" s="5" customFormat="1" x14ac:dyDescent="0.2">
      <c r="E184" s="4"/>
      <c r="G184" s="4"/>
      <c r="H184" s="149"/>
      <c r="K184"/>
      <c r="L184"/>
    </row>
    <row r="185" spans="5:12" s="5" customFormat="1" x14ac:dyDescent="0.2">
      <c r="E185" s="4"/>
      <c r="G185" s="4"/>
      <c r="H185" s="149"/>
      <c r="K185"/>
      <c r="L185"/>
    </row>
    <row r="186" spans="5:12" s="5" customFormat="1" x14ac:dyDescent="0.2">
      <c r="E186" s="4"/>
      <c r="G186" s="4"/>
      <c r="H186" s="149"/>
      <c r="K186"/>
      <c r="L186"/>
    </row>
    <row r="187" spans="5:12" s="5" customFormat="1" x14ac:dyDescent="0.2">
      <c r="E187" s="4"/>
      <c r="G187" s="4"/>
      <c r="H187" s="149"/>
      <c r="K187"/>
      <c r="L187"/>
    </row>
    <row r="188" spans="5:12" s="5" customFormat="1" x14ac:dyDescent="0.2">
      <c r="E188" s="4"/>
      <c r="G188" s="4"/>
      <c r="H188" s="149"/>
      <c r="K188"/>
      <c r="L188"/>
    </row>
    <row r="189" spans="5:12" s="5" customFormat="1" x14ac:dyDescent="0.2">
      <c r="E189" s="4"/>
      <c r="G189" s="4"/>
      <c r="H189" s="149"/>
      <c r="K189"/>
      <c r="L189"/>
    </row>
    <row r="190" spans="5:12" s="5" customFormat="1" x14ac:dyDescent="0.2">
      <c r="E190" s="4"/>
      <c r="G190" s="4"/>
      <c r="H190" s="149"/>
      <c r="K190"/>
      <c r="L190"/>
    </row>
    <row r="191" spans="5:12" s="5" customFormat="1" x14ac:dyDescent="0.2">
      <c r="E191" s="4"/>
      <c r="G191" s="4"/>
      <c r="H191" s="149"/>
      <c r="K191"/>
      <c r="L191"/>
    </row>
    <row r="192" spans="5:12" s="5" customFormat="1" x14ac:dyDescent="0.2">
      <c r="E192" s="4"/>
      <c r="G192" s="4"/>
      <c r="H192" s="149"/>
      <c r="K192"/>
      <c r="L192"/>
    </row>
    <row r="193" spans="5:12" s="5" customFormat="1" x14ac:dyDescent="0.2">
      <c r="E193" s="4"/>
      <c r="G193" s="4"/>
      <c r="H193" s="149"/>
      <c r="K193"/>
      <c r="L193"/>
    </row>
    <row r="194" spans="5:12" s="5" customFormat="1" x14ac:dyDescent="0.2">
      <c r="E194" s="4"/>
      <c r="G194" s="4"/>
      <c r="H194" s="149"/>
      <c r="K194"/>
      <c r="L194"/>
    </row>
    <row r="195" spans="5:12" s="5" customFormat="1" x14ac:dyDescent="0.2">
      <c r="E195" s="4"/>
      <c r="G195" s="4"/>
      <c r="H195" s="149"/>
      <c r="K195"/>
      <c r="L195"/>
    </row>
    <row r="196" spans="5:12" s="5" customFormat="1" x14ac:dyDescent="0.2">
      <c r="E196" s="4"/>
      <c r="G196" s="4"/>
      <c r="H196" s="149"/>
      <c r="K196"/>
      <c r="L196"/>
    </row>
    <row r="197" spans="5:12" s="5" customFormat="1" x14ac:dyDescent="0.2">
      <c r="E197" s="4"/>
      <c r="G197" s="4"/>
      <c r="H197" s="149"/>
      <c r="K197"/>
      <c r="L197"/>
    </row>
    <row r="198" spans="5:12" s="5" customFormat="1" x14ac:dyDescent="0.2">
      <c r="E198" s="4"/>
      <c r="G198" s="4"/>
      <c r="H198" s="149"/>
      <c r="K198"/>
      <c r="L198"/>
    </row>
    <row r="199" spans="5:12" s="5" customFormat="1" x14ac:dyDescent="0.2">
      <c r="E199" s="4"/>
      <c r="G199" s="4"/>
      <c r="H199" s="149"/>
      <c r="K199"/>
      <c r="L199"/>
    </row>
    <row r="200" spans="5:12" s="5" customFormat="1" x14ac:dyDescent="0.2">
      <c r="E200" s="4"/>
      <c r="G200" s="4"/>
      <c r="H200" s="149"/>
      <c r="K200"/>
      <c r="L200"/>
    </row>
    <row r="201" spans="5:12" s="5" customFormat="1" x14ac:dyDescent="0.2">
      <c r="E201" s="4"/>
      <c r="G201" s="4"/>
      <c r="H201" s="149"/>
      <c r="K201"/>
      <c r="L201"/>
    </row>
    <row r="202" spans="5:12" s="5" customFormat="1" x14ac:dyDescent="0.2">
      <c r="E202" s="4"/>
      <c r="G202" s="4"/>
      <c r="H202" s="149"/>
      <c r="K202"/>
      <c r="L202"/>
    </row>
    <row r="203" spans="5:12" s="5" customFormat="1" x14ac:dyDescent="0.2">
      <c r="E203" s="4"/>
      <c r="G203" s="4"/>
      <c r="H203" s="149"/>
      <c r="K203"/>
      <c r="L203"/>
    </row>
    <row r="204" spans="5:12" s="5" customFormat="1" x14ac:dyDescent="0.2">
      <c r="E204" s="4"/>
      <c r="G204" s="4"/>
      <c r="H204" s="149"/>
      <c r="K204"/>
      <c r="L204"/>
    </row>
    <row r="205" spans="5:12" s="5" customFormat="1" x14ac:dyDescent="0.2">
      <c r="E205" s="4"/>
      <c r="G205" s="4"/>
      <c r="H205" s="149"/>
      <c r="K205"/>
      <c r="L205"/>
    </row>
    <row r="206" spans="5:12" s="5" customFormat="1" x14ac:dyDescent="0.2">
      <c r="E206" s="4"/>
      <c r="G206" s="4"/>
      <c r="H206" s="149"/>
      <c r="K206"/>
      <c r="L206"/>
    </row>
    <row r="207" spans="5:12" s="5" customFormat="1" x14ac:dyDescent="0.2">
      <c r="E207" s="4"/>
      <c r="G207" s="4"/>
      <c r="H207" s="149"/>
      <c r="K207"/>
      <c r="L207"/>
    </row>
    <row r="208" spans="5:12" s="5" customFormat="1" x14ac:dyDescent="0.2">
      <c r="E208" s="4"/>
      <c r="G208" s="4"/>
      <c r="H208" s="149"/>
      <c r="K208"/>
      <c r="L208"/>
    </row>
    <row r="209" spans="5:12" s="5" customFormat="1" x14ac:dyDescent="0.2">
      <c r="E209" s="4"/>
      <c r="G209" s="4"/>
      <c r="H209" s="149"/>
      <c r="K209"/>
      <c r="L209"/>
    </row>
    <row r="210" spans="5:12" s="5" customFormat="1" x14ac:dyDescent="0.2">
      <c r="E210" s="4"/>
      <c r="G210" s="4"/>
      <c r="H210" s="149"/>
      <c r="K210"/>
      <c r="L210"/>
    </row>
    <row r="211" spans="5:12" s="5" customFormat="1" x14ac:dyDescent="0.2">
      <c r="E211" s="4"/>
      <c r="G211" s="4"/>
      <c r="H211" s="149"/>
      <c r="K211"/>
      <c r="L211"/>
    </row>
    <row r="212" spans="5:12" s="5" customFormat="1" x14ac:dyDescent="0.2">
      <c r="E212" s="4"/>
      <c r="G212" s="4"/>
      <c r="H212" s="149"/>
      <c r="K212"/>
      <c r="L212"/>
    </row>
    <row r="213" spans="5:12" s="5" customFormat="1" x14ac:dyDescent="0.2">
      <c r="E213" s="4"/>
      <c r="G213" s="4"/>
      <c r="H213" s="149"/>
      <c r="K213"/>
      <c r="L213"/>
    </row>
    <row r="214" spans="5:12" s="5" customFormat="1" x14ac:dyDescent="0.2">
      <c r="E214" s="4"/>
      <c r="G214" s="4"/>
      <c r="H214" s="149"/>
      <c r="K214"/>
      <c r="L214"/>
    </row>
    <row r="215" spans="5:12" s="5" customFormat="1" x14ac:dyDescent="0.2">
      <c r="E215" s="4"/>
      <c r="G215" s="4"/>
      <c r="H215" s="149"/>
      <c r="K215"/>
      <c r="L215"/>
    </row>
    <row r="216" spans="5:12" s="5" customFormat="1" x14ac:dyDescent="0.2">
      <c r="E216" s="4"/>
      <c r="G216" s="4"/>
      <c r="H216" s="149"/>
      <c r="K216"/>
      <c r="L216"/>
    </row>
    <row r="217" spans="5:12" s="5" customFormat="1" x14ac:dyDescent="0.2">
      <c r="E217" s="4"/>
      <c r="G217" s="4"/>
      <c r="H217" s="149"/>
      <c r="K217"/>
      <c r="L217"/>
    </row>
    <row r="218" spans="5:12" s="5" customFormat="1" x14ac:dyDescent="0.2">
      <c r="E218" s="4"/>
      <c r="G218" s="4"/>
      <c r="H218" s="149"/>
      <c r="K218"/>
      <c r="L218"/>
    </row>
    <row r="219" spans="5:12" s="5" customFormat="1" x14ac:dyDescent="0.2">
      <c r="E219" s="4"/>
      <c r="G219" s="4"/>
      <c r="H219" s="149"/>
      <c r="K219"/>
      <c r="L219"/>
    </row>
    <row r="220" spans="5:12" s="5" customFormat="1" x14ac:dyDescent="0.2">
      <c r="E220" s="4"/>
      <c r="G220" s="4"/>
      <c r="H220" s="149"/>
      <c r="K220"/>
      <c r="L220"/>
    </row>
    <row r="221" spans="5:12" s="5" customFormat="1" x14ac:dyDescent="0.2">
      <c r="E221" s="4"/>
      <c r="G221" s="4"/>
      <c r="H221" s="149"/>
      <c r="K221"/>
      <c r="L221"/>
    </row>
    <row r="222" spans="5:12" s="5" customFormat="1" x14ac:dyDescent="0.2">
      <c r="E222" s="4"/>
      <c r="G222" s="4"/>
      <c r="H222" s="149"/>
      <c r="K222"/>
      <c r="L222"/>
    </row>
    <row r="223" spans="5:12" s="5" customFormat="1" x14ac:dyDescent="0.2">
      <c r="E223" s="4"/>
      <c r="G223" s="4"/>
      <c r="H223" s="149"/>
      <c r="K223"/>
      <c r="L223"/>
    </row>
    <row r="224" spans="5:12" s="5" customFormat="1" x14ac:dyDescent="0.2">
      <c r="E224" s="4"/>
      <c r="G224" s="4"/>
      <c r="H224" s="149"/>
      <c r="K224"/>
      <c r="L224"/>
    </row>
    <row r="225" spans="5:12" s="5" customFormat="1" x14ac:dyDescent="0.2">
      <c r="E225" s="4"/>
      <c r="G225" s="4"/>
      <c r="H225" s="149"/>
      <c r="K225"/>
      <c r="L225"/>
    </row>
    <row r="226" spans="5:12" s="5" customFormat="1" x14ac:dyDescent="0.2">
      <c r="E226" s="4"/>
      <c r="G226" s="4"/>
      <c r="H226" s="149"/>
      <c r="K226"/>
      <c r="L226"/>
    </row>
    <row r="227" spans="5:12" s="5" customFormat="1" x14ac:dyDescent="0.2">
      <c r="E227" s="4"/>
      <c r="G227" s="4"/>
      <c r="H227" s="149"/>
      <c r="K227"/>
      <c r="L227"/>
    </row>
    <row r="228" spans="5:12" s="5" customFormat="1" x14ac:dyDescent="0.2">
      <c r="E228" s="4"/>
      <c r="G228" s="4"/>
      <c r="H228" s="149"/>
      <c r="K228"/>
      <c r="L228"/>
    </row>
    <row r="229" spans="5:12" s="5" customFormat="1" x14ac:dyDescent="0.2">
      <c r="E229" s="4"/>
      <c r="G229" s="4"/>
      <c r="H229" s="149"/>
      <c r="K229"/>
      <c r="L229"/>
    </row>
    <row r="230" spans="5:12" s="5" customFormat="1" x14ac:dyDescent="0.2">
      <c r="E230" s="4"/>
      <c r="G230" s="4"/>
      <c r="H230" s="149"/>
      <c r="K230"/>
      <c r="L230"/>
    </row>
    <row r="231" spans="5:12" s="5" customFormat="1" x14ac:dyDescent="0.2">
      <c r="E231" s="4"/>
      <c r="G231" s="4"/>
      <c r="H231" s="149"/>
      <c r="K231"/>
      <c r="L231"/>
    </row>
    <row r="232" spans="5:12" s="5" customFormat="1" x14ac:dyDescent="0.2">
      <c r="E232" s="4"/>
      <c r="G232" s="4"/>
      <c r="H232" s="149"/>
      <c r="K232"/>
      <c r="L232"/>
    </row>
    <row r="233" spans="5:12" s="5" customFormat="1" x14ac:dyDescent="0.2">
      <c r="E233" s="4"/>
      <c r="G233" s="4"/>
      <c r="H233" s="149"/>
      <c r="K233"/>
      <c r="L233"/>
    </row>
    <row r="234" spans="5:12" s="5" customFormat="1" x14ac:dyDescent="0.2">
      <c r="E234" s="4"/>
      <c r="G234" s="4"/>
      <c r="H234" s="149"/>
      <c r="K234"/>
      <c r="L234"/>
    </row>
    <row r="235" spans="5:12" s="5" customFormat="1" x14ac:dyDescent="0.2">
      <c r="E235" s="4"/>
      <c r="G235" s="4"/>
      <c r="H235" s="149"/>
      <c r="K235"/>
      <c r="L235"/>
    </row>
    <row r="236" spans="5:12" s="5" customFormat="1" x14ac:dyDescent="0.2">
      <c r="E236" s="4"/>
      <c r="G236" s="4"/>
      <c r="H236" s="149"/>
      <c r="K236"/>
      <c r="L236"/>
    </row>
    <row r="237" spans="5:12" s="5" customFormat="1" x14ac:dyDescent="0.2">
      <c r="E237" s="4"/>
      <c r="G237" s="4"/>
      <c r="H237" s="149"/>
      <c r="K237"/>
      <c r="L237"/>
    </row>
    <row r="238" spans="5:12" s="5" customFormat="1" x14ac:dyDescent="0.2">
      <c r="E238" s="4"/>
      <c r="G238" s="4"/>
      <c r="H238" s="149"/>
      <c r="K238"/>
      <c r="L238"/>
    </row>
    <row r="239" spans="5:12" s="5" customFormat="1" x14ac:dyDescent="0.2">
      <c r="E239" s="4"/>
      <c r="G239" s="4"/>
      <c r="H239" s="149"/>
      <c r="K239"/>
      <c r="L239"/>
    </row>
    <row r="240" spans="5:12" s="5" customFormat="1" x14ac:dyDescent="0.2">
      <c r="E240" s="4"/>
      <c r="G240" s="4"/>
      <c r="H240" s="149"/>
      <c r="K240"/>
      <c r="L240"/>
    </row>
    <row r="241" spans="5:12" s="5" customFormat="1" x14ac:dyDescent="0.2">
      <c r="E241" s="4"/>
      <c r="G241" s="4"/>
      <c r="H241" s="149"/>
      <c r="K241"/>
      <c r="L241"/>
    </row>
    <row r="242" spans="5:12" s="5" customFormat="1" x14ac:dyDescent="0.2">
      <c r="E242" s="4"/>
      <c r="G242" s="4"/>
      <c r="H242" s="149"/>
      <c r="K242"/>
      <c r="L242"/>
    </row>
    <row r="243" spans="5:12" s="5" customFormat="1" x14ac:dyDescent="0.2">
      <c r="E243" s="4"/>
      <c r="G243" s="4"/>
      <c r="H243" s="149"/>
      <c r="K243"/>
      <c r="L243"/>
    </row>
    <row r="244" spans="5:12" s="5" customFormat="1" x14ac:dyDescent="0.2">
      <c r="E244" s="4"/>
      <c r="G244" s="4"/>
      <c r="H244" s="149"/>
      <c r="K244"/>
      <c r="L244"/>
    </row>
    <row r="245" spans="5:12" s="5" customFormat="1" x14ac:dyDescent="0.2">
      <c r="E245" s="4"/>
      <c r="G245" s="4"/>
      <c r="H245" s="149"/>
      <c r="K245"/>
      <c r="L245"/>
    </row>
    <row r="246" spans="5:12" s="5" customFormat="1" x14ac:dyDescent="0.2">
      <c r="E246" s="4"/>
      <c r="G246" s="4"/>
      <c r="H246" s="149"/>
      <c r="K246"/>
      <c r="L246"/>
    </row>
    <row r="247" spans="5:12" s="5" customFormat="1" x14ac:dyDescent="0.2">
      <c r="E247" s="4"/>
      <c r="G247" s="4"/>
      <c r="H247" s="149"/>
      <c r="K247"/>
      <c r="L247"/>
    </row>
    <row r="248" spans="5:12" s="5" customFormat="1" x14ac:dyDescent="0.2">
      <c r="E248" s="4"/>
      <c r="G248" s="4"/>
      <c r="H248" s="149"/>
      <c r="K248"/>
      <c r="L248"/>
    </row>
    <row r="249" spans="5:12" s="5" customFormat="1" x14ac:dyDescent="0.2">
      <c r="E249" s="4"/>
      <c r="G249" s="4"/>
      <c r="H249" s="149"/>
      <c r="K249"/>
      <c r="L249"/>
    </row>
    <row r="250" spans="5:12" s="5" customFormat="1" x14ac:dyDescent="0.2">
      <c r="E250" s="4"/>
      <c r="G250" s="4"/>
      <c r="H250" s="149"/>
      <c r="K250"/>
      <c r="L250"/>
    </row>
    <row r="251" spans="5:12" s="5" customFormat="1" x14ac:dyDescent="0.2">
      <c r="E251" s="4"/>
      <c r="G251" s="4"/>
      <c r="H251" s="149"/>
      <c r="K251"/>
      <c r="L251"/>
    </row>
    <row r="252" spans="5:12" s="5" customFormat="1" x14ac:dyDescent="0.2">
      <c r="E252" s="4"/>
      <c r="G252" s="4"/>
      <c r="H252" s="149"/>
      <c r="K252"/>
      <c r="L252"/>
    </row>
    <row r="253" spans="5:12" s="5" customFormat="1" x14ac:dyDescent="0.2">
      <c r="E253" s="4"/>
      <c r="G253" s="4"/>
      <c r="H253" s="149"/>
      <c r="K253"/>
      <c r="L253"/>
    </row>
    <row r="254" spans="5:12" s="5" customFormat="1" x14ac:dyDescent="0.2">
      <c r="E254" s="4"/>
      <c r="G254" s="4"/>
      <c r="H254" s="149"/>
      <c r="K254"/>
      <c r="L254"/>
    </row>
    <row r="255" spans="5:12" s="5" customFormat="1" x14ac:dyDescent="0.2">
      <c r="E255" s="4"/>
      <c r="G255" s="4"/>
      <c r="H255" s="149"/>
      <c r="K255"/>
      <c r="L255"/>
    </row>
    <row r="256" spans="5:12" s="5" customFormat="1" x14ac:dyDescent="0.2">
      <c r="E256" s="4"/>
      <c r="G256" s="4"/>
      <c r="H256" s="149"/>
      <c r="K256"/>
      <c r="L256"/>
    </row>
    <row r="257" spans="5:12" s="5" customFormat="1" x14ac:dyDescent="0.2">
      <c r="E257" s="4"/>
      <c r="G257" s="4"/>
      <c r="H257" s="149"/>
      <c r="K257"/>
      <c r="L257"/>
    </row>
    <row r="258" spans="5:12" s="5" customFormat="1" x14ac:dyDescent="0.2">
      <c r="E258" s="4"/>
      <c r="G258" s="4"/>
      <c r="H258" s="149"/>
      <c r="K258"/>
      <c r="L258"/>
    </row>
    <row r="259" spans="5:12" s="5" customFormat="1" x14ac:dyDescent="0.2">
      <c r="E259" s="4"/>
      <c r="G259" s="4"/>
      <c r="H259" s="149"/>
      <c r="K259"/>
      <c r="L259"/>
    </row>
    <row r="260" spans="5:12" s="5" customFormat="1" x14ac:dyDescent="0.2">
      <c r="E260" s="4"/>
      <c r="G260" s="4"/>
      <c r="H260" s="149"/>
      <c r="K260"/>
      <c r="L260"/>
    </row>
    <row r="261" spans="5:12" s="5" customFormat="1" x14ac:dyDescent="0.2">
      <c r="E261" s="4"/>
      <c r="G261" s="4"/>
      <c r="H261" s="149"/>
      <c r="K261"/>
      <c r="L261"/>
    </row>
    <row r="262" spans="5:12" s="5" customFormat="1" x14ac:dyDescent="0.2">
      <c r="E262" s="4"/>
      <c r="G262" s="4"/>
      <c r="H262" s="149"/>
      <c r="K262"/>
      <c r="L262"/>
    </row>
    <row r="263" spans="5:12" s="5" customFormat="1" x14ac:dyDescent="0.2">
      <c r="E263" s="4"/>
      <c r="G263" s="4"/>
      <c r="H263" s="149"/>
      <c r="K263"/>
      <c r="L263"/>
    </row>
    <row r="264" spans="5:12" s="5" customFormat="1" x14ac:dyDescent="0.2">
      <c r="E264" s="4"/>
      <c r="G264" s="4"/>
      <c r="H264" s="149"/>
      <c r="K264"/>
      <c r="L264"/>
    </row>
    <row r="265" spans="5:12" s="5" customFormat="1" x14ac:dyDescent="0.2">
      <c r="E265" s="4"/>
      <c r="G265" s="4"/>
      <c r="H265" s="149"/>
      <c r="K265"/>
      <c r="L265"/>
    </row>
    <row r="266" spans="5:12" s="5" customFormat="1" x14ac:dyDescent="0.2">
      <c r="E266" s="4"/>
      <c r="G266" s="4"/>
      <c r="H266" s="149"/>
      <c r="K266"/>
      <c r="L266"/>
    </row>
    <row r="267" spans="5:12" s="5" customFormat="1" x14ac:dyDescent="0.2">
      <c r="E267" s="4"/>
      <c r="G267" s="4"/>
      <c r="H267" s="149"/>
      <c r="K267"/>
      <c r="L267"/>
    </row>
    <row r="268" spans="5:12" s="5" customFormat="1" x14ac:dyDescent="0.2">
      <c r="E268" s="4"/>
      <c r="G268" s="4"/>
      <c r="H268" s="149"/>
      <c r="K268"/>
      <c r="L268"/>
    </row>
    <row r="269" spans="5:12" s="5" customFormat="1" x14ac:dyDescent="0.2">
      <c r="E269" s="4"/>
      <c r="G269" s="4"/>
      <c r="H269" s="149"/>
      <c r="K269"/>
      <c r="L269"/>
    </row>
    <row r="270" spans="5:12" s="5" customFormat="1" x14ac:dyDescent="0.2">
      <c r="E270" s="4"/>
      <c r="G270" s="4"/>
      <c r="H270" s="149"/>
      <c r="K270"/>
      <c r="L270"/>
    </row>
    <row r="271" spans="5:12" s="5" customFormat="1" x14ac:dyDescent="0.2">
      <c r="E271" s="4"/>
      <c r="G271" s="4"/>
      <c r="H271" s="149"/>
      <c r="K271"/>
      <c r="L271"/>
    </row>
    <row r="272" spans="5:12" s="5" customFormat="1" x14ac:dyDescent="0.2">
      <c r="E272" s="4"/>
      <c r="G272" s="4"/>
      <c r="H272" s="149"/>
      <c r="K272"/>
      <c r="L272"/>
    </row>
    <row r="273" spans="5:12" s="5" customFormat="1" x14ac:dyDescent="0.2">
      <c r="E273" s="4"/>
      <c r="G273" s="4"/>
      <c r="H273" s="149"/>
      <c r="K273"/>
      <c r="L273"/>
    </row>
    <row r="274" spans="5:12" s="5" customFormat="1" x14ac:dyDescent="0.2">
      <c r="E274" s="4"/>
      <c r="G274" s="4"/>
      <c r="H274" s="149"/>
      <c r="K274"/>
      <c r="L274"/>
    </row>
    <row r="275" spans="5:12" s="5" customFormat="1" x14ac:dyDescent="0.2">
      <c r="E275" s="4"/>
      <c r="G275" s="4"/>
      <c r="H275" s="149"/>
      <c r="K275"/>
      <c r="L275"/>
    </row>
    <row r="276" spans="5:12" s="5" customFormat="1" x14ac:dyDescent="0.2">
      <c r="E276" s="4"/>
      <c r="G276" s="4"/>
      <c r="H276" s="149"/>
      <c r="K276"/>
      <c r="L276"/>
    </row>
    <row r="277" spans="5:12" s="5" customFormat="1" x14ac:dyDescent="0.2">
      <c r="E277" s="4"/>
      <c r="G277" s="4"/>
      <c r="H277" s="149"/>
      <c r="K277"/>
      <c r="L277"/>
    </row>
    <row r="278" spans="5:12" s="5" customFormat="1" x14ac:dyDescent="0.2">
      <c r="E278" s="4"/>
      <c r="G278" s="4"/>
      <c r="H278" s="149"/>
      <c r="K278"/>
      <c r="L278"/>
    </row>
    <row r="279" spans="5:12" s="5" customFormat="1" x14ac:dyDescent="0.2">
      <c r="E279" s="4"/>
      <c r="G279" s="4"/>
      <c r="H279" s="149"/>
      <c r="K279"/>
      <c r="L279"/>
    </row>
    <row r="280" spans="5:12" s="5" customFormat="1" x14ac:dyDescent="0.2">
      <c r="E280" s="4"/>
      <c r="G280" s="4"/>
      <c r="H280" s="149"/>
      <c r="K280"/>
      <c r="L280"/>
    </row>
    <row r="281" spans="5:12" s="5" customFormat="1" x14ac:dyDescent="0.2">
      <c r="E281" s="4"/>
      <c r="G281" s="4"/>
      <c r="H281" s="149"/>
      <c r="K281"/>
      <c r="L281"/>
    </row>
    <row r="282" spans="5:12" s="5" customFormat="1" x14ac:dyDescent="0.2">
      <c r="E282" s="4"/>
      <c r="G282" s="4"/>
      <c r="H282" s="149"/>
      <c r="K282"/>
      <c r="L282"/>
    </row>
    <row r="283" spans="5:12" s="5" customFormat="1" x14ac:dyDescent="0.2">
      <c r="E283" s="4"/>
      <c r="G283" s="4"/>
      <c r="H283" s="149"/>
      <c r="K283"/>
      <c r="L283"/>
    </row>
    <row r="284" spans="5:12" s="5" customFormat="1" x14ac:dyDescent="0.2">
      <c r="E284" s="4"/>
      <c r="G284" s="4"/>
      <c r="H284" s="149"/>
      <c r="K284"/>
      <c r="L284"/>
    </row>
    <row r="285" spans="5:12" s="5" customFormat="1" x14ac:dyDescent="0.2">
      <c r="E285" s="4"/>
      <c r="G285" s="4"/>
      <c r="H285" s="149"/>
      <c r="K285"/>
      <c r="L285"/>
    </row>
    <row r="286" spans="5:12" s="5" customFormat="1" x14ac:dyDescent="0.2">
      <c r="E286" s="4"/>
      <c r="G286" s="4"/>
      <c r="H286" s="149"/>
      <c r="K286"/>
      <c r="L286"/>
    </row>
    <row r="287" spans="5:12" s="5" customFormat="1" x14ac:dyDescent="0.2">
      <c r="E287" s="4"/>
      <c r="G287" s="4"/>
      <c r="H287" s="149"/>
      <c r="K287"/>
      <c r="L287"/>
    </row>
    <row r="288" spans="5:12" s="5" customFormat="1" x14ac:dyDescent="0.2">
      <c r="E288" s="4"/>
      <c r="G288" s="4"/>
      <c r="H288" s="149"/>
      <c r="K288"/>
      <c r="L288"/>
    </row>
    <row r="289" spans="5:12" s="5" customFormat="1" x14ac:dyDescent="0.2">
      <c r="E289" s="4"/>
      <c r="G289" s="4"/>
      <c r="H289" s="149"/>
      <c r="K289"/>
      <c r="L289"/>
    </row>
    <row r="290" spans="5:12" s="5" customFormat="1" x14ac:dyDescent="0.2">
      <c r="E290" s="4"/>
      <c r="G290" s="4"/>
      <c r="H290" s="149"/>
      <c r="K290"/>
      <c r="L290"/>
    </row>
    <row r="291" spans="5:12" s="5" customFormat="1" x14ac:dyDescent="0.2">
      <c r="E291" s="4"/>
      <c r="G291" s="4"/>
      <c r="H291" s="149"/>
      <c r="K291"/>
      <c r="L291"/>
    </row>
    <row r="292" spans="5:12" s="5" customFormat="1" x14ac:dyDescent="0.2">
      <c r="E292" s="4"/>
      <c r="G292" s="4"/>
      <c r="H292" s="149"/>
      <c r="K292"/>
      <c r="L292"/>
    </row>
    <row r="293" spans="5:12" s="5" customFormat="1" x14ac:dyDescent="0.2">
      <c r="E293" s="4"/>
      <c r="G293" s="4"/>
      <c r="H293" s="149"/>
      <c r="K293"/>
      <c r="L293"/>
    </row>
    <row r="294" spans="5:12" s="5" customFormat="1" x14ac:dyDescent="0.2">
      <c r="E294" s="4"/>
      <c r="G294" s="4"/>
      <c r="H294" s="149"/>
      <c r="K294"/>
      <c r="L294"/>
    </row>
    <row r="295" spans="5:12" s="5" customFormat="1" x14ac:dyDescent="0.2">
      <c r="E295" s="4"/>
      <c r="G295" s="4"/>
      <c r="H295" s="149"/>
      <c r="K295"/>
      <c r="L295"/>
    </row>
    <row r="296" spans="5:12" s="5" customFormat="1" x14ac:dyDescent="0.2">
      <c r="E296" s="4"/>
      <c r="G296" s="4"/>
      <c r="H296" s="149"/>
      <c r="K296"/>
      <c r="L296"/>
    </row>
    <row r="297" spans="5:12" s="5" customFormat="1" x14ac:dyDescent="0.2">
      <c r="E297" s="4"/>
      <c r="G297" s="4"/>
      <c r="H297" s="149"/>
      <c r="K297"/>
      <c r="L297"/>
    </row>
    <row r="298" spans="5:12" s="5" customFormat="1" x14ac:dyDescent="0.2">
      <c r="E298" s="4"/>
      <c r="G298" s="4"/>
      <c r="H298" s="149"/>
      <c r="K298"/>
      <c r="L298"/>
    </row>
    <row r="299" spans="5:12" s="5" customFormat="1" x14ac:dyDescent="0.2">
      <c r="E299" s="4"/>
      <c r="G299" s="4"/>
      <c r="H299" s="149"/>
      <c r="K299"/>
      <c r="L299"/>
    </row>
    <row r="300" spans="5:12" s="5" customFormat="1" x14ac:dyDescent="0.2">
      <c r="E300" s="4"/>
      <c r="G300" s="4"/>
      <c r="H300" s="149"/>
      <c r="K300"/>
      <c r="L300"/>
    </row>
    <row r="301" spans="5:12" s="5" customFormat="1" x14ac:dyDescent="0.2">
      <c r="E301" s="4"/>
      <c r="G301" s="4"/>
      <c r="H301" s="149"/>
      <c r="K301"/>
      <c r="L301"/>
    </row>
    <row r="302" spans="5:12" s="5" customFormat="1" x14ac:dyDescent="0.2">
      <c r="E302" s="4"/>
      <c r="G302" s="4"/>
      <c r="H302" s="149"/>
      <c r="K302"/>
      <c r="L302"/>
    </row>
    <row r="303" spans="5:12" s="5" customFormat="1" x14ac:dyDescent="0.2">
      <c r="E303" s="4"/>
      <c r="G303" s="4"/>
      <c r="H303" s="149"/>
      <c r="K303"/>
      <c r="L303"/>
    </row>
    <row r="304" spans="5:12" s="5" customFormat="1" x14ac:dyDescent="0.2">
      <c r="E304" s="4"/>
      <c r="G304" s="4"/>
      <c r="H304" s="149"/>
      <c r="K304"/>
      <c r="L304"/>
    </row>
    <row r="305" spans="5:12" s="5" customFormat="1" x14ac:dyDescent="0.2">
      <c r="E305" s="4"/>
      <c r="G305" s="4"/>
      <c r="H305" s="149"/>
      <c r="K305"/>
      <c r="L305"/>
    </row>
    <row r="306" spans="5:12" s="5" customFormat="1" x14ac:dyDescent="0.2">
      <c r="E306" s="4"/>
      <c r="G306" s="4"/>
      <c r="H306" s="149"/>
      <c r="K306"/>
      <c r="L306"/>
    </row>
    <row r="307" spans="5:12" s="5" customFormat="1" x14ac:dyDescent="0.2">
      <c r="E307" s="4"/>
      <c r="G307" s="4"/>
      <c r="H307" s="149"/>
      <c r="K307"/>
      <c r="L307"/>
    </row>
    <row r="308" spans="5:12" s="5" customFormat="1" x14ac:dyDescent="0.2">
      <c r="E308" s="4"/>
      <c r="G308" s="4"/>
      <c r="H308" s="149"/>
      <c r="K308"/>
      <c r="L308"/>
    </row>
    <row r="309" spans="5:12" s="5" customFormat="1" x14ac:dyDescent="0.2">
      <c r="E309" s="4"/>
      <c r="G309" s="4"/>
      <c r="H309" s="149"/>
      <c r="K309"/>
      <c r="L309"/>
    </row>
    <row r="310" spans="5:12" s="5" customFormat="1" x14ac:dyDescent="0.2">
      <c r="E310" s="4"/>
      <c r="G310" s="4"/>
      <c r="H310" s="149"/>
      <c r="K310"/>
      <c r="L310"/>
    </row>
    <row r="311" spans="5:12" s="5" customFormat="1" x14ac:dyDescent="0.2">
      <c r="E311" s="4"/>
      <c r="G311" s="4"/>
      <c r="H311" s="149"/>
      <c r="K311"/>
      <c r="L311"/>
    </row>
    <row r="312" spans="5:12" s="5" customFormat="1" x14ac:dyDescent="0.2">
      <c r="E312" s="4"/>
      <c r="G312" s="4"/>
      <c r="H312" s="149"/>
      <c r="K312"/>
      <c r="L312"/>
    </row>
    <row r="313" spans="5:12" s="5" customFormat="1" x14ac:dyDescent="0.2">
      <c r="E313" s="4"/>
      <c r="G313" s="4"/>
      <c r="H313" s="149"/>
      <c r="K313"/>
      <c r="L313"/>
    </row>
    <row r="314" spans="5:12" s="5" customFormat="1" x14ac:dyDescent="0.2">
      <c r="E314" s="4"/>
      <c r="G314" s="4"/>
      <c r="H314" s="149"/>
      <c r="K314"/>
      <c r="L314"/>
    </row>
    <row r="315" spans="5:12" s="5" customFormat="1" x14ac:dyDescent="0.2">
      <c r="E315" s="4"/>
      <c r="G315" s="4"/>
      <c r="H315" s="149"/>
      <c r="K315"/>
      <c r="L315"/>
    </row>
    <row r="316" spans="5:12" s="5" customFormat="1" x14ac:dyDescent="0.2">
      <c r="E316" s="4"/>
      <c r="G316" s="4"/>
      <c r="H316" s="149"/>
      <c r="K316"/>
      <c r="L316"/>
    </row>
    <row r="317" spans="5:12" s="5" customFormat="1" x14ac:dyDescent="0.2">
      <c r="E317" s="4"/>
      <c r="G317" s="4"/>
      <c r="H317" s="149"/>
      <c r="K317"/>
      <c r="L317"/>
    </row>
    <row r="318" spans="5:12" s="5" customFormat="1" x14ac:dyDescent="0.2">
      <c r="E318" s="4"/>
      <c r="G318" s="4"/>
      <c r="H318" s="149"/>
      <c r="K318"/>
      <c r="L318"/>
    </row>
    <row r="319" spans="5:12" s="5" customFormat="1" x14ac:dyDescent="0.2">
      <c r="E319" s="4"/>
      <c r="G319" s="4"/>
      <c r="H319" s="149"/>
      <c r="K319"/>
      <c r="L319"/>
    </row>
    <row r="320" spans="5:12" s="5" customFormat="1" x14ac:dyDescent="0.2">
      <c r="E320" s="4"/>
      <c r="G320" s="4"/>
      <c r="H320" s="149"/>
      <c r="K320"/>
      <c r="L320"/>
    </row>
    <row r="321" spans="5:12" s="5" customFormat="1" x14ac:dyDescent="0.2">
      <c r="E321" s="4"/>
      <c r="G321" s="4"/>
      <c r="H321" s="149"/>
      <c r="K321"/>
      <c r="L321"/>
    </row>
    <row r="322" spans="5:12" s="5" customFormat="1" x14ac:dyDescent="0.2">
      <c r="E322" s="4"/>
      <c r="G322" s="4"/>
      <c r="H322" s="149"/>
      <c r="K322"/>
      <c r="L322"/>
    </row>
    <row r="323" spans="5:12" s="5" customFormat="1" x14ac:dyDescent="0.2">
      <c r="E323" s="4"/>
      <c r="G323" s="4"/>
      <c r="H323" s="149"/>
      <c r="K323"/>
      <c r="L323"/>
    </row>
    <row r="324" spans="5:12" s="5" customFormat="1" x14ac:dyDescent="0.2">
      <c r="E324" s="4"/>
      <c r="G324" s="4"/>
      <c r="H324" s="149"/>
      <c r="K324"/>
      <c r="L324"/>
    </row>
    <row r="325" spans="5:12" s="5" customFormat="1" x14ac:dyDescent="0.2">
      <c r="E325" s="4"/>
      <c r="G325" s="4"/>
      <c r="H325" s="149"/>
      <c r="K325"/>
      <c r="L325"/>
    </row>
    <row r="326" spans="5:12" s="5" customFormat="1" x14ac:dyDescent="0.2">
      <c r="E326" s="4"/>
      <c r="G326" s="4"/>
      <c r="H326" s="149"/>
      <c r="K326"/>
      <c r="L326"/>
    </row>
    <row r="327" spans="5:12" s="5" customFormat="1" x14ac:dyDescent="0.2">
      <c r="E327" s="4"/>
      <c r="G327" s="4"/>
      <c r="H327" s="149"/>
      <c r="K327"/>
      <c r="L327"/>
    </row>
    <row r="328" spans="5:12" s="5" customFormat="1" x14ac:dyDescent="0.2">
      <c r="E328" s="4"/>
      <c r="G328" s="4"/>
      <c r="H328" s="149"/>
      <c r="K328"/>
      <c r="L328"/>
    </row>
    <row r="329" spans="5:12" s="5" customFormat="1" x14ac:dyDescent="0.2">
      <c r="E329" s="4"/>
      <c r="G329" s="4"/>
      <c r="H329" s="149"/>
      <c r="K329"/>
      <c r="L329"/>
    </row>
    <row r="330" spans="5:12" s="5" customFormat="1" x14ac:dyDescent="0.2">
      <c r="E330" s="4"/>
      <c r="G330" s="4"/>
      <c r="H330" s="149"/>
      <c r="K330"/>
      <c r="L330"/>
    </row>
    <row r="331" spans="5:12" s="5" customFormat="1" x14ac:dyDescent="0.2">
      <c r="E331" s="4"/>
      <c r="G331" s="4"/>
      <c r="H331" s="149"/>
      <c r="K331"/>
      <c r="L331"/>
    </row>
    <row r="332" spans="5:12" s="5" customFormat="1" x14ac:dyDescent="0.2">
      <c r="E332" s="4"/>
      <c r="G332" s="4"/>
      <c r="H332" s="149"/>
      <c r="K332"/>
      <c r="L332"/>
    </row>
    <row r="333" spans="5:12" s="5" customFormat="1" x14ac:dyDescent="0.2">
      <c r="E333" s="4"/>
      <c r="G333" s="4"/>
      <c r="H333" s="149"/>
      <c r="K333"/>
      <c r="L333"/>
    </row>
    <row r="334" spans="5:12" s="5" customFormat="1" x14ac:dyDescent="0.2">
      <c r="E334" s="4"/>
      <c r="G334" s="4"/>
      <c r="H334" s="149"/>
      <c r="K334"/>
      <c r="L334"/>
    </row>
    <row r="335" spans="5:12" s="5" customFormat="1" x14ac:dyDescent="0.2">
      <c r="E335" s="4"/>
      <c r="G335" s="4"/>
      <c r="H335" s="149"/>
      <c r="K335"/>
      <c r="L335"/>
    </row>
    <row r="336" spans="5:12" s="5" customFormat="1" x14ac:dyDescent="0.2">
      <c r="E336" s="4"/>
      <c r="G336" s="4"/>
      <c r="H336" s="149"/>
      <c r="K336"/>
      <c r="L336"/>
    </row>
    <row r="337" spans="5:12" s="5" customFormat="1" x14ac:dyDescent="0.2">
      <c r="E337" s="4"/>
      <c r="G337" s="4"/>
      <c r="H337" s="149"/>
      <c r="K337"/>
      <c r="L337"/>
    </row>
    <row r="338" spans="5:12" s="5" customFormat="1" x14ac:dyDescent="0.2">
      <c r="E338" s="4"/>
      <c r="G338" s="4"/>
      <c r="H338" s="149"/>
      <c r="K338"/>
      <c r="L338"/>
    </row>
    <row r="339" spans="5:12" s="5" customFormat="1" x14ac:dyDescent="0.2">
      <c r="E339" s="4"/>
      <c r="G339" s="4"/>
      <c r="H339" s="149"/>
      <c r="K339"/>
      <c r="L339"/>
    </row>
    <row r="340" spans="5:12" s="5" customFormat="1" x14ac:dyDescent="0.2">
      <c r="E340" s="4"/>
      <c r="G340" s="4"/>
      <c r="H340" s="149"/>
      <c r="K340"/>
      <c r="L340"/>
    </row>
    <row r="341" spans="5:12" s="5" customFormat="1" x14ac:dyDescent="0.2">
      <c r="E341" s="4"/>
      <c r="G341" s="4"/>
      <c r="H341" s="149"/>
      <c r="K341"/>
      <c r="L341"/>
    </row>
    <row r="342" spans="5:12" s="5" customFormat="1" x14ac:dyDescent="0.2">
      <c r="E342" s="4"/>
      <c r="G342" s="4"/>
      <c r="H342" s="149"/>
      <c r="K342"/>
      <c r="L342"/>
    </row>
    <row r="343" spans="5:12" s="5" customFormat="1" x14ac:dyDescent="0.2">
      <c r="E343" s="4"/>
      <c r="G343" s="4"/>
      <c r="H343" s="149"/>
      <c r="K343"/>
      <c r="L343"/>
    </row>
    <row r="344" spans="5:12" s="5" customFormat="1" x14ac:dyDescent="0.2">
      <c r="E344" s="4"/>
      <c r="G344" s="4"/>
      <c r="H344" s="149"/>
      <c r="K344"/>
      <c r="L344"/>
    </row>
    <row r="345" spans="5:12" s="5" customFormat="1" x14ac:dyDescent="0.2">
      <c r="E345" s="4"/>
      <c r="G345" s="4"/>
      <c r="H345" s="149"/>
      <c r="K345"/>
      <c r="L345"/>
    </row>
    <row r="346" spans="5:12" s="5" customFormat="1" x14ac:dyDescent="0.2">
      <c r="E346" s="4"/>
      <c r="G346" s="4"/>
      <c r="H346" s="149"/>
      <c r="K346"/>
      <c r="L346"/>
    </row>
    <row r="347" spans="5:12" s="5" customFormat="1" x14ac:dyDescent="0.2">
      <c r="E347" s="4"/>
      <c r="G347" s="4"/>
      <c r="H347" s="149"/>
      <c r="K347"/>
      <c r="L347"/>
    </row>
    <row r="348" spans="5:12" s="5" customFormat="1" x14ac:dyDescent="0.2">
      <c r="E348" s="4"/>
      <c r="G348" s="4"/>
      <c r="H348" s="149"/>
      <c r="K348"/>
      <c r="L348"/>
    </row>
    <row r="349" spans="5:12" s="5" customFormat="1" x14ac:dyDescent="0.2">
      <c r="E349" s="4"/>
      <c r="G349" s="4"/>
      <c r="H349" s="149"/>
      <c r="K349"/>
      <c r="L349"/>
    </row>
    <row r="350" spans="5:12" s="5" customFormat="1" x14ac:dyDescent="0.2">
      <c r="E350" s="4"/>
      <c r="G350" s="4"/>
      <c r="H350" s="149"/>
      <c r="K350"/>
      <c r="L350"/>
    </row>
    <row r="351" spans="5:12" s="5" customFormat="1" x14ac:dyDescent="0.2">
      <c r="E351" s="4"/>
      <c r="G351" s="4"/>
      <c r="H351" s="149"/>
      <c r="K351"/>
      <c r="L351"/>
    </row>
    <row r="352" spans="5:12" s="5" customFormat="1" x14ac:dyDescent="0.2">
      <c r="E352" s="4"/>
      <c r="G352" s="4"/>
      <c r="H352" s="149"/>
      <c r="K352"/>
      <c r="L352"/>
    </row>
    <row r="353" spans="5:12" s="5" customFormat="1" x14ac:dyDescent="0.2">
      <c r="E353" s="4"/>
      <c r="G353" s="4"/>
      <c r="H353" s="149"/>
      <c r="K353"/>
      <c r="L353"/>
    </row>
    <row r="354" spans="5:12" s="5" customFormat="1" x14ac:dyDescent="0.2">
      <c r="E354" s="4"/>
      <c r="G354" s="4"/>
      <c r="H354" s="149"/>
      <c r="K354"/>
      <c r="L354"/>
    </row>
    <row r="355" spans="5:12" s="5" customFormat="1" x14ac:dyDescent="0.2">
      <c r="E355" s="4"/>
      <c r="G355" s="4"/>
      <c r="H355" s="149"/>
      <c r="K355"/>
      <c r="L355"/>
    </row>
    <row r="356" spans="5:12" s="5" customFormat="1" x14ac:dyDescent="0.2">
      <c r="E356" s="4"/>
      <c r="G356" s="4"/>
      <c r="H356" s="149"/>
      <c r="K356"/>
      <c r="L356"/>
    </row>
    <row r="357" spans="5:12" s="5" customFormat="1" x14ac:dyDescent="0.2">
      <c r="E357" s="4"/>
      <c r="G357" s="4"/>
      <c r="H357" s="149"/>
      <c r="K357"/>
      <c r="L357"/>
    </row>
    <row r="358" spans="5:12" s="5" customFormat="1" x14ac:dyDescent="0.2">
      <c r="E358" s="4"/>
      <c r="G358" s="4"/>
      <c r="H358" s="149"/>
      <c r="K358"/>
      <c r="L358"/>
    </row>
    <row r="359" spans="5:12" s="5" customFormat="1" x14ac:dyDescent="0.2">
      <c r="E359" s="4"/>
      <c r="G359" s="4"/>
      <c r="H359" s="149"/>
      <c r="K359"/>
      <c r="L359"/>
    </row>
    <row r="360" spans="5:12" s="5" customFormat="1" x14ac:dyDescent="0.2">
      <c r="E360" s="4"/>
      <c r="G360" s="4"/>
      <c r="H360" s="149"/>
      <c r="K360"/>
      <c r="L360"/>
    </row>
    <row r="361" spans="5:12" s="5" customFormat="1" x14ac:dyDescent="0.2">
      <c r="E361" s="4"/>
      <c r="G361" s="4"/>
      <c r="H361" s="149"/>
      <c r="K361"/>
      <c r="L361"/>
    </row>
    <row r="362" spans="5:12" s="5" customFormat="1" x14ac:dyDescent="0.2">
      <c r="E362" s="4"/>
      <c r="G362" s="4"/>
      <c r="H362" s="149"/>
      <c r="K362"/>
      <c r="L362"/>
    </row>
    <row r="363" spans="5:12" s="5" customFormat="1" x14ac:dyDescent="0.2">
      <c r="E363" s="4"/>
      <c r="G363" s="4"/>
      <c r="H363" s="149"/>
      <c r="K363"/>
      <c r="L363"/>
    </row>
    <row r="364" spans="5:12" s="5" customFormat="1" x14ac:dyDescent="0.2">
      <c r="E364" s="4"/>
      <c r="G364" s="4"/>
      <c r="H364" s="149"/>
      <c r="K364"/>
      <c r="L364"/>
    </row>
    <row r="365" spans="5:12" s="5" customFormat="1" x14ac:dyDescent="0.2">
      <c r="E365" s="4"/>
      <c r="G365" s="4"/>
      <c r="H365" s="149"/>
      <c r="K365"/>
      <c r="L365"/>
    </row>
    <row r="366" spans="5:12" s="5" customFormat="1" x14ac:dyDescent="0.2">
      <c r="E366" s="4"/>
      <c r="G366" s="4"/>
      <c r="H366" s="149"/>
      <c r="K366"/>
      <c r="L366"/>
    </row>
    <row r="367" spans="5:12" s="5" customFormat="1" x14ac:dyDescent="0.2">
      <c r="E367" s="4"/>
      <c r="G367" s="4"/>
      <c r="H367" s="149"/>
      <c r="K367"/>
      <c r="L367"/>
    </row>
    <row r="368" spans="5:12" s="5" customFormat="1" x14ac:dyDescent="0.2">
      <c r="E368" s="4"/>
      <c r="G368" s="4"/>
      <c r="H368" s="149"/>
      <c r="K368"/>
      <c r="L368"/>
    </row>
    <row r="369" spans="5:12" s="5" customFormat="1" x14ac:dyDescent="0.2">
      <c r="E369" s="4"/>
      <c r="G369" s="4"/>
      <c r="H369" s="149"/>
      <c r="K369"/>
      <c r="L369"/>
    </row>
    <row r="370" spans="5:12" s="5" customFormat="1" x14ac:dyDescent="0.2">
      <c r="E370" s="4"/>
      <c r="G370" s="4"/>
      <c r="H370" s="149"/>
      <c r="K370"/>
      <c r="L370"/>
    </row>
    <row r="371" spans="5:12" s="5" customFormat="1" x14ac:dyDescent="0.2">
      <c r="E371" s="4"/>
      <c r="G371" s="4"/>
      <c r="H371" s="149"/>
      <c r="K371"/>
      <c r="L371"/>
    </row>
    <row r="372" spans="5:12" s="5" customFormat="1" x14ac:dyDescent="0.2">
      <c r="E372" s="4"/>
      <c r="G372" s="4"/>
      <c r="H372" s="149"/>
      <c r="K372"/>
      <c r="L372"/>
    </row>
    <row r="373" spans="5:12" s="5" customFormat="1" x14ac:dyDescent="0.2">
      <c r="E373" s="4"/>
      <c r="G373" s="4"/>
      <c r="H373" s="149"/>
      <c r="K373"/>
      <c r="L373"/>
    </row>
    <row r="374" spans="5:12" s="5" customFormat="1" x14ac:dyDescent="0.2">
      <c r="E374" s="4"/>
      <c r="G374" s="4"/>
      <c r="H374" s="149"/>
      <c r="K374"/>
      <c r="L374"/>
    </row>
    <row r="375" spans="5:12" s="5" customFormat="1" x14ac:dyDescent="0.2">
      <c r="E375" s="4"/>
      <c r="G375" s="4"/>
      <c r="H375" s="149"/>
      <c r="K375"/>
      <c r="L375"/>
    </row>
    <row r="376" spans="5:12" s="5" customFormat="1" x14ac:dyDescent="0.2">
      <c r="E376" s="4"/>
      <c r="G376" s="4"/>
      <c r="H376" s="149"/>
      <c r="K376"/>
      <c r="L376"/>
    </row>
    <row r="377" spans="5:12" s="5" customFormat="1" x14ac:dyDescent="0.2">
      <c r="E377" s="4"/>
      <c r="G377" s="4"/>
      <c r="H377" s="149"/>
      <c r="K377"/>
      <c r="L377"/>
    </row>
    <row r="378" spans="5:12" s="5" customFormat="1" x14ac:dyDescent="0.2">
      <c r="E378" s="4"/>
      <c r="G378" s="4"/>
      <c r="H378" s="149"/>
      <c r="K378"/>
      <c r="L378"/>
    </row>
    <row r="379" spans="5:12" s="5" customFormat="1" x14ac:dyDescent="0.2">
      <c r="E379" s="4"/>
      <c r="G379" s="4"/>
      <c r="H379" s="149"/>
      <c r="K379"/>
      <c r="L379"/>
    </row>
    <row r="380" spans="5:12" s="5" customFormat="1" x14ac:dyDescent="0.2">
      <c r="E380" s="4"/>
      <c r="G380" s="4"/>
      <c r="H380" s="149"/>
      <c r="K380"/>
      <c r="L380"/>
    </row>
    <row r="381" spans="5:12" s="5" customFormat="1" x14ac:dyDescent="0.2">
      <c r="E381" s="4"/>
      <c r="G381" s="4"/>
      <c r="H381" s="149"/>
      <c r="K381"/>
      <c r="L381"/>
    </row>
    <row r="382" spans="5:12" s="5" customFormat="1" x14ac:dyDescent="0.2">
      <c r="E382" s="4"/>
      <c r="G382" s="4"/>
      <c r="H382" s="149"/>
      <c r="K382"/>
      <c r="L382"/>
    </row>
    <row r="383" spans="5:12" s="5" customFormat="1" x14ac:dyDescent="0.2">
      <c r="E383" s="4"/>
      <c r="G383" s="4"/>
      <c r="H383" s="149"/>
      <c r="K383"/>
      <c r="L383"/>
    </row>
    <row r="384" spans="5:12" s="5" customFormat="1" x14ac:dyDescent="0.2">
      <c r="E384" s="4"/>
      <c r="G384" s="4"/>
      <c r="H384" s="149"/>
      <c r="K384"/>
      <c r="L384"/>
    </row>
    <row r="385" spans="5:12" s="5" customFormat="1" x14ac:dyDescent="0.2">
      <c r="E385" s="4"/>
      <c r="G385" s="4"/>
      <c r="H385" s="149"/>
      <c r="K385"/>
      <c r="L385"/>
    </row>
    <row r="386" spans="5:12" s="5" customFormat="1" x14ac:dyDescent="0.2">
      <c r="E386" s="4"/>
      <c r="G386" s="4"/>
      <c r="H386" s="149"/>
      <c r="K386"/>
      <c r="L386"/>
    </row>
    <row r="387" spans="5:12" s="5" customFormat="1" x14ac:dyDescent="0.2">
      <c r="E387" s="4"/>
      <c r="G387" s="4"/>
      <c r="H387" s="149"/>
      <c r="K387"/>
      <c r="L387"/>
    </row>
    <row r="388" spans="5:12" s="5" customFormat="1" x14ac:dyDescent="0.2">
      <c r="E388" s="4"/>
      <c r="G388" s="4"/>
      <c r="H388" s="149"/>
      <c r="K388"/>
      <c r="L388"/>
    </row>
    <row r="389" spans="5:12" s="5" customFormat="1" x14ac:dyDescent="0.2">
      <c r="E389" s="4"/>
      <c r="G389" s="4"/>
      <c r="H389" s="149"/>
      <c r="K389"/>
      <c r="L389"/>
    </row>
    <row r="390" spans="5:12" s="5" customFormat="1" x14ac:dyDescent="0.2">
      <c r="E390" s="4"/>
      <c r="G390" s="4"/>
      <c r="H390" s="149"/>
      <c r="K390"/>
      <c r="L390"/>
    </row>
    <row r="391" spans="5:12" s="5" customFormat="1" x14ac:dyDescent="0.2">
      <c r="E391" s="4"/>
      <c r="G391" s="4"/>
      <c r="H391" s="149"/>
      <c r="K391"/>
      <c r="L391"/>
    </row>
    <row r="392" spans="5:12" s="5" customFormat="1" x14ac:dyDescent="0.2">
      <c r="E392" s="4"/>
      <c r="G392" s="4"/>
      <c r="H392" s="149"/>
      <c r="K392"/>
      <c r="L392"/>
    </row>
    <row r="393" spans="5:12" s="5" customFormat="1" x14ac:dyDescent="0.2">
      <c r="E393" s="4"/>
      <c r="G393" s="4"/>
      <c r="H393" s="149"/>
      <c r="K393"/>
      <c r="L393"/>
    </row>
    <row r="394" spans="5:12" s="5" customFormat="1" x14ac:dyDescent="0.2">
      <c r="E394" s="4"/>
      <c r="G394" s="4"/>
      <c r="H394" s="149"/>
      <c r="K394"/>
      <c r="L394"/>
    </row>
    <row r="395" spans="5:12" s="5" customFormat="1" x14ac:dyDescent="0.2">
      <c r="E395" s="4"/>
      <c r="G395" s="4"/>
      <c r="H395" s="149"/>
      <c r="K395"/>
      <c r="L395"/>
    </row>
    <row r="396" spans="5:12" s="5" customFormat="1" x14ac:dyDescent="0.2">
      <c r="E396" s="4"/>
      <c r="G396" s="4"/>
      <c r="H396" s="149"/>
      <c r="K396"/>
      <c r="L396"/>
    </row>
    <row r="397" spans="5:12" s="5" customFormat="1" x14ac:dyDescent="0.2">
      <c r="E397" s="4"/>
      <c r="G397" s="4"/>
      <c r="H397" s="149"/>
      <c r="K397"/>
      <c r="L397"/>
    </row>
    <row r="398" spans="5:12" s="5" customFormat="1" x14ac:dyDescent="0.2">
      <c r="E398" s="4"/>
      <c r="G398" s="4"/>
      <c r="H398" s="149"/>
      <c r="K398"/>
      <c r="L398"/>
    </row>
    <row r="399" spans="5:12" s="5" customFormat="1" x14ac:dyDescent="0.2">
      <c r="E399" s="4"/>
      <c r="G399" s="4"/>
      <c r="H399" s="149"/>
      <c r="K399"/>
      <c r="L399"/>
    </row>
    <row r="400" spans="5:12" s="5" customFormat="1" x14ac:dyDescent="0.2">
      <c r="E400" s="4"/>
      <c r="G400" s="4"/>
      <c r="H400" s="149"/>
      <c r="K400"/>
      <c r="L400"/>
    </row>
    <row r="401" spans="5:12" s="5" customFormat="1" x14ac:dyDescent="0.2">
      <c r="E401" s="4"/>
      <c r="G401" s="4"/>
      <c r="H401" s="149"/>
      <c r="K401"/>
      <c r="L401"/>
    </row>
    <row r="402" spans="5:12" s="5" customFormat="1" x14ac:dyDescent="0.2">
      <c r="E402" s="4"/>
      <c r="G402" s="4"/>
      <c r="H402" s="149"/>
      <c r="K402"/>
      <c r="L402"/>
    </row>
    <row r="403" spans="5:12" s="5" customFormat="1" x14ac:dyDescent="0.2">
      <c r="E403" s="4"/>
      <c r="G403" s="4"/>
      <c r="H403" s="149"/>
      <c r="K403"/>
      <c r="L403"/>
    </row>
    <row r="404" spans="5:12" s="5" customFormat="1" x14ac:dyDescent="0.2">
      <c r="E404" s="4"/>
      <c r="G404" s="4"/>
      <c r="H404" s="149"/>
      <c r="K404"/>
      <c r="L404"/>
    </row>
    <row r="405" spans="5:12" s="5" customFormat="1" x14ac:dyDescent="0.2">
      <c r="E405" s="4"/>
      <c r="G405" s="4"/>
      <c r="H405" s="149"/>
      <c r="K405"/>
      <c r="L405"/>
    </row>
    <row r="406" spans="5:12" s="5" customFormat="1" x14ac:dyDescent="0.2">
      <c r="E406" s="4"/>
      <c r="G406" s="4"/>
      <c r="H406" s="149"/>
      <c r="K406"/>
      <c r="L406"/>
    </row>
    <row r="407" spans="5:12" s="5" customFormat="1" x14ac:dyDescent="0.2">
      <c r="E407" s="4"/>
      <c r="G407" s="4"/>
      <c r="H407" s="149"/>
      <c r="K407"/>
      <c r="L407"/>
    </row>
    <row r="408" spans="5:12" s="5" customFormat="1" x14ac:dyDescent="0.2">
      <c r="E408" s="4"/>
      <c r="G408" s="4"/>
      <c r="H408" s="149"/>
      <c r="K408"/>
      <c r="L408"/>
    </row>
    <row r="409" spans="5:12" s="5" customFormat="1" x14ac:dyDescent="0.2">
      <c r="E409" s="4"/>
      <c r="G409" s="4"/>
      <c r="H409" s="149"/>
      <c r="K409"/>
      <c r="L409"/>
    </row>
    <row r="410" spans="5:12" s="5" customFormat="1" x14ac:dyDescent="0.2">
      <c r="E410" s="4"/>
      <c r="G410" s="4"/>
      <c r="H410" s="149"/>
      <c r="K410"/>
      <c r="L410"/>
    </row>
    <row r="411" spans="5:12" s="5" customFormat="1" x14ac:dyDescent="0.2">
      <c r="E411" s="4"/>
      <c r="G411" s="4"/>
      <c r="H411" s="149"/>
      <c r="K411"/>
      <c r="L411"/>
    </row>
    <row r="412" spans="5:12" s="5" customFormat="1" x14ac:dyDescent="0.2">
      <c r="E412" s="4"/>
      <c r="G412" s="4"/>
      <c r="H412" s="149"/>
      <c r="K412"/>
      <c r="L412"/>
    </row>
    <row r="413" spans="5:12" s="5" customFormat="1" x14ac:dyDescent="0.2">
      <c r="E413" s="4"/>
      <c r="G413" s="4"/>
      <c r="H413" s="149"/>
      <c r="K413"/>
      <c r="L413"/>
    </row>
    <row r="414" spans="5:12" s="5" customFormat="1" x14ac:dyDescent="0.2">
      <c r="E414" s="4"/>
      <c r="G414" s="4"/>
      <c r="H414" s="149"/>
      <c r="K414"/>
      <c r="L414"/>
    </row>
    <row r="415" spans="5:12" s="5" customFormat="1" x14ac:dyDescent="0.2">
      <c r="E415" s="4"/>
      <c r="G415" s="4"/>
      <c r="H415" s="149"/>
      <c r="K415"/>
      <c r="L415"/>
    </row>
    <row r="416" spans="5:12" s="5" customFormat="1" x14ac:dyDescent="0.2">
      <c r="E416" s="4"/>
      <c r="G416" s="4"/>
      <c r="H416" s="149"/>
      <c r="K416"/>
      <c r="L416"/>
    </row>
    <row r="417" spans="5:12" s="5" customFormat="1" x14ac:dyDescent="0.2">
      <c r="E417" s="4"/>
      <c r="G417" s="4"/>
      <c r="H417" s="149"/>
      <c r="K417"/>
      <c r="L417"/>
    </row>
    <row r="418" spans="5:12" s="5" customFormat="1" x14ac:dyDescent="0.2">
      <c r="E418" s="4"/>
      <c r="G418" s="4"/>
      <c r="H418" s="149"/>
      <c r="K418"/>
      <c r="L418"/>
    </row>
    <row r="419" spans="5:12" s="5" customFormat="1" x14ac:dyDescent="0.2">
      <c r="E419" s="4"/>
      <c r="G419" s="4"/>
      <c r="H419" s="149"/>
      <c r="K419"/>
      <c r="L419"/>
    </row>
    <row r="420" spans="5:12" s="5" customFormat="1" x14ac:dyDescent="0.2">
      <c r="E420" s="4"/>
      <c r="G420" s="4"/>
      <c r="H420" s="149"/>
      <c r="K420"/>
      <c r="L420"/>
    </row>
    <row r="421" spans="5:12" s="5" customFormat="1" x14ac:dyDescent="0.2">
      <c r="E421" s="4"/>
      <c r="G421" s="4"/>
      <c r="H421" s="149"/>
      <c r="K421"/>
      <c r="L421"/>
    </row>
    <row r="422" spans="5:12" s="5" customFormat="1" x14ac:dyDescent="0.2">
      <c r="E422" s="4"/>
      <c r="G422" s="4"/>
      <c r="H422" s="149"/>
      <c r="K422"/>
      <c r="L422"/>
    </row>
    <row r="423" spans="5:12" s="5" customFormat="1" x14ac:dyDescent="0.2">
      <c r="E423" s="4"/>
      <c r="G423" s="4"/>
      <c r="H423" s="149"/>
      <c r="K423"/>
      <c r="L423"/>
    </row>
    <row r="424" spans="5:12" s="5" customFormat="1" x14ac:dyDescent="0.2">
      <c r="E424" s="4"/>
      <c r="G424" s="4"/>
      <c r="H424" s="149"/>
      <c r="K424"/>
      <c r="L424"/>
    </row>
    <row r="425" spans="5:12" s="5" customFormat="1" x14ac:dyDescent="0.2">
      <c r="E425" s="4"/>
      <c r="G425" s="4"/>
      <c r="H425" s="149"/>
      <c r="K425"/>
      <c r="L425"/>
    </row>
    <row r="426" spans="5:12" s="5" customFormat="1" x14ac:dyDescent="0.2">
      <c r="E426" s="4"/>
      <c r="G426" s="4"/>
      <c r="H426" s="149"/>
      <c r="K426"/>
      <c r="L426"/>
    </row>
    <row r="427" spans="5:12" s="5" customFormat="1" x14ac:dyDescent="0.2">
      <c r="E427" s="4"/>
      <c r="G427" s="4"/>
      <c r="H427" s="149"/>
      <c r="K427"/>
      <c r="L427"/>
    </row>
    <row r="428" spans="5:12" s="5" customFormat="1" x14ac:dyDescent="0.2">
      <c r="E428" s="4"/>
      <c r="G428" s="4"/>
      <c r="H428" s="149"/>
      <c r="K428"/>
      <c r="L428"/>
    </row>
    <row r="429" spans="5:12" s="5" customFormat="1" x14ac:dyDescent="0.2">
      <c r="E429" s="4"/>
      <c r="G429" s="4"/>
      <c r="H429" s="149"/>
      <c r="K429"/>
      <c r="L429"/>
    </row>
    <row r="430" spans="5:12" s="5" customFormat="1" x14ac:dyDescent="0.2">
      <c r="E430" s="4"/>
      <c r="G430" s="4"/>
      <c r="H430" s="149"/>
      <c r="K430"/>
      <c r="L430"/>
    </row>
    <row r="431" spans="5:12" s="5" customFormat="1" x14ac:dyDescent="0.2">
      <c r="E431" s="4"/>
      <c r="G431" s="4"/>
      <c r="H431" s="149"/>
      <c r="K431"/>
      <c r="L431"/>
    </row>
    <row r="432" spans="5:12" s="5" customFormat="1" x14ac:dyDescent="0.2">
      <c r="E432" s="4"/>
      <c r="G432" s="4"/>
      <c r="H432" s="149"/>
      <c r="K432"/>
      <c r="L432"/>
    </row>
    <row r="433" spans="5:12" s="5" customFormat="1" x14ac:dyDescent="0.2">
      <c r="E433" s="4"/>
      <c r="G433" s="4"/>
      <c r="H433" s="149"/>
      <c r="K433"/>
      <c r="L433"/>
    </row>
    <row r="434" spans="5:12" s="5" customFormat="1" x14ac:dyDescent="0.2">
      <c r="E434" s="4"/>
      <c r="G434" s="4"/>
      <c r="H434" s="149"/>
      <c r="K434"/>
      <c r="L434"/>
    </row>
    <row r="435" spans="5:12" s="5" customFormat="1" x14ac:dyDescent="0.2">
      <c r="E435" s="4"/>
      <c r="G435" s="4"/>
      <c r="H435" s="149"/>
      <c r="K435"/>
      <c r="L435"/>
    </row>
    <row r="436" spans="5:12" s="5" customFormat="1" x14ac:dyDescent="0.2">
      <c r="E436" s="4"/>
      <c r="G436" s="4"/>
      <c r="H436" s="149"/>
      <c r="K436"/>
      <c r="L436"/>
    </row>
    <row r="437" spans="5:12" s="5" customFormat="1" x14ac:dyDescent="0.2">
      <c r="E437" s="4"/>
      <c r="G437" s="4"/>
      <c r="H437" s="149"/>
      <c r="K437"/>
      <c r="L437"/>
    </row>
    <row r="438" spans="5:12" s="5" customFormat="1" x14ac:dyDescent="0.2">
      <c r="E438" s="4"/>
      <c r="G438" s="4"/>
      <c r="H438" s="149"/>
      <c r="K438"/>
      <c r="L438"/>
    </row>
    <row r="439" spans="5:12" s="5" customFormat="1" x14ac:dyDescent="0.2">
      <c r="E439" s="4"/>
      <c r="G439" s="4"/>
      <c r="H439" s="149"/>
      <c r="K439"/>
      <c r="L439"/>
    </row>
    <row r="440" spans="5:12" s="5" customFormat="1" x14ac:dyDescent="0.2">
      <c r="E440" s="4"/>
      <c r="G440" s="4"/>
      <c r="H440" s="149"/>
      <c r="K440"/>
      <c r="L440"/>
    </row>
    <row r="441" spans="5:12" s="5" customFormat="1" x14ac:dyDescent="0.2">
      <c r="E441" s="4"/>
      <c r="G441" s="4"/>
      <c r="H441" s="149"/>
      <c r="K441"/>
      <c r="L441"/>
    </row>
    <row r="442" spans="5:12" s="5" customFormat="1" x14ac:dyDescent="0.2">
      <c r="E442" s="4"/>
      <c r="G442" s="4"/>
      <c r="H442" s="149"/>
      <c r="K442"/>
      <c r="L442"/>
    </row>
    <row r="443" spans="5:12" s="5" customFormat="1" x14ac:dyDescent="0.2">
      <c r="E443" s="4"/>
      <c r="G443" s="4"/>
      <c r="H443" s="149"/>
      <c r="K443"/>
      <c r="L443"/>
    </row>
    <row r="444" spans="5:12" s="5" customFormat="1" x14ac:dyDescent="0.2">
      <c r="E444" s="4"/>
      <c r="G444" s="4"/>
      <c r="H444" s="149"/>
      <c r="K444"/>
      <c r="L444"/>
    </row>
    <row r="445" spans="5:12" s="5" customFormat="1" x14ac:dyDescent="0.2">
      <c r="E445" s="4"/>
      <c r="G445" s="4"/>
      <c r="H445" s="149"/>
      <c r="K445"/>
      <c r="L445"/>
    </row>
    <row r="446" spans="5:12" s="5" customFormat="1" x14ac:dyDescent="0.2">
      <c r="E446" s="4"/>
      <c r="G446" s="4"/>
      <c r="H446" s="149"/>
      <c r="K446"/>
      <c r="L446"/>
    </row>
    <row r="447" spans="5:12" s="5" customFormat="1" x14ac:dyDescent="0.2">
      <c r="E447" s="4"/>
      <c r="G447" s="4"/>
      <c r="H447" s="149"/>
      <c r="K447"/>
      <c r="L447"/>
    </row>
    <row r="448" spans="5:12" s="5" customFormat="1" x14ac:dyDescent="0.2">
      <c r="E448" s="4"/>
      <c r="G448" s="4"/>
      <c r="H448" s="149"/>
      <c r="K448"/>
      <c r="L448"/>
    </row>
    <row r="449" spans="5:12" s="5" customFormat="1" x14ac:dyDescent="0.2">
      <c r="E449" s="4"/>
      <c r="G449" s="4"/>
      <c r="H449" s="149"/>
      <c r="K449"/>
      <c r="L449"/>
    </row>
    <row r="450" spans="5:12" s="5" customFormat="1" x14ac:dyDescent="0.2">
      <c r="E450" s="4"/>
      <c r="G450" s="4"/>
      <c r="H450" s="149"/>
      <c r="K450"/>
      <c r="L450"/>
    </row>
    <row r="451" spans="5:12" s="5" customFormat="1" x14ac:dyDescent="0.2">
      <c r="E451" s="4"/>
      <c r="G451" s="4"/>
      <c r="H451" s="149"/>
      <c r="K451"/>
      <c r="L451"/>
    </row>
    <row r="452" spans="5:12" s="5" customFormat="1" x14ac:dyDescent="0.2">
      <c r="E452" s="4"/>
      <c r="G452" s="4"/>
      <c r="H452" s="149"/>
      <c r="K452"/>
      <c r="L452"/>
    </row>
    <row r="453" spans="5:12" s="5" customFormat="1" x14ac:dyDescent="0.2">
      <c r="E453" s="4"/>
      <c r="G453" s="4"/>
      <c r="H453" s="149"/>
      <c r="K453"/>
      <c r="L453"/>
    </row>
    <row r="454" spans="5:12" s="5" customFormat="1" x14ac:dyDescent="0.2">
      <c r="E454" s="4"/>
      <c r="G454" s="4"/>
      <c r="H454" s="149"/>
      <c r="K454"/>
      <c r="L454"/>
    </row>
    <row r="455" spans="5:12" s="5" customFormat="1" x14ac:dyDescent="0.2">
      <c r="E455" s="4"/>
      <c r="G455" s="4"/>
      <c r="H455" s="149"/>
      <c r="K455"/>
      <c r="L455"/>
    </row>
    <row r="456" spans="5:12" s="5" customFormat="1" x14ac:dyDescent="0.2">
      <c r="E456" s="4"/>
      <c r="G456" s="4"/>
      <c r="H456" s="149"/>
      <c r="K456"/>
      <c r="L456"/>
    </row>
    <row r="457" spans="5:12" s="5" customFormat="1" x14ac:dyDescent="0.2">
      <c r="E457" s="4"/>
      <c r="G457" s="4"/>
      <c r="H457" s="149"/>
      <c r="K457"/>
      <c r="L457"/>
    </row>
    <row r="458" spans="5:12" s="5" customFormat="1" x14ac:dyDescent="0.2">
      <c r="E458" s="4"/>
      <c r="G458" s="4"/>
      <c r="H458" s="149"/>
      <c r="K458"/>
      <c r="L458"/>
    </row>
    <row r="459" spans="5:12" s="5" customFormat="1" x14ac:dyDescent="0.2">
      <c r="E459" s="4"/>
      <c r="G459" s="4"/>
      <c r="H459" s="149"/>
      <c r="K459"/>
      <c r="L459"/>
    </row>
    <row r="460" spans="5:12" s="5" customFormat="1" x14ac:dyDescent="0.2">
      <c r="E460" s="4"/>
      <c r="G460" s="4"/>
      <c r="H460" s="149"/>
      <c r="K460"/>
      <c r="L460"/>
    </row>
    <row r="461" spans="5:12" s="5" customFormat="1" x14ac:dyDescent="0.2">
      <c r="E461" s="4"/>
      <c r="G461" s="4"/>
      <c r="H461" s="149"/>
      <c r="K461"/>
      <c r="L461"/>
    </row>
    <row r="462" spans="5:12" s="5" customFormat="1" x14ac:dyDescent="0.2">
      <c r="E462" s="4"/>
      <c r="G462" s="4"/>
      <c r="H462" s="149"/>
      <c r="K462"/>
      <c r="L462"/>
    </row>
    <row r="463" spans="5:12" s="5" customFormat="1" x14ac:dyDescent="0.2">
      <c r="E463" s="4"/>
      <c r="G463" s="4"/>
      <c r="H463" s="149"/>
      <c r="K463"/>
      <c r="L463"/>
    </row>
    <row r="464" spans="5:12" s="5" customFormat="1" x14ac:dyDescent="0.2">
      <c r="E464" s="4"/>
      <c r="G464" s="4"/>
      <c r="H464" s="149"/>
      <c r="K464"/>
      <c r="L464"/>
    </row>
    <row r="465" spans="5:12" s="5" customFormat="1" x14ac:dyDescent="0.2">
      <c r="E465" s="4"/>
      <c r="G465" s="4"/>
      <c r="H465" s="149"/>
      <c r="K465"/>
      <c r="L465"/>
    </row>
    <row r="466" spans="5:12" s="5" customFormat="1" x14ac:dyDescent="0.2">
      <c r="E466" s="4"/>
      <c r="G466" s="4"/>
      <c r="H466" s="149"/>
      <c r="K466"/>
      <c r="L466"/>
    </row>
    <row r="467" spans="5:12" s="5" customFormat="1" x14ac:dyDescent="0.2">
      <c r="E467" s="4"/>
      <c r="G467" s="4"/>
      <c r="H467" s="149"/>
      <c r="K467"/>
      <c r="L467"/>
    </row>
    <row r="468" spans="5:12" s="5" customFormat="1" x14ac:dyDescent="0.2">
      <c r="E468" s="4"/>
      <c r="G468" s="4"/>
      <c r="H468" s="149"/>
      <c r="K468"/>
      <c r="L468"/>
    </row>
    <row r="469" spans="5:12" s="5" customFormat="1" x14ac:dyDescent="0.2">
      <c r="E469" s="4"/>
      <c r="G469" s="4"/>
      <c r="H469" s="149"/>
      <c r="K469"/>
      <c r="L469"/>
    </row>
    <row r="470" spans="5:12" s="5" customFormat="1" x14ac:dyDescent="0.2">
      <c r="E470" s="4"/>
      <c r="G470" s="4"/>
      <c r="H470" s="149"/>
      <c r="K470"/>
      <c r="L470"/>
    </row>
    <row r="471" spans="5:12" s="5" customFormat="1" x14ac:dyDescent="0.2">
      <c r="E471" s="4"/>
      <c r="G471" s="4"/>
      <c r="H471" s="149"/>
      <c r="K471"/>
      <c r="L471"/>
    </row>
    <row r="472" spans="5:12" s="5" customFormat="1" x14ac:dyDescent="0.2">
      <c r="E472" s="4"/>
      <c r="G472" s="4"/>
      <c r="H472" s="149"/>
      <c r="K472"/>
      <c r="L472"/>
    </row>
    <row r="473" spans="5:12" s="5" customFormat="1" x14ac:dyDescent="0.2">
      <c r="E473" s="4"/>
      <c r="G473" s="4"/>
      <c r="H473" s="149"/>
      <c r="K473"/>
      <c r="L473"/>
    </row>
    <row r="474" spans="5:12" s="5" customFormat="1" x14ac:dyDescent="0.2">
      <c r="E474" s="4"/>
      <c r="G474" s="4"/>
      <c r="H474" s="149"/>
      <c r="K474"/>
      <c r="L474"/>
    </row>
    <row r="475" spans="5:12" s="5" customFormat="1" x14ac:dyDescent="0.2">
      <c r="E475" s="4"/>
      <c r="G475" s="4"/>
      <c r="H475" s="149"/>
      <c r="K475"/>
      <c r="L475"/>
    </row>
    <row r="476" spans="5:12" s="5" customFormat="1" x14ac:dyDescent="0.2">
      <c r="E476" s="4"/>
      <c r="G476" s="4"/>
      <c r="H476" s="149"/>
      <c r="K476"/>
      <c r="L476"/>
    </row>
    <row r="477" spans="5:12" s="5" customFormat="1" x14ac:dyDescent="0.2">
      <c r="E477" s="4"/>
      <c r="G477" s="4"/>
      <c r="H477" s="149"/>
      <c r="K477"/>
      <c r="L477"/>
    </row>
    <row r="478" spans="5:12" s="5" customFormat="1" x14ac:dyDescent="0.2">
      <c r="E478" s="4"/>
      <c r="G478" s="4"/>
      <c r="H478" s="149"/>
      <c r="K478"/>
      <c r="L478"/>
    </row>
    <row r="479" spans="5:12" s="5" customFormat="1" x14ac:dyDescent="0.2">
      <c r="E479" s="4"/>
      <c r="G479" s="4"/>
      <c r="H479" s="149"/>
      <c r="K479"/>
      <c r="L479"/>
    </row>
    <row r="480" spans="5:12" s="5" customFormat="1" x14ac:dyDescent="0.2">
      <c r="E480" s="4"/>
      <c r="G480" s="4"/>
      <c r="H480" s="149"/>
      <c r="K480"/>
      <c r="L480"/>
    </row>
    <row r="481" spans="5:12" s="5" customFormat="1" x14ac:dyDescent="0.2">
      <c r="E481" s="4"/>
      <c r="G481" s="4"/>
      <c r="H481" s="149"/>
      <c r="K481"/>
      <c r="L481"/>
    </row>
    <row r="482" spans="5:12" s="5" customFormat="1" x14ac:dyDescent="0.2">
      <c r="E482" s="4"/>
      <c r="G482" s="4"/>
      <c r="H482" s="149"/>
      <c r="K482"/>
      <c r="L482"/>
    </row>
    <row r="483" spans="5:12" s="5" customFormat="1" x14ac:dyDescent="0.2">
      <c r="E483" s="4"/>
      <c r="G483" s="4"/>
      <c r="H483" s="149"/>
      <c r="K483"/>
      <c r="L483"/>
    </row>
    <row r="484" spans="5:12" s="5" customFormat="1" x14ac:dyDescent="0.2">
      <c r="E484" s="4"/>
      <c r="G484" s="4"/>
      <c r="H484" s="149"/>
      <c r="K484"/>
      <c r="L484"/>
    </row>
    <row r="485" spans="5:12" s="5" customFormat="1" x14ac:dyDescent="0.2">
      <c r="E485" s="4"/>
      <c r="G485" s="4"/>
      <c r="H485" s="149"/>
      <c r="K485"/>
      <c r="L485"/>
    </row>
    <row r="486" spans="5:12" s="5" customFormat="1" x14ac:dyDescent="0.2">
      <c r="E486" s="4"/>
      <c r="G486" s="4"/>
      <c r="H486" s="149"/>
      <c r="K486"/>
      <c r="L486"/>
    </row>
    <row r="487" spans="5:12" s="5" customFormat="1" x14ac:dyDescent="0.2">
      <c r="E487" s="4"/>
      <c r="G487" s="4"/>
      <c r="H487" s="149"/>
      <c r="K487"/>
      <c r="L487"/>
    </row>
    <row r="488" spans="5:12" s="5" customFormat="1" x14ac:dyDescent="0.2">
      <c r="E488" s="4"/>
      <c r="G488" s="4"/>
      <c r="H488" s="149"/>
      <c r="K488"/>
      <c r="L488"/>
    </row>
    <row r="489" spans="5:12" s="5" customFormat="1" x14ac:dyDescent="0.2">
      <c r="E489" s="4"/>
      <c r="G489" s="4"/>
      <c r="H489" s="149"/>
      <c r="K489"/>
      <c r="L489"/>
    </row>
    <row r="490" spans="5:12" s="5" customFormat="1" x14ac:dyDescent="0.2">
      <c r="E490" s="4"/>
      <c r="G490" s="4"/>
      <c r="H490" s="149"/>
      <c r="K490"/>
      <c r="L490"/>
    </row>
    <row r="491" spans="5:12" s="5" customFormat="1" x14ac:dyDescent="0.2">
      <c r="E491" s="4"/>
      <c r="G491" s="4"/>
      <c r="H491" s="149"/>
      <c r="K491"/>
      <c r="L491"/>
    </row>
    <row r="492" spans="5:12" s="5" customFormat="1" x14ac:dyDescent="0.2">
      <c r="E492" s="4"/>
      <c r="G492" s="4"/>
      <c r="H492" s="149"/>
      <c r="K492"/>
      <c r="L492"/>
    </row>
    <row r="493" spans="5:12" s="5" customFormat="1" x14ac:dyDescent="0.2">
      <c r="E493" s="4"/>
      <c r="G493" s="4"/>
      <c r="H493" s="149"/>
      <c r="K493"/>
      <c r="L493"/>
    </row>
    <row r="494" spans="5:12" s="5" customFormat="1" x14ac:dyDescent="0.2">
      <c r="E494" s="4"/>
      <c r="G494" s="4"/>
      <c r="H494" s="149"/>
      <c r="K494"/>
      <c r="L494"/>
    </row>
    <row r="495" spans="5:12" s="5" customFormat="1" x14ac:dyDescent="0.2">
      <c r="E495" s="4"/>
      <c r="G495" s="4"/>
      <c r="H495" s="149"/>
      <c r="K495"/>
      <c r="L495"/>
    </row>
    <row r="496" spans="5:12" s="5" customFormat="1" x14ac:dyDescent="0.2">
      <c r="E496" s="4"/>
      <c r="G496" s="4"/>
      <c r="H496" s="149"/>
      <c r="K496"/>
      <c r="L496"/>
    </row>
    <row r="497" spans="5:12" s="5" customFormat="1" x14ac:dyDescent="0.2">
      <c r="E497" s="4"/>
      <c r="G497" s="4"/>
      <c r="H497" s="149"/>
      <c r="K497"/>
      <c r="L497"/>
    </row>
    <row r="498" spans="5:12" s="5" customFormat="1" x14ac:dyDescent="0.2">
      <c r="E498" s="4"/>
      <c r="G498" s="4"/>
      <c r="H498" s="149"/>
      <c r="K498"/>
      <c r="L498"/>
    </row>
    <row r="499" spans="5:12" s="5" customFormat="1" x14ac:dyDescent="0.2">
      <c r="E499" s="4"/>
      <c r="G499" s="4"/>
      <c r="H499" s="149"/>
      <c r="K499"/>
      <c r="L499"/>
    </row>
    <row r="500" spans="5:12" s="5" customFormat="1" x14ac:dyDescent="0.2">
      <c r="E500" s="4"/>
      <c r="G500" s="4"/>
      <c r="H500" s="149"/>
      <c r="K500"/>
      <c r="L500"/>
    </row>
    <row r="501" spans="5:12" s="5" customFormat="1" x14ac:dyDescent="0.2">
      <c r="E501" s="4"/>
      <c r="G501" s="4"/>
      <c r="H501" s="149"/>
      <c r="K501"/>
      <c r="L501"/>
    </row>
    <row r="502" spans="5:12" s="5" customFormat="1" x14ac:dyDescent="0.2">
      <c r="E502" s="4"/>
      <c r="G502" s="4"/>
      <c r="H502" s="149"/>
      <c r="K502"/>
      <c r="L502"/>
    </row>
    <row r="503" spans="5:12" s="5" customFormat="1" x14ac:dyDescent="0.2">
      <c r="E503" s="4"/>
      <c r="G503" s="4"/>
      <c r="H503" s="149"/>
      <c r="K503"/>
      <c r="L503"/>
    </row>
    <row r="504" spans="5:12" s="5" customFormat="1" x14ac:dyDescent="0.2">
      <c r="E504" s="4"/>
      <c r="G504" s="4"/>
      <c r="H504" s="149"/>
      <c r="K504"/>
      <c r="L504"/>
    </row>
    <row r="505" spans="5:12" s="5" customFormat="1" x14ac:dyDescent="0.2">
      <c r="E505" s="4"/>
      <c r="G505" s="4"/>
      <c r="H505" s="149"/>
      <c r="K505"/>
      <c r="L505"/>
    </row>
    <row r="506" spans="5:12" s="5" customFormat="1" x14ac:dyDescent="0.2">
      <c r="E506" s="4"/>
      <c r="G506" s="4"/>
      <c r="H506" s="149"/>
      <c r="K506"/>
      <c r="L506"/>
    </row>
    <row r="507" spans="5:12" s="5" customFormat="1" x14ac:dyDescent="0.2">
      <c r="E507" s="4"/>
      <c r="G507" s="4"/>
      <c r="H507" s="149"/>
      <c r="K507"/>
      <c r="L507"/>
    </row>
    <row r="508" spans="5:12" s="5" customFormat="1" x14ac:dyDescent="0.2">
      <c r="E508" s="4"/>
      <c r="G508" s="4"/>
      <c r="H508" s="149"/>
      <c r="K508"/>
      <c r="L508"/>
    </row>
    <row r="509" spans="5:12" s="5" customFormat="1" x14ac:dyDescent="0.2">
      <c r="E509" s="4"/>
      <c r="G509" s="4"/>
      <c r="H509" s="149"/>
      <c r="K509"/>
      <c r="L509"/>
    </row>
    <row r="510" spans="5:12" s="5" customFormat="1" x14ac:dyDescent="0.2">
      <c r="E510" s="4"/>
      <c r="G510" s="4"/>
      <c r="H510" s="149"/>
      <c r="K510"/>
      <c r="L510"/>
    </row>
    <row r="511" spans="5:12" s="5" customFormat="1" x14ac:dyDescent="0.2">
      <c r="E511" s="4"/>
      <c r="G511" s="4"/>
      <c r="H511" s="149"/>
      <c r="K511"/>
      <c r="L511"/>
    </row>
    <row r="512" spans="5:12" s="5" customFormat="1" x14ac:dyDescent="0.2">
      <c r="E512" s="4"/>
      <c r="G512" s="4"/>
      <c r="H512" s="149"/>
      <c r="K512"/>
      <c r="L512"/>
    </row>
    <row r="513" spans="5:12" s="5" customFormat="1" x14ac:dyDescent="0.2">
      <c r="E513" s="4"/>
      <c r="G513" s="4"/>
      <c r="H513" s="149"/>
      <c r="K513"/>
      <c r="L513"/>
    </row>
    <row r="514" spans="5:12" s="5" customFormat="1" x14ac:dyDescent="0.2">
      <c r="E514" s="4"/>
      <c r="G514" s="4"/>
      <c r="H514" s="149"/>
      <c r="K514"/>
      <c r="L514"/>
    </row>
    <row r="515" spans="5:12" s="5" customFormat="1" x14ac:dyDescent="0.2">
      <c r="E515" s="4"/>
      <c r="G515" s="4"/>
      <c r="H515" s="149"/>
      <c r="K515"/>
      <c r="L515"/>
    </row>
    <row r="516" spans="5:12" s="5" customFormat="1" x14ac:dyDescent="0.2">
      <c r="E516" s="4"/>
      <c r="G516" s="4"/>
      <c r="H516" s="149"/>
      <c r="K516"/>
      <c r="L516"/>
    </row>
    <row r="517" spans="5:12" s="5" customFormat="1" x14ac:dyDescent="0.2">
      <c r="E517" s="4"/>
      <c r="G517" s="4"/>
      <c r="H517" s="149"/>
      <c r="K517"/>
      <c r="L517"/>
    </row>
    <row r="518" spans="5:12" s="5" customFormat="1" x14ac:dyDescent="0.2">
      <c r="E518" s="4"/>
      <c r="G518" s="4"/>
      <c r="H518" s="149"/>
      <c r="K518"/>
      <c r="L518"/>
    </row>
    <row r="519" spans="5:12" s="5" customFormat="1" x14ac:dyDescent="0.2">
      <c r="E519" s="4"/>
      <c r="G519" s="4"/>
      <c r="H519" s="149"/>
      <c r="K519"/>
      <c r="L519"/>
    </row>
    <row r="520" spans="5:12" s="5" customFormat="1" x14ac:dyDescent="0.2">
      <c r="E520" s="4"/>
      <c r="G520" s="4"/>
      <c r="H520" s="149"/>
      <c r="K520"/>
      <c r="L520"/>
    </row>
    <row r="521" spans="5:12" s="5" customFormat="1" x14ac:dyDescent="0.2">
      <c r="E521" s="4"/>
      <c r="G521" s="4"/>
      <c r="H521" s="149"/>
      <c r="K521"/>
      <c r="L521"/>
    </row>
    <row r="522" spans="5:12" s="5" customFormat="1" x14ac:dyDescent="0.2">
      <c r="E522" s="4"/>
      <c r="G522" s="4"/>
      <c r="H522" s="149"/>
      <c r="K522"/>
      <c r="L522"/>
    </row>
    <row r="523" spans="5:12" s="5" customFormat="1" x14ac:dyDescent="0.2">
      <c r="E523" s="4"/>
      <c r="G523" s="4"/>
      <c r="H523" s="149"/>
      <c r="K523"/>
      <c r="L523"/>
    </row>
    <row r="524" spans="5:12" s="5" customFormat="1" x14ac:dyDescent="0.2">
      <c r="E524" s="4"/>
      <c r="G524" s="4"/>
      <c r="H524" s="149"/>
      <c r="K524"/>
      <c r="L524"/>
    </row>
    <row r="525" spans="5:12" s="5" customFormat="1" x14ac:dyDescent="0.2">
      <c r="E525" s="4"/>
      <c r="G525" s="4"/>
      <c r="H525" s="149"/>
      <c r="K525"/>
      <c r="L525"/>
    </row>
    <row r="526" spans="5:12" s="5" customFormat="1" x14ac:dyDescent="0.2">
      <c r="E526" s="4"/>
      <c r="G526" s="4"/>
      <c r="H526" s="149"/>
      <c r="K526"/>
      <c r="L526"/>
    </row>
    <row r="527" spans="5:12" s="5" customFormat="1" x14ac:dyDescent="0.2">
      <c r="E527" s="4"/>
      <c r="G527" s="4"/>
      <c r="H527" s="149"/>
      <c r="K527"/>
      <c r="L527"/>
    </row>
    <row r="528" spans="5:12" s="5" customFormat="1" x14ac:dyDescent="0.2">
      <c r="E528" s="4"/>
      <c r="G528" s="4"/>
      <c r="H528" s="149"/>
      <c r="K528"/>
      <c r="L528"/>
    </row>
    <row r="529" spans="5:12" s="5" customFormat="1" x14ac:dyDescent="0.2">
      <c r="E529" s="4"/>
      <c r="G529" s="4"/>
      <c r="H529" s="149"/>
      <c r="K529"/>
      <c r="L529"/>
    </row>
    <row r="530" spans="5:12" s="5" customFormat="1" x14ac:dyDescent="0.2">
      <c r="E530" s="4"/>
      <c r="G530" s="4"/>
      <c r="H530" s="149"/>
      <c r="K530"/>
      <c r="L530"/>
    </row>
    <row r="531" spans="5:12" s="5" customFormat="1" x14ac:dyDescent="0.2">
      <c r="E531" s="4"/>
      <c r="G531" s="4"/>
      <c r="H531" s="149"/>
      <c r="K531"/>
      <c r="L531"/>
    </row>
    <row r="532" spans="5:12" s="5" customFormat="1" x14ac:dyDescent="0.2">
      <c r="E532" s="4"/>
      <c r="G532" s="4"/>
      <c r="H532" s="149"/>
      <c r="K532"/>
      <c r="L532"/>
    </row>
    <row r="533" spans="5:12" s="5" customFormat="1" x14ac:dyDescent="0.2">
      <c r="E533" s="4"/>
      <c r="G533" s="4"/>
      <c r="H533" s="149"/>
      <c r="K533"/>
      <c r="L533"/>
    </row>
    <row r="534" spans="5:12" s="5" customFormat="1" x14ac:dyDescent="0.2">
      <c r="E534" s="4"/>
      <c r="G534" s="4"/>
      <c r="H534" s="149"/>
      <c r="K534"/>
      <c r="L534"/>
    </row>
    <row r="535" spans="5:12" s="5" customFormat="1" x14ac:dyDescent="0.2">
      <c r="E535" s="4"/>
      <c r="G535" s="4"/>
      <c r="H535" s="149"/>
      <c r="K535"/>
      <c r="L535"/>
    </row>
    <row r="536" spans="5:12" s="5" customFormat="1" x14ac:dyDescent="0.2">
      <c r="E536" s="4"/>
      <c r="G536" s="4"/>
      <c r="H536" s="149"/>
      <c r="K536"/>
      <c r="L536"/>
    </row>
    <row r="537" spans="5:12" s="5" customFormat="1" x14ac:dyDescent="0.2">
      <c r="E537" s="4"/>
      <c r="G537" s="4"/>
      <c r="H537" s="149"/>
      <c r="K537"/>
      <c r="L537"/>
    </row>
    <row r="538" spans="5:12" s="5" customFormat="1" x14ac:dyDescent="0.2">
      <c r="E538" s="4"/>
      <c r="G538" s="4"/>
      <c r="H538" s="149"/>
      <c r="K538"/>
      <c r="L538"/>
    </row>
    <row r="539" spans="5:12" s="5" customFormat="1" x14ac:dyDescent="0.2">
      <c r="E539" s="4"/>
      <c r="G539" s="4"/>
      <c r="H539" s="149"/>
      <c r="K539"/>
      <c r="L539"/>
    </row>
    <row r="540" spans="5:12" s="5" customFormat="1" x14ac:dyDescent="0.2">
      <c r="E540" s="4"/>
      <c r="G540" s="4"/>
      <c r="H540" s="149"/>
      <c r="K540"/>
      <c r="L540"/>
    </row>
    <row r="541" spans="5:12" s="5" customFormat="1" x14ac:dyDescent="0.2">
      <c r="E541" s="4"/>
      <c r="G541" s="4"/>
      <c r="H541" s="149"/>
      <c r="K541"/>
      <c r="L541"/>
    </row>
    <row r="542" spans="5:12" s="5" customFormat="1" x14ac:dyDescent="0.2">
      <c r="E542" s="4"/>
      <c r="G542" s="4"/>
      <c r="H542" s="149"/>
      <c r="K542"/>
      <c r="L542"/>
    </row>
    <row r="543" spans="5:12" s="5" customFormat="1" x14ac:dyDescent="0.2">
      <c r="E543" s="4"/>
      <c r="G543" s="4"/>
      <c r="H543" s="149"/>
      <c r="K543"/>
      <c r="L543"/>
    </row>
    <row r="544" spans="5:12" s="5" customFormat="1" x14ac:dyDescent="0.2">
      <c r="E544" s="4"/>
      <c r="G544" s="4"/>
      <c r="H544" s="149"/>
      <c r="K544"/>
      <c r="L544"/>
    </row>
    <row r="545" spans="5:12" s="5" customFormat="1" x14ac:dyDescent="0.2">
      <c r="E545" s="4"/>
      <c r="G545" s="4"/>
      <c r="H545" s="149"/>
      <c r="K545"/>
      <c r="L545"/>
    </row>
    <row r="546" spans="5:12" s="5" customFormat="1" x14ac:dyDescent="0.2">
      <c r="E546" s="4"/>
      <c r="G546" s="4"/>
      <c r="H546" s="149"/>
      <c r="K546"/>
      <c r="L546"/>
    </row>
    <row r="547" spans="5:12" s="5" customFormat="1" x14ac:dyDescent="0.2">
      <c r="E547" s="4"/>
      <c r="G547" s="4"/>
      <c r="H547" s="149"/>
      <c r="K547"/>
      <c r="L547"/>
    </row>
    <row r="548" spans="5:12" s="5" customFormat="1" x14ac:dyDescent="0.2">
      <c r="E548" s="4"/>
      <c r="G548" s="4"/>
      <c r="H548" s="149"/>
      <c r="K548"/>
      <c r="L548"/>
    </row>
    <row r="549" spans="5:12" s="5" customFormat="1" x14ac:dyDescent="0.2">
      <c r="E549" s="4"/>
      <c r="G549" s="4"/>
      <c r="H549" s="149"/>
      <c r="K549"/>
      <c r="L549"/>
    </row>
    <row r="550" spans="5:12" s="5" customFormat="1" x14ac:dyDescent="0.2">
      <c r="E550" s="4"/>
      <c r="G550" s="4"/>
      <c r="H550" s="149"/>
      <c r="K550"/>
      <c r="L550"/>
    </row>
    <row r="551" spans="5:12" s="5" customFormat="1" x14ac:dyDescent="0.2">
      <c r="E551" s="4"/>
      <c r="G551" s="4"/>
      <c r="H551" s="149"/>
      <c r="K551"/>
      <c r="L551"/>
    </row>
    <row r="552" spans="5:12" s="5" customFormat="1" x14ac:dyDescent="0.2">
      <c r="E552" s="4"/>
      <c r="G552" s="4"/>
      <c r="H552" s="149"/>
      <c r="K552"/>
      <c r="L552"/>
    </row>
    <row r="553" spans="5:12" s="5" customFormat="1" x14ac:dyDescent="0.2">
      <c r="E553" s="4"/>
      <c r="G553" s="4"/>
      <c r="H553" s="149"/>
      <c r="K553"/>
      <c r="L553"/>
    </row>
    <row r="554" spans="5:12" s="5" customFormat="1" x14ac:dyDescent="0.2">
      <c r="E554" s="4"/>
      <c r="G554" s="4"/>
      <c r="H554" s="149"/>
      <c r="K554"/>
      <c r="L554"/>
    </row>
    <row r="555" spans="5:12" s="5" customFormat="1" x14ac:dyDescent="0.2">
      <c r="E555" s="4"/>
      <c r="G555" s="4"/>
      <c r="H555" s="149"/>
      <c r="K555"/>
      <c r="L555"/>
    </row>
    <row r="556" spans="5:12" s="5" customFormat="1" x14ac:dyDescent="0.2">
      <c r="E556" s="4"/>
      <c r="G556" s="4"/>
      <c r="H556" s="149"/>
      <c r="K556"/>
      <c r="L556"/>
    </row>
    <row r="557" spans="5:12" s="5" customFormat="1" x14ac:dyDescent="0.2">
      <c r="E557" s="4"/>
      <c r="G557" s="4"/>
      <c r="H557" s="149"/>
      <c r="K557"/>
      <c r="L557"/>
    </row>
    <row r="558" spans="5:12" s="5" customFormat="1" x14ac:dyDescent="0.2">
      <c r="E558" s="4"/>
      <c r="G558" s="4"/>
      <c r="H558" s="149"/>
      <c r="K558"/>
      <c r="L558"/>
    </row>
    <row r="559" spans="5:12" s="5" customFormat="1" x14ac:dyDescent="0.2">
      <c r="E559" s="4"/>
      <c r="G559" s="4"/>
      <c r="H559" s="149"/>
      <c r="K559"/>
      <c r="L559"/>
    </row>
    <row r="560" spans="5:12" s="5" customFormat="1" x14ac:dyDescent="0.2">
      <c r="E560" s="4"/>
      <c r="G560" s="4"/>
      <c r="H560" s="149"/>
      <c r="K560"/>
      <c r="L560"/>
    </row>
    <row r="561" spans="5:12" s="5" customFormat="1" x14ac:dyDescent="0.2">
      <c r="E561" s="4"/>
      <c r="G561" s="4"/>
      <c r="H561" s="149"/>
      <c r="K561"/>
      <c r="L561"/>
    </row>
    <row r="562" spans="5:12" s="5" customFormat="1" x14ac:dyDescent="0.2">
      <c r="E562" s="4"/>
      <c r="G562" s="4"/>
      <c r="H562" s="149"/>
      <c r="K562"/>
      <c r="L562"/>
    </row>
    <row r="563" spans="5:12" s="5" customFormat="1" x14ac:dyDescent="0.2">
      <c r="E563" s="4"/>
      <c r="G563" s="4"/>
      <c r="H563" s="149"/>
      <c r="K563"/>
      <c r="L563"/>
    </row>
    <row r="564" spans="5:12" s="5" customFormat="1" x14ac:dyDescent="0.2">
      <c r="E564" s="4"/>
      <c r="G564" s="4"/>
      <c r="H564" s="149"/>
      <c r="K564"/>
      <c r="L564"/>
    </row>
    <row r="565" spans="5:12" s="5" customFormat="1" x14ac:dyDescent="0.2">
      <c r="E565" s="4"/>
      <c r="G565" s="4"/>
      <c r="H565" s="149"/>
      <c r="K565"/>
      <c r="L565"/>
    </row>
    <row r="566" spans="5:12" s="5" customFormat="1" x14ac:dyDescent="0.2">
      <c r="E566" s="4"/>
      <c r="G566" s="4"/>
      <c r="H566" s="149"/>
      <c r="K566"/>
      <c r="L566"/>
    </row>
    <row r="567" spans="5:12" s="5" customFormat="1" x14ac:dyDescent="0.2">
      <c r="E567" s="4"/>
      <c r="G567" s="4"/>
      <c r="H567" s="149"/>
      <c r="K567"/>
      <c r="L567"/>
    </row>
    <row r="568" spans="5:12" s="5" customFormat="1" x14ac:dyDescent="0.2">
      <c r="E568" s="4"/>
      <c r="G568" s="4"/>
      <c r="H568" s="149"/>
      <c r="K568"/>
      <c r="L568"/>
    </row>
    <row r="569" spans="5:12" s="5" customFormat="1" x14ac:dyDescent="0.2">
      <c r="E569" s="4"/>
      <c r="G569" s="4"/>
      <c r="H569" s="149"/>
      <c r="K569"/>
      <c r="L569"/>
    </row>
    <row r="570" spans="5:12" s="5" customFormat="1" x14ac:dyDescent="0.2">
      <c r="E570" s="4"/>
      <c r="G570" s="4"/>
      <c r="H570" s="149"/>
      <c r="K570"/>
      <c r="L570"/>
    </row>
    <row r="571" spans="5:12" s="5" customFormat="1" x14ac:dyDescent="0.2">
      <c r="E571" s="4"/>
      <c r="G571" s="4"/>
      <c r="H571" s="149"/>
      <c r="K571"/>
      <c r="L571"/>
    </row>
    <row r="572" spans="5:12" s="5" customFormat="1" x14ac:dyDescent="0.2">
      <c r="E572" s="4"/>
      <c r="G572" s="4"/>
      <c r="H572" s="149"/>
      <c r="K572"/>
      <c r="L572"/>
    </row>
    <row r="573" spans="5:12" s="5" customFormat="1" x14ac:dyDescent="0.2">
      <c r="E573" s="4"/>
      <c r="G573" s="4"/>
      <c r="H573" s="149"/>
      <c r="K573"/>
      <c r="L573"/>
    </row>
    <row r="574" spans="5:12" s="5" customFormat="1" x14ac:dyDescent="0.2">
      <c r="E574" s="4"/>
      <c r="G574" s="4"/>
      <c r="H574" s="149"/>
      <c r="K574"/>
      <c r="L574"/>
    </row>
    <row r="575" spans="5:12" s="5" customFormat="1" x14ac:dyDescent="0.2">
      <c r="E575" s="4"/>
      <c r="G575" s="4"/>
      <c r="H575" s="149"/>
      <c r="K575"/>
      <c r="L575"/>
    </row>
    <row r="576" spans="5:12" s="5" customFormat="1" x14ac:dyDescent="0.2">
      <c r="E576" s="4"/>
      <c r="G576" s="4"/>
      <c r="H576" s="149"/>
      <c r="K576"/>
      <c r="L576"/>
    </row>
    <row r="577" spans="5:12" s="5" customFormat="1" x14ac:dyDescent="0.2">
      <c r="E577" s="4"/>
      <c r="G577" s="4"/>
      <c r="H577" s="149"/>
      <c r="K577"/>
      <c r="L577"/>
    </row>
    <row r="578" spans="5:12" s="5" customFormat="1" x14ac:dyDescent="0.2">
      <c r="E578" s="4"/>
      <c r="G578" s="4"/>
      <c r="H578" s="149"/>
      <c r="K578"/>
      <c r="L578"/>
    </row>
    <row r="579" spans="5:12" s="5" customFormat="1" x14ac:dyDescent="0.2">
      <c r="E579" s="4"/>
      <c r="G579" s="4"/>
      <c r="H579" s="149"/>
      <c r="K579"/>
      <c r="L579"/>
    </row>
    <row r="580" spans="5:12" s="5" customFormat="1" x14ac:dyDescent="0.2">
      <c r="E580" s="4"/>
      <c r="G580" s="4"/>
      <c r="H580" s="149"/>
      <c r="K580"/>
      <c r="L580"/>
    </row>
    <row r="581" spans="5:12" s="5" customFormat="1" x14ac:dyDescent="0.2">
      <c r="E581" s="4"/>
      <c r="G581" s="4"/>
      <c r="H581" s="149"/>
      <c r="K581"/>
      <c r="L581"/>
    </row>
    <row r="582" spans="5:12" s="5" customFormat="1" x14ac:dyDescent="0.2">
      <c r="E582" s="4"/>
      <c r="G582" s="4"/>
      <c r="H582" s="149"/>
      <c r="K582"/>
      <c r="L582"/>
    </row>
    <row r="583" spans="5:12" s="5" customFormat="1" x14ac:dyDescent="0.2">
      <c r="E583" s="4"/>
      <c r="G583" s="4"/>
      <c r="H583" s="149"/>
      <c r="K583"/>
      <c r="L583"/>
    </row>
    <row r="584" spans="5:12" s="5" customFormat="1" x14ac:dyDescent="0.2">
      <c r="E584" s="4"/>
      <c r="G584" s="4"/>
      <c r="H584" s="149"/>
      <c r="K584"/>
      <c r="L584"/>
    </row>
    <row r="585" spans="5:12" s="5" customFormat="1" x14ac:dyDescent="0.2">
      <c r="E585" s="4"/>
      <c r="G585" s="4"/>
      <c r="H585" s="149"/>
      <c r="K585"/>
      <c r="L585"/>
    </row>
    <row r="586" spans="5:12" s="5" customFormat="1" x14ac:dyDescent="0.2">
      <c r="E586" s="4"/>
      <c r="G586" s="4"/>
      <c r="H586" s="149"/>
      <c r="K586"/>
      <c r="L586"/>
    </row>
    <row r="587" spans="5:12" s="5" customFormat="1" x14ac:dyDescent="0.2">
      <c r="E587" s="4"/>
      <c r="G587" s="4"/>
      <c r="H587" s="149"/>
      <c r="K587"/>
      <c r="L587"/>
    </row>
    <row r="588" spans="5:12" s="5" customFormat="1" x14ac:dyDescent="0.2">
      <c r="E588" s="4"/>
      <c r="G588" s="4"/>
      <c r="H588" s="149"/>
      <c r="K588"/>
      <c r="L588"/>
    </row>
    <row r="589" spans="5:12" s="5" customFormat="1" x14ac:dyDescent="0.2">
      <c r="E589" s="4"/>
      <c r="G589" s="4"/>
      <c r="H589" s="149"/>
      <c r="K589"/>
      <c r="L589"/>
    </row>
    <row r="590" spans="5:12" s="5" customFormat="1" x14ac:dyDescent="0.2">
      <c r="E590" s="4"/>
      <c r="G590" s="4"/>
      <c r="H590" s="149"/>
      <c r="K590"/>
      <c r="L590"/>
    </row>
    <row r="591" spans="5:12" s="5" customFormat="1" x14ac:dyDescent="0.2">
      <c r="E591" s="4"/>
      <c r="G591" s="4"/>
      <c r="H591" s="149"/>
      <c r="K591"/>
      <c r="L591"/>
    </row>
    <row r="592" spans="5:12" s="5" customFormat="1" x14ac:dyDescent="0.2">
      <c r="E592" s="4"/>
      <c r="G592" s="4"/>
      <c r="H592" s="149"/>
      <c r="K592"/>
      <c r="L592"/>
    </row>
    <row r="593" spans="5:12" s="5" customFormat="1" x14ac:dyDescent="0.2">
      <c r="E593" s="4"/>
      <c r="G593" s="4"/>
      <c r="H593" s="149"/>
      <c r="K593"/>
      <c r="L593"/>
    </row>
    <row r="594" spans="5:12" s="5" customFormat="1" x14ac:dyDescent="0.2">
      <c r="E594" s="4"/>
      <c r="G594" s="4"/>
      <c r="H594" s="149"/>
      <c r="K594"/>
      <c r="L594"/>
    </row>
    <row r="595" spans="5:12" s="5" customFormat="1" x14ac:dyDescent="0.2">
      <c r="E595" s="4"/>
      <c r="G595" s="4"/>
      <c r="H595" s="149"/>
      <c r="K595"/>
      <c r="L595"/>
    </row>
    <row r="596" spans="5:12" s="5" customFormat="1" x14ac:dyDescent="0.2">
      <c r="E596" s="4"/>
      <c r="G596" s="4"/>
      <c r="H596" s="149"/>
      <c r="K596"/>
      <c r="L596"/>
    </row>
    <row r="597" spans="5:12" s="5" customFormat="1" x14ac:dyDescent="0.2">
      <c r="E597" s="4"/>
      <c r="G597" s="4"/>
      <c r="H597" s="149"/>
      <c r="K597"/>
      <c r="L597"/>
    </row>
    <row r="598" spans="5:12" s="5" customFormat="1" x14ac:dyDescent="0.2">
      <c r="E598" s="4"/>
      <c r="G598" s="4"/>
      <c r="H598" s="149"/>
      <c r="K598"/>
      <c r="L598"/>
    </row>
    <row r="599" spans="5:12" s="5" customFormat="1" x14ac:dyDescent="0.2">
      <c r="E599" s="4"/>
      <c r="G599" s="4"/>
      <c r="H599" s="149"/>
      <c r="K599"/>
      <c r="L599"/>
    </row>
    <row r="600" spans="5:12" s="5" customFormat="1" x14ac:dyDescent="0.2">
      <c r="E600" s="4"/>
      <c r="G600" s="4"/>
      <c r="H600" s="149"/>
      <c r="K600"/>
      <c r="L600"/>
    </row>
    <row r="601" spans="5:12" s="5" customFormat="1" x14ac:dyDescent="0.2">
      <c r="E601" s="4"/>
      <c r="G601" s="4"/>
      <c r="H601" s="149"/>
      <c r="K601"/>
      <c r="L601"/>
    </row>
    <row r="602" spans="5:12" s="5" customFormat="1" x14ac:dyDescent="0.2">
      <c r="E602" s="4"/>
      <c r="G602" s="4"/>
      <c r="H602" s="149"/>
      <c r="K602"/>
      <c r="L602"/>
    </row>
    <row r="603" spans="5:12" s="5" customFormat="1" x14ac:dyDescent="0.2">
      <c r="E603" s="4"/>
      <c r="G603" s="4"/>
      <c r="H603" s="149"/>
      <c r="K603"/>
      <c r="L603"/>
    </row>
    <row r="604" spans="5:12" s="5" customFormat="1" x14ac:dyDescent="0.2">
      <c r="E604" s="4"/>
      <c r="G604" s="4"/>
      <c r="H604" s="149"/>
      <c r="K604"/>
      <c r="L604"/>
    </row>
    <row r="605" spans="5:12" s="5" customFormat="1" x14ac:dyDescent="0.2">
      <c r="E605" s="4"/>
      <c r="G605" s="4"/>
      <c r="H605" s="149"/>
      <c r="K605"/>
      <c r="L605"/>
    </row>
    <row r="606" spans="5:12" s="5" customFormat="1" x14ac:dyDescent="0.2">
      <c r="E606" s="4"/>
      <c r="G606" s="4"/>
      <c r="H606" s="149"/>
      <c r="K606"/>
      <c r="L606"/>
    </row>
    <row r="607" spans="5:12" s="5" customFormat="1" x14ac:dyDescent="0.2">
      <c r="E607" s="4"/>
      <c r="G607" s="4"/>
      <c r="H607" s="149"/>
      <c r="K607"/>
      <c r="L607"/>
    </row>
    <row r="608" spans="5:12" s="5" customFormat="1" x14ac:dyDescent="0.2">
      <c r="E608" s="4"/>
      <c r="G608" s="4"/>
      <c r="H608" s="149"/>
      <c r="K608"/>
      <c r="L608"/>
    </row>
    <row r="609" spans="5:12" s="5" customFormat="1" x14ac:dyDescent="0.2">
      <c r="E609" s="4"/>
      <c r="G609" s="4"/>
      <c r="H609" s="149"/>
      <c r="K609"/>
      <c r="L609"/>
    </row>
    <row r="610" spans="5:12" s="5" customFormat="1" x14ac:dyDescent="0.2">
      <c r="E610" s="4"/>
      <c r="G610" s="4"/>
      <c r="H610" s="149"/>
      <c r="K610"/>
      <c r="L610"/>
    </row>
    <row r="611" spans="5:12" s="5" customFormat="1" x14ac:dyDescent="0.2">
      <c r="E611" s="4"/>
      <c r="G611" s="4"/>
      <c r="H611" s="149"/>
      <c r="K611"/>
      <c r="L611"/>
    </row>
    <row r="612" spans="5:12" s="5" customFormat="1" x14ac:dyDescent="0.2">
      <c r="E612" s="4"/>
      <c r="G612" s="4"/>
      <c r="H612" s="149"/>
      <c r="K612"/>
      <c r="L612"/>
    </row>
    <row r="613" spans="5:12" s="5" customFormat="1" x14ac:dyDescent="0.2">
      <c r="E613" s="4"/>
      <c r="G613" s="4"/>
      <c r="H613" s="149"/>
      <c r="K613"/>
      <c r="L613"/>
    </row>
    <row r="614" spans="5:12" s="5" customFormat="1" x14ac:dyDescent="0.2">
      <c r="E614" s="4"/>
      <c r="G614" s="4"/>
      <c r="H614" s="149"/>
      <c r="K614"/>
      <c r="L614"/>
    </row>
    <row r="615" spans="5:12" s="5" customFormat="1" x14ac:dyDescent="0.2">
      <c r="E615" s="4"/>
      <c r="G615" s="4"/>
      <c r="H615" s="149"/>
      <c r="K615"/>
      <c r="L615"/>
    </row>
    <row r="616" spans="5:12" s="5" customFormat="1" x14ac:dyDescent="0.2">
      <c r="E616" s="4"/>
      <c r="G616" s="4"/>
      <c r="H616" s="149"/>
      <c r="K616"/>
      <c r="L616"/>
    </row>
    <row r="617" spans="5:12" s="5" customFormat="1" x14ac:dyDescent="0.2">
      <c r="E617" s="4"/>
      <c r="G617" s="4"/>
      <c r="H617" s="149"/>
      <c r="K617"/>
      <c r="L617"/>
    </row>
    <row r="618" spans="5:12" s="5" customFormat="1" x14ac:dyDescent="0.2">
      <c r="E618" s="4"/>
      <c r="G618" s="4"/>
      <c r="H618" s="149"/>
      <c r="K618"/>
      <c r="L618"/>
    </row>
    <row r="619" spans="5:12" s="5" customFormat="1" x14ac:dyDescent="0.2">
      <c r="E619" s="4"/>
      <c r="G619" s="4"/>
      <c r="H619" s="149"/>
      <c r="K619"/>
      <c r="L619"/>
    </row>
    <row r="620" spans="5:12" s="5" customFormat="1" x14ac:dyDescent="0.2">
      <c r="E620" s="4"/>
      <c r="G620" s="4"/>
      <c r="H620" s="149"/>
      <c r="K620"/>
      <c r="L620"/>
    </row>
    <row r="621" spans="5:12" s="5" customFormat="1" x14ac:dyDescent="0.2">
      <c r="E621" s="4"/>
      <c r="G621" s="4"/>
      <c r="H621" s="149"/>
      <c r="K621"/>
      <c r="L621"/>
    </row>
    <row r="622" spans="5:12" s="5" customFormat="1" x14ac:dyDescent="0.2">
      <c r="E622" s="4"/>
      <c r="G622" s="4"/>
      <c r="H622" s="149"/>
      <c r="K622"/>
      <c r="L622"/>
    </row>
    <row r="623" spans="5:12" s="5" customFormat="1" x14ac:dyDescent="0.2">
      <c r="E623" s="4"/>
      <c r="G623" s="4"/>
      <c r="H623" s="149"/>
      <c r="K623"/>
      <c r="L623"/>
    </row>
    <row r="624" spans="5:12" s="5" customFormat="1" x14ac:dyDescent="0.2">
      <c r="E624" s="4"/>
      <c r="G624" s="4"/>
      <c r="H624" s="149"/>
      <c r="K624"/>
      <c r="L624"/>
    </row>
    <row r="625" spans="5:12" s="5" customFormat="1" x14ac:dyDescent="0.2">
      <c r="E625" s="4"/>
      <c r="G625" s="4"/>
      <c r="H625" s="149"/>
      <c r="K625"/>
      <c r="L625"/>
    </row>
    <row r="626" spans="5:12" s="5" customFormat="1" x14ac:dyDescent="0.2">
      <c r="E626" s="4"/>
      <c r="G626" s="4"/>
      <c r="H626" s="149"/>
      <c r="K626"/>
      <c r="L626"/>
    </row>
    <row r="627" spans="5:12" s="5" customFormat="1" x14ac:dyDescent="0.2">
      <c r="E627" s="4"/>
      <c r="G627" s="4"/>
      <c r="H627" s="149"/>
      <c r="K627"/>
      <c r="L627"/>
    </row>
    <row r="628" spans="5:12" s="5" customFormat="1" x14ac:dyDescent="0.2">
      <c r="E628" s="4"/>
      <c r="G628" s="4"/>
      <c r="H628" s="149"/>
      <c r="K628"/>
      <c r="L628"/>
    </row>
    <row r="629" spans="5:12" s="5" customFormat="1" x14ac:dyDescent="0.2">
      <c r="E629" s="4"/>
      <c r="G629" s="4"/>
      <c r="H629" s="149"/>
      <c r="K629"/>
      <c r="L629"/>
    </row>
    <row r="630" spans="5:12" s="5" customFormat="1" x14ac:dyDescent="0.2">
      <c r="E630" s="4"/>
      <c r="G630" s="4"/>
      <c r="H630" s="149"/>
      <c r="K630"/>
      <c r="L630"/>
    </row>
    <row r="631" spans="5:12" s="5" customFormat="1" x14ac:dyDescent="0.2">
      <c r="E631" s="4"/>
      <c r="G631" s="4"/>
      <c r="H631" s="149"/>
      <c r="K631"/>
      <c r="L631"/>
    </row>
    <row r="632" spans="5:12" s="5" customFormat="1" x14ac:dyDescent="0.2">
      <c r="E632" s="4"/>
      <c r="G632" s="4"/>
      <c r="H632" s="149"/>
      <c r="K632"/>
      <c r="L632"/>
    </row>
    <row r="633" spans="5:12" s="5" customFormat="1" x14ac:dyDescent="0.2">
      <c r="E633" s="4"/>
      <c r="G633" s="4"/>
      <c r="H633" s="149"/>
      <c r="K633"/>
      <c r="L633"/>
    </row>
    <row r="634" spans="5:12" s="5" customFormat="1" x14ac:dyDescent="0.2">
      <c r="E634" s="4"/>
      <c r="G634" s="4"/>
      <c r="H634" s="149"/>
      <c r="K634"/>
      <c r="L634"/>
    </row>
    <row r="635" spans="5:12" s="5" customFormat="1" x14ac:dyDescent="0.2">
      <c r="E635" s="4"/>
      <c r="G635" s="4"/>
      <c r="H635" s="149"/>
      <c r="K635"/>
      <c r="L635"/>
    </row>
    <row r="636" spans="5:12" s="5" customFormat="1" x14ac:dyDescent="0.2">
      <c r="E636" s="4"/>
      <c r="G636" s="4"/>
      <c r="H636" s="149"/>
      <c r="K636"/>
      <c r="L636"/>
    </row>
    <row r="637" spans="5:12" s="5" customFormat="1" x14ac:dyDescent="0.2">
      <c r="E637" s="4"/>
      <c r="G637" s="4"/>
      <c r="H637" s="149"/>
      <c r="K637"/>
      <c r="L637"/>
    </row>
    <row r="638" spans="5:12" s="5" customFormat="1" x14ac:dyDescent="0.2">
      <c r="E638" s="4"/>
      <c r="G638" s="4"/>
      <c r="H638" s="149"/>
      <c r="K638"/>
      <c r="L638"/>
    </row>
    <row r="639" spans="5:12" s="5" customFormat="1" x14ac:dyDescent="0.2">
      <c r="E639" s="4"/>
      <c r="G639" s="4"/>
      <c r="H639" s="149"/>
      <c r="K639"/>
      <c r="L639"/>
    </row>
    <row r="640" spans="5:12" s="5" customFormat="1" x14ac:dyDescent="0.2">
      <c r="E640" s="4"/>
      <c r="G640" s="4"/>
      <c r="H640" s="149"/>
      <c r="K640"/>
      <c r="L640"/>
    </row>
    <row r="641" spans="5:12" s="5" customFormat="1" x14ac:dyDescent="0.2">
      <c r="E641" s="4"/>
      <c r="G641" s="4"/>
      <c r="H641" s="149"/>
      <c r="K641"/>
      <c r="L641"/>
    </row>
    <row r="642" spans="5:12" s="5" customFormat="1" x14ac:dyDescent="0.2">
      <c r="E642" s="4"/>
      <c r="G642" s="4"/>
      <c r="H642" s="149"/>
      <c r="K642"/>
      <c r="L642"/>
    </row>
    <row r="643" spans="5:12" s="5" customFormat="1" x14ac:dyDescent="0.2">
      <c r="E643" s="4"/>
      <c r="G643" s="4"/>
      <c r="H643" s="149"/>
      <c r="K643"/>
      <c r="L643"/>
    </row>
    <row r="644" spans="5:12" s="5" customFormat="1" x14ac:dyDescent="0.2">
      <c r="E644" s="4"/>
      <c r="G644" s="4"/>
      <c r="H644" s="149"/>
      <c r="K644"/>
      <c r="L644"/>
    </row>
    <row r="645" spans="5:12" s="5" customFormat="1" x14ac:dyDescent="0.2">
      <c r="E645" s="4"/>
      <c r="G645" s="4"/>
      <c r="H645" s="149"/>
      <c r="K645"/>
      <c r="L645"/>
    </row>
    <row r="646" spans="5:12" s="5" customFormat="1" x14ac:dyDescent="0.2">
      <c r="E646" s="4"/>
      <c r="G646" s="4"/>
      <c r="H646" s="149"/>
      <c r="K646"/>
      <c r="L646"/>
    </row>
    <row r="647" spans="5:12" s="5" customFormat="1" x14ac:dyDescent="0.2">
      <c r="E647" s="4"/>
      <c r="G647" s="4"/>
      <c r="H647" s="149"/>
      <c r="K647"/>
      <c r="L647"/>
    </row>
    <row r="648" spans="5:12" s="5" customFormat="1" x14ac:dyDescent="0.2">
      <c r="E648" s="4"/>
      <c r="G648" s="4"/>
      <c r="H648" s="149"/>
      <c r="K648"/>
      <c r="L648"/>
    </row>
    <row r="649" spans="5:12" s="5" customFormat="1" x14ac:dyDescent="0.2">
      <c r="E649" s="4"/>
      <c r="G649" s="4"/>
      <c r="H649" s="149"/>
      <c r="K649"/>
      <c r="L649"/>
    </row>
    <row r="650" spans="5:12" s="5" customFormat="1" x14ac:dyDescent="0.2">
      <c r="E650" s="4"/>
      <c r="G650" s="4"/>
      <c r="H650" s="149"/>
      <c r="K650"/>
      <c r="L650"/>
    </row>
    <row r="651" spans="5:12" s="5" customFormat="1" x14ac:dyDescent="0.2">
      <c r="E651" s="4"/>
      <c r="G651" s="4"/>
      <c r="H651" s="149"/>
      <c r="K651"/>
      <c r="L651"/>
    </row>
    <row r="652" spans="5:12" s="5" customFormat="1" x14ac:dyDescent="0.2">
      <c r="E652" s="4"/>
      <c r="G652" s="4"/>
      <c r="H652" s="149"/>
      <c r="K652"/>
      <c r="L652"/>
    </row>
    <row r="653" spans="5:12" s="5" customFormat="1" x14ac:dyDescent="0.2">
      <c r="E653" s="4"/>
      <c r="G653" s="4"/>
      <c r="H653" s="149"/>
      <c r="K653"/>
      <c r="L653"/>
    </row>
    <row r="654" spans="5:12" s="5" customFormat="1" x14ac:dyDescent="0.2">
      <c r="E654" s="4"/>
      <c r="G654" s="4"/>
      <c r="H654" s="149"/>
      <c r="K654"/>
      <c r="L654"/>
    </row>
    <row r="655" spans="5:12" s="5" customFormat="1" x14ac:dyDescent="0.2">
      <c r="E655" s="4"/>
      <c r="G655" s="4"/>
      <c r="H655" s="149"/>
      <c r="K655"/>
      <c r="L655"/>
    </row>
    <row r="656" spans="5:12" s="5" customFormat="1" x14ac:dyDescent="0.2">
      <c r="E656" s="4"/>
      <c r="G656" s="4"/>
      <c r="H656" s="149"/>
      <c r="K656"/>
      <c r="L656"/>
    </row>
    <row r="657" spans="5:12" s="5" customFormat="1" x14ac:dyDescent="0.2">
      <c r="E657" s="4"/>
      <c r="G657" s="4"/>
      <c r="H657" s="149"/>
      <c r="K657"/>
      <c r="L657"/>
    </row>
    <row r="658" spans="5:12" s="5" customFormat="1" x14ac:dyDescent="0.2">
      <c r="E658" s="4"/>
      <c r="G658" s="4"/>
      <c r="H658" s="149"/>
      <c r="K658"/>
      <c r="L658"/>
    </row>
    <row r="659" spans="5:12" s="5" customFormat="1" x14ac:dyDescent="0.2">
      <c r="E659" s="4"/>
      <c r="G659" s="4"/>
      <c r="H659" s="149"/>
      <c r="K659"/>
      <c r="L659"/>
    </row>
    <row r="660" spans="5:12" s="5" customFormat="1" x14ac:dyDescent="0.2">
      <c r="E660" s="4"/>
      <c r="G660" s="4"/>
      <c r="H660" s="149"/>
      <c r="K660"/>
      <c r="L660"/>
    </row>
    <row r="661" spans="5:12" s="5" customFormat="1" x14ac:dyDescent="0.2">
      <c r="E661" s="4"/>
      <c r="G661" s="4"/>
      <c r="H661" s="149"/>
      <c r="K661"/>
      <c r="L661"/>
    </row>
    <row r="662" spans="5:12" s="5" customFormat="1" x14ac:dyDescent="0.2">
      <c r="E662" s="4"/>
      <c r="G662" s="4"/>
      <c r="H662" s="149"/>
      <c r="K662"/>
      <c r="L662"/>
    </row>
    <row r="663" spans="5:12" s="5" customFormat="1" x14ac:dyDescent="0.2">
      <c r="E663" s="4"/>
      <c r="G663" s="4"/>
      <c r="H663" s="149"/>
      <c r="K663"/>
      <c r="L663"/>
    </row>
    <row r="664" spans="5:12" s="5" customFormat="1" x14ac:dyDescent="0.2">
      <c r="E664" s="4"/>
      <c r="G664" s="4"/>
      <c r="H664" s="149"/>
      <c r="K664"/>
      <c r="L664"/>
    </row>
    <row r="665" spans="5:12" s="5" customFormat="1" x14ac:dyDescent="0.2">
      <c r="E665" s="4"/>
      <c r="G665" s="4"/>
      <c r="H665" s="149"/>
      <c r="K665"/>
      <c r="L665"/>
    </row>
    <row r="666" spans="5:12" s="5" customFormat="1" x14ac:dyDescent="0.2">
      <c r="E666" s="4"/>
      <c r="G666" s="4"/>
      <c r="H666" s="149"/>
      <c r="K666"/>
      <c r="L666"/>
    </row>
    <row r="667" spans="5:12" s="5" customFormat="1" x14ac:dyDescent="0.2">
      <c r="E667" s="4"/>
      <c r="G667" s="4"/>
      <c r="H667" s="149"/>
      <c r="K667"/>
      <c r="L667"/>
    </row>
    <row r="668" spans="5:12" s="5" customFormat="1" x14ac:dyDescent="0.2">
      <c r="E668" s="4"/>
      <c r="G668" s="4"/>
      <c r="H668" s="149"/>
      <c r="K668"/>
      <c r="L668"/>
    </row>
    <row r="669" spans="5:12" s="5" customFormat="1" x14ac:dyDescent="0.2">
      <c r="E669" s="4"/>
      <c r="G669" s="4"/>
      <c r="H669" s="149"/>
      <c r="K669"/>
      <c r="L669"/>
    </row>
    <row r="670" spans="5:12" s="5" customFormat="1" x14ac:dyDescent="0.2">
      <c r="E670" s="4"/>
      <c r="G670" s="4"/>
      <c r="H670" s="149"/>
      <c r="K670"/>
      <c r="L670"/>
    </row>
    <row r="671" spans="5:12" s="5" customFormat="1" x14ac:dyDescent="0.2">
      <c r="E671" s="4"/>
      <c r="G671" s="4"/>
      <c r="H671" s="149"/>
      <c r="K671"/>
      <c r="L671"/>
    </row>
    <row r="672" spans="5:12" s="5" customFormat="1" x14ac:dyDescent="0.2">
      <c r="E672" s="4"/>
      <c r="G672" s="4"/>
      <c r="H672" s="149"/>
      <c r="K672"/>
      <c r="L672"/>
    </row>
    <row r="673" spans="5:12" s="5" customFormat="1" x14ac:dyDescent="0.2">
      <c r="E673" s="4"/>
      <c r="G673" s="4"/>
      <c r="H673" s="149"/>
      <c r="K673"/>
      <c r="L673"/>
    </row>
    <row r="674" spans="5:12" s="5" customFormat="1" x14ac:dyDescent="0.2">
      <c r="E674" s="4"/>
      <c r="G674" s="4"/>
      <c r="H674" s="149"/>
      <c r="K674"/>
      <c r="L674"/>
    </row>
    <row r="675" spans="5:12" s="5" customFormat="1" x14ac:dyDescent="0.2">
      <c r="E675" s="4"/>
      <c r="G675" s="4"/>
      <c r="H675" s="149"/>
      <c r="K675"/>
      <c r="L675"/>
    </row>
    <row r="676" spans="5:12" s="5" customFormat="1" x14ac:dyDescent="0.2">
      <c r="E676" s="4"/>
      <c r="G676" s="4"/>
      <c r="H676" s="149"/>
      <c r="K676"/>
      <c r="L676"/>
    </row>
    <row r="677" spans="5:12" s="5" customFormat="1" x14ac:dyDescent="0.2">
      <c r="E677" s="4"/>
      <c r="G677" s="4"/>
      <c r="H677" s="149"/>
      <c r="K677"/>
      <c r="L677"/>
    </row>
    <row r="678" spans="5:12" s="5" customFormat="1" x14ac:dyDescent="0.2">
      <c r="E678" s="4"/>
      <c r="G678" s="4"/>
      <c r="H678" s="149"/>
      <c r="K678"/>
      <c r="L678"/>
    </row>
    <row r="679" spans="5:12" s="5" customFormat="1" x14ac:dyDescent="0.2">
      <c r="E679" s="4"/>
      <c r="G679" s="4"/>
      <c r="H679" s="149"/>
      <c r="K679"/>
      <c r="L679"/>
    </row>
    <row r="680" spans="5:12" s="5" customFormat="1" x14ac:dyDescent="0.2">
      <c r="E680" s="4"/>
      <c r="G680" s="4"/>
      <c r="H680" s="149"/>
      <c r="K680"/>
      <c r="L680"/>
    </row>
    <row r="681" spans="5:12" s="5" customFormat="1" x14ac:dyDescent="0.2">
      <c r="E681" s="4"/>
      <c r="G681" s="4"/>
      <c r="H681" s="149"/>
      <c r="K681"/>
      <c r="L681"/>
    </row>
    <row r="682" spans="5:12" s="5" customFormat="1" x14ac:dyDescent="0.2">
      <c r="E682" s="4"/>
      <c r="G682" s="4"/>
      <c r="H682" s="149"/>
      <c r="K682"/>
      <c r="L682"/>
    </row>
    <row r="683" spans="5:12" s="5" customFormat="1" x14ac:dyDescent="0.2">
      <c r="E683" s="4"/>
      <c r="G683" s="4"/>
      <c r="H683" s="149"/>
      <c r="K683"/>
      <c r="L683"/>
    </row>
    <row r="684" spans="5:12" s="5" customFormat="1" x14ac:dyDescent="0.2">
      <c r="E684" s="4"/>
      <c r="G684" s="4"/>
      <c r="H684" s="149"/>
      <c r="K684"/>
      <c r="L684"/>
    </row>
    <row r="685" spans="5:12" s="5" customFormat="1" x14ac:dyDescent="0.2">
      <c r="E685" s="4"/>
      <c r="G685" s="4"/>
      <c r="H685" s="149"/>
      <c r="K685"/>
      <c r="L685"/>
    </row>
    <row r="686" spans="5:12" s="5" customFormat="1" x14ac:dyDescent="0.2">
      <c r="E686" s="4"/>
      <c r="G686" s="4"/>
      <c r="H686" s="149"/>
      <c r="K686"/>
      <c r="L686"/>
    </row>
    <row r="687" spans="5:12" s="5" customFormat="1" x14ac:dyDescent="0.2">
      <c r="E687" s="4"/>
      <c r="G687" s="4"/>
      <c r="H687" s="149"/>
      <c r="K687"/>
      <c r="L687"/>
    </row>
    <row r="688" spans="5:12" s="5" customFormat="1" x14ac:dyDescent="0.2">
      <c r="E688" s="4"/>
      <c r="G688" s="4"/>
      <c r="H688" s="149"/>
      <c r="K688"/>
      <c r="L688"/>
    </row>
    <row r="689" spans="5:12" s="5" customFormat="1" x14ac:dyDescent="0.2">
      <c r="E689" s="4"/>
      <c r="G689" s="4"/>
      <c r="H689" s="149"/>
      <c r="K689"/>
      <c r="L689"/>
    </row>
    <row r="690" spans="5:12" s="5" customFormat="1" x14ac:dyDescent="0.2">
      <c r="E690" s="4"/>
      <c r="G690" s="4"/>
      <c r="H690" s="149"/>
      <c r="K690"/>
      <c r="L690"/>
    </row>
    <row r="691" spans="5:12" s="5" customFormat="1" x14ac:dyDescent="0.2">
      <c r="E691" s="4"/>
      <c r="G691" s="4"/>
      <c r="H691" s="149"/>
      <c r="K691"/>
      <c r="L691"/>
    </row>
    <row r="692" spans="5:12" s="5" customFormat="1" x14ac:dyDescent="0.2">
      <c r="E692" s="4"/>
      <c r="G692" s="4"/>
      <c r="H692" s="149"/>
      <c r="K692"/>
      <c r="L692"/>
    </row>
    <row r="693" spans="5:12" s="5" customFormat="1" x14ac:dyDescent="0.2">
      <c r="E693" s="4"/>
      <c r="G693" s="4"/>
      <c r="H693" s="149"/>
      <c r="K693"/>
      <c r="L693"/>
    </row>
    <row r="694" spans="5:12" s="5" customFormat="1" x14ac:dyDescent="0.2">
      <c r="E694" s="4"/>
      <c r="G694" s="4"/>
      <c r="H694" s="149"/>
      <c r="K694"/>
      <c r="L694"/>
    </row>
    <row r="695" spans="5:12" s="5" customFormat="1" x14ac:dyDescent="0.2">
      <c r="E695" s="4"/>
      <c r="G695" s="4"/>
      <c r="H695" s="149"/>
      <c r="K695"/>
      <c r="L695"/>
    </row>
    <row r="696" spans="5:12" s="5" customFormat="1" x14ac:dyDescent="0.2">
      <c r="E696" s="4"/>
      <c r="G696" s="4"/>
      <c r="H696" s="149"/>
      <c r="K696"/>
      <c r="L696"/>
    </row>
    <row r="697" spans="5:12" s="5" customFormat="1" x14ac:dyDescent="0.2">
      <c r="E697" s="4"/>
      <c r="G697" s="4"/>
      <c r="H697" s="149"/>
      <c r="K697"/>
      <c r="L697"/>
    </row>
    <row r="698" spans="5:12" s="5" customFormat="1" x14ac:dyDescent="0.2">
      <c r="E698" s="4"/>
      <c r="G698" s="4"/>
      <c r="H698" s="149"/>
      <c r="K698"/>
      <c r="L698"/>
    </row>
    <row r="699" spans="5:12" s="5" customFormat="1" x14ac:dyDescent="0.2">
      <c r="E699" s="4"/>
      <c r="G699" s="4"/>
      <c r="H699" s="149"/>
      <c r="K699"/>
      <c r="L699"/>
    </row>
    <row r="700" spans="5:12" s="5" customFormat="1" x14ac:dyDescent="0.2">
      <c r="E700" s="4"/>
      <c r="G700" s="4"/>
      <c r="H700" s="149"/>
      <c r="K700"/>
      <c r="L700"/>
    </row>
    <row r="701" spans="5:12" s="5" customFormat="1" x14ac:dyDescent="0.2">
      <c r="E701" s="4"/>
      <c r="G701" s="4"/>
      <c r="H701" s="149"/>
      <c r="K701"/>
      <c r="L701"/>
    </row>
    <row r="702" spans="5:12" s="5" customFormat="1" x14ac:dyDescent="0.2">
      <c r="E702" s="4"/>
      <c r="G702" s="4"/>
      <c r="H702" s="149"/>
      <c r="K702"/>
      <c r="L702"/>
    </row>
    <row r="703" spans="5:12" s="5" customFormat="1" x14ac:dyDescent="0.2">
      <c r="E703" s="4"/>
      <c r="G703" s="4"/>
      <c r="H703" s="149"/>
      <c r="K703"/>
      <c r="L703"/>
    </row>
    <row r="704" spans="5:12" s="5" customFormat="1" x14ac:dyDescent="0.2">
      <c r="E704" s="4"/>
      <c r="G704" s="4"/>
      <c r="H704" s="149"/>
      <c r="K704"/>
      <c r="L704"/>
    </row>
    <row r="705" spans="5:12" s="5" customFormat="1" x14ac:dyDescent="0.2">
      <c r="E705" s="4"/>
      <c r="G705" s="4"/>
      <c r="H705" s="149"/>
      <c r="K705"/>
      <c r="L705"/>
    </row>
    <row r="706" spans="5:12" s="5" customFormat="1" x14ac:dyDescent="0.2">
      <c r="E706" s="4"/>
      <c r="G706" s="4"/>
      <c r="H706" s="149"/>
      <c r="K706"/>
      <c r="L706"/>
    </row>
    <row r="707" spans="5:12" s="5" customFormat="1" x14ac:dyDescent="0.2">
      <c r="E707" s="4"/>
      <c r="G707" s="4"/>
      <c r="H707" s="149"/>
      <c r="K707"/>
      <c r="L707"/>
    </row>
    <row r="708" spans="5:12" s="5" customFormat="1" x14ac:dyDescent="0.2">
      <c r="E708" s="4"/>
      <c r="G708" s="4"/>
      <c r="H708" s="149"/>
      <c r="K708"/>
      <c r="L708"/>
    </row>
    <row r="709" spans="5:12" s="5" customFormat="1" x14ac:dyDescent="0.2">
      <c r="E709" s="4"/>
      <c r="G709" s="4"/>
      <c r="H709" s="149"/>
      <c r="K709"/>
      <c r="L709"/>
    </row>
    <row r="710" spans="5:12" s="5" customFormat="1" x14ac:dyDescent="0.2">
      <c r="E710" s="4"/>
      <c r="G710" s="4"/>
      <c r="H710" s="149"/>
      <c r="K710"/>
      <c r="L710"/>
    </row>
    <row r="711" spans="5:12" s="5" customFormat="1" x14ac:dyDescent="0.2">
      <c r="E711" s="4"/>
      <c r="G711" s="4"/>
      <c r="H711" s="149"/>
      <c r="K711"/>
      <c r="L711"/>
    </row>
    <row r="712" spans="5:12" s="5" customFormat="1" x14ac:dyDescent="0.2">
      <c r="E712" s="4"/>
      <c r="G712" s="4"/>
      <c r="H712" s="149"/>
      <c r="K712"/>
      <c r="L712"/>
    </row>
    <row r="713" spans="5:12" s="5" customFormat="1" x14ac:dyDescent="0.2">
      <c r="E713" s="4"/>
      <c r="G713" s="4"/>
      <c r="H713" s="149"/>
      <c r="K713"/>
      <c r="L713"/>
    </row>
    <row r="714" spans="5:12" s="5" customFormat="1" x14ac:dyDescent="0.2">
      <c r="E714" s="4"/>
      <c r="G714" s="4"/>
      <c r="H714" s="149"/>
      <c r="K714"/>
      <c r="L714"/>
    </row>
    <row r="715" spans="5:12" s="5" customFormat="1" x14ac:dyDescent="0.2">
      <c r="E715" s="4"/>
      <c r="G715" s="4"/>
      <c r="H715" s="149"/>
      <c r="K715"/>
      <c r="L715"/>
    </row>
    <row r="716" spans="5:12" s="5" customFormat="1" x14ac:dyDescent="0.2">
      <c r="E716" s="4"/>
      <c r="G716" s="4"/>
      <c r="H716" s="149"/>
      <c r="K716"/>
      <c r="L716"/>
    </row>
    <row r="717" spans="5:12" s="5" customFormat="1" x14ac:dyDescent="0.2">
      <c r="E717" s="4"/>
      <c r="G717" s="4"/>
      <c r="H717" s="149"/>
      <c r="K717"/>
      <c r="L717"/>
    </row>
    <row r="718" spans="5:12" s="5" customFormat="1" x14ac:dyDescent="0.2">
      <c r="E718" s="4"/>
      <c r="G718" s="4"/>
      <c r="H718" s="149"/>
      <c r="K718"/>
      <c r="L718"/>
    </row>
    <row r="719" spans="5:12" s="5" customFormat="1" x14ac:dyDescent="0.2">
      <c r="E719" s="4"/>
      <c r="G719" s="4"/>
      <c r="H719" s="149"/>
      <c r="K719"/>
      <c r="L719"/>
    </row>
    <row r="720" spans="5:12" s="5" customFormat="1" x14ac:dyDescent="0.2">
      <c r="E720" s="4"/>
      <c r="G720" s="4"/>
      <c r="H720" s="149"/>
      <c r="K720"/>
      <c r="L720"/>
    </row>
    <row r="721" spans="5:12" s="5" customFormat="1" x14ac:dyDescent="0.2">
      <c r="E721" s="4"/>
      <c r="G721" s="4"/>
      <c r="H721" s="149"/>
      <c r="K721"/>
      <c r="L721"/>
    </row>
    <row r="722" spans="5:12" s="5" customFormat="1" x14ac:dyDescent="0.2">
      <c r="E722" s="4"/>
      <c r="G722" s="4"/>
      <c r="H722" s="149"/>
      <c r="K722"/>
      <c r="L722"/>
    </row>
    <row r="723" spans="5:12" s="5" customFormat="1" x14ac:dyDescent="0.2">
      <c r="E723" s="4"/>
      <c r="G723" s="4"/>
      <c r="H723" s="149"/>
      <c r="K723"/>
      <c r="L723"/>
    </row>
    <row r="724" spans="5:12" s="5" customFormat="1" x14ac:dyDescent="0.2">
      <c r="E724" s="4"/>
      <c r="G724" s="4"/>
      <c r="H724" s="149"/>
      <c r="K724"/>
      <c r="L724"/>
    </row>
    <row r="725" spans="5:12" s="5" customFormat="1" x14ac:dyDescent="0.2">
      <c r="E725" s="4"/>
      <c r="G725" s="4"/>
      <c r="H725" s="149"/>
      <c r="K725"/>
      <c r="L725"/>
    </row>
    <row r="726" spans="5:12" s="5" customFormat="1" x14ac:dyDescent="0.2">
      <c r="E726" s="4"/>
      <c r="G726" s="4"/>
      <c r="H726" s="149"/>
      <c r="K726"/>
      <c r="L726"/>
    </row>
    <row r="727" spans="5:12" s="5" customFormat="1" x14ac:dyDescent="0.2">
      <c r="E727" s="4"/>
      <c r="G727" s="4"/>
      <c r="H727" s="149"/>
      <c r="K727"/>
      <c r="L727"/>
    </row>
    <row r="728" spans="5:12" s="5" customFormat="1" x14ac:dyDescent="0.2">
      <c r="E728" s="4"/>
      <c r="G728" s="4"/>
      <c r="H728" s="149"/>
      <c r="K728"/>
      <c r="L728"/>
    </row>
    <row r="729" spans="5:12" s="5" customFormat="1" x14ac:dyDescent="0.2">
      <c r="E729" s="4"/>
      <c r="G729" s="4"/>
      <c r="H729" s="149"/>
      <c r="K729"/>
      <c r="L729"/>
    </row>
    <row r="730" spans="5:12" s="5" customFormat="1" x14ac:dyDescent="0.2">
      <c r="E730" s="4"/>
      <c r="G730" s="4"/>
      <c r="H730" s="149"/>
      <c r="K730"/>
      <c r="L730"/>
    </row>
    <row r="731" spans="5:12" s="5" customFormat="1" x14ac:dyDescent="0.2">
      <c r="E731" s="4"/>
      <c r="G731" s="4"/>
      <c r="H731" s="149"/>
      <c r="K731"/>
      <c r="L731"/>
    </row>
    <row r="732" spans="5:12" s="5" customFormat="1" x14ac:dyDescent="0.2">
      <c r="E732" s="4"/>
      <c r="G732" s="4"/>
      <c r="H732" s="149"/>
      <c r="K732"/>
      <c r="L732"/>
    </row>
    <row r="733" spans="5:12" s="5" customFormat="1" x14ac:dyDescent="0.2">
      <c r="E733" s="4"/>
      <c r="G733" s="4"/>
      <c r="H733" s="149"/>
      <c r="K733"/>
      <c r="L733"/>
    </row>
    <row r="734" spans="5:12" s="5" customFormat="1" x14ac:dyDescent="0.2">
      <c r="E734" s="4"/>
      <c r="G734" s="4"/>
      <c r="H734" s="149"/>
      <c r="K734"/>
      <c r="L734"/>
    </row>
    <row r="735" spans="5:12" s="5" customFormat="1" x14ac:dyDescent="0.2">
      <c r="E735" s="4"/>
      <c r="G735" s="4"/>
      <c r="H735" s="149"/>
      <c r="K735"/>
      <c r="L735"/>
    </row>
    <row r="736" spans="5:12" s="5" customFormat="1" x14ac:dyDescent="0.2">
      <c r="E736" s="4"/>
      <c r="G736" s="4"/>
      <c r="H736" s="149"/>
      <c r="K736"/>
      <c r="L736"/>
    </row>
    <row r="737" spans="5:12" s="5" customFormat="1" x14ac:dyDescent="0.2">
      <c r="E737" s="4"/>
      <c r="G737" s="4"/>
      <c r="H737" s="149"/>
      <c r="K737"/>
      <c r="L737"/>
    </row>
    <row r="738" spans="5:12" s="5" customFormat="1" x14ac:dyDescent="0.2">
      <c r="E738" s="4"/>
      <c r="G738" s="4"/>
      <c r="H738" s="149"/>
      <c r="K738"/>
      <c r="L738"/>
    </row>
    <row r="739" spans="5:12" s="5" customFormat="1" x14ac:dyDescent="0.2">
      <c r="E739" s="4"/>
      <c r="G739" s="4"/>
      <c r="H739" s="149"/>
      <c r="K739"/>
      <c r="L739"/>
    </row>
    <row r="740" spans="5:12" s="5" customFormat="1" x14ac:dyDescent="0.2">
      <c r="E740" s="4"/>
      <c r="G740" s="4"/>
      <c r="H740" s="149"/>
      <c r="K740"/>
      <c r="L740"/>
    </row>
    <row r="741" spans="5:12" s="5" customFormat="1" x14ac:dyDescent="0.2">
      <c r="E741" s="4"/>
      <c r="G741" s="4"/>
      <c r="H741" s="149"/>
      <c r="K741"/>
      <c r="L741"/>
    </row>
    <row r="742" spans="5:12" s="5" customFormat="1" x14ac:dyDescent="0.2">
      <c r="E742" s="4"/>
      <c r="G742" s="4"/>
      <c r="H742" s="149"/>
      <c r="K742"/>
      <c r="L742"/>
    </row>
    <row r="743" spans="5:12" s="5" customFormat="1" x14ac:dyDescent="0.2">
      <c r="E743" s="4"/>
      <c r="G743" s="4"/>
      <c r="H743" s="149"/>
      <c r="K743"/>
      <c r="L743"/>
    </row>
    <row r="744" spans="5:12" s="5" customFormat="1" x14ac:dyDescent="0.2">
      <c r="E744" s="4"/>
      <c r="G744" s="4"/>
      <c r="H744" s="149"/>
      <c r="K744"/>
      <c r="L744"/>
    </row>
    <row r="745" spans="5:12" s="5" customFormat="1" x14ac:dyDescent="0.2">
      <c r="E745" s="4"/>
      <c r="G745" s="4"/>
      <c r="H745" s="149"/>
      <c r="K745"/>
      <c r="L745"/>
    </row>
    <row r="746" spans="5:12" s="5" customFormat="1" x14ac:dyDescent="0.2">
      <c r="E746" s="4"/>
      <c r="G746" s="4"/>
      <c r="H746" s="149"/>
      <c r="K746"/>
      <c r="L746"/>
    </row>
    <row r="747" spans="5:12" s="5" customFormat="1" x14ac:dyDescent="0.2">
      <c r="E747" s="4"/>
      <c r="G747" s="4"/>
      <c r="H747" s="149"/>
      <c r="K747"/>
      <c r="L747"/>
    </row>
    <row r="748" spans="5:12" s="5" customFormat="1" x14ac:dyDescent="0.2">
      <c r="E748" s="4"/>
      <c r="G748" s="4"/>
      <c r="H748" s="149"/>
      <c r="K748"/>
      <c r="L748"/>
    </row>
    <row r="749" spans="5:12" s="5" customFormat="1" x14ac:dyDescent="0.2">
      <c r="E749" s="4"/>
      <c r="G749" s="4"/>
      <c r="H749" s="149"/>
      <c r="K749"/>
      <c r="L749"/>
    </row>
    <row r="750" spans="5:12" s="5" customFormat="1" x14ac:dyDescent="0.2">
      <c r="E750" s="4"/>
      <c r="G750" s="4"/>
      <c r="H750" s="149"/>
      <c r="K750"/>
      <c r="L750"/>
    </row>
    <row r="751" spans="5:12" s="5" customFormat="1" x14ac:dyDescent="0.2">
      <c r="E751" s="4"/>
      <c r="G751" s="4"/>
      <c r="H751" s="149"/>
      <c r="K751"/>
      <c r="L751"/>
    </row>
    <row r="752" spans="5:12" s="5" customFormat="1" x14ac:dyDescent="0.2">
      <c r="E752" s="4"/>
      <c r="G752" s="4"/>
      <c r="H752" s="149"/>
      <c r="K752"/>
      <c r="L752"/>
    </row>
    <row r="753" spans="5:12" s="5" customFormat="1" x14ac:dyDescent="0.2">
      <c r="E753" s="4"/>
      <c r="G753" s="4"/>
      <c r="H753" s="149"/>
      <c r="K753"/>
      <c r="L753"/>
    </row>
    <row r="754" spans="5:12" s="5" customFormat="1" x14ac:dyDescent="0.2">
      <c r="E754" s="4"/>
      <c r="G754" s="4"/>
      <c r="H754" s="149"/>
      <c r="K754"/>
      <c r="L754"/>
    </row>
    <row r="755" spans="5:12" s="5" customFormat="1" x14ac:dyDescent="0.2">
      <c r="E755" s="4"/>
      <c r="G755" s="4"/>
      <c r="H755" s="149"/>
      <c r="K755"/>
      <c r="L755"/>
    </row>
    <row r="756" spans="5:12" s="5" customFormat="1" x14ac:dyDescent="0.2">
      <c r="E756" s="4"/>
      <c r="G756" s="4"/>
      <c r="H756" s="149"/>
      <c r="K756"/>
      <c r="L756"/>
    </row>
    <row r="757" spans="5:12" s="5" customFormat="1" x14ac:dyDescent="0.2">
      <c r="E757" s="4"/>
      <c r="G757" s="4"/>
      <c r="H757" s="149"/>
      <c r="K757"/>
      <c r="L757"/>
    </row>
    <row r="758" spans="5:12" s="5" customFormat="1" x14ac:dyDescent="0.2">
      <c r="E758" s="4"/>
      <c r="G758" s="4"/>
      <c r="H758" s="149"/>
      <c r="K758"/>
      <c r="L758"/>
    </row>
    <row r="759" spans="5:12" s="5" customFormat="1" x14ac:dyDescent="0.2">
      <c r="E759" s="4"/>
      <c r="G759" s="4"/>
      <c r="H759" s="149"/>
      <c r="K759"/>
      <c r="L759"/>
    </row>
    <row r="760" spans="5:12" s="5" customFormat="1" x14ac:dyDescent="0.2">
      <c r="E760" s="4"/>
      <c r="G760" s="4"/>
      <c r="H760" s="149"/>
      <c r="K760"/>
      <c r="L760"/>
    </row>
    <row r="761" spans="5:12" s="5" customFormat="1" x14ac:dyDescent="0.2">
      <c r="E761" s="4"/>
      <c r="G761" s="4"/>
      <c r="H761" s="149"/>
      <c r="K761"/>
      <c r="L761"/>
    </row>
    <row r="762" spans="5:12" s="5" customFormat="1" x14ac:dyDescent="0.2">
      <c r="E762" s="4"/>
      <c r="G762" s="4"/>
      <c r="H762" s="149"/>
      <c r="K762"/>
      <c r="L762"/>
    </row>
    <row r="763" spans="5:12" s="5" customFormat="1" x14ac:dyDescent="0.2">
      <c r="E763" s="4"/>
      <c r="G763" s="4"/>
      <c r="H763" s="149"/>
      <c r="K763"/>
      <c r="L763"/>
    </row>
    <row r="764" spans="5:12" s="5" customFormat="1" x14ac:dyDescent="0.2">
      <c r="E764" s="4"/>
      <c r="G764" s="4"/>
      <c r="H764" s="149"/>
      <c r="K764"/>
      <c r="L764"/>
    </row>
    <row r="765" spans="5:12" s="5" customFormat="1" x14ac:dyDescent="0.2">
      <c r="E765" s="4"/>
      <c r="G765" s="4"/>
      <c r="H765" s="149"/>
      <c r="K765"/>
      <c r="L765"/>
    </row>
    <row r="766" spans="5:12" s="5" customFormat="1" x14ac:dyDescent="0.2">
      <c r="E766" s="4"/>
      <c r="G766" s="4"/>
      <c r="H766" s="149"/>
      <c r="K766"/>
      <c r="L766"/>
    </row>
    <row r="767" spans="5:12" s="5" customFormat="1" x14ac:dyDescent="0.2">
      <c r="E767" s="4"/>
      <c r="G767" s="4"/>
      <c r="H767" s="149"/>
      <c r="K767"/>
      <c r="L767"/>
    </row>
    <row r="768" spans="5:12" s="5" customFormat="1" x14ac:dyDescent="0.2">
      <c r="E768" s="4"/>
      <c r="G768" s="4"/>
      <c r="H768" s="149"/>
      <c r="K768"/>
      <c r="L768"/>
    </row>
    <row r="769" spans="5:12" s="5" customFormat="1" x14ac:dyDescent="0.2">
      <c r="E769" s="4"/>
      <c r="G769" s="4"/>
      <c r="H769" s="149"/>
      <c r="K769"/>
      <c r="L769"/>
    </row>
    <row r="770" spans="5:12" s="5" customFormat="1" x14ac:dyDescent="0.2">
      <c r="E770" s="4"/>
      <c r="G770" s="4"/>
      <c r="H770" s="149"/>
      <c r="K770"/>
      <c r="L770"/>
    </row>
    <row r="771" spans="5:12" s="5" customFormat="1" x14ac:dyDescent="0.2">
      <c r="E771" s="4"/>
      <c r="G771" s="4"/>
      <c r="H771" s="149"/>
      <c r="K771"/>
      <c r="L771"/>
    </row>
    <row r="772" spans="5:12" s="5" customFormat="1" x14ac:dyDescent="0.2">
      <c r="E772" s="4"/>
      <c r="G772" s="4"/>
      <c r="H772" s="149"/>
      <c r="K772"/>
      <c r="L772"/>
    </row>
    <row r="773" spans="5:12" s="5" customFormat="1" x14ac:dyDescent="0.2">
      <c r="E773" s="4"/>
      <c r="G773" s="4"/>
      <c r="H773" s="149"/>
      <c r="K773"/>
      <c r="L773"/>
    </row>
    <row r="774" spans="5:12" s="5" customFormat="1" x14ac:dyDescent="0.2">
      <c r="E774" s="4"/>
      <c r="G774" s="4"/>
      <c r="H774" s="149"/>
      <c r="K774"/>
      <c r="L774"/>
    </row>
    <row r="775" spans="5:12" s="5" customFormat="1" x14ac:dyDescent="0.2">
      <c r="E775" s="4"/>
      <c r="G775" s="4"/>
      <c r="H775" s="149"/>
      <c r="K775"/>
      <c r="L775"/>
    </row>
    <row r="776" spans="5:12" s="5" customFormat="1" x14ac:dyDescent="0.2">
      <c r="E776" s="4"/>
      <c r="G776" s="4"/>
      <c r="H776" s="149"/>
      <c r="K776"/>
      <c r="L776"/>
    </row>
    <row r="777" spans="5:12" s="5" customFormat="1" x14ac:dyDescent="0.2">
      <c r="E777" s="4"/>
      <c r="G777" s="4"/>
      <c r="H777" s="149"/>
      <c r="K777"/>
      <c r="L777"/>
    </row>
    <row r="778" spans="5:12" s="5" customFormat="1" x14ac:dyDescent="0.2">
      <c r="E778" s="4"/>
      <c r="G778" s="4"/>
      <c r="H778" s="149"/>
      <c r="K778"/>
      <c r="L778"/>
    </row>
    <row r="779" spans="5:12" s="5" customFormat="1" x14ac:dyDescent="0.2">
      <c r="E779" s="4"/>
      <c r="G779" s="4"/>
      <c r="H779" s="149"/>
      <c r="K779"/>
      <c r="L779"/>
    </row>
    <row r="780" spans="5:12" s="5" customFormat="1" x14ac:dyDescent="0.2">
      <c r="E780" s="4"/>
      <c r="G780" s="4"/>
      <c r="H780" s="149"/>
      <c r="K780"/>
      <c r="L780"/>
    </row>
    <row r="781" spans="5:12" s="5" customFormat="1" x14ac:dyDescent="0.2">
      <c r="E781" s="4"/>
      <c r="G781" s="4"/>
      <c r="H781" s="149"/>
      <c r="K781"/>
      <c r="L781"/>
    </row>
    <row r="782" spans="5:12" s="5" customFormat="1" x14ac:dyDescent="0.2">
      <c r="E782" s="4"/>
      <c r="G782" s="4"/>
      <c r="H782" s="149"/>
      <c r="K782"/>
      <c r="L782"/>
    </row>
    <row r="783" spans="5:12" s="5" customFormat="1" x14ac:dyDescent="0.2">
      <c r="E783" s="4"/>
      <c r="G783" s="4"/>
      <c r="H783" s="149"/>
      <c r="K783"/>
      <c r="L783"/>
    </row>
    <row r="784" spans="5:12" s="5" customFormat="1" x14ac:dyDescent="0.2">
      <c r="E784" s="4"/>
      <c r="G784" s="4"/>
      <c r="H784" s="149"/>
      <c r="K784"/>
      <c r="L784"/>
    </row>
    <row r="785" spans="5:12" s="5" customFormat="1" x14ac:dyDescent="0.2">
      <c r="E785" s="4"/>
      <c r="G785" s="4"/>
      <c r="H785" s="149"/>
      <c r="K785"/>
      <c r="L785"/>
    </row>
    <row r="786" spans="5:12" s="5" customFormat="1" x14ac:dyDescent="0.2">
      <c r="E786" s="4"/>
      <c r="G786" s="4"/>
      <c r="H786" s="149"/>
      <c r="K786"/>
      <c r="L786"/>
    </row>
    <row r="787" spans="5:12" s="5" customFormat="1" x14ac:dyDescent="0.2">
      <c r="E787" s="4"/>
      <c r="G787" s="4"/>
      <c r="H787" s="149"/>
      <c r="K787"/>
      <c r="L787"/>
    </row>
    <row r="788" spans="5:12" s="5" customFormat="1" x14ac:dyDescent="0.2">
      <c r="E788" s="4"/>
      <c r="G788" s="4"/>
      <c r="H788" s="149"/>
      <c r="K788"/>
      <c r="L788"/>
    </row>
    <row r="789" spans="5:12" s="5" customFormat="1" x14ac:dyDescent="0.2">
      <c r="E789" s="4"/>
      <c r="G789" s="4"/>
      <c r="H789" s="149"/>
      <c r="K789"/>
      <c r="L789"/>
    </row>
    <row r="790" spans="5:12" s="5" customFormat="1" x14ac:dyDescent="0.2">
      <c r="E790" s="4"/>
      <c r="G790" s="4"/>
      <c r="H790" s="149"/>
      <c r="K790"/>
      <c r="L790"/>
    </row>
    <row r="791" spans="5:12" s="5" customFormat="1" x14ac:dyDescent="0.2">
      <c r="E791" s="4"/>
      <c r="G791" s="4"/>
      <c r="H791" s="149"/>
      <c r="K791"/>
      <c r="L791"/>
    </row>
    <row r="792" spans="5:12" s="5" customFormat="1" x14ac:dyDescent="0.2">
      <c r="E792" s="4"/>
      <c r="G792" s="4"/>
      <c r="H792" s="149"/>
      <c r="K792"/>
      <c r="L792"/>
    </row>
    <row r="793" spans="5:12" s="5" customFormat="1" x14ac:dyDescent="0.2">
      <c r="E793" s="4"/>
      <c r="G793" s="4"/>
      <c r="H793" s="149"/>
      <c r="K793"/>
      <c r="L793"/>
    </row>
    <row r="794" spans="5:12" s="5" customFormat="1" x14ac:dyDescent="0.2">
      <c r="E794" s="4"/>
      <c r="G794" s="4"/>
      <c r="H794" s="149"/>
      <c r="K794"/>
      <c r="L794"/>
    </row>
    <row r="795" spans="5:12" s="5" customFormat="1" x14ac:dyDescent="0.2">
      <c r="E795" s="4"/>
      <c r="G795" s="4"/>
      <c r="H795" s="149"/>
      <c r="K795"/>
      <c r="L795"/>
    </row>
    <row r="796" spans="5:12" s="5" customFormat="1" x14ac:dyDescent="0.2">
      <c r="E796" s="4"/>
      <c r="G796" s="4"/>
      <c r="H796" s="149"/>
      <c r="K796"/>
      <c r="L796"/>
    </row>
    <row r="797" spans="5:12" s="5" customFormat="1" x14ac:dyDescent="0.2">
      <c r="E797" s="4"/>
      <c r="G797" s="4"/>
      <c r="H797" s="149"/>
      <c r="K797"/>
      <c r="L797"/>
    </row>
    <row r="798" spans="5:12" s="5" customFormat="1" x14ac:dyDescent="0.2">
      <c r="E798" s="4"/>
      <c r="G798" s="4"/>
      <c r="H798" s="149"/>
      <c r="K798"/>
      <c r="L798"/>
    </row>
    <row r="799" spans="5:12" s="5" customFormat="1" x14ac:dyDescent="0.2">
      <c r="E799" s="4"/>
      <c r="G799" s="4"/>
      <c r="H799" s="149"/>
      <c r="K799"/>
      <c r="L799"/>
    </row>
    <row r="800" spans="5:12" s="5" customFormat="1" x14ac:dyDescent="0.2">
      <c r="E800" s="4"/>
      <c r="G800" s="4"/>
      <c r="H800" s="149"/>
      <c r="K800"/>
      <c r="L800"/>
    </row>
    <row r="801" spans="5:12" s="5" customFormat="1" x14ac:dyDescent="0.2">
      <c r="E801" s="4"/>
      <c r="G801" s="4"/>
      <c r="H801" s="149"/>
      <c r="K801"/>
      <c r="L801"/>
    </row>
    <row r="802" spans="5:12" s="5" customFormat="1" x14ac:dyDescent="0.2">
      <c r="E802" s="4"/>
      <c r="G802" s="4"/>
      <c r="H802" s="149"/>
      <c r="K802"/>
      <c r="L802"/>
    </row>
    <row r="803" spans="5:12" s="5" customFormat="1" x14ac:dyDescent="0.2">
      <c r="E803" s="4"/>
      <c r="G803" s="4"/>
      <c r="H803" s="149"/>
      <c r="K803"/>
      <c r="L803"/>
    </row>
    <row r="804" spans="5:12" s="5" customFormat="1" x14ac:dyDescent="0.2">
      <c r="E804" s="4"/>
      <c r="G804" s="4"/>
      <c r="H804" s="149"/>
      <c r="K804"/>
      <c r="L804"/>
    </row>
    <row r="805" spans="5:12" s="5" customFormat="1" x14ac:dyDescent="0.2">
      <c r="E805" s="4"/>
      <c r="G805" s="4"/>
      <c r="H805" s="149"/>
      <c r="K805"/>
      <c r="L805"/>
    </row>
    <row r="806" spans="5:12" s="5" customFormat="1" x14ac:dyDescent="0.2">
      <c r="E806" s="4"/>
      <c r="G806" s="4"/>
      <c r="H806" s="149"/>
      <c r="K806"/>
      <c r="L806"/>
    </row>
    <row r="807" spans="5:12" s="5" customFormat="1" x14ac:dyDescent="0.2">
      <c r="E807" s="4"/>
      <c r="G807" s="4"/>
      <c r="H807" s="149"/>
      <c r="K807"/>
      <c r="L807"/>
    </row>
    <row r="808" spans="5:12" s="5" customFormat="1" x14ac:dyDescent="0.2">
      <c r="E808" s="4"/>
      <c r="G808" s="4"/>
      <c r="H808" s="149"/>
      <c r="K808"/>
      <c r="L808"/>
    </row>
    <row r="809" spans="5:12" s="5" customFormat="1" x14ac:dyDescent="0.2">
      <c r="E809" s="4"/>
      <c r="G809" s="4"/>
      <c r="H809" s="149"/>
      <c r="K809"/>
      <c r="L809"/>
    </row>
    <row r="810" spans="5:12" s="5" customFormat="1" x14ac:dyDescent="0.2">
      <c r="E810" s="4"/>
      <c r="G810" s="4"/>
      <c r="H810" s="149"/>
      <c r="K810"/>
      <c r="L810"/>
    </row>
    <row r="811" spans="5:12" s="5" customFormat="1" x14ac:dyDescent="0.2">
      <c r="E811" s="4"/>
      <c r="G811" s="4"/>
      <c r="H811" s="149"/>
      <c r="K811"/>
      <c r="L811"/>
    </row>
    <row r="812" spans="5:12" s="5" customFormat="1" x14ac:dyDescent="0.2">
      <c r="E812" s="4"/>
      <c r="G812" s="4"/>
      <c r="H812" s="149"/>
      <c r="K812"/>
      <c r="L812"/>
    </row>
    <row r="813" spans="5:12" s="5" customFormat="1" x14ac:dyDescent="0.2">
      <c r="E813" s="4"/>
      <c r="G813" s="4"/>
      <c r="H813" s="149"/>
      <c r="K813"/>
      <c r="L813"/>
    </row>
    <row r="814" spans="5:12" s="5" customFormat="1" x14ac:dyDescent="0.2">
      <c r="E814" s="4"/>
      <c r="G814" s="4"/>
      <c r="H814" s="149"/>
      <c r="K814"/>
      <c r="L814"/>
    </row>
    <row r="815" spans="5:12" s="5" customFormat="1" x14ac:dyDescent="0.2">
      <c r="E815" s="4"/>
      <c r="G815" s="4"/>
      <c r="H815" s="149"/>
      <c r="K815"/>
      <c r="L815"/>
    </row>
    <row r="816" spans="5:12" s="5" customFormat="1" x14ac:dyDescent="0.2">
      <c r="E816" s="4"/>
      <c r="G816" s="4"/>
      <c r="H816" s="149"/>
      <c r="K816"/>
      <c r="L816"/>
    </row>
    <row r="817" spans="5:12" s="5" customFormat="1" x14ac:dyDescent="0.2">
      <c r="E817" s="4"/>
      <c r="G817" s="4"/>
      <c r="H817" s="149"/>
      <c r="K817"/>
      <c r="L817"/>
    </row>
    <row r="818" spans="5:12" s="5" customFormat="1" x14ac:dyDescent="0.2">
      <c r="E818" s="4"/>
      <c r="G818" s="4"/>
      <c r="H818" s="149"/>
      <c r="K818"/>
      <c r="L818"/>
    </row>
    <row r="819" spans="5:12" s="5" customFormat="1" x14ac:dyDescent="0.2">
      <c r="E819" s="4"/>
      <c r="G819" s="4"/>
      <c r="H819" s="149"/>
      <c r="K819"/>
      <c r="L819"/>
    </row>
    <row r="820" spans="5:12" s="5" customFormat="1" x14ac:dyDescent="0.2">
      <c r="E820" s="4"/>
      <c r="G820" s="4"/>
      <c r="H820" s="149"/>
      <c r="K820"/>
      <c r="L820"/>
    </row>
    <row r="821" spans="5:12" s="5" customFormat="1" x14ac:dyDescent="0.2">
      <c r="E821" s="4"/>
      <c r="G821" s="4"/>
      <c r="H821" s="149"/>
      <c r="K821"/>
      <c r="L821"/>
    </row>
    <row r="822" spans="5:12" s="5" customFormat="1" x14ac:dyDescent="0.2">
      <c r="E822" s="4"/>
      <c r="G822" s="4"/>
      <c r="H822" s="149"/>
      <c r="K822"/>
      <c r="L822"/>
    </row>
    <row r="823" spans="5:12" s="5" customFormat="1" x14ac:dyDescent="0.2">
      <c r="E823" s="4"/>
      <c r="G823" s="4"/>
      <c r="H823" s="149"/>
      <c r="K823"/>
      <c r="L823"/>
    </row>
    <row r="824" spans="5:12" s="5" customFormat="1" x14ac:dyDescent="0.2">
      <c r="E824" s="4"/>
      <c r="G824" s="4"/>
      <c r="H824" s="149"/>
      <c r="K824"/>
      <c r="L824"/>
    </row>
    <row r="825" spans="5:12" s="5" customFormat="1" x14ac:dyDescent="0.2">
      <c r="E825" s="4"/>
      <c r="G825" s="4"/>
      <c r="H825" s="149"/>
      <c r="K825"/>
      <c r="L825"/>
    </row>
    <row r="826" spans="5:12" s="5" customFormat="1" x14ac:dyDescent="0.2">
      <c r="E826" s="4"/>
      <c r="G826" s="4"/>
      <c r="H826" s="149"/>
      <c r="K826"/>
      <c r="L826"/>
    </row>
    <row r="827" spans="5:12" s="5" customFormat="1" x14ac:dyDescent="0.2">
      <c r="E827" s="4"/>
      <c r="G827" s="4"/>
      <c r="H827" s="149"/>
      <c r="K827"/>
      <c r="L827"/>
    </row>
    <row r="828" spans="5:12" s="5" customFormat="1" x14ac:dyDescent="0.2">
      <c r="E828" s="4"/>
      <c r="G828" s="4"/>
      <c r="H828" s="149"/>
      <c r="K828"/>
      <c r="L828"/>
    </row>
    <row r="829" spans="5:12" s="5" customFormat="1" x14ac:dyDescent="0.2">
      <c r="E829" s="4"/>
      <c r="G829" s="4"/>
      <c r="H829" s="149"/>
      <c r="K829"/>
      <c r="L829"/>
    </row>
    <row r="830" spans="5:12" s="5" customFormat="1" x14ac:dyDescent="0.2">
      <c r="E830" s="4"/>
      <c r="G830" s="4"/>
      <c r="H830" s="149"/>
      <c r="K830"/>
      <c r="L830"/>
    </row>
    <row r="831" spans="5:12" s="5" customFormat="1" x14ac:dyDescent="0.2">
      <c r="E831" s="4"/>
      <c r="G831" s="4"/>
      <c r="H831" s="149"/>
      <c r="K831"/>
      <c r="L831"/>
    </row>
    <row r="832" spans="5:12" s="5" customFormat="1" x14ac:dyDescent="0.2">
      <c r="E832" s="4"/>
      <c r="G832" s="4"/>
      <c r="H832" s="149"/>
      <c r="K832"/>
      <c r="L832"/>
    </row>
    <row r="833" spans="5:12" s="5" customFormat="1" x14ac:dyDescent="0.2">
      <c r="E833" s="4"/>
      <c r="G833" s="4"/>
      <c r="H833" s="149"/>
      <c r="K833"/>
      <c r="L833"/>
    </row>
    <row r="834" spans="5:12" s="5" customFormat="1" x14ac:dyDescent="0.2">
      <c r="E834" s="4"/>
      <c r="G834" s="4"/>
      <c r="H834" s="149"/>
      <c r="K834"/>
      <c r="L834"/>
    </row>
    <row r="835" spans="5:12" s="5" customFormat="1" x14ac:dyDescent="0.2">
      <c r="E835" s="4"/>
      <c r="G835" s="4"/>
      <c r="H835" s="149"/>
      <c r="K835"/>
      <c r="L835"/>
    </row>
    <row r="836" spans="5:12" s="5" customFormat="1" x14ac:dyDescent="0.2">
      <c r="E836" s="4"/>
      <c r="G836" s="4"/>
      <c r="H836" s="149"/>
      <c r="K836"/>
      <c r="L836"/>
    </row>
    <row r="837" spans="5:12" s="5" customFormat="1" x14ac:dyDescent="0.2">
      <c r="E837" s="4"/>
      <c r="G837" s="4"/>
      <c r="H837" s="149"/>
      <c r="K837"/>
      <c r="L837"/>
    </row>
    <row r="838" spans="5:12" s="5" customFormat="1" x14ac:dyDescent="0.2">
      <c r="E838" s="4"/>
      <c r="G838" s="4"/>
      <c r="H838" s="149"/>
      <c r="K838"/>
      <c r="L838"/>
    </row>
    <row r="839" spans="5:12" s="5" customFormat="1" x14ac:dyDescent="0.2">
      <c r="E839" s="4"/>
      <c r="G839" s="4"/>
      <c r="H839" s="149"/>
      <c r="K839"/>
      <c r="L839"/>
    </row>
    <row r="840" spans="5:12" s="5" customFormat="1" x14ac:dyDescent="0.2">
      <c r="E840" s="4"/>
      <c r="G840" s="4"/>
      <c r="H840" s="149"/>
      <c r="K840"/>
      <c r="L840"/>
    </row>
    <row r="841" spans="5:12" s="5" customFormat="1" x14ac:dyDescent="0.2">
      <c r="E841" s="4"/>
      <c r="G841" s="4"/>
      <c r="H841" s="149"/>
      <c r="K841"/>
      <c r="L841"/>
    </row>
    <row r="842" spans="5:12" s="5" customFormat="1" x14ac:dyDescent="0.2">
      <c r="E842" s="4"/>
      <c r="G842" s="4"/>
      <c r="H842" s="149"/>
      <c r="K842"/>
      <c r="L842"/>
    </row>
    <row r="843" spans="5:12" s="5" customFormat="1" x14ac:dyDescent="0.2">
      <c r="E843" s="4"/>
      <c r="G843" s="4"/>
      <c r="H843" s="149"/>
      <c r="K843"/>
      <c r="L843"/>
    </row>
    <row r="844" spans="5:12" s="5" customFormat="1" x14ac:dyDescent="0.2">
      <c r="E844" s="4"/>
      <c r="G844" s="4"/>
      <c r="H844" s="149"/>
      <c r="K844"/>
      <c r="L844"/>
    </row>
    <row r="845" spans="5:12" s="5" customFormat="1" x14ac:dyDescent="0.2">
      <c r="E845" s="4"/>
      <c r="G845" s="4"/>
      <c r="H845" s="149"/>
      <c r="K845"/>
      <c r="L845"/>
    </row>
    <row r="846" spans="5:12" s="5" customFormat="1" x14ac:dyDescent="0.2">
      <c r="E846" s="4"/>
      <c r="G846" s="4"/>
      <c r="H846" s="149"/>
      <c r="K846"/>
      <c r="L846"/>
    </row>
    <row r="847" spans="5:12" s="5" customFormat="1" x14ac:dyDescent="0.2">
      <c r="E847" s="4"/>
      <c r="G847" s="4"/>
      <c r="H847" s="149"/>
      <c r="K847"/>
      <c r="L847"/>
    </row>
    <row r="848" spans="5:12" s="5" customFormat="1" x14ac:dyDescent="0.2">
      <c r="E848" s="4"/>
      <c r="G848" s="4"/>
      <c r="H848" s="149"/>
      <c r="K848"/>
      <c r="L848"/>
    </row>
    <row r="849" spans="5:12" s="5" customFormat="1" x14ac:dyDescent="0.2">
      <c r="E849" s="4"/>
      <c r="G849" s="4"/>
      <c r="H849" s="149"/>
      <c r="K849"/>
      <c r="L849"/>
    </row>
    <row r="850" spans="5:12" s="5" customFormat="1" x14ac:dyDescent="0.2">
      <c r="E850" s="4"/>
      <c r="G850" s="4"/>
      <c r="H850" s="149"/>
      <c r="K850"/>
      <c r="L850"/>
    </row>
    <row r="851" spans="5:12" s="5" customFormat="1" x14ac:dyDescent="0.2">
      <c r="E851" s="4"/>
      <c r="G851" s="4"/>
      <c r="H851" s="149"/>
      <c r="K851"/>
      <c r="L851"/>
    </row>
    <row r="852" spans="5:12" s="5" customFormat="1" x14ac:dyDescent="0.2">
      <c r="E852" s="4"/>
      <c r="G852" s="4"/>
      <c r="H852" s="149"/>
      <c r="K852"/>
      <c r="L852"/>
    </row>
    <row r="853" spans="5:12" s="5" customFormat="1" x14ac:dyDescent="0.2">
      <c r="E853" s="4"/>
      <c r="G853" s="4"/>
      <c r="H853" s="149"/>
      <c r="K853"/>
      <c r="L853"/>
    </row>
    <row r="854" spans="5:12" s="5" customFormat="1" x14ac:dyDescent="0.2">
      <c r="E854" s="4"/>
      <c r="G854" s="4"/>
      <c r="H854" s="149"/>
      <c r="K854"/>
      <c r="L854"/>
    </row>
    <row r="855" spans="5:12" s="5" customFormat="1" x14ac:dyDescent="0.2">
      <c r="E855" s="4"/>
      <c r="G855" s="4"/>
      <c r="H855" s="149"/>
      <c r="K855"/>
      <c r="L855"/>
    </row>
    <row r="856" spans="5:12" s="5" customFormat="1" x14ac:dyDescent="0.2">
      <c r="E856" s="4"/>
      <c r="G856" s="4"/>
      <c r="H856" s="149"/>
      <c r="K856"/>
      <c r="L856"/>
    </row>
    <row r="857" spans="5:12" s="5" customFormat="1" x14ac:dyDescent="0.2">
      <c r="E857" s="4"/>
      <c r="G857" s="4"/>
      <c r="H857" s="149"/>
      <c r="K857"/>
      <c r="L857"/>
    </row>
    <row r="858" spans="5:12" s="5" customFormat="1" x14ac:dyDescent="0.2">
      <c r="E858" s="4"/>
      <c r="G858" s="4"/>
      <c r="H858" s="149"/>
      <c r="K858"/>
      <c r="L858"/>
    </row>
    <row r="859" spans="5:12" s="5" customFormat="1" x14ac:dyDescent="0.2">
      <c r="E859" s="4"/>
      <c r="G859" s="4"/>
      <c r="H859" s="149"/>
      <c r="K859"/>
      <c r="L859"/>
    </row>
    <row r="860" spans="5:12" s="5" customFormat="1" x14ac:dyDescent="0.2">
      <c r="E860" s="4"/>
      <c r="G860" s="4"/>
      <c r="H860" s="149"/>
      <c r="K860"/>
      <c r="L860"/>
    </row>
    <row r="861" spans="5:12" s="5" customFormat="1" x14ac:dyDescent="0.2">
      <c r="E861" s="4"/>
      <c r="G861" s="4"/>
      <c r="H861" s="149"/>
      <c r="K861"/>
      <c r="L861"/>
    </row>
    <row r="862" spans="5:12" s="5" customFormat="1" x14ac:dyDescent="0.2">
      <c r="E862" s="4"/>
      <c r="G862" s="4"/>
      <c r="H862" s="149"/>
      <c r="K862"/>
      <c r="L862"/>
    </row>
    <row r="863" spans="5:12" s="5" customFormat="1" x14ac:dyDescent="0.2">
      <c r="E863" s="4"/>
      <c r="G863" s="4"/>
      <c r="H863" s="149"/>
      <c r="K863"/>
      <c r="L863"/>
    </row>
    <row r="864" spans="5:12" s="5" customFormat="1" x14ac:dyDescent="0.2">
      <c r="E864" s="4"/>
      <c r="G864" s="4"/>
      <c r="H864" s="149"/>
      <c r="K864"/>
      <c r="L864"/>
    </row>
    <row r="865" spans="5:12" s="5" customFormat="1" x14ac:dyDescent="0.2">
      <c r="E865" s="4"/>
      <c r="G865" s="4"/>
      <c r="H865" s="149"/>
      <c r="K865"/>
      <c r="L865"/>
    </row>
    <row r="866" spans="5:12" s="5" customFormat="1" x14ac:dyDescent="0.2">
      <c r="E866" s="4"/>
      <c r="G866" s="4"/>
      <c r="H866" s="149"/>
      <c r="K866"/>
      <c r="L866"/>
    </row>
    <row r="867" spans="5:12" s="5" customFormat="1" x14ac:dyDescent="0.2">
      <c r="E867" s="4"/>
      <c r="G867" s="4"/>
      <c r="H867" s="149"/>
      <c r="K867"/>
      <c r="L867"/>
    </row>
    <row r="868" spans="5:12" s="5" customFormat="1" x14ac:dyDescent="0.2">
      <c r="E868" s="4"/>
      <c r="G868" s="4"/>
      <c r="H868" s="149"/>
      <c r="K868"/>
      <c r="L868"/>
    </row>
    <row r="869" spans="5:12" s="5" customFormat="1" x14ac:dyDescent="0.2">
      <c r="E869" s="4"/>
      <c r="G869" s="4"/>
      <c r="H869" s="149"/>
      <c r="K869"/>
      <c r="L869"/>
    </row>
    <row r="870" spans="5:12" s="5" customFormat="1" x14ac:dyDescent="0.2">
      <c r="E870" s="4"/>
      <c r="G870" s="4"/>
      <c r="H870" s="149"/>
      <c r="K870"/>
      <c r="L870"/>
    </row>
    <row r="871" spans="5:12" s="5" customFormat="1" x14ac:dyDescent="0.2">
      <c r="E871" s="4"/>
      <c r="G871" s="4"/>
      <c r="H871" s="149"/>
      <c r="K871"/>
      <c r="L871"/>
    </row>
    <row r="872" spans="5:12" s="5" customFormat="1" x14ac:dyDescent="0.2">
      <c r="E872" s="4"/>
      <c r="G872" s="4"/>
      <c r="H872" s="149"/>
      <c r="K872"/>
      <c r="L872"/>
    </row>
    <row r="873" spans="5:12" s="5" customFormat="1" x14ac:dyDescent="0.2">
      <c r="E873" s="4"/>
      <c r="G873" s="4"/>
      <c r="H873" s="149"/>
      <c r="K873"/>
      <c r="L873"/>
    </row>
    <row r="874" spans="5:12" s="5" customFormat="1" x14ac:dyDescent="0.2">
      <c r="E874" s="4"/>
      <c r="G874" s="4"/>
      <c r="H874" s="149"/>
      <c r="K874"/>
      <c r="L874"/>
    </row>
    <row r="875" spans="5:12" s="5" customFormat="1" x14ac:dyDescent="0.2">
      <c r="E875" s="4"/>
      <c r="G875" s="4"/>
      <c r="H875" s="149"/>
      <c r="K875"/>
      <c r="L875"/>
    </row>
    <row r="876" spans="5:12" s="5" customFormat="1" x14ac:dyDescent="0.2">
      <c r="E876" s="4"/>
      <c r="G876" s="4"/>
      <c r="H876" s="149"/>
      <c r="K876"/>
      <c r="L876"/>
    </row>
    <row r="877" spans="5:12" s="5" customFormat="1" x14ac:dyDescent="0.2">
      <c r="E877" s="4"/>
      <c r="G877" s="4"/>
      <c r="H877" s="149"/>
      <c r="K877"/>
      <c r="L877"/>
    </row>
    <row r="878" spans="5:12" s="5" customFormat="1" x14ac:dyDescent="0.2">
      <c r="E878" s="4"/>
      <c r="G878" s="4"/>
      <c r="H878" s="149"/>
      <c r="K878"/>
      <c r="L878"/>
    </row>
    <row r="879" spans="5:12" s="5" customFormat="1" x14ac:dyDescent="0.2">
      <c r="E879" s="4"/>
      <c r="G879" s="4"/>
      <c r="H879" s="149"/>
      <c r="K879"/>
      <c r="L879"/>
    </row>
    <row r="880" spans="5:12" s="5" customFormat="1" x14ac:dyDescent="0.2">
      <c r="E880" s="4"/>
      <c r="G880" s="4"/>
      <c r="H880" s="149"/>
      <c r="K880"/>
      <c r="L880"/>
    </row>
    <row r="881" spans="5:12" s="5" customFormat="1" x14ac:dyDescent="0.2">
      <c r="E881" s="4"/>
      <c r="G881" s="4"/>
      <c r="H881" s="149"/>
      <c r="K881"/>
      <c r="L881"/>
    </row>
    <row r="882" spans="5:12" s="5" customFormat="1" x14ac:dyDescent="0.2">
      <c r="E882" s="4"/>
      <c r="G882" s="4"/>
      <c r="H882" s="149"/>
      <c r="K882"/>
      <c r="L882"/>
    </row>
    <row r="883" spans="5:12" s="5" customFormat="1" x14ac:dyDescent="0.2">
      <c r="E883" s="4"/>
      <c r="G883" s="4"/>
      <c r="H883" s="149"/>
      <c r="K883"/>
      <c r="L883"/>
    </row>
    <row r="884" spans="5:12" s="5" customFormat="1" x14ac:dyDescent="0.2">
      <c r="E884" s="4"/>
      <c r="G884" s="4"/>
      <c r="H884" s="149"/>
      <c r="K884"/>
      <c r="L884"/>
    </row>
    <row r="885" spans="5:12" s="5" customFormat="1" x14ac:dyDescent="0.2">
      <c r="E885" s="4"/>
      <c r="G885" s="4"/>
      <c r="H885" s="149"/>
      <c r="K885"/>
      <c r="L885"/>
    </row>
    <row r="886" spans="5:12" s="5" customFormat="1" x14ac:dyDescent="0.2">
      <c r="E886" s="4"/>
      <c r="G886" s="4"/>
      <c r="H886" s="149"/>
      <c r="K886"/>
      <c r="L886"/>
    </row>
    <row r="887" spans="5:12" s="5" customFormat="1" x14ac:dyDescent="0.2">
      <c r="E887" s="4"/>
      <c r="G887" s="4"/>
      <c r="H887" s="149"/>
      <c r="K887"/>
      <c r="L887"/>
    </row>
    <row r="888" spans="5:12" s="5" customFormat="1" x14ac:dyDescent="0.2">
      <c r="E888" s="4"/>
      <c r="G888" s="4"/>
      <c r="H888" s="149"/>
      <c r="K888"/>
      <c r="L888"/>
    </row>
    <row r="889" spans="5:12" s="5" customFormat="1" x14ac:dyDescent="0.2">
      <c r="E889" s="4"/>
      <c r="G889" s="4"/>
      <c r="H889" s="149"/>
      <c r="K889"/>
      <c r="L889"/>
    </row>
    <row r="890" spans="5:12" s="5" customFormat="1" x14ac:dyDescent="0.2">
      <c r="E890" s="4"/>
      <c r="G890" s="4"/>
      <c r="H890" s="149"/>
      <c r="K890"/>
      <c r="L890"/>
    </row>
    <row r="891" spans="5:12" s="5" customFormat="1" x14ac:dyDescent="0.2">
      <c r="E891" s="4"/>
      <c r="G891" s="4"/>
      <c r="H891" s="149"/>
      <c r="K891"/>
      <c r="L891"/>
    </row>
    <row r="892" spans="5:12" s="5" customFormat="1" x14ac:dyDescent="0.2">
      <c r="E892" s="4"/>
      <c r="G892" s="4"/>
      <c r="H892" s="149"/>
      <c r="K892"/>
      <c r="L892"/>
    </row>
    <row r="893" spans="5:12" s="5" customFormat="1" x14ac:dyDescent="0.2">
      <c r="E893" s="4"/>
      <c r="G893" s="4"/>
      <c r="H893" s="149"/>
      <c r="K893"/>
      <c r="L893"/>
    </row>
    <row r="894" spans="5:12" s="5" customFormat="1" x14ac:dyDescent="0.2">
      <c r="E894" s="4"/>
      <c r="G894" s="4"/>
      <c r="H894" s="149"/>
      <c r="K894"/>
      <c r="L894"/>
    </row>
    <row r="895" spans="5:12" s="5" customFormat="1" x14ac:dyDescent="0.2">
      <c r="E895" s="4"/>
      <c r="G895" s="4"/>
      <c r="H895" s="149"/>
      <c r="K895"/>
      <c r="L895"/>
    </row>
    <row r="896" spans="5:12" s="5" customFormat="1" x14ac:dyDescent="0.2">
      <c r="E896" s="4"/>
      <c r="G896" s="4"/>
      <c r="H896" s="149"/>
      <c r="K896"/>
      <c r="L896"/>
    </row>
    <row r="897" spans="5:12" s="5" customFormat="1" x14ac:dyDescent="0.2">
      <c r="E897" s="4"/>
      <c r="G897" s="4"/>
      <c r="H897" s="149"/>
      <c r="K897"/>
      <c r="L897"/>
    </row>
    <row r="898" spans="5:12" s="5" customFormat="1" x14ac:dyDescent="0.2">
      <c r="E898" s="4"/>
      <c r="G898" s="4"/>
      <c r="H898" s="149"/>
      <c r="K898"/>
      <c r="L898"/>
    </row>
    <row r="899" spans="5:12" s="5" customFormat="1" x14ac:dyDescent="0.2">
      <c r="E899" s="4"/>
      <c r="G899" s="4"/>
      <c r="H899" s="149"/>
      <c r="K899"/>
      <c r="L899"/>
    </row>
    <row r="900" spans="5:12" s="5" customFormat="1" x14ac:dyDescent="0.2">
      <c r="E900" s="4"/>
      <c r="G900" s="4"/>
      <c r="H900" s="149"/>
      <c r="K900"/>
      <c r="L900"/>
    </row>
    <row r="901" spans="5:12" s="5" customFormat="1" x14ac:dyDescent="0.2">
      <c r="E901" s="4"/>
      <c r="G901" s="4"/>
      <c r="H901" s="149"/>
      <c r="K901"/>
      <c r="L901"/>
    </row>
    <row r="902" spans="5:12" s="5" customFormat="1" x14ac:dyDescent="0.2">
      <c r="E902" s="4"/>
      <c r="G902" s="4"/>
      <c r="H902" s="149"/>
      <c r="K902"/>
      <c r="L902"/>
    </row>
    <row r="903" spans="5:12" s="5" customFormat="1" x14ac:dyDescent="0.2">
      <c r="E903" s="4"/>
      <c r="G903" s="4"/>
      <c r="H903" s="149"/>
      <c r="K903"/>
      <c r="L903"/>
    </row>
    <row r="904" spans="5:12" s="5" customFormat="1" x14ac:dyDescent="0.2">
      <c r="E904" s="4"/>
      <c r="G904" s="4"/>
      <c r="H904" s="149"/>
      <c r="K904"/>
      <c r="L904"/>
    </row>
    <row r="905" spans="5:12" s="5" customFormat="1" x14ac:dyDescent="0.2">
      <c r="E905" s="4"/>
      <c r="G905" s="4"/>
      <c r="H905" s="149"/>
      <c r="K905"/>
      <c r="L905"/>
    </row>
    <row r="906" spans="5:12" s="5" customFormat="1" x14ac:dyDescent="0.2">
      <c r="E906" s="4"/>
      <c r="G906" s="4"/>
      <c r="H906" s="149"/>
      <c r="K906"/>
      <c r="L906"/>
    </row>
    <row r="907" spans="5:12" s="5" customFormat="1" x14ac:dyDescent="0.2">
      <c r="E907" s="4"/>
      <c r="G907" s="4"/>
      <c r="H907" s="149"/>
      <c r="K907"/>
      <c r="L907"/>
    </row>
    <row r="908" spans="5:12" s="5" customFormat="1" x14ac:dyDescent="0.2">
      <c r="E908" s="4"/>
      <c r="G908" s="4"/>
      <c r="H908" s="149"/>
      <c r="K908"/>
      <c r="L908"/>
    </row>
    <row r="909" spans="5:12" s="5" customFormat="1" x14ac:dyDescent="0.2">
      <c r="E909" s="4"/>
      <c r="G909" s="4"/>
      <c r="H909" s="149"/>
      <c r="K909"/>
      <c r="L909"/>
    </row>
    <row r="910" spans="5:12" s="5" customFormat="1" x14ac:dyDescent="0.2">
      <c r="E910" s="4"/>
      <c r="G910" s="4"/>
      <c r="H910" s="149"/>
      <c r="K910"/>
      <c r="L910"/>
    </row>
    <row r="911" spans="5:12" s="5" customFormat="1" x14ac:dyDescent="0.2">
      <c r="E911" s="4"/>
      <c r="G911" s="4"/>
      <c r="H911" s="149"/>
      <c r="K911"/>
      <c r="L911"/>
    </row>
    <row r="912" spans="5:12" s="5" customFormat="1" x14ac:dyDescent="0.2">
      <c r="E912" s="4"/>
      <c r="G912" s="4"/>
      <c r="H912" s="149"/>
      <c r="K912"/>
      <c r="L912"/>
    </row>
    <row r="913" spans="5:12" s="5" customFormat="1" x14ac:dyDescent="0.2">
      <c r="E913" s="4"/>
      <c r="G913" s="4"/>
      <c r="H913" s="149"/>
      <c r="K913"/>
      <c r="L913"/>
    </row>
    <row r="914" spans="5:12" s="5" customFormat="1" x14ac:dyDescent="0.2">
      <c r="E914" s="4"/>
      <c r="G914" s="4"/>
      <c r="H914" s="149"/>
      <c r="K914"/>
      <c r="L914"/>
    </row>
    <row r="915" spans="5:12" s="5" customFormat="1" x14ac:dyDescent="0.2">
      <c r="E915" s="4"/>
      <c r="G915" s="4"/>
      <c r="H915" s="149"/>
      <c r="K915"/>
      <c r="L915"/>
    </row>
    <row r="916" spans="5:12" s="5" customFormat="1" x14ac:dyDescent="0.2">
      <c r="E916" s="4"/>
      <c r="G916" s="4"/>
      <c r="H916" s="149"/>
      <c r="K916"/>
      <c r="L916"/>
    </row>
    <row r="917" spans="5:12" s="5" customFormat="1" x14ac:dyDescent="0.2">
      <c r="E917" s="4"/>
      <c r="G917" s="4"/>
      <c r="H917" s="149"/>
      <c r="K917"/>
      <c r="L917"/>
    </row>
    <row r="918" spans="5:12" s="5" customFormat="1" x14ac:dyDescent="0.2">
      <c r="E918" s="4"/>
      <c r="G918" s="4"/>
      <c r="H918" s="149"/>
      <c r="K918"/>
      <c r="L918"/>
    </row>
    <row r="919" spans="5:12" s="5" customFormat="1" x14ac:dyDescent="0.2">
      <c r="E919" s="4"/>
      <c r="G919" s="4"/>
      <c r="H919" s="149"/>
      <c r="K919"/>
      <c r="L919"/>
    </row>
    <row r="920" spans="5:12" s="5" customFormat="1" x14ac:dyDescent="0.2">
      <c r="E920" s="4"/>
      <c r="G920" s="4"/>
      <c r="H920" s="149"/>
      <c r="K920"/>
      <c r="L920"/>
    </row>
    <row r="921" spans="5:12" s="5" customFormat="1" x14ac:dyDescent="0.2">
      <c r="E921" s="4"/>
      <c r="G921" s="4"/>
      <c r="H921" s="149"/>
      <c r="K921"/>
      <c r="L921"/>
    </row>
    <row r="922" spans="5:12" s="5" customFormat="1" x14ac:dyDescent="0.2">
      <c r="E922" s="4"/>
      <c r="G922" s="4"/>
      <c r="H922" s="149"/>
      <c r="K922"/>
      <c r="L922"/>
    </row>
    <row r="923" spans="5:12" s="5" customFormat="1" x14ac:dyDescent="0.2">
      <c r="E923" s="4"/>
      <c r="G923" s="4"/>
      <c r="H923" s="149"/>
      <c r="K923"/>
      <c r="L923"/>
    </row>
    <row r="924" spans="5:12" s="5" customFormat="1" x14ac:dyDescent="0.2">
      <c r="E924" s="4"/>
      <c r="G924" s="4"/>
      <c r="H924" s="149"/>
      <c r="K924"/>
      <c r="L924"/>
    </row>
    <row r="925" spans="5:12" s="5" customFormat="1" x14ac:dyDescent="0.2">
      <c r="E925" s="4"/>
      <c r="G925" s="4"/>
      <c r="H925" s="149"/>
      <c r="K925"/>
      <c r="L925"/>
    </row>
    <row r="926" spans="5:12" s="5" customFormat="1" x14ac:dyDescent="0.2">
      <c r="E926" s="4"/>
      <c r="G926" s="4"/>
      <c r="H926" s="149"/>
      <c r="K926"/>
      <c r="L926"/>
    </row>
    <row r="927" spans="5:12" s="5" customFormat="1" x14ac:dyDescent="0.2">
      <c r="E927" s="4"/>
      <c r="G927" s="4"/>
      <c r="H927" s="149"/>
      <c r="K927"/>
      <c r="L927"/>
    </row>
    <row r="928" spans="5:12" s="5" customFormat="1" x14ac:dyDescent="0.2">
      <c r="E928" s="4"/>
      <c r="G928" s="4"/>
      <c r="H928" s="149"/>
      <c r="K928"/>
      <c r="L928"/>
    </row>
    <row r="929" spans="5:12" s="5" customFormat="1" x14ac:dyDescent="0.2">
      <c r="E929" s="4"/>
      <c r="G929" s="4"/>
      <c r="H929" s="149"/>
      <c r="K929"/>
      <c r="L929"/>
    </row>
    <row r="930" spans="5:12" s="5" customFormat="1" x14ac:dyDescent="0.2">
      <c r="E930" s="4"/>
      <c r="G930" s="4"/>
      <c r="H930" s="149"/>
      <c r="K930"/>
      <c r="L930"/>
    </row>
    <row r="931" spans="5:12" s="5" customFormat="1" x14ac:dyDescent="0.2">
      <c r="E931" s="4"/>
      <c r="G931" s="4"/>
      <c r="H931" s="149"/>
      <c r="K931"/>
      <c r="L931"/>
    </row>
    <row r="932" spans="5:12" s="5" customFormat="1" x14ac:dyDescent="0.2">
      <c r="E932" s="4"/>
      <c r="G932" s="4"/>
      <c r="H932" s="149"/>
      <c r="K932"/>
      <c r="L932"/>
    </row>
    <row r="933" spans="5:12" s="5" customFormat="1" x14ac:dyDescent="0.2">
      <c r="E933" s="4"/>
      <c r="G933" s="4"/>
      <c r="H933" s="149"/>
      <c r="K933"/>
      <c r="L933"/>
    </row>
    <row r="934" spans="5:12" s="5" customFormat="1" x14ac:dyDescent="0.2">
      <c r="E934" s="4"/>
      <c r="G934" s="4"/>
      <c r="H934" s="149"/>
      <c r="K934"/>
      <c r="L934"/>
    </row>
    <row r="935" spans="5:12" s="5" customFormat="1" x14ac:dyDescent="0.2">
      <c r="E935" s="4"/>
      <c r="G935" s="4"/>
      <c r="H935" s="149"/>
      <c r="K935"/>
      <c r="L935"/>
    </row>
    <row r="936" spans="5:12" s="5" customFormat="1" x14ac:dyDescent="0.2">
      <c r="E936" s="4"/>
      <c r="G936" s="4"/>
      <c r="H936" s="149"/>
      <c r="K936"/>
      <c r="L936"/>
    </row>
    <row r="937" spans="5:12" s="5" customFormat="1" x14ac:dyDescent="0.2">
      <c r="E937" s="4"/>
      <c r="G937" s="4"/>
      <c r="H937" s="149"/>
      <c r="K937"/>
      <c r="L937"/>
    </row>
    <row r="938" spans="5:12" s="5" customFormat="1" x14ac:dyDescent="0.2">
      <c r="E938" s="4"/>
      <c r="G938" s="4"/>
      <c r="H938" s="149"/>
      <c r="K938"/>
      <c r="L938"/>
    </row>
    <row r="939" spans="5:12" s="5" customFormat="1" x14ac:dyDescent="0.2">
      <c r="E939" s="4"/>
      <c r="G939" s="4"/>
      <c r="H939" s="149"/>
      <c r="K939"/>
      <c r="L939"/>
    </row>
    <row r="940" spans="5:12" s="5" customFormat="1" x14ac:dyDescent="0.2">
      <c r="E940" s="4"/>
      <c r="G940" s="4"/>
      <c r="H940" s="149"/>
      <c r="K940"/>
      <c r="L940"/>
    </row>
    <row r="941" spans="5:12" s="5" customFormat="1" x14ac:dyDescent="0.2">
      <c r="E941" s="4"/>
      <c r="G941" s="4"/>
      <c r="H941" s="149"/>
      <c r="K941"/>
      <c r="L941"/>
    </row>
    <row r="942" spans="5:12" s="5" customFormat="1" x14ac:dyDescent="0.2">
      <c r="E942" s="4"/>
      <c r="G942" s="4"/>
      <c r="H942" s="149"/>
      <c r="K942"/>
      <c r="L942"/>
    </row>
    <row r="943" spans="5:12" s="5" customFormat="1" x14ac:dyDescent="0.2">
      <c r="E943" s="4"/>
      <c r="G943" s="4"/>
      <c r="H943" s="149"/>
      <c r="K943"/>
      <c r="L943"/>
    </row>
    <row r="944" spans="5:12" s="5" customFormat="1" x14ac:dyDescent="0.2">
      <c r="E944" s="4"/>
      <c r="G944" s="4"/>
      <c r="H944" s="149"/>
      <c r="K944"/>
      <c r="L944"/>
    </row>
    <row r="945" spans="5:12" s="5" customFormat="1" x14ac:dyDescent="0.2">
      <c r="E945" s="4"/>
      <c r="G945" s="4"/>
      <c r="H945" s="149"/>
      <c r="K945"/>
      <c r="L945"/>
    </row>
    <row r="946" spans="5:12" s="5" customFormat="1" x14ac:dyDescent="0.2">
      <c r="E946" s="4"/>
      <c r="G946" s="4"/>
      <c r="H946" s="149"/>
      <c r="K946"/>
      <c r="L946"/>
    </row>
    <row r="947" spans="5:12" s="5" customFormat="1" x14ac:dyDescent="0.2">
      <c r="E947" s="4"/>
      <c r="G947" s="4"/>
      <c r="H947" s="149"/>
      <c r="K947"/>
      <c r="L947"/>
    </row>
    <row r="948" spans="5:12" s="5" customFormat="1" x14ac:dyDescent="0.2">
      <c r="E948" s="4"/>
      <c r="G948" s="4"/>
      <c r="H948" s="149"/>
      <c r="K948"/>
      <c r="L948"/>
    </row>
    <row r="949" spans="5:12" s="5" customFormat="1" x14ac:dyDescent="0.2">
      <c r="E949" s="4"/>
      <c r="G949" s="4"/>
      <c r="H949" s="149"/>
      <c r="K949"/>
      <c r="L949"/>
    </row>
    <row r="950" spans="5:12" s="5" customFormat="1" x14ac:dyDescent="0.2">
      <c r="E950" s="4"/>
      <c r="G950" s="4"/>
      <c r="H950" s="149"/>
      <c r="K950"/>
      <c r="L950"/>
    </row>
    <row r="951" spans="5:12" s="5" customFormat="1" x14ac:dyDescent="0.2">
      <c r="E951" s="4"/>
      <c r="G951" s="4"/>
      <c r="H951" s="149"/>
      <c r="K951"/>
      <c r="L951"/>
    </row>
    <row r="952" spans="5:12" s="5" customFormat="1" x14ac:dyDescent="0.2">
      <c r="E952" s="4"/>
      <c r="G952" s="4"/>
      <c r="H952" s="149"/>
      <c r="K952"/>
      <c r="L952"/>
    </row>
    <row r="953" spans="5:12" s="5" customFormat="1" x14ac:dyDescent="0.2">
      <c r="E953" s="4"/>
      <c r="G953" s="4"/>
      <c r="H953" s="149"/>
      <c r="K953"/>
      <c r="L953"/>
    </row>
    <row r="954" spans="5:12" s="5" customFormat="1" x14ac:dyDescent="0.2">
      <c r="E954" s="4"/>
      <c r="G954" s="4"/>
      <c r="H954" s="149"/>
      <c r="K954"/>
      <c r="L954"/>
    </row>
    <row r="955" spans="5:12" s="5" customFormat="1" x14ac:dyDescent="0.2">
      <c r="E955" s="4"/>
      <c r="G955" s="4"/>
      <c r="H955" s="149"/>
      <c r="K955"/>
      <c r="L955"/>
    </row>
    <row r="956" spans="5:12" s="5" customFormat="1" x14ac:dyDescent="0.2">
      <c r="E956" s="4"/>
      <c r="G956" s="4"/>
      <c r="H956" s="149"/>
      <c r="K956"/>
      <c r="L956"/>
    </row>
    <row r="957" spans="5:12" s="5" customFormat="1" x14ac:dyDescent="0.2">
      <c r="E957" s="4"/>
      <c r="G957" s="4"/>
      <c r="H957" s="149"/>
      <c r="K957"/>
      <c r="L957"/>
    </row>
    <row r="958" spans="5:12" s="5" customFormat="1" x14ac:dyDescent="0.2">
      <c r="E958" s="4"/>
      <c r="G958" s="4"/>
      <c r="H958" s="149"/>
      <c r="K958"/>
      <c r="L958"/>
    </row>
    <row r="959" spans="5:12" s="5" customFormat="1" x14ac:dyDescent="0.2">
      <c r="E959" s="4"/>
      <c r="G959" s="4"/>
      <c r="H959" s="149"/>
      <c r="K959"/>
      <c r="L959"/>
    </row>
    <row r="960" spans="5:12" s="5" customFormat="1" x14ac:dyDescent="0.2">
      <c r="E960" s="4"/>
      <c r="G960" s="4"/>
      <c r="H960" s="149"/>
      <c r="K960"/>
      <c r="L960"/>
    </row>
    <row r="961" spans="5:12" s="5" customFormat="1" x14ac:dyDescent="0.2">
      <c r="E961" s="4"/>
      <c r="G961" s="4"/>
      <c r="H961" s="149"/>
      <c r="K961"/>
      <c r="L961"/>
    </row>
    <row r="962" spans="5:12" s="5" customFormat="1" x14ac:dyDescent="0.2">
      <c r="E962" s="4"/>
      <c r="G962" s="4"/>
      <c r="H962" s="149"/>
      <c r="K962"/>
      <c r="L962"/>
    </row>
    <row r="963" spans="5:12" s="5" customFormat="1" x14ac:dyDescent="0.2">
      <c r="E963" s="4"/>
      <c r="G963" s="4"/>
      <c r="H963" s="149"/>
      <c r="K963"/>
      <c r="L963"/>
    </row>
    <row r="964" spans="5:12" s="5" customFormat="1" x14ac:dyDescent="0.2">
      <c r="E964" s="4"/>
      <c r="G964" s="4"/>
      <c r="H964" s="149"/>
      <c r="K964"/>
      <c r="L964"/>
    </row>
    <row r="965" spans="5:12" s="5" customFormat="1" x14ac:dyDescent="0.2">
      <c r="E965" s="4"/>
      <c r="G965" s="4"/>
      <c r="H965" s="149"/>
      <c r="K965"/>
      <c r="L965"/>
    </row>
    <row r="966" spans="5:12" s="5" customFormat="1" x14ac:dyDescent="0.2">
      <c r="E966" s="4"/>
      <c r="G966" s="4"/>
      <c r="H966" s="149"/>
      <c r="K966"/>
      <c r="L966"/>
    </row>
    <row r="967" spans="5:12" s="5" customFormat="1" x14ac:dyDescent="0.2">
      <c r="E967" s="4"/>
      <c r="G967" s="4"/>
      <c r="H967" s="149"/>
      <c r="K967"/>
      <c r="L967"/>
    </row>
    <row r="968" spans="5:12" s="5" customFormat="1" x14ac:dyDescent="0.2">
      <c r="E968" s="4"/>
      <c r="G968" s="4"/>
      <c r="H968" s="149"/>
      <c r="K968"/>
      <c r="L968"/>
    </row>
    <row r="969" spans="5:12" s="5" customFormat="1" x14ac:dyDescent="0.2">
      <c r="E969" s="4"/>
      <c r="G969" s="4"/>
      <c r="H969" s="149"/>
      <c r="K969"/>
      <c r="L969"/>
    </row>
    <row r="970" spans="5:12" s="5" customFormat="1" x14ac:dyDescent="0.2">
      <c r="E970" s="4"/>
      <c r="G970" s="4"/>
      <c r="H970" s="149"/>
      <c r="K970"/>
      <c r="L970"/>
    </row>
    <row r="971" spans="5:12" s="5" customFormat="1" x14ac:dyDescent="0.2">
      <c r="E971" s="4"/>
      <c r="G971" s="4"/>
      <c r="H971" s="149"/>
      <c r="K971"/>
      <c r="L971"/>
    </row>
    <row r="972" spans="5:12" s="5" customFormat="1" x14ac:dyDescent="0.2">
      <c r="E972" s="4"/>
      <c r="G972" s="4"/>
      <c r="H972" s="149"/>
      <c r="K972"/>
      <c r="L972"/>
    </row>
    <row r="973" spans="5:12" s="5" customFormat="1" x14ac:dyDescent="0.2">
      <c r="E973" s="4"/>
      <c r="G973" s="4"/>
      <c r="H973" s="149"/>
      <c r="K973"/>
      <c r="L973"/>
    </row>
    <row r="974" spans="5:12" s="5" customFormat="1" x14ac:dyDescent="0.2">
      <c r="E974" s="4"/>
      <c r="G974" s="4"/>
      <c r="H974" s="149"/>
      <c r="K974"/>
      <c r="L974"/>
    </row>
    <row r="975" spans="5:12" s="5" customFormat="1" x14ac:dyDescent="0.2">
      <c r="E975" s="4"/>
      <c r="G975" s="4"/>
      <c r="H975" s="149"/>
      <c r="K975"/>
      <c r="L975"/>
    </row>
    <row r="976" spans="5:12" s="5" customFormat="1" x14ac:dyDescent="0.2">
      <c r="E976" s="4"/>
      <c r="G976" s="4"/>
      <c r="H976" s="149"/>
      <c r="K976"/>
      <c r="L976"/>
    </row>
    <row r="977" spans="5:12" s="5" customFormat="1" x14ac:dyDescent="0.2">
      <c r="E977" s="4"/>
      <c r="G977" s="4"/>
      <c r="H977" s="149"/>
      <c r="K977"/>
      <c r="L977"/>
    </row>
    <row r="978" spans="5:12" s="5" customFormat="1" x14ac:dyDescent="0.2">
      <c r="E978" s="4"/>
      <c r="G978" s="4"/>
      <c r="H978" s="149"/>
      <c r="K978"/>
      <c r="L978"/>
    </row>
    <row r="979" spans="5:12" s="5" customFormat="1" x14ac:dyDescent="0.2">
      <c r="E979" s="4"/>
      <c r="G979" s="4"/>
      <c r="H979" s="149"/>
      <c r="K979"/>
      <c r="L979"/>
    </row>
    <row r="980" spans="5:12" s="5" customFormat="1" x14ac:dyDescent="0.2">
      <c r="E980" s="4"/>
      <c r="G980" s="4"/>
      <c r="H980" s="149"/>
      <c r="K980"/>
      <c r="L980"/>
    </row>
    <row r="981" spans="5:12" s="5" customFormat="1" x14ac:dyDescent="0.2">
      <c r="E981" s="4"/>
      <c r="G981" s="4"/>
      <c r="H981" s="149"/>
      <c r="K981"/>
      <c r="L981"/>
    </row>
    <row r="982" spans="5:12" s="5" customFormat="1" x14ac:dyDescent="0.2">
      <c r="E982" s="4"/>
      <c r="G982" s="4"/>
      <c r="H982" s="149"/>
      <c r="K982"/>
      <c r="L982"/>
    </row>
    <row r="983" spans="5:12" s="5" customFormat="1" x14ac:dyDescent="0.2">
      <c r="E983" s="4"/>
      <c r="G983" s="4"/>
      <c r="H983" s="149"/>
      <c r="K983"/>
      <c r="L983"/>
    </row>
    <row r="984" spans="5:12" s="5" customFormat="1" x14ac:dyDescent="0.2">
      <c r="E984" s="4"/>
      <c r="G984" s="4"/>
      <c r="H984" s="149"/>
      <c r="K984"/>
      <c r="L984"/>
    </row>
    <row r="985" spans="5:12" s="5" customFormat="1" x14ac:dyDescent="0.2">
      <c r="E985" s="4"/>
      <c r="G985" s="4"/>
      <c r="H985" s="149"/>
      <c r="K985"/>
      <c r="L985"/>
    </row>
    <row r="986" spans="5:12" s="5" customFormat="1" x14ac:dyDescent="0.2">
      <c r="E986" s="4"/>
      <c r="G986" s="4"/>
      <c r="H986" s="149"/>
      <c r="K986"/>
      <c r="L986"/>
    </row>
    <row r="987" spans="5:12" s="5" customFormat="1" x14ac:dyDescent="0.2">
      <c r="E987" s="4"/>
      <c r="G987" s="4"/>
      <c r="H987" s="149"/>
      <c r="K987"/>
      <c r="L987"/>
    </row>
    <row r="988" spans="5:12" s="5" customFormat="1" x14ac:dyDescent="0.2">
      <c r="E988" s="4"/>
      <c r="G988" s="4"/>
      <c r="H988" s="149"/>
      <c r="K988"/>
      <c r="L988"/>
    </row>
    <row r="989" spans="5:12" s="5" customFormat="1" x14ac:dyDescent="0.2">
      <c r="E989" s="4"/>
      <c r="G989" s="4"/>
      <c r="H989" s="149"/>
      <c r="K989"/>
      <c r="L989"/>
    </row>
    <row r="990" spans="5:12" s="5" customFormat="1" x14ac:dyDescent="0.2">
      <c r="E990" s="4"/>
      <c r="G990" s="4"/>
      <c r="H990" s="149"/>
      <c r="K990"/>
      <c r="L990"/>
    </row>
    <row r="991" spans="5:12" s="5" customFormat="1" x14ac:dyDescent="0.2">
      <c r="E991" s="4"/>
      <c r="G991" s="4"/>
      <c r="H991" s="149"/>
      <c r="K991"/>
      <c r="L991"/>
    </row>
    <row r="992" spans="5:12" s="5" customFormat="1" x14ac:dyDescent="0.2">
      <c r="E992" s="4"/>
      <c r="G992" s="4"/>
      <c r="H992" s="149"/>
      <c r="K992"/>
      <c r="L992"/>
    </row>
    <row r="993" spans="5:12" s="5" customFormat="1" x14ac:dyDescent="0.2">
      <c r="E993" s="4"/>
      <c r="G993" s="4"/>
      <c r="H993" s="149"/>
      <c r="K993"/>
      <c r="L993"/>
    </row>
    <row r="994" spans="5:12" s="5" customFormat="1" x14ac:dyDescent="0.2">
      <c r="E994" s="4"/>
      <c r="G994" s="4"/>
      <c r="H994" s="149"/>
      <c r="K994"/>
      <c r="L994"/>
    </row>
    <row r="995" spans="5:12" s="5" customFormat="1" x14ac:dyDescent="0.2">
      <c r="E995" s="4"/>
      <c r="G995" s="4"/>
      <c r="H995" s="149"/>
      <c r="K995"/>
      <c r="L995"/>
    </row>
    <row r="996" spans="5:12" s="5" customFormat="1" x14ac:dyDescent="0.2">
      <c r="E996" s="4"/>
      <c r="G996" s="4"/>
      <c r="H996" s="149"/>
      <c r="K996"/>
      <c r="L996"/>
    </row>
    <row r="997" spans="5:12" s="5" customFormat="1" x14ac:dyDescent="0.2">
      <c r="E997" s="4"/>
      <c r="G997" s="4"/>
      <c r="H997" s="149"/>
      <c r="K997"/>
      <c r="L997"/>
    </row>
    <row r="998" spans="5:12" s="5" customFormat="1" x14ac:dyDescent="0.2">
      <c r="E998" s="4"/>
      <c r="G998" s="4"/>
      <c r="H998" s="149"/>
      <c r="K998"/>
      <c r="L998"/>
    </row>
    <row r="999" spans="5:12" s="5" customFormat="1" x14ac:dyDescent="0.2">
      <c r="E999" s="4"/>
      <c r="G999" s="4"/>
      <c r="H999" s="149"/>
      <c r="K999"/>
      <c r="L999"/>
    </row>
    <row r="1000" spans="5:12" s="5" customFormat="1" x14ac:dyDescent="0.2">
      <c r="E1000" s="4"/>
      <c r="G1000" s="4"/>
      <c r="H1000" s="149"/>
      <c r="K1000"/>
      <c r="L1000"/>
    </row>
    <row r="1001" spans="5:12" s="5" customFormat="1" x14ac:dyDescent="0.2">
      <c r="E1001" s="4"/>
      <c r="G1001" s="4"/>
      <c r="H1001" s="149"/>
      <c r="K1001"/>
      <c r="L1001"/>
    </row>
    <row r="1002" spans="5:12" s="5" customFormat="1" x14ac:dyDescent="0.2">
      <c r="E1002" s="4"/>
      <c r="G1002" s="4"/>
      <c r="H1002" s="149"/>
      <c r="K1002"/>
      <c r="L1002"/>
    </row>
    <row r="1003" spans="5:12" s="5" customFormat="1" x14ac:dyDescent="0.2">
      <c r="E1003" s="4"/>
      <c r="G1003" s="4"/>
      <c r="H1003" s="149"/>
      <c r="K1003"/>
      <c r="L1003"/>
    </row>
    <row r="1004" spans="5:12" s="5" customFormat="1" x14ac:dyDescent="0.2">
      <c r="E1004" s="4"/>
      <c r="G1004" s="4"/>
      <c r="H1004" s="149"/>
      <c r="K1004"/>
      <c r="L1004"/>
    </row>
    <row r="1005" spans="5:12" s="5" customFormat="1" x14ac:dyDescent="0.2">
      <c r="E1005" s="4"/>
      <c r="G1005" s="4"/>
      <c r="H1005" s="149"/>
      <c r="K1005"/>
      <c r="L1005"/>
    </row>
    <row r="1006" spans="5:12" s="5" customFormat="1" x14ac:dyDescent="0.2">
      <c r="E1006" s="4"/>
      <c r="G1006" s="4"/>
      <c r="H1006" s="149"/>
      <c r="K1006"/>
      <c r="L1006"/>
    </row>
    <row r="1007" spans="5:12" s="5" customFormat="1" x14ac:dyDescent="0.2">
      <c r="E1007" s="4"/>
      <c r="G1007" s="4"/>
      <c r="H1007" s="149"/>
      <c r="K1007"/>
      <c r="L1007"/>
    </row>
    <row r="1008" spans="5:12" s="5" customFormat="1" x14ac:dyDescent="0.2">
      <c r="E1008" s="4"/>
      <c r="G1008" s="4"/>
      <c r="H1008" s="149"/>
      <c r="K1008"/>
      <c r="L1008"/>
    </row>
    <row r="1009" spans="5:12" s="5" customFormat="1" x14ac:dyDescent="0.2">
      <c r="E1009" s="4"/>
      <c r="G1009" s="4"/>
      <c r="H1009" s="149"/>
      <c r="K1009"/>
      <c r="L1009"/>
    </row>
    <row r="1010" spans="5:12" s="5" customFormat="1" x14ac:dyDescent="0.2">
      <c r="E1010" s="4"/>
      <c r="G1010" s="4"/>
      <c r="H1010" s="149"/>
      <c r="K1010"/>
      <c r="L1010"/>
    </row>
    <row r="1011" spans="5:12" s="5" customFormat="1" x14ac:dyDescent="0.2">
      <c r="E1011" s="4"/>
      <c r="G1011" s="4"/>
      <c r="H1011" s="149"/>
      <c r="K1011"/>
      <c r="L1011"/>
    </row>
    <row r="1012" spans="5:12" s="5" customFormat="1" x14ac:dyDescent="0.2">
      <c r="E1012" s="4"/>
      <c r="G1012" s="4"/>
      <c r="H1012" s="149"/>
      <c r="K1012"/>
      <c r="L1012"/>
    </row>
    <row r="1013" spans="5:12" s="5" customFormat="1" x14ac:dyDescent="0.2">
      <c r="E1013" s="4"/>
      <c r="G1013" s="4"/>
      <c r="H1013" s="149"/>
      <c r="K1013"/>
      <c r="L1013"/>
    </row>
    <row r="1014" spans="5:12" s="5" customFormat="1" x14ac:dyDescent="0.2">
      <c r="E1014" s="4"/>
      <c r="G1014" s="4"/>
      <c r="H1014" s="149"/>
      <c r="K1014"/>
      <c r="L1014"/>
    </row>
    <row r="1015" spans="5:12" s="5" customFormat="1" x14ac:dyDescent="0.2">
      <c r="E1015" s="4"/>
      <c r="G1015" s="4"/>
      <c r="H1015" s="149"/>
      <c r="K1015"/>
      <c r="L1015"/>
    </row>
    <row r="1016" spans="5:12" s="5" customFormat="1" x14ac:dyDescent="0.2">
      <c r="E1016" s="4"/>
      <c r="G1016" s="4"/>
      <c r="H1016" s="149"/>
      <c r="K1016"/>
      <c r="L1016"/>
    </row>
    <row r="1017" spans="5:12" s="5" customFormat="1" x14ac:dyDescent="0.2">
      <c r="E1017" s="4"/>
      <c r="G1017" s="4"/>
      <c r="H1017" s="149"/>
      <c r="K1017"/>
      <c r="L1017"/>
    </row>
    <row r="1018" spans="5:12" s="5" customFormat="1" x14ac:dyDescent="0.2">
      <c r="E1018" s="4"/>
      <c r="G1018" s="4"/>
      <c r="H1018" s="149"/>
      <c r="K1018"/>
      <c r="L1018"/>
    </row>
    <row r="1019" spans="5:12" s="5" customFormat="1" x14ac:dyDescent="0.2">
      <c r="E1019" s="4"/>
      <c r="G1019" s="4"/>
      <c r="H1019" s="149"/>
      <c r="K1019"/>
      <c r="L1019"/>
    </row>
    <row r="1020" spans="5:12" s="5" customFormat="1" x14ac:dyDescent="0.2">
      <c r="E1020" s="4"/>
      <c r="G1020" s="4"/>
      <c r="H1020" s="149"/>
      <c r="K1020"/>
      <c r="L1020"/>
    </row>
    <row r="1021" spans="5:12" s="5" customFormat="1" x14ac:dyDescent="0.2">
      <c r="E1021" s="4"/>
      <c r="G1021" s="4"/>
      <c r="H1021" s="149"/>
      <c r="K1021"/>
      <c r="L1021"/>
    </row>
    <row r="1022" spans="5:12" s="5" customFormat="1" x14ac:dyDescent="0.2">
      <c r="E1022" s="4"/>
      <c r="G1022" s="4"/>
      <c r="H1022" s="149"/>
      <c r="K1022"/>
      <c r="L1022"/>
    </row>
    <row r="1023" spans="5:12" s="5" customFormat="1" x14ac:dyDescent="0.2">
      <c r="E1023" s="4"/>
      <c r="G1023" s="4"/>
      <c r="H1023" s="149"/>
      <c r="K1023"/>
      <c r="L1023"/>
    </row>
    <row r="1024" spans="5:12" s="5" customFormat="1" x14ac:dyDescent="0.2">
      <c r="E1024" s="4"/>
      <c r="G1024" s="4"/>
      <c r="H1024" s="149"/>
      <c r="K1024"/>
      <c r="L1024"/>
    </row>
    <row r="1025" spans="5:12" s="5" customFormat="1" x14ac:dyDescent="0.2">
      <c r="E1025" s="4"/>
      <c r="G1025" s="4"/>
      <c r="H1025" s="149"/>
      <c r="K1025"/>
      <c r="L1025"/>
    </row>
    <row r="1026" spans="5:12" s="5" customFormat="1" x14ac:dyDescent="0.2">
      <c r="E1026" s="4"/>
      <c r="G1026" s="4"/>
      <c r="H1026" s="149"/>
      <c r="K1026"/>
      <c r="L1026"/>
    </row>
    <row r="1027" spans="5:12" s="5" customFormat="1" x14ac:dyDescent="0.2">
      <c r="E1027" s="4"/>
      <c r="G1027" s="4"/>
      <c r="H1027" s="149"/>
      <c r="K1027"/>
      <c r="L1027"/>
    </row>
    <row r="1028" spans="5:12" s="5" customFormat="1" x14ac:dyDescent="0.2">
      <c r="E1028" s="4"/>
      <c r="G1028" s="4"/>
      <c r="H1028" s="149"/>
      <c r="K1028"/>
      <c r="L1028"/>
    </row>
    <row r="1029" spans="5:12" s="5" customFormat="1" x14ac:dyDescent="0.2">
      <c r="E1029" s="4"/>
      <c r="G1029" s="4"/>
      <c r="H1029" s="149"/>
      <c r="K1029"/>
      <c r="L1029"/>
    </row>
    <row r="1030" spans="5:12" s="5" customFormat="1" x14ac:dyDescent="0.2">
      <c r="E1030" s="4"/>
      <c r="G1030" s="4"/>
      <c r="H1030" s="149"/>
      <c r="K1030"/>
      <c r="L1030"/>
    </row>
    <row r="1031" spans="5:12" s="5" customFormat="1" x14ac:dyDescent="0.2">
      <c r="E1031" s="4"/>
      <c r="G1031" s="4"/>
      <c r="H1031" s="149"/>
      <c r="K1031"/>
      <c r="L1031"/>
    </row>
    <row r="1032" spans="5:12" s="5" customFormat="1" x14ac:dyDescent="0.2">
      <c r="E1032" s="4"/>
      <c r="G1032" s="4"/>
      <c r="H1032" s="149"/>
      <c r="K1032"/>
      <c r="L1032"/>
    </row>
    <row r="1033" spans="5:12" s="5" customFormat="1" x14ac:dyDescent="0.2">
      <c r="E1033" s="4"/>
      <c r="G1033" s="4"/>
      <c r="H1033" s="149"/>
      <c r="K1033"/>
      <c r="L1033"/>
    </row>
    <row r="1034" spans="5:12" s="5" customFormat="1" x14ac:dyDescent="0.2">
      <c r="E1034" s="4"/>
      <c r="G1034" s="4"/>
      <c r="H1034" s="149"/>
      <c r="K1034"/>
      <c r="L1034"/>
    </row>
    <row r="1035" spans="5:12" s="5" customFormat="1" x14ac:dyDescent="0.2">
      <c r="E1035" s="4"/>
      <c r="G1035" s="4"/>
      <c r="H1035" s="149"/>
      <c r="K1035"/>
      <c r="L1035"/>
    </row>
    <row r="1036" spans="5:12" s="5" customFormat="1" x14ac:dyDescent="0.2">
      <c r="E1036" s="4"/>
      <c r="G1036" s="4"/>
      <c r="H1036" s="149"/>
      <c r="K1036"/>
      <c r="L1036"/>
    </row>
    <row r="1037" spans="5:12" s="5" customFormat="1" x14ac:dyDescent="0.2">
      <c r="E1037" s="4"/>
      <c r="G1037" s="4"/>
      <c r="H1037" s="149"/>
      <c r="K1037"/>
      <c r="L1037"/>
    </row>
    <row r="1038" spans="5:12" s="5" customFormat="1" x14ac:dyDescent="0.2">
      <c r="E1038" s="4"/>
      <c r="G1038" s="4"/>
      <c r="H1038" s="149"/>
      <c r="K1038"/>
      <c r="L1038"/>
    </row>
    <row r="1039" spans="5:12" s="5" customFormat="1" x14ac:dyDescent="0.2">
      <c r="E1039" s="4"/>
      <c r="G1039" s="4"/>
      <c r="H1039" s="149"/>
      <c r="K1039"/>
      <c r="L1039"/>
    </row>
    <row r="1040" spans="5:12" s="5" customFormat="1" x14ac:dyDescent="0.2">
      <c r="E1040" s="4"/>
      <c r="G1040" s="4"/>
      <c r="H1040" s="149"/>
      <c r="K1040"/>
      <c r="L1040"/>
    </row>
    <row r="1041" spans="5:12" s="5" customFormat="1" x14ac:dyDescent="0.2">
      <c r="E1041" s="4"/>
      <c r="G1041" s="4"/>
      <c r="H1041" s="149"/>
      <c r="K1041"/>
      <c r="L1041"/>
    </row>
    <row r="1042" spans="5:12" s="5" customFormat="1" x14ac:dyDescent="0.2">
      <c r="E1042" s="4"/>
      <c r="G1042" s="4"/>
      <c r="H1042" s="149"/>
      <c r="K1042"/>
      <c r="L1042"/>
    </row>
    <row r="1043" spans="5:12" s="5" customFormat="1" x14ac:dyDescent="0.2">
      <c r="E1043" s="4"/>
      <c r="G1043" s="4"/>
      <c r="H1043" s="149"/>
      <c r="K1043"/>
      <c r="L1043"/>
    </row>
    <row r="1044" spans="5:12" s="5" customFormat="1" x14ac:dyDescent="0.2">
      <c r="E1044" s="4"/>
      <c r="G1044" s="4"/>
      <c r="H1044" s="149"/>
      <c r="K1044"/>
      <c r="L1044"/>
    </row>
    <row r="1045" spans="5:12" s="5" customFormat="1" x14ac:dyDescent="0.2">
      <c r="E1045" s="4"/>
      <c r="G1045" s="4"/>
      <c r="H1045" s="149"/>
      <c r="K1045"/>
      <c r="L1045"/>
    </row>
    <row r="1046" spans="5:12" s="5" customFormat="1" x14ac:dyDescent="0.2">
      <c r="E1046" s="4"/>
      <c r="G1046" s="4"/>
      <c r="H1046" s="149"/>
      <c r="K1046"/>
      <c r="L1046"/>
    </row>
    <row r="1047" spans="5:12" s="5" customFormat="1" x14ac:dyDescent="0.2">
      <c r="E1047" s="4"/>
      <c r="G1047" s="4"/>
      <c r="H1047" s="149"/>
      <c r="K1047"/>
      <c r="L1047"/>
    </row>
    <row r="1048" spans="5:12" s="5" customFormat="1" x14ac:dyDescent="0.2">
      <c r="E1048" s="4"/>
      <c r="G1048" s="4"/>
      <c r="H1048" s="149"/>
      <c r="K1048"/>
      <c r="L1048"/>
    </row>
    <row r="1049" spans="5:12" s="5" customFormat="1" x14ac:dyDescent="0.2">
      <c r="E1049" s="4"/>
      <c r="G1049" s="4"/>
      <c r="H1049" s="149"/>
      <c r="K1049"/>
      <c r="L1049"/>
    </row>
    <row r="1050" spans="5:12" s="5" customFormat="1" x14ac:dyDescent="0.2">
      <c r="E1050" s="4"/>
      <c r="G1050" s="4"/>
      <c r="H1050" s="149"/>
      <c r="K1050"/>
      <c r="L1050"/>
    </row>
    <row r="1051" spans="5:12" s="5" customFormat="1" x14ac:dyDescent="0.2">
      <c r="E1051" s="4"/>
      <c r="G1051" s="4"/>
      <c r="H1051" s="149"/>
      <c r="K1051"/>
      <c r="L1051"/>
    </row>
    <row r="1052" spans="5:12" s="5" customFormat="1" x14ac:dyDescent="0.2">
      <c r="E1052" s="4"/>
      <c r="G1052" s="4"/>
      <c r="H1052" s="149"/>
      <c r="K1052"/>
      <c r="L1052"/>
    </row>
    <row r="1053" spans="5:12" s="5" customFormat="1" x14ac:dyDescent="0.2">
      <c r="E1053" s="4"/>
      <c r="G1053" s="4"/>
      <c r="H1053" s="149"/>
      <c r="K1053"/>
      <c r="L1053"/>
    </row>
    <row r="1054" spans="5:12" s="5" customFormat="1" x14ac:dyDescent="0.2">
      <c r="E1054" s="4"/>
      <c r="G1054" s="4"/>
      <c r="H1054" s="149"/>
      <c r="K1054"/>
      <c r="L1054"/>
    </row>
    <row r="1055" spans="5:12" s="5" customFormat="1" x14ac:dyDescent="0.2">
      <c r="E1055" s="4"/>
      <c r="G1055" s="4"/>
      <c r="H1055" s="149"/>
      <c r="K1055"/>
      <c r="L1055"/>
    </row>
    <row r="1056" spans="5:12" s="5" customFormat="1" x14ac:dyDescent="0.2">
      <c r="E1056" s="4"/>
      <c r="G1056" s="4"/>
      <c r="H1056" s="149"/>
      <c r="K1056"/>
      <c r="L1056"/>
    </row>
    <row r="1057" spans="5:12" s="5" customFormat="1" x14ac:dyDescent="0.2">
      <c r="E1057" s="4"/>
      <c r="G1057" s="4"/>
      <c r="H1057" s="149"/>
      <c r="K1057"/>
      <c r="L1057"/>
    </row>
    <row r="1058" spans="5:12" s="5" customFormat="1" x14ac:dyDescent="0.2">
      <c r="E1058" s="4"/>
      <c r="G1058" s="4"/>
      <c r="H1058" s="149"/>
      <c r="K1058"/>
      <c r="L1058"/>
    </row>
    <row r="1059" spans="5:12" s="5" customFormat="1" x14ac:dyDescent="0.2">
      <c r="E1059" s="4"/>
      <c r="G1059" s="4"/>
      <c r="H1059" s="149"/>
      <c r="K1059"/>
      <c r="L1059"/>
    </row>
    <row r="1060" spans="5:12" s="5" customFormat="1" x14ac:dyDescent="0.2">
      <c r="E1060" s="4"/>
      <c r="G1060" s="4"/>
      <c r="H1060" s="149"/>
      <c r="K1060"/>
      <c r="L1060"/>
    </row>
    <row r="1061" spans="5:12" s="5" customFormat="1" x14ac:dyDescent="0.2">
      <c r="E1061" s="4"/>
      <c r="G1061" s="4"/>
      <c r="H1061" s="149"/>
      <c r="K1061"/>
      <c r="L1061"/>
    </row>
    <row r="1062" spans="5:12" s="5" customFormat="1" x14ac:dyDescent="0.2">
      <c r="E1062" s="4"/>
      <c r="G1062" s="4"/>
      <c r="H1062" s="149"/>
      <c r="K1062"/>
      <c r="L1062"/>
    </row>
    <row r="1063" spans="5:12" s="5" customFormat="1" x14ac:dyDescent="0.2">
      <c r="E1063" s="4"/>
      <c r="G1063" s="4"/>
      <c r="H1063" s="149"/>
      <c r="K1063"/>
      <c r="L1063"/>
    </row>
    <row r="1064" spans="5:12" s="5" customFormat="1" x14ac:dyDescent="0.2">
      <c r="E1064" s="4"/>
      <c r="G1064" s="4"/>
      <c r="H1064" s="149"/>
      <c r="K1064"/>
      <c r="L1064"/>
    </row>
    <row r="1065" spans="5:12" s="5" customFormat="1" x14ac:dyDescent="0.2">
      <c r="E1065" s="4"/>
      <c r="G1065" s="4"/>
      <c r="H1065" s="149"/>
      <c r="K1065"/>
      <c r="L1065"/>
    </row>
    <row r="1066" spans="5:12" s="5" customFormat="1" x14ac:dyDescent="0.2">
      <c r="E1066" s="4"/>
      <c r="G1066" s="4"/>
      <c r="H1066" s="149"/>
      <c r="K1066"/>
      <c r="L1066"/>
    </row>
    <row r="1067" spans="5:12" s="5" customFormat="1" x14ac:dyDescent="0.2">
      <c r="E1067" s="4"/>
      <c r="G1067" s="4"/>
      <c r="H1067" s="149"/>
      <c r="K1067"/>
      <c r="L1067"/>
    </row>
    <row r="1068" spans="5:12" s="5" customFormat="1" x14ac:dyDescent="0.2">
      <c r="E1068" s="4"/>
      <c r="G1068" s="4"/>
      <c r="H1068" s="149"/>
      <c r="K1068"/>
      <c r="L1068"/>
    </row>
    <row r="1069" spans="5:12" s="5" customFormat="1" x14ac:dyDescent="0.2">
      <c r="E1069" s="4"/>
      <c r="G1069" s="4"/>
      <c r="H1069" s="149"/>
      <c r="K1069"/>
      <c r="L1069"/>
    </row>
    <row r="1070" spans="5:12" s="5" customFormat="1" x14ac:dyDescent="0.2">
      <c r="E1070" s="4"/>
      <c r="G1070" s="4"/>
      <c r="H1070" s="149"/>
      <c r="K1070"/>
      <c r="L1070"/>
    </row>
    <row r="1071" spans="5:12" s="5" customFormat="1" x14ac:dyDescent="0.2">
      <c r="E1071" s="4"/>
      <c r="G1071" s="4"/>
      <c r="H1071" s="149"/>
      <c r="K1071"/>
      <c r="L1071"/>
    </row>
    <row r="1072" spans="5:12" s="5" customFormat="1" x14ac:dyDescent="0.2">
      <c r="E1072" s="4"/>
      <c r="G1072" s="4"/>
      <c r="H1072" s="149"/>
      <c r="K1072"/>
      <c r="L1072"/>
    </row>
    <row r="1073" spans="5:12" s="5" customFormat="1" x14ac:dyDescent="0.2">
      <c r="E1073" s="4"/>
      <c r="G1073" s="4"/>
      <c r="H1073" s="149"/>
      <c r="K1073"/>
      <c r="L1073"/>
    </row>
    <row r="1074" spans="5:12" s="5" customFormat="1" x14ac:dyDescent="0.2">
      <c r="E1074" s="4"/>
      <c r="G1074" s="4"/>
      <c r="H1074" s="149"/>
      <c r="K1074"/>
      <c r="L1074"/>
    </row>
    <row r="1075" spans="5:12" s="5" customFormat="1" x14ac:dyDescent="0.2">
      <c r="E1075" s="4"/>
      <c r="G1075" s="4"/>
      <c r="H1075" s="149"/>
      <c r="K1075"/>
      <c r="L1075"/>
    </row>
    <row r="1076" spans="5:12" s="5" customFormat="1" x14ac:dyDescent="0.2">
      <c r="E1076" s="4"/>
      <c r="G1076" s="4"/>
      <c r="H1076" s="149"/>
      <c r="K1076"/>
      <c r="L1076"/>
    </row>
    <row r="1077" spans="5:12" s="5" customFormat="1" x14ac:dyDescent="0.2">
      <c r="E1077" s="4"/>
      <c r="G1077" s="4"/>
      <c r="H1077" s="149"/>
      <c r="K1077"/>
      <c r="L1077"/>
    </row>
    <row r="1078" spans="5:12" s="5" customFormat="1" x14ac:dyDescent="0.2">
      <c r="E1078" s="4"/>
      <c r="G1078" s="4"/>
      <c r="H1078" s="149"/>
      <c r="K1078"/>
      <c r="L1078"/>
    </row>
    <row r="1079" spans="5:12" s="5" customFormat="1" x14ac:dyDescent="0.2">
      <c r="E1079" s="4"/>
      <c r="G1079" s="4"/>
      <c r="H1079" s="149"/>
      <c r="K1079"/>
      <c r="L1079"/>
    </row>
    <row r="1080" spans="5:12" s="5" customFormat="1" x14ac:dyDescent="0.2">
      <c r="E1080" s="4"/>
      <c r="G1080" s="4"/>
      <c r="H1080" s="149"/>
      <c r="K1080"/>
      <c r="L1080"/>
    </row>
    <row r="1081" spans="5:12" s="5" customFormat="1" x14ac:dyDescent="0.2">
      <c r="E1081" s="4"/>
      <c r="G1081" s="4"/>
      <c r="H1081" s="149"/>
      <c r="K1081"/>
      <c r="L1081"/>
    </row>
    <row r="1082" spans="5:12" s="5" customFormat="1" x14ac:dyDescent="0.2">
      <c r="E1082" s="4"/>
      <c r="G1082" s="4"/>
      <c r="H1082" s="149"/>
      <c r="K1082"/>
      <c r="L1082"/>
    </row>
    <row r="1083" spans="5:12" s="5" customFormat="1" x14ac:dyDescent="0.2">
      <c r="E1083" s="4"/>
      <c r="G1083" s="4"/>
      <c r="H1083" s="149"/>
      <c r="K1083"/>
      <c r="L1083"/>
    </row>
    <row r="1084" spans="5:12" s="5" customFormat="1" x14ac:dyDescent="0.2">
      <c r="E1084" s="4"/>
      <c r="G1084" s="4"/>
      <c r="H1084" s="149"/>
      <c r="K1084"/>
      <c r="L1084"/>
    </row>
    <row r="1085" spans="5:12" s="5" customFormat="1" x14ac:dyDescent="0.2">
      <c r="E1085" s="4"/>
      <c r="G1085" s="4"/>
      <c r="H1085" s="149"/>
      <c r="K1085"/>
      <c r="L1085"/>
    </row>
    <row r="1086" spans="5:12" s="5" customFormat="1" x14ac:dyDescent="0.2">
      <c r="E1086" s="4"/>
      <c r="G1086" s="4"/>
      <c r="H1086" s="149"/>
      <c r="K1086"/>
      <c r="L1086"/>
    </row>
    <row r="1087" spans="5:12" s="5" customFormat="1" x14ac:dyDescent="0.2">
      <c r="E1087" s="4"/>
      <c r="G1087" s="4"/>
      <c r="H1087" s="149"/>
      <c r="K1087"/>
      <c r="L1087"/>
    </row>
    <row r="1088" spans="5:12" s="5" customFormat="1" x14ac:dyDescent="0.2">
      <c r="E1088" s="4"/>
      <c r="G1088" s="4"/>
      <c r="H1088" s="149"/>
      <c r="K1088"/>
      <c r="L1088"/>
    </row>
    <row r="1089" spans="5:12" s="5" customFormat="1" x14ac:dyDescent="0.2">
      <c r="E1089" s="4"/>
      <c r="G1089" s="4"/>
      <c r="H1089" s="149"/>
      <c r="K1089"/>
      <c r="L1089"/>
    </row>
    <row r="1090" spans="5:12" s="5" customFormat="1" x14ac:dyDescent="0.2">
      <c r="E1090" s="4"/>
      <c r="G1090" s="4"/>
      <c r="H1090" s="149"/>
      <c r="K1090"/>
      <c r="L1090"/>
    </row>
    <row r="1091" spans="5:12" s="5" customFormat="1" x14ac:dyDescent="0.2">
      <c r="E1091" s="4"/>
      <c r="G1091" s="4"/>
      <c r="H1091" s="149"/>
      <c r="K1091"/>
      <c r="L1091"/>
    </row>
    <row r="1092" spans="5:12" s="5" customFormat="1" x14ac:dyDescent="0.2">
      <c r="E1092" s="4"/>
      <c r="G1092" s="4"/>
      <c r="H1092" s="149"/>
      <c r="K1092"/>
      <c r="L1092"/>
    </row>
    <row r="1093" spans="5:12" s="5" customFormat="1" x14ac:dyDescent="0.2">
      <c r="E1093" s="4"/>
      <c r="G1093" s="4"/>
      <c r="H1093" s="149"/>
      <c r="K1093"/>
      <c r="L1093"/>
    </row>
    <row r="1094" spans="5:12" s="5" customFormat="1" x14ac:dyDescent="0.2">
      <c r="E1094" s="4"/>
      <c r="G1094" s="4"/>
      <c r="H1094" s="149"/>
      <c r="K1094"/>
      <c r="L1094"/>
    </row>
    <row r="1095" spans="5:12" s="5" customFormat="1" x14ac:dyDescent="0.2">
      <c r="E1095" s="4"/>
      <c r="G1095" s="4"/>
      <c r="H1095" s="149"/>
      <c r="K1095"/>
      <c r="L1095"/>
    </row>
    <row r="1096" spans="5:12" s="5" customFormat="1" x14ac:dyDescent="0.2">
      <c r="E1096" s="4"/>
      <c r="G1096" s="4"/>
      <c r="H1096" s="149"/>
      <c r="K1096"/>
      <c r="L1096"/>
    </row>
    <row r="1097" spans="5:12" s="5" customFormat="1" x14ac:dyDescent="0.2">
      <c r="E1097" s="4"/>
      <c r="G1097" s="4"/>
      <c r="H1097" s="149"/>
      <c r="K1097"/>
      <c r="L1097"/>
    </row>
    <row r="1098" spans="5:12" s="5" customFormat="1" x14ac:dyDescent="0.2">
      <c r="E1098" s="4"/>
      <c r="G1098" s="4"/>
      <c r="H1098" s="149"/>
      <c r="K1098"/>
      <c r="L1098"/>
    </row>
    <row r="1099" spans="5:12" s="5" customFormat="1" x14ac:dyDescent="0.2">
      <c r="E1099" s="4"/>
      <c r="G1099" s="4"/>
      <c r="H1099" s="149"/>
      <c r="K1099"/>
      <c r="L1099"/>
    </row>
    <row r="1100" spans="5:12" s="5" customFormat="1" x14ac:dyDescent="0.2">
      <c r="E1100" s="4"/>
      <c r="G1100" s="4"/>
      <c r="H1100" s="149"/>
      <c r="K1100"/>
      <c r="L1100"/>
    </row>
    <row r="1101" spans="5:12" s="5" customFormat="1" x14ac:dyDescent="0.2">
      <c r="E1101" s="4"/>
      <c r="G1101" s="4"/>
      <c r="H1101" s="149"/>
      <c r="K1101"/>
      <c r="L1101"/>
    </row>
    <row r="1102" spans="5:12" s="5" customFormat="1" x14ac:dyDescent="0.2">
      <c r="E1102" s="4"/>
      <c r="G1102" s="4"/>
      <c r="H1102" s="149"/>
      <c r="K1102"/>
      <c r="L1102"/>
    </row>
    <row r="1103" spans="5:12" s="5" customFormat="1" x14ac:dyDescent="0.2">
      <c r="E1103" s="4"/>
      <c r="G1103" s="4"/>
      <c r="H1103" s="149"/>
      <c r="K1103"/>
      <c r="L1103"/>
    </row>
    <row r="1104" spans="5:12" s="5" customFormat="1" x14ac:dyDescent="0.2">
      <c r="E1104" s="4"/>
      <c r="G1104" s="4"/>
      <c r="H1104" s="149"/>
      <c r="K1104"/>
      <c r="L1104"/>
    </row>
    <row r="1105" spans="5:12" s="5" customFormat="1" x14ac:dyDescent="0.2">
      <c r="E1105" s="4"/>
      <c r="G1105" s="4"/>
      <c r="H1105" s="149"/>
      <c r="K1105"/>
      <c r="L1105"/>
    </row>
    <row r="1106" spans="5:12" s="5" customFormat="1" x14ac:dyDescent="0.2">
      <c r="E1106" s="4"/>
      <c r="G1106" s="4"/>
      <c r="H1106" s="149"/>
      <c r="K1106"/>
      <c r="L1106"/>
    </row>
    <row r="1107" spans="5:12" s="5" customFormat="1" x14ac:dyDescent="0.2">
      <c r="E1107" s="4"/>
      <c r="G1107" s="4"/>
      <c r="H1107" s="149"/>
      <c r="K1107"/>
      <c r="L1107"/>
    </row>
    <row r="1108" spans="5:12" s="5" customFormat="1" x14ac:dyDescent="0.2">
      <c r="E1108" s="4"/>
      <c r="G1108" s="4"/>
      <c r="H1108" s="149"/>
      <c r="K1108"/>
      <c r="L1108"/>
    </row>
    <row r="1109" spans="5:12" s="5" customFormat="1" x14ac:dyDescent="0.2">
      <c r="E1109" s="4"/>
      <c r="G1109" s="4"/>
      <c r="H1109" s="149"/>
      <c r="K1109"/>
      <c r="L1109"/>
    </row>
    <row r="1110" spans="5:12" s="5" customFormat="1" x14ac:dyDescent="0.2">
      <c r="E1110" s="4"/>
      <c r="G1110" s="4"/>
      <c r="H1110" s="149"/>
      <c r="K1110"/>
      <c r="L1110"/>
    </row>
    <row r="1111" spans="5:12" s="5" customFormat="1" x14ac:dyDescent="0.2">
      <c r="E1111" s="4"/>
      <c r="G1111" s="4"/>
      <c r="H1111" s="149"/>
      <c r="K1111"/>
      <c r="L1111"/>
    </row>
    <row r="1112" spans="5:12" s="5" customFormat="1" x14ac:dyDescent="0.2">
      <c r="E1112" s="4"/>
      <c r="G1112" s="4"/>
      <c r="H1112" s="149"/>
      <c r="K1112"/>
      <c r="L1112"/>
    </row>
    <row r="1113" spans="5:12" s="5" customFormat="1" x14ac:dyDescent="0.2">
      <c r="E1113" s="4"/>
      <c r="G1113" s="4"/>
      <c r="H1113" s="149"/>
      <c r="K1113"/>
      <c r="L1113"/>
    </row>
    <row r="1114" spans="5:12" s="5" customFormat="1" x14ac:dyDescent="0.2">
      <c r="E1114" s="4"/>
      <c r="G1114" s="4"/>
      <c r="H1114" s="149"/>
      <c r="K1114"/>
      <c r="L1114"/>
    </row>
    <row r="1115" spans="5:12" s="5" customFormat="1" x14ac:dyDescent="0.2">
      <c r="E1115" s="4"/>
      <c r="G1115" s="4"/>
      <c r="H1115" s="149"/>
      <c r="K1115"/>
      <c r="L1115"/>
    </row>
    <row r="1116" spans="5:12" s="5" customFormat="1" x14ac:dyDescent="0.2">
      <c r="E1116" s="4"/>
      <c r="G1116" s="4"/>
      <c r="H1116" s="149"/>
      <c r="K1116"/>
      <c r="L1116"/>
    </row>
    <row r="1117" spans="5:12" s="5" customFormat="1" x14ac:dyDescent="0.2">
      <c r="E1117" s="4"/>
      <c r="G1117" s="4"/>
      <c r="H1117" s="149"/>
      <c r="K1117"/>
      <c r="L1117"/>
    </row>
    <row r="1118" spans="5:12" s="5" customFormat="1" x14ac:dyDescent="0.2">
      <c r="E1118" s="4"/>
      <c r="G1118" s="4"/>
      <c r="H1118" s="149"/>
      <c r="K1118"/>
      <c r="L1118"/>
    </row>
    <row r="1119" spans="5:12" s="5" customFormat="1" x14ac:dyDescent="0.2">
      <c r="E1119" s="4"/>
      <c r="G1119" s="4"/>
      <c r="H1119" s="149"/>
      <c r="K1119"/>
      <c r="L1119"/>
    </row>
    <row r="1120" spans="5:12" s="5" customFormat="1" x14ac:dyDescent="0.2">
      <c r="E1120" s="4"/>
      <c r="G1120" s="4"/>
      <c r="H1120" s="149"/>
      <c r="K1120"/>
      <c r="L1120"/>
    </row>
    <row r="1121" spans="5:12" s="5" customFormat="1" x14ac:dyDescent="0.2">
      <c r="E1121" s="4"/>
      <c r="G1121" s="4"/>
      <c r="H1121" s="149"/>
      <c r="K1121"/>
      <c r="L1121"/>
    </row>
    <row r="1122" spans="5:12" s="5" customFormat="1" x14ac:dyDescent="0.2">
      <c r="E1122" s="4"/>
      <c r="G1122" s="4"/>
      <c r="H1122" s="149"/>
      <c r="K1122"/>
      <c r="L1122"/>
    </row>
    <row r="1123" spans="5:12" s="5" customFormat="1" x14ac:dyDescent="0.2">
      <c r="E1123" s="4"/>
      <c r="G1123" s="4"/>
      <c r="H1123" s="149"/>
      <c r="K1123"/>
      <c r="L1123"/>
    </row>
    <row r="1124" spans="5:12" s="5" customFormat="1" x14ac:dyDescent="0.2">
      <c r="E1124" s="4"/>
      <c r="G1124" s="4"/>
      <c r="H1124" s="149"/>
      <c r="K1124"/>
      <c r="L1124"/>
    </row>
    <row r="1125" spans="5:12" s="5" customFormat="1" x14ac:dyDescent="0.2">
      <c r="E1125" s="4"/>
      <c r="G1125" s="4"/>
      <c r="H1125" s="149"/>
      <c r="K1125"/>
      <c r="L1125"/>
    </row>
    <row r="1126" spans="5:12" s="5" customFormat="1" x14ac:dyDescent="0.2">
      <c r="E1126" s="4"/>
      <c r="G1126" s="4"/>
      <c r="H1126" s="149"/>
      <c r="K1126"/>
      <c r="L1126"/>
    </row>
    <row r="1127" spans="5:12" s="5" customFormat="1" x14ac:dyDescent="0.2">
      <c r="E1127" s="4"/>
      <c r="G1127" s="4"/>
      <c r="H1127" s="149"/>
      <c r="K1127"/>
      <c r="L1127"/>
    </row>
    <row r="1128" spans="5:12" s="5" customFormat="1" x14ac:dyDescent="0.2">
      <c r="E1128" s="4"/>
      <c r="G1128" s="4"/>
      <c r="H1128" s="149"/>
      <c r="K1128"/>
      <c r="L1128"/>
    </row>
    <row r="1129" spans="5:12" s="5" customFormat="1" x14ac:dyDescent="0.2">
      <c r="E1129" s="4"/>
      <c r="G1129" s="4"/>
      <c r="H1129" s="149"/>
      <c r="K1129"/>
      <c r="L1129"/>
    </row>
    <row r="1130" spans="5:12" s="5" customFormat="1" x14ac:dyDescent="0.2">
      <c r="E1130" s="4"/>
      <c r="G1130" s="4"/>
      <c r="H1130" s="149"/>
      <c r="K1130"/>
      <c r="L1130"/>
    </row>
    <row r="1131" spans="5:12" s="5" customFormat="1" x14ac:dyDescent="0.2">
      <c r="E1131" s="4"/>
      <c r="G1131" s="4"/>
      <c r="H1131" s="149"/>
      <c r="K1131"/>
      <c r="L1131"/>
    </row>
    <row r="1132" spans="5:12" s="5" customFormat="1" x14ac:dyDescent="0.2">
      <c r="E1132" s="4"/>
      <c r="G1132" s="4"/>
      <c r="H1132" s="149"/>
      <c r="K1132"/>
      <c r="L1132"/>
    </row>
    <row r="1133" spans="5:12" s="5" customFormat="1" x14ac:dyDescent="0.2">
      <c r="E1133" s="4"/>
      <c r="G1133" s="4"/>
      <c r="H1133" s="149"/>
      <c r="K1133"/>
      <c r="L1133"/>
    </row>
    <row r="1134" spans="5:12" s="5" customFormat="1" x14ac:dyDescent="0.2">
      <c r="E1134" s="4"/>
      <c r="G1134" s="4"/>
      <c r="H1134" s="149"/>
      <c r="K1134"/>
      <c r="L1134"/>
    </row>
    <row r="1135" spans="5:12" s="5" customFormat="1" x14ac:dyDescent="0.2">
      <c r="E1135" s="4"/>
      <c r="G1135" s="4"/>
      <c r="H1135" s="149"/>
      <c r="K1135"/>
      <c r="L1135"/>
    </row>
    <row r="1136" spans="5:12" s="5" customFormat="1" x14ac:dyDescent="0.2">
      <c r="E1136" s="4"/>
      <c r="G1136" s="4"/>
      <c r="H1136" s="149"/>
      <c r="K1136"/>
      <c r="L1136"/>
    </row>
    <row r="1137" spans="5:12" s="5" customFormat="1" x14ac:dyDescent="0.2">
      <c r="E1137" s="4"/>
      <c r="G1137" s="4"/>
      <c r="H1137" s="149"/>
      <c r="K1137"/>
      <c r="L1137"/>
    </row>
    <row r="1138" spans="5:12" s="5" customFormat="1" x14ac:dyDescent="0.2">
      <c r="E1138" s="4"/>
      <c r="G1138" s="4"/>
      <c r="H1138" s="149"/>
      <c r="K1138"/>
      <c r="L1138"/>
    </row>
    <row r="1139" spans="5:12" s="5" customFormat="1" x14ac:dyDescent="0.2">
      <c r="E1139" s="4"/>
      <c r="G1139" s="4"/>
      <c r="H1139" s="149"/>
      <c r="K1139"/>
      <c r="L1139"/>
    </row>
    <row r="1140" spans="5:12" s="5" customFormat="1" x14ac:dyDescent="0.2">
      <c r="E1140" s="4"/>
      <c r="G1140" s="4"/>
      <c r="H1140" s="149"/>
      <c r="K1140"/>
      <c r="L1140"/>
    </row>
    <row r="1141" spans="5:12" s="5" customFormat="1" x14ac:dyDescent="0.2">
      <c r="E1141" s="4"/>
      <c r="G1141" s="4"/>
      <c r="H1141" s="149"/>
      <c r="K1141"/>
      <c r="L1141"/>
    </row>
    <row r="1142" spans="5:12" s="5" customFormat="1" x14ac:dyDescent="0.2">
      <c r="E1142" s="4"/>
      <c r="G1142" s="4"/>
      <c r="H1142" s="149"/>
      <c r="K1142"/>
      <c r="L1142"/>
    </row>
    <row r="1143" spans="5:12" s="5" customFormat="1" x14ac:dyDescent="0.2">
      <c r="E1143" s="4"/>
      <c r="G1143" s="4"/>
      <c r="H1143" s="149"/>
      <c r="K1143"/>
      <c r="L1143"/>
    </row>
    <row r="1144" spans="5:12" s="5" customFormat="1" x14ac:dyDescent="0.2">
      <c r="E1144" s="4"/>
      <c r="G1144" s="4"/>
      <c r="H1144" s="149"/>
      <c r="K1144"/>
      <c r="L1144"/>
    </row>
    <row r="1145" spans="5:12" s="5" customFormat="1" x14ac:dyDescent="0.2">
      <c r="E1145" s="4"/>
      <c r="G1145" s="4"/>
      <c r="H1145" s="149"/>
      <c r="K1145"/>
      <c r="L1145"/>
    </row>
    <row r="1146" spans="5:12" s="5" customFormat="1" x14ac:dyDescent="0.2">
      <c r="E1146" s="4"/>
      <c r="G1146" s="4"/>
      <c r="H1146" s="149"/>
      <c r="K1146"/>
      <c r="L1146"/>
    </row>
    <row r="1147" spans="5:12" s="5" customFormat="1" x14ac:dyDescent="0.2">
      <c r="E1147" s="4"/>
      <c r="G1147" s="4"/>
      <c r="H1147" s="149"/>
      <c r="K1147"/>
      <c r="L1147"/>
    </row>
    <row r="1148" spans="5:12" s="5" customFormat="1" x14ac:dyDescent="0.2">
      <c r="E1148" s="4"/>
      <c r="G1148" s="4"/>
      <c r="H1148" s="149"/>
      <c r="K1148"/>
      <c r="L1148"/>
    </row>
    <row r="1149" spans="5:12" s="5" customFormat="1" x14ac:dyDescent="0.2">
      <c r="E1149" s="4"/>
      <c r="G1149" s="4"/>
      <c r="H1149" s="149"/>
      <c r="K1149"/>
      <c r="L1149"/>
    </row>
    <row r="1150" spans="5:12" s="5" customFormat="1" x14ac:dyDescent="0.2">
      <c r="E1150" s="4"/>
      <c r="G1150" s="4"/>
      <c r="H1150" s="149"/>
      <c r="K1150"/>
      <c r="L1150"/>
    </row>
    <row r="1151" spans="5:12" s="5" customFormat="1" x14ac:dyDescent="0.2">
      <c r="E1151" s="4"/>
      <c r="G1151" s="4"/>
      <c r="H1151" s="149"/>
      <c r="K1151"/>
      <c r="L1151"/>
    </row>
    <row r="1152" spans="5:12" s="5" customFormat="1" x14ac:dyDescent="0.2">
      <c r="E1152" s="4"/>
      <c r="G1152" s="4"/>
      <c r="H1152" s="149"/>
      <c r="K1152"/>
      <c r="L1152"/>
    </row>
    <row r="1153" spans="5:12" s="5" customFormat="1" x14ac:dyDescent="0.2">
      <c r="E1153" s="4"/>
      <c r="G1153" s="4"/>
      <c r="H1153" s="149"/>
      <c r="K1153"/>
      <c r="L1153"/>
    </row>
    <row r="1154" spans="5:12" s="5" customFormat="1" x14ac:dyDescent="0.2">
      <c r="E1154" s="4"/>
      <c r="G1154" s="4"/>
      <c r="H1154" s="149"/>
      <c r="K1154"/>
      <c r="L1154"/>
    </row>
    <row r="1155" spans="5:12" s="5" customFormat="1" x14ac:dyDescent="0.2">
      <c r="E1155" s="4"/>
      <c r="G1155" s="4"/>
      <c r="H1155" s="149"/>
      <c r="K1155"/>
      <c r="L1155"/>
    </row>
    <row r="1156" spans="5:12" s="5" customFormat="1" x14ac:dyDescent="0.2">
      <c r="E1156" s="4"/>
      <c r="G1156" s="4"/>
      <c r="H1156" s="149"/>
      <c r="K1156"/>
      <c r="L1156"/>
    </row>
    <row r="1157" spans="5:12" s="5" customFormat="1" x14ac:dyDescent="0.2">
      <c r="E1157" s="4"/>
      <c r="G1157" s="4"/>
      <c r="H1157" s="149"/>
      <c r="K1157"/>
      <c r="L1157"/>
    </row>
    <row r="1158" spans="5:12" s="5" customFormat="1" x14ac:dyDescent="0.2">
      <c r="E1158" s="4"/>
      <c r="G1158" s="4"/>
      <c r="H1158" s="149"/>
      <c r="K1158"/>
      <c r="L1158"/>
    </row>
    <row r="1159" spans="5:12" s="5" customFormat="1" x14ac:dyDescent="0.2">
      <c r="E1159" s="4"/>
      <c r="G1159" s="4"/>
      <c r="H1159" s="149"/>
      <c r="K1159"/>
      <c r="L1159"/>
    </row>
    <row r="1160" spans="5:12" s="5" customFormat="1" x14ac:dyDescent="0.2">
      <c r="E1160" s="4"/>
      <c r="G1160" s="4"/>
      <c r="H1160" s="149"/>
      <c r="K1160"/>
      <c r="L1160"/>
    </row>
    <row r="1161" spans="5:12" s="5" customFormat="1" x14ac:dyDescent="0.2">
      <c r="E1161" s="4"/>
      <c r="G1161" s="4"/>
      <c r="H1161" s="149"/>
      <c r="K1161"/>
      <c r="L1161"/>
    </row>
    <row r="1162" spans="5:12" s="5" customFormat="1" x14ac:dyDescent="0.2">
      <c r="E1162" s="4"/>
      <c r="G1162" s="4"/>
      <c r="H1162" s="149"/>
      <c r="K1162"/>
      <c r="L1162"/>
    </row>
    <row r="1163" spans="5:12" s="5" customFormat="1" x14ac:dyDescent="0.2">
      <c r="E1163" s="4"/>
      <c r="G1163" s="4"/>
      <c r="H1163" s="149"/>
      <c r="K1163"/>
      <c r="L1163"/>
    </row>
    <row r="1164" spans="5:12" s="5" customFormat="1" x14ac:dyDescent="0.2">
      <c r="E1164" s="4"/>
      <c r="G1164" s="4"/>
      <c r="H1164" s="149"/>
      <c r="K1164"/>
      <c r="L1164"/>
    </row>
    <row r="1165" spans="5:12" s="5" customFormat="1" x14ac:dyDescent="0.2">
      <c r="E1165" s="4"/>
      <c r="G1165" s="4"/>
      <c r="H1165" s="149"/>
      <c r="K1165"/>
      <c r="L1165"/>
    </row>
    <row r="1166" spans="5:12" s="5" customFormat="1" x14ac:dyDescent="0.2">
      <c r="E1166" s="4"/>
      <c r="G1166" s="4"/>
      <c r="H1166" s="149"/>
      <c r="K1166"/>
      <c r="L1166"/>
    </row>
    <row r="1167" spans="5:12" s="5" customFormat="1" x14ac:dyDescent="0.2">
      <c r="E1167" s="4"/>
      <c r="G1167" s="4"/>
      <c r="H1167" s="149"/>
      <c r="K1167"/>
      <c r="L1167"/>
    </row>
    <row r="1168" spans="5:12" s="5" customFormat="1" x14ac:dyDescent="0.2">
      <c r="E1168" s="4"/>
      <c r="G1168" s="4"/>
      <c r="H1168" s="149"/>
      <c r="K1168"/>
      <c r="L1168"/>
    </row>
    <row r="1169" spans="5:12" s="5" customFormat="1" x14ac:dyDescent="0.2">
      <c r="E1169" s="4"/>
      <c r="G1169" s="4"/>
      <c r="H1169" s="149"/>
      <c r="K1169"/>
      <c r="L1169"/>
    </row>
    <row r="1170" spans="5:12" s="5" customFormat="1" x14ac:dyDescent="0.2">
      <c r="E1170" s="4"/>
      <c r="G1170" s="4"/>
      <c r="H1170" s="149"/>
      <c r="K1170"/>
      <c r="L1170"/>
    </row>
    <row r="1171" spans="5:12" s="5" customFormat="1" x14ac:dyDescent="0.2">
      <c r="E1171" s="4"/>
      <c r="G1171" s="4"/>
      <c r="H1171" s="149"/>
      <c r="K1171"/>
      <c r="L1171"/>
    </row>
    <row r="1172" spans="5:12" s="5" customFormat="1" x14ac:dyDescent="0.2">
      <c r="E1172" s="4"/>
      <c r="G1172" s="4"/>
      <c r="H1172" s="149"/>
      <c r="K1172"/>
      <c r="L1172"/>
    </row>
    <row r="1173" spans="5:12" s="5" customFormat="1" x14ac:dyDescent="0.2">
      <c r="E1173" s="4"/>
      <c r="G1173" s="4"/>
      <c r="H1173" s="149"/>
      <c r="K1173"/>
      <c r="L1173"/>
    </row>
    <row r="1174" spans="5:12" s="5" customFormat="1" x14ac:dyDescent="0.2">
      <c r="E1174" s="4"/>
      <c r="G1174" s="4"/>
      <c r="H1174" s="149"/>
      <c r="K1174"/>
      <c r="L1174"/>
    </row>
    <row r="1175" spans="5:12" s="5" customFormat="1" x14ac:dyDescent="0.2">
      <c r="E1175" s="4"/>
      <c r="G1175" s="4"/>
      <c r="H1175" s="149"/>
      <c r="K1175"/>
      <c r="L1175"/>
    </row>
    <row r="1176" spans="5:12" s="5" customFormat="1" x14ac:dyDescent="0.2">
      <c r="E1176" s="4"/>
      <c r="G1176" s="4"/>
      <c r="H1176" s="149"/>
      <c r="K1176"/>
      <c r="L1176"/>
    </row>
    <row r="1177" spans="5:12" s="5" customFormat="1" x14ac:dyDescent="0.2">
      <c r="E1177" s="4"/>
      <c r="G1177" s="4"/>
      <c r="H1177" s="149"/>
      <c r="K1177"/>
      <c r="L1177"/>
    </row>
    <row r="1178" spans="5:12" s="5" customFormat="1" x14ac:dyDescent="0.2">
      <c r="E1178" s="4"/>
      <c r="G1178" s="4"/>
      <c r="H1178" s="149"/>
      <c r="K1178"/>
      <c r="L1178"/>
    </row>
    <row r="1179" spans="5:12" s="5" customFormat="1" x14ac:dyDescent="0.2">
      <c r="E1179" s="4"/>
      <c r="G1179" s="4"/>
      <c r="H1179" s="149"/>
      <c r="K1179"/>
      <c r="L1179"/>
    </row>
    <row r="1180" spans="5:12" s="5" customFormat="1" x14ac:dyDescent="0.2">
      <c r="E1180" s="4"/>
      <c r="G1180" s="4"/>
      <c r="H1180" s="149"/>
      <c r="K1180"/>
      <c r="L1180"/>
    </row>
    <row r="1181" spans="5:12" s="5" customFormat="1" x14ac:dyDescent="0.2">
      <c r="E1181" s="4"/>
      <c r="G1181" s="4"/>
      <c r="H1181" s="149"/>
      <c r="K1181"/>
      <c r="L1181"/>
    </row>
    <row r="1182" spans="5:12" s="5" customFormat="1" x14ac:dyDescent="0.2">
      <c r="E1182" s="4"/>
      <c r="G1182" s="4"/>
      <c r="H1182" s="149"/>
      <c r="K1182"/>
      <c r="L1182"/>
    </row>
    <row r="1183" spans="5:12" s="5" customFormat="1" x14ac:dyDescent="0.2">
      <c r="E1183" s="4"/>
      <c r="G1183" s="4"/>
      <c r="H1183" s="149"/>
      <c r="K1183"/>
      <c r="L1183"/>
    </row>
    <row r="1184" spans="5:12" s="5" customFormat="1" x14ac:dyDescent="0.2">
      <c r="E1184" s="4"/>
      <c r="G1184" s="4"/>
      <c r="H1184" s="149"/>
      <c r="K1184"/>
      <c r="L1184"/>
    </row>
    <row r="1185" spans="5:12" s="5" customFormat="1" x14ac:dyDescent="0.2">
      <c r="E1185" s="4"/>
      <c r="G1185" s="4"/>
      <c r="H1185" s="149"/>
      <c r="K1185"/>
      <c r="L1185"/>
    </row>
    <row r="1186" spans="5:12" s="5" customFormat="1" x14ac:dyDescent="0.2">
      <c r="E1186" s="4"/>
      <c r="G1186" s="4"/>
      <c r="H1186" s="149"/>
      <c r="K1186"/>
      <c r="L1186"/>
    </row>
    <row r="1187" spans="5:12" s="5" customFormat="1" x14ac:dyDescent="0.2">
      <c r="E1187" s="4"/>
      <c r="G1187" s="4"/>
      <c r="H1187" s="149"/>
      <c r="K1187"/>
      <c r="L1187"/>
    </row>
    <row r="1188" spans="5:12" s="5" customFormat="1" x14ac:dyDescent="0.2">
      <c r="E1188" s="4"/>
      <c r="G1188" s="4"/>
      <c r="H1188" s="149"/>
      <c r="K1188"/>
      <c r="L1188"/>
    </row>
    <row r="1189" spans="5:12" s="5" customFormat="1" x14ac:dyDescent="0.2">
      <c r="E1189" s="4"/>
      <c r="G1189" s="4"/>
      <c r="H1189" s="149"/>
      <c r="K1189"/>
      <c r="L1189"/>
    </row>
    <row r="1190" spans="5:12" s="5" customFormat="1" x14ac:dyDescent="0.2">
      <c r="E1190" s="4"/>
      <c r="G1190" s="4"/>
      <c r="H1190" s="149"/>
      <c r="K1190"/>
      <c r="L1190"/>
    </row>
    <row r="1191" spans="5:12" s="5" customFormat="1" x14ac:dyDescent="0.2">
      <c r="E1191" s="4"/>
      <c r="G1191" s="4"/>
      <c r="H1191" s="149"/>
      <c r="K1191"/>
      <c r="L1191"/>
    </row>
    <row r="1192" spans="5:12" s="5" customFormat="1" x14ac:dyDescent="0.2">
      <c r="E1192" s="4"/>
      <c r="G1192" s="4"/>
      <c r="H1192" s="149"/>
      <c r="K1192"/>
      <c r="L1192"/>
    </row>
    <row r="1193" spans="5:12" s="5" customFormat="1" x14ac:dyDescent="0.2">
      <c r="E1193" s="4"/>
      <c r="G1193" s="4"/>
      <c r="H1193" s="149"/>
      <c r="K1193"/>
      <c r="L1193"/>
    </row>
    <row r="1194" spans="5:12" s="5" customFormat="1" x14ac:dyDescent="0.2">
      <c r="E1194" s="4"/>
      <c r="G1194" s="4"/>
      <c r="H1194" s="149"/>
      <c r="K1194"/>
      <c r="L1194"/>
    </row>
    <row r="1195" spans="5:12" s="5" customFormat="1" x14ac:dyDescent="0.2">
      <c r="E1195" s="4"/>
      <c r="G1195" s="4"/>
      <c r="H1195" s="149"/>
      <c r="K1195"/>
      <c r="L1195"/>
    </row>
    <row r="1196" spans="5:12" s="5" customFormat="1" x14ac:dyDescent="0.2">
      <c r="E1196" s="4"/>
      <c r="G1196" s="4"/>
      <c r="H1196" s="149"/>
      <c r="K1196"/>
      <c r="L1196"/>
    </row>
    <row r="1197" spans="5:12" s="5" customFormat="1" x14ac:dyDescent="0.2">
      <c r="E1197" s="4"/>
      <c r="G1197" s="4"/>
      <c r="H1197" s="149"/>
      <c r="K1197"/>
      <c r="L1197"/>
    </row>
    <row r="1198" spans="5:12" s="5" customFormat="1" x14ac:dyDescent="0.2">
      <c r="E1198" s="4"/>
      <c r="G1198" s="4"/>
      <c r="H1198" s="149"/>
      <c r="K1198"/>
      <c r="L1198"/>
    </row>
    <row r="1199" spans="5:12" s="5" customFormat="1" x14ac:dyDescent="0.2">
      <c r="E1199" s="4"/>
      <c r="G1199" s="4"/>
      <c r="H1199" s="149"/>
      <c r="K1199"/>
      <c r="L1199"/>
    </row>
    <row r="1200" spans="5:12" s="5" customFormat="1" x14ac:dyDescent="0.2">
      <c r="E1200" s="4"/>
      <c r="G1200" s="4"/>
      <c r="H1200" s="149"/>
      <c r="K1200"/>
      <c r="L1200"/>
    </row>
    <row r="1201" spans="5:12" s="5" customFormat="1" x14ac:dyDescent="0.2">
      <c r="E1201" s="4"/>
      <c r="G1201" s="4"/>
      <c r="H1201" s="149"/>
      <c r="K1201"/>
      <c r="L1201"/>
    </row>
    <row r="1202" spans="5:12" s="5" customFormat="1" x14ac:dyDescent="0.2">
      <c r="E1202" s="4"/>
      <c r="G1202" s="4"/>
      <c r="H1202" s="149"/>
      <c r="K1202"/>
      <c r="L1202"/>
    </row>
    <row r="1203" spans="5:12" s="5" customFormat="1" x14ac:dyDescent="0.2">
      <c r="E1203" s="4"/>
      <c r="G1203" s="4"/>
      <c r="H1203" s="149"/>
      <c r="K1203"/>
      <c r="L1203"/>
    </row>
    <row r="1204" spans="5:12" s="5" customFormat="1" x14ac:dyDescent="0.2">
      <c r="E1204" s="4"/>
      <c r="G1204" s="4"/>
      <c r="H1204" s="149"/>
      <c r="K1204"/>
      <c r="L1204"/>
    </row>
    <row r="1205" spans="5:12" s="5" customFormat="1" x14ac:dyDescent="0.2">
      <c r="E1205" s="4"/>
      <c r="G1205" s="4"/>
      <c r="H1205" s="149"/>
      <c r="K1205"/>
      <c r="L1205"/>
    </row>
    <row r="1206" spans="5:12" s="5" customFormat="1" x14ac:dyDescent="0.2">
      <c r="E1206" s="4"/>
      <c r="G1206" s="4"/>
      <c r="H1206" s="149"/>
      <c r="K1206"/>
      <c r="L1206"/>
    </row>
    <row r="1207" spans="5:12" s="5" customFormat="1" x14ac:dyDescent="0.2">
      <c r="E1207" s="4"/>
      <c r="G1207" s="4"/>
      <c r="H1207" s="149"/>
      <c r="K1207"/>
      <c r="L1207"/>
    </row>
    <row r="1208" spans="5:12" s="5" customFormat="1" x14ac:dyDescent="0.2">
      <c r="E1208" s="4"/>
      <c r="G1208" s="4"/>
      <c r="H1208" s="149"/>
      <c r="K1208"/>
      <c r="L1208"/>
    </row>
    <row r="1209" spans="5:12" s="5" customFormat="1" x14ac:dyDescent="0.2">
      <c r="E1209" s="4"/>
      <c r="G1209" s="4"/>
      <c r="H1209" s="149"/>
      <c r="K1209"/>
      <c r="L1209"/>
    </row>
    <row r="1210" spans="5:12" s="5" customFormat="1" x14ac:dyDescent="0.2">
      <c r="E1210" s="4"/>
      <c r="G1210" s="4"/>
      <c r="H1210" s="149"/>
      <c r="K1210"/>
      <c r="L1210"/>
    </row>
    <row r="1211" spans="5:12" s="5" customFormat="1" x14ac:dyDescent="0.2">
      <c r="E1211" s="4"/>
      <c r="G1211" s="4"/>
      <c r="H1211" s="149"/>
      <c r="K1211"/>
      <c r="L1211"/>
    </row>
    <row r="1212" spans="5:12" s="5" customFormat="1" x14ac:dyDescent="0.2">
      <c r="E1212" s="4"/>
      <c r="G1212" s="4"/>
      <c r="H1212" s="149"/>
      <c r="K1212"/>
      <c r="L1212"/>
    </row>
    <row r="1213" spans="5:12" s="5" customFormat="1" x14ac:dyDescent="0.2">
      <c r="E1213" s="4"/>
      <c r="G1213" s="4"/>
      <c r="H1213" s="149"/>
      <c r="K1213"/>
      <c r="L1213"/>
    </row>
    <row r="1214" spans="5:12" s="5" customFormat="1" x14ac:dyDescent="0.2">
      <c r="E1214" s="4"/>
      <c r="G1214" s="4"/>
      <c r="H1214" s="149"/>
      <c r="K1214"/>
      <c r="L1214"/>
    </row>
    <row r="1215" spans="5:12" s="5" customFormat="1" x14ac:dyDescent="0.2">
      <c r="E1215" s="4"/>
      <c r="G1215" s="4"/>
      <c r="H1215" s="149"/>
      <c r="K1215"/>
      <c r="L1215"/>
    </row>
    <row r="1216" spans="5:12" s="5" customFormat="1" x14ac:dyDescent="0.2">
      <c r="E1216" s="4"/>
      <c r="G1216" s="4"/>
      <c r="H1216" s="149"/>
      <c r="K1216"/>
      <c r="L1216"/>
    </row>
    <row r="1217" spans="5:12" s="5" customFormat="1" x14ac:dyDescent="0.2">
      <c r="E1217" s="4"/>
      <c r="G1217" s="4"/>
      <c r="H1217" s="149"/>
      <c r="K1217"/>
      <c r="L1217"/>
    </row>
    <row r="1218" spans="5:12" s="5" customFormat="1" x14ac:dyDescent="0.2">
      <c r="E1218" s="4"/>
      <c r="G1218" s="4"/>
      <c r="H1218" s="149"/>
      <c r="K1218"/>
      <c r="L1218"/>
    </row>
    <row r="1219" spans="5:12" s="5" customFormat="1" x14ac:dyDescent="0.2">
      <c r="E1219" s="4"/>
      <c r="G1219" s="4"/>
      <c r="H1219" s="149"/>
      <c r="K1219"/>
      <c r="L1219"/>
    </row>
    <row r="1220" spans="5:12" s="5" customFormat="1" x14ac:dyDescent="0.2">
      <c r="E1220" s="4"/>
      <c r="G1220" s="4"/>
      <c r="H1220" s="149"/>
      <c r="K1220"/>
      <c r="L1220"/>
    </row>
    <row r="1221" spans="5:12" s="5" customFormat="1" x14ac:dyDescent="0.2">
      <c r="E1221" s="4"/>
      <c r="G1221" s="4"/>
      <c r="H1221" s="149"/>
      <c r="K1221"/>
      <c r="L1221"/>
    </row>
    <row r="1222" spans="5:12" s="5" customFormat="1" x14ac:dyDescent="0.2">
      <c r="E1222" s="4"/>
      <c r="G1222" s="4"/>
      <c r="H1222" s="149"/>
      <c r="K1222"/>
      <c r="L1222"/>
    </row>
    <row r="1223" spans="5:12" s="5" customFormat="1" x14ac:dyDescent="0.2">
      <c r="E1223" s="4"/>
      <c r="G1223" s="4"/>
      <c r="H1223" s="149"/>
      <c r="K1223"/>
      <c r="L1223"/>
    </row>
    <row r="1224" spans="5:12" s="5" customFormat="1" x14ac:dyDescent="0.2">
      <c r="E1224" s="4"/>
      <c r="G1224" s="4"/>
      <c r="H1224" s="149"/>
      <c r="K1224"/>
      <c r="L1224"/>
    </row>
    <row r="1225" spans="5:12" s="5" customFormat="1" x14ac:dyDescent="0.2">
      <c r="E1225" s="4"/>
      <c r="G1225" s="4"/>
      <c r="H1225" s="149"/>
      <c r="K1225"/>
      <c r="L1225"/>
    </row>
    <row r="1226" spans="5:12" s="5" customFormat="1" x14ac:dyDescent="0.2">
      <c r="E1226" s="4"/>
      <c r="G1226" s="4"/>
      <c r="H1226" s="149"/>
      <c r="K1226"/>
      <c r="L1226"/>
    </row>
    <row r="1227" spans="5:12" s="5" customFormat="1" x14ac:dyDescent="0.2">
      <c r="E1227" s="4"/>
      <c r="G1227" s="4"/>
      <c r="H1227" s="149"/>
      <c r="K1227"/>
      <c r="L1227"/>
    </row>
    <row r="1228" spans="5:12" s="5" customFormat="1" x14ac:dyDescent="0.2">
      <c r="E1228" s="4"/>
      <c r="G1228" s="4"/>
      <c r="H1228" s="149"/>
      <c r="K1228"/>
      <c r="L1228"/>
    </row>
    <row r="1229" spans="5:12" s="5" customFormat="1" x14ac:dyDescent="0.2">
      <c r="E1229" s="4"/>
      <c r="G1229" s="4"/>
      <c r="H1229" s="149"/>
      <c r="K1229"/>
      <c r="L1229"/>
    </row>
    <row r="1230" spans="5:12" s="5" customFormat="1" x14ac:dyDescent="0.2">
      <c r="E1230" s="4"/>
      <c r="G1230" s="4"/>
      <c r="H1230" s="149"/>
      <c r="K1230"/>
      <c r="L1230"/>
    </row>
    <row r="1231" spans="5:12" s="5" customFormat="1" x14ac:dyDescent="0.2">
      <c r="E1231" s="4"/>
      <c r="G1231" s="4"/>
      <c r="H1231" s="149"/>
      <c r="K1231"/>
      <c r="L1231"/>
    </row>
    <row r="1232" spans="5:12" s="5" customFormat="1" x14ac:dyDescent="0.2">
      <c r="E1232" s="4"/>
      <c r="G1232" s="4"/>
      <c r="H1232" s="149"/>
      <c r="K1232"/>
      <c r="L1232"/>
    </row>
    <row r="1233" spans="5:12" s="5" customFormat="1" x14ac:dyDescent="0.2">
      <c r="E1233" s="4"/>
      <c r="G1233" s="4"/>
      <c r="H1233" s="149"/>
      <c r="K1233"/>
      <c r="L1233"/>
    </row>
    <row r="1234" spans="5:12" s="5" customFormat="1" x14ac:dyDescent="0.2">
      <c r="E1234" s="4"/>
      <c r="G1234" s="4"/>
      <c r="H1234" s="149"/>
      <c r="K1234"/>
      <c r="L1234"/>
    </row>
    <row r="1235" spans="5:12" s="5" customFormat="1" x14ac:dyDescent="0.2">
      <c r="E1235" s="4"/>
      <c r="G1235" s="4"/>
      <c r="H1235" s="149"/>
      <c r="K1235"/>
      <c r="L1235"/>
    </row>
    <row r="1236" spans="5:12" s="5" customFormat="1" x14ac:dyDescent="0.2">
      <c r="E1236" s="4"/>
      <c r="G1236" s="4"/>
      <c r="H1236" s="149"/>
      <c r="K1236"/>
      <c r="L1236"/>
    </row>
    <row r="1237" spans="5:12" s="5" customFormat="1" x14ac:dyDescent="0.2">
      <c r="E1237" s="4"/>
      <c r="G1237" s="4"/>
      <c r="H1237" s="149"/>
      <c r="K1237"/>
      <c r="L1237"/>
    </row>
    <row r="1238" spans="5:12" s="5" customFormat="1" x14ac:dyDescent="0.2">
      <c r="E1238" s="4"/>
      <c r="G1238" s="4"/>
      <c r="H1238" s="149"/>
      <c r="K1238"/>
      <c r="L1238"/>
    </row>
    <row r="1239" spans="5:12" s="5" customFormat="1" x14ac:dyDescent="0.2">
      <c r="E1239" s="4"/>
      <c r="G1239" s="4"/>
      <c r="H1239" s="149"/>
      <c r="K1239"/>
      <c r="L1239"/>
    </row>
    <row r="1240" spans="5:12" s="5" customFormat="1" x14ac:dyDescent="0.2">
      <c r="E1240" s="4"/>
      <c r="G1240" s="4"/>
      <c r="H1240" s="149"/>
      <c r="K1240"/>
      <c r="L1240"/>
    </row>
    <row r="1241" spans="5:12" s="5" customFormat="1" x14ac:dyDescent="0.2">
      <c r="E1241" s="4"/>
      <c r="G1241" s="4"/>
      <c r="H1241" s="149"/>
      <c r="K1241"/>
      <c r="L1241"/>
    </row>
    <row r="1242" spans="5:12" s="5" customFormat="1" x14ac:dyDescent="0.2">
      <c r="E1242" s="4"/>
      <c r="G1242" s="4"/>
      <c r="H1242" s="149"/>
      <c r="K1242"/>
      <c r="L1242"/>
    </row>
    <row r="1243" spans="5:12" s="5" customFormat="1" x14ac:dyDescent="0.2">
      <c r="E1243" s="4"/>
      <c r="G1243" s="4"/>
      <c r="H1243" s="149"/>
      <c r="K1243"/>
      <c r="L1243"/>
    </row>
    <row r="1244" spans="5:12" s="5" customFormat="1" x14ac:dyDescent="0.2">
      <c r="E1244" s="4"/>
      <c r="G1244" s="4"/>
      <c r="H1244" s="149"/>
      <c r="K1244"/>
      <c r="L1244"/>
    </row>
    <row r="1245" spans="5:12" s="5" customFormat="1" x14ac:dyDescent="0.2">
      <c r="E1245" s="4"/>
      <c r="G1245" s="4"/>
      <c r="H1245" s="149"/>
      <c r="K1245"/>
      <c r="L1245"/>
    </row>
    <row r="1246" spans="5:12" s="5" customFormat="1" x14ac:dyDescent="0.2">
      <c r="E1246" s="4"/>
      <c r="G1246" s="4"/>
      <c r="H1246" s="149"/>
      <c r="K1246"/>
      <c r="L1246"/>
    </row>
    <row r="1247" spans="5:12" s="5" customFormat="1" x14ac:dyDescent="0.2">
      <c r="E1247" s="4"/>
      <c r="G1247" s="4"/>
      <c r="H1247" s="149"/>
      <c r="K1247"/>
      <c r="L1247"/>
    </row>
    <row r="1248" spans="5:12" s="5" customFormat="1" x14ac:dyDescent="0.2">
      <c r="E1248" s="4"/>
      <c r="G1248" s="4"/>
      <c r="H1248" s="149"/>
      <c r="K1248"/>
      <c r="L1248"/>
    </row>
    <row r="1249" spans="5:12" s="5" customFormat="1" x14ac:dyDescent="0.2">
      <c r="E1249" s="4"/>
      <c r="G1249" s="4"/>
      <c r="H1249" s="149"/>
      <c r="K1249"/>
      <c r="L1249"/>
    </row>
    <row r="1250" spans="5:12" s="5" customFormat="1" x14ac:dyDescent="0.2">
      <c r="E1250" s="4"/>
      <c r="G1250" s="4"/>
      <c r="H1250" s="149"/>
      <c r="K1250"/>
      <c r="L1250"/>
    </row>
    <row r="1251" spans="5:12" s="5" customFormat="1" x14ac:dyDescent="0.2">
      <c r="E1251" s="4"/>
      <c r="G1251" s="4"/>
      <c r="H1251" s="149"/>
      <c r="K1251"/>
      <c r="L1251"/>
    </row>
    <row r="1252" spans="5:12" s="5" customFormat="1" x14ac:dyDescent="0.2">
      <c r="E1252" s="4"/>
      <c r="G1252" s="4"/>
      <c r="H1252" s="149"/>
      <c r="K1252"/>
      <c r="L1252"/>
    </row>
    <row r="1253" spans="5:12" s="5" customFormat="1" x14ac:dyDescent="0.2">
      <c r="E1253" s="4"/>
      <c r="G1253" s="4"/>
      <c r="H1253" s="149"/>
      <c r="K1253"/>
      <c r="L1253"/>
    </row>
    <row r="1254" spans="5:12" s="5" customFormat="1" x14ac:dyDescent="0.2">
      <c r="E1254" s="4"/>
      <c r="G1254" s="4"/>
      <c r="H1254" s="149"/>
      <c r="K1254"/>
      <c r="L1254"/>
    </row>
    <row r="1255" spans="5:12" s="5" customFormat="1" x14ac:dyDescent="0.2">
      <c r="E1255" s="4"/>
      <c r="G1255" s="4"/>
      <c r="H1255" s="149"/>
      <c r="K1255"/>
      <c r="L1255"/>
    </row>
    <row r="1256" spans="5:12" s="5" customFormat="1" x14ac:dyDescent="0.2">
      <c r="E1256" s="4"/>
      <c r="G1256" s="4"/>
      <c r="H1256" s="149"/>
      <c r="K1256"/>
      <c r="L1256"/>
    </row>
    <row r="1257" spans="5:12" s="5" customFormat="1" x14ac:dyDescent="0.2">
      <c r="E1257" s="4"/>
      <c r="G1257" s="4"/>
      <c r="H1257" s="149"/>
      <c r="K1257"/>
      <c r="L1257"/>
    </row>
    <row r="1258" spans="5:12" s="5" customFormat="1" x14ac:dyDescent="0.2">
      <c r="E1258" s="4"/>
      <c r="G1258" s="4"/>
      <c r="H1258" s="149"/>
      <c r="K1258"/>
      <c r="L1258"/>
    </row>
    <row r="1259" spans="5:12" s="5" customFormat="1" x14ac:dyDescent="0.2">
      <c r="E1259" s="4"/>
      <c r="G1259" s="4"/>
      <c r="H1259" s="149"/>
      <c r="K1259"/>
      <c r="L1259"/>
    </row>
    <row r="1260" spans="5:12" s="5" customFormat="1" x14ac:dyDescent="0.2">
      <c r="E1260" s="4"/>
      <c r="G1260" s="4"/>
      <c r="H1260" s="149"/>
      <c r="K1260"/>
      <c r="L1260"/>
    </row>
    <row r="1261" spans="5:12" s="5" customFormat="1" x14ac:dyDescent="0.2">
      <c r="E1261" s="4"/>
      <c r="G1261" s="4"/>
      <c r="H1261" s="149"/>
      <c r="K1261"/>
      <c r="L1261"/>
    </row>
    <row r="1262" spans="5:12" s="5" customFormat="1" x14ac:dyDescent="0.2">
      <c r="E1262" s="4"/>
      <c r="G1262" s="4"/>
      <c r="H1262" s="149"/>
      <c r="K1262"/>
      <c r="L1262"/>
    </row>
    <row r="1263" spans="5:12" s="5" customFormat="1" x14ac:dyDescent="0.2">
      <c r="E1263" s="4"/>
      <c r="G1263" s="4"/>
      <c r="H1263" s="149"/>
      <c r="K1263"/>
      <c r="L1263"/>
    </row>
    <row r="1264" spans="5:12" s="5" customFormat="1" x14ac:dyDescent="0.2">
      <c r="E1264" s="4"/>
      <c r="G1264" s="4"/>
      <c r="H1264" s="149"/>
      <c r="K1264"/>
      <c r="L1264"/>
    </row>
    <row r="1265" spans="5:12" s="5" customFormat="1" x14ac:dyDescent="0.2">
      <c r="E1265" s="4"/>
      <c r="G1265" s="4"/>
      <c r="H1265" s="149"/>
      <c r="K1265"/>
      <c r="L1265"/>
    </row>
    <row r="1266" spans="5:12" s="5" customFormat="1" x14ac:dyDescent="0.2">
      <c r="E1266" s="4"/>
      <c r="G1266" s="4"/>
      <c r="H1266" s="149"/>
      <c r="K1266"/>
      <c r="L1266"/>
    </row>
    <row r="1267" spans="5:12" s="5" customFormat="1" x14ac:dyDescent="0.2">
      <c r="E1267" s="4"/>
      <c r="G1267" s="4"/>
      <c r="H1267" s="149"/>
      <c r="K1267"/>
      <c r="L1267"/>
    </row>
    <row r="1268" spans="5:12" s="5" customFormat="1" x14ac:dyDescent="0.2">
      <c r="E1268" s="4"/>
      <c r="G1268" s="4"/>
      <c r="H1268" s="149"/>
      <c r="K1268"/>
      <c r="L1268"/>
    </row>
    <row r="1269" spans="5:12" s="5" customFormat="1" x14ac:dyDescent="0.2">
      <c r="E1269" s="4"/>
      <c r="G1269" s="4"/>
      <c r="H1269" s="149"/>
      <c r="K1269"/>
      <c r="L1269"/>
    </row>
    <row r="1270" spans="5:12" s="5" customFormat="1" x14ac:dyDescent="0.2">
      <c r="E1270" s="4"/>
      <c r="G1270" s="4"/>
      <c r="H1270" s="149"/>
      <c r="K1270"/>
      <c r="L1270"/>
    </row>
    <row r="1271" spans="5:12" s="5" customFormat="1" x14ac:dyDescent="0.2">
      <c r="E1271" s="4"/>
      <c r="G1271" s="4"/>
      <c r="H1271" s="149"/>
      <c r="K1271"/>
      <c r="L1271"/>
    </row>
    <row r="1272" spans="5:12" s="5" customFormat="1" x14ac:dyDescent="0.2">
      <c r="E1272" s="4"/>
      <c r="G1272" s="4"/>
      <c r="H1272" s="149"/>
      <c r="K1272"/>
      <c r="L1272"/>
    </row>
    <row r="1273" spans="5:12" s="5" customFormat="1" x14ac:dyDescent="0.2">
      <c r="E1273" s="4"/>
      <c r="G1273" s="4"/>
      <c r="H1273" s="149"/>
      <c r="K1273"/>
      <c r="L1273"/>
    </row>
    <row r="1274" spans="5:12" s="5" customFormat="1" x14ac:dyDescent="0.2">
      <c r="E1274" s="4"/>
      <c r="G1274" s="4"/>
      <c r="H1274" s="149"/>
      <c r="K1274"/>
      <c r="L1274"/>
    </row>
    <row r="1275" spans="5:12" s="5" customFormat="1" x14ac:dyDescent="0.2">
      <c r="E1275" s="4"/>
      <c r="G1275" s="4"/>
      <c r="H1275" s="149"/>
      <c r="K1275"/>
      <c r="L1275"/>
    </row>
    <row r="1276" spans="5:12" s="5" customFormat="1" x14ac:dyDescent="0.2">
      <c r="E1276" s="4"/>
      <c r="G1276" s="4"/>
      <c r="H1276" s="149"/>
      <c r="K1276"/>
      <c r="L1276"/>
    </row>
    <row r="1277" spans="5:12" s="5" customFormat="1" x14ac:dyDescent="0.2">
      <c r="E1277" s="4"/>
      <c r="G1277" s="4"/>
      <c r="H1277" s="149"/>
      <c r="K1277"/>
      <c r="L1277"/>
    </row>
    <row r="1278" spans="5:12" s="5" customFormat="1" x14ac:dyDescent="0.2">
      <c r="E1278" s="4"/>
      <c r="G1278" s="4"/>
      <c r="H1278" s="149"/>
      <c r="K1278"/>
      <c r="L1278"/>
    </row>
    <row r="1279" spans="5:12" s="5" customFormat="1" x14ac:dyDescent="0.2">
      <c r="E1279" s="4"/>
      <c r="G1279" s="4"/>
      <c r="H1279" s="149"/>
      <c r="K1279"/>
      <c r="L1279"/>
    </row>
    <row r="1280" spans="5:12" s="5" customFormat="1" x14ac:dyDescent="0.2">
      <c r="E1280" s="4"/>
      <c r="G1280" s="4"/>
      <c r="H1280" s="149"/>
      <c r="K1280"/>
      <c r="L1280"/>
    </row>
    <row r="1281" spans="5:12" s="5" customFormat="1" x14ac:dyDescent="0.2">
      <c r="E1281" s="4"/>
      <c r="G1281" s="4"/>
      <c r="H1281" s="149"/>
      <c r="K1281"/>
      <c r="L1281"/>
    </row>
    <row r="1282" spans="5:12" s="5" customFormat="1" x14ac:dyDescent="0.2">
      <c r="E1282" s="4"/>
      <c r="G1282" s="4"/>
      <c r="H1282" s="149"/>
      <c r="K1282"/>
      <c r="L1282"/>
    </row>
    <row r="1283" spans="5:12" s="5" customFormat="1" x14ac:dyDescent="0.2">
      <c r="E1283" s="4"/>
      <c r="G1283" s="4"/>
      <c r="H1283" s="149"/>
      <c r="K1283"/>
      <c r="L1283"/>
    </row>
    <row r="1284" spans="5:12" s="5" customFormat="1" x14ac:dyDescent="0.2">
      <c r="E1284" s="4"/>
      <c r="G1284" s="4"/>
      <c r="H1284" s="149"/>
      <c r="K1284"/>
      <c r="L1284"/>
    </row>
    <row r="1285" spans="5:12" s="5" customFormat="1" x14ac:dyDescent="0.2">
      <c r="E1285" s="4"/>
      <c r="G1285" s="4"/>
      <c r="H1285" s="149"/>
      <c r="K1285"/>
      <c r="L1285"/>
    </row>
    <row r="1286" spans="5:12" s="5" customFormat="1" x14ac:dyDescent="0.2">
      <c r="E1286" s="4"/>
      <c r="G1286" s="4"/>
      <c r="H1286" s="149"/>
      <c r="K1286"/>
      <c r="L1286"/>
    </row>
    <row r="1287" spans="5:12" s="5" customFormat="1" x14ac:dyDescent="0.2">
      <c r="E1287" s="4"/>
      <c r="G1287" s="4"/>
      <c r="H1287" s="149"/>
      <c r="K1287"/>
      <c r="L1287"/>
    </row>
    <row r="1288" spans="5:12" s="5" customFormat="1" x14ac:dyDescent="0.2">
      <c r="E1288" s="4"/>
      <c r="G1288" s="4"/>
      <c r="H1288" s="149"/>
      <c r="K1288"/>
      <c r="L1288"/>
    </row>
    <row r="1289" spans="5:12" s="5" customFormat="1" x14ac:dyDescent="0.2">
      <c r="E1289" s="4"/>
      <c r="G1289" s="4"/>
      <c r="H1289" s="149"/>
      <c r="K1289"/>
      <c r="L1289"/>
    </row>
    <row r="1290" spans="5:12" s="5" customFormat="1" x14ac:dyDescent="0.2">
      <c r="E1290" s="4"/>
      <c r="G1290" s="4"/>
      <c r="H1290" s="149"/>
      <c r="K1290"/>
      <c r="L1290"/>
    </row>
    <row r="1291" spans="5:12" s="5" customFormat="1" x14ac:dyDescent="0.2">
      <c r="E1291" s="4"/>
      <c r="G1291" s="4"/>
      <c r="H1291" s="149"/>
      <c r="K1291"/>
      <c r="L1291"/>
    </row>
    <row r="1292" spans="5:12" s="5" customFormat="1" x14ac:dyDescent="0.2">
      <c r="E1292" s="4"/>
      <c r="G1292" s="4"/>
      <c r="H1292" s="149"/>
      <c r="K1292"/>
      <c r="L1292"/>
    </row>
    <row r="1293" spans="5:12" s="5" customFormat="1" x14ac:dyDescent="0.2">
      <c r="E1293" s="4"/>
      <c r="G1293" s="4"/>
      <c r="H1293" s="149"/>
      <c r="K1293"/>
      <c r="L1293"/>
    </row>
    <row r="1294" spans="5:12" s="5" customFormat="1" x14ac:dyDescent="0.2">
      <c r="E1294" s="4"/>
      <c r="G1294" s="4"/>
      <c r="H1294" s="149"/>
      <c r="K1294"/>
      <c r="L1294"/>
    </row>
    <row r="1295" spans="5:12" s="5" customFormat="1" x14ac:dyDescent="0.2">
      <c r="E1295" s="4"/>
      <c r="G1295" s="4"/>
      <c r="H1295" s="149"/>
      <c r="K1295"/>
      <c r="L1295"/>
    </row>
    <row r="1296" spans="5:12" s="5" customFormat="1" x14ac:dyDescent="0.2">
      <c r="E1296" s="4"/>
      <c r="G1296" s="4"/>
      <c r="H1296" s="149"/>
      <c r="K1296"/>
      <c r="L1296"/>
    </row>
    <row r="1297" spans="5:12" s="5" customFormat="1" x14ac:dyDescent="0.2">
      <c r="E1297" s="4"/>
      <c r="G1297" s="4"/>
      <c r="H1297" s="149"/>
      <c r="K1297"/>
      <c r="L1297"/>
    </row>
    <row r="1298" spans="5:12" s="5" customFormat="1" x14ac:dyDescent="0.2">
      <c r="E1298" s="4"/>
      <c r="G1298" s="4"/>
      <c r="H1298" s="149"/>
      <c r="K1298"/>
      <c r="L1298"/>
    </row>
    <row r="1299" spans="5:12" s="5" customFormat="1" x14ac:dyDescent="0.2">
      <c r="E1299" s="4"/>
      <c r="G1299" s="4"/>
      <c r="H1299" s="149"/>
      <c r="K1299"/>
      <c r="L1299"/>
    </row>
    <row r="1300" spans="5:12" s="5" customFormat="1" x14ac:dyDescent="0.2">
      <c r="E1300" s="4"/>
      <c r="G1300" s="4"/>
      <c r="H1300" s="149"/>
      <c r="K1300"/>
      <c r="L1300"/>
    </row>
    <row r="1301" spans="5:12" s="5" customFormat="1" x14ac:dyDescent="0.2">
      <c r="E1301" s="4"/>
      <c r="G1301" s="4"/>
      <c r="H1301" s="149"/>
      <c r="K1301"/>
      <c r="L1301"/>
    </row>
    <row r="1302" spans="5:12" s="5" customFormat="1" x14ac:dyDescent="0.2">
      <c r="E1302" s="4"/>
      <c r="G1302" s="4"/>
      <c r="H1302" s="149"/>
      <c r="K1302"/>
      <c r="L1302"/>
    </row>
    <row r="1303" spans="5:12" s="5" customFormat="1" x14ac:dyDescent="0.2">
      <c r="E1303" s="4"/>
      <c r="G1303" s="4"/>
      <c r="H1303" s="149"/>
      <c r="K1303"/>
      <c r="L1303"/>
    </row>
    <row r="1304" spans="5:12" s="5" customFormat="1" x14ac:dyDescent="0.2">
      <c r="E1304" s="4"/>
      <c r="G1304" s="4"/>
      <c r="H1304" s="149"/>
      <c r="K1304"/>
      <c r="L1304"/>
    </row>
    <row r="1305" spans="5:12" s="5" customFormat="1" x14ac:dyDescent="0.2">
      <c r="E1305" s="4"/>
      <c r="G1305" s="4"/>
      <c r="H1305" s="149"/>
      <c r="K1305"/>
      <c r="L1305"/>
    </row>
    <row r="1306" spans="5:12" s="5" customFormat="1" x14ac:dyDescent="0.2">
      <c r="E1306" s="4"/>
      <c r="G1306" s="4"/>
      <c r="H1306" s="149"/>
      <c r="K1306"/>
      <c r="L1306"/>
    </row>
    <row r="1307" spans="5:12" s="5" customFormat="1" x14ac:dyDescent="0.2">
      <c r="E1307" s="4"/>
      <c r="G1307" s="4"/>
      <c r="H1307" s="149"/>
      <c r="K1307"/>
      <c r="L1307"/>
    </row>
    <row r="1308" spans="5:12" s="5" customFormat="1" x14ac:dyDescent="0.2">
      <c r="E1308" s="4"/>
      <c r="G1308" s="4"/>
      <c r="H1308" s="149"/>
      <c r="K1308"/>
      <c r="L1308"/>
    </row>
    <row r="1309" spans="5:12" s="5" customFormat="1" x14ac:dyDescent="0.2">
      <c r="E1309" s="4"/>
      <c r="G1309" s="4"/>
      <c r="H1309" s="149"/>
      <c r="K1309"/>
      <c r="L1309"/>
    </row>
    <row r="1310" spans="5:12" s="5" customFormat="1" x14ac:dyDescent="0.2">
      <c r="E1310" s="4"/>
      <c r="G1310" s="4"/>
      <c r="H1310" s="149"/>
      <c r="K1310"/>
      <c r="L1310"/>
    </row>
    <row r="1311" spans="5:12" s="5" customFormat="1" x14ac:dyDescent="0.2">
      <c r="E1311" s="4"/>
      <c r="G1311" s="4"/>
      <c r="H1311" s="149"/>
      <c r="K1311"/>
      <c r="L1311"/>
    </row>
    <row r="1312" spans="5:12" s="5" customFormat="1" x14ac:dyDescent="0.2">
      <c r="E1312" s="4"/>
      <c r="G1312" s="4"/>
      <c r="H1312" s="149"/>
      <c r="K1312"/>
      <c r="L1312"/>
    </row>
    <row r="1313" spans="5:12" s="5" customFormat="1" x14ac:dyDescent="0.2">
      <c r="E1313" s="4"/>
      <c r="G1313" s="4"/>
      <c r="H1313" s="149"/>
      <c r="K1313"/>
      <c r="L1313"/>
    </row>
    <row r="1314" spans="5:12" s="5" customFormat="1" x14ac:dyDescent="0.2">
      <c r="E1314" s="4"/>
      <c r="G1314" s="4"/>
      <c r="H1314" s="149"/>
      <c r="K1314"/>
      <c r="L1314"/>
    </row>
    <row r="1315" spans="5:12" s="5" customFormat="1" x14ac:dyDescent="0.2">
      <c r="E1315" s="4"/>
      <c r="G1315" s="4"/>
      <c r="H1315" s="149"/>
      <c r="K1315"/>
      <c r="L1315"/>
    </row>
    <row r="1316" spans="5:12" s="5" customFormat="1" x14ac:dyDescent="0.2">
      <c r="E1316" s="4"/>
      <c r="G1316" s="4"/>
      <c r="H1316" s="149"/>
      <c r="K1316"/>
      <c r="L1316"/>
    </row>
    <row r="1317" spans="5:12" s="5" customFormat="1" x14ac:dyDescent="0.2">
      <c r="E1317" s="4"/>
      <c r="G1317" s="4"/>
      <c r="H1317" s="149"/>
      <c r="K1317"/>
      <c r="L1317"/>
    </row>
    <row r="1318" spans="5:12" s="5" customFormat="1" x14ac:dyDescent="0.2">
      <c r="E1318" s="4"/>
      <c r="G1318" s="4"/>
      <c r="H1318" s="149"/>
      <c r="K1318"/>
      <c r="L1318"/>
    </row>
    <row r="1319" spans="5:12" s="5" customFormat="1" x14ac:dyDescent="0.2">
      <c r="E1319" s="4"/>
      <c r="G1319" s="4"/>
      <c r="H1319" s="149"/>
      <c r="K1319"/>
      <c r="L1319"/>
    </row>
    <row r="1320" spans="5:12" s="5" customFormat="1" x14ac:dyDescent="0.2">
      <c r="E1320" s="4"/>
      <c r="G1320" s="4"/>
      <c r="H1320" s="149"/>
      <c r="K1320"/>
      <c r="L1320"/>
    </row>
    <row r="1321" spans="5:12" s="5" customFormat="1" x14ac:dyDescent="0.2">
      <c r="E1321" s="4"/>
      <c r="G1321" s="4"/>
      <c r="H1321" s="149"/>
      <c r="K1321"/>
      <c r="L1321"/>
    </row>
    <row r="1322" spans="5:12" s="5" customFormat="1" x14ac:dyDescent="0.2">
      <c r="E1322" s="4"/>
      <c r="G1322" s="4"/>
      <c r="H1322" s="149"/>
      <c r="K1322"/>
      <c r="L1322"/>
    </row>
    <row r="1323" spans="5:12" s="5" customFormat="1" x14ac:dyDescent="0.2">
      <c r="E1323" s="4"/>
      <c r="G1323" s="4"/>
      <c r="H1323" s="149"/>
      <c r="K1323"/>
      <c r="L1323"/>
    </row>
    <row r="1324" spans="5:12" s="5" customFormat="1" x14ac:dyDescent="0.2">
      <c r="E1324" s="4"/>
      <c r="G1324" s="4"/>
      <c r="H1324" s="149"/>
      <c r="K1324"/>
      <c r="L1324"/>
    </row>
    <row r="1325" spans="5:12" s="5" customFormat="1" x14ac:dyDescent="0.2">
      <c r="E1325" s="4"/>
      <c r="G1325" s="4"/>
      <c r="H1325" s="149"/>
      <c r="K1325"/>
      <c r="L1325"/>
    </row>
    <row r="1326" spans="5:12" s="5" customFormat="1" x14ac:dyDescent="0.2">
      <c r="E1326" s="4"/>
      <c r="G1326" s="4"/>
      <c r="H1326" s="149"/>
      <c r="K1326"/>
      <c r="L1326"/>
    </row>
    <row r="1327" spans="5:12" s="5" customFormat="1" x14ac:dyDescent="0.2">
      <c r="E1327" s="4"/>
      <c r="G1327" s="4"/>
      <c r="H1327" s="149"/>
      <c r="K1327"/>
      <c r="L1327"/>
    </row>
    <row r="1328" spans="5:12" s="5" customFormat="1" x14ac:dyDescent="0.2">
      <c r="E1328" s="4"/>
      <c r="G1328" s="4"/>
      <c r="H1328" s="149"/>
      <c r="K1328"/>
      <c r="L1328"/>
    </row>
    <row r="1329" spans="5:12" s="5" customFormat="1" x14ac:dyDescent="0.2">
      <c r="E1329" s="4"/>
      <c r="G1329" s="4"/>
      <c r="H1329" s="149"/>
      <c r="K1329"/>
      <c r="L1329"/>
    </row>
    <row r="1330" spans="5:12" s="5" customFormat="1" x14ac:dyDescent="0.2">
      <c r="E1330" s="4"/>
      <c r="G1330" s="4"/>
      <c r="H1330" s="149"/>
      <c r="K1330"/>
      <c r="L1330"/>
    </row>
    <row r="1331" spans="5:12" s="5" customFormat="1" x14ac:dyDescent="0.2">
      <c r="E1331" s="4"/>
      <c r="G1331" s="4"/>
      <c r="H1331" s="149"/>
      <c r="K1331"/>
      <c r="L1331"/>
    </row>
    <row r="1332" spans="5:12" s="5" customFormat="1" x14ac:dyDescent="0.2">
      <c r="E1332" s="4"/>
      <c r="G1332" s="4"/>
      <c r="H1332" s="149"/>
      <c r="K1332"/>
      <c r="L1332"/>
    </row>
    <row r="1333" spans="5:12" s="5" customFormat="1" x14ac:dyDescent="0.2">
      <c r="E1333" s="4"/>
      <c r="G1333" s="4"/>
      <c r="H1333" s="149"/>
      <c r="K1333"/>
      <c r="L1333"/>
    </row>
    <row r="1334" spans="5:12" s="5" customFormat="1" x14ac:dyDescent="0.2">
      <c r="E1334" s="4"/>
      <c r="G1334" s="4"/>
      <c r="H1334" s="149"/>
      <c r="K1334"/>
      <c r="L1334"/>
    </row>
    <row r="1335" spans="5:12" s="5" customFormat="1" x14ac:dyDescent="0.2">
      <c r="E1335" s="4"/>
      <c r="G1335" s="4"/>
      <c r="H1335" s="149"/>
      <c r="K1335"/>
      <c r="L1335"/>
    </row>
    <row r="1336" spans="5:12" s="5" customFormat="1" x14ac:dyDescent="0.2">
      <c r="E1336" s="4"/>
      <c r="G1336" s="4"/>
      <c r="H1336" s="149"/>
      <c r="K1336"/>
      <c r="L1336"/>
    </row>
    <row r="1337" spans="5:12" s="5" customFormat="1" x14ac:dyDescent="0.2">
      <c r="E1337" s="4"/>
      <c r="G1337" s="4"/>
      <c r="H1337" s="149"/>
      <c r="K1337"/>
      <c r="L1337"/>
    </row>
    <row r="1338" spans="5:12" s="5" customFormat="1" x14ac:dyDescent="0.2">
      <c r="E1338" s="4"/>
      <c r="G1338" s="4"/>
      <c r="H1338" s="149"/>
      <c r="K1338"/>
      <c r="L1338"/>
    </row>
    <row r="1339" spans="5:12" s="5" customFormat="1" x14ac:dyDescent="0.2">
      <c r="E1339" s="4"/>
      <c r="G1339" s="4"/>
      <c r="H1339" s="149"/>
      <c r="K1339"/>
      <c r="L1339"/>
    </row>
    <row r="1340" spans="5:12" s="5" customFormat="1" x14ac:dyDescent="0.2">
      <c r="E1340" s="4"/>
      <c r="G1340" s="4"/>
      <c r="H1340" s="149"/>
      <c r="K1340"/>
      <c r="L1340"/>
    </row>
    <row r="1341" spans="5:12" s="5" customFormat="1" x14ac:dyDescent="0.2">
      <c r="E1341" s="4"/>
      <c r="G1341" s="4"/>
      <c r="H1341" s="149"/>
      <c r="K1341"/>
      <c r="L1341"/>
    </row>
    <row r="1342" spans="5:12" s="5" customFormat="1" x14ac:dyDescent="0.2">
      <c r="E1342" s="4"/>
      <c r="G1342" s="4"/>
      <c r="H1342" s="149"/>
      <c r="K1342"/>
      <c r="L1342"/>
    </row>
    <row r="1343" spans="5:12" s="5" customFormat="1" x14ac:dyDescent="0.2">
      <c r="E1343" s="4"/>
      <c r="G1343" s="4"/>
      <c r="H1343" s="149"/>
      <c r="K1343"/>
      <c r="L1343"/>
    </row>
    <row r="1344" spans="5:12" s="5" customFormat="1" x14ac:dyDescent="0.2">
      <c r="E1344" s="4"/>
      <c r="G1344" s="4"/>
      <c r="H1344" s="149"/>
      <c r="K1344"/>
      <c r="L1344"/>
    </row>
    <row r="1345" spans="5:12" s="5" customFormat="1" x14ac:dyDescent="0.2">
      <c r="E1345" s="4"/>
      <c r="G1345" s="4"/>
      <c r="H1345" s="149"/>
      <c r="K1345"/>
      <c r="L1345"/>
    </row>
    <row r="1346" spans="5:12" s="5" customFormat="1" x14ac:dyDescent="0.2">
      <c r="E1346" s="4"/>
      <c r="G1346" s="4"/>
      <c r="H1346" s="149"/>
      <c r="K1346"/>
      <c r="L1346"/>
    </row>
    <row r="1347" spans="5:12" s="5" customFormat="1" x14ac:dyDescent="0.2">
      <c r="E1347" s="4"/>
      <c r="G1347" s="4"/>
      <c r="H1347" s="149"/>
      <c r="K1347"/>
      <c r="L1347"/>
    </row>
    <row r="1348" spans="5:12" s="5" customFormat="1" x14ac:dyDescent="0.2">
      <c r="E1348" s="4"/>
      <c r="G1348" s="4"/>
      <c r="H1348" s="149"/>
      <c r="K1348"/>
      <c r="L1348"/>
    </row>
    <row r="1349" spans="5:12" s="5" customFormat="1" x14ac:dyDescent="0.2">
      <c r="E1349" s="4"/>
      <c r="G1349" s="4"/>
      <c r="H1349" s="149"/>
      <c r="K1349"/>
      <c r="L1349"/>
    </row>
    <row r="1350" spans="5:12" s="5" customFormat="1" x14ac:dyDescent="0.2">
      <c r="E1350" s="4"/>
      <c r="G1350" s="4"/>
      <c r="H1350" s="149"/>
      <c r="K1350"/>
      <c r="L1350"/>
    </row>
    <row r="1351" spans="5:12" s="5" customFormat="1" x14ac:dyDescent="0.2">
      <c r="E1351" s="4"/>
      <c r="G1351" s="4"/>
      <c r="H1351" s="149"/>
      <c r="K1351"/>
      <c r="L1351"/>
    </row>
    <row r="1352" spans="5:12" s="5" customFormat="1" x14ac:dyDescent="0.2">
      <c r="E1352" s="4"/>
      <c r="G1352" s="4"/>
      <c r="H1352" s="149"/>
      <c r="K1352"/>
      <c r="L1352"/>
    </row>
    <row r="1353" spans="5:12" s="5" customFormat="1" x14ac:dyDescent="0.2">
      <c r="E1353" s="4"/>
      <c r="G1353" s="4"/>
      <c r="H1353" s="149"/>
      <c r="K1353"/>
      <c r="L1353"/>
    </row>
    <row r="1354" spans="5:12" s="5" customFormat="1" x14ac:dyDescent="0.2">
      <c r="E1354" s="4"/>
      <c r="G1354" s="4"/>
      <c r="H1354" s="149"/>
      <c r="K1354"/>
      <c r="L1354"/>
    </row>
    <row r="1355" spans="5:12" s="5" customFormat="1" x14ac:dyDescent="0.2">
      <c r="E1355" s="4"/>
      <c r="G1355" s="4"/>
      <c r="H1355" s="149"/>
      <c r="K1355"/>
      <c r="L1355"/>
    </row>
    <row r="1356" spans="5:12" s="5" customFormat="1" x14ac:dyDescent="0.2">
      <c r="E1356" s="4"/>
      <c r="G1356" s="4"/>
      <c r="H1356" s="149"/>
      <c r="K1356"/>
      <c r="L1356"/>
    </row>
    <row r="1357" spans="5:12" s="5" customFormat="1" x14ac:dyDescent="0.2">
      <c r="E1357" s="4"/>
      <c r="G1357" s="4"/>
      <c r="H1357" s="149"/>
      <c r="K1357"/>
      <c r="L1357"/>
    </row>
    <row r="1358" spans="5:12" s="5" customFormat="1" x14ac:dyDescent="0.2">
      <c r="E1358" s="4"/>
      <c r="G1358" s="4"/>
      <c r="H1358" s="149"/>
      <c r="K1358"/>
      <c r="L1358"/>
    </row>
    <row r="1359" spans="5:12" s="5" customFormat="1" x14ac:dyDescent="0.2">
      <c r="E1359" s="4"/>
      <c r="G1359" s="4"/>
      <c r="H1359" s="149"/>
      <c r="K1359"/>
      <c r="L1359"/>
    </row>
    <row r="1360" spans="5:12" s="5" customFormat="1" x14ac:dyDescent="0.2">
      <c r="E1360" s="4"/>
      <c r="G1360" s="4"/>
      <c r="H1360" s="149"/>
      <c r="K1360"/>
      <c r="L1360"/>
    </row>
    <row r="1361" spans="5:12" s="5" customFormat="1" x14ac:dyDescent="0.2">
      <c r="E1361" s="4"/>
      <c r="G1361" s="4"/>
      <c r="H1361" s="149"/>
      <c r="K1361"/>
      <c r="L1361"/>
    </row>
    <row r="1362" spans="5:12" s="5" customFormat="1" x14ac:dyDescent="0.2">
      <c r="E1362" s="4"/>
      <c r="G1362" s="4"/>
      <c r="H1362" s="149"/>
      <c r="K1362"/>
      <c r="L1362"/>
    </row>
    <row r="1363" spans="5:12" s="5" customFormat="1" x14ac:dyDescent="0.2">
      <c r="E1363" s="4"/>
      <c r="G1363" s="4"/>
      <c r="H1363" s="149"/>
      <c r="K1363"/>
      <c r="L1363"/>
    </row>
    <row r="1364" spans="5:12" s="5" customFormat="1" x14ac:dyDescent="0.2">
      <c r="E1364" s="4"/>
      <c r="G1364" s="4"/>
      <c r="H1364" s="149"/>
      <c r="K1364"/>
      <c r="L1364"/>
    </row>
    <row r="1365" spans="5:12" s="5" customFormat="1" x14ac:dyDescent="0.2">
      <c r="E1365" s="4"/>
      <c r="G1365" s="4"/>
      <c r="H1365" s="149"/>
      <c r="K1365"/>
      <c r="L1365"/>
    </row>
    <row r="1366" spans="5:12" s="5" customFormat="1" x14ac:dyDescent="0.2">
      <c r="E1366" s="4"/>
      <c r="G1366" s="4"/>
      <c r="H1366" s="149"/>
      <c r="K1366"/>
      <c r="L1366"/>
    </row>
    <row r="1367" spans="5:12" s="5" customFormat="1" x14ac:dyDescent="0.2">
      <c r="E1367" s="4"/>
      <c r="G1367" s="4"/>
      <c r="H1367" s="149"/>
      <c r="K1367"/>
      <c r="L1367"/>
    </row>
    <row r="1368" spans="5:12" s="5" customFormat="1" x14ac:dyDescent="0.2">
      <c r="E1368" s="4"/>
      <c r="G1368" s="4"/>
      <c r="H1368" s="149"/>
      <c r="K1368"/>
      <c r="L1368"/>
    </row>
    <row r="1369" spans="5:12" s="5" customFormat="1" x14ac:dyDescent="0.2">
      <c r="E1369" s="4"/>
      <c r="G1369" s="4"/>
      <c r="H1369" s="149"/>
      <c r="K1369"/>
      <c r="L1369"/>
    </row>
    <row r="1370" spans="5:12" s="5" customFormat="1" x14ac:dyDescent="0.2">
      <c r="E1370" s="4"/>
      <c r="G1370" s="4"/>
      <c r="H1370" s="149"/>
      <c r="K1370"/>
      <c r="L1370"/>
    </row>
    <row r="1371" spans="5:12" s="5" customFormat="1" x14ac:dyDescent="0.2">
      <c r="E1371" s="4"/>
      <c r="G1371" s="4"/>
      <c r="H1371" s="149"/>
      <c r="K1371"/>
      <c r="L1371"/>
    </row>
    <row r="1372" spans="5:12" s="5" customFormat="1" x14ac:dyDescent="0.2">
      <c r="E1372" s="4"/>
      <c r="G1372" s="4"/>
      <c r="H1372" s="149"/>
      <c r="K1372"/>
      <c r="L1372"/>
    </row>
    <row r="1373" spans="5:12" s="5" customFormat="1" x14ac:dyDescent="0.2">
      <c r="E1373" s="4"/>
      <c r="G1373" s="4"/>
      <c r="H1373" s="149"/>
      <c r="K1373"/>
      <c r="L1373"/>
    </row>
    <row r="1374" spans="5:12" s="5" customFormat="1" x14ac:dyDescent="0.2">
      <c r="E1374" s="4"/>
      <c r="G1374" s="4"/>
      <c r="H1374" s="149"/>
      <c r="K1374"/>
      <c r="L1374"/>
    </row>
    <row r="1375" spans="5:12" s="5" customFormat="1" x14ac:dyDescent="0.2">
      <c r="E1375" s="4"/>
      <c r="G1375" s="4"/>
      <c r="H1375" s="149"/>
      <c r="K1375"/>
      <c r="L1375"/>
    </row>
    <row r="1376" spans="5:12" s="5" customFormat="1" x14ac:dyDescent="0.2">
      <c r="E1376" s="4"/>
      <c r="G1376" s="4"/>
      <c r="H1376" s="149"/>
      <c r="K1376"/>
      <c r="L1376"/>
    </row>
    <row r="1377" spans="5:12" s="5" customFormat="1" x14ac:dyDescent="0.2">
      <c r="E1377" s="4"/>
      <c r="G1377" s="4"/>
      <c r="H1377" s="149"/>
      <c r="K1377"/>
      <c r="L1377"/>
    </row>
    <row r="1378" spans="5:12" s="5" customFormat="1" x14ac:dyDescent="0.2">
      <c r="E1378" s="4"/>
      <c r="G1378" s="4"/>
      <c r="H1378" s="149"/>
      <c r="K1378"/>
      <c r="L1378"/>
    </row>
    <row r="1379" spans="5:12" s="5" customFormat="1" x14ac:dyDescent="0.2">
      <c r="E1379" s="4"/>
      <c r="G1379" s="4"/>
      <c r="H1379" s="149"/>
      <c r="K1379"/>
      <c r="L1379"/>
    </row>
    <row r="1380" spans="5:12" s="5" customFormat="1" x14ac:dyDescent="0.2">
      <c r="E1380" s="4"/>
      <c r="G1380" s="4"/>
      <c r="H1380" s="149"/>
      <c r="K1380"/>
      <c r="L1380"/>
    </row>
    <row r="1381" spans="5:12" s="5" customFormat="1" x14ac:dyDescent="0.2">
      <c r="E1381" s="4"/>
      <c r="G1381" s="4"/>
      <c r="H1381" s="149"/>
      <c r="K1381"/>
      <c r="L1381"/>
    </row>
    <row r="1382" spans="5:12" s="5" customFormat="1" x14ac:dyDescent="0.2">
      <c r="E1382" s="4"/>
      <c r="G1382" s="4"/>
      <c r="H1382" s="149"/>
      <c r="K1382"/>
      <c r="L1382"/>
    </row>
    <row r="1383" spans="5:12" s="5" customFormat="1" x14ac:dyDescent="0.2">
      <c r="E1383" s="4"/>
      <c r="G1383" s="4"/>
      <c r="H1383" s="149"/>
      <c r="K1383"/>
      <c r="L1383"/>
    </row>
    <row r="1384" spans="5:12" s="5" customFormat="1" x14ac:dyDescent="0.2">
      <c r="E1384" s="4"/>
      <c r="G1384" s="4"/>
      <c r="H1384" s="149"/>
      <c r="K1384"/>
      <c r="L1384"/>
    </row>
    <row r="1385" spans="5:12" s="5" customFormat="1" x14ac:dyDescent="0.2">
      <c r="E1385" s="4"/>
      <c r="G1385" s="4"/>
      <c r="H1385" s="149"/>
      <c r="K1385"/>
      <c r="L1385"/>
    </row>
    <row r="1386" spans="5:12" s="5" customFormat="1" x14ac:dyDescent="0.2">
      <c r="E1386" s="4"/>
      <c r="G1386" s="4"/>
      <c r="H1386" s="149"/>
      <c r="K1386"/>
      <c r="L1386"/>
    </row>
    <row r="1387" spans="5:12" s="5" customFormat="1" x14ac:dyDescent="0.2">
      <c r="E1387" s="4"/>
      <c r="G1387" s="4"/>
      <c r="H1387" s="149"/>
      <c r="K1387"/>
      <c r="L1387"/>
    </row>
    <row r="1388" spans="5:12" s="5" customFormat="1" x14ac:dyDescent="0.2">
      <c r="E1388" s="4"/>
      <c r="G1388" s="4"/>
      <c r="H1388" s="149"/>
      <c r="K1388"/>
      <c r="L1388"/>
    </row>
    <row r="1389" spans="5:12" s="5" customFormat="1" x14ac:dyDescent="0.2">
      <c r="E1389" s="4"/>
      <c r="G1389" s="4"/>
      <c r="H1389" s="149"/>
      <c r="K1389"/>
      <c r="L1389"/>
    </row>
    <row r="1390" spans="5:12" s="5" customFormat="1" x14ac:dyDescent="0.2">
      <c r="E1390" s="4"/>
      <c r="G1390" s="4"/>
      <c r="H1390" s="149"/>
      <c r="K1390"/>
      <c r="L1390"/>
    </row>
    <row r="1391" spans="5:12" s="5" customFormat="1" x14ac:dyDescent="0.2">
      <c r="E1391" s="4"/>
      <c r="G1391" s="4"/>
      <c r="H1391" s="149"/>
      <c r="K1391"/>
      <c r="L1391"/>
    </row>
    <row r="1392" spans="5:12" s="5" customFormat="1" x14ac:dyDescent="0.2">
      <c r="E1392" s="4"/>
      <c r="G1392" s="4"/>
      <c r="H1392" s="149"/>
      <c r="K1392"/>
      <c r="L1392"/>
    </row>
    <row r="1393" spans="5:12" s="5" customFormat="1" x14ac:dyDescent="0.2">
      <c r="E1393" s="4"/>
      <c r="G1393" s="4"/>
      <c r="H1393" s="149"/>
      <c r="K1393"/>
      <c r="L1393"/>
    </row>
    <row r="1394" spans="5:12" s="5" customFormat="1" x14ac:dyDescent="0.2">
      <c r="E1394" s="4"/>
      <c r="G1394" s="4"/>
      <c r="H1394" s="149"/>
      <c r="K1394"/>
      <c r="L1394"/>
    </row>
    <row r="1395" spans="5:12" s="5" customFormat="1" x14ac:dyDescent="0.2">
      <c r="E1395" s="4"/>
      <c r="G1395" s="4"/>
      <c r="H1395" s="149"/>
      <c r="K1395"/>
      <c r="L1395"/>
    </row>
    <row r="1396" spans="5:12" s="5" customFormat="1" x14ac:dyDescent="0.2">
      <c r="E1396" s="4"/>
      <c r="G1396" s="4"/>
      <c r="H1396" s="149"/>
      <c r="K1396"/>
      <c r="L1396"/>
    </row>
    <row r="1397" spans="5:12" s="5" customFormat="1" x14ac:dyDescent="0.2">
      <c r="E1397" s="4"/>
      <c r="G1397" s="4"/>
      <c r="H1397" s="149"/>
      <c r="K1397"/>
      <c r="L1397"/>
    </row>
    <row r="1398" spans="5:12" s="5" customFormat="1" x14ac:dyDescent="0.2">
      <c r="E1398" s="4"/>
      <c r="G1398" s="4"/>
      <c r="H1398" s="149"/>
      <c r="K1398"/>
      <c r="L1398"/>
    </row>
    <row r="1399" spans="5:12" s="5" customFormat="1" x14ac:dyDescent="0.2">
      <c r="E1399" s="4"/>
      <c r="G1399" s="4"/>
      <c r="H1399" s="149"/>
      <c r="K1399"/>
      <c r="L1399"/>
    </row>
    <row r="1400" spans="5:12" s="5" customFormat="1" x14ac:dyDescent="0.2">
      <c r="E1400" s="4"/>
      <c r="G1400" s="4"/>
      <c r="H1400" s="149"/>
      <c r="K1400"/>
      <c r="L1400"/>
    </row>
    <row r="1401" spans="5:12" s="5" customFormat="1" x14ac:dyDescent="0.2">
      <c r="E1401" s="4"/>
      <c r="G1401" s="4"/>
      <c r="H1401" s="149"/>
      <c r="K1401"/>
      <c r="L1401"/>
    </row>
    <row r="1402" spans="5:12" s="5" customFormat="1" x14ac:dyDescent="0.2">
      <c r="E1402" s="4"/>
      <c r="G1402" s="4"/>
      <c r="H1402" s="149"/>
      <c r="K1402"/>
      <c r="L1402"/>
    </row>
    <row r="1403" spans="5:12" s="5" customFormat="1" x14ac:dyDescent="0.2">
      <c r="E1403" s="4"/>
      <c r="G1403" s="4"/>
      <c r="H1403" s="149"/>
      <c r="K1403"/>
      <c r="L1403"/>
    </row>
    <row r="1404" spans="5:12" s="5" customFormat="1" x14ac:dyDescent="0.2">
      <c r="E1404" s="4"/>
      <c r="G1404" s="4"/>
      <c r="H1404" s="149"/>
      <c r="K1404"/>
      <c r="L1404"/>
    </row>
    <row r="1405" spans="5:12" s="5" customFormat="1" x14ac:dyDescent="0.2">
      <c r="E1405" s="4"/>
      <c r="G1405" s="4"/>
      <c r="H1405" s="149"/>
      <c r="K1405"/>
      <c r="L1405"/>
    </row>
    <row r="1406" spans="5:12" s="5" customFormat="1" x14ac:dyDescent="0.2">
      <c r="E1406" s="4"/>
      <c r="G1406" s="4"/>
      <c r="H1406" s="149"/>
      <c r="K1406"/>
      <c r="L1406"/>
    </row>
    <row r="1407" spans="5:12" s="5" customFormat="1" x14ac:dyDescent="0.2">
      <c r="E1407" s="4"/>
      <c r="G1407" s="4"/>
      <c r="H1407" s="149"/>
      <c r="K1407"/>
      <c r="L1407"/>
    </row>
    <row r="1408" spans="5:12" s="5" customFormat="1" x14ac:dyDescent="0.2">
      <c r="E1408" s="4"/>
      <c r="G1408" s="4"/>
      <c r="H1408" s="149"/>
      <c r="K1408"/>
      <c r="L1408"/>
    </row>
    <row r="1409" spans="5:12" s="5" customFormat="1" x14ac:dyDescent="0.2">
      <c r="E1409" s="4"/>
      <c r="G1409" s="4"/>
      <c r="H1409" s="149"/>
      <c r="K1409"/>
      <c r="L1409"/>
    </row>
    <row r="1410" spans="5:12" s="5" customFormat="1" x14ac:dyDescent="0.2">
      <c r="E1410" s="4"/>
      <c r="G1410" s="4"/>
      <c r="H1410" s="149"/>
      <c r="K1410"/>
      <c r="L1410"/>
    </row>
    <row r="1411" spans="5:12" s="5" customFormat="1" x14ac:dyDescent="0.2">
      <c r="E1411" s="4"/>
      <c r="G1411" s="4"/>
      <c r="H1411" s="149"/>
      <c r="K1411"/>
      <c r="L1411"/>
    </row>
    <row r="1412" spans="5:12" s="5" customFormat="1" x14ac:dyDescent="0.2">
      <c r="E1412" s="4"/>
      <c r="G1412" s="4"/>
      <c r="H1412" s="149"/>
      <c r="K1412"/>
      <c r="L1412"/>
    </row>
    <row r="1413" spans="5:12" s="5" customFormat="1" x14ac:dyDescent="0.2">
      <c r="E1413" s="4"/>
      <c r="G1413" s="4"/>
      <c r="H1413" s="149"/>
      <c r="K1413"/>
      <c r="L1413"/>
    </row>
    <row r="1414" spans="5:12" s="5" customFormat="1" x14ac:dyDescent="0.2">
      <c r="E1414" s="4"/>
      <c r="G1414" s="4"/>
      <c r="H1414" s="149"/>
      <c r="K1414"/>
      <c r="L1414"/>
    </row>
    <row r="1415" spans="5:12" s="5" customFormat="1" x14ac:dyDescent="0.2">
      <c r="E1415" s="4"/>
      <c r="G1415" s="4"/>
      <c r="H1415" s="149"/>
      <c r="K1415"/>
      <c r="L1415"/>
    </row>
    <row r="1416" spans="5:12" s="5" customFormat="1" x14ac:dyDescent="0.2">
      <c r="E1416" s="4"/>
      <c r="G1416" s="4"/>
      <c r="H1416" s="149"/>
      <c r="K1416"/>
      <c r="L1416"/>
    </row>
    <row r="1417" spans="5:12" s="5" customFormat="1" x14ac:dyDescent="0.2">
      <c r="E1417" s="4"/>
      <c r="G1417" s="4"/>
      <c r="H1417" s="149"/>
      <c r="K1417"/>
      <c r="L1417"/>
    </row>
    <row r="1418" spans="5:12" s="5" customFormat="1" x14ac:dyDescent="0.2">
      <c r="E1418" s="4"/>
      <c r="G1418" s="4"/>
      <c r="H1418" s="149"/>
      <c r="K1418"/>
      <c r="L1418"/>
    </row>
    <row r="1419" spans="5:12" s="5" customFormat="1" x14ac:dyDescent="0.2">
      <c r="E1419" s="4"/>
      <c r="G1419" s="4"/>
      <c r="H1419" s="149"/>
      <c r="K1419"/>
      <c r="L1419"/>
    </row>
    <row r="1420" spans="5:12" s="5" customFormat="1" x14ac:dyDescent="0.2">
      <c r="E1420" s="4"/>
      <c r="G1420" s="4"/>
      <c r="H1420" s="149"/>
      <c r="K1420"/>
      <c r="L1420"/>
    </row>
    <row r="1421" spans="5:12" s="5" customFormat="1" x14ac:dyDescent="0.2">
      <c r="E1421" s="4"/>
      <c r="G1421" s="4"/>
      <c r="H1421" s="149"/>
      <c r="K1421"/>
      <c r="L1421"/>
    </row>
    <row r="1422" spans="5:12" s="5" customFormat="1" x14ac:dyDescent="0.2">
      <c r="E1422" s="4"/>
      <c r="G1422" s="4"/>
      <c r="H1422" s="149"/>
      <c r="K1422"/>
      <c r="L1422"/>
    </row>
    <row r="1423" spans="5:12" s="5" customFormat="1" x14ac:dyDescent="0.2">
      <c r="E1423" s="4"/>
      <c r="G1423" s="4"/>
      <c r="H1423" s="149"/>
      <c r="K1423"/>
      <c r="L1423"/>
    </row>
    <row r="1424" spans="5:12" s="5" customFormat="1" x14ac:dyDescent="0.2">
      <c r="E1424" s="4"/>
      <c r="G1424" s="4"/>
      <c r="H1424" s="149"/>
      <c r="K1424"/>
      <c r="L1424"/>
    </row>
    <row r="1425" spans="5:12" s="5" customFormat="1" x14ac:dyDescent="0.2">
      <c r="E1425" s="4"/>
      <c r="G1425" s="4"/>
      <c r="H1425" s="149"/>
      <c r="K1425"/>
      <c r="L1425"/>
    </row>
    <row r="1426" spans="5:12" s="5" customFormat="1" x14ac:dyDescent="0.2">
      <c r="E1426" s="4"/>
      <c r="G1426" s="4"/>
      <c r="H1426" s="149"/>
      <c r="K1426"/>
      <c r="L1426"/>
    </row>
    <row r="1427" spans="5:12" s="5" customFormat="1" x14ac:dyDescent="0.2">
      <c r="E1427" s="4"/>
      <c r="G1427" s="4"/>
      <c r="H1427" s="149"/>
      <c r="K1427"/>
      <c r="L1427"/>
    </row>
    <row r="1428" spans="5:12" s="5" customFormat="1" x14ac:dyDescent="0.2">
      <c r="E1428" s="4"/>
      <c r="G1428" s="4"/>
      <c r="H1428" s="149"/>
      <c r="K1428"/>
      <c r="L1428"/>
    </row>
    <row r="1429" spans="5:12" s="5" customFormat="1" x14ac:dyDescent="0.2">
      <c r="E1429" s="4"/>
      <c r="G1429" s="4"/>
      <c r="H1429" s="149"/>
      <c r="K1429"/>
      <c r="L1429"/>
    </row>
    <row r="1430" spans="5:12" s="5" customFormat="1" x14ac:dyDescent="0.2">
      <c r="E1430" s="4"/>
      <c r="G1430" s="4"/>
      <c r="H1430" s="149"/>
      <c r="K1430"/>
      <c r="L1430"/>
    </row>
    <row r="1431" spans="5:12" s="5" customFormat="1" x14ac:dyDescent="0.2">
      <c r="E1431" s="4"/>
      <c r="G1431" s="4"/>
      <c r="H1431" s="149"/>
      <c r="K1431"/>
      <c r="L1431"/>
    </row>
    <row r="1432" spans="5:12" s="5" customFormat="1" x14ac:dyDescent="0.2">
      <c r="E1432" s="4"/>
      <c r="G1432" s="4"/>
      <c r="H1432" s="149"/>
      <c r="K1432"/>
      <c r="L1432"/>
    </row>
    <row r="1433" spans="5:12" s="5" customFormat="1" x14ac:dyDescent="0.2">
      <c r="E1433" s="4"/>
      <c r="G1433" s="4"/>
      <c r="H1433" s="149"/>
      <c r="K1433"/>
      <c r="L1433"/>
    </row>
    <row r="1434" spans="5:12" s="5" customFormat="1" x14ac:dyDescent="0.2">
      <c r="E1434" s="4"/>
      <c r="G1434" s="4"/>
      <c r="H1434" s="149"/>
      <c r="K1434"/>
      <c r="L1434"/>
    </row>
    <row r="1435" spans="5:12" s="5" customFormat="1" x14ac:dyDescent="0.2">
      <c r="E1435" s="4"/>
      <c r="G1435" s="4"/>
      <c r="H1435" s="149"/>
      <c r="K1435"/>
      <c r="L1435"/>
    </row>
    <row r="1436" spans="5:12" s="5" customFormat="1" x14ac:dyDescent="0.2">
      <c r="E1436" s="4"/>
      <c r="G1436" s="4"/>
      <c r="H1436" s="149"/>
      <c r="K1436"/>
      <c r="L1436"/>
    </row>
    <row r="1437" spans="5:12" s="5" customFormat="1" x14ac:dyDescent="0.2">
      <c r="E1437" s="4"/>
      <c r="G1437" s="4"/>
      <c r="H1437" s="149"/>
      <c r="K1437"/>
      <c r="L1437"/>
    </row>
    <row r="1438" spans="5:12" s="5" customFormat="1" x14ac:dyDescent="0.2">
      <c r="E1438" s="4"/>
      <c r="G1438" s="4"/>
      <c r="H1438" s="149"/>
      <c r="K1438"/>
      <c r="L1438"/>
    </row>
    <row r="1439" spans="5:12" s="5" customFormat="1" x14ac:dyDescent="0.2">
      <c r="E1439" s="4"/>
      <c r="G1439" s="4"/>
      <c r="H1439" s="149"/>
      <c r="K1439"/>
      <c r="L1439"/>
    </row>
    <row r="1440" spans="5:12" s="5" customFormat="1" x14ac:dyDescent="0.2">
      <c r="E1440" s="4"/>
      <c r="G1440" s="4"/>
      <c r="H1440" s="149"/>
      <c r="K1440"/>
      <c r="L1440"/>
    </row>
    <row r="1441" spans="5:12" s="5" customFormat="1" x14ac:dyDescent="0.2">
      <c r="E1441" s="4"/>
      <c r="G1441" s="4"/>
      <c r="H1441" s="149"/>
      <c r="K1441"/>
      <c r="L1441"/>
    </row>
    <row r="1442" spans="5:12" s="5" customFormat="1" x14ac:dyDescent="0.2">
      <c r="E1442" s="4"/>
      <c r="G1442" s="4"/>
      <c r="H1442" s="149"/>
      <c r="K1442"/>
      <c r="L1442"/>
    </row>
    <row r="1443" spans="5:12" s="5" customFormat="1" x14ac:dyDescent="0.2">
      <c r="E1443" s="4"/>
      <c r="G1443" s="4"/>
      <c r="H1443" s="149"/>
      <c r="K1443"/>
      <c r="L1443"/>
    </row>
    <row r="1444" spans="5:12" s="5" customFormat="1" x14ac:dyDescent="0.2">
      <c r="E1444" s="4"/>
      <c r="G1444" s="4"/>
      <c r="H1444" s="149"/>
      <c r="K1444"/>
      <c r="L1444"/>
    </row>
    <row r="1445" spans="5:12" s="5" customFormat="1" x14ac:dyDescent="0.2">
      <c r="E1445" s="4"/>
      <c r="G1445" s="4"/>
      <c r="H1445" s="149"/>
      <c r="K1445"/>
      <c r="L1445"/>
    </row>
    <row r="1446" spans="5:12" s="5" customFormat="1" x14ac:dyDescent="0.2">
      <c r="E1446" s="4"/>
      <c r="G1446" s="4"/>
      <c r="H1446" s="149"/>
      <c r="K1446"/>
      <c r="L1446"/>
    </row>
    <row r="1447" spans="5:12" s="5" customFormat="1" x14ac:dyDescent="0.2">
      <c r="E1447" s="4"/>
      <c r="G1447" s="4"/>
      <c r="H1447" s="149"/>
      <c r="K1447"/>
      <c r="L1447"/>
    </row>
    <row r="1448" spans="5:12" s="5" customFormat="1" x14ac:dyDescent="0.2">
      <c r="E1448" s="4"/>
      <c r="G1448" s="4"/>
      <c r="H1448" s="149"/>
      <c r="K1448"/>
      <c r="L1448"/>
    </row>
    <row r="1449" spans="5:12" s="5" customFormat="1" x14ac:dyDescent="0.2">
      <c r="E1449" s="4"/>
      <c r="G1449" s="4"/>
      <c r="H1449" s="149"/>
      <c r="K1449"/>
      <c r="L1449"/>
    </row>
    <row r="1450" spans="5:12" s="5" customFormat="1" x14ac:dyDescent="0.2">
      <c r="E1450" s="4"/>
      <c r="G1450" s="4"/>
      <c r="H1450" s="149"/>
      <c r="K1450"/>
      <c r="L1450"/>
    </row>
    <row r="1451" spans="5:12" s="5" customFormat="1" x14ac:dyDescent="0.2">
      <c r="E1451" s="4"/>
      <c r="G1451" s="4"/>
      <c r="H1451" s="149"/>
      <c r="K1451"/>
      <c r="L1451"/>
    </row>
    <row r="1452" spans="5:12" s="5" customFormat="1" x14ac:dyDescent="0.2">
      <c r="E1452" s="4"/>
      <c r="G1452" s="4"/>
      <c r="H1452" s="149"/>
      <c r="K1452"/>
      <c r="L1452"/>
    </row>
    <row r="1453" spans="5:12" s="5" customFormat="1" x14ac:dyDescent="0.2">
      <c r="E1453" s="4"/>
      <c r="G1453" s="4"/>
      <c r="H1453" s="149"/>
      <c r="K1453"/>
      <c r="L1453"/>
    </row>
    <row r="1454" spans="5:12" s="5" customFormat="1" x14ac:dyDescent="0.2">
      <c r="E1454" s="4"/>
      <c r="G1454" s="4"/>
      <c r="H1454" s="149"/>
      <c r="K1454"/>
      <c r="L1454"/>
    </row>
    <row r="1455" spans="5:12" s="5" customFormat="1" x14ac:dyDescent="0.2">
      <c r="E1455" s="4"/>
      <c r="G1455" s="4"/>
      <c r="H1455" s="149"/>
      <c r="K1455"/>
      <c r="L1455"/>
    </row>
    <row r="1456" spans="5:12" s="5" customFormat="1" x14ac:dyDescent="0.2">
      <c r="E1456" s="4"/>
      <c r="G1456" s="4"/>
      <c r="H1456" s="149"/>
      <c r="K1456"/>
      <c r="L1456"/>
    </row>
    <row r="1457" spans="5:12" s="5" customFormat="1" x14ac:dyDescent="0.2">
      <c r="E1457" s="4"/>
      <c r="G1457" s="4"/>
      <c r="H1457" s="149"/>
      <c r="K1457"/>
      <c r="L1457"/>
    </row>
    <row r="1458" spans="5:12" s="5" customFormat="1" x14ac:dyDescent="0.2">
      <c r="E1458" s="4"/>
      <c r="G1458" s="4"/>
      <c r="H1458" s="149"/>
      <c r="K1458"/>
      <c r="L1458"/>
    </row>
    <row r="1459" spans="5:12" s="5" customFormat="1" x14ac:dyDescent="0.2">
      <c r="E1459" s="4"/>
      <c r="G1459" s="4"/>
      <c r="H1459" s="149"/>
      <c r="K1459"/>
      <c r="L1459"/>
    </row>
    <row r="1460" spans="5:12" s="5" customFormat="1" x14ac:dyDescent="0.2">
      <c r="E1460" s="4"/>
      <c r="G1460" s="4"/>
      <c r="H1460" s="149"/>
      <c r="K1460"/>
      <c r="L1460"/>
    </row>
    <row r="1461" spans="5:12" s="5" customFormat="1" x14ac:dyDescent="0.2">
      <c r="E1461" s="4"/>
      <c r="G1461" s="4"/>
      <c r="H1461" s="149"/>
      <c r="K1461"/>
      <c r="L1461"/>
    </row>
    <row r="1462" spans="5:12" s="5" customFormat="1" x14ac:dyDescent="0.2">
      <c r="E1462" s="4"/>
      <c r="G1462" s="4"/>
      <c r="H1462" s="149"/>
      <c r="K1462"/>
      <c r="L1462"/>
    </row>
    <row r="1463" spans="5:12" s="5" customFormat="1" x14ac:dyDescent="0.2">
      <c r="E1463" s="4"/>
      <c r="G1463" s="4"/>
      <c r="H1463" s="149"/>
      <c r="K1463"/>
      <c r="L1463"/>
    </row>
    <row r="1464" spans="5:12" s="5" customFormat="1" x14ac:dyDescent="0.2">
      <c r="E1464" s="4"/>
      <c r="G1464" s="4"/>
      <c r="H1464" s="149"/>
      <c r="K1464"/>
      <c r="L1464"/>
    </row>
    <row r="1465" spans="5:12" s="5" customFormat="1" x14ac:dyDescent="0.2">
      <c r="E1465" s="4"/>
      <c r="G1465" s="4"/>
      <c r="H1465" s="149"/>
      <c r="K1465"/>
      <c r="L1465"/>
    </row>
    <row r="1466" spans="5:12" s="5" customFormat="1" x14ac:dyDescent="0.2">
      <c r="E1466" s="4"/>
      <c r="G1466" s="4"/>
      <c r="H1466" s="149"/>
      <c r="K1466"/>
      <c r="L1466"/>
    </row>
    <row r="1467" spans="5:12" s="5" customFormat="1" x14ac:dyDescent="0.2">
      <c r="E1467" s="4"/>
      <c r="G1467" s="4"/>
      <c r="H1467" s="149"/>
      <c r="K1467"/>
      <c r="L1467"/>
    </row>
    <row r="1468" spans="5:12" s="5" customFormat="1" x14ac:dyDescent="0.2">
      <c r="E1468" s="4"/>
      <c r="G1468" s="4"/>
      <c r="H1468" s="149"/>
      <c r="K1468"/>
      <c r="L1468"/>
    </row>
    <row r="1469" spans="5:12" s="5" customFormat="1" x14ac:dyDescent="0.2">
      <c r="E1469" s="4"/>
      <c r="G1469" s="4"/>
      <c r="H1469" s="149"/>
      <c r="K1469"/>
      <c r="L1469"/>
    </row>
    <row r="1470" spans="5:12" s="5" customFormat="1" x14ac:dyDescent="0.2">
      <c r="E1470" s="4"/>
      <c r="G1470" s="4"/>
      <c r="H1470" s="149"/>
      <c r="K1470"/>
      <c r="L1470"/>
    </row>
    <row r="1471" spans="5:12" s="5" customFormat="1" x14ac:dyDescent="0.2">
      <c r="E1471" s="4"/>
      <c r="G1471" s="4"/>
      <c r="H1471" s="149"/>
      <c r="K1471"/>
      <c r="L1471"/>
    </row>
    <row r="1472" spans="5:12" s="5" customFormat="1" x14ac:dyDescent="0.2">
      <c r="E1472" s="4"/>
      <c r="G1472" s="4"/>
      <c r="H1472" s="149"/>
      <c r="K1472"/>
      <c r="L1472"/>
    </row>
    <row r="1473" spans="5:12" s="5" customFormat="1" x14ac:dyDescent="0.2">
      <c r="E1473" s="4"/>
      <c r="G1473" s="4"/>
      <c r="H1473" s="149"/>
      <c r="K1473"/>
      <c r="L1473"/>
    </row>
    <row r="1474" spans="5:12" s="5" customFormat="1" x14ac:dyDescent="0.2">
      <c r="E1474" s="4"/>
      <c r="G1474" s="4"/>
      <c r="H1474" s="149"/>
      <c r="K1474"/>
      <c r="L1474"/>
    </row>
    <row r="1475" spans="5:12" s="5" customFormat="1" x14ac:dyDescent="0.2">
      <c r="E1475" s="4"/>
      <c r="G1475" s="4"/>
      <c r="H1475" s="149"/>
      <c r="K1475"/>
      <c r="L1475"/>
    </row>
    <row r="1476" spans="5:12" s="5" customFormat="1" x14ac:dyDescent="0.2">
      <c r="E1476" s="4"/>
      <c r="G1476" s="4"/>
      <c r="H1476" s="149"/>
      <c r="K1476"/>
      <c r="L1476"/>
    </row>
    <row r="1477" spans="5:12" s="5" customFormat="1" x14ac:dyDescent="0.2">
      <c r="E1477" s="4"/>
      <c r="G1477" s="4"/>
      <c r="H1477" s="149"/>
      <c r="K1477"/>
      <c r="L1477"/>
    </row>
    <row r="1478" spans="5:12" s="5" customFormat="1" x14ac:dyDescent="0.2">
      <c r="E1478" s="4"/>
      <c r="G1478" s="4"/>
      <c r="H1478" s="149"/>
      <c r="K1478"/>
      <c r="L1478"/>
    </row>
    <row r="1479" spans="5:12" s="5" customFormat="1" x14ac:dyDescent="0.2">
      <c r="E1479" s="4"/>
      <c r="G1479" s="4"/>
      <c r="H1479" s="149"/>
      <c r="K1479"/>
      <c r="L1479"/>
    </row>
    <row r="1480" spans="5:12" s="5" customFormat="1" x14ac:dyDescent="0.2">
      <c r="E1480" s="4"/>
      <c r="G1480" s="4"/>
      <c r="H1480" s="149"/>
      <c r="K1480"/>
      <c r="L1480"/>
    </row>
    <row r="1481" spans="5:12" s="5" customFormat="1" x14ac:dyDescent="0.2">
      <c r="E1481" s="4"/>
      <c r="G1481" s="4"/>
      <c r="H1481" s="149"/>
      <c r="K1481"/>
      <c r="L1481"/>
    </row>
    <row r="1482" spans="5:12" s="5" customFormat="1" x14ac:dyDescent="0.2">
      <c r="E1482" s="4"/>
      <c r="G1482" s="4"/>
      <c r="H1482" s="149"/>
      <c r="K1482"/>
      <c r="L1482"/>
    </row>
    <row r="1483" spans="5:12" s="5" customFormat="1" x14ac:dyDescent="0.2">
      <c r="E1483" s="4"/>
      <c r="G1483" s="4"/>
      <c r="H1483" s="149"/>
      <c r="K1483"/>
      <c r="L1483"/>
    </row>
    <row r="1484" spans="5:12" s="5" customFormat="1" x14ac:dyDescent="0.2">
      <c r="E1484" s="4"/>
      <c r="G1484" s="4"/>
      <c r="H1484" s="149"/>
      <c r="K1484"/>
      <c r="L1484"/>
    </row>
    <row r="1485" spans="5:12" s="5" customFormat="1" x14ac:dyDescent="0.2">
      <c r="E1485" s="4"/>
      <c r="G1485" s="4"/>
      <c r="H1485" s="149"/>
      <c r="K1485"/>
      <c r="L1485"/>
    </row>
    <row r="1486" spans="5:12" s="5" customFormat="1" x14ac:dyDescent="0.2">
      <c r="E1486" s="4"/>
      <c r="G1486" s="4"/>
      <c r="H1486" s="149"/>
      <c r="K1486"/>
      <c r="L1486"/>
    </row>
    <row r="1487" spans="5:12" s="5" customFormat="1" x14ac:dyDescent="0.2">
      <c r="E1487" s="4"/>
      <c r="G1487" s="4"/>
      <c r="H1487" s="149"/>
      <c r="K1487"/>
      <c r="L1487"/>
    </row>
    <row r="1488" spans="5:12" s="5" customFormat="1" x14ac:dyDescent="0.2">
      <c r="E1488" s="4"/>
      <c r="G1488" s="4"/>
      <c r="H1488" s="149"/>
      <c r="K1488"/>
      <c r="L1488"/>
    </row>
    <row r="1489" spans="5:12" s="5" customFormat="1" x14ac:dyDescent="0.2">
      <c r="E1489" s="4"/>
      <c r="G1489" s="4"/>
      <c r="H1489" s="149"/>
      <c r="K1489"/>
      <c r="L1489"/>
    </row>
    <row r="1490" spans="5:12" s="5" customFormat="1" x14ac:dyDescent="0.2">
      <c r="E1490" s="4"/>
      <c r="G1490" s="4"/>
      <c r="H1490" s="149"/>
      <c r="K1490"/>
      <c r="L1490"/>
    </row>
    <row r="1491" spans="5:12" s="5" customFormat="1" x14ac:dyDescent="0.2">
      <c r="E1491" s="4"/>
      <c r="G1491" s="4"/>
      <c r="H1491" s="149"/>
      <c r="K1491"/>
      <c r="L1491"/>
    </row>
    <row r="1492" spans="5:12" s="5" customFormat="1" x14ac:dyDescent="0.2">
      <c r="E1492" s="4"/>
      <c r="G1492" s="4"/>
      <c r="H1492" s="149"/>
      <c r="K1492"/>
      <c r="L1492"/>
    </row>
    <row r="1493" spans="5:12" s="5" customFormat="1" x14ac:dyDescent="0.2">
      <c r="E1493" s="4"/>
      <c r="G1493" s="4"/>
      <c r="H1493" s="149"/>
      <c r="K1493"/>
      <c r="L1493"/>
    </row>
    <row r="1494" spans="5:12" s="5" customFormat="1" x14ac:dyDescent="0.2">
      <c r="E1494" s="4"/>
      <c r="G1494" s="4"/>
      <c r="H1494" s="149"/>
      <c r="K1494"/>
      <c r="L1494"/>
    </row>
    <row r="1495" spans="5:12" s="5" customFormat="1" x14ac:dyDescent="0.2">
      <c r="E1495" s="4"/>
      <c r="G1495" s="4"/>
      <c r="H1495" s="149"/>
      <c r="K1495"/>
      <c r="L1495"/>
    </row>
    <row r="1496" spans="5:12" s="5" customFormat="1" x14ac:dyDescent="0.2">
      <c r="E1496" s="4"/>
      <c r="G1496" s="4"/>
      <c r="H1496" s="149"/>
      <c r="K1496"/>
      <c r="L1496"/>
    </row>
    <row r="1497" spans="5:12" s="5" customFormat="1" x14ac:dyDescent="0.2">
      <c r="E1497" s="4"/>
      <c r="G1497" s="4"/>
      <c r="H1497" s="149"/>
      <c r="K1497"/>
      <c r="L1497"/>
    </row>
    <row r="1498" spans="5:12" s="5" customFormat="1" x14ac:dyDescent="0.2">
      <c r="E1498" s="4"/>
      <c r="G1498" s="4"/>
      <c r="H1498" s="149"/>
      <c r="K1498"/>
      <c r="L1498"/>
    </row>
    <row r="1499" spans="5:12" s="5" customFormat="1" x14ac:dyDescent="0.2">
      <c r="E1499" s="4"/>
      <c r="G1499" s="4"/>
      <c r="H1499" s="149"/>
      <c r="K1499"/>
      <c r="L1499"/>
    </row>
    <row r="1500" spans="5:12" s="5" customFormat="1" x14ac:dyDescent="0.2">
      <c r="E1500" s="4"/>
      <c r="G1500" s="4"/>
      <c r="H1500" s="149"/>
      <c r="K1500"/>
      <c r="L1500"/>
    </row>
    <row r="1501" spans="5:12" s="5" customFormat="1" x14ac:dyDescent="0.2">
      <c r="E1501" s="4"/>
      <c r="G1501" s="4"/>
      <c r="H1501" s="149"/>
      <c r="K1501"/>
      <c r="L1501"/>
    </row>
    <row r="1502" spans="5:12" s="5" customFormat="1" x14ac:dyDescent="0.2">
      <c r="E1502" s="4"/>
      <c r="G1502" s="4"/>
      <c r="H1502" s="149"/>
      <c r="K1502"/>
      <c r="L1502"/>
    </row>
    <row r="1503" spans="5:12" s="5" customFormat="1" x14ac:dyDescent="0.2">
      <c r="E1503" s="4"/>
      <c r="G1503" s="4"/>
      <c r="H1503" s="149"/>
      <c r="K1503"/>
      <c r="L1503"/>
    </row>
    <row r="1504" spans="5:12" s="5" customFormat="1" x14ac:dyDescent="0.2">
      <c r="E1504" s="4"/>
      <c r="G1504" s="4"/>
      <c r="H1504" s="149"/>
      <c r="K1504"/>
      <c r="L1504"/>
    </row>
    <row r="1505" spans="5:12" s="5" customFormat="1" x14ac:dyDescent="0.2">
      <c r="E1505" s="4"/>
      <c r="G1505" s="4"/>
      <c r="H1505" s="149"/>
      <c r="K1505"/>
      <c r="L1505"/>
    </row>
    <row r="1506" spans="5:12" s="5" customFormat="1" x14ac:dyDescent="0.2">
      <c r="E1506" s="4"/>
      <c r="G1506" s="4"/>
      <c r="H1506" s="149"/>
      <c r="K1506"/>
      <c r="L1506"/>
    </row>
    <row r="1507" spans="5:12" s="5" customFormat="1" x14ac:dyDescent="0.2">
      <c r="E1507" s="4"/>
      <c r="G1507" s="4"/>
      <c r="H1507" s="149"/>
      <c r="K1507"/>
      <c r="L1507"/>
    </row>
    <row r="1508" spans="5:12" s="5" customFormat="1" x14ac:dyDescent="0.2">
      <c r="E1508" s="4"/>
      <c r="G1508" s="4"/>
      <c r="H1508" s="149"/>
      <c r="K1508"/>
      <c r="L1508"/>
    </row>
    <row r="1509" spans="5:12" s="5" customFormat="1" x14ac:dyDescent="0.2">
      <c r="E1509" s="4"/>
      <c r="G1509" s="4"/>
      <c r="H1509" s="149"/>
      <c r="K1509"/>
      <c r="L1509"/>
    </row>
    <row r="1510" spans="5:12" s="5" customFormat="1" x14ac:dyDescent="0.2">
      <c r="E1510" s="4"/>
      <c r="G1510" s="4"/>
      <c r="H1510" s="149"/>
      <c r="K1510"/>
      <c r="L1510"/>
    </row>
    <row r="1511" spans="5:12" s="5" customFormat="1" x14ac:dyDescent="0.2">
      <c r="E1511" s="4"/>
      <c r="G1511" s="4"/>
      <c r="H1511" s="149"/>
      <c r="K1511"/>
      <c r="L1511"/>
    </row>
    <row r="1512" spans="5:12" s="5" customFormat="1" x14ac:dyDescent="0.2">
      <c r="E1512" s="4"/>
      <c r="G1512" s="4"/>
      <c r="H1512" s="149"/>
      <c r="K1512"/>
      <c r="L1512"/>
    </row>
    <row r="1513" spans="5:12" s="5" customFormat="1" x14ac:dyDescent="0.2">
      <c r="E1513" s="4"/>
      <c r="G1513" s="4"/>
      <c r="H1513" s="149"/>
      <c r="K1513"/>
      <c r="L1513"/>
    </row>
    <row r="1514" spans="5:12" s="5" customFormat="1" x14ac:dyDescent="0.2">
      <c r="E1514" s="4"/>
      <c r="G1514" s="4"/>
      <c r="H1514" s="149"/>
      <c r="K1514"/>
      <c r="L1514"/>
    </row>
    <row r="1515" spans="5:12" s="5" customFormat="1" x14ac:dyDescent="0.2">
      <c r="E1515" s="4"/>
      <c r="G1515" s="4"/>
      <c r="H1515" s="149"/>
      <c r="K1515"/>
      <c r="L1515"/>
    </row>
    <row r="1516" spans="5:12" s="5" customFormat="1" x14ac:dyDescent="0.2">
      <c r="E1516" s="4"/>
      <c r="G1516" s="4"/>
      <c r="H1516" s="149"/>
      <c r="K1516"/>
      <c r="L1516"/>
    </row>
    <row r="1517" spans="5:12" s="5" customFormat="1" x14ac:dyDescent="0.2">
      <c r="E1517" s="4"/>
      <c r="G1517" s="4"/>
      <c r="H1517" s="149"/>
      <c r="K1517"/>
      <c r="L1517"/>
    </row>
    <row r="1518" spans="5:12" s="5" customFormat="1" x14ac:dyDescent="0.2">
      <c r="E1518" s="4"/>
      <c r="G1518" s="4"/>
      <c r="H1518" s="149"/>
      <c r="K1518"/>
      <c r="L1518"/>
    </row>
    <row r="1519" spans="5:12" s="5" customFormat="1" x14ac:dyDescent="0.2">
      <c r="E1519" s="4"/>
      <c r="G1519" s="4"/>
      <c r="H1519" s="149"/>
      <c r="K1519"/>
      <c r="L1519"/>
    </row>
    <row r="1520" spans="5:12" s="5" customFormat="1" x14ac:dyDescent="0.2">
      <c r="E1520" s="4"/>
      <c r="G1520" s="4"/>
      <c r="H1520" s="149"/>
      <c r="K1520"/>
      <c r="L1520"/>
    </row>
    <row r="1521" spans="5:12" s="5" customFormat="1" x14ac:dyDescent="0.2">
      <c r="E1521" s="4"/>
      <c r="G1521" s="4"/>
      <c r="H1521" s="149"/>
      <c r="K1521"/>
      <c r="L1521"/>
    </row>
    <row r="1522" spans="5:12" s="5" customFormat="1" x14ac:dyDescent="0.2">
      <c r="E1522" s="4"/>
      <c r="G1522" s="4"/>
      <c r="H1522" s="149"/>
      <c r="K1522"/>
      <c r="L1522"/>
    </row>
    <row r="1523" spans="5:12" s="5" customFormat="1" x14ac:dyDescent="0.2">
      <c r="E1523" s="4"/>
      <c r="G1523" s="4"/>
      <c r="H1523" s="149"/>
      <c r="K1523"/>
      <c r="L1523"/>
    </row>
    <row r="1524" spans="5:12" s="5" customFormat="1" x14ac:dyDescent="0.2">
      <c r="E1524" s="4"/>
      <c r="G1524" s="4"/>
      <c r="H1524" s="149"/>
      <c r="K1524"/>
      <c r="L1524"/>
    </row>
    <row r="1525" spans="5:12" s="5" customFormat="1" x14ac:dyDescent="0.2">
      <c r="E1525" s="4"/>
      <c r="G1525" s="4"/>
      <c r="H1525" s="149"/>
      <c r="K1525"/>
      <c r="L1525"/>
    </row>
    <row r="1526" spans="5:12" s="5" customFormat="1" x14ac:dyDescent="0.2">
      <c r="E1526" s="4"/>
      <c r="G1526" s="4"/>
      <c r="H1526" s="149"/>
      <c r="K1526"/>
      <c r="L1526"/>
    </row>
    <row r="1527" spans="5:12" s="5" customFormat="1" x14ac:dyDescent="0.2">
      <c r="E1527" s="4"/>
      <c r="G1527" s="4"/>
      <c r="H1527" s="149"/>
      <c r="K1527"/>
      <c r="L1527"/>
    </row>
    <row r="1528" spans="5:12" s="5" customFormat="1" x14ac:dyDescent="0.2">
      <c r="E1528" s="4"/>
      <c r="G1528" s="4"/>
      <c r="H1528" s="149"/>
      <c r="K1528"/>
      <c r="L1528"/>
    </row>
    <row r="1529" spans="5:12" s="5" customFormat="1" x14ac:dyDescent="0.2">
      <c r="E1529" s="4"/>
      <c r="G1529" s="4"/>
      <c r="H1529" s="149"/>
      <c r="K1529"/>
      <c r="L1529"/>
    </row>
    <row r="1530" spans="5:12" s="5" customFormat="1" x14ac:dyDescent="0.2">
      <c r="E1530" s="4"/>
      <c r="G1530" s="4"/>
      <c r="H1530" s="149"/>
      <c r="K1530"/>
      <c r="L1530"/>
    </row>
    <row r="1531" spans="5:12" s="5" customFormat="1" x14ac:dyDescent="0.2">
      <c r="E1531" s="4"/>
      <c r="G1531" s="4"/>
      <c r="H1531" s="149"/>
      <c r="K1531"/>
      <c r="L1531"/>
    </row>
    <row r="1532" spans="5:12" s="5" customFormat="1" x14ac:dyDescent="0.2">
      <c r="E1532" s="4"/>
      <c r="G1532" s="4"/>
      <c r="H1532" s="149"/>
      <c r="K1532"/>
      <c r="L1532"/>
    </row>
    <row r="1533" spans="5:12" s="5" customFormat="1" x14ac:dyDescent="0.2">
      <c r="E1533" s="4"/>
      <c r="G1533" s="4"/>
      <c r="H1533" s="149"/>
      <c r="K1533"/>
      <c r="L1533"/>
    </row>
    <row r="1534" spans="5:12" s="5" customFormat="1" x14ac:dyDescent="0.2">
      <c r="E1534" s="4"/>
      <c r="G1534" s="4"/>
      <c r="H1534" s="149"/>
      <c r="K1534"/>
      <c r="L1534"/>
    </row>
    <row r="1535" spans="5:12" s="5" customFormat="1" x14ac:dyDescent="0.2">
      <c r="E1535" s="4"/>
      <c r="G1535" s="4"/>
      <c r="H1535" s="149"/>
      <c r="K1535"/>
      <c r="L1535"/>
    </row>
    <row r="1536" spans="5:12" s="5" customFormat="1" x14ac:dyDescent="0.2">
      <c r="E1536" s="4"/>
      <c r="G1536" s="4"/>
      <c r="H1536" s="149"/>
      <c r="K1536"/>
      <c r="L1536"/>
    </row>
    <row r="1537" spans="5:12" s="5" customFormat="1" x14ac:dyDescent="0.2">
      <c r="E1537" s="4"/>
      <c r="G1537" s="4"/>
      <c r="H1537" s="149"/>
      <c r="K1537"/>
      <c r="L1537"/>
    </row>
    <row r="1538" spans="5:12" s="5" customFormat="1" x14ac:dyDescent="0.2">
      <c r="E1538" s="4"/>
      <c r="G1538" s="4"/>
      <c r="H1538" s="149"/>
      <c r="K1538"/>
      <c r="L1538"/>
    </row>
    <row r="1539" spans="5:12" s="5" customFormat="1" x14ac:dyDescent="0.2">
      <c r="E1539" s="4"/>
      <c r="G1539" s="4"/>
      <c r="H1539" s="149"/>
      <c r="K1539"/>
      <c r="L1539"/>
    </row>
    <row r="1540" spans="5:12" s="5" customFormat="1" x14ac:dyDescent="0.2">
      <c r="E1540" s="4"/>
      <c r="G1540" s="4"/>
      <c r="H1540" s="149"/>
      <c r="K1540"/>
      <c r="L1540"/>
    </row>
    <row r="1541" spans="5:12" s="5" customFormat="1" x14ac:dyDescent="0.2">
      <c r="E1541" s="4"/>
      <c r="G1541" s="4"/>
      <c r="H1541" s="149"/>
      <c r="K1541"/>
      <c r="L1541"/>
    </row>
    <row r="1542" spans="5:12" s="5" customFormat="1" x14ac:dyDescent="0.2">
      <c r="E1542" s="4"/>
      <c r="G1542" s="4"/>
      <c r="H1542" s="149"/>
      <c r="K1542"/>
      <c r="L1542"/>
    </row>
    <row r="1543" spans="5:12" s="5" customFormat="1" x14ac:dyDescent="0.2">
      <c r="E1543" s="4"/>
      <c r="G1543" s="4"/>
      <c r="H1543" s="149"/>
      <c r="K1543"/>
      <c r="L1543"/>
    </row>
    <row r="1544" spans="5:12" s="5" customFormat="1" x14ac:dyDescent="0.2">
      <c r="E1544" s="4"/>
      <c r="G1544" s="4"/>
      <c r="H1544" s="149"/>
      <c r="K1544"/>
      <c r="L1544"/>
    </row>
    <row r="1545" spans="5:12" s="5" customFormat="1" x14ac:dyDescent="0.2">
      <c r="E1545" s="4"/>
      <c r="G1545" s="4"/>
      <c r="H1545" s="149"/>
      <c r="K1545"/>
      <c r="L1545"/>
    </row>
    <row r="1546" spans="5:12" s="5" customFormat="1" x14ac:dyDescent="0.2">
      <c r="E1546" s="4"/>
      <c r="G1546" s="4"/>
      <c r="H1546" s="149"/>
      <c r="K1546"/>
      <c r="L1546"/>
    </row>
    <row r="1547" spans="5:12" s="5" customFormat="1" x14ac:dyDescent="0.2">
      <c r="E1547" s="4"/>
      <c r="G1547" s="4"/>
      <c r="H1547" s="149"/>
      <c r="K1547"/>
      <c r="L1547"/>
    </row>
    <row r="1548" spans="5:12" s="5" customFormat="1" x14ac:dyDescent="0.2">
      <c r="E1548" s="4"/>
      <c r="G1548" s="4"/>
      <c r="H1548" s="149"/>
      <c r="K1548"/>
      <c r="L1548"/>
    </row>
    <row r="1549" spans="5:12" s="5" customFormat="1" x14ac:dyDescent="0.2">
      <c r="E1549" s="4"/>
      <c r="G1549" s="4"/>
      <c r="H1549" s="149"/>
      <c r="K1549"/>
      <c r="L1549"/>
    </row>
    <row r="1550" spans="5:12" s="5" customFormat="1" x14ac:dyDescent="0.2">
      <c r="E1550" s="4"/>
      <c r="G1550" s="4"/>
      <c r="H1550" s="149"/>
      <c r="K1550"/>
      <c r="L1550"/>
    </row>
    <row r="1551" spans="5:12" s="5" customFormat="1" x14ac:dyDescent="0.2">
      <c r="E1551" s="4"/>
      <c r="G1551" s="4"/>
      <c r="H1551" s="149"/>
      <c r="K1551"/>
      <c r="L1551"/>
    </row>
    <row r="1552" spans="5:12" s="5" customFormat="1" x14ac:dyDescent="0.2">
      <c r="E1552" s="4"/>
      <c r="G1552" s="4"/>
      <c r="H1552" s="149"/>
      <c r="K1552"/>
      <c r="L1552"/>
    </row>
    <row r="1553" spans="5:12" s="5" customFormat="1" x14ac:dyDescent="0.2">
      <c r="E1553" s="4"/>
      <c r="G1553" s="4"/>
      <c r="H1553" s="149"/>
      <c r="K1553"/>
      <c r="L1553"/>
    </row>
    <row r="1554" spans="5:12" s="5" customFormat="1" x14ac:dyDescent="0.2">
      <c r="E1554" s="4"/>
      <c r="G1554" s="4"/>
      <c r="H1554" s="149"/>
      <c r="K1554"/>
      <c r="L1554"/>
    </row>
    <row r="1555" spans="5:12" s="5" customFormat="1" x14ac:dyDescent="0.2">
      <c r="E1555" s="4"/>
      <c r="G1555" s="4"/>
      <c r="H1555" s="149"/>
      <c r="K1555"/>
      <c r="L1555"/>
    </row>
    <row r="1556" spans="5:12" s="5" customFormat="1" x14ac:dyDescent="0.2">
      <c r="E1556" s="4"/>
      <c r="G1556" s="4"/>
      <c r="H1556" s="149"/>
      <c r="K1556"/>
      <c r="L1556"/>
    </row>
    <row r="1557" spans="5:12" s="5" customFormat="1" x14ac:dyDescent="0.2">
      <c r="E1557" s="4"/>
      <c r="G1557" s="4"/>
      <c r="H1557" s="149"/>
      <c r="K1557"/>
      <c r="L1557"/>
    </row>
    <row r="1558" spans="5:12" s="5" customFormat="1" x14ac:dyDescent="0.2">
      <c r="E1558" s="4"/>
      <c r="G1558" s="4"/>
      <c r="H1558" s="149"/>
      <c r="K1558"/>
      <c r="L1558"/>
    </row>
    <row r="1559" spans="5:12" s="5" customFormat="1" x14ac:dyDescent="0.2">
      <c r="E1559" s="4"/>
      <c r="G1559" s="4"/>
      <c r="H1559" s="149"/>
      <c r="K1559"/>
      <c r="L1559"/>
    </row>
    <row r="1560" spans="5:12" s="5" customFormat="1" x14ac:dyDescent="0.2">
      <c r="E1560" s="4"/>
      <c r="G1560" s="4"/>
      <c r="H1560" s="149"/>
      <c r="K1560"/>
      <c r="L1560"/>
    </row>
    <row r="1561" spans="5:12" s="5" customFormat="1" x14ac:dyDescent="0.2">
      <c r="E1561" s="4"/>
      <c r="G1561" s="4"/>
      <c r="H1561" s="149"/>
      <c r="K1561"/>
      <c r="L1561"/>
    </row>
    <row r="1562" spans="5:12" s="5" customFormat="1" x14ac:dyDescent="0.2">
      <c r="E1562" s="4"/>
      <c r="G1562" s="4"/>
      <c r="H1562" s="149"/>
      <c r="K1562"/>
      <c r="L1562"/>
    </row>
    <row r="1563" spans="5:12" s="5" customFormat="1" x14ac:dyDescent="0.2">
      <c r="E1563" s="4"/>
      <c r="G1563" s="4"/>
      <c r="H1563" s="149"/>
      <c r="K1563"/>
      <c r="L1563"/>
    </row>
    <row r="1564" spans="5:12" s="5" customFormat="1" x14ac:dyDescent="0.2">
      <c r="E1564" s="4"/>
      <c r="G1564" s="4"/>
      <c r="H1564" s="149"/>
      <c r="K1564"/>
      <c r="L1564"/>
    </row>
    <row r="1565" spans="5:12" s="5" customFormat="1" x14ac:dyDescent="0.2">
      <c r="E1565" s="4"/>
      <c r="G1565" s="4"/>
      <c r="H1565" s="149"/>
      <c r="K1565"/>
      <c r="L1565"/>
    </row>
    <row r="1566" spans="5:12" s="5" customFormat="1" x14ac:dyDescent="0.2">
      <c r="E1566" s="4"/>
      <c r="G1566" s="4"/>
      <c r="H1566" s="149"/>
      <c r="K1566"/>
      <c r="L1566"/>
    </row>
    <row r="1567" spans="5:12" s="5" customFormat="1" x14ac:dyDescent="0.2">
      <c r="E1567" s="4"/>
      <c r="G1567" s="4"/>
      <c r="H1567" s="149"/>
      <c r="K1567"/>
      <c r="L1567"/>
    </row>
    <row r="1568" spans="5:12" s="5" customFormat="1" x14ac:dyDescent="0.2">
      <c r="E1568" s="4"/>
      <c r="G1568" s="4"/>
      <c r="H1568" s="149"/>
      <c r="K1568"/>
      <c r="L1568"/>
    </row>
    <row r="1569" spans="5:12" s="5" customFormat="1" x14ac:dyDescent="0.2">
      <c r="E1569" s="4"/>
      <c r="G1569" s="4"/>
      <c r="H1569" s="149"/>
      <c r="K1569"/>
      <c r="L1569"/>
    </row>
    <row r="1570" spans="5:12" s="5" customFormat="1" x14ac:dyDescent="0.2">
      <c r="E1570" s="4"/>
      <c r="G1570" s="4"/>
      <c r="H1570" s="149"/>
      <c r="K1570"/>
      <c r="L1570"/>
    </row>
    <row r="1571" spans="5:12" s="5" customFormat="1" x14ac:dyDescent="0.2">
      <c r="E1571" s="4"/>
      <c r="G1571" s="4"/>
      <c r="H1571" s="149"/>
      <c r="K1571"/>
      <c r="L1571"/>
    </row>
    <row r="1572" spans="5:12" s="5" customFormat="1" x14ac:dyDescent="0.2">
      <c r="E1572" s="4"/>
      <c r="G1572" s="4"/>
      <c r="H1572" s="149"/>
      <c r="K1572"/>
      <c r="L1572"/>
    </row>
    <row r="1573" spans="5:12" s="5" customFormat="1" x14ac:dyDescent="0.2">
      <c r="E1573" s="4"/>
      <c r="G1573" s="4"/>
      <c r="H1573" s="149"/>
      <c r="K1573"/>
      <c r="L1573"/>
    </row>
    <row r="1574" spans="5:12" s="5" customFormat="1" x14ac:dyDescent="0.2">
      <c r="E1574" s="4"/>
      <c r="G1574" s="4"/>
      <c r="H1574" s="149"/>
      <c r="K1574"/>
      <c r="L1574"/>
    </row>
    <row r="1575" spans="5:12" s="5" customFormat="1" x14ac:dyDescent="0.2">
      <c r="E1575" s="4"/>
      <c r="G1575" s="4"/>
      <c r="H1575" s="149"/>
      <c r="K1575"/>
      <c r="L1575"/>
    </row>
    <row r="1576" spans="5:12" s="5" customFormat="1" x14ac:dyDescent="0.2">
      <c r="E1576" s="4"/>
      <c r="G1576" s="4"/>
      <c r="H1576" s="149"/>
      <c r="K1576"/>
      <c r="L1576"/>
    </row>
    <row r="1577" spans="5:12" s="5" customFormat="1" x14ac:dyDescent="0.2">
      <c r="E1577" s="4"/>
      <c r="G1577" s="4"/>
      <c r="H1577" s="149"/>
      <c r="K1577"/>
      <c r="L1577"/>
    </row>
    <row r="1578" spans="5:12" s="5" customFormat="1" x14ac:dyDescent="0.2">
      <c r="E1578" s="4"/>
      <c r="G1578" s="4"/>
      <c r="H1578" s="149"/>
      <c r="K1578"/>
      <c r="L1578"/>
    </row>
    <row r="1579" spans="5:12" s="5" customFormat="1" x14ac:dyDescent="0.2">
      <c r="E1579" s="4"/>
      <c r="G1579" s="4"/>
      <c r="H1579" s="149"/>
      <c r="K1579"/>
      <c r="L1579"/>
    </row>
    <row r="1580" spans="5:12" s="5" customFormat="1" x14ac:dyDescent="0.2">
      <c r="E1580" s="4"/>
      <c r="G1580" s="4"/>
      <c r="H1580" s="149"/>
      <c r="K1580"/>
      <c r="L1580"/>
    </row>
    <row r="1581" spans="5:12" s="5" customFormat="1" x14ac:dyDescent="0.2">
      <c r="E1581" s="4"/>
      <c r="G1581" s="4"/>
      <c r="H1581" s="149"/>
      <c r="K1581"/>
      <c r="L1581"/>
    </row>
    <row r="1582" spans="5:12" s="5" customFormat="1" x14ac:dyDescent="0.2">
      <c r="E1582" s="4"/>
      <c r="G1582" s="4"/>
      <c r="H1582" s="149"/>
      <c r="K1582"/>
      <c r="L1582"/>
    </row>
    <row r="1583" spans="5:12" s="5" customFormat="1" x14ac:dyDescent="0.2">
      <c r="E1583" s="4"/>
      <c r="G1583" s="4"/>
      <c r="H1583" s="149"/>
      <c r="K1583"/>
      <c r="L1583"/>
    </row>
    <row r="1584" spans="5:12" s="5" customFormat="1" x14ac:dyDescent="0.2">
      <c r="E1584" s="4"/>
      <c r="G1584" s="4"/>
      <c r="H1584" s="149"/>
      <c r="K1584"/>
      <c r="L1584"/>
    </row>
    <row r="1585" spans="5:12" s="5" customFormat="1" x14ac:dyDescent="0.2">
      <c r="E1585" s="4"/>
      <c r="G1585" s="4"/>
      <c r="H1585" s="149"/>
      <c r="K1585"/>
      <c r="L1585"/>
    </row>
    <row r="1586" spans="5:12" s="5" customFormat="1" x14ac:dyDescent="0.2">
      <c r="E1586" s="4"/>
      <c r="G1586" s="4"/>
      <c r="H1586" s="149"/>
      <c r="K1586"/>
      <c r="L1586"/>
    </row>
    <row r="1587" spans="5:12" s="5" customFormat="1" x14ac:dyDescent="0.2">
      <c r="E1587" s="4"/>
      <c r="G1587" s="4"/>
      <c r="H1587" s="149"/>
      <c r="K1587"/>
      <c r="L1587"/>
    </row>
    <row r="1588" spans="5:12" s="5" customFormat="1" x14ac:dyDescent="0.2">
      <c r="E1588" s="4"/>
      <c r="G1588" s="4"/>
      <c r="H1588" s="149"/>
      <c r="K1588"/>
      <c r="L1588"/>
    </row>
    <row r="1589" spans="5:12" s="5" customFormat="1" x14ac:dyDescent="0.2">
      <c r="E1589" s="4"/>
      <c r="G1589" s="4"/>
      <c r="H1589" s="149"/>
      <c r="K1589"/>
      <c r="L1589"/>
    </row>
    <row r="1590" spans="5:12" s="5" customFormat="1" x14ac:dyDescent="0.2">
      <c r="E1590" s="4"/>
      <c r="G1590" s="4"/>
      <c r="H1590" s="149"/>
      <c r="K1590"/>
      <c r="L1590"/>
    </row>
    <row r="1591" spans="5:12" s="5" customFormat="1" x14ac:dyDescent="0.2">
      <c r="E1591" s="4"/>
      <c r="G1591" s="4"/>
      <c r="H1591" s="149"/>
      <c r="K1591"/>
      <c r="L1591"/>
    </row>
    <row r="1592" spans="5:12" s="5" customFormat="1" x14ac:dyDescent="0.2">
      <c r="E1592" s="4"/>
      <c r="G1592" s="4"/>
      <c r="H1592" s="149"/>
      <c r="K1592"/>
      <c r="L1592"/>
    </row>
    <row r="1593" spans="5:12" s="5" customFormat="1" x14ac:dyDescent="0.2">
      <c r="E1593" s="4"/>
      <c r="G1593" s="4"/>
      <c r="H1593" s="149"/>
      <c r="K1593"/>
      <c r="L1593"/>
    </row>
    <row r="1594" spans="5:12" s="5" customFormat="1" x14ac:dyDescent="0.2">
      <c r="E1594" s="4"/>
      <c r="G1594" s="4"/>
      <c r="H1594" s="149"/>
      <c r="K1594"/>
      <c r="L1594"/>
    </row>
    <row r="1595" spans="5:12" s="5" customFormat="1" x14ac:dyDescent="0.2">
      <c r="E1595" s="4"/>
      <c r="G1595" s="4"/>
      <c r="H1595" s="149"/>
      <c r="K1595"/>
      <c r="L1595"/>
    </row>
    <row r="1596" spans="5:12" s="5" customFormat="1" x14ac:dyDescent="0.2">
      <c r="E1596" s="4"/>
      <c r="G1596" s="4"/>
      <c r="H1596" s="149"/>
      <c r="K1596"/>
      <c r="L1596"/>
    </row>
    <row r="1597" spans="5:12" s="5" customFormat="1" x14ac:dyDescent="0.2">
      <c r="E1597" s="4"/>
      <c r="G1597" s="4"/>
      <c r="H1597" s="149"/>
      <c r="K1597"/>
      <c r="L1597"/>
    </row>
    <row r="1598" spans="5:12" s="5" customFormat="1" x14ac:dyDescent="0.2">
      <c r="E1598" s="4"/>
      <c r="G1598" s="4"/>
      <c r="H1598" s="149"/>
      <c r="K1598"/>
      <c r="L1598"/>
    </row>
    <row r="1599" spans="5:12" s="5" customFormat="1" x14ac:dyDescent="0.2">
      <c r="E1599" s="4"/>
      <c r="G1599" s="4"/>
      <c r="H1599" s="149"/>
      <c r="K1599"/>
      <c r="L1599"/>
    </row>
    <row r="1600" spans="5:12" s="5" customFormat="1" x14ac:dyDescent="0.2">
      <c r="E1600" s="4"/>
      <c r="G1600" s="4"/>
      <c r="H1600" s="149"/>
      <c r="K1600"/>
      <c r="L1600"/>
    </row>
    <row r="1601" spans="5:12" s="5" customFormat="1" x14ac:dyDescent="0.2">
      <c r="E1601" s="4"/>
      <c r="G1601" s="4"/>
      <c r="H1601" s="149"/>
      <c r="K1601"/>
      <c r="L1601"/>
    </row>
    <row r="1602" spans="5:12" s="5" customFormat="1" x14ac:dyDescent="0.2">
      <c r="E1602" s="4"/>
      <c r="G1602" s="4"/>
      <c r="H1602" s="149"/>
      <c r="K1602"/>
      <c r="L1602"/>
    </row>
    <row r="1603" spans="5:12" s="5" customFormat="1" x14ac:dyDescent="0.2">
      <c r="E1603" s="4"/>
      <c r="G1603" s="4"/>
      <c r="H1603" s="149"/>
      <c r="K1603"/>
      <c r="L1603"/>
    </row>
    <row r="1604" spans="5:12" s="5" customFormat="1" x14ac:dyDescent="0.2">
      <c r="E1604" s="4"/>
      <c r="G1604" s="4"/>
      <c r="H1604" s="149"/>
      <c r="K1604"/>
      <c r="L1604"/>
    </row>
    <row r="1605" spans="5:12" s="5" customFormat="1" x14ac:dyDescent="0.2">
      <c r="E1605" s="4"/>
      <c r="G1605" s="4"/>
      <c r="H1605" s="149"/>
      <c r="K1605"/>
      <c r="L1605"/>
    </row>
    <row r="1606" spans="5:12" s="5" customFormat="1" x14ac:dyDescent="0.2">
      <c r="E1606" s="4"/>
      <c r="G1606" s="4"/>
      <c r="H1606" s="149"/>
      <c r="K1606"/>
      <c r="L1606"/>
    </row>
    <row r="1607" spans="5:12" s="5" customFormat="1" x14ac:dyDescent="0.2">
      <c r="E1607" s="4"/>
      <c r="G1607" s="4"/>
      <c r="H1607" s="149"/>
      <c r="K1607"/>
      <c r="L1607"/>
    </row>
    <row r="1608" spans="5:12" s="5" customFormat="1" x14ac:dyDescent="0.2">
      <c r="E1608" s="4"/>
      <c r="G1608" s="4"/>
      <c r="H1608" s="149"/>
      <c r="K1608"/>
      <c r="L1608"/>
    </row>
    <row r="1609" spans="5:12" s="5" customFormat="1" x14ac:dyDescent="0.2">
      <c r="E1609" s="4"/>
      <c r="G1609" s="4"/>
      <c r="H1609" s="149"/>
      <c r="K1609"/>
      <c r="L1609"/>
    </row>
    <row r="1610" spans="5:12" s="5" customFormat="1" x14ac:dyDescent="0.2">
      <c r="E1610" s="4"/>
      <c r="G1610" s="4"/>
      <c r="H1610" s="149"/>
      <c r="K1610"/>
      <c r="L1610"/>
    </row>
    <row r="1611" spans="5:12" s="5" customFormat="1" x14ac:dyDescent="0.2">
      <c r="E1611" s="4"/>
      <c r="G1611" s="4"/>
      <c r="H1611" s="149"/>
      <c r="K1611"/>
      <c r="L1611"/>
    </row>
    <row r="1612" spans="5:12" s="5" customFormat="1" x14ac:dyDescent="0.2">
      <c r="E1612" s="4"/>
      <c r="G1612" s="4"/>
      <c r="H1612" s="149"/>
      <c r="K1612"/>
      <c r="L1612"/>
    </row>
    <row r="1613" spans="5:12" s="5" customFormat="1" x14ac:dyDescent="0.2">
      <c r="E1613" s="4"/>
      <c r="G1613" s="4"/>
      <c r="H1613" s="149"/>
      <c r="K1613"/>
      <c r="L1613"/>
    </row>
    <row r="1614" spans="5:12" s="5" customFormat="1" x14ac:dyDescent="0.2">
      <c r="E1614" s="4"/>
      <c r="G1614" s="4"/>
      <c r="H1614" s="149"/>
      <c r="K1614"/>
      <c r="L1614"/>
    </row>
    <row r="1615" spans="5:12" s="5" customFormat="1" x14ac:dyDescent="0.2">
      <c r="E1615" s="4"/>
      <c r="G1615" s="4"/>
      <c r="H1615" s="149"/>
      <c r="K1615"/>
      <c r="L1615"/>
    </row>
    <row r="1616" spans="5:12" s="5" customFormat="1" x14ac:dyDescent="0.2">
      <c r="E1616" s="4"/>
      <c r="G1616" s="4"/>
      <c r="H1616" s="149"/>
      <c r="K1616"/>
      <c r="L1616"/>
    </row>
    <row r="1617" spans="5:12" s="5" customFormat="1" x14ac:dyDescent="0.2">
      <c r="E1617" s="4"/>
      <c r="G1617" s="4"/>
      <c r="H1617" s="149"/>
      <c r="K1617"/>
      <c r="L1617"/>
    </row>
    <row r="1618" spans="5:12" s="5" customFormat="1" x14ac:dyDescent="0.2">
      <c r="E1618" s="4"/>
      <c r="G1618" s="4"/>
      <c r="H1618" s="149"/>
      <c r="K1618"/>
      <c r="L1618"/>
    </row>
    <row r="1619" spans="5:12" s="5" customFormat="1" x14ac:dyDescent="0.2">
      <c r="E1619" s="4"/>
      <c r="G1619" s="4"/>
      <c r="H1619" s="149"/>
      <c r="K1619"/>
      <c r="L1619"/>
    </row>
    <row r="1620" spans="5:12" s="5" customFormat="1" x14ac:dyDescent="0.2">
      <c r="E1620" s="4"/>
      <c r="G1620" s="4"/>
      <c r="H1620" s="149"/>
      <c r="K1620"/>
      <c r="L1620"/>
    </row>
    <row r="1621" spans="5:12" s="5" customFormat="1" x14ac:dyDescent="0.2">
      <c r="E1621" s="4"/>
      <c r="G1621" s="4"/>
      <c r="H1621" s="149"/>
      <c r="K1621"/>
      <c r="L1621"/>
    </row>
    <row r="1622" spans="5:12" s="5" customFormat="1" x14ac:dyDescent="0.2">
      <c r="E1622" s="4"/>
      <c r="G1622" s="4"/>
      <c r="H1622" s="149"/>
      <c r="K1622"/>
      <c r="L1622"/>
    </row>
    <row r="1623" spans="5:12" s="5" customFormat="1" x14ac:dyDescent="0.2">
      <c r="E1623" s="4"/>
      <c r="G1623" s="4"/>
      <c r="H1623" s="149"/>
      <c r="K1623"/>
      <c r="L1623"/>
    </row>
    <row r="1624" spans="5:12" s="5" customFormat="1" x14ac:dyDescent="0.2">
      <c r="E1624" s="4"/>
      <c r="G1624" s="4"/>
      <c r="H1624" s="149"/>
      <c r="K1624"/>
      <c r="L1624"/>
    </row>
    <row r="1625" spans="5:12" s="5" customFormat="1" x14ac:dyDescent="0.2">
      <c r="E1625" s="4"/>
      <c r="G1625" s="4"/>
      <c r="H1625" s="149"/>
      <c r="K1625"/>
      <c r="L1625"/>
    </row>
    <row r="1626" spans="5:12" s="5" customFormat="1" x14ac:dyDescent="0.2">
      <c r="E1626" s="4"/>
      <c r="G1626" s="4"/>
      <c r="H1626" s="149"/>
      <c r="K1626"/>
      <c r="L1626"/>
    </row>
    <row r="1627" spans="5:12" s="5" customFormat="1" x14ac:dyDescent="0.2">
      <c r="E1627" s="4"/>
      <c r="G1627" s="4"/>
      <c r="H1627" s="149"/>
      <c r="K1627"/>
      <c r="L1627"/>
    </row>
    <row r="1628" spans="5:12" s="5" customFormat="1" x14ac:dyDescent="0.2">
      <c r="E1628" s="4"/>
      <c r="G1628" s="4"/>
      <c r="H1628" s="149"/>
      <c r="K1628"/>
      <c r="L1628"/>
    </row>
    <row r="1629" spans="5:12" s="5" customFormat="1" x14ac:dyDescent="0.2">
      <c r="E1629" s="4"/>
      <c r="G1629" s="4"/>
      <c r="H1629" s="149"/>
      <c r="K1629"/>
      <c r="L1629"/>
    </row>
    <row r="1630" spans="5:12" s="5" customFormat="1" x14ac:dyDescent="0.2">
      <c r="E1630" s="4"/>
      <c r="G1630" s="4"/>
      <c r="H1630" s="149"/>
      <c r="K1630"/>
      <c r="L1630"/>
    </row>
    <row r="1631" spans="5:12" s="5" customFormat="1" x14ac:dyDescent="0.2">
      <c r="E1631" s="4"/>
      <c r="G1631" s="4"/>
      <c r="H1631" s="149"/>
      <c r="K1631"/>
      <c r="L1631"/>
    </row>
    <row r="1632" spans="5:12" s="5" customFormat="1" x14ac:dyDescent="0.2">
      <c r="E1632" s="4"/>
      <c r="G1632" s="4"/>
      <c r="H1632" s="149"/>
      <c r="K1632"/>
      <c r="L1632"/>
    </row>
    <row r="1633" spans="5:12" s="5" customFormat="1" x14ac:dyDescent="0.2">
      <c r="E1633" s="4"/>
      <c r="G1633" s="4"/>
      <c r="H1633" s="149"/>
      <c r="K1633"/>
      <c r="L1633"/>
    </row>
    <row r="1634" spans="5:12" s="5" customFormat="1" x14ac:dyDescent="0.2">
      <c r="E1634" s="4"/>
      <c r="G1634" s="4"/>
      <c r="H1634" s="149"/>
      <c r="K1634"/>
      <c r="L1634"/>
    </row>
    <row r="1635" spans="5:12" s="5" customFormat="1" x14ac:dyDescent="0.2">
      <c r="E1635" s="4"/>
      <c r="G1635" s="4"/>
      <c r="H1635" s="149"/>
      <c r="K1635"/>
      <c r="L1635"/>
    </row>
    <row r="1636" spans="5:12" s="5" customFormat="1" x14ac:dyDescent="0.2">
      <c r="E1636" s="4"/>
      <c r="G1636" s="4"/>
      <c r="H1636" s="149"/>
      <c r="K1636"/>
      <c r="L1636"/>
    </row>
    <row r="1637" spans="5:12" s="5" customFormat="1" x14ac:dyDescent="0.2">
      <c r="E1637" s="4"/>
      <c r="G1637" s="4"/>
      <c r="H1637" s="149"/>
      <c r="K1637"/>
      <c r="L1637"/>
    </row>
    <row r="1638" spans="5:12" s="5" customFormat="1" x14ac:dyDescent="0.2">
      <c r="E1638" s="4"/>
      <c r="G1638" s="4"/>
      <c r="H1638" s="149"/>
      <c r="K1638"/>
      <c r="L1638"/>
    </row>
    <row r="1639" spans="5:12" s="5" customFormat="1" x14ac:dyDescent="0.2">
      <c r="E1639" s="4"/>
      <c r="G1639" s="4"/>
      <c r="H1639" s="149"/>
      <c r="K1639"/>
      <c r="L1639"/>
    </row>
    <row r="1640" spans="5:12" s="5" customFormat="1" x14ac:dyDescent="0.2">
      <c r="E1640" s="4"/>
      <c r="G1640" s="4"/>
      <c r="H1640" s="149"/>
      <c r="K1640"/>
      <c r="L1640"/>
    </row>
    <row r="1641" spans="5:12" s="5" customFormat="1" x14ac:dyDescent="0.2">
      <c r="E1641" s="4"/>
      <c r="G1641" s="4"/>
      <c r="H1641" s="149"/>
      <c r="K1641"/>
      <c r="L1641"/>
    </row>
    <row r="1642" spans="5:12" s="5" customFormat="1" x14ac:dyDescent="0.2">
      <c r="E1642" s="4"/>
      <c r="G1642" s="4"/>
      <c r="H1642" s="149"/>
      <c r="K1642"/>
      <c r="L1642"/>
    </row>
    <row r="1643" spans="5:12" s="5" customFormat="1" x14ac:dyDescent="0.2">
      <c r="E1643" s="4"/>
      <c r="G1643" s="4"/>
      <c r="H1643" s="149"/>
      <c r="K1643"/>
      <c r="L1643"/>
    </row>
    <row r="1644" spans="5:12" s="5" customFormat="1" x14ac:dyDescent="0.2">
      <c r="E1644" s="4"/>
      <c r="G1644" s="4"/>
      <c r="H1644" s="149"/>
      <c r="K1644"/>
      <c r="L1644"/>
    </row>
    <row r="1645" spans="5:12" s="5" customFormat="1" x14ac:dyDescent="0.2">
      <c r="E1645" s="4"/>
      <c r="G1645" s="4"/>
      <c r="H1645" s="149"/>
      <c r="K1645"/>
      <c r="L1645"/>
    </row>
    <row r="1646" spans="5:12" s="5" customFormat="1" x14ac:dyDescent="0.2">
      <c r="E1646" s="4"/>
      <c r="G1646" s="4"/>
      <c r="H1646" s="149"/>
      <c r="K1646"/>
      <c r="L1646"/>
    </row>
    <row r="1647" spans="5:12" s="5" customFormat="1" x14ac:dyDescent="0.2">
      <c r="E1647" s="4"/>
      <c r="G1647" s="4"/>
      <c r="H1647" s="149"/>
      <c r="K1647"/>
      <c r="L1647"/>
    </row>
    <row r="1648" spans="5:12" s="5" customFormat="1" x14ac:dyDescent="0.2">
      <c r="E1648" s="4"/>
      <c r="G1648" s="4"/>
      <c r="H1648" s="149"/>
      <c r="K1648"/>
      <c r="L1648"/>
    </row>
    <row r="1649" spans="5:12" s="5" customFormat="1" x14ac:dyDescent="0.2">
      <c r="E1649" s="4"/>
      <c r="G1649" s="4"/>
      <c r="H1649" s="149"/>
      <c r="K1649"/>
      <c r="L1649"/>
    </row>
    <row r="1650" spans="5:12" s="5" customFormat="1" x14ac:dyDescent="0.2">
      <c r="E1650" s="4"/>
      <c r="G1650" s="4"/>
      <c r="H1650" s="149"/>
      <c r="K1650"/>
      <c r="L1650"/>
    </row>
    <row r="1651" spans="5:12" s="5" customFormat="1" x14ac:dyDescent="0.2">
      <c r="E1651" s="4"/>
      <c r="G1651" s="4"/>
      <c r="H1651" s="149"/>
      <c r="K1651"/>
      <c r="L1651"/>
    </row>
    <row r="1652" spans="5:12" s="5" customFormat="1" x14ac:dyDescent="0.2">
      <c r="E1652" s="4"/>
      <c r="G1652" s="4"/>
      <c r="H1652" s="149"/>
      <c r="K1652"/>
      <c r="L1652"/>
    </row>
    <row r="1653" spans="5:12" s="5" customFormat="1" x14ac:dyDescent="0.2">
      <c r="E1653" s="4"/>
      <c r="G1653" s="4"/>
      <c r="H1653" s="149"/>
      <c r="K1653"/>
      <c r="L1653"/>
    </row>
    <row r="1654" spans="5:12" s="5" customFormat="1" x14ac:dyDescent="0.2">
      <c r="E1654" s="4"/>
      <c r="G1654" s="4"/>
      <c r="H1654" s="149"/>
      <c r="K1654"/>
      <c r="L1654"/>
    </row>
    <row r="1655" spans="5:12" s="5" customFormat="1" x14ac:dyDescent="0.2">
      <c r="E1655" s="4"/>
      <c r="G1655" s="4"/>
      <c r="H1655" s="149"/>
      <c r="K1655"/>
      <c r="L1655"/>
    </row>
    <row r="1656" spans="5:12" s="5" customFormat="1" x14ac:dyDescent="0.2">
      <c r="E1656" s="4"/>
      <c r="G1656" s="4"/>
      <c r="H1656" s="149"/>
      <c r="K1656"/>
      <c r="L1656"/>
    </row>
    <row r="1657" spans="5:12" s="5" customFormat="1" x14ac:dyDescent="0.2">
      <c r="E1657" s="4"/>
      <c r="G1657" s="4"/>
      <c r="H1657" s="149"/>
      <c r="K1657"/>
      <c r="L1657"/>
    </row>
    <row r="1658" spans="5:12" s="5" customFormat="1" x14ac:dyDescent="0.2">
      <c r="E1658" s="4"/>
      <c r="G1658" s="4"/>
      <c r="H1658" s="149"/>
      <c r="K1658"/>
      <c r="L1658"/>
    </row>
    <row r="1659" spans="5:12" s="5" customFormat="1" x14ac:dyDescent="0.2">
      <c r="E1659" s="4"/>
      <c r="G1659" s="4"/>
      <c r="H1659" s="149"/>
      <c r="K1659"/>
      <c r="L1659"/>
    </row>
    <row r="1660" spans="5:12" s="5" customFormat="1" x14ac:dyDescent="0.2">
      <c r="E1660" s="4"/>
      <c r="G1660" s="4"/>
      <c r="H1660" s="149"/>
      <c r="K1660"/>
      <c r="L1660"/>
    </row>
    <row r="1661" spans="5:12" s="5" customFormat="1" x14ac:dyDescent="0.2">
      <c r="E1661" s="4"/>
      <c r="G1661" s="4"/>
      <c r="H1661" s="149"/>
      <c r="K1661"/>
      <c r="L1661"/>
    </row>
    <row r="1662" spans="5:12" s="5" customFormat="1" x14ac:dyDescent="0.2">
      <c r="E1662" s="4"/>
      <c r="G1662" s="4"/>
      <c r="H1662" s="149"/>
      <c r="K1662"/>
      <c r="L1662"/>
    </row>
    <row r="1663" spans="5:12" s="5" customFormat="1" x14ac:dyDescent="0.2">
      <c r="E1663" s="4"/>
      <c r="G1663" s="4"/>
      <c r="H1663" s="149"/>
      <c r="K1663"/>
      <c r="L1663"/>
    </row>
    <row r="1664" spans="5:12" s="5" customFormat="1" x14ac:dyDescent="0.2">
      <c r="E1664" s="4"/>
      <c r="G1664" s="4"/>
      <c r="H1664" s="149"/>
      <c r="K1664"/>
      <c r="L1664"/>
    </row>
    <row r="1665" spans="5:12" s="5" customFormat="1" x14ac:dyDescent="0.2">
      <c r="E1665" s="4"/>
      <c r="G1665" s="4"/>
      <c r="H1665" s="149"/>
      <c r="K1665"/>
      <c r="L1665"/>
    </row>
    <row r="1666" spans="5:12" s="5" customFormat="1" x14ac:dyDescent="0.2">
      <c r="E1666" s="4"/>
      <c r="G1666" s="4"/>
      <c r="H1666" s="149"/>
      <c r="K1666"/>
      <c r="L1666"/>
    </row>
    <row r="1667" spans="5:12" s="5" customFormat="1" x14ac:dyDescent="0.2">
      <c r="E1667" s="4"/>
      <c r="G1667" s="4"/>
      <c r="H1667" s="149"/>
      <c r="K1667"/>
      <c r="L1667"/>
    </row>
    <row r="1668" spans="5:12" s="5" customFormat="1" x14ac:dyDescent="0.2">
      <c r="E1668" s="4"/>
      <c r="G1668" s="4"/>
      <c r="H1668" s="149"/>
      <c r="K1668"/>
      <c r="L1668"/>
    </row>
    <row r="1669" spans="5:12" s="5" customFormat="1" x14ac:dyDescent="0.2">
      <c r="E1669" s="4"/>
      <c r="G1669" s="4"/>
      <c r="H1669" s="149"/>
      <c r="K1669"/>
      <c r="L1669"/>
    </row>
    <row r="1670" spans="5:12" s="5" customFormat="1" x14ac:dyDescent="0.2">
      <c r="E1670" s="4"/>
      <c r="G1670" s="4"/>
      <c r="H1670" s="149"/>
      <c r="K1670"/>
      <c r="L1670"/>
    </row>
    <row r="1671" spans="5:12" s="5" customFormat="1" x14ac:dyDescent="0.2">
      <c r="E1671" s="4"/>
      <c r="G1671" s="4"/>
      <c r="H1671" s="149"/>
      <c r="K1671"/>
      <c r="L1671"/>
    </row>
    <row r="1672" spans="5:12" s="5" customFormat="1" x14ac:dyDescent="0.2">
      <c r="E1672" s="4"/>
      <c r="G1672" s="4"/>
      <c r="H1672" s="149"/>
      <c r="K1672"/>
      <c r="L1672"/>
    </row>
    <row r="1673" spans="5:12" s="5" customFormat="1" x14ac:dyDescent="0.2">
      <c r="E1673" s="4"/>
      <c r="G1673" s="4"/>
      <c r="H1673" s="149"/>
      <c r="K1673"/>
      <c r="L1673"/>
    </row>
    <row r="1674" spans="5:12" s="5" customFormat="1" x14ac:dyDescent="0.2">
      <c r="E1674" s="4"/>
      <c r="G1674" s="4"/>
      <c r="H1674" s="149"/>
      <c r="K1674"/>
      <c r="L1674"/>
    </row>
    <row r="1675" spans="5:12" s="5" customFormat="1" x14ac:dyDescent="0.2">
      <c r="E1675" s="4"/>
      <c r="G1675" s="4"/>
      <c r="H1675" s="149"/>
      <c r="K1675"/>
      <c r="L1675"/>
    </row>
    <row r="1676" spans="5:12" s="5" customFormat="1" x14ac:dyDescent="0.2">
      <c r="E1676" s="4"/>
      <c r="G1676" s="4"/>
      <c r="H1676" s="149"/>
      <c r="K1676"/>
      <c r="L1676"/>
    </row>
    <row r="1677" spans="5:12" s="5" customFormat="1" x14ac:dyDescent="0.2">
      <c r="E1677" s="4"/>
      <c r="G1677" s="4"/>
      <c r="H1677" s="149"/>
      <c r="K1677"/>
      <c r="L1677"/>
    </row>
    <row r="1678" spans="5:12" s="5" customFormat="1" x14ac:dyDescent="0.2">
      <c r="E1678" s="4"/>
      <c r="G1678" s="4"/>
      <c r="H1678" s="149"/>
      <c r="K1678"/>
      <c r="L1678"/>
    </row>
    <row r="1679" spans="5:12" s="5" customFormat="1" x14ac:dyDescent="0.2">
      <c r="E1679" s="4"/>
      <c r="G1679" s="4"/>
      <c r="H1679" s="149"/>
      <c r="K1679"/>
      <c r="L1679"/>
    </row>
    <row r="1680" spans="5:12" s="5" customFormat="1" x14ac:dyDescent="0.2">
      <c r="E1680" s="4"/>
      <c r="G1680" s="4"/>
      <c r="H1680" s="149"/>
      <c r="K1680"/>
      <c r="L1680"/>
    </row>
    <row r="1681" spans="5:12" s="5" customFormat="1" x14ac:dyDescent="0.2">
      <c r="E1681" s="4"/>
      <c r="G1681" s="4"/>
      <c r="H1681" s="149"/>
      <c r="K1681"/>
      <c r="L1681"/>
    </row>
    <row r="1682" spans="5:12" s="5" customFormat="1" x14ac:dyDescent="0.2">
      <c r="E1682" s="4"/>
      <c r="G1682" s="4"/>
      <c r="H1682" s="149"/>
      <c r="K1682"/>
      <c r="L1682"/>
    </row>
    <row r="1683" spans="5:12" s="5" customFormat="1" x14ac:dyDescent="0.2">
      <c r="E1683" s="4"/>
      <c r="G1683" s="4"/>
      <c r="H1683" s="149"/>
      <c r="K1683"/>
      <c r="L1683"/>
    </row>
    <row r="1684" spans="5:12" s="5" customFormat="1" x14ac:dyDescent="0.2">
      <c r="E1684" s="4"/>
      <c r="G1684" s="4"/>
      <c r="H1684" s="149"/>
      <c r="K1684"/>
      <c r="L1684"/>
    </row>
    <row r="1685" spans="5:12" s="5" customFormat="1" x14ac:dyDescent="0.2">
      <c r="E1685" s="4"/>
      <c r="G1685" s="4"/>
      <c r="H1685" s="149"/>
      <c r="K1685"/>
      <c r="L1685"/>
    </row>
    <row r="1686" spans="5:12" s="5" customFormat="1" x14ac:dyDescent="0.2">
      <c r="E1686" s="4"/>
      <c r="G1686" s="4"/>
      <c r="H1686" s="149"/>
      <c r="K1686"/>
      <c r="L1686"/>
    </row>
    <row r="1687" spans="5:12" s="5" customFormat="1" x14ac:dyDescent="0.2">
      <c r="E1687" s="4"/>
      <c r="G1687" s="4"/>
      <c r="H1687" s="149"/>
      <c r="K1687"/>
      <c r="L1687"/>
    </row>
    <row r="1688" spans="5:12" s="5" customFormat="1" x14ac:dyDescent="0.2">
      <c r="E1688" s="4"/>
      <c r="G1688" s="4"/>
      <c r="H1688" s="149"/>
      <c r="K1688"/>
      <c r="L1688"/>
    </row>
    <row r="1689" spans="5:12" s="5" customFormat="1" x14ac:dyDescent="0.2">
      <c r="E1689" s="4"/>
      <c r="G1689" s="4"/>
      <c r="H1689" s="149"/>
      <c r="K1689"/>
      <c r="L1689"/>
    </row>
    <row r="1690" spans="5:12" s="5" customFormat="1" x14ac:dyDescent="0.2">
      <c r="E1690" s="4"/>
      <c r="G1690" s="4"/>
      <c r="H1690" s="149"/>
      <c r="K1690"/>
      <c r="L1690"/>
    </row>
    <row r="1691" spans="5:12" s="5" customFormat="1" x14ac:dyDescent="0.2">
      <c r="E1691" s="4"/>
      <c r="G1691" s="4"/>
      <c r="H1691" s="149"/>
      <c r="K1691"/>
      <c r="L1691"/>
    </row>
    <row r="1692" spans="5:12" s="5" customFormat="1" x14ac:dyDescent="0.2">
      <c r="E1692" s="4"/>
      <c r="G1692" s="4"/>
      <c r="H1692" s="149"/>
      <c r="K1692"/>
      <c r="L1692"/>
    </row>
    <row r="1693" spans="5:12" s="5" customFormat="1" x14ac:dyDescent="0.2">
      <c r="E1693" s="4"/>
      <c r="G1693" s="4"/>
      <c r="H1693" s="149"/>
      <c r="K1693"/>
      <c r="L1693"/>
    </row>
    <row r="1694" spans="5:12" s="5" customFormat="1" x14ac:dyDescent="0.2">
      <c r="E1694" s="4"/>
      <c r="G1694" s="4"/>
      <c r="H1694" s="149"/>
      <c r="K1694"/>
      <c r="L1694"/>
    </row>
    <row r="1695" spans="5:12" s="5" customFormat="1" x14ac:dyDescent="0.2">
      <c r="E1695" s="4"/>
      <c r="G1695" s="4"/>
      <c r="H1695" s="149"/>
      <c r="K1695"/>
      <c r="L1695"/>
    </row>
    <row r="1696" spans="5:12" s="5" customFormat="1" x14ac:dyDescent="0.2">
      <c r="E1696" s="4"/>
      <c r="G1696" s="4"/>
      <c r="H1696" s="149"/>
      <c r="K1696"/>
      <c r="L1696"/>
    </row>
    <row r="1697" spans="5:12" s="5" customFormat="1" x14ac:dyDescent="0.2">
      <c r="E1697" s="4"/>
      <c r="G1697" s="4"/>
      <c r="H1697" s="149"/>
      <c r="K1697"/>
      <c r="L1697"/>
    </row>
    <row r="1698" spans="5:12" s="5" customFormat="1" x14ac:dyDescent="0.2">
      <c r="E1698" s="4"/>
      <c r="G1698" s="4"/>
      <c r="H1698" s="149"/>
      <c r="K1698"/>
      <c r="L1698"/>
    </row>
    <row r="1699" spans="5:12" s="5" customFormat="1" x14ac:dyDescent="0.2">
      <c r="E1699" s="4"/>
      <c r="G1699" s="4"/>
      <c r="H1699" s="149"/>
      <c r="K1699"/>
      <c r="L1699"/>
    </row>
    <row r="1700" spans="5:12" s="5" customFormat="1" x14ac:dyDescent="0.2">
      <c r="E1700" s="4"/>
      <c r="G1700" s="4"/>
      <c r="H1700" s="149"/>
      <c r="K1700"/>
      <c r="L1700"/>
    </row>
    <row r="1701" spans="5:12" s="5" customFormat="1" x14ac:dyDescent="0.2">
      <c r="E1701" s="4"/>
      <c r="G1701" s="4"/>
      <c r="H1701" s="149"/>
      <c r="K1701"/>
      <c r="L1701"/>
    </row>
    <row r="1702" spans="5:12" s="5" customFormat="1" x14ac:dyDescent="0.2">
      <c r="E1702" s="4"/>
      <c r="G1702" s="4"/>
      <c r="H1702" s="149"/>
      <c r="K1702"/>
      <c r="L1702"/>
    </row>
    <row r="1703" spans="5:12" s="5" customFormat="1" x14ac:dyDescent="0.2">
      <c r="E1703" s="4"/>
      <c r="G1703" s="4"/>
      <c r="H1703" s="149"/>
      <c r="K1703"/>
      <c r="L1703"/>
    </row>
    <row r="1704" spans="5:12" s="5" customFormat="1" x14ac:dyDescent="0.2">
      <c r="E1704" s="4"/>
      <c r="G1704" s="4"/>
      <c r="H1704" s="149"/>
      <c r="K1704"/>
      <c r="L1704"/>
    </row>
    <row r="1705" spans="5:12" s="5" customFormat="1" x14ac:dyDescent="0.2">
      <c r="E1705" s="4"/>
      <c r="G1705" s="4"/>
      <c r="H1705" s="149"/>
      <c r="K1705"/>
      <c r="L1705"/>
    </row>
    <row r="1706" spans="5:12" s="5" customFormat="1" x14ac:dyDescent="0.2">
      <c r="E1706" s="4"/>
      <c r="G1706" s="4"/>
      <c r="H1706" s="149"/>
      <c r="K1706"/>
      <c r="L1706"/>
    </row>
    <row r="1707" spans="5:12" s="5" customFormat="1" x14ac:dyDescent="0.2">
      <c r="E1707" s="4"/>
      <c r="G1707" s="4"/>
      <c r="H1707" s="149"/>
      <c r="K1707"/>
      <c r="L1707"/>
    </row>
    <row r="1708" spans="5:12" s="5" customFormat="1" x14ac:dyDescent="0.2">
      <c r="E1708" s="4"/>
      <c r="G1708" s="4"/>
      <c r="H1708" s="149"/>
      <c r="K1708"/>
      <c r="L1708"/>
    </row>
    <row r="1709" spans="5:12" s="5" customFormat="1" x14ac:dyDescent="0.2">
      <c r="E1709" s="4"/>
      <c r="G1709" s="4"/>
      <c r="H1709" s="149"/>
      <c r="K1709"/>
      <c r="L1709"/>
    </row>
    <row r="1710" spans="5:12" s="5" customFormat="1" x14ac:dyDescent="0.2">
      <c r="E1710" s="4"/>
      <c r="G1710" s="4"/>
      <c r="H1710" s="149"/>
      <c r="K1710"/>
      <c r="L1710"/>
    </row>
    <row r="1711" spans="5:12" s="5" customFormat="1" x14ac:dyDescent="0.2">
      <c r="E1711" s="4"/>
      <c r="G1711" s="4"/>
      <c r="H1711" s="149"/>
      <c r="K1711"/>
      <c r="L1711"/>
    </row>
    <row r="1712" spans="5:12" s="5" customFormat="1" x14ac:dyDescent="0.2">
      <c r="E1712" s="4"/>
      <c r="G1712" s="4"/>
      <c r="H1712" s="149"/>
      <c r="K1712"/>
      <c r="L1712"/>
    </row>
    <row r="1713" spans="5:12" s="5" customFormat="1" x14ac:dyDescent="0.2">
      <c r="E1713" s="4"/>
      <c r="G1713" s="4"/>
      <c r="H1713" s="149"/>
      <c r="K1713"/>
      <c r="L1713"/>
    </row>
    <row r="1714" spans="5:12" s="5" customFormat="1" x14ac:dyDescent="0.2">
      <c r="E1714" s="4"/>
      <c r="G1714" s="4"/>
      <c r="H1714" s="149"/>
      <c r="K1714"/>
      <c r="L1714"/>
    </row>
    <row r="1715" spans="5:12" s="5" customFormat="1" x14ac:dyDescent="0.2">
      <c r="E1715" s="4"/>
      <c r="G1715" s="4"/>
      <c r="H1715" s="149"/>
      <c r="K1715"/>
      <c r="L1715"/>
    </row>
    <row r="1716" spans="5:12" s="5" customFormat="1" x14ac:dyDescent="0.2">
      <c r="E1716" s="4"/>
      <c r="G1716" s="4"/>
      <c r="H1716" s="149"/>
      <c r="K1716"/>
      <c r="L1716"/>
    </row>
    <row r="1717" spans="5:12" s="5" customFormat="1" x14ac:dyDescent="0.2">
      <c r="E1717" s="4"/>
      <c r="G1717" s="4"/>
      <c r="H1717" s="149"/>
      <c r="K1717"/>
      <c r="L1717"/>
    </row>
    <row r="1718" spans="5:12" s="5" customFormat="1" x14ac:dyDescent="0.2">
      <c r="E1718" s="4"/>
      <c r="G1718" s="4"/>
      <c r="H1718" s="149"/>
      <c r="K1718"/>
      <c r="L1718"/>
    </row>
    <row r="1719" spans="5:12" s="5" customFormat="1" x14ac:dyDescent="0.2">
      <c r="E1719" s="4"/>
      <c r="G1719" s="4"/>
      <c r="H1719" s="149"/>
      <c r="K1719"/>
      <c r="L1719"/>
    </row>
    <row r="1720" spans="5:12" s="5" customFormat="1" x14ac:dyDescent="0.2">
      <c r="E1720" s="4"/>
      <c r="G1720" s="4"/>
      <c r="H1720" s="149"/>
      <c r="K1720"/>
      <c r="L1720"/>
    </row>
    <row r="1721" spans="5:12" s="5" customFormat="1" x14ac:dyDescent="0.2">
      <c r="E1721" s="4"/>
      <c r="G1721" s="4"/>
      <c r="H1721" s="149"/>
      <c r="K1721"/>
      <c r="L1721"/>
    </row>
    <row r="1722" spans="5:12" s="5" customFormat="1" x14ac:dyDescent="0.2">
      <c r="E1722" s="4"/>
      <c r="G1722" s="4"/>
      <c r="H1722" s="149"/>
      <c r="K1722"/>
      <c r="L1722"/>
    </row>
    <row r="1723" spans="5:12" s="5" customFormat="1" x14ac:dyDescent="0.2">
      <c r="E1723" s="4"/>
      <c r="G1723" s="4"/>
      <c r="H1723" s="149"/>
      <c r="K1723"/>
      <c r="L1723"/>
    </row>
    <row r="1724" spans="5:12" s="5" customFormat="1" x14ac:dyDescent="0.2">
      <c r="E1724" s="4"/>
      <c r="G1724" s="4"/>
      <c r="H1724" s="149"/>
      <c r="K1724"/>
      <c r="L1724"/>
    </row>
    <row r="1725" spans="5:12" s="5" customFormat="1" x14ac:dyDescent="0.2">
      <c r="E1725" s="4"/>
      <c r="G1725" s="4"/>
      <c r="H1725" s="149"/>
      <c r="K1725"/>
      <c r="L1725"/>
    </row>
    <row r="1726" spans="5:12" s="5" customFormat="1" x14ac:dyDescent="0.2">
      <c r="E1726" s="4"/>
      <c r="G1726" s="4"/>
      <c r="H1726" s="149"/>
      <c r="K1726"/>
      <c r="L1726"/>
    </row>
    <row r="1727" spans="5:12" s="5" customFormat="1" x14ac:dyDescent="0.2">
      <c r="E1727" s="4"/>
      <c r="G1727" s="4"/>
      <c r="H1727" s="149"/>
      <c r="K1727"/>
      <c r="L17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L1" sqref="AL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15</v>
      </c>
      <c r="B1" s="32" t="s">
        <v>16</v>
      </c>
      <c r="C1" s="28" t="s">
        <v>17</v>
      </c>
      <c r="D1" s="27" t="s">
        <v>18</v>
      </c>
      <c r="E1" s="21" t="s">
        <v>19</v>
      </c>
      <c r="F1" s="27" t="s">
        <v>20</v>
      </c>
      <c r="G1" s="98" t="s">
        <v>21</v>
      </c>
      <c r="H1" s="102" t="s">
        <v>22</v>
      </c>
      <c r="I1" s="108" t="s">
        <v>23</v>
      </c>
      <c r="J1" s="113" t="s">
        <v>24</v>
      </c>
      <c r="K1" s="38" t="s">
        <v>25</v>
      </c>
      <c r="L1" s="114" t="s">
        <v>26</v>
      </c>
      <c r="M1" s="38" t="s">
        <v>25</v>
      </c>
      <c r="N1" s="114" t="s">
        <v>27</v>
      </c>
      <c r="O1" s="38" t="s">
        <v>25</v>
      </c>
      <c r="P1" s="113" t="s">
        <v>28</v>
      </c>
      <c r="Q1" s="64" t="s">
        <v>25</v>
      </c>
      <c r="R1" s="31" t="s">
        <v>15</v>
      </c>
      <c r="S1" s="37" t="s">
        <v>29</v>
      </c>
      <c r="T1" s="112" t="s">
        <v>30</v>
      </c>
      <c r="U1" s="38" t="s">
        <v>25</v>
      </c>
      <c r="V1" s="33" t="s">
        <v>31</v>
      </c>
      <c r="W1" s="45" t="s">
        <v>32</v>
      </c>
      <c r="X1" s="47" t="s">
        <v>33</v>
      </c>
      <c r="Y1" s="46" t="s">
        <v>34</v>
      </c>
      <c r="Z1" s="38" t="s">
        <v>25</v>
      </c>
      <c r="AA1" s="55" t="s">
        <v>35</v>
      </c>
      <c r="AB1" s="38" t="s">
        <v>25</v>
      </c>
      <c r="AC1" s="55" t="s">
        <v>36</v>
      </c>
      <c r="AD1" s="38" t="s">
        <v>25</v>
      </c>
      <c r="AE1" s="58" t="s">
        <v>37</v>
      </c>
      <c r="AF1" s="38" t="s">
        <v>25</v>
      </c>
      <c r="AG1" s="61" t="s">
        <v>38</v>
      </c>
      <c r="AH1" s="72" t="s">
        <v>39</v>
      </c>
      <c r="AI1" s="38" t="s">
        <v>25</v>
      </c>
      <c r="AJ1" s="29" t="s">
        <v>12</v>
      </c>
      <c r="AK1" s="30" t="s">
        <v>40</v>
      </c>
    </row>
    <row r="2" spans="1:37" x14ac:dyDescent="0.2">
      <c r="A2" s="24">
        <v>45505</v>
      </c>
      <c r="B2" s="8">
        <v>31699795</v>
      </c>
      <c r="C2" s="16">
        <f>B3-B2</f>
        <v>7051</v>
      </c>
      <c r="D2" s="9">
        <v>798988</v>
      </c>
      <c r="E2" s="16">
        <f>D3-D2</f>
        <v>2520</v>
      </c>
      <c r="F2" s="34">
        <v>110448</v>
      </c>
      <c r="G2" s="99">
        <f>F3-F2</f>
        <v>0</v>
      </c>
      <c r="H2" s="103">
        <f>C2+E2-G2</f>
        <v>9571</v>
      </c>
      <c r="I2" s="109">
        <f>H2-K2-M2-O2-Q2</f>
        <v>8318.8000000000175</v>
      </c>
      <c r="J2" s="96">
        <v>4614608.4000000004</v>
      </c>
      <c r="K2" s="41">
        <f>J3-J2</f>
        <v>966</v>
      </c>
      <c r="L2" s="14">
        <v>462901</v>
      </c>
      <c r="M2" s="41">
        <f>L3-L2</f>
        <v>71</v>
      </c>
      <c r="N2" s="14">
        <v>119482.1</v>
      </c>
      <c r="O2" s="41">
        <f>N3-N2</f>
        <v>70.899999999994179</v>
      </c>
      <c r="P2" s="96">
        <v>169135.7</v>
      </c>
      <c r="Q2" s="65">
        <f>P3-P2</f>
        <v>144.29999999998836</v>
      </c>
      <c r="R2" s="24">
        <f>A2</f>
        <v>45505</v>
      </c>
      <c r="S2" s="39">
        <v>7174</v>
      </c>
      <c r="T2" s="40">
        <v>0</v>
      </c>
      <c r="U2" s="41">
        <f>S2+T2-S3</f>
        <v>101</v>
      </c>
      <c r="V2" s="19">
        <v>0.75</v>
      </c>
      <c r="W2" s="48">
        <v>0.73</v>
      </c>
      <c r="X2" s="50">
        <f t="shared" ref="X2:X33" si="0">(V2*2500)+(W2*2500)</f>
        <v>3700</v>
      </c>
      <c r="Y2" s="49"/>
      <c r="Z2" s="41">
        <f>X2+Y2-X3</f>
        <v>175</v>
      </c>
      <c r="AA2" s="56">
        <v>99070</v>
      </c>
      <c r="AB2" s="41">
        <f>AA3-AA2</f>
        <v>91</v>
      </c>
      <c r="AC2" s="56">
        <v>9914.7999999999993</v>
      </c>
      <c r="AD2" s="41">
        <f>AC3-AC2</f>
        <v>6.9000000000014552</v>
      </c>
      <c r="AE2" s="59">
        <v>68617</v>
      </c>
      <c r="AF2" s="41">
        <f>AE3-AE2</f>
        <v>21</v>
      </c>
      <c r="AG2" s="62">
        <v>3100</v>
      </c>
      <c r="AH2" s="73">
        <v>0</v>
      </c>
      <c r="AI2" s="41">
        <f>AG3+AH2-AG2</f>
        <v>0</v>
      </c>
      <c r="AJ2" s="12">
        <v>152</v>
      </c>
      <c r="AK2" s="22">
        <v>332</v>
      </c>
    </row>
    <row r="3" spans="1:37" x14ac:dyDescent="0.2">
      <c r="A3" s="25">
        <v>45506</v>
      </c>
      <c r="B3" s="10">
        <v>31706846</v>
      </c>
      <c r="C3" s="67">
        <f>B4-B3</f>
        <v>7295</v>
      </c>
      <c r="D3" s="11">
        <v>801508</v>
      </c>
      <c r="E3" s="17">
        <f>D4-D3</f>
        <v>2572</v>
      </c>
      <c r="F3" s="35">
        <v>110448</v>
      </c>
      <c r="G3" s="100">
        <f>F4-F3</f>
        <v>0</v>
      </c>
      <c r="H3" s="104">
        <f t="shared" ref="H3:H32" si="1">C3+E3-G3</f>
        <v>9867</v>
      </c>
      <c r="I3" s="110">
        <f t="shared" ref="I3:I32" si="2">H3-K3-M3-O3-Q3</f>
        <v>8659.8000000007451</v>
      </c>
      <c r="J3" s="97">
        <v>4615574.4000000004</v>
      </c>
      <c r="K3" s="44">
        <f>J4-J3</f>
        <v>921.19999999925494</v>
      </c>
      <c r="L3" s="15">
        <v>462972</v>
      </c>
      <c r="M3" s="44">
        <f>L4-L3</f>
        <v>71</v>
      </c>
      <c r="N3" s="15">
        <v>119553</v>
      </c>
      <c r="O3" s="44">
        <f>N4-N3</f>
        <v>71</v>
      </c>
      <c r="P3" s="97">
        <v>169280</v>
      </c>
      <c r="Q3" s="66">
        <f>P4-P3</f>
        <v>144</v>
      </c>
      <c r="R3" s="25">
        <f>A3</f>
        <v>45506</v>
      </c>
      <c r="S3" s="42">
        <v>7073</v>
      </c>
      <c r="T3" s="43">
        <v>0</v>
      </c>
      <c r="U3" s="44">
        <f>S3+T3-S4</f>
        <v>53</v>
      </c>
      <c r="V3" s="20">
        <v>0.71</v>
      </c>
      <c r="W3" s="51">
        <v>0.7</v>
      </c>
      <c r="X3" s="52">
        <f t="shared" si="0"/>
        <v>3525</v>
      </c>
      <c r="Y3" s="49"/>
      <c r="Z3" s="53">
        <f t="shared" ref="Z3:Z32" si="3">X3+Y3-X4</f>
        <v>225</v>
      </c>
      <c r="AA3" s="57">
        <v>99161</v>
      </c>
      <c r="AB3" s="44">
        <f>AA4-AA3</f>
        <v>99</v>
      </c>
      <c r="AC3" s="57">
        <v>9921.7000000000007</v>
      </c>
      <c r="AD3" s="44">
        <f>AC4-AC3</f>
        <v>11.699999999998909</v>
      </c>
      <c r="AE3" s="60">
        <v>68638</v>
      </c>
      <c r="AF3" s="44">
        <f>AE4-AE3</f>
        <v>61</v>
      </c>
      <c r="AG3" s="63">
        <v>3100</v>
      </c>
      <c r="AH3" s="74">
        <v>0</v>
      </c>
      <c r="AI3" s="53">
        <f t="shared" ref="AI3:AI32" si="4">AG4+AH3-AG3</f>
        <v>0</v>
      </c>
      <c r="AJ3" s="13">
        <v>165</v>
      </c>
      <c r="AK3" s="23">
        <v>343</v>
      </c>
    </row>
    <row r="4" spans="1:37" x14ac:dyDescent="0.2">
      <c r="A4" s="25">
        <v>45507</v>
      </c>
      <c r="B4" s="10">
        <v>31714141</v>
      </c>
      <c r="C4" s="17">
        <f t="shared" ref="C4:E20" si="5">B5-B4</f>
        <v>7159</v>
      </c>
      <c r="D4" s="11">
        <v>804080</v>
      </c>
      <c r="E4" s="17">
        <f t="shared" si="5"/>
        <v>2357</v>
      </c>
      <c r="F4" s="35">
        <v>110448</v>
      </c>
      <c r="G4" s="100">
        <f t="shared" ref="G4:K4" si="6">F5-F4</f>
        <v>0</v>
      </c>
      <c r="H4" s="104">
        <f t="shared" si="1"/>
        <v>9516</v>
      </c>
      <c r="I4" s="110">
        <f t="shared" si="2"/>
        <v>8243.1999999992549</v>
      </c>
      <c r="J4" s="97">
        <v>4616495.5999999996</v>
      </c>
      <c r="K4" s="44">
        <f t="shared" si="6"/>
        <v>986.80000000074506</v>
      </c>
      <c r="L4" s="15">
        <v>463043</v>
      </c>
      <c r="M4" s="44">
        <f t="shared" ref="M4:O4" si="7">L5-L4</f>
        <v>71</v>
      </c>
      <c r="N4" s="15">
        <v>119624</v>
      </c>
      <c r="O4" s="44">
        <f t="shared" si="7"/>
        <v>71</v>
      </c>
      <c r="P4" s="97">
        <v>169424</v>
      </c>
      <c r="Q4" s="66">
        <f t="shared" ref="Q4" si="8">P5-P4</f>
        <v>144</v>
      </c>
      <c r="R4" s="25">
        <f t="shared" ref="R4:R32" si="9">A4</f>
        <v>45507</v>
      </c>
      <c r="S4" s="42">
        <v>7020</v>
      </c>
      <c r="T4" s="43">
        <v>0</v>
      </c>
      <c r="U4" s="44">
        <f t="shared" ref="U4:U32" si="10">S4+T4-S5</f>
        <v>20</v>
      </c>
      <c r="V4" s="20">
        <v>0.66</v>
      </c>
      <c r="W4" s="51">
        <v>0.66</v>
      </c>
      <c r="X4" s="52">
        <f t="shared" si="0"/>
        <v>3300</v>
      </c>
      <c r="Y4" s="49"/>
      <c r="Z4" s="53">
        <f t="shared" si="3"/>
        <v>225</v>
      </c>
      <c r="AA4" s="57">
        <v>99260</v>
      </c>
      <c r="AB4" s="44">
        <f t="shared" ref="AB4" si="11">AA5-AA4</f>
        <v>96</v>
      </c>
      <c r="AC4" s="57">
        <v>9933.4</v>
      </c>
      <c r="AD4" s="44">
        <f t="shared" ref="AD4:AF4" si="12">AC5-AC4</f>
        <v>14.700000000000728</v>
      </c>
      <c r="AE4" s="60">
        <v>68699</v>
      </c>
      <c r="AF4" s="44">
        <f t="shared" si="12"/>
        <v>49</v>
      </c>
      <c r="AG4" s="63">
        <v>3100</v>
      </c>
      <c r="AH4" s="74">
        <v>0</v>
      </c>
      <c r="AI4" s="53">
        <f t="shared" si="4"/>
        <v>0</v>
      </c>
      <c r="AJ4" s="13">
        <v>167</v>
      </c>
      <c r="AK4" s="23">
        <v>347</v>
      </c>
    </row>
    <row r="5" spans="1:37" x14ac:dyDescent="0.2">
      <c r="A5" s="25">
        <v>45508</v>
      </c>
      <c r="B5" s="10">
        <v>31721300</v>
      </c>
      <c r="C5" s="17">
        <f t="shared" si="5"/>
        <v>7188</v>
      </c>
      <c r="D5" s="11">
        <v>806437</v>
      </c>
      <c r="E5" s="17">
        <f t="shared" si="5"/>
        <v>2482</v>
      </c>
      <c r="F5" s="35">
        <v>110448</v>
      </c>
      <c r="G5" s="100">
        <f t="shared" ref="G5:K5" si="13">F6-F5</f>
        <v>0</v>
      </c>
      <c r="H5" s="104">
        <f t="shared" si="1"/>
        <v>9670</v>
      </c>
      <c r="I5" s="110">
        <f t="shared" si="2"/>
        <v>8360</v>
      </c>
      <c r="J5" s="97">
        <v>4617482.4000000004</v>
      </c>
      <c r="K5" s="44">
        <f t="shared" si="13"/>
        <v>1024</v>
      </c>
      <c r="L5" s="15">
        <v>463114</v>
      </c>
      <c r="M5" s="44">
        <f t="shared" ref="M5:O5" si="14">L6-L5</f>
        <v>71</v>
      </c>
      <c r="N5" s="15">
        <v>119695</v>
      </c>
      <c r="O5" s="44">
        <f t="shared" si="14"/>
        <v>71</v>
      </c>
      <c r="P5" s="97">
        <v>169568</v>
      </c>
      <c r="Q5" s="66">
        <f t="shared" ref="Q5" si="15">P6-P5</f>
        <v>144</v>
      </c>
      <c r="R5" s="25">
        <f t="shared" si="9"/>
        <v>45508</v>
      </c>
      <c r="S5" s="42">
        <v>7000</v>
      </c>
      <c r="T5" s="43">
        <v>0</v>
      </c>
      <c r="U5" s="44">
        <f t="shared" si="10"/>
        <v>90</v>
      </c>
      <c r="V5" s="20">
        <v>0.61</v>
      </c>
      <c r="W5" s="51">
        <v>0.62</v>
      </c>
      <c r="X5" s="52">
        <f t="shared" si="0"/>
        <v>3075</v>
      </c>
      <c r="Y5" s="49"/>
      <c r="Z5" s="53">
        <f t="shared" si="3"/>
        <v>25</v>
      </c>
      <c r="AA5" s="57">
        <v>99356</v>
      </c>
      <c r="AB5" s="44">
        <f t="shared" ref="AB5" si="16">AA6-AA5</f>
        <v>85</v>
      </c>
      <c r="AC5" s="57">
        <v>9948.1</v>
      </c>
      <c r="AD5" s="44">
        <f t="shared" ref="AD5:AF5" si="17">AC6-AC5</f>
        <v>12.100000000000364</v>
      </c>
      <c r="AE5" s="60">
        <v>68748</v>
      </c>
      <c r="AF5" s="44">
        <f t="shared" si="17"/>
        <v>50</v>
      </c>
      <c r="AG5" s="63">
        <v>3100</v>
      </c>
      <c r="AH5" s="74">
        <v>0</v>
      </c>
      <c r="AI5" s="53">
        <f t="shared" si="4"/>
        <v>0</v>
      </c>
      <c r="AJ5" s="13">
        <v>141</v>
      </c>
      <c r="AK5" s="23">
        <v>299</v>
      </c>
    </row>
    <row r="6" spans="1:37" x14ac:dyDescent="0.2">
      <c r="A6" s="25">
        <v>45509</v>
      </c>
      <c r="B6" s="10">
        <v>31728488</v>
      </c>
      <c r="C6" s="17">
        <f t="shared" si="5"/>
        <v>6491</v>
      </c>
      <c r="D6" s="11">
        <v>808919</v>
      </c>
      <c r="E6" s="17">
        <f t="shared" si="5"/>
        <v>2575</v>
      </c>
      <c r="F6" s="35">
        <v>110448</v>
      </c>
      <c r="G6" s="100">
        <f t="shared" ref="G6:K6" si="18">F7-F6</f>
        <v>0</v>
      </c>
      <c r="H6" s="104">
        <f t="shared" si="1"/>
        <v>9066</v>
      </c>
      <c r="I6" s="110">
        <f t="shared" si="2"/>
        <v>7725.2000000001863</v>
      </c>
      <c r="J6" s="97">
        <v>4618506.4000000004</v>
      </c>
      <c r="K6" s="44">
        <f t="shared" si="18"/>
        <v>1054.7999999998137</v>
      </c>
      <c r="L6" s="15">
        <v>463185</v>
      </c>
      <c r="M6" s="44">
        <f t="shared" ref="M6:O6" si="19">L7-L6</f>
        <v>71</v>
      </c>
      <c r="N6" s="15">
        <v>119766</v>
      </c>
      <c r="O6" s="44">
        <f t="shared" si="19"/>
        <v>71</v>
      </c>
      <c r="P6" s="97">
        <v>169712</v>
      </c>
      <c r="Q6" s="66">
        <f t="shared" ref="Q6" si="20">P7-P6</f>
        <v>144</v>
      </c>
      <c r="R6" s="25">
        <f t="shared" si="9"/>
        <v>45509</v>
      </c>
      <c r="S6" s="42">
        <v>6910</v>
      </c>
      <c r="T6" s="43">
        <v>0</v>
      </c>
      <c r="U6" s="44">
        <f t="shared" si="10"/>
        <v>39</v>
      </c>
      <c r="V6" s="20">
        <v>0.6</v>
      </c>
      <c r="W6" s="51">
        <v>0.62</v>
      </c>
      <c r="X6" s="52">
        <f t="shared" si="0"/>
        <v>3050</v>
      </c>
      <c r="Y6" s="49">
        <v>1203.1600000000001</v>
      </c>
      <c r="Z6" s="53">
        <f t="shared" si="3"/>
        <v>303.15999999999985</v>
      </c>
      <c r="AA6" s="57">
        <v>99441</v>
      </c>
      <c r="AB6" s="44">
        <f t="shared" ref="AB6" si="21">AA7-AA6</f>
        <v>97</v>
      </c>
      <c r="AC6" s="57">
        <v>9960.2000000000007</v>
      </c>
      <c r="AD6" s="44">
        <f t="shared" ref="AD6:AF6" si="22">AC7-AC6</f>
        <v>7</v>
      </c>
      <c r="AE6" s="60">
        <v>68798</v>
      </c>
      <c r="AF6" s="44">
        <f t="shared" si="22"/>
        <v>36</v>
      </c>
      <c r="AG6" s="63">
        <v>3100</v>
      </c>
      <c r="AH6" s="74">
        <v>0</v>
      </c>
      <c r="AI6" s="53">
        <f t="shared" si="4"/>
        <v>0</v>
      </c>
      <c r="AJ6" s="13">
        <v>155</v>
      </c>
      <c r="AK6" s="23">
        <v>329</v>
      </c>
    </row>
    <row r="7" spans="1:37" x14ac:dyDescent="0.2">
      <c r="A7" s="25">
        <v>45510</v>
      </c>
      <c r="B7" s="10">
        <v>31734979</v>
      </c>
      <c r="C7" s="17">
        <f t="shared" si="5"/>
        <v>7421</v>
      </c>
      <c r="D7" s="11">
        <v>811494</v>
      </c>
      <c r="E7" s="17">
        <f t="shared" si="5"/>
        <v>2521</v>
      </c>
      <c r="F7" s="35">
        <v>110448</v>
      </c>
      <c r="G7" s="100">
        <f t="shared" ref="G7:K7" si="23">F8-F7</f>
        <v>0</v>
      </c>
      <c r="H7" s="104">
        <f t="shared" si="1"/>
        <v>9942</v>
      </c>
      <c r="I7" s="110">
        <f t="shared" si="2"/>
        <v>8569.6000000005588</v>
      </c>
      <c r="J7" s="97">
        <v>4619561.2</v>
      </c>
      <c r="K7" s="44">
        <f t="shared" si="23"/>
        <v>1086.3999999994412</v>
      </c>
      <c r="L7" s="15">
        <v>463256</v>
      </c>
      <c r="M7" s="44">
        <f t="shared" ref="M7:O7" si="24">L8-L7</f>
        <v>71</v>
      </c>
      <c r="N7" s="15">
        <v>119837</v>
      </c>
      <c r="O7" s="44">
        <f t="shared" si="24"/>
        <v>71</v>
      </c>
      <c r="P7" s="97">
        <v>169856</v>
      </c>
      <c r="Q7" s="66">
        <f t="shared" ref="Q7" si="25">P8-P7</f>
        <v>144</v>
      </c>
      <c r="R7" s="25">
        <f t="shared" si="9"/>
        <v>45510</v>
      </c>
      <c r="S7" s="42">
        <v>6871</v>
      </c>
      <c r="T7" s="43">
        <v>0</v>
      </c>
      <c r="U7" s="44">
        <f t="shared" si="10"/>
        <v>51</v>
      </c>
      <c r="V7" s="20">
        <v>0.8</v>
      </c>
      <c r="W7" s="51">
        <v>0.78</v>
      </c>
      <c r="X7" s="52">
        <f t="shared" si="0"/>
        <v>3950</v>
      </c>
      <c r="Y7" s="49"/>
      <c r="Z7" s="53">
        <f t="shared" si="3"/>
        <v>200</v>
      </c>
      <c r="AA7" s="57">
        <v>99538</v>
      </c>
      <c r="AB7" s="44">
        <f t="shared" ref="AB7" si="26">AA8-AA7</f>
        <v>95</v>
      </c>
      <c r="AC7" s="57">
        <v>9967.2000000000007</v>
      </c>
      <c r="AD7" s="44">
        <f t="shared" ref="AD7:AF7" si="27">AC8-AC7</f>
        <v>15.399999999999636</v>
      </c>
      <c r="AE7" s="60">
        <v>68834</v>
      </c>
      <c r="AF7" s="44">
        <f t="shared" si="27"/>
        <v>69</v>
      </c>
      <c r="AG7" s="63">
        <v>3100</v>
      </c>
      <c r="AH7" s="74">
        <v>0</v>
      </c>
      <c r="AI7" s="53">
        <f t="shared" si="4"/>
        <v>0</v>
      </c>
      <c r="AJ7" s="13">
        <v>178</v>
      </c>
      <c r="AK7" s="23">
        <v>373</v>
      </c>
    </row>
    <row r="8" spans="1:37" x14ac:dyDescent="0.2">
      <c r="A8" s="25">
        <v>45511</v>
      </c>
      <c r="B8" s="10">
        <v>31742400</v>
      </c>
      <c r="C8" s="17">
        <f t="shared" si="5"/>
        <v>7358</v>
      </c>
      <c r="D8" s="11">
        <v>814015</v>
      </c>
      <c r="E8" s="17">
        <f t="shared" si="5"/>
        <v>2467</v>
      </c>
      <c r="F8" s="35">
        <v>110448</v>
      </c>
      <c r="G8" s="100">
        <f t="shared" ref="G8:K8" si="28">F9-F8</f>
        <v>0</v>
      </c>
      <c r="H8" s="104">
        <f t="shared" si="1"/>
        <v>9825</v>
      </c>
      <c r="I8" s="110">
        <f t="shared" si="2"/>
        <v>8415</v>
      </c>
      <c r="J8" s="97">
        <v>4620647.5999999996</v>
      </c>
      <c r="K8" s="44">
        <f t="shared" si="28"/>
        <v>1124</v>
      </c>
      <c r="L8" s="15">
        <v>463327</v>
      </c>
      <c r="M8" s="44">
        <f t="shared" ref="M8:O8" si="29">L9-L8</f>
        <v>71</v>
      </c>
      <c r="N8" s="15">
        <v>119908</v>
      </c>
      <c r="O8" s="44">
        <f t="shared" si="29"/>
        <v>71</v>
      </c>
      <c r="P8" s="97">
        <v>170000</v>
      </c>
      <c r="Q8" s="66">
        <f t="shared" ref="Q8" si="30">P9-P8</f>
        <v>144</v>
      </c>
      <c r="R8" s="25">
        <f t="shared" si="9"/>
        <v>45511</v>
      </c>
      <c r="S8" s="42">
        <v>6820</v>
      </c>
      <c r="T8" s="43">
        <v>0</v>
      </c>
      <c r="U8" s="44">
        <f t="shared" si="10"/>
        <v>49</v>
      </c>
      <c r="V8" s="20">
        <v>0.75</v>
      </c>
      <c r="W8" s="51">
        <v>0.75</v>
      </c>
      <c r="X8" s="52">
        <f t="shared" si="0"/>
        <v>3750</v>
      </c>
      <c r="Y8" s="49"/>
      <c r="Z8" s="53">
        <f t="shared" si="3"/>
        <v>125</v>
      </c>
      <c r="AA8" s="57">
        <v>99633</v>
      </c>
      <c r="AB8" s="44">
        <f t="shared" ref="AB8" si="31">AA9-AA8</f>
        <v>108</v>
      </c>
      <c r="AC8" s="57">
        <v>9982.6</v>
      </c>
      <c r="AD8" s="44">
        <f t="shared" ref="AD8:AF8" si="32">AC9-AC8</f>
        <v>13.5</v>
      </c>
      <c r="AE8" s="60">
        <v>68903</v>
      </c>
      <c r="AF8" s="44">
        <f t="shared" si="32"/>
        <v>40</v>
      </c>
      <c r="AG8" s="63">
        <v>3100</v>
      </c>
      <c r="AH8" s="74">
        <v>0</v>
      </c>
      <c r="AI8" s="53">
        <f t="shared" si="4"/>
        <v>0</v>
      </c>
      <c r="AJ8" s="13">
        <v>180</v>
      </c>
      <c r="AK8" s="23">
        <v>374</v>
      </c>
    </row>
    <row r="9" spans="1:37" x14ac:dyDescent="0.2">
      <c r="A9" s="25">
        <v>45512</v>
      </c>
      <c r="B9" s="10">
        <v>31749758</v>
      </c>
      <c r="C9" s="17">
        <f t="shared" si="5"/>
        <v>7146</v>
      </c>
      <c r="D9" s="11">
        <v>816482</v>
      </c>
      <c r="E9" s="17">
        <f t="shared" si="5"/>
        <v>2496</v>
      </c>
      <c r="F9" s="35">
        <v>110448</v>
      </c>
      <c r="G9" s="100">
        <f t="shared" ref="G9:K9" si="33">F10-F9</f>
        <v>0</v>
      </c>
      <c r="H9" s="104">
        <f t="shared" si="1"/>
        <v>9642</v>
      </c>
      <c r="I9" s="110">
        <f t="shared" si="2"/>
        <v>8284</v>
      </c>
      <c r="J9" s="97">
        <v>4621771.5999999996</v>
      </c>
      <c r="K9" s="44">
        <f t="shared" si="33"/>
        <v>1072</v>
      </c>
      <c r="L9" s="15">
        <v>463398</v>
      </c>
      <c r="M9" s="44">
        <f t="shared" ref="M9:O9" si="34">L10-L9</f>
        <v>71</v>
      </c>
      <c r="N9" s="15">
        <v>119979</v>
      </c>
      <c r="O9" s="44">
        <f t="shared" si="34"/>
        <v>71</v>
      </c>
      <c r="P9" s="97">
        <v>170144</v>
      </c>
      <c r="Q9" s="66">
        <f t="shared" ref="Q9" si="35">P10-P9</f>
        <v>144</v>
      </c>
      <c r="R9" s="25">
        <f t="shared" si="9"/>
        <v>45512</v>
      </c>
      <c r="S9" s="42">
        <v>6771</v>
      </c>
      <c r="T9" s="43">
        <v>0</v>
      </c>
      <c r="U9" s="44">
        <f t="shared" si="10"/>
        <v>101</v>
      </c>
      <c r="V9" s="20">
        <v>0.73</v>
      </c>
      <c r="W9" s="51">
        <v>0.72</v>
      </c>
      <c r="X9" s="52">
        <f t="shared" si="0"/>
        <v>3625</v>
      </c>
      <c r="Y9" s="49"/>
      <c r="Z9" s="53">
        <f t="shared" si="3"/>
        <v>150</v>
      </c>
      <c r="AA9" s="57">
        <v>99741</v>
      </c>
      <c r="AB9" s="44">
        <f t="shared" ref="AB9" si="36">AA10-AA9</f>
        <v>107</v>
      </c>
      <c r="AC9" s="57">
        <v>9996.1</v>
      </c>
      <c r="AD9" s="44">
        <f t="shared" ref="AD9:AF9" si="37">AC10-AC9</f>
        <v>10.899999999999636</v>
      </c>
      <c r="AE9" s="60">
        <v>68943</v>
      </c>
      <c r="AF9" s="44">
        <f t="shared" si="37"/>
        <v>54</v>
      </c>
      <c r="AG9" s="63">
        <v>3100</v>
      </c>
      <c r="AH9" s="74">
        <v>0</v>
      </c>
      <c r="AI9" s="53">
        <f t="shared" si="4"/>
        <v>0</v>
      </c>
      <c r="AJ9" s="13">
        <v>167</v>
      </c>
      <c r="AK9" s="23">
        <v>366</v>
      </c>
    </row>
    <row r="10" spans="1:37" x14ac:dyDescent="0.2">
      <c r="A10" s="25">
        <v>45513</v>
      </c>
      <c r="B10" s="10">
        <v>31756904</v>
      </c>
      <c r="C10" s="17">
        <f t="shared" si="5"/>
        <v>7689</v>
      </c>
      <c r="D10" s="11">
        <v>818978</v>
      </c>
      <c r="E10" s="17">
        <f t="shared" si="5"/>
        <v>2485</v>
      </c>
      <c r="F10" s="35">
        <v>110448</v>
      </c>
      <c r="G10" s="100">
        <f t="shared" ref="G10:K10" si="38">F11-F10</f>
        <v>0</v>
      </c>
      <c r="H10" s="104">
        <f t="shared" si="1"/>
        <v>10174</v>
      </c>
      <c r="I10" s="110">
        <f t="shared" si="2"/>
        <v>8757.1999999992549</v>
      </c>
      <c r="J10" s="97">
        <v>4622843.5999999996</v>
      </c>
      <c r="K10" s="44">
        <f t="shared" si="38"/>
        <v>1130.8000000007451</v>
      </c>
      <c r="L10" s="15">
        <v>463469</v>
      </c>
      <c r="M10" s="44">
        <f t="shared" ref="M10:O10" si="39">L11-L10</f>
        <v>71</v>
      </c>
      <c r="N10" s="15">
        <v>120050</v>
      </c>
      <c r="O10" s="44">
        <f t="shared" si="39"/>
        <v>71</v>
      </c>
      <c r="P10" s="97">
        <v>170288</v>
      </c>
      <c r="Q10" s="66">
        <f t="shared" ref="Q10" si="40">P11-P10</f>
        <v>144</v>
      </c>
      <c r="R10" s="25">
        <f t="shared" si="9"/>
        <v>45513</v>
      </c>
      <c r="S10" s="42">
        <v>6670</v>
      </c>
      <c r="T10" s="43">
        <v>0</v>
      </c>
      <c r="U10" s="44">
        <f t="shared" si="10"/>
        <v>110</v>
      </c>
      <c r="V10" s="20">
        <v>0.7</v>
      </c>
      <c r="W10" s="51">
        <v>0.69</v>
      </c>
      <c r="X10" s="52">
        <f t="shared" si="0"/>
        <v>3475</v>
      </c>
      <c r="Y10" s="49"/>
      <c r="Z10" s="53">
        <f t="shared" si="3"/>
        <v>225</v>
      </c>
      <c r="AA10" s="57">
        <v>99848</v>
      </c>
      <c r="AB10" s="44">
        <f t="shared" ref="AB10" si="41">AA11-AA10</f>
        <v>113</v>
      </c>
      <c r="AC10" s="57">
        <v>10007</v>
      </c>
      <c r="AD10" s="44">
        <f t="shared" ref="AD10:AF10" si="42">AC11-AC10</f>
        <v>12</v>
      </c>
      <c r="AE10" s="60">
        <v>68997</v>
      </c>
      <c r="AF10" s="44">
        <f t="shared" si="42"/>
        <v>50</v>
      </c>
      <c r="AG10" s="63">
        <v>3100</v>
      </c>
      <c r="AH10" s="74">
        <v>0</v>
      </c>
      <c r="AI10" s="53">
        <f t="shared" si="4"/>
        <v>0</v>
      </c>
      <c r="AJ10" s="13">
        <v>178</v>
      </c>
      <c r="AK10" s="23">
        <v>399</v>
      </c>
    </row>
    <row r="11" spans="1:37" x14ac:dyDescent="0.2">
      <c r="A11" s="25">
        <v>45514</v>
      </c>
      <c r="B11" s="10">
        <v>31764593</v>
      </c>
      <c r="C11" s="17">
        <f t="shared" si="5"/>
        <v>7165</v>
      </c>
      <c r="D11" s="11">
        <v>821463</v>
      </c>
      <c r="E11" s="17">
        <f t="shared" si="5"/>
        <v>2428</v>
      </c>
      <c r="F11" s="35">
        <v>110448</v>
      </c>
      <c r="G11" s="100">
        <f t="shared" ref="G11:K11" si="43">F12-F11</f>
        <v>0</v>
      </c>
      <c r="H11" s="104">
        <f t="shared" si="1"/>
        <v>9593</v>
      </c>
      <c r="I11" s="110">
        <f t="shared" si="2"/>
        <v>8117</v>
      </c>
      <c r="J11" s="97">
        <v>4623974.4000000004</v>
      </c>
      <c r="K11" s="44">
        <f t="shared" si="43"/>
        <v>1190</v>
      </c>
      <c r="L11" s="15">
        <v>463540</v>
      </c>
      <c r="M11" s="44">
        <f t="shared" ref="M11:O11" si="44">L12-L11</f>
        <v>71</v>
      </c>
      <c r="N11" s="15">
        <v>120121</v>
      </c>
      <c r="O11" s="44">
        <f t="shared" si="44"/>
        <v>71</v>
      </c>
      <c r="P11" s="97">
        <v>170432</v>
      </c>
      <c r="Q11" s="66">
        <f t="shared" ref="Q11" si="45">P12-P11</f>
        <v>144</v>
      </c>
      <c r="R11" s="25">
        <f t="shared" si="9"/>
        <v>45514</v>
      </c>
      <c r="S11" s="42">
        <v>6560</v>
      </c>
      <c r="T11" s="43">
        <v>0</v>
      </c>
      <c r="U11" s="44">
        <f t="shared" si="10"/>
        <v>60</v>
      </c>
      <c r="V11" s="20">
        <v>0.66</v>
      </c>
      <c r="W11" s="51">
        <v>0.64</v>
      </c>
      <c r="X11" s="52">
        <f t="shared" si="0"/>
        <v>3250</v>
      </c>
      <c r="Y11" s="49"/>
      <c r="Z11" s="53">
        <f t="shared" si="3"/>
        <v>200</v>
      </c>
      <c r="AA11" s="57">
        <v>99961</v>
      </c>
      <c r="AB11" s="44">
        <f t="shared" ref="AB11" si="46">AA12-AA11</f>
        <v>103</v>
      </c>
      <c r="AC11" s="57">
        <v>10019</v>
      </c>
      <c r="AD11" s="44">
        <f t="shared" ref="AD11:AF11" si="47">AC12-AC11</f>
        <v>11.200000000000728</v>
      </c>
      <c r="AE11" s="60">
        <v>69047</v>
      </c>
      <c r="AF11" s="44">
        <f t="shared" si="47"/>
        <v>24</v>
      </c>
      <c r="AG11" s="63">
        <v>3100</v>
      </c>
      <c r="AH11" s="74">
        <v>0</v>
      </c>
      <c r="AI11" s="53">
        <f t="shared" si="4"/>
        <v>0</v>
      </c>
      <c r="AJ11" s="13">
        <v>177</v>
      </c>
      <c r="AK11" s="23">
        <v>387</v>
      </c>
    </row>
    <row r="12" spans="1:37" x14ac:dyDescent="0.2">
      <c r="A12" s="25">
        <v>45515</v>
      </c>
      <c r="B12" s="10">
        <v>31771758</v>
      </c>
      <c r="C12" s="17">
        <f t="shared" si="5"/>
        <v>7123</v>
      </c>
      <c r="D12" s="11">
        <v>823891</v>
      </c>
      <c r="E12" s="17">
        <f t="shared" si="5"/>
        <v>2409</v>
      </c>
      <c r="F12" s="35">
        <v>110448</v>
      </c>
      <c r="G12" s="100">
        <f t="shared" ref="G12:K27" si="48">F13-F12</f>
        <v>0</v>
      </c>
      <c r="H12" s="104">
        <f t="shared" si="1"/>
        <v>9532</v>
      </c>
      <c r="I12" s="110">
        <f t="shared" si="2"/>
        <v>8230</v>
      </c>
      <c r="J12" s="97">
        <v>4625164.4000000004</v>
      </c>
      <c r="K12" s="44">
        <f t="shared" si="48"/>
        <v>1016</v>
      </c>
      <c r="L12" s="15">
        <v>463611</v>
      </c>
      <c r="M12" s="44">
        <f t="shared" ref="M12:O27" si="49">L13-L12</f>
        <v>71</v>
      </c>
      <c r="N12" s="15">
        <v>120192</v>
      </c>
      <c r="O12" s="44">
        <f t="shared" si="49"/>
        <v>71</v>
      </c>
      <c r="P12" s="97">
        <v>170576</v>
      </c>
      <c r="Q12" s="66">
        <f t="shared" ref="Q12:Q32" si="50">P13-P12</f>
        <v>144</v>
      </c>
      <c r="R12" s="25">
        <f t="shared" si="9"/>
        <v>45515</v>
      </c>
      <c r="S12" s="42">
        <v>6500</v>
      </c>
      <c r="T12" s="43">
        <v>0</v>
      </c>
      <c r="U12" s="44">
        <f t="shared" si="10"/>
        <v>31</v>
      </c>
      <c r="V12" s="20">
        <v>0.62</v>
      </c>
      <c r="W12" s="51">
        <v>0.6</v>
      </c>
      <c r="X12" s="52">
        <f t="shared" si="0"/>
        <v>3050</v>
      </c>
      <c r="Y12" s="49"/>
      <c r="Z12" s="53">
        <f t="shared" si="3"/>
        <v>150</v>
      </c>
      <c r="AA12" s="57">
        <v>100064</v>
      </c>
      <c r="AB12" s="44">
        <f t="shared" ref="AB12:AB32" si="51">AA13-AA12</f>
        <v>101</v>
      </c>
      <c r="AC12" s="57">
        <v>10030.200000000001</v>
      </c>
      <c r="AD12" s="44">
        <f t="shared" ref="AD12:AF27" si="52">AC13-AC12</f>
        <v>8.2999999999992724</v>
      </c>
      <c r="AE12" s="60">
        <v>69071</v>
      </c>
      <c r="AF12" s="44">
        <f t="shared" si="52"/>
        <v>14</v>
      </c>
      <c r="AG12" s="63">
        <v>3100</v>
      </c>
      <c r="AH12" s="74">
        <v>0</v>
      </c>
      <c r="AI12" s="53">
        <f t="shared" si="4"/>
        <v>0</v>
      </c>
      <c r="AJ12" s="13">
        <v>173</v>
      </c>
      <c r="AK12" s="23">
        <v>387</v>
      </c>
    </row>
    <row r="13" spans="1:37" x14ac:dyDescent="0.2">
      <c r="A13" s="25">
        <v>45516</v>
      </c>
      <c r="B13" s="10">
        <v>31778881</v>
      </c>
      <c r="C13" s="17">
        <f t="shared" si="5"/>
        <v>7987</v>
      </c>
      <c r="D13" s="11">
        <v>826300</v>
      </c>
      <c r="E13" s="17">
        <f t="shared" si="5"/>
        <v>2461</v>
      </c>
      <c r="F13" s="35">
        <v>110448</v>
      </c>
      <c r="G13" s="100">
        <f t="shared" si="48"/>
        <v>0</v>
      </c>
      <c r="H13" s="104">
        <f t="shared" si="1"/>
        <v>10448</v>
      </c>
      <c r="I13" s="110">
        <f t="shared" si="2"/>
        <v>8978.8000000007451</v>
      </c>
      <c r="J13" s="97">
        <v>4626180.4000000004</v>
      </c>
      <c r="K13" s="44">
        <f t="shared" si="48"/>
        <v>1183.1999999992549</v>
      </c>
      <c r="L13" s="15">
        <v>463682</v>
      </c>
      <c r="M13" s="44">
        <f t="shared" si="49"/>
        <v>71</v>
      </c>
      <c r="N13" s="15">
        <v>120263</v>
      </c>
      <c r="O13" s="44">
        <f t="shared" si="49"/>
        <v>71</v>
      </c>
      <c r="P13" s="97">
        <v>170720</v>
      </c>
      <c r="Q13" s="66">
        <f t="shared" si="50"/>
        <v>144</v>
      </c>
      <c r="R13" s="25">
        <f t="shared" si="9"/>
        <v>45516</v>
      </c>
      <c r="S13" s="42">
        <v>6469</v>
      </c>
      <c r="T13" s="43">
        <v>0</v>
      </c>
      <c r="U13" s="44">
        <f t="shared" si="10"/>
        <v>100</v>
      </c>
      <c r="V13" s="20">
        <v>0.57999999999999996</v>
      </c>
      <c r="W13" s="51">
        <v>0.57999999999999996</v>
      </c>
      <c r="X13" s="52">
        <f t="shared" si="0"/>
        <v>2900</v>
      </c>
      <c r="Y13" s="49">
        <v>1206.01</v>
      </c>
      <c r="Z13" s="53">
        <f t="shared" si="3"/>
        <v>231.01000000000022</v>
      </c>
      <c r="AA13" s="57">
        <v>100165</v>
      </c>
      <c r="AB13" s="44">
        <f t="shared" si="51"/>
        <v>108</v>
      </c>
      <c r="AC13" s="57">
        <v>10038.5</v>
      </c>
      <c r="AD13" s="44">
        <f t="shared" si="52"/>
        <v>10.100000000000364</v>
      </c>
      <c r="AE13" s="60">
        <v>69085</v>
      </c>
      <c r="AF13" s="44">
        <f t="shared" si="52"/>
        <v>60</v>
      </c>
      <c r="AG13" s="63">
        <v>3100</v>
      </c>
      <c r="AH13" s="74">
        <v>0</v>
      </c>
      <c r="AI13" s="53">
        <f t="shared" si="4"/>
        <v>0</v>
      </c>
      <c r="AJ13" s="13">
        <v>182</v>
      </c>
      <c r="AK13" s="23">
        <v>414</v>
      </c>
    </row>
    <row r="14" spans="1:37" x14ac:dyDescent="0.2">
      <c r="A14" s="25">
        <v>45517</v>
      </c>
      <c r="B14" s="10">
        <v>31786868</v>
      </c>
      <c r="C14" s="17">
        <f t="shared" si="5"/>
        <v>7884</v>
      </c>
      <c r="D14" s="11">
        <v>828761</v>
      </c>
      <c r="E14" s="17">
        <f t="shared" si="5"/>
        <v>2443</v>
      </c>
      <c r="F14" s="35">
        <v>110448</v>
      </c>
      <c r="G14" s="100">
        <f t="shared" si="48"/>
        <v>0</v>
      </c>
      <c r="H14" s="104">
        <f t="shared" si="1"/>
        <v>10327</v>
      </c>
      <c r="I14" s="110">
        <f t="shared" si="2"/>
        <v>8926.1999999992549</v>
      </c>
      <c r="J14" s="97">
        <v>4627363.5999999996</v>
      </c>
      <c r="K14" s="44">
        <f t="shared" si="48"/>
        <v>1114.8000000007451</v>
      </c>
      <c r="L14" s="15">
        <v>463753</v>
      </c>
      <c r="M14" s="44">
        <f t="shared" si="49"/>
        <v>71</v>
      </c>
      <c r="N14" s="15">
        <v>120334</v>
      </c>
      <c r="O14" s="44">
        <f t="shared" si="49"/>
        <v>71</v>
      </c>
      <c r="P14" s="97">
        <v>170864</v>
      </c>
      <c r="Q14" s="66">
        <f t="shared" si="50"/>
        <v>144</v>
      </c>
      <c r="R14" s="25">
        <f t="shared" si="9"/>
        <v>45517</v>
      </c>
      <c r="S14" s="42">
        <v>6369</v>
      </c>
      <c r="T14" s="43">
        <v>0</v>
      </c>
      <c r="U14" s="44">
        <f t="shared" si="10"/>
        <v>59</v>
      </c>
      <c r="V14" s="20">
        <v>0.78</v>
      </c>
      <c r="W14" s="51">
        <v>0.77</v>
      </c>
      <c r="X14" s="52">
        <f t="shared" si="0"/>
        <v>3875</v>
      </c>
      <c r="Y14" s="49"/>
      <c r="Z14" s="53">
        <f t="shared" si="3"/>
        <v>175</v>
      </c>
      <c r="AA14" s="57">
        <v>100273</v>
      </c>
      <c r="AB14" s="44">
        <f t="shared" si="51"/>
        <v>110</v>
      </c>
      <c r="AC14" s="57">
        <v>10048.6</v>
      </c>
      <c r="AD14" s="44">
        <f t="shared" si="52"/>
        <v>16.399999999999636</v>
      </c>
      <c r="AE14" s="60">
        <v>69145</v>
      </c>
      <c r="AF14" s="44">
        <f t="shared" si="52"/>
        <v>60</v>
      </c>
      <c r="AG14" s="63">
        <v>3100</v>
      </c>
      <c r="AH14" s="74">
        <v>0</v>
      </c>
      <c r="AI14" s="53">
        <f t="shared" si="4"/>
        <v>0</v>
      </c>
      <c r="AJ14" s="13">
        <v>183</v>
      </c>
      <c r="AK14" s="23">
        <v>423</v>
      </c>
    </row>
    <row r="15" spans="1:37" x14ac:dyDescent="0.2">
      <c r="A15" s="25">
        <v>45518</v>
      </c>
      <c r="B15" s="10">
        <v>31794752</v>
      </c>
      <c r="C15" s="17">
        <f t="shared" si="5"/>
        <v>7568</v>
      </c>
      <c r="D15" s="11">
        <v>831204</v>
      </c>
      <c r="E15" s="17">
        <f t="shared" si="5"/>
        <v>2397</v>
      </c>
      <c r="F15" s="35">
        <v>110448</v>
      </c>
      <c r="G15" s="100">
        <f t="shared" si="48"/>
        <v>0</v>
      </c>
      <c r="H15" s="104">
        <f t="shared" si="1"/>
        <v>9965</v>
      </c>
      <c r="I15" s="110">
        <f t="shared" si="2"/>
        <v>8577</v>
      </c>
      <c r="J15" s="97">
        <v>4628478.4000000004</v>
      </c>
      <c r="K15" s="44">
        <f t="shared" si="48"/>
        <v>1102</v>
      </c>
      <c r="L15" s="15">
        <v>463824</v>
      </c>
      <c r="M15" s="44">
        <f t="shared" si="49"/>
        <v>71</v>
      </c>
      <c r="N15" s="15">
        <v>120405</v>
      </c>
      <c r="O15" s="44">
        <f t="shared" si="49"/>
        <v>71</v>
      </c>
      <c r="P15" s="97">
        <v>171008</v>
      </c>
      <c r="Q15" s="66">
        <f t="shared" si="50"/>
        <v>144</v>
      </c>
      <c r="R15" s="25">
        <f t="shared" si="9"/>
        <v>45518</v>
      </c>
      <c r="S15" s="42">
        <v>6310</v>
      </c>
      <c r="T15" s="43">
        <v>0</v>
      </c>
      <c r="U15" s="44">
        <f t="shared" si="10"/>
        <v>42</v>
      </c>
      <c r="V15" s="20">
        <v>0.75</v>
      </c>
      <c r="W15" s="51">
        <v>0.73</v>
      </c>
      <c r="X15" s="52">
        <f t="shared" si="0"/>
        <v>3700</v>
      </c>
      <c r="Y15" s="49"/>
      <c r="Z15" s="53">
        <f t="shared" si="3"/>
        <v>125</v>
      </c>
      <c r="AA15" s="57">
        <v>100383</v>
      </c>
      <c r="AB15" s="44">
        <f t="shared" si="51"/>
        <v>105</v>
      </c>
      <c r="AC15" s="57">
        <v>10065</v>
      </c>
      <c r="AD15" s="44">
        <f t="shared" si="52"/>
        <v>6.6000000000003638</v>
      </c>
      <c r="AE15" s="60">
        <v>69205</v>
      </c>
      <c r="AF15" s="44">
        <f t="shared" si="52"/>
        <v>33</v>
      </c>
      <c r="AG15" s="63">
        <v>3100</v>
      </c>
      <c r="AH15" s="74">
        <v>0</v>
      </c>
      <c r="AI15" s="53">
        <f t="shared" si="4"/>
        <v>0</v>
      </c>
      <c r="AJ15" s="13">
        <v>185</v>
      </c>
      <c r="AK15" s="23">
        <v>418</v>
      </c>
    </row>
    <row r="16" spans="1:37" x14ac:dyDescent="0.2">
      <c r="A16" s="25">
        <v>45519</v>
      </c>
      <c r="B16" s="10">
        <v>31802320</v>
      </c>
      <c r="C16" s="17">
        <f t="shared" si="5"/>
        <v>7866</v>
      </c>
      <c r="D16" s="11">
        <v>833601</v>
      </c>
      <c r="E16" s="17">
        <f t="shared" si="5"/>
        <v>2413</v>
      </c>
      <c r="F16" s="35">
        <v>110448</v>
      </c>
      <c r="G16" s="100">
        <f t="shared" si="48"/>
        <v>0</v>
      </c>
      <c r="H16" s="104">
        <f t="shared" si="1"/>
        <v>10279</v>
      </c>
      <c r="I16" s="110">
        <f t="shared" si="2"/>
        <v>8881.8000000007451</v>
      </c>
      <c r="J16" s="97">
        <v>4629580.4000000004</v>
      </c>
      <c r="K16" s="44">
        <f t="shared" si="48"/>
        <v>1111.1999999992549</v>
      </c>
      <c r="L16" s="15">
        <v>463895</v>
      </c>
      <c r="M16" s="44">
        <f t="shared" si="49"/>
        <v>71</v>
      </c>
      <c r="N16" s="15">
        <v>120476</v>
      </c>
      <c r="O16" s="44">
        <f t="shared" si="49"/>
        <v>71</v>
      </c>
      <c r="P16" s="97">
        <v>171152</v>
      </c>
      <c r="Q16" s="66">
        <f t="shared" si="50"/>
        <v>144</v>
      </c>
      <c r="R16" s="25">
        <f t="shared" si="9"/>
        <v>45519</v>
      </c>
      <c r="S16" s="42">
        <v>6268</v>
      </c>
      <c r="T16" s="43">
        <v>0</v>
      </c>
      <c r="U16" s="44">
        <f t="shared" si="10"/>
        <v>88</v>
      </c>
      <c r="V16" s="20">
        <v>0.72</v>
      </c>
      <c r="W16" s="51">
        <v>0.71</v>
      </c>
      <c r="X16" s="52">
        <f t="shared" si="0"/>
        <v>3575</v>
      </c>
      <c r="Y16" s="49"/>
      <c r="Z16" s="53">
        <f t="shared" si="3"/>
        <v>225</v>
      </c>
      <c r="AA16" s="57">
        <v>100488</v>
      </c>
      <c r="AB16" s="44">
        <f t="shared" si="51"/>
        <v>101</v>
      </c>
      <c r="AC16" s="57">
        <v>10071.6</v>
      </c>
      <c r="AD16" s="44">
        <f t="shared" si="52"/>
        <v>11.5</v>
      </c>
      <c r="AE16" s="60">
        <v>69238</v>
      </c>
      <c r="AF16" s="44">
        <f t="shared" si="52"/>
        <v>21</v>
      </c>
      <c r="AG16" s="63">
        <v>3100</v>
      </c>
      <c r="AH16" s="74">
        <v>0</v>
      </c>
      <c r="AI16" s="53">
        <f t="shared" si="4"/>
        <v>0</v>
      </c>
      <c r="AJ16" s="13">
        <v>186</v>
      </c>
      <c r="AK16" s="23">
        <v>420</v>
      </c>
    </row>
    <row r="17" spans="1:37" x14ac:dyDescent="0.2">
      <c r="A17" s="25">
        <v>45520</v>
      </c>
      <c r="B17" s="10">
        <v>31810186</v>
      </c>
      <c r="C17" s="17">
        <f t="shared" si="5"/>
        <v>7857</v>
      </c>
      <c r="D17" s="11">
        <v>836014</v>
      </c>
      <c r="E17" s="17">
        <f t="shared" si="5"/>
        <v>2371</v>
      </c>
      <c r="F17" s="35">
        <v>110448</v>
      </c>
      <c r="G17" s="100">
        <f t="shared" si="48"/>
        <v>0</v>
      </c>
      <c r="H17" s="104">
        <f t="shared" si="1"/>
        <v>10228</v>
      </c>
      <c r="I17" s="110">
        <f t="shared" si="2"/>
        <v>8806</v>
      </c>
      <c r="J17" s="97">
        <v>4630691.5999999996</v>
      </c>
      <c r="K17" s="44">
        <f t="shared" si="48"/>
        <v>1136</v>
      </c>
      <c r="L17" s="15">
        <v>463966</v>
      </c>
      <c r="M17" s="44">
        <f t="shared" si="49"/>
        <v>71</v>
      </c>
      <c r="N17" s="15">
        <v>120547</v>
      </c>
      <c r="O17" s="44">
        <f t="shared" si="49"/>
        <v>71</v>
      </c>
      <c r="P17" s="97">
        <v>171296</v>
      </c>
      <c r="Q17" s="66">
        <f t="shared" si="50"/>
        <v>144</v>
      </c>
      <c r="R17" s="25">
        <f t="shared" si="9"/>
        <v>45520</v>
      </c>
      <c r="S17" s="42">
        <v>6180</v>
      </c>
      <c r="T17" s="43">
        <v>0</v>
      </c>
      <c r="U17" s="44">
        <f t="shared" si="10"/>
        <v>60</v>
      </c>
      <c r="V17" s="20">
        <v>0.67</v>
      </c>
      <c r="W17" s="51">
        <v>0.67</v>
      </c>
      <c r="X17" s="52">
        <f t="shared" si="0"/>
        <v>3350</v>
      </c>
      <c r="Y17" s="49"/>
      <c r="Z17" s="53">
        <f t="shared" si="3"/>
        <v>75</v>
      </c>
      <c r="AA17" s="57">
        <v>100589</v>
      </c>
      <c r="AB17" s="44">
        <f t="shared" si="51"/>
        <v>93</v>
      </c>
      <c r="AC17" s="57">
        <v>10083.1</v>
      </c>
      <c r="AD17" s="44">
        <f t="shared" si="52"/>
        <v>8.8999999999996362</v>
      </c>
      <c r="AE17" s="60">
        <v>69259</v>
      </c>
      <c r="AF17" s="44">
        <f t="shared" si="52"/>
        <v>63</v>
      </c>
      <c r="AG17" s="63">
        <v>3100</v>
      </c>
      <c r="AH17" s="74">
        <v>0</v>
      </c>
      <c r="AI17" s="53">
        <f t="shared" si="4"/>
        <v>0</v>
      </c>
      <c r="AJ17" s="13">
        <v>186</v>
      </c>
      <c r="AK17" s="23">
        <v>424</v>
      </c>
    </row>
    <row r="18" spans="1:37" x14ac:dyDescent="0.2">
      <c r="A18" s="25">
        <v>45521</v>
      </c>
      <c r="B18" s="10">
        <v>31818043</v>
      </c>
      <c r="C18" s="17">
        <f t="shared" si="5"/>
        <v>7864</v>
      </c>
      <c r="D18" s="11">
        <v>838385</v>
      </c>
      <c r="E18" s="17">
        <f t="shared" si="5"/>
        <v>2369</v>
      </c>
      <c r="F18" s="35">
        <v>110448</v>
      </c>
      <c r="G18" s="100">
        <f t="shared" si="48"/>
        <v>0</v>
      </c>
      <c r="H18" s="104">
        <f t="shared" si="1"/>
        <v>10233</v>
      </c>
      <c r="I18" s="110">
        <f t="shared" si="2"/>
        <v>8815</v>
      </c>
      <c r="J18" s="97">
        <v>4631827.5999999996</v>
      </c>
      <c r="K18" s="44">
        <f t="shared" si="48"/>
        <v>1132</v>
      </c>
      <c r="L18" s="15">
        <v>464037</v>
      </c>
      <c r="M18" s="44">
        <f t="shared" si="49"/>
        <v>71</v>
      </c>
      <c r="N18" s="15">
        <v>120618</v>
      </c>
      <c r="O18" s="44">
        <f t="shared" si="49"/>
        <v>71</v>
      </c>
      <c r="P18" s="97">
        <v>171440</v>
      </c>
      <c r="Q18" s="66">
        <f t="shared" si="50"/>
        <v>144</v>
      </c>
      <c r="R18" s="25">
        <f t="shared" si="9"/>
        <v>45521</v>
      </c>
      <c r="S18" s="42">
        <v>6120</v>
      </c>
      <c r="T18" s="43">
        <v>0</v>
      </c>
      <c r="U18" s="44">
        <f t="shared" si="10"/>
        <v>52</v>
      </c>
      <c r="V18" s="20">
        <v>0.66</v>
      </c>
      <c r="W18" s="51">
        <v>0.65</v>
      </c>
      <c r="X18" s="52">
        <f t="shared" si="0"/>
        <v>3275</v>
      </c>
      <c r="Y18" s="49"/>
      <c r="Z18" s="53">
        <f t="shared" si="3"/>
        <v>200</v>
      </c>
      <c r="AA18" s="57">
        <v>100682</v>
      </c>
      <c r="AB18" s="44">
        <f t="shared" si="51"/>
        <v>104</v>
      </c>
      <c r="AC18" s="57">
        <v>10092</v>
      </c>
      <c r="AD18" s="44">
        <f t="shared" si="52"/>
        <v>8.7999999999992724</v>
      </c>
      <c r="AE18" s="60">
        <v>69322</v>
      </c>
      <c r="AF18" s="44">
        <f t="shared" si="52"/>
        <v>33</v>
      </c>
      <c r="AG18" s="63">
        <v>3100</v>
      </c>
      <c r="AH18" s="74">
        <v>0</v>
      </c>
      <c r="AI18" s="53">
        <f t="shared" si="4"/>
        <v>0</v>
      </c>
      <c r="AJ18" s="13">
        <v>176</v>
      </c>
      <c r="AK18" s="23">
        <v>391</v>
      </c>
    </row>
    <row r="19" spans="1:37" x14ac:dyDescent="0.2">
      <c r="A19" s="25">
        <v>45522</v>
      </c>
      <c r="B19" s="10">
        <v>31825907</v>
      </c>
      <c r="C19" s="17">
        <f t="shared" si="5"/>
        <v>7333</v>
      </c>
      <c r="D19" s="11">
        <v>840754</v>
      </c>
      <c r="E19" s="17">
        <f t="shared" si="5"/>
        <v>2404</v>
      </c>
      <c r="F19" s="35">
        <v>110448</v>
      </c>
      <c r="G19" s="100">
        <f t="shared" si="48"/>
        <v>0</v>
      </c>
      <c r="H19" s="104">
        <f t="shared" si="1"/>
        <v>9737</v>
      </c>
      <c r="I19" s="110">
        <f t="shared" si="2"/>
        <v>8370.5999999996275</v>
      </c>
      <c r="J19" s="97">
        <v>4632959.5999999996</v>
      </c>
      <c r="K19" s="44">
        <f t="shared" si="48"/>
        <v>1080.4000000003725</v>
      </c>
      <c r="L19" s="15">
        <v>464108</v>
      </c>
      <c r="M19" s="44">
        <f t="shared" si="49"/>
        <v>71</v>
      </c>
      <c r="N19" s="15">
        <v>120689</v>
      </c>
      <c r="O19" s="44">
        <f t="shared" si="49"/>
        <v>71</v>
      </c>
      <c r="P19" s="97">
        <v>171584</v>
      </c>
      <c r="Q19" s="66">
        <f t="shared" si="50"/>
        <v>144</v>
      </c>
      <c r="R19" s="25">
        <f t="shared" si="9"/>
        <v>45522</v>
      </c>
      <c r="S19" s="42">
        <v>6068</v>
      </c>
      <c r="T19" s="43">
        <v>0</v>
      </c>
      <c r="U19" s="44">
        <f t="shared" si="10"/>
        <v>88</v>
      </c>
      <c r="V19" s="20">
        <v>0.61</v>
      </c>
      <c r="W19" s="51">
        <v>0.62</v>
      </c>
      <c r="X19" s="52">
        <f t="shared" si="0"/>
        <v>3075</v>
      </c>
      <c r="Y19" s="49"/>
      <c r="Z19" s="53">
        <f t="shared" si="3"/>
        <v>125</v>
      </c>
      <c r="AA19" s="57">
        <v>100786</v>
      </c>
      <c r="AB19" s="44">
        <f t="shared" si="51"/>
        <v>93</v>
      </c>
      <c r="AC19" s="57">
        <v>10100.799999999999</v>
      </c>
      <c r="AD19" s="44">
        <f t="shared" si="52"/>
        <v>8.7000000000007276</v>
      </c>
      <c r="AE19" s="60">
        <v>69355</v>
      </c>
      <c r="AF19" s="44">
        <f t="shared" si="52"/>
        <v>38</v>
      </c>
      <c r="AG19" s="63">
        <v>3100</v>
      </c>
      <c r="AH19" s="74">
        <v>0</v>
      </c>
      <c r="AI19" s="53">
        <f t="shared" si="4"/>
        <v>0</v>
      </c>
      <c r="AJ19" s="13">
        <v>173</v>
      </c>
      <c r="AK19" s="23">
        <v>393</v>
      </c>
    </row>
    <row r="20" spans="1:37" x14ac:dyDescent="0.2">
      <c r="A20" s="25">
        <v>45523</v>
      </c>
      <c r="B20" s="10">
        <v>31833240</v>
      </c>
      <c r="C20" s="17">
        <f t="shared" si="5"/>
        <v>7494</v>
      </c>
      <c r="D20" s="11">
        <v>843158</v>
      </c>
      <c r="E20" s="17">
        <f t="shared" si="5"/>
        <v>2417</v>
      </c>
      <c r="F20" s="35">
        <v>110448</v>
      </c>
      <c r="G20" s="100">
        <f t="shared" si="48"/>
        <v>0</v>
      </c>
      <c r="H20" s="104">
        <f t="shared" si="1"/>
        <v>9911</v>
      </c>
      <c r="I20" s="110">
        <f t="shared" si="2"/>
        <v>8488.5999999996275</v>
      </c>
      <c r="J20" s="97">
        <v>4634040</v>
      </c>
      <c r="K20" s="44">
        <f t="shared" si="48"/>
        <v>1136.4000000003725</v>
      </c>
      <c r="L20" s="15">
        <v>464179</v>
      </c>
      <c r="M20" s="44">
        <f t="shared" si="49"/>
        <v>71</v>
      </c>
      <c r="N20" s="15">
        <v>120760</v>
      </c>
      <c r="O20" s="44">
        <f t="shared" si="49"/>
        <v>71</v>
      </c>
      <c r="P20" s="97">
        <v>171728</v>
      </c>
      <c r="Q20" s="66">
        <f t="shared" si="50"/>
        <v>144</v>
      </c>
      <c r="R20" s="25">
        <f t="shared" si="9"/>
        <v>45523</v>
      </c>
      <c r="S20" s="42">
        <v>5980</v>
      </c>
      <c r="T20" s="43">
        <v>0</v>
      </c>
      <c r="U20" s="44">
        <f t="shared" si="10"/>
        <v>11</v>
      </c>
      <c r="V20" s="20">
        <v>0.6</v>
      </c>
      <c r="W20" s="51">
        <v>0.57999999999999996</v>
      </c>
      <c r="X20" s="52">
        <f t="shared" si="0"/>
        <v>2950</v>
      </c>
      <c r="Y20" s="49">
        <v>1213.01</v>
      </c>
      <c r="Z20" s="53">
        <f t="shared" si="3"/>
        <v>313.01000000000022</v>
      </c>
      <c r="AA20" s="57">
        <v>100879</v>
      </c>
      <c r="AB20" s="44">
        <f t="shared" si="51"/>
        <v>106</v>
      </c>
      <c r="AC20" s="57">
        <v>10109.5</v>
      </c>
      <c r="AD20" s="44">
        <f t="shared" si="52"/>
        <v>8.7999999999992724</v>
      </c>
      <c r="AE20" s="60">
        <v>69393</v>
      </c>
      <c r="AF20" s="44">
        <f t="shared" si="52"/>
        <v>63</v>
      </c>
      <c r="AG20" s="63">
        <v>3100</v>
      </c>
      <c r="AH20" s="74">
        <v>0</v>
      </c>
      <c r="AI20" s="53">
        <f t="shared" si="4"/>
        <v>0</v>
      </c>
      <c r="AJ20" s="13">
        <v>176</v>
      </c>
      <c r="AK20" s="23">
        <v>406</v>
      </c>
    </row>
    <row r="21" spans="1:37" x14ac:dyDescent="0.2">
      <c r="A21" s="25">
        <v>45524</v>
      </c>
      <c r="B21" s="10">
        <v>31840734</v>
      </c>
      <c r="C21" s="17">
        <f t="shared" ref="C21:C32" si="53">B22-B21</f>
        <v>6999</v>
      </c>
      <c r="D21" s="11">
        <v>845575</v>
      </c>
      <c r="E21" s="17">
        <f t="shared" ref="E21:E32" si="54">D22-D21</f>
        <v>2421</v>
      </c>
      <c r="F21" s="35">
        <v>110448</v>
      </c>
      <c r="G21" s="100">
        <f t="shared" si="48"/>
        <v>0</v>
      </c>
      <c r="H21" s="104">
        <f t="shared" si="1"/>
        <v>9420</v>
      </c>
      <c r="I21" s="110">
        <f t="shared" si="2"/>
        <v>8190</v>
      </c>
      <c r="J21" s="97">
        <v>4635176.4000000004</v>
      </c>
      <c r="K21" s="44">
        <f t="shared" si="48"/>
        <v>944</v>
      </c>
      <c r="L21" s="15">
        <v>464250</v>
      </c>
      <c r="M21" s="44">
        <f t="shared" si="49"/>
        <v>71</v>
      </c>
      <c r="N21" s="15">
        <v>120831</v>
      </c>
      <c r="O21" s="44">
        <f t="shared" si="49"/>
        <v>71</v>
      </c>
      <c r="P21" s="97">
        <v>171872</v>
      </c>
      <c r="Q21" s="66">
        <f t="shared" si="50"/>
        <v>144</v>
      </c>
      <c r="R21" s="25">
        <f t="shared" si="9"/>
        <v>45524</v>
      </c>
      <c r="S21" s="42">
        <v>5969</v>
      </c>
      <c r="T21" s="43">
        <v>0</v>
      </c>
      <c r="U21" s="44">
        <f t="shared" si="10"/>
        <v>100</v>
      </c>
      <c r="V21" s="20">
        <v>0.77</v>
      </c>
      <c r="W21" s="51">
        <v>0.77</v>
      </c>
      <c r="X21" s="52">
        <f t="shared" si="0"/>
        <v>3850</v>
      </c>
      <c r="Y21" s="49"/>
      <c r="Z21" s="53">
        <f t="shared" si="3"/>
        <v>125</v>
      </c>
      <c r="AA21" s="57">
        <v>100985</v>
      </c>
      <c r="AB21" s="44">
        <f t="shared" si="51"/>
        <v>94</v>
      </c>
      <c r="AC21" s="57">
        <v>10118.299999999999</v>
      </c>
      <c r="AD21" s="44">
        <f t="shared" si="52"/>
        <v>9.7000000000007276</v>
      </c>
      <c r="AE21" s="60">
        <v>69456</v>
      </c>
      <c r="AF21" s="44">
        <f t="shared" si="52"/>
        <v>32</v>
      </c>
      <c r="AG21" s="63">
        <v>3100</v>
      </c>
      <c r="AH21" s="74">
        <v>0</v>
      </c>
      <c r="AI21" s="53">
        <f t="shared" si="4"/>
        <v>0</v>
      </c>
      <c r="AJ21" s="13">
        <v>172</v>
      </c>
      <c r="AK21" s="23">
        <v>395</v>
      </c>
    </row>
    <row r="22" spans="1:37" x14ac:dyDescent="0.2">
      <c r="A22" s="25">
        <v>45525</v>
      </c>
      <c r="B22" s="10">
        <v>31847733</v>
      </c>
      <c r="C22" s="17">
        <f t="shared" si="53"/>
        <v>7927</v>
      </c>
      <c r="D22" s="11">
        <v>847996</v>
      </c>
      <c r="E22" s="17">
        <f t="shared" si="54"/>
        <v>2284</v>
      </c>
      <c r="F22" s="35">
        <v>110448</v>
      </c>
      <c r="G22" s="100">
        <f t="shared" si="48"/>
        <v>0</v>
      </c>
      <c r="H22" s="104">
        <f t="shared" si="1"/>
        <v>10211</v>
      </c>
      <c r="I22" s="110">
        <f t="shared" si="2"/>
        <v>8829.4000000003725</v>
      </c>
      <c r="J22" s="97">
        <v>4636120.4000000004</v>
      </c>
      <c r="K22" s="44">
        <f t="shared" si="48"/>
        <v>1095.5999999996275</v>
      </c>
      <c r="L22" s="15">
        <v>464321</v>
      </c>
      <c r="M22" s="44">
        <f t="shared" si="49"/>
        <v>71</v>
      </c>
      <c r="N22" s="15">
        <v>120902</v>
      </c>
      <c r="O22" s="44">
        <f t="shared" si="49"/>
        <v>71</v>
      </c>
      <c r="P22" s="97">
        <v>172016</v>
      </c>
      <c r="Q22" s="66">
        <f t="shared" si="50"/>
        <v>144</v>
      </c>
      <c r="R22" s="25">
        <f t="shared" si="9"/>
        <v>45525</v>
      </c>
      <c r="S22" s="42">
        <v>5869</v>
      </c>
      <c r="T22" s="43">
        <v>0</v>
      </c>
      <c r="U22" s="44">
        <f t="shared" si="10"/>
        <v>0</v>
      </c>
      <c r="V22" s="20">
        <v>0.75</v>
      </c>
      <c r="W22" s="51">
        <v>0.74</v>
      </c>
      <c r="X22" s="52">
        <f t="shared" si="0"/>
        <v>3725</v>
      </c>
      <c r="Y22" s="49"/>
      <c r="Z22" s="53">
        <f t="shared" si="3"/>
        <v>225</v>
      </c>
      <c r="AA22" s="57">
        <v>101079</v>
      </c>
      <c r="AB22" s="44">
        <f t="shared" si="51"/>
        <v>103</v>
      </c>
      <c r="AC22" s="57">
        <v>10128</v>
      </c>
      <c r="AD22" s="44">
        <f t="shared" si="52"/>
        <v>9.5</v>
      </c>
      <c r="AE22" s="60">
        <v>69488</v>
      </c>
      <c r="AF22" s="44">
        <f t="shared" si="52"/>
        <v>51</v>
      </c>
      <c r="AG22" s="63">
        <v>3100</v>
      </c>
      <c r="AH22" s="74">
        <v>0</v>
      </c>
      <c r="AI22" s="53">
        <f t="shared" si="4"/>
        <v>0</v>
      </c>
      <c r="AJ22" s="13">
        <v>172</v>
      </c>
      <c r="AK22" s="23">
        <v>388</v>
      </c>
    </row>
    <row r="23" spans="1:37" x14ac:dyDescent="0.2">
      <c r="A23" s="25">
        <v>45526</v>
      </c>
      <c r="B23" s="10">
        <v>31855660</v>
      </c>
      <c r="C23" s="17">
        <f t="shared" si="53"/>
        <v>7773</v>
      </c>
      <c r="D23" s="11">
        <v>850280</v>
      </c>
      <c r="E23" s="17">
        <f t="shared" si="54"/>
        <v>2316</v>
      </c>
      <c r="F23" s="35">
        <v>110448</v>
      </c>
      <c r="G23" s="100">
        <f t="shared" si="48"/>
        <v>0</v>
      </c>
      <c r="H23" s="104">
        <f t="shared" si="1"/>
        <v>10089</v>
      </c>
      <c r="I23" s="110">
        <f t="shared" si="2"/>
        <v>8712.5999999996275</v>
      </c>
      <c r="J23" s="97">
        <v>4637216</v>
      </c>
      <c r="K23" s="44">
        <f t="shared" si="48"/>
        <v>1090.4000000003725</v>
      </c>
      <c r="L23" s="15">
        <v>464392</v>
      </c>
      <c r="M23" s="44">
        <f t="shared" si="49"/>
        <v>71</v>
      </c>
      <c r="N23" s="15">
        <v>120973</v>
      </c>
      <c r="O23" s="44">
        <f t="shared" si="49"/>
        <v>71</v>
      </c>
      <c r="P23" s="97">
        <v>172160</v>
      </c>
      <c r="Q23" s="66">
        <f t="shared" si="50"/>
        <v>144</v>
      </c>
      <c r="R23" s="25">
        <f t="shared" si="9"/>
        <v>45526</v>
      </c>
      <c r="S23" s="42">
        <v>5869</v>
      </c>
      <c r="T23" s="43">
        <v>0</v>
      </c>
      <c r="U23" s="44">
        <f t="shared" si="10"/>
        <v>100</v>
      </c>
      <c r="V23" s="20">
        <v>0.7</v>
      </c>
      <c r="W23" s="51">
        <v>0.7</v>
      </c>
      <c r="X23" s="52">
        <f t="shared" si="0"/>
        <v>3500</v>
      </c>
      <c r="Y23" s="49"/>
      <c r="Z23" s="53">
        <f t="shared" si="3"/>
        <v>99.999999999999545</v>
      </c>
      <c r="AA23" s="57">
        <v>101182</v>
      </c>
      <c r="AB23" s="44">
        <f t="shared" si="51"/>
        <v>107</v>
      </c>
      <c r="AC23" s="57">
        <v>10137.5</v>
      </c>
      <c r="AD23" s="44">
        <f t="shared" si="52"/>
        <v>13.5</v>
      </c>
      <c r="AE23" s="60">
        <v>69539</v>
      </c>
      <c r="AF23" s="44">
        <f t="shared" si="52"/>
        <v>55</v>
      </c>
      <c r="AG23" s="63">
        <v>3100</v>
      </c>
      <c r="AH23" s="74">
        <v>0</v>
      </c>
      <c r="AI23" s="53">
        <f t="shared" si="4"/>
        <v>0</v>
      </c>
      <c r="AJ23" s="13">
        <v>170</v>
      </c>
      <c r="AK23" s="23">
        <v>392</v>
      </c>
    </row>
    <row r="24" spans="1:37" x14ac:dyDescent="0.2">
      <c r="A24" s="25">
        <v>45527</v>
      </c>
      <c r="B24" s="10">
        <v>31863433</v>
      </c>
      <c r="C24" s="17">
        <f t="shared" si="53"/>
        <v>7156</v>
      </c>
      <c r="D24" s="11">
        <v>852596</v>
      </c>
      <c r="E24" s="17">
        <f t="shared" si="54"/>
        <v>2295</v>
      </c>
      <c r="F24" s="35">
        <v>110448</v>
      </c>
      <c r="G24" s="100">
        <f t="shared" si="48"/>
        <v>0</v>
      </c>
      <c r="H24" s="104">
        <f t="shared" si="1"/>
        <v>9451</v>
      </c>
      <c r="I24" s="110">
        <f t="shared" si="2"/>
        <v>8198.2000000001863</v>
      </c>
      <c r="J24" s="97">
        <v>4638306.4000000004</v>
      </c>
      <c r="K24" s="44">
        <f t="shared" si="48"/>
        <v>966.79999999981374</v>
      </c>
      <c r="L24" s="15">
        <v>464463</v>
      </c>
      <c r="M24" s="44">
        <f t="shared" si="49"/>
        <v>71</v>
      </c>
      <c r="N24" s="15">
        <v>121044</v>
      </c>
      <c r="O24" s="44">
        <f t="shared" si="49"/>
        <v>71</v>
      </c>
      <c r="P24" s="97">
        <v>172304</v>
      </c>
      <c r="Q24" s="66">
        <f t="shared" si="50"/>
        <v>144</v>
      </c>
      <c r="R24" s="25">
        <f t="shared" si="9"/>
        <v>45527</v>
      </c>
      <c r="S24" s="42">
        <v>5769</v>
      </c>
      <c r="T24" s="43">
        <v>0</v>
      </c>
      <c r="U24" s="44">
        <f t="shared" si="10"/>
        <v>99</v>
      </c>
      <c r="V24" s="20">
        <v>0.68</v>
      </c>
      <c r="W24" s="51">
        <v>0.68</v>
      </c>
      <c r="X24" s="52">
        <f t="shared" si="0"/>
        <v>3400.0000000000005</v>
      </c>
      <c r="Y24" s="49"/>
      <c r="Z24" s="53">
        <f t="shared" si="3"/>
        <v>125.00000000000045</v>
      </c>
      <c r="AA24" s="57">
        <v>101289</v>
      </c>
      <c r="AB24" s="44">
        <f t="shared" si="51"/>
        <v>101</v>
      </c>
      <c r="AC24" s="57">
        <v>10151</v>
      </c>
      <c r="AD24" s="44">
        <f t="shared" si="52"/>
        <v>9.2000000000007276</v>
      </c>
      <c r="AE24" s="60">
        <v>69594</v>
      </c>
      <c r="AF24" s="44">
        <f t="shared" si="52"/>
        <v>40</v>
      </c>
      <c r="AG24" s="63">
        <v>3100</v>
      </c>
      <c r="AH24" s="74">
        <v>0</v>
      </c>
      <c r="AI24" s="53">
        <f t="shared" si="4"/>
        <v>0</v>
      </c>
      <c r="AJ24" s="13">
        <v>182</v>
      </c>
      <c r="AK24" s="23">
        <v>417</v>
      </c>
    </row>
    <row r="25" spans="1:37" x14ac:dyDescent="0.2">
      <c r="A25" s="25">
        <v>45528</v>
      </c>
      <c r="B25" s="10">
        <v>31870589</v>
      </c>
      <c r="C25" s="17">
        <f t="shared" si="53"/>
        <v>7869</v>
      </c>
      <c r="D25" s="11">
        <v>854891</v>
      </c>
      <c r="E25" s="17">
        <f t="shared" si="54"/>
        <v>2269</v>
      </c>
      <c r="F25" s="35">
        <v>110448</v>
      </c>
      <c r="G25" s="100">
        <f t="shared" si="48"/>
        <v>0</v>
      </c>
      <c r="H25" s="104">
        <f t="shared" si="1"/>
        <v>10138</v>
      </c>
      <c r="I25" s="110">
        <f t="shared" si="2"/>
        <v>8821.6000000005588</v>
      </c>
      <c r="J25" s="97">
        <v>4639273.2</v>
      </c>
      <c r="K25" s="44">
        <f t="shared" si="48"/>
        <v>1030.3999999994412</v>
      </c>
      <c r="L25" s="15">
        <v>464534</v>
      </c>
      <c r="M25" s="44">
        <f t="shared" si="49"/>
        <v>71</v>
      </c>
      <c r="N25" s="15">
        <v>121115</v>
      </c>
      <c r="O25" s="44">
        <f t="shared" si="49"/>
        <v>71</v>
      </c>
      <c r="P25" s="97">
        <v>172448</v>
      </c>
      <c r="Q25" s="66">
        <f t="shared" si="50"/>
        <v>144</v>
      </c>
      <c r="R25" s="25">
        <f t="shared" si="9"/>
        <v>45528</v>
      </c>
      <c r="S25" s="42">
        <v>5670</v>
      </c>
      <c r="T25" s="43">
        <v>0</v>
      </c>
      <c r="U25" s="44">
        <f t="shared" si="10"/>
        <v>99</v>
      </c>
      <c r="V25" s="20">
        <v>0.66</v>
      </c>
      <c r="W25" s="51">
        <v>0.65</v>
      </c>
      <c r="X25" s="52">
        <f t="shared" si="0"/>
        <v>3275</v>
      </c>
      <c r="Y25" s="49"/>
      <c r="Z25" s="53">
        <f t="shared" si="3"/>
        <v>275</v>
      </c>
      <c r="AA25" s="57">
        <v>101390</v>
      </c>
      <c r="AB25" s="44">
        <f t="shared" si="51"/>
        <v>95</v>
      </c>
      <c r="AC25" s="57">
        <v>10160.200000000001</v>
      </c>
      <c r="AD25" s="44">
        <f t="shared" si="52"/>
        <v>8.5</v>
      </c>
      <c r="AE25" s="60">
        <v>69634</v>
      </c>
      <c r="AF25" s="44">
        <f t="shared" si="52"/>
        <v>54</v>
      </c>
      <c r="AG25" s="63">
        <v>3100</v>
      </c>
      <c r="AH25" s="74">
        <v>0</v>
      </c>
      <c r="AI25" s="53">
        <f t="shared" si="4"/>
        <v>0</v>
      </c>
      <c r="AJ25" s="13">
        <v>181</v>
      </c>
      <c r="AK25" s="23">
        <v>418</v>
      </c>
    </row>
    <row r="26" spans="1:37" x14ac:dyDescent="0.2">
      <c r="A26" s="25">
        <v>45529</v>
      </c>
      <c r="B26" s="10">
        <v>31878458</v>
      </c>
      <c r="C26" s="17">
        <f t="shared" si="53"/>
        <v>7562</v>
      </c>
      <c r="D26" s="11">
        <v>857160</v>
      </c>
      <c r="E26" s="17">
        <f t="shared" si="54"/>
        <v>2186</v>
      </c>
      <c r="F26" s="35">
        <v>110448</v>
      </c>
      <c r="G26" s="100">
        <f t="shared" si="48"/>
        <v>0</v>
      </c>
      <c r="H26" s="104">
        <f t="shared" si="1"/>
        <v>9748</v>
      </c>
      <c r="I26" s="110">
        <f t="shared" si="2"/>
        <v>8450.7999999998137</v>
      </c>
      <c r="J26" s="97">
        <v>4640303.5999999996</v>
      </c>
      <c r="K26" s="44">
        <f t="shared" si="48"/>
        <v>1011.2000000001863</v>
      </c>
      <c r="L26" s="15">
        <v>464605</v>
      </c>
      <c r="M26" s="44">
        <f t="shared" si="49"/>
        <v>71</v>
      </c>
      <c r="N26" s="15">
        <v>121186</v>
      </c>
      <c r="O26" s="44">
        <f t="shared" si="49"/>
        <v>71</v>
      </c>
      <c r="P26" s="97">
        <v>172592</v>
      </c>
      <c r="Q26" s="66">
        <f t="shared" si="50"/>
        <v>144</v>
      </c>
      <c r="R26" s="25">
        <f t="shared" si="9"/>
        <v>45529</v>
      </c>
      <c r="S26" s="42">
        <v>5571</v>
      </c>
      <c r="T26" s="43">
        <v>0</v>
      </c>
      <c r="U26" s="44">
        <f t="shared" si="10"/>
        <v>71</v>
      </c>
      <c r="V26" s="20">
        <v>0.6</v>
      </c>
      <c r="W26" s="51">
        <v>0.6</v>
      </c>
      <c r="X26" s="52">
        <f t="shared" si="0"/>
        <v>3000</v>
      </c>
      <c r="Y26" s="49"/>
      <c r="Z26" s="53">
        <f t="shared" si="3"/>
        <v>250</v>
      </c>
      <c r="AA26" s="57">
        <v>101485</v>
      </c>
      <c r="AB26" s="44">
        <f t="shared" si="51"/>
        <v>95</v>
      </c>
      <c r="AC26" s="57">
        <v>10168.700000000001</v>
      </c>
      <c r="AD26" s="44">
        <f t="shared" si="52"/>
        <v>9</v>
      </c>
      <c r="AE26" s="60">
        <v>69688</v>
      </c>
      <c r="AF26" s="44">
        <f t="shared" si="52"/>
        <v>14</v>
      </c>
      <c r="AG26" s="63">
        <v>3100</v>
      </c>
      <c r="AH26" s="74">
        <v>0</v>
      </c>
      <c r="AI26" s="53">
        <f t="shared" si="4"/>
        <v>0</v>
      </c>
      <c r="AJ26" s="13">
        <v>163</v>
      </c>
      <c r="AK26" s="23">
        <v>379</v>
      </c>
    </row>
    <row r="27" spans="1:37" x14ac:dyDescent="0.2">
      <c r="A27" s="25">
        <v>45530</v>
      </c>
      <c r="B27" s="10">
        <v>31886020</v>
      </c>
      <c r="C27" s="17">
        <f t="shared" si="53"/>
        <v>8019</v>
      </c>
      <c r="D27" s="11">
        <v>859346</v>
      </c>
      <c r="E27" s="17">
        <f t="shared" si="54"/>
        <v>2308</v>
      </c>
      <c r="F27" s="35">
        <v>110448</v>
      </c>
      <c r="G27" s="100">
        <f t="shared" si="48"/>
        <v>0</v>
      </c>
      <c r="H27" s="104">
        <f t="shared" si="1"/>
        <v>10327</v>
      </c>
      <c r="I27" s="110">
        <f t="shared" si="2"/>
        <v>8925.3999999994412</v>
      </c>
      <c r="J27" s="97">
        <v>4641314.8</v>
      </c>
      <c r="K27" s="44">
        <f t="shared" si="48"/>
        <v>1115.6000000005588</v>
      </c>
      <c r="L27" s="15">
        <v>464676</v>
      </c>
      <c r="M27" s="44">
        <f t="shared" si="49"/>
        <v>71</v>
      </c>
      <c r="N27" s="15">
        <v>121257</v>
      </c>
      <c r="O27" s="44">
        <f t="shared" si="49"/>
        <v>71</v>
      </c>
      <c r="P27" s="97">
        <v>172736</v>
      </c>
      <c r="Q27" s="66">
        <f t="shared" si="50"/>
        <v>144</v>
      </c>
      <c r="R27" s="25">
        <f t="shared" si="9"/>
        <v>45530</v>
      </c>
      <c r="S27" s="42">
        <v>5500</v>
      </c>
      <c r="T27" s="43">
        <v>0</v>
      </c>
      <c r="U27" s="44">
        <f t="shared" si="10"/>
        <v>28</v>
      </c>
      <c r="V27" s="20">
        <v>0.56000000000000005</v>
      </c>
      <c r="W27" s="51">
        <v>0.54</v>
      </c>
      <c r="X27" s="52">
        <f t="shared" si="0"/>
        <v>2750</v>
      </c>
      <c r="Y27" s="49">
        <v>1340.8</v>
      </c>
      <c r="Z27" s="53">
        <f t="shared" si="3"/>
        <v>140.80000000000018</v>
      </c>
      <c r="AA27" s="57">
        <v>101580</v>
      </c>
      <c r="AB27" s="44">
        <f t="shared" si="51"/>
        <v>95</v>
      </c>
      <c r="AC27" s="57">
        <v>10177.700000000001</v>
      </c>
      <c r="AD27" s="44">
        <f t="shared" si="52"/>
        <v>8.5</v>
      </c>
      <c r="AE27" s="60">
        <v>69702</v>
      </c>
      <c r="AF27" s="44">
        <f t="shared" si="52"/>
        <v>64</v>
      </c>
      <c r="AG27" s="63">
        <v>3100</v>
      </c>
      <c r="AH27" s="74">
        <v>0</v>
      </c>
      <c r="AI27" s="53">
        <f t="shared" si="4"/>
        <v>0</v>
      </c>
      <c r="AJ27" s="13">
        <v>166</v>
      </c>
      <c r="AK27" s="23">
        <v>369</v>
      </c>
    </row>
    <row r="28" spans="1:37" x14ac:dyDescent="0.2">
      <c r="A28" s="25">
        <v>45531</v>
      </c>
      <c r="B28" s="10">
        <v>31894039</v>
      </c>
      <c r="C28" s="17">
        <f t="shared" si="53"/>
        <v>7101</v>
      </c>
      <c r="D28" s="11">
        <v>861654</v>
      </c>
      <c r="E28" s="17">
        <f t="shared" si="54"/>
        <v>2271</v>
      </c>
      <c r="F28" s="35">
        <v>110448</v>
      </c>
      <c r="G28" s="100">
        <f t="shared" ref="G28:G32" si="55">F29-F28</f>
        <v>0</v>
      </c>
      <c r="H28" s="104">
        <f t="shared" si="1"/>
        <v>9372</v>
      </c>
      <c r="I28" s="110">
        <f t="shared" si="2"/>
        <v>8083.2000000001863</v>
      </c>
      <c r="J28" s="97">
        <v>4642430.4000000004</v>
      </c>
      <c r="K28" s="44">
        <f t="shared" ref="K28:K32" si="56">J29-J28</f>
        <v>1002.7999999998137</v>
      </c>
      <c r="L28" s="15">
        <v>464747</v>
      </c>
      <c r="M28" s="44">
        <f t="shared" ref="M28:M32" si="57">L29-L28</f>
        <v>71</v>
      </c>
      <c r="N28" s="15">
        <v>121328</v>
      </c>
      <c r="O28" s="44">
        <f t="shared" ref="O28:O32" si="58">N29-N28</f>
        <v>71</v>
      </c>
      <c r="P28" s="97">
        <v>172880</v>
      </c>
      <c r="Q28" s="66">
        <f t="shared" si="50"/>
        <v>144</v>
      </c>
      <c r="R28" s="25">
        <f t="shared" si="9"/>
        <v>45531</v>
      </c>
      <c r="S28" s="42">
        <v>5472</v>
      </c>
      <c r="T28" s="43">
        <v>0</v>
      </c>
      <c r="U28" s="44">
        <f t="shared" si="10"/>
        <v>99</v>
      </c>
      <c r="V28" s="20">
        <v>0.79</v>
      </c>
      <c r="W28" s="51">
        <v>0.79</v>
      </c>
      <c r="X28" s="52">
        <f t="shared" si="0"/>
        <v>3950</v>
      </c>
      <c r="Y28" s="49"/>
      <c r="Z28" s="53">
        <f t="shared" si="3"/>
        <v>175</v>
      </c>
      <c r="AA28" s="57">
        <v>101675</v>
      </c>
      <c r="AB28" s="44">
        <f t="shared" si="51"/>
        <v>91</v>
      </c>
      <c r="AC28" s="57">
        <v>10186.200000000001</v>
      </c>
      <c r="AD28" s="44">
        <f t="shared" ref="AD28:AD32" si="59">AC29-AC28</f>
        <v>12.399999999999636</v>
      </c>
      <c r="AE28" s="60">
        <v>69766</v>
      </c>
      <c r="AF28" s="44">
        <f t="shared" ref="AF28:AF32" si="60">AE29-AE28</f>
        <v>24</v>
      </c>
      <c r="AG28" s="63">
        <v>3100</v>
      </c>
      <c r="AH28" s="74">
        <v>0</v>
      </c>
      <c r="AI28" s="53">
        <f t="shared" si="4"/>
        <v>0</v>
      </c>
      <c r="AJ28" s="13">
        <v>176</v>
      </c>
      <c r="AK28" s="23">
        <v>374</v>
      </c>
    </row>
    <row r="29" spans="1:37" x14ac:dyDescent="0.2">
      <c r="A29" s="25">
        <v>45532</v>
      </c>
      <c r="B29" s="10">
        <v>31901140</v>
      </c>
      <c r="C29" s="17">
        <f t="shared" si="53"/>
        <v>7356</v>
      </c>
      <c r="D29" s="11">
        <v>863925</v>
      </c>
      <c r="E29" s="17">
        <f t="shared" si="54"/>
        <v>2246</v>
      </c>
      <c r="F29" s="35">
        <v>110448</v>
      </c>
      <c r="G29" s="100">
        <f t="shared" si="55"/>
        <v>0</v>
      </c>
      <c r="H29" s="104">
        <f t="shared" si="1"/>
        <v>9602</v>
      </c>
      <c r="I29" s="110">
        <f t="shared" si="2"/>
        <v>8254.7999999998137</v>
      </c>
      <c r="J29" s="97">
        <v>4643433.2</v>
      </c>
      <c r="K29" s="44">
        <f t="shared" si="56"/>
        <v>1061.2000000001863</v>
      </c>
      <c r="L29" s="15">
        <v>464818</v>
      </c>
      <c r="M29" s="44">
        <f t="shared" si="57"/>
        <v>71</v>
      </c>
      <c r="N29" s="15">
        <v>121399</v>
      </c>
      <c r="O29" s="44">
        <f t="shared" si="58"/>
        <v>71</v>
      </c>
      <c r="P29" s="97">
        <v>173024</v>
      </c>
      <c r="Q29" s="66">
        <f t="shared" si="50"/>
        <v>144</v>
      </c>
      <c r="R29" s="25">
        <f t="shared" si="9"/>
        <v>45532</v>
      </c>
      <c r="S29" s="42">
        <v>5373</v>
      </c>
      <c r="T29" s="43">
        <v>0</v>
      </c>
      <c r="U29" s="44">
        <f t="shared" si="10"/>
        <v>98</v>
      </c>
      <c r="V29" s="20">
        <v>0.75</v>
      </c>
      <c r="W29" s="51">
        <v>0.76</v>
      </c>
      <c r="X29" s="52">
        <f t="shared" si="0"/>
        <v>3775</v>
      </c>
      <c r="Y29" s="49"/>
      <c r="Z29" s="53">
        <f t="shared" si="3"/>
        <v>275</v>
      </c>
      <c r="AA29" s="57">
        <v>101766</v>
      </c>
      <c r="AB29" s="44">
        <f t="shared" si="51"/>
        <v>88</v>
      </c>
      <c r="AC29" s="57">
        <v>10198.6</v>
      </c>
      <c r="AD29" s="44">
        <f t="shared" si="59"/>
        <v>6.6999999999989086</v>
      </c>
      <c r="AE29" s="60">
        <v>69790</v>
      </c>
      <c r="AF29" s="44">
        <f t="shared" si="60"/>
        <v>28</v>
      </c>
      <c r="AG29" s="63">
        <v>3100</v>
      </c>
      <c r="AH29" s="74">
        <v>0</v>
      </c>
      <c r="AI29" s="53">
        <f t="shared" si="4"/>
        <v>0</v>
      </c>
      <c r="AJ29" s="13">
        <v>163</v>
      </c>
      <c r="AK29" s="23">
        <v>357</v>
      </c>
    </row>
    <row r="30" spans="1:37" x14ac:dyDescent="0.2">
      <c r="A30" s="25">
        <v>45533</v>
      </c>
      <c r="B30" s="10">
        <v>31908496</v>
      </c>
      <c r="C30" s="17">
        <f t="shared" si="53"/>
        <v>7193</v>
      </c>
      <c r="D30" s="11">
        <v>866171</v>
      </c>
      <c r="E30" s="17">
        <f t="shared" si="54"/>
        <v>2242</v>
      </c>
      <c r="F30" s="35">
        <v>110448</v>
      </c>
      <c r="G30" s="100">
        <f t="shared" si="55"/>
        <v>0</v>
      </c>
      <c r="H30" s="104">
        <f t="shared" si="1"/>
        <v>9435</v>
      </c>
      <c r="I30" s="110">
        <f t="shared" si="2"/>
        <v>7991</v>
      </c>
      <c r="J30" s="97">
        <v>4644494.4000000004</v>
      </c>
      <c r="K30" s="44">
        <f t="shared" si="56"/>
        <v>1158</v>
      </c>
      <c r="L30" s="15">
        <v>464889</v>
      </c>
      <c r="M30" s="44">
        <f t="shared" si="57"/>
        <v>71</v>
      </c>
      <c r="N30" s="15">
        <v>121470</v>
      </c>
      <c r="O30" s="44">
        <f t="shared" si="58"/>
        <v>71</v>
      </c>
      <c r="P30" s="97">
        <v>173168</v>
      </c>
      <c r="Q30" s="66">
        <f t="shared" si="50"/>
        <v>144</v>
      </c>
      <c r="R30" s="25">
        <f t="shared" si="9"/>
        <v>45533</v>
      </c>
      <c r="S30" s="42">
        <v>5275</v>
      </c>
      <c r="T30" s="43">
        <v>0</v>
      </c>
      <c r="U30" s="44">
        <f t="shared" si="10"/>
        <v>0</v>
      </c>
      <c r="V30" s="20">
        <v>0.7</v>
      </c>
      <c r="W30" s="51">
        <v>0.7</v>
      </c>
      <c r="X30" s="52">
        <f t="shared" si="0"/>
        <v>3500</v>
      </c>
      <c r="Y30" s="49"/>
      <c r="Z30" s="53">
        <f t="shared" si="3"/>
        <v>150</v>
      </c>
      <c r="AA30" s="57">
        <v>101854</v>
      </c>
      <c r="AB30" s="44">
        <f t="shared" si="51"/>
        <v>101</v>
      </c>
      <c r="AC30" s="57">
        <v>10205.299999999999</v>
      </c>
      <c r="AD30" s="44">
        <f t="shared" si="59"/>
        <v>10.400000000001455</v>
      </c>
      <c r="AE30" s="60">
        <v>69818</v>
      </c>
      <c r="AF30" s="44">
        <f t="shared" si="60"/>
        <v>44</v>
      </c>
      <c r="AG30" s="63">
        <v>3100</v>
      </c>
      <c r="AH30" s="74">
        <v>0</v>
      </c>
      <c r="AI30" s="53">
        <f t="shared" si="4"/>
        <v>0</v>
      </c>
      <c r="AJ30" s="13">
        <v>152</v>
      </c>
      <c r="AK30" s="23">
        <v>339</v>
      </c>
    </row>
    <row r="31" spans="1:37" x14ac:dyDescent="0.2">
      <c r="A31" s="25">
        <v>45534</v>
      </c>
      <c r="B31" s="10">
        <v>31915689</v>
      </c>
      <c r="C31" s="17">
        <f t="shared" si="53"/>
        <v>7711</v>
      </c>
      <c r="D31" s="11">
        <v>868413</v>
      </c>
      <c r="E31" s="17">
        <f t="shared" si="54"/>
        <v>2165</v>
      </c>
      <c r="F31" s="36">
        <v>110448</v>
      </c>
      <c r="G31" s="100">
        <f t="shared" si="55"/>
        <v>0</v>
      </c>
      <c r="H31" s="104">
        <f t="shared" si="1"/>
        <v>9876</v>
      </c>
      <c r="I31" s="110">
        <f t="shared" si="2"/>
        <v>8424.4000000003725</v>
      </c>
      <c r="J31" s="101">
        <v>4645652.4000000004</v>
      </c>
      <c r="K31" s="44">
        <f t="shared" si="56"/>
        <v>1165.5999999996275</v>
      </c>
      <c r="L31" s="15">
        <v>464960</v>
      </c>
      <c r="M31" s="44">
        <f t="shared" si="57"/>
        <v>71</v>
      </c>
      <c r="N31" s="15">
        <v>121541</v>
      </c>
      <c r="O31" s="44">
        <f t="shared" si="58"/>
        <v>71</v>
      </c>
      <c r="P31" s="97">
        <v>173312</v>
      </c>
      <c r="Q31" s="66">
        <f t="shared" si="50"/>
        <v>144</v>
      </c>
      <c r="R31" s="25">
        <f t="shared" si="9"/>
        <v>45534</v>
      </c>
      <c r="S31" s="42">
        <v>5275</v>
      </c>
      <c r="T31" s="43">
        <v>0</v>
      </c>
      <c r="U31" s="44">
        <f t="shared" si="10"/>
        <v>196</v>
      </c>
      <c r="V31" s="20">
        <v>0.68</v>
      </c>
      <c r="W31" s="51">
        <v>0.66</v>
      </c>
      <c r="X31" s="52">
        <f t="shared" si="0"/>
        <v>3350</v>
      </c>
      <c r="Y31" s="49"/>
      <c r="Z31" s="53">
        <f t="shared" si="3"/>
        <v>100</v>
      </c>
      <c r="AA31" s="57">
        <v>101955</v>
      </c>
      <c r="AB31" s="44">
        <f t="shared" si="51"/>
        <v>91</v>
      </c>
      <c r="AC31" s="68">
        <v>10215.700000000001</v>
      </c>
      <c r="AD31" s="44">
        <f t="shared" si="59"/>
        <v>6.1999999999989086</v>
      </c>
      <c r="AE31" s="60">
        <v>69862</v>
      </c>
      <c r="AF31" s="44">
        <f t="shared" si="60"/>
        <v>80</v>
      </c>
      <c r="AG31" s="63">
        <v>3100</v>
      </c>
      <c r="AH31" s="74">
        <v>0</v>
      </c>
      <c r="AI31" s="53">
        <f t="shared" si="4"/>
        <v>0</v>
      </c>
      <c r="AJ31" s="13">
        <v>136</v>
      </c>
      <c r="AK31" s="23">
        <v>283</v>
      </c>
    </row>
    <row r="32" spans="1:37" ht="13.5" thickBot="1" x14ac:dyDescent="0.25">
      <c r="A32" s="25">
        <v>45535</v>
      </c>
      <c r="B32" s="10">
        <v>31923400</v>
      </c>
      <c r="C32" s="17">
        <f t="shared" si="53"/>
        <v>6651</v>
      </c>
      <c r="D32" s="11">
        <v>870578</v>
      </c>
      <c r="E32" s="17">
        <f t="shared" si="54"/>
        <v>2104</v>
      </c>
      <c r="F32" s="36">
        <v>110448</v>
      </c>
      <c r="G32" s="100">
        <f t="shared" si="55"/>
        <v>0</v>
      </c>
      <c r="H32" s="105">
        <f t="shared" si="1"/>
        <v>8755</v>
      </c>
      <c r="I32" s="111">
        <f t="shared" si="2"/>
        <v>7409.0000000001746</v>
      </c>
      <c r="J32" s="101">
        <v>4646818</v>
      </c>
      <c r="K32" s="44">
        <f t="shared" si="56"/>
        <v>1020.7999999998137</v>
      </c>
      <c r="L32" s="15">
        <v>465031</v>
      </c>
      <c r="M32" s="44">
        <f t="shared" si="57"/>
        <v>8</v>
      </c>
      <c r="N32" s="15">
        <v>121612</v>
      </c>
      <c r="O32" s="44">
        <f t="shared" si="58"/>
        <v>92.5</v>
      </c>
      <c r="P32" s="97">
        <v>173456</v>
      </c>
      <c r="Q32" s="66">
        <f t="shared" si="50"/>
        <v>224.70000000001164</v>
      </c>
      <c r="R32" s="25">
        <f t="shared" si="9"/>
        <v>45535</v>
      </c>
      <c r="S32" s="42">
        <v>5079</v>
      </c>
      <c r="T32" s="43">
        <v>0</v>
      </c>
      <c r="U32" s="44">
        <f t="shared" si="10"/>
        <v>79</v>
      </c>
      <c r="V32" s="20">
        <v>0.65</v>
      </c>
      <c r="W32" s="51">
        <v>0.65</v>
      </c>
      <c r="X32" s="52">
        <f t="shared" si="0"/>
        <v>3250</v>
      </c>
      <c r="Y32" s="49"/>
      <c r="Z32" s="53">
        <f t="shared" si="3"/>
        <v>100</v>
      </c>
      <c r="AA32" s="57">
        <v>102046</v>
      </c>
      <c r="AB32" s="44">
        <f t="shared" si="51"/>
        <v>82</v>
      </c>
      <c r="AC32" s="68">
        <v>10221.9</v>
      </c>
      <c r="AD32" s="44">
        <f t="shared" si="59"/>
        <v>15.700000000000728</v>
      </c>
      <c r="AE32" s="60">
        <v>69942</v>
      </c>
      <c r="AF32" s="44">
        <f t="shared" si="60"/>
        <v>23</v>
      </c>
      <c r="AG32" s="63">
        <v>3100</v>
      </c>
      <c r="AH32" s="74">
        <v>0</v>
      </c>
      <c r="AI32" s="78">
        <f t="shared" si="4"/>
        <v>0</v>
      </c>
      <c r="AJ32" s="79">
        <v>149</v>
      </c>
      <c r="AK32" s="80">
        <v>306</v>
      </c>
    </row>
    <row r="33" spans="1:37" ht="14.25" thickTop="1" thickBot="1" x14ac:dyDescent="0.25">
      <c r="A33" s="26">
        <v>45536</v>
      </c>
      <c r="B33" s="75">
        <v>31930051</v>
      </c>
      <c r="C33" s="93"/>
      <c r="D33" s="90">
        <v>872682</v>
      </c>
      <c r="E33" s="93"/>
      <c r="F33" s="91">
        <v>110448</v>
      </c>
      <c r="G33" s="81"/>
      <c r="H33" s="107"/>
      <c r="I33" s="94"/>
      <c r="J33" s="92">
        <v>4647838.8</v>
      </c>
      <c r="K33" s="93"/>
      <c r="L33" s="89">
        <v>465039</v>
      </c>
      <c r="M33" s="93"/>
      <c r="N33" s="89">
        <v>121704.5</v>
      </c>
      <c r="O33" s="93"/>
      <c r="P33" s="89">
        <v>173680.7</v>
      </c>
      <c r="Q33" s="93"/>
      <c r="R33" s="88">
        <f>A33</f>
        <v>45536</v>
      </c>
      <c r="S33" s="69">
        <v>5000</v>
      </c>
      <c r="T33" s="95">
        <v>0</v>
      </c>
      <c r="U33" s="93"/>
      <c r="V33" s="87">
        <v>0.64</v>
      </c>
      <c r="W33" s="70">
        <v>0.62</v>
      </c>
      <c r="X33" s="54">
        <f t="shared" si="0"/>
        <v>3150</v>
      </c>
      <c r="Y33" s="76"/>
      <c r="Z33" s="93"/>
      <c r="AA33" s="86">
        <v>102128</v>
      </c>
      <c r="AB33" s="93"/>
      <c r="AC33" s="85">
        <v>10237.6</v>
      </c>
      <c r="AD33" s="93"/>
      <c r="AE33" s="84">
        <v>69965</v>
      </c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230256</v>
      </c>
      <c r="D34" s="117"/>
      <c r="E34" s="116">
        <f>SUM(E2:E33)</f>
        <v>73694</v>
      </c>
      <c r="F34" s="118"/>
      <c r="G34" s="116">
        <f>SUM(G2:G33)</f>
        <v>0</v>
      </c>
      <c r="H34" s="117">
        <f>SUM(H2:H33)</f>
        <v>303950</v>
      </c>
      <c r="I34" s="116">
        <f>SUM(I2:I32)</f>
        <v>261814.20000000056</v>
      </c>
      <c r="J34" s="118"/>
      <c r="K34" s="116">
        <f>SUM(K2:K33)</f>
        <v>33230.399999999441</v>
      </c>
      <c r="L34" s="118"/>
      <c r="M34" s="116">
        <f>SUM(M2:M33)</f>
        <v>2138</v>
      </c>
      <c r="N34" s="118"/>
      <c r="O34" s="116">
        <f>SUM(O2:O33)</f>
        <v>2222.3999999999942</v>
      </c>
      <c r="P34" s="118"/>
      <c r="Q34" s="116">
        <f>SUM(Q2:Q33)</f>
        <v>4545</v>
      </c>
      <c r="R34" s="115"/>
      <c r="S34" s="117"/>
      <c r="T34" s="117"/>
      <c r="U34" s="116">
        <f>SUM(U2:U33)</f>
        <v>2174</v>
      </c>
      <c r="V34" s="115"/>
      <c r="W34" s="115"/>
      <c r="X34" s="115"/>
      <c r="Y34" s="117">
        <f>SUM(Y2:Y33)</f>
        <v>4962.9800000000005</v>
      </c>
      <c r="Z34" s="116">
        <f>SUM(Z2:Z33)</f>
        <v>5512.9800000000005</v>
      </c>
      <c r="AA34" s="115"/>
      <c r="AB34" s="116">
        <f>SUM(AB2:AB33)</f>
        <v>3058</v>
      </c>
      <c r="AC34" s="118"/>
      <c r="AD34" s="116">
        <f>SUM(AD2:AD33)</f>
        <v>322.80000000000109</v>
      </c>
      <c r="AE34" s="115"/>
      <c r="AF34" s="116">
        <f>SUM(AF2:AF33)</f>
        <v>1348</v>
      </c>
      <c r="AG34" s="115"/>
      <c r="AH34" s="115">
        <f>SUM(AH2:AH33)</f>
        <v>0</v>
      </c>
      <c r="AI34" s="116">
        <f>SUM(AI2:AI33)</f>
        <v>0</v>
      </c>
      <c r="AJ34" s="119">
        <f>SUM(AJ2:AJ33)</f>
        <v>5262</v>
      </c>
      <c r="AK34" s="120">
        <f>SUM(AK2:AK32)</f>
        <v>11642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2024-09-02T08:08:35Z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