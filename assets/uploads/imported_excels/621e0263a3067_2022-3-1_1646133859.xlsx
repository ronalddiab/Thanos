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489" documentId="8_{5B502D95-7A37-4D5A-8B6B-374537CC2F26}" xr6:coauthVersionLast="47" xr6:coauthVersionMax="47" xr10:uidLastSave="{3E8FB41F-FE3A-478F-B94A-D9C581326AF1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2" l="1"/>
  <c r="N10" i="2"/>
  <c r="M10" i="2"/>
  <c r="L10" i="2"/>
  <c r="F10" i="2"/>
  <c r="G4" i="4"/>
  <c r="E4" i="4"/>
  <c r="C4" i="4"/>
  <c r="L27" i="22"/>
  <c r="L28" i="22"/>
  <c r="L29" i="22"/>
  <c r="L30" i="22"/>
  <c r="L31" i="22"/>
  <c r="K27" i="22"/>
  <c r="K28" i="22"/>
  <c r="K29" i="22"/>
  <c r="K30" i="22"/>
  <c r="I27" i="22"/>
  <c r="I28" i="22"/>
  <c r="I29" i="22"/>
  <c r="I30" i="22"/>
  <c r="G27" i="22"/>
  <c r="G28" i="22"/>
  <c r="G29" i="22"/>
  <c r="G30" i="22"/>
  <c r="G31" i="22"/>
  <c r="G32" i="22"/>
  <c r="E27" i="22"/>
  <c r="E28" i="22"/>
  <c r="E29" i="22"/>
  <c r="E30" i="22"/>
  <c r="E31" i="22"/>
  <c r="E32" i="22"/>
  <c r="B27" i="22"/>
  <c r="B28" i="22"/>
  <c r="B29" i="22"/>
  <c r="B30" i="22"/>
  <c r="B31" i="22"/>
  <c r="B32" i="22"/>
  <c r="I26" i="21"/>
  <c r="I27" i="21"/>
  <c r="I28" i="21"/>
  <c r="I29" i="21"/>
  <c r="I30" i="21"/>
  <c r="I31" i="21"/>
  <c r="I32" i="21"/>
  <c r="H26" i="21"/>
  <c r="H27" i="21"/>
  <c r="H28" i="21"/>
  <c r="H29" i="21"/>
  <c r="H30" i="21"/>
  <c r="H31" i="21"/>
  <c r="H32" i="21"/>
  <c r="G27" i="21"/>
  <c r="G28" i="21"/>
  <c r="G29" i="21"/>
  <c r="G30" i="21"/>
  <c r="G31" i="21"/>
  <c r="F27" i="21"/>
  <c r="F28" i="21"/>
  <c r="F29" i="21"/>
  <c r="F30" i="21"/>
  <c r="F31" i="21"/>
  <c r="F32" i="21"/>
  <c r="E27" i="21"/>
  <c r="E28" i="21"/>
  <c r="E29" i="21"/>
  <c r="E30" i="21"/>
  <c r="E31" i="21"/>
  <c r="E32" i="21"/>
  <c r="B27" i="21"/>
  <c r="B28" i="21"/>
  <c r="B29" i="21"/>
  <c r="B30" i="21"/>
  <c r="B31" i="21"/>
  <c r="B32" i="21"/>
  <c r="Q39" i="2"/>
  <c r="Q36" i="2"/>
  <c r="Q37" i="2"/>
  <c r="O39" i="2"/>
  <c r="O36" i="2"/>
  <c r="O37" i="2"/>
  <c r="H39" i="2"/>
  <c r="H37" i="2"/>
  <c r="H36" i="2"/>
  <c r="X40" i="2"/>
  <c r="K37" i="6"/>
  <c r="I37" i="6"/>
  <c r="G37" i="6"/>
  <c r="E37" i="6"/>
  <c r="C37" i="6"/>
  <c r="X34" i="2"/>
  <c r="X35" i="2"/>
  <c r="X38" i="2"/>
  <c r="K36" i="6"/>
  <c r="I36" i="6"/>
  <c r="G36" i="6"/>
  <c r="E36" i="6"/>
  <c r="C36" i="6"/>
  <c r="K34" i="6"/>
  <c r="I34" i="6"/>
  <c r="G34" i="6"/>
  <c r="E34" i="6"/>
  <c r="C34" i="6"/>
  <c r="X33" i="2"/>
  <c r="K33" i="6"/>
  <c r="I33" i="6"/>
  <c r="G33" i="6"/>
  <c r="E33" i="6"/>
  <c r="C33" i="6"/>
  <c r="G27" i="4"/>
  <c r="E27" i="4"/>
  <c r="C27" i="4"/>
  <c r="K32" i="6"/>
  <c r="I32" i="6"/>
  <c r="G32" i="6"/>
  <c r="E32" i="6"/>
  <c r="C32" i="6"/>
  <c r="K31" i="6"/>
  <c r="I31" i="6"/>
  <c r="G31" i="6"/>
  <c r="E31" i="6"/>
  <c r="C31" i="6"/>
  <c r="X30" i="2"/>
  <c r="K30" i="6"/>
  <c r="I30" i="6"/>
  <c r="G30" i="6"/>
  <c r="E30" i="6"/>
  <c r="C30" i="6"/>
  <c r="X28" i="2"/>
  <c r="X29" i="2"/>
  <c r="K29" i="6"/>
  <c r="I29" i="6"/>
  <c r="G29" i="6"/>
  <c r="E29" i="6"/>
  <c r="C29" i="6"/>
  <c r="K28" i="6"/>
  <c r="I28" i="6"/>
  <c r="G28" i="6"/>
  <c r="E28" i="6"/>
  <c r="C28" i="6"/>
  <c r="X27" i="2"/>
  <c r="K27" i="6"/>
  <c r="I27" i="6"/>
  <c r="G27" i="6"/>
  <c r="E27" i="6"/>
  <c r="C27" i="6"/>
  <c r="X26" i="2"/>
  <c r="K26" i="6"/>
  <c r="I26" i="6"/>
  <c r="G26" i="6"/>
  <c r="E26" i="6"/>
  <c r="C26" i="6"/>
  <c r="K25" i="6"/>
  <c r="I25" i="6"/>
  <c r="G25" i="6"/>
  <c r="E25" i="6"/>
  <c r="C25" i="6"/>
  <c r="X24" i="2"/>
  <c r="C24" i="6"/>
  <c r="E24" i="6"/>
  <c r="G24" i="6"/>
  <c r="I24" i="6"/>
  <c r="K24" i="6"/>
  <c r="X19" i="2"/>
  <c r="X20" i="2"/>
  <c r="X21" i="2"/>
  <c r="X22" i="2"/>
  <c r="X23" i="2"/>
  <c r="K20" i="6"/>
  <c r="I20" i="6"/>
  <c r="G20" i="6"/>
  <c r="E20" i="6"/>
  <c r="C20" i="6"/>
  <c r="K19" i="6"/>
  <c r="I19" i="6"/>
  <c r="G19" i="6"/>
  <c r="E19" i="6"/>
  <c r="C19" i="6"/>
  <c r="X17" i="2"/>
  <c r="X18" i="2"/>
  <c r="K17" i="6"/>
  <c r="I17" i="6"/>
  <c r="G17" i="6"/>
  <c r="E17" i="6"/>
  <c r="C17" i="6"/>
  <c r="K16" i="6"/>
  <c r="I16" i="6"/>
  <c r="G16" i="6"/>
  <c r="E16" i="6"/>
  <c r="C16" i="6"/>
  <c r="X13" i="2"/>
  <c r="X14" i="2"/>
  <c r="X15" i="2"/>
  <c r="K13" i="6"/>
  <c r="I13" i="6"/>
  <c r="G13" i="6"/>
  <c r="E13" i="6"/>
  <c r="C13" i="6"/>
  <c r="X12" i="2"/>
  <c r="K12" i="6"/>
  <c r="I12" i="6"/>
  <c r="G12" i="6"/>
  <c r="E12" i="6"/>
  <c r="C12" i="6"/>
  <c r="X11" i="2"/>
  <c r="K11" i="6"/>
  <c r="I11" i="6"/>
  <c r="G11" i="6"/>
  <c r="E11" i="6"/>
  <c r="C11" i="6"/>
  <c r="X10" i="2"/>
  <c r="K35" i="6"/>
  <c r="I35" i="6"/>
  <c r="G35" i="6"/>
  <c r="E35" i="6"/>
  <c r="C35" i="6"/>
  <c r="Q28" i="2"/>
  <c r="G21" i="4"/>
  <c r="E21" i="4"/>
  <c r="C21" i="4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8" i="6"/>
  <c r="I18" i="6"/>
  <c r="G18" i="6"/>
  <c r="E18" i="6"/>
  <c r="C18" i="6"/>
  <c r="K15" i="6"/>
  <c r="I15" i="6"/>
  <c r="G15" i="6"/>
  <c r="E15" i="6"/>
  <c r="C15" i="6"/>
  <c r="K14" i="6"/>
  <c r="I14" i="6"/>
  <c r="G14" i="6"/>
  <c r="E14" i="6"/>
  <c r="C14" i="6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32" i="22"/>
  <c r="K20" i="22"/>
  <c r="K21" i="22"/>
  <c r="K22" i="22"/>
  <c r="K23" i="22"/>
  <c r="K24" i="22"/>
  <c r="K25" i="22"/>
  <c r="K26" i="22"/>
  <c r="K31" i="22"/>
  <c r="K32" i="22"/>
  <c r="C35" i="4"/>
  <c r="G32" i="21"/>
  <c r="I32" i="22"/>
  <c r="I31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40" i="2"/>
  <c r="H40" i="2"/>
  <c r="Q40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9" i="4" l="1"/>
  <c r="E29" i="4"/>
  <c r="C29" i="4"/>
  <c r="X31" i="2"/>
  <c r="X32" i="2"/>
  <c r="G24" i="4"/>
  <c r="E24" i="4"/>
  <c r="C24" i="4"/>
  <c r="X25" i="2"/>
  <c r="G15" i="4"/>
  <c r="E15" i="4"/>
  <c r="C15" i="4"/>
  <c r="X16" i="2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<sst xmlns="http://schemas.openxmlformats.org/spreadsheetml/2006/main" count="484" uniqueCount="187">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</sst>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3191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2431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1" workbookViewId="0">
      <selection activeCell="L26" sqref="L26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3</v>
      </c>
      <c r="D2" s="141">
        <v>2022</v>
      </c>
      <c r="E2" s="137">
        <f>submetering!E2+submetering!F2+submetering!G2</f>
        <v>10871</v>
      </c>
      <c r="F2" s="134">
        <v>1.05</v>
      </c>
      <c r="G2" s="134">
        <f>'Consommation mensuel énergie'!V10</f>
        <v>0</v>
      </c>
      <c r="H2" s="134">
        <v>9.9649999999999999</v>
      </c>
      <c r="I2" s="134">
        <f>'Consommation mensuel énergie'!F10</f>
        <v>104</v>
      </c>
      <c r="J2" s="134">
        <v>11.4</v>
      </c>
      <c r="K2" s="137">
        <f>'Consommation mensuel énergie'!D10</f>
        <v>0</v>
      </c>
      <c r="L2" s="137">
        <f>'Consommation mensuel énergie'!E10</f>
        <v>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submetering!E3+submetering!F3+submetering!G3</f>
        <v>0</v>
      </c>
      <c r="F3" s="134">
        <v>1.05</v>
      </c>
      <c r="G3" s="134">
        <f>'Consommation mensuel énergie'!V11</f>
        <v>0</v>
      </c>
      <c r="H3" s="134">
        <v>9.9649999999999999</v>
      </c>
      <c r="I3" s="134">
        <f>'Consommation mensuel énergie'!F11</f>
        <v>0</v>
      </c>
      <c r="J3" s="134">
        <v>11.4</v>
      </c>
      <c r="K3" s="137">
        <f>'Consommation mensuel énergie'!D11</f>
        <v>0</v>
      </c>
      <c r="L3" s="137">
        <f>'Consommation mensuel énergie'!E11</f>
        <v>0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submetering!E4+submetering!F4+submetering!G4</f>
        <v>0</v>
      </c>
      <c r="F4" s="134">
        <v>1.05</v>
      </c>
      <c r="G4" s="134">
        <f>'Consommation mensuel énergie'!V12</f>
        <v>0</v>
      </c>
      <c r="H4" s="134">
        <v>9.9649999999999999</v>
      </c>
      <c r="I4" s="134">
        <f>'Consommation mensuel énergie'!F12</f>
        <v>0</v>
      </c>
      <c r="J4" s="134">
        <v>11.4</v>
      </c>
      <c r="K4" s="137">
        <f>'Consommation mensuel énergie'!D12</f>
        <v>0</v>
      </c>
      <c r="L4" s="137">
        <f>'Consommation mensuel énergie'!E12</f>
        <v>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submetering!E5+submetering!F5+submetering!G5</f>
        <v>0</v>
      </c>
      <c r="F5" s="134">
        <v>1.05</v>
      </c>
      <c r="G5" s="134">
        <f>'Consommation mensuel énergie'!V13</f>
        <v>0</v>
      </c>
      <c r="H5" s="134">
        <v>9.9649999999999999</v>
      </c>
      <c r="I5" s="134">
        <f>'Consommation mensuel énergie'!F13</f>
        <v>0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9.9649999999999999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9.9649999999999999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9.9649999999999999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9.9649999999999999</v>
      </c>
      <c r="I31" s="134">
        <f>'Consommation mensuel énergie'!F38</f>
        <v>0</v>
      </c>
      <c r="J31" s="134">
        <v>11.4</v>
      </c>
      <c r="K31" s="137">
        <f>'Consommation mensuel énergie'!D38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énergie'!V41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14" workbookViewId="0">
      <selection activeCell="I25" sqref="I25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3</v>
      </c>
      <c r="D2" s="141">
        <v>2022</v>
      </c>
      <c r="E2" s="137">
        <f>'Consommation mensuel énergie'!L10</f>
        <v>3191</v>
      </c>
      <c r="F2" s="137">
        <f>'Consommation mensuel énergie'!M10</f>
        <v>5249</v>
      </c>
      <c r="G2" s="137">
        <f>'Consommation mensuel énergie'!N10</f>
        <v>2431</v>
      </c>
      <c r="H2" s="137">
        <f>'Consommation mensuel énergie'!D10</f>
        <v>0</v>
      </c>
      <c r="I2" s="137">
        <f>'Consommation mensuel énergie'!E10</f>
        <v>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'Consommation mensuel énergie'!L11</f>
        <v>0</v>
      </c>
      <c r="F3" s="137">
        <f>'Consommation mensuel énergie'!M11</f>
        <v>0</v>
      </c>
      <c r="G3" s="137">
        <f>'Consommation mensuel énergie'!N14</f>
        <v>0</v>
      </c>
      <c r="H3" s="137">
        <f>'Consommation mensuel énergie'!D11</f>
        <v>0</v>
      </c>
      <c r="I3" s="137">
        <f>'Consommation mensuel énergie'!E11</f>
        <v>0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'Consommation mensuel énergie'!L12</f>
        <v>0</v>
      </c>
      <c r="F4" s="137">
        <f>'Consommation mensuel énergie'!M12</f>
        <v>0</v>
      </c>
      <c r="G4" s="137">
        <f>'Consommation mensuel énergie'!N12</f>
        <v>0</v>
      </c>
      <c r="H4" s="137">
        <f>'Consommation mensuel énergie'!D12</f>
        <v>0</v>
      </c>
      <c r="I4" s="137">
        <f>'Consommation mensuel énergie'!E12</f>
        <v>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'Consommation mensuel énergie'!L13</f>
        <v>0</v>
      </c>
      <c r="F5" s="137">
        <f>'Consommation mensuel énergie'!M13</f>
        <v>0</v>
      </c>
      <c r="G5" s="137">
        <f>'Consommation mensuel énergie'!N13</f>
        <v>0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E10" activePane="bottomRight" state="frozen"/>
      <selection pane="bottomRight" activeCell="Q11" sqref="Q1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44621</v>
      </c>
      <c r="C10" s="7"/>
      <c r="D10" s="143"/>
      <c r="E10" s="143"/>
      <c r="F10" s="13">
        <f>'Suivi EAU-ELEC'!E9</f>
        <v>104</v>
      </c>
      <c r="G10" s="11"/>
      <c r="H10" s="168">
        <f>F10*8.79</f>
        <v>914.15999999999985</v>
      </c>
      <c r="I10" s="169"/>
      <c r="J10" s="169"/>
      <c r="K10" s="60">
        <v>42278</v>
      </c>
      <c r="L10" s="90">
        <f>'Suivi EAU-ELEC'!G9</f>
        <v>3191</v>
      </c>
      <c r="M10" s="91">
        <f>'Suivi EAU-ELEC'!I9</f>
        <v>5249</v>
      </c>
      <c r="N10" s="91">
        <f>'Suivi EAU-ELEC'!K9</f>
        <v>2431</v>
      </c>
      <c r="O10" s="91">
        <f>L10+M10+N10</f>
        <v>10871</v>
      </c>
      <c r="P10" s="11"/>
      <c r="Q10" s="34">
        <f>L10*0.6985+M10*0.9514+N10*1.3304</f>
        <v>10457.014500000001</v>
      </c>
      <c r="R10" s="11"/>
      <c r="S10" s="28"/>
      <c r="T10" s="11"/>
      <c r="U10" s="28"/>
      <c r="V10" s="146"/>
      <c r="W10" s="11"/>
      <c r="X10" s="34">
        <f>V10*11.79</f>
        <v>0</v>
      </c>
    </row>
    <row r="11" spans="1:24" ht="32.25" customHeight="1">
      <c r="A11" s="2"/>
      <c r="B11" s="6">
        <v>44622</v>
      </c>
      <c r="C11" s="7"/>
      <c r="D11" s="143"/>
      <c r="E11" s="143"/>
      <c r="F11" s="13"/>
      <c r="G11" s="11"/>
      <c r="H11" s="168">
        <f t="shared" ref="H11:H21" si="0">F11*8.79</f>
        <v>0</v>
      </c>
      <c r="I11" s="169"/>
      <c r="J11" s="169"/>
      <c r="K11" s="60">
        <v>42279</v>
      </c>
      <c r="L11" s="90"/>
      <c r="M11" s="91"/>
      <c r="N11" s="91"/>
      <c r="O11" s="91">
        <f>L11+M11+N11</f>
        <v>0</v>
      </c>
      <c r="P11" s="11"/>
      <c r="Q11" s="34">
        <f>L11*0.6985+M11*0.9514+N14*1.3304</f>
        <v>0</v>
      </c>
      <c r="R11" s="11"/>
      <c r="S11" s="28"/>
      <c r="T11" s="11"/>
      <c r="U11" s="28"/>
      <c r="V11" s="146"/>
      <c r="W11" s="11"/>
      <c r="X11" s="34">
        <f t="shared" ref="X11:X40" si="1">V11*11.79</f>
        <v>0</v>
      </c>
    </row>
    <row r="12" spans="1:24" ht="32.25" customHeight="1">
      <c r="A12" s="2"/>
      <c r="B12" s="6">
        <v>44623</v>
      </c>
      <c r="C12" s="7"/>
      <c r="D12" s="143"/>
      <c r="E12" s="143"/>
      <c r="F12" s="13"/>
      <c r="G12" s="11"/>
      <c r="H12" s="168">
        <f t="shared" si="0"/>
        <v>0</v>
      </c>
      <c r="I12" s="169"/>
      <c r="J12" s="169"/>
      <c r="K12" s="60">
        <v>42280</v>
      </c>
      <c r="L12" s="90"/>
      <c r="M12" s="91"/>
      <c r="N12" s="91"/>
      <c r="O12" s="91">
        <f>L12+M12+N12</f>
        <v>0</v>
      </c>
      <c r="P12" s="11"/>
      <c r="Q12" s="34">
        <f>L12*0.6985+M12*0.9514+N12*1.3304</f>
        <v>0</v>
      </c>
      <c r="R12" s="11"/>
      <c r="S12" s="28"/>
      <c r="T12" s="11"/>
      <c r="U12" s="28"/>
      <c r="V12" s="146"/>
      <c r="W12" s="11"/>
      <c r="X12" s="34">
        <f t="shared" si="1"/>
        <v>0</v>
      </c>
    </row>
    <row r="13" spans="1:24" ht="32.25" customHeight="1">
      <c r="A13" s="2"/>
      <c r="B13" s="6">
        <v>44624</v>
      </c>
      <c r="C13" s="7"/>
      <c r="D13" s="143"/>
      <c r="E13" s="143"/>
      <c r="F13" s="13"/>
      <c r="G13" s="11"/>
      <c r="H13" s="168">
        <f t="shared" si="0"/>
        <v>0</v>
      </c>
      <c r="I13" s="169"/>
      <c r="J13" s="169"/>
      <c r="K13" s="60">
        <v>42281</v>
      </c>
      <c r="L13" s="90"/>
      <c r="M13" s="91"/>
      <c r="N13" s="91"/>
      <c r="O13" s="91">
        <f t="shared" ref="O13:O40" si="2">L13+M13+N13</f>
        <v>0</v>
      </c>
      <c r="P13" s="11"/>
      <c r="Q13" s="34">
        <f t="shared" ref="Q13:Q40" si="3">L13*0.6985+M13*0.9514+N13*1.3304</f>
        <v>0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44625</v>
      </c>
      <c r="C14" s="7"/>
      <c r="D14" s="143"/>
      <c r="E14" s="143"/>
      <c r="F14" s="13"/>
      <c r="G14" s="12"/>
      <c r="H14" s="168">
        <f t="shared" si="0"/>
        <v>0</v>
      </c>
      <c r="I14" s="169"/>
      <c r="J14" s="169"/>
      <c r="K14" s="60">
        <v>42282</v>
      </c>
      <c r="L14" s="90"/>
      <c r="M14" s="91"/>
      <c r="N14" s="91"/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44626</v>
      </c>
      <c r="C15" s="7"/>
      <c r="D15" s="143"/>
      <c r="E15" s="143"/>
      <c r="F15" s="13"/>
      <c r="G15" s="11"/>
      <c r="H15" s="168">
        <f t="shared" si="0"/>
        <v>0</v>
      </c>
      <c r="I15" s="169"/>
      <c r="J15" s="169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44627</v>
      </c>
      <c r="C16" s="7"/>
      <c r="D16" s="143"/>
      <c r="E16" s="143"/>
      <c r="F16" s="13"/>
      <c r="G16" s="11"/>
      <c r="H16" s="168">
        <f t="shared" si="0"/>
        <v>0</v>
      </c>
      <c r="I16" s="169"/>
      <c r="J16" s="169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44628</v>
      </c>
      <c r="C17" s="7"/>
      <c r="D17" s="143"/>
      <c r="E17" s="143"/>
      <c r="F17" s="13"/>
      <c r="G17" s="11"/>
      <c r="H17" s="168">
        <f t="shared" si="0"/>
        <v>0</v>
      </c>
      <c r="I17" s="169"/>
      <c r="J17" s="169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44629</v>
      </c>
      <c r="C18" s="7"/>
      <c r="D18" s="143"/>
      <c r="E18" s="143"/>
      <c r="F18" s="13"/>
      <c r="G18" s="11"/>
      <c r="H18" s="168">
        <f t="shared" si="0"/>
        <v>0</v>
      </c>
      <c r="I18" s="169"/>
      <c r="J18" s="16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44630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44631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44632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44633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44634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44635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44636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44637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44638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44639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44640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44641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44642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44643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44644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44645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44646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44647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/>
    </row>
    <row r="37" spans="1:24" ht="33.75" customHeight="1">
      <c r="A37" s="2"/>
      <c r="B37" s="6">
        <v>44648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/>
    </row>
    <row r="38" spans="1:24" ht="33.75" customHeight="1">
      <c r="A38" s="2"/>
      <c r="B38" s="6">
        <v>44649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44650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/>
    </row>
    <row r="40" spans="1:24" ht="33.75" customHeight="1">
      <c r="A40" s="2"/>
      <c r="B40" s="6">
        <v>44651</v>
      </c>
      <c r="C40" s="7"/>
      <c r="D40" s="143"/>
      <c r="E40" s="143"/>
      <c r="F40" s="13"/>
      <c r="G40" s="11"/>
      <c r="H40" s="168">
        <f t="shared" ref="H40" si="6">F40*8.79</f>
        <v>0</v>
      </c>
      <c r="I40" s="169"/>
      <c r="J40" s="169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0</v>
      </c>
      <c r="E41" s="8">
        <f>SUM(E10:E40)</f>
        <v>0</v>
      </c>
      <c r="F41" s="152">
        <f>SUM(F10:F40)</f>
        <v>104</v>
      </c>
      <c r="G41" s="1"/>
      <c r="H41" s="249">
        <f>SUM(H10:H40)</f>
        <v>914.15999999999985</v>
      </c>
      <c r="I41" s="250"/>
      <c r="J41" s="251"/>
      <c r="K41" s="1"/>
      <c r="L41" s="53">
        <f>SUM(L10:L40)</f>
        <v>3191</v>
      </c>
      <c r="M41" s="53">
        <f>SUM(M10:M40)</f>
        <v>5249</v>
      </c>
      <c r="N41" s="54">
        <f>SUM(N10:N40)</f>
        <v>2431</v>
      </c>
      <c r="O41" s="55">
        <f>SUM(O10:O40)</f>
        <v>10871</v>
      </c>
      <c r="P41" s="31"/>
      <c r="Q41" s="32">
        <f>SUM(Q10:Q40)</f>
        <v>10457.014500000001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0</v>
      </c>
      <c r="W41" s="31"/>
      <c r="X41" s="32">
        <f>SUM(X10:X40)</f>
        <v>0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3191</v>
      </c>
      <c r="J44" s="210"/>
      <c r="K44" s="211"/>
      <c r="L44" s="170">
        <f>I44*H44</f>
        <v>2228.9135000000001</v>
      </c>
      <c r="M44" s="171"/>
      <c r="N44" s="227">
        <f>L44+L45+L46</f>
        <v>10457.014500000001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5249</v>
      </c>
      <c r="J45" s="210"/>
      <c r="K45" s="211"/>
      <c r="L45" s="170">
        <f>I45*H45</f>
        <v>4993.8986000000004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2431</v>
      </c>
      <c r="J46" s="241"/>
      <c r="K46" s="242"/>
      <c r="L46" s="170">
        <f>I46*H46</f>
        <v>3234.2024000000001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13594.118850000003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104</v>
      </c>
      <c r="J48" s="202"/>
      <c r="K48" s="203"/>
      <c r="L48" s="207">
        <f>I48*H48</f>
        <v>914.15999999999985</v>
      </c>
      <c r="M48" s="208"/>
      <c r="N48" s="224">
        <f>L48</f>
        <v>914.15999999999985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11.79</v>
      </c>
      <c r="I49" s="199">
        <f>V41</f>
        <v>0</v>
      </c>
      <c r="J49" s="239"/>
      <c r="K49" s="200"/>
      <c r="L49" s="199">
        <f>I49*H49</f>
        <v>0</v>
      </c>
      <c r="M49" s="200"/>
      <c r="N49" s="221">
        <f>L49</f>
        <v>0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40:J40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3" activePane="bottomRight" state="frozen"/>
      <selection pane="bottomRight" activeCell="A9" sqref="A9:K4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44621</v>
      </c>
      <c r="B9" s="116">
        <v>2560</v>
      </c>
      <c r="C9" s="115">
        <v>0</v>
      </c>
      <c r="D9" s="57">
        <v>136510</v>
      </c>
      <c r="E9" s="50">
        <v>104</v>
      </c>
      <c r="F9" s="51">
        <v>11511320</v>
      </c>
      <c r="G9" s="50">
        <v>3191</v>
      </c>
      <c r="H9" s="51">
        <v>19513625</v>
      </c>
      <c r="I9" s="50">
        <v>5249</v>
      </c>
      <c r="J9" s="51">
        <v>8573535</v>
      </c>
      <c r="K9" s="50">
        <v>2431</v>
      </c>
    </row>
    <row r="10" spans="1:12" ht="19.5">
      <c r="A10" s="59">
        <v>44622</v>
      </c>
      <c r="B10" s="116"/>
      <c r="C10" s="115"/>
      <c r="D10" s="57"/>
      <c r="E10" s="50"/>
      <c r="F10" s="51"/>
      <c r="G10" s="50"/>
      <c r="H10" s="51"/>
      <c r="I10" s="50"/>
      <c r="J10" s="51"/>
      <c r="K10" s="50"/>
    </row>
    <row r="11" spans="1:12" ht="19.5">
      <c r="A11" s="59">
        <v>44623</v>
      </c>
      <c r="B11" s="116"/>
      <c r="C11" s="115">
        <f>B11-B10</f>
        <v>0</v>
      </c>
      <c r="D11" s="57"/>
      <c r="E11" s="50">
        <f>D11-D10</f>
        <v>0</v>
      </c>
      <c r="F11" s="51"/>
      <c r="G11" s="50">
        <f>F11-F10</f>
        <v>0</v>
      </c>
      <c r="H11" s="51"/>
      <c r="I11" s="50">
        <f>H11-H10</f>
        <v>0</v>
      </c>
      <c r="J11" s="51"/>
      <c r="K11" s="50">
        <f>J11-J10</f>
        <v>0</v>
      </c>
    </row>
    <row r="12" spans="1:12" ht="19.5">
      <c r="A12" s="59">
        <v>44624</v>
      </c>
      <c r="B12" s="116"/>
      <c r="C12" s="115">
        <f>B12-B11</f>
        <v>0</v>
      </c>
      <c r="D12" s="57"/>
      <c r="E12" s="50">
        <f>D12-D11</f>
        <v>0</v>
      </c>
      <c r="F12" s="51"/>
      <c r="G12" s="50">
        <f>F12-F11</f>
        <v>0</v>
      </c>
      <c r="H12" s="51"/>
      <c r="I12" s="50">
        <f>H12-H11</f>
        <v>0</v>
      </c>
      <c r="J12" s="51"/>
      <c r="K12" s="50">
        <f>J12-J11</f>
        <v>0</v>
      </c>
    </row>
    <row r="13" spans="1:12" ht="19.5">
      <c r="A13" s="59">
        <v>44625</v>
      </c>
      <c r="B13" s="116"/>
      <c r="C13" s="115">
        <f>B13-B12</f>
        <v>0</v>
      </c>
      <c r="D13" s="57"/>
      <c r="E13" s="50">
        <f>D13-D12</f>
        <v>0</v>
      </c>
      <c r="F13" s="51"/>
      <c r="G13" s="50">
        <f>F13-F12</f>
        <v>0</v>
      </c>
      <c r="H13" s="51"/>
      <c r="I13" s="50">
        <f>H13-H12</f>
        <v>0</v>
      </c>
      <c r="J13" s="51"/>
      <c r="K13" s="50">
        <f>J13-J12</f>
        <v>0</v>
      </c>
    </row>
    <row r="14" spans="1:12" ht="19.5">
      <c r="A14" s="59">
        <v>44626</v>
      </c>
      <c r="B14" s="116"/>
      <c r="C14" s="115">
        <f>B14-B13</f>
        <v>0</v>
      </c>
      <c r="D14" s="57"/>
      <c r="E14" s="50">
        <f>D14-D13</f>
        <v>0</v>
      </c>
      <c r="F14" s="51"/>
      <c r="G14" s="50">
        <f>F14-F13</f>
        <v>0</v>
      </c>
      <c r="H14" s="51"/>
      <c r="I14" s="50">
        <f>H14-H13</f>
        <v>0</v>
      </c>
      <c r="J14" s="51"/>
      <c r="K14" s="50">
        <f>J14-J13</f>
        <v>0</v>
      </c>
    </row>
    <row r="15" spans="1:12" ht="19.5">
      <c r="A15" s="59">
        <v>44627</v>
      </c>
      <c r="B15" s="116"/>
      <c r="C15" s="115">
        <f>B15-B14</f>
        <v>0</v>
      </c>
      <c r="D15" s="57"/>
      <c r="E15" s="50">
        <f>D15-D14</f>
        <v>0</v>
      </c>
      <c r="F15" s="51"/>
      <c r="G15" s="50">
        <f>F15-F14</f>
        <v>0</v>
      </c>
      <c r="H15" s="51"/>
      <c r="I15" s="50">
        <f>H15-H14</f>
        <v>0</v>
      </c>
      <c r="J15" s="51"/>
      <c r="K15" s="50">
        <f>J15-J14</f>
        <v>0</v>
      </c>
    </row>
    <row r="16" spans="1:12" ht="19.5">
      <c r="A16" s="59">
        <v>44628</v>
      </c>
      <c r="B16" s="116"/>
      <c r="C16" s="115">
        <f>B16-B15</f>
        <v>0</v>
      </c>
      <c r="D16" s="57"/>
      <c r="E16" s="50">
        <f>D16-D15</f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44629</v>
      </c>
      <c r="B17" s="116"/>
      <c r="C17" s="115">
        <f>B17-B16</f>
        <v>0</v>
      </c>
      <c r="D17" s="57"/>
      <c r="E17" s="50">
        <f>D17-D16</f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44630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44631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44632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44633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44634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44635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44636</v>
      </c>
      <c r="B24" s="116"/>
      <c r="C24" s="115">
        <f>B24-B23</f>
        <v>0</v>
      </c>
      <c r="D24" s="57"/>
      <c r="E24" s="50">
        <f>D24-D23</f>
        <v>0</v>
      </c>
      <c r="F24" s="51"/>
      <c r="G24" s="50">
        <f>F24-F23</f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44637</v>
      </c>
      <c r="B25" s="116"/>
      <c r="C25" s="115">
        <f>B25-B24</f>
        <v>0</v>
      </c>
      <c r="D25" s="57"/>
      <c r="E25" s="50">
        <f>D25-D24</f>
        <v>0</v>
      </c>
      <c r="F25" s="51"/>
      <c r="G25" s="50">
        <f t="shared" ref="G25:G34" si="0"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44638</v>
      </c>
      <c r="B26" s="116"/>
      <c r="C26" s="115">
        <f>B26-B25</f>
        <v>0</v>
      </c>
      <c r="D26" s="57"/>
      <c r="E26" s="50">
        <f>D26-D25</f>
        <v>0</v>
      </c>
      <c r="F26" s="51"/>
      <c r="G26" s="50">
        <f t="shared" si="0"/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44639</v>
      </c>
      <c r="B27" s="116"/>
      <c r="C27" s="115">
        <f>B27-B26</f>
        <v>0</v>
      </c>
      <c r="D27" s="57"/>
      <c r="E27" s="50">
        <f>D27-D26</f>
        <v>0</v>
      </c>
      <c r="F27" s="51"/>
      <c r="G27" s="50">
        <f t="shared" si="0"/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44640</v>
      </c>
      <c r="B28" s="116"/>
      <c r="C28" s="115">
        <f>B28-B27</f>
        <v>0</v>
      </c>
      <c r="D28" s="57"/>
      <c r="E28" s="50">
        <f>D28-D27</f>
        <v>0</v>
      </c>
      <c r="F28" s="51"/>
      <c r="G28" s="50">
        <f t="shared" si="0"/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44641</v>
      </c>
      <c r="B29" s="116"/>
      <c r="C29" s="115">
        <f>B29-B28</f>
        <v>0</v>
      </c>
      <c r="D29" s="57"/>
      <c r="E29" s="50">
        <f>D29-D28</f>
        <v>0</v>
      </c>
      <c r="F29" s="51"/>
      <c r="G29" s="50">
        <f t="shared" si="0"/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44642</v>
      </c>
      <c r="B30" s="116"/>
      <c r="C30" s="115">
        <f>B30-B29</f>
        <v>0</v>
      </c>
      <c r="D30" s="57"/>
      <c r="E30" s="50">
        <f>D30-D29</f>
        <v>0</v>
      </c>
      <c r="F30" s="51"/>
      <c r="G30" s="50">
        <f t="shared" si="0"/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44643</v>
      </c>
      <c r="B31" s="116"/>
      <c r="C31" s="115">
        <f>B31-B30</f>
        <v>0</v>
      </c>
      <c r="D31" s="57"/>
      <c r="E31" s="50">
        <f t="shared" ref="E31:E34" si="1">D31-D30</f>
        <v>0</v>
      </c>
      <c r="F31" s="51"/>
      <c r="G31" s="50">
        <f t="shared" si="0"/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44644</v>
      </c>
      <c r="B32" s="116"/>
      <c r="C32" s="115">
        <f>B32-B31</f>
        <v>0</v>
      </c>
      <c r="D32" s="57"/>
      <c r="E32" s="50">
        <f t="shared" si="1"/>
        <v>0</v>
      </c>
      <c r="F32" s="51"/>
      <c r="G32" s="50">
        <f t="shared" si="0"/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44645</v>
      </c>
      <c r="B33" s="116"/>
      <c r="C33" s="115">
        <f>B33-B32</f>
        <v>0</v>
      </c>
      <c r="D33" s="57"/>
      <c r="E33" s="50">
        <f t="shared" si="1"/>
        <v>0</v>
      </c>
      <c r="F33" s="51"/>
      <c r="G33" s="50">
        <f t="shared" si="0"/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44646</v>
      </c>
      <c r="B34" s="116"/>
      <c r="C34" s="115">
        <f>B34-B33</f>
        <v>0</v>
      </c>
      <c r="D34" s="57"/>
      <c r="E34" s="50">
        <f t="shared" si="1"/>
        <v>0</v>
      </c>
      <c r="F34" s="51"/>
      <c r="G34" s="50">
        <f t="shared" si="0"/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44647</v>
      </c>
      <c r="B35" s="116"/>
      <c r="C35" s="115">
        <f t="shared" ref="C24:C40" si="2">B35-B34</f>
        <v>0</v>
      </c>
      <c r="D35" s="57"/>
      <c r="E35" s="50">
        <f t="shared" ref="E24:E40" si="3">D35-D34</f>
        <v>0</v>
      </c>
      <c r="F35" s="51"/>
      <c r="G35" s="50">
        <f>F35-F34</f>
        <v>0</v>
      </c>
      <c r="H35" s="51"/>
      <c r="I35" s="50">
        <f t="shared" ref="I24:I40" si="4">H35-H34</f>
        <v>0</v>
      </c>
      <c r="J35" s="51"/>
      <c r="K35" s="50">
        <f t="shared" ref="K24:K40" si="5">J35-J34</f>
        <v>0</v>
      </c>
    </row>
    <row r="36" spans="1:11" ht="19.5">
      <c r="A36" s="59">
        <v>44648</v>
      </c>
      <c r="B36" s="116"/>
      <c r="C36" s="115">
        <f t="shared" si="2"/>
        <v>0</v>
      </c>
      <c r="D36" s="57"/>
      <c r="E36" s="50">
        <f t="shared" si="3"/>
        <v>0</v>
      </c>
      <c r="F36" s="51"/>
      <c r="G36" s="50">
        <f>F36-F35</f>
        <v>0</v>
      </c>
      <c r="H36" s="51"/>
      <c r="I36" s="50">
        <f t="shared" si="4"/>
        <v>0</v>
      </c>
      <c r="J36" s="51"/>
      <c r="K36" s="50">
        <f t="shared" si="5"/>
        <v>0</v>
      </c>
    </row>
    <row r="37" spans="1:11" ht="19.5">
      <c r="A37" s="59">
        <v>44649</v>
      </c>
      <c r="B37" s="116"/>
      <c r="C37" s="115">
        <f t="shared" si="2"/>
        <v>0</v>
      </c>
      <c r="D37" s="57"/>
      <c r="E37" s="50">
        <f t="shared" si="3"/>
        <v>0</v>
      </c>
      <c r="F37" s="51"/>
      <c r="G37" s="50">
        <f>F37-F36</f>
        <v>0</v>
      </c>
      <c r="H37" s="51"/>
      <c r="I37" s="50">
        <f t="shared" si="4"/>
        <v>0</v>
      </c>
      <c r="J37" s="51"/>
      <c r="K37" s="50">
        <f t="shared" si="5"/>
        <v>0</v>
      </c>
    </row>
    <row r="38" spans="1:11" ht="19.5">
      <c r="A38" s="59">
        <v>44650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44651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44652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34">
    <cfRule type="cellIs" dxfId="5" priority="8" stopIfTrue="1" operator="lessThanOrEqual">
      <formula>0</formula>
    </cfRule>
  </conditionalFormatting>
  <conditionalFormatting sqref="E10:E34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35:E40">
    <cfRule type="cellIs" dxfId="1" priority="2" stopIfTrue="1" operator="lessThanOrEqual">
      <formula>0</formula>
    </cfRule>
  </conditionalFormatting>
  <conditionalFormatting sqref="E35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K34" activePane="bottomRight" state="frozen"/>
      <selection pane="bottomRight" activeCell="A4" sqref="A4:AB3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44621</v>
      </c>
      <c r="B4" s="41">
        <v>66</v>
      </c>
      <c r="C4" s="39">
        <f t="shared" ref="C4" si="0">IF(AC4&gt;0,((B4-R4)+(S4-B5)),IF(B5=0, ,(B4-B5)))</f>
        <v>0</v>
      </c>
      <c r="D4" s="41">
        <v>68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0</v>
      </c>
      <c r="H4" s="41">
        <v>73</v>
      </c>
      <c r="I4" s="39">
        <f>IF(AC4&gt;0,((H4-AA4)+(AB4-H5)),IF(H5=0, ,(H4-H5)))</f>
        <v>0</v>
      </c>
      <c r="J4" s="39">
        <f>B4+D4+F4+H4</f>
        <v>279</v>
      </c>
      <c r="K4" s="39">
        <f>J4/4</f>
        <v>69.75</v>
      </c>
      <c r="L4" s="39">
        <f>IF(AC4&gt;0,((K4-AD4)+(AE4-K5)),IF(K5=0, ,(K4-K5)))</f>
        <v>0</v>
      </c>
      <c r="M4" s="149">
        <f t="shared" ref="M4:M7" si="3">6049*4</f>
        <v>24196</v>
      </c>
      <c r="N4" s="39">
        <f>L4*M4/100</f>
        <v>0</v>
      </c>
      <c r="O4" s="39">
        <f>N4*0.529</f>
        <v>0</v>
      </c>
      <c r="P4" s="42">
        <f>O4*11.79</f>
        <v>0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44622</v>
      </c>
      <c r="B5" s="41"/>
      <c r="C5" s="39">
        <f t="shared" ref="C4:C35" si="7">IF(AC5&gt;0,((B5-R5)+(S5-B6)),IF(B6=0, ,(B5-B6)))</f>
        <v>0</v>
      </c>
      <c r="D5" s="41"/>
      <c r="E5" s="39">
        <f t="shared" ref="E4:E35" si="8">IF(AC5&gt;0,((D5-U5)+(V5-D6)),IF(D6=0, ,(D5-D6)))</f>
        <v>0</v>
      </c>
      <c r="F5" s="41"/>
      <c r="G5" s="39">
        <f t="shared" ref="G4:G35" si="9">IF(AC5&gt;0,((F5-X5)+(Y5-F6)),IF(F6=0, ,(F5-F6)))</f>
        <v>0</v>
      </c>
      <c r="H5" s="41"/>
      <c r="I5" s="39">
        <f>IF(AC5&gt;0,((H5-AA5)+(AB5-H6)),IF(H6=0, ,(H5-H6)))</f>
        <v>0</v>
      </c>
      <c r="J5" s="39">
        <f>B5+D5+F5+H5</f>
        <v>0</v>
      </c>
      <c r="K5" s="39">
        <f>J5/4</f>
        <v>0</v>
      </c>
      <c r="L5" s="39">
        <f>IF(AC5&gt;0,((K5-AD5)+(AE5-K6)),IF(K6=0, ,(K5-K6)))</f>
        <v>0</v>
      </c>
      <c r="M5" s="149">
        <f t="shared" si="3"/>
        <v>24196</v>
      </c>
      <c r="N5" s="39">
        <f>L5*M5/100</f>
        <v>0</v>
      </c>
      <c r="O5" s="39">
        <f>N5*0.529</f>
        <v>0</v>
      </c>
      <c r="P5" s="42">
        <f t="shared" ref="P5:P36" si="10">O5*11.79</f>
        <v>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44623</v>
      </c>
      <c r="B6" s="41"/>
      <c r="C6" s="39">
        <f t="shared" si="7"/>
        <v>0</v>
      </c>
      <c r="D6" s="41"/>
      <c r="E6" s="39">
        <f t="shared" si="8"/>
        <v>0</v>
      </c>
      <c r="F6" s="41"/>
      <c r="G6" s="39">
        <f t="shared" si="9"/>
        <v>0</v>
      </c>
      <c r="H6" s="41"/>
      <c r="I6" s="39">
        <f t="shared" ref="I6:I36" si="11">IF(AC6&gt;0,((H6-AA6)+(AB6-H7)),IF(H7=0, ,(H6-H7)))</f>
        <v>0</v>
      </c>
      <c r="J6" s="39">
        <f t="shared" ref="J6:J42" si="12">B6+D6+F6+H6</f>
        <v>0</v>
      </c>
      <c r="K6" s="39">
        <f t="shared" ref="K6:K42" si="13">J6/4</f>
        <v>0</v>
      </c>
      <c r="L6" s="39">
        <f t="shared" ref="L6:L19" si="14">IF(AC6&gt;0,((K6-AD6)+(AE6-K7)),IF(K7=0, ,(K6-K7)))</f>
        <v>0</v>
      </c>
      <c r="M6" s="149">
        <f t="shared" si="3"/>
        <v>24196</v>
      </c>
      <c r="N6" s="39">
        <f t="shared" ref="N6:N42" si="15">L6*M6/100</f>
        <v>0</v>
      </c>
      <c r="O6" s="39">
        <f>N6*0.529</f>
        <v>0</v>
      </c>
      <c r="P6" s="42">
        <f t="shared" si="10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44624</v>
      </c>
      <c r="B7" s="41"/>
      <c r="C7" s="39">
        <f t="shared" si="7"/>
        <v>0</v>
      </c>
      <c r="D7" s="41"/>
      <c r="E7" s="39">
        <f t="shared" si="8"/>
        <v>0</v>
      </c>
      <c r="F7" s="41"/>
      <c r="G7" s="39">
        <f t="shared" si="9"/>
        <v>0</v>
      </c>
      <c r="H7" s="41"/>
      <c r="I7" s="39">
        <f t="shared" si="11"/>
        <v>0</v>
      </c>
      <c r="J7" s="39">
        <f t="shared" si="12"/>
        <v>0</v>
      </c>
      <c r="K7" s="39">
        <f t="shared" si="13"/>
        <v>0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44625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44626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44627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44628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44629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44630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44631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44632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44633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44634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44635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44636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44637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44638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44639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44640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44641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44642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44643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44644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44645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44646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44647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44648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44649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44650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44651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44652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8" si="30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0</v>
      </c>
      <c r="O43" s="39">
        <f>N43*0.529</f>
        <v>0</v>
      </c>
      <c r="P43" s="42">
        <f>O43*11.79</f>
        <v>0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0</v>
      </c>
      <c r="L47" s="46">
        <f>O43</f>
        <v>0</v>
      </c>
      <c r="M47" s="46">
        <f>P43</f>
        <v>0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L48*11.79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9" zoomScaleNormal="100" workbookViewId="0">
      <selection activeCell="E20" sqref="E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4">
        <v>95670781</v>
      </c>
      <c r="B8" s="324"/>
      <c r="C8" s="325">
        <v>44224</v>
      </c>
      <c r="D8" s="326"/>
      <c r="E8" s="113">
        <v>44620</v>
      </c>
      <c r="F8" s="163" t="s">
        <v>97</v>
      </c>
      <c r="G8" s="62"/>
      <c r="H8" s="62"/>
      <c r="I8" s="327"/>
      <c r="J8" s="328"/>
    </row>
    <row r="10" spans="1:10" ht="23.25" customHeight="1" thickBot="1"/>
    <row r="11" spans="1:10" ht="24.75" customHeight="1" thickTop="1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815</v>
      </c>
      <c r="H12" s="336"/>
      <c r="I12" s="337"/>
      <c r="J12" s="337"/>
    </row>
    <row r="13" spans="1:10">
      <c r="A13" s="338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>
      <c r="A17" s="339" t="s">
        <v>110</v>
      </c>
      <c r="B17" s="340"/>
      <c r="C17" s="66">
        <v>19508376</v>
      </c>
      <c r="D17" s="66">
        <v>19398677</v>
      </c>
      <c r="E17" s="67">
        <f>MIN(C17-D17)</f>
        <v>109699</v>
      </c>
      <c r="F17" s="67">
        <f>+E17</f>
        <v>109699</v>
      </c>
      <c r="G17" s="341"/>
      <c r="H17" s="342"/>
      <c r="I17" s="341">
        <f>+E17</f>
        <v>109699</v>
      </c>
      <c r="J17" s="342"/>
    </row>
    <row r="18" spans="1:10">
      <c r="A18" s="339" t="s">
        <v>111</v>
      </c>
      <c r="B18" s="340"/>
      <c r="C18" s="66">
        <v>11505965</v>
      </c>
      <c r="D18" s="66">
        <v>11424147</v>
      </c>
      <c r="E18" s="67">
        <f>MIN(C18-D18)</f>
        <v>81818</v>
      </c>
      <c r="F18" s="67">
        <f>+E18</f>
        <v>81818</v>
      </c>
      <c r="G18" s="341"/>
      <c r="H18" s="342"/>
      <c r="I18" s="341">
        <f>+E18</f>
        <v>81818</v>
      </c>
      <c r="J18" s="342"/>
    </row>
    <row r="19" spans="1:10">
      <c r="A19" s="339" t="s">
        <v>112</v>
      </c>
      <c r="B19" s="340"/>
      <c r="C19" s="66">
        <v>8571104</v>
      </c>
      <c r="D19" s="66">
        <v>8517838</v>
      </c>
      <c r="E19" s="67">
        <f>AVERAGE(C19-D19)</f>
        <v>53266</v>
      </c>
      <c r="F19" s="67">
        <f>+E19</f>
        <v>53266</v>
      </c>
      <c r="G19" s="341"/>
      <c r="H19" s="342"/>
      <c r="I19" s="341">
        <f>+E19</f>
        <v>53266</v>
      </c>
      <c r="J19" s="342"/>
    </row>
    <row r="20" spans="1:10" ht="15">
      <c r="A20" s="343" t="s">
        <v>113</v>
      </c>
      <c r="B20" s="344"/>
      <c r="C20" s="68"/>
      <c r="D20" s="69"/>
      <c r="E20" s="68">
        <f>SUM(E17:E19)</f>
        <v>244783</v>
      </c>
      <c r="F20" s="70"/>
      <c r="G20" s="345"/>
      <c r="H20" s="346"/>
      <c r="I20" s="345"/>
      <c r="J20" s="346"/>
    </row>
    <row r="21" spans="1:10">
      <c r="C21" s="110" t="s">
        <v>18</v>
      </c>
      <c r="D21" t="s">
        <v>114</v>
      </c>
      <c r="G21" s="347"/>
      <c r="H21" s="347"/>
    </row>
    <row r="22" spans="1:10" ht="13.5" thickBot="1">
      <c r="G22" s="348"/>
      <c r="H22" s="348"/>
    </row>
    <row r="23" spans="1:10" ht="13.5" thickTop="1">
      <c r="A23" s="349" t="s">
        <v>115</v>
      </c>
      <c r="B23" s="350"/>
      <c r="C23" s="351"/>
      <c r="D23" s="329" t="s">
        <v>116</v>
      </c>
      <c r="E23" s="329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>
      <c r="A25" s="360" t="s">
        <v>123</v>
      </c>
      <c r="B25" s="361"/>
      <c r="C25" s="362"/>
      <c r="D25" s="67">
        <f>+E17</f>
        <v>109699</v>
      </c>
      <c r="E25" s="72">
        <v>0.95140000000000002</v>
      </c>
      <c r="F25" s="73">
        <f>PRODUCT(D25*E25)</f>
        <v>104367.6286</v>
      </c>
      <c r="G25" s="151">
        <v>14</v>
      </c>
      <c r="H25" s="65">
        <f>PRODUCT(0.14,F25)</f>
        <v>14611.468004</v>
      </c>
      <c r="I25" s="363">
        <f>SUM(H25,F25)</f>
        <v>118979.09660399999</v>
      </c>
      <c r="J25" s="364"/>
    </row>
    <row r="26" spans="1:10" ht="15">
      <c r="A26" s="365" t="s">
        <v>124</v>
      </c>
      <c r="B26" s="366"/>
      <c r="C26" s="367"/>
      <c r="D26" s="67">
        <f>+E18</f>
        <v>81818</v>
      </c>
      <c r="E26" s="74">
        <v>0.69850000000000001</v>
      </c>
      <c r="F26" s="73">
        <f>PRODUCT(D26*E26)</f>
        <v>57149.873</v>
      </c>
      <c r="G26">
        <v>14</v>
      </c>
      <c r="H26" s="67">
        <f>PRODUCT(0.14,F26)</f>
        <v>8000.9822200000008</v>
      </c>
      <c r="I26" s="363">
        <f t="shared" ref="I26:I31" si="0">SUM(H26,F26)</f>
        <v>65150.855219999998</v>
      </c>
      <c r="J26" s="364"/>
    </row>
    <row r="27" spans="1:10" ht="15">
      <c r="A27" s="365" t="s">
        <v>125</v>
      </c>
      <c r="B27" s="366"/>
      <c r="C27" s="367"/>
      <c r="D27" s="67">
        <f>+E19</f>
        <v>53266</v>
      </c>
      <c r="E27" s="74">
        <v>1.3304</v>
      </c>
      <c r="F27" s="73">
        <f>PRODUCT(D27*E27)</f>
        <v>70865.0864</v>
      </c>
      <c r="G27">
        <v>14</v>
      </c>
      <c r="H27" s="67">
        <f>PRODUCT(0.14,F27)</f>
        <v>9921.1120960000007</v>
      </c>
      <c r="I27" s="363">
        <f>SUM(H27,F27)</f>
        <v>80786.198495999997</v>
      </c>
      <c r="J27" s="364"/>
    </row>
    <row r="28" spans="1:10" ht="1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>
      <c r="A29" s="376" t="s">
        <v>127</v>
      </c>
      <c r="B29" s="377"/>
      <c r="C29" s="37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278597.25799999997</v>
      </c>
      <c r="G32" s="85"/>
      <c r="H32" s="86"/>
      <c r="I32" s="375">
        <f>SUM(I25:J31)</f>
        <v>317546.89412000001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131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4">
        <v>95670781</v>
      </c>
      <c r="B8" s="324"/>
      <c r="C8" s="325">
        <v>44297</v>
      </c>
      <c r="D8" s="326"/>
      <c r="E8" s="113">
        <v>44327</v>
      </c>
      <c r="F8" s="163" t="s">
        <v>132</v>
      </c>
      <c r="G8" s="62"/>
      <c r="H8" s="62"/>
      <c r="I8" s="327"/>
      <c r="J8" s="328"/>
    </row>
    <row r="10" spans="1:10" ht="23.25" customHeight="1" thickBot="1"/>
    <row r="11" spans="1:10" ht="24.75" customHeight="1" thickTop="1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712</v>
      </c>
      <c r="H12" s="336"/>
      <c r="I12" s="337"/>
      <c r="J12" s="337"/>
    </row>
    <row r="13" spans="1:10">
      <c r="A13" s="338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>
      <c r="A17" s="339" t="s">
        <v>110</v>
      </c>
      <c r="B17" s="340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1"/>
      <c r="H17" s="342"/>
      <c r="I17" s="341">
        <f>+E17</f>
        <v>6887</v>
      </c>
      <c r="J17" s="342"/>
    </row>
    <row r="18" spans="1:10">
      <c r="A18" s="339" t="s">
        <v>111</v>
      </c>
      <c r="B18" s="340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1"/>
      <c r="H18" s="342"/>
      <c r="I18" s="341">
        <f>+E18</f>
        <v>3799</v>
      </c>
      <c r="J18" s="342"/>
    </row>
    <row r="19" spans="1:10">
      <c r="A19" s="339" t="s">
        <v>112</v>
      </c>
      <c r="B19" s="340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1"/>
      <c r="H19" s="342"/>
      <c r="I19" s="341">
        <f>+E19</f>
        <v>3073</v>
      </c>
      <c r="J19" s="342"/>
    </row>
    <row r="20" spans="1:10" ht="15">
      <c r="A20" s="343" t="s">
        <v>113</v>
      </c>
      <c r="B20" s="344"/>
      <c r="C20" s="68"/>
      <c r="D20" s="69"/>
      <c r="E20" s="68">
        <f>SUM(E17:E19)</f>
        <v>13759</v>
      </c>
      <c r="F20" s="70"/>
      <c r="G20" s="345"/>
      <c r="H20" s="346"/>
      <c r="I20" s="345"/>
      <c r="J20" s="346"/>
    </row>
    <row r="21" spans="1:10">
      <c r="C21" s="110" t="s">
        <v>18</v>
      </c>
      <c r="D21" t="s">
        <v>114</v>
      </c>
      <c r="G21" s="347"/>
      <c r="H21" s="347"/>
    </row>
    <row r="22" spans="1:10" ht="13.5" thickBot="1">
      <c r="G22" s="348"/>
      <c r="H22" s="348"/>
    </row>
    <row r="23" spans="1:10" ht="13.5" thickTop="1">
      <c r="A23" s="349" t="s">
        <v>115</v>
      </c>
      <c r="B23" s="350"/>
      <c r="C23" s="351"/>
      <c r="D23" s="329" t="s">
        <v>116</v>
      </c>
      <c r="E23" s="329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>
      <c r="A25" s="360" t="s">
        <v>123</v>
      </c>
      <c r="B25" s="361"/>
      <c r="C25" s="362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3">
        <f>SUM(H25,F25)</f>
        <v>7469.6126519999998</v>
      </c>
      <c r="J25" s="364"/>
    </row>
    <row r="26" spans="1:10" ht="15">
      <c r="A26" s="365" t="s">
        <v>124</v>
      </c>
      <c r="B26" s="366"/>
      <c r="C26" s="367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3">
        <f t="shared" ref="I26:I31" si="0">SUM(H26,F26)</f>
        <v>3025.1057100000003</v>
      </c>
      <c r="J26" s="364"/>
    </row>
    <row r="27" spans="1:10" ht="15">
      <c r="A27" s="365" t="s">
        <v>125</v>
      </c>
      <c r="B27" s="366"/>
      <c r="C27" s="367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3">
        <f>SUM(H27,F27)</f>
        <v>4660.6838879999996</v>
      </c>
      <c r="J27" s="364"/>
    </row>
    <row r="28" spans="1:10" ht="1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59508.8825</v>
      </c>
      <c r="G32" s="85"/>
      <c r="H32" s="86"/>
      <c r="I32" s="375">
        <f>SUM(I25:J31)</f>
        <v>67786.146049999996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133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134294.1</v>
      </c>
      <c r="D8" s="97">
        <v>44593</v>
      </c>
      <c r="E8" s="96">
        <v>136510</v>
      </c>
      <c r="F8" s="97">
        <v>44621</v>
      </c>
      <c r="G8" s="98">
        <f>E8-C8</f>
        <v>2215.8999999999942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2215.8999999999942</v>
      </c>
      <c r="C13" s="397"/>
      <c r="D13" s="397">
        <v>8.7899999999999991</v>
      </c>
      <c r="E13" s="397"/>
      <c r="F13" s="399">
        <f>PRODUCT(D13,B13)</f>
        <v>19477.760999999948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f>G8</f>
        <v>2215.8999999999942</v>
      </c>
      <c r="C19" s="397"/>
      <c r="D19" s="397">
        <v>2.61</v>
      </c>
      <c r="E19" s="397"/>
      <c r="F19" s="397">
        <f>PRODUCT(D19,B19)</f>
        <v>5783.4989999999843</v>
      </c>
      <c r="G19" s="397"/>
      <c r="H19" s="397"/>
    </row>
    <row r="20" spans="1:8" ht="18.75">
      <c r="A20" s="413" t="s">
        <v>149</v>
      </c>
      <c r="B20" s="414"/>
      <c r="C20" s="414"/>
      <c r="D20" s="414"/>
      <c r="E20" s="415"/>
      <c r="F20" s="416">
        <f>SUM(F11+F13+F16+F17+F18+F19)</f>
        <v>25284.259999999933</v>
      </c>
      <c r="G20" s="416"/>
      <c r="H20" s="416"/>
    </row>
    <row r="21" spans="1:8" ht="15">
      <c r="A21" s="402" t="s">
        <v>150</v>
      </c>
      <c r="B21" s="403"/>
      <c r="C21" s="403"/>
      <c r="D21" s="403"/>
      <c r="E21" s="404"/>
      <c r="F21" s="397">
        <f>PRODUCT(F20,0.07)</f>
        <v>1769.8981999999955</v>
      </c>
      <c r="G21" s="397"/>
      <c r="H21" s="397"/>
    </row>
    <row r="22" spans="1:8" ht="15">
      <c r="A22" s="434" t="s">
        <v>151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152</v>
      </c>
      <c r="B23" s="403"/>
      <c r="C23" s="403"/>
      <c r="D23" s="403"/>
      <c r="E23" s="404"/>
      <c r="F23" s="405">
        <f>SUM(F21:H22)</f>
        <v>1978.1581999999955</v>
      </c>
      <c r="G23" s="405"/>
      <c r="H23" s="405"/>
    </row>
    <row r="24" spans="1:8">
      <c r="A24" s="406" t="s">
        <v>153</v>
      </c>
      <c r="B24" s="407"/>
      <c r="C24" s="407"/>
      <c r="D24" s="407"/>
      <c r="E24" s="408"/>
      <c r="F24" s="412">
        <f>SUM(F20,F23)</f>
        <v>27262.418199999927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133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119.80000000000291</v>
      </c>
      <c r="C13" s="397"/>
      <c r="D13" s="397">
        <v>8.5</v>
      </c>
      <c r="E13" s="397"/>
      <c r="F13" s="399">
        <f>PRODUCT(D13,B13)</f>
        <v>1018.3000000000247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>
      <c r="A21" s="413" t="s">
        <v>149</v>
      </c>
      <c r="B21" s="414"/>
      <c r="C21" s="414"/>
      <c r="D21" s="414"/>
      <c r="E21" s="415"/>
      <c r="F21" s="416">
        <f>SUM(F11+F13+F16+F17+F18+F20)</f>
        <v>1345.5920000000322</v>
      </c>
      <c r="G21" s="416"/>
      <c r="H21" s="416"/>
    </row>
    <row r="22" spans="1:8" ht="15">
      <c r="A22" s="402" t="s">
        <v>150</v>
      </c>
      <c r="B22" s="403"/>
      <c r="C22" s="403"/>
      <c r="D22" s="403"/>
      <c r="E22" s="404"/>
      <c r="F22" s="397">
        <f>PRODUCT(F21,0.07)</f>
        <v>94.19144000000226</v>
      </c>
      <c r="G22" s="397"/>
      <c r="H22" s="397"/>
    </row>
    <row r="23" spans="1:8" ht="15">
      <c r="A23" s="434" t="s">
        <v>151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152</v>
      </c>
      <c r="B24" s="403"/>
      <c r="C24" s="403"/>
      <c r="D24" s="403"/>
      <c r="E24" s="404"/>
      <c r="F24" s="405">
        <f>SUM(F22:H23)</f>
        <v>302.45144000000226</v>
      </c>
      <c r="G24" s="405"/>
      <c r="H24" s="405"/>
    </row>
    <row r="25" spans="1:8">
      <c r="A25" s="406" t="s">
        <v>153</v>
      </c>
      <c r="B25" s="407"/>
      <c r="C25" s="407"/>
      <c r="D25" s="407"/>
      <c r="E25" s="408"/>
      <c r="F25" s="412">
        <f>SUM(F21,F24)</f>
        <v>1648.0434400000345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155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44228</v>
      </c>
      <c r="E8" s="96">
        <v>2560</v>
      </c>
      <c r="F8" s="97">
        <v>44621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149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150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151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152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153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7" zoomScaleNormal="100" workbookViewId="0">
      <selection activeCell="D15" sqref="D1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8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2022-03-01T11:16:05Z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