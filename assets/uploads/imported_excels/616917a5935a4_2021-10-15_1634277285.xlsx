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K325" i="4"/>
  <c r="I325" i="4"/>
  <c r="S324" i="4"/>
  <c r="R324" i="4"/>
  <c r="O324" i="4"/>
  <c r="L324" i="4"/>
  <c r="M324" i="4" s="1"/>
  <c r="K324" i="4"/>
  <c r="I324" i="4"/>
  <c r="S323" i="4"/>
  <c r="R323" i="4"/>
  <c r="O323" i="4"/>
  <c r="L323" i="4"/>
  <c r="M323" i="4" s="1"/>
  <c r="K323" i="4"/>
  <c r="I323" i="4"/>
  <c r="S322" i="4"/>
  <c r="R322" i="4"/>
  <c r="O322" i="4"/>
  <c r="L322" i="4"/>
  <c r="M322" i="4" s="1"/>
  <c r="K322" i="4"/>
  <c r="I322" i="4"/>
  <c r="S321" i="4"/>
  <c r="R321" i="4"/>
  <c r="O321" i="4"/>
  <c r="L321" i="4"/>
  <c r="M321" i="4" s="1"/>
  <c r="K321" i="4"/>
  <c r="I321" i="4"/>
  <c r="S320" i="4"/>
  <c r="R320" i="4"/>
  <c r="O320" i="4"/>
  <c r="L320" i="4"/>
  <c r="M320" i="4" s="1"/>
  <c r="K320" i="4"/>
  <c r="I320" i="4"/>
  <c r="S319" i="4"/>
  <c r="R319" i="4"/>
  <c r="O319" i="4"/>
  <c r="L319" i="4"/>
  <c r="M319" i="4" s="1"/>
  <c r="K319" i="4"/>
  <c r="I319" i="4"/>
  <c r="S318" i="4"/>
  <c r="R318" i="4"/>
  <c r="O318" i="4"/>
  <c r="L318" i="4"/>
  <c r="M318" i="4" s="1"/>
  <c r="K318" i="4"/>
  <c r="I318" i="4"/>
  <c r="S317" i="4"/>
  <c r="R317" i="4"/>
  <c r="O317" i="4"/>
  <c r="L317" i="4"/>
  <c r="M317" i="4" s="1"/>
  <c r="K317" i="4"/>
  <c r="I317" i="4"/>
  <c r="S316" i="4"/>
  <c r="R316" i="4"/>
  <c r="O316" i="4"/>
  <c r="L316" i="4"/>
  <c r="M316" i="4" s="1"/>
  <c r="K316" i="4"/>
  <c r="I316" i="4"/>
  <c r="S315" i="4"/>
  <c r="R315" i="4"/>
  <c r="O315" i="4"/>
  <c r="L315" i="4"/>
  <c r="M315" i="4" s="1"/>
  <c r="K315" i="4"/>
  <c r="I315" i="4"/>
  <c r="S314" i="4"/>
  <c r="R314" i="4"/>
  <c r="O314" i="4"/>
  <c r="L314" i="4"/>
  <c r="M314" i="4" s="1"/>
  <c r="K314" i="4"/>
  <c r="I314" i="4"/>
  <c r="S313" i="4"/>
  <c r="R313" i="4"/>
  <c r="O313" i="4"/>
  <c r="L313" i="4"/>
  <c r="M313" i="4" s="1"/>
  <c r="K313" i="4"/>
  <c r="I313" i="4"/>
  <c r="S312" i="4"/>
  <c r="R312" i="4"/>
  <c r="O312" i="4"/>
  <c r="L312" i="4"/>
  <c r="M312" i="4" s="1"/>
  <c r="K312" i="4"/>
  <c r="I312" i="4"/>
  <c r="S311" i="4"/>
  <c r="R311" i="4"/>
  <c r="O311" i="4"/>
  <c r="L311" i="4"/>
  <c r="M311" i="4" s="1"/>
  <c r="K311" i="4"/>
  <c r="I311" i="4"/>
  <c r="S310" i="4"/>
  <c r="R310" i="4"/>
  <c r="O310" i="4"/>
  <c r="L310" i="4"/>
  <c r="M310" i="4" s="1"/>
  <c r="K310" i="4"/>
  <c r="I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88" i="3" l="1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F323" i="1" s="1"/>
  <c r="E329" i="1"/>
  <c r="E330" i="1"/>
  <c r="E162" i="1"/>
  <c r="E163" i="1"/>
  <c r="E301" i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F325" i="1" s="1"/>
  <c r="E335" i="1"/>
  <c r="F335" i="1" s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E297" i="1"/>
  <c r="E302" i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<sst xmlns="http://schemas.openxmlformats.org/spreadsheetml/2006/main" count="608" uniqueCount="78">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</sst>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62" workbookViewId="0">
      <selection activeCell="O284" sqref="O28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>
        <v>0.85</v>
      </c>
      <c r="G289" s="4" t="str">
        <f>'Gas Water'!M291</f>
        <v/>
      </c>
      <c r="H289" s="153">
        <v>2.65</v>
      </c>
      <c r="I289" s="2" t="str">
        <f>'Gas Water'!L291</f>
        <v/>
      </c>
      <c r="J289" s="153">
        <v>13.9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>
        <v>0.85</v>
      </c>
      <c r="G290" s="4" t="str">
        <f>'Gas Water'!M292</f>
        <v/>
      </c>
      <c r="H290" s="153">
        <v>2.65</v>
      </c>
      <c r="I290" s="2" t="str">
        <f>'Gas Water'!L292</f>
        <v/>
      </c>
      <c r="J290" s="153">
        <v>13.9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>
        <v>0.85</v>
      </c>
      <c r="G291" s="4" t="str">
        <f>'Gas Water'!M293</f>
        <v/>
      </c>
      <c r="H291" s="153">
        <v>2.65</v>
      </c>
      <c r="I291" s="2" t="str">
        <f>'Gas Water'!L293</f>
        <v/>
      </c>
      <c r="J291" s="153">
        <v>13.9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>
        <v>0.85</v>
      </c>
      <c r="G292" s="4" t="str">
        <f>'Gas Water'!M294</f>
        <v/>
      </c>
      <c r="H292" s="153">
        <v>2.65</v>
      </c>
      <c r="I292" s="2" t="str">
        <f>'Gas Water'!L294</f>
        <v/>
      </c>
      <c r="J292" s="153">
        <v>13.9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>
        <v>0.85</v>
      </c>
      <c r="G293" s="4" t="str">
        <f>'Gas Water'!M295</f>
        <v/>
      </c>
      <c r="H293" s="153">
        <v>2.65</v>
      </c>
      <c r="I293" s="2" t="str">
        <f>'Gas Water'!L295</f>
        <v/>
      </c>
      <c r="J293" s="153">
        <v>13.9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>
        <v>0.85</v>
      </c>
      <c r="G294" s="4" t="str">
        <f>'Gas Water'!M296</f>
        <v/>
      </c>
      <c r="H294" s="153">
        <v>2.65</v>
      </c>
      <c r="I294" s="2" t="str">
        <f>'Gas Water'!L296</f>
        <v/>
      </c>
      <c r="J294" s="153">
        <v>13.9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>
        <v>0.85</v>
      </c>
      <c r="G295" s="4" t="str">
        <f>'Gas Water'!M297</f>
        <v/>
      </c>
      <c r="H295" s="153">
        <v>2.65</v>
      </c>
      <c r="I295" s="2" t="str">
        <f>'Gas Water'!L297</f>
        <v/>
      </c>
      <c r="J295" s="153">
        <v>13.9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>
        <v>0.85</v>
      </c>
      <c r="G296" s="4" t="str">
        <f>'Gas Water'!M298</f>
        <v/>
      </c>
      <c r="H296" s="153">
        <v>2.65</v>
      </c>
      <c r="I296" s="2" t="str">
        <f>'Gas Water'!L298</f>
        <v/>
      </c>
      <c r="J296" s="153">
        <v>13.9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>
        <v>0.85</v>
      </c>
      <c r="G297" s="4" t="str">
        <f>'Gas Water'!M299</f>
        <v/>
      </c>
      <c r="H297" s="153">
        <v>2.65</v>
      </c>
      <c r="I297" s="2" t="str">
        <f>'Gas Water'!L299</f>
        <v/>
      </c>
      <c r="J297" s="153">
        <v>13.9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>
        <v>0.85</v>
      </c>
      <c r="G298" s="4" t="str">
        <f>'Gas Water'!M300</f>
        <v/>
      </c>
      <c r="H298" s="153">
        <v>2.65</v>
      </c>
      <c r="I298" s="2" t="str">
        <f>'Gas Water'!L300</f>
        <v/>
      </c>
      <c r="J298" s="153">
        <v>13.9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>
        <v>0.85</v>
      </c>
      <c r="G299" s="4" t="str">
        <f>'Gas Water'!M301</f>
        <v/>
      </c>
      <c r="H299" s="153">
        <v>2.65</v>
      </c>
      <c r="I299" s="2" t="str">
        <f>'Gas Water'!L301</f>
        <v/>
      </c>
      <c r="J299" s="153">
        <v>13.9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>
        <v>0.85</v>
      </c>
      <c r="G300" s="4" t="str">
        <f>'Gas Water'!M302</f>
        <v/>
      </c>
      <c r="H300" s="153">
        <v>2.65</v>
      </c>
      <c r="I300" s="2" t="str">
        <f>'Gas Water'!L302</f>
        <v/>
      </c>
      <c r="J300" s="153">
        <v>13.9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>
        <v>0.85</v>
      </c>
      <c r="G301" s="4" t="str">
        <f>'Gas Water'!M303</f>
        <v/>
      </c>
      <c r="H301" s="153">
        <v>2.65</v>
      </c>
      <c r="I301" s="2" t="str">
        <f>'Gas Water'!L303</f>
        <v/>
      </c>
      <c r="J301" s="153">
        <v>13.9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>
        <v>0.85</v>
      </c>
      <c r="G302" s="4" t="str">
        <f>'Gas Water'!M304</f>
        <v/>
      </c>
      <c r="H302" s="153">
        <v>2.65</v>
      </c>
      <c r="I302" s="2" t="str">
        <f>'Gas Water'!L304</f>
        <v/>
      </c>
      <c r="J302" s="153">
        <v>13.9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>
        <v>0.85</v>
      </c>
      <c r="G303" s="4" t="str">
        <f>'Gas Water'!M305</f>
        <v/>
      </c>
      <c r="H303" s="153">
        <v>2.65</v>
      </c>
      <c r="I303" s="2" t="str">
        <f>'Gas Water'!L305</f>
        <v/>
      </c>
      <c r="J303" s="153">
        <v>13.9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>
        <v>0.85</v>
      </c>
      <c r="G304" s="4" t="str">
        <f>'Gas Water'!M306</f>
        <v/>
      </c>
      <c r="H304" s="153">
        <v>2.65</v>
      </c>
      <c r="I304" s="2" t="str">
        <f>'Gas Water'!L306</f>
        <v/>
      </c>
      <c r="J304" s="153">
        <v>13.9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>
        <v>0.85</v>
      </c>
      <c r="G305" s="4" t="str">
        <f>'Gas Water'!M307</f>
        <v/>
      </c>
      <c r="H305" s="153">
        <v>2</v>
      </c>
      <c r="I305" s="2" t="str">
        <f>'Gas Water'!L307</f>
        <v/>
      </c>
      <c r="J305" s="153">
        <v>13.9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47" workbookViewId="0">
      <selection activeCell="U280" sqref="U28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2585</v>
      </c>
      <c r="O301" s="32">
        <f>SUM(M278:M308)</f>
        <v>23636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>
        <f>AVERAGE(L278:L308)</f>
        <v>198.84615384615384</v>
      </c>
      <c r="O304" s="32">
        <f>AVERAGE(M278:M308)</f>
        <v>1818.1538461538462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519447</v>
      </c>
      <c r="J371" s="40">
        <f t="shared" si="30"/>
        <v>52198</v>
      </c>
      <c r="K371" s="40">
        <f t="shared" si="30"/>
        <v>47494</v>
      </c>
      <c r="L371" s="40">
        <f t="shared" si="30"/>
        <v>53494</v>
      </c>
      <c r="M371" s="40">
        <f t="shared" si="30"/>
        <v>619139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54" workbookViewId="0">
      <selection activeCell="T270" sqref="T270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3"/>
        <v/>
      </c>
      <c r="J290" s="59" t="str">
        <f t="shared" si="34"/>
        <v/>
      </c>
      <c r="K290" s="60" t="str">
        <f t="shared" si="39"/>
        <v/>
      </c>
      <c r="L290" s="59" t="str">
        <f t="shared" si="36"/>
        <v/>
      </c>
      <c r="M290" s="60" t="str">
        <f t="shared" si="40"/>
        <v/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3"/>
        <v/>
      </c>
      <c r="J291" s="59" t="str">
        <f t="shared" si="34"/>
        <v/>
      </c>
      <c r="K291" s="60" t="str">
        <f t="shared" si="39"/>
        <v/>
      </c>
      <c r="L291" s="59" t="str">
        <f t="shared" si="36"/>
        <v/>
      </c>
      <c r="M291" s="60" t="str">
        <f t="shared" si="40"/>
        <v/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3"/>
        <v/>
      </c>
      <c r="J292" s="59" t="str">
        <f t="shared" si="34"/>
        <v/>
      </c>
      <c r="K292" s="60" t="str">
        <f t="shared" si="39"/>
        <v/>
      </c>
      <c r="L292" s="59" t="str">
        <f t="shared" si="36"/>
        <v/>
      </c>
      <c r="M292" s="60" t="str">
        <f t="shared" si="40"/>
        <v/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3"/>
        <v/>
      </c>
      <c r="J293" s="59" t="str">
        <f t="shared" si="34"/>
        <v/>
      </c>
      <c r="K293" s="60" t="str">
        <f t="shared" si="39"/>
        <v/>
      </c>
      <c r="L293" s="59" t="str">
        <f t="shared" si="36"/>
        <v/>
      </c>
      <c r="M293" s="60" t="str">
        <f t="shared" si="40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3"/>
        <v/>
      </c>
      <c r="J294" s="59" t="str">
        <f t="shared" si="34"/>
        <v/>
      </c>
      <c r="K294" s="60" t="str">
        <f t="shared" si="39"/>
        <v/>
      </c>
      <c r="L294" s="59" t="str">
        <f t="shared" si="36"/>
        <v/>
      </c>
      <c r="M294" s="60" t="str">
        <f t="shared" si="40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3"/>
        <v/>
      </c>
      <c r="J295" s="59" t="str">
        <f t="shared" si="34"/>
        <v/>
      </c>
      <c r="K295" s="60" t="str">
        <f t="shared" si="39"/>
        <v/>
      </c>
      <c r="L295" s="59" t="str">
        <f t="shared" si="36"/>
        <v/>
      </c>
      <c r="M295" s="60" t="str">
        <f t="shared" si="40"/>
        <v/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3"/>
        <v/>
      </c>
      <c r="J296" s="59" t="str">
        <f t="shared" si="34"/>
        <v/>
      </c>
      <c r="K296" s="60" t="str">
        <f t="shared" si="39"/>
        <v/>
      </c>
      <c r="L296" s="59" t="str">
        <f t="shared" si="36"/>
        <v/>
      </c>
      <c r="M296" s="60" t="str">
        <f t="shared" si="40"/>
        <v/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3"/>
        <v/>
      </c>
      <c r="J297" s="59" t="str">
        <f t="shared" si="34"/>
        <v/>
      </c>
      <c r="K297" s="60" t="str">
        <f t="shared" si="39"/>
        <v/>
      </c>
      <c r="L297" s="59" t="str">
        <f t="shared" si="36"/>
        <v/>
      </c>
      <c r="M297" s="60" t="str">
        <f t="shared" si="40"/>
        <v/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3"/>
        <v/>
      </c>
      <c r="J298" s="59" t="str">
        <f t="shared" si="34"/>
        <v/>
      </c>
      <c r="K298" s="60" t="str">
        <f t="shared" si="39"/>
        <v/>
      </c>
      <c r="L298" s="59" t="str">
        <f t="shared" si="36"/>
        <v/>
      </c>
      <c r="M298" s="60" t="str">
        <f t="shared" si="40"/>
        <v/>
      </c>
      <c r="N298" s="61">
        <v>66068309</v>
      </c>
      <c r="O298" s="61">
        <f t="shared" si="37"/>
        <v>0</v>
      </c>
      <c r="P298" s="70">
        <f>IF(J277="",0,+SUM(J277:J307)/SUM(I277:I307))</f>
        <v>2.8479895060794101E-2</v>
      </c>
      <c r="Q298" s="70">
        <f>IF(L277="",0,+SUM(L277:L307)/SUM(I277:I307))</f>
        <v>2.8479895060794101E-2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3"/>
        <v/>
      </c>
      <c r="J299" s="59" t="str">
        <f t="shared" si="34"/>
        <v/>
      </c>
      <c r="K299" s="60" t="str">
        <f t="shared" si="39"/>
        <v/>
      </c>
      <c r="L299" s="59" t="str">
        <f t="shared" si="36"/>
        <v/>
      </c>
      <c r="M299" s="60" t="str">
        <f t="shared" si="40"/>
        <v/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ref="I300:J315" si="41">IF(D300="","",+(E300-E299)*4140)</f>
        <v/>
      </c>
      <c r="J300" s="59" t="str">
        <f t="shared" si="41"/>
        <v/>
      </c>
      <c r="K300" s="60" t="str">
        <f t="shared" si="39"/>
        <v/>
      </c>
      <c r="L300" s="59" t="str">
        <f t="shared" si="36"/>
        <v/>
      </c>
      <c r="M300" s="60" t="str">
        <f t="shared" si="40"/>
        <v/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1"/>
        <v/>
      </c>
      <c r="J301" s="59" t="str">
        <f t="shared" si="41"/>
        <v/>
      </c>
      <c r="K301" s="60" t="str">
        <f t="shared" si="39"/>
        <v/>
      </c>
      <c r="L301" s="59" t="str">
        <f t="shared" si="36"/>
        <v/>
      </c>
      <c r="M301" s="60" t="str">
        <f t="shared" si="40"/>
        <v/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1"/>
        <v/>
      </c>
      <c r="J302" s="59" t="str">
        <f t="shared" si="41"/>
        <v/>
      </c>
      <c r="K302" s="60" t="str">
        <f t="shared" si="39"/>
        <v/>
      </c>
      <c r="L302" s="59" t="str">
        <f t="shared" si="36"/>
        <v/>
      </c>
      <c r="M302" s="60" t="str">
        <f t="shared" si="40"/>
        <v/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1"/>
        <v/>
      </c>
      <c r="J303" s="59" t="str">
        <f t="shared" si="41"/>
        <v/>
      </c>
      <c r="K303" s="60" t="str">
        <f t="shared" si="39"/>
        <v/>
      </c>
      <c r="L303" s="59" t="str">
        <f t="shared" si="36"/>
        <v/>
      </c>
      <c r="M303" s="60" t="str">
        <f t="shared" si="40"/>
        <v/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1"/>
        <v/>
      </c>
      <c r="J304" s="59" t="str">
        <f t="shared" si="41"/>
        <v/>
      </c>
      <c r="K304" s="60" t="str">
        <f t="shared" si="39"/>
        <v/>
      </c>
      <c r="L304" s="59" t="str">
        <f t="shared" si="36"/>
        <v/>
      </c>
      <c r="M304" s="60" t="str">
        <f t="shared" si="40"/>
        <v/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1"/>
        <v/>
      </c>
      <c r="J305" s="59" t="str">
        <f t="shared" si="41"/>
        <v/>
      </c>
      <c r="K305" s="60" t="str">
        <f t="shared" si="39"/>
        <v/>
      </c>
      <c r="L305" s="59" t="str">
        <f t="shared" si="36"/>
        <v/>
      </c>
      <c r="M305" s="60" t="str">
        <f t="shared" si="40"/>
        <v/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1"/>
        <v/>
      </c>
      <c r="J306" s="59" t="str">
        <f t="shared" si="41"/>
        <v/>
      </c>
      <c r="K306" s="60" t="str">
        <f t="shared" si="39"/>
        <v/>
      </c>
      <c r="L306" s="59" t="str">
        <f t="shared" si="36"/>
        <v/>
      </c>
      <c r="M306" s="60" t="str">
        <f t="shared" si="40"/>
        <v/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59" t="str">
        <f t="shared" si="41"/>
        <v/>
      </c>
      <c r="J307" s="59" t="str">
        <f t="shared" si="41"/>
        <v/>
      </c>
      <c r="K307" s="60" t="str">
        <f t="shared" si="39"/>
        <v/>
      </c>
      <c r="L307" s="90" t="str">
        <f t="shared" si="36"/>
        <v/>
      </c>
      <c r="M307" s="60" t="str">
        <f t="shared" si="40"/>
        <v/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1"/>
        <v/>
      </c>
      <c r="J308" s="59" t="str">
        <f t="shared" si="41"/>
        <v/>
      </c>
      <c r="K308" s="60" t="str">
        <f t="shared" si="39"/>
        <v/>
      </c>
      <c r="L308" s="59" t="str">
        <f t="shared" si="36"/>
        <v/>
      </c>
      <c r="M308" s="60" t="str">
        <f t="shared" si="40"/>
        <v/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1"/>
        <v/>
      </c>
      <c r="J309" s="59" t="str">
        <f t="shared" si="41"/>
        <v/>
      </c>
      <c r="K309" s="60" t="str">
        <f t="shared" si="39"/>
        <v/>
      </c>
      <c r="L309" s="59" t="str">
        <f t="shared" si="36"/>
        <v/>
      </c>
      <c r="M309" s="60" t="str">
        <f t="shared" si="40"/>
        <v/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ref="I310:I324" si="42">IF(D310="","",+(D310-D309)*4140)</f>
        <v/>
      </c>
      <c r="J310" s="59" t="str">
        <f t="shared" si="41"/>
        <v/>
      </c>
      <c r="K310" s="60" t="str">
        <f t="shared" si="39"/>
        <v/>
      </c>
      <c r="L310" s="59" t="str">
        <f t="shared" si="36"/>
        <v/>
      </c>
      <c r="M310" s="60" t="str">
        <f t="shared" si="40"/>
        <v/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2"/>
        <v/>
      </c>
      <c r="J311" s="59" t="str">
        <f t="shared" si="41"/>
        <v/>
      </c>
      <c r="K311" s="60" t="str">
        <f t="shared" si="39"/>
        <v/>
      </c>
      <c r="L311" s="59" t="str">
        <f t="shared" si="36"/>
        <v/>
      </c>
      <c r="M311" s="60" t="str">
        <f t="shared" si="40"/>
        <v/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2"/>
        <v/>
      </c>
      <c r="J312" s="59" t="str">
        <f t="shared" si="41"/>
        <v/>
      </c>
      <c r="K312" s="60" t="str">
        <f t="shared" si="39"/>
        <v/>
      </c>
      <c r="L312" s="59" t="str">
        <f t="shared" si="36"/>
        <v/>
      </c>
      <c r="M312" s="60" t="str">
        <f t="shared" si="40"/>
        <v/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41"/>
        <v/>
      </c>
      <c r="K313" s="60" t="str">
        <f t="shared" si="39"/>
        <v/>
      </c>
      <c r="L313" s="59" t="str">
        <f t="shared" si="36"/>
        <v/>
      </c>
      <c r="M313" s="60" t="str">
        <f t="shared" si="40"/>
        <v/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2"/>
        <v/>
      </c>
      <c r="J314" s="59" t="str">
        <f t="shared" si="41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2"/>
        <v/>
      </c>
      <c r="J315" s="59" t="str">
        <f t="shared" si="41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2"/>
        <v/>
      </c>
      <c r="J316" s="59" t="str">
        <f t="shared" ref="J316:J325" si="43">IF(E316="","",+(F316-F315)*4140)</f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2"/>
        <v/>
      </c>
      <c r="J317" s="59" t="str">
        <f t="shared" si="43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2"/>
        <v/>
      </c>
      <c r="J318" s="59" t="str">
        <f t="shared" si="43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2"/>
        <v/>
      </c>
      <c r="J319" s="59" t="str">
        <f t="shared" si="43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2"/>
        <v/>
      </c>
      <c r="J320" s="59" t="str">
        <f t="shared" si="43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6">IF(D325="","",+(D325-D324)*4140)</f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7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6"/>
        <v/>
      </c>
      <c r="J326" s="59" t="str">
        <f t="shared" si="46"/>
        <v/>
      </c>
      <c r="K326" s="60" t="str">
        <f t="shared" si="39"/>
        <v/>
      </c>
      <c r="L326" s="59" t="str">
        <f t="shared" si="47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6"/>
        <v/>
      </c>
      <c r="J327" s="59" t="str">
        <f t="shared" si="46"/>
        <v/>
      </c>
      <c r="K327" s="60" t="str">
        <f t="shared" si="39"/>
        <v/>
      </c>
      <c r="L327" s="59" t="str">
        <f t="shared" si="47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6"/>
        <v/>
      </c>
      <c r="J328" s="59" t="str">
        <f t="shared" si="46"/>
        <v/>
      </c>
      <c r="K328" s="60" t="str">
        <f t="shared" si="39"/>
        <v/>
      </c>
      <c r="L328" s="59" t="str">
        <f t="shared" si="47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6"/>
        <v/>
      </c>
      <c r="J329" s="59" t="str">
        <f t="shared" si="46"/>
        <v/>
      </c>
      <c r="K329" s="60" t="str">
        <f t="shared" si="39"/>
        <v/>
      </c>
      <c r="L329" s="59" t="str">
        <f t="shared" si="47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6"/>
        <v/>
      </c>
      <c r="J330" s="59" t="str">
        <f t="shared" si="46"/>
        <v/>
      </c>
      <c r="K330" s="60" t="str">
        <f t="shared" si="39"/>
        <v/>
      </c>
      <c r="L330" s="59" t="str">
        <f t="shared" si="47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6"/>
        <v/>
      </c>
      <c r="J331" s="59" t="str">
        <f t="shared" si="46"/>
        <v/>
      </c>
      <c r="K331" s="60" t="str">
        <f t="shared" si="39"/>
        <v/>
      </c>
      <c r="L331" s="59" t="str">
        <f t="shared" si="47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6"/>
        <v/>
      </c>
      <c r="J332" s="59" t="str">
        <f t="shared" si="46"/>
        <v/>
      </c>
      <c r="K332" s="60" t="str">
        <f t="shared" si="39"/>
        <v/>
      </c>
      <c r="L332" s="59" t="str">
        <f t="shared" si="47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6"/>
        <v/>
      </c>
      <c r="J333" s="59" t="str">
        <f t="shared" si="46"/>
        <v/>
      </c>
      <c r="K333" s="60" t="str">
        <f t="shared" ref="K333:K337" si="49">IF(J333="","",+(J333/I333))</f>
        <v/>
      </c>
      <c r="L333" s="59" t="str">
        <f t="shared" si="47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6"/>
        <v/>
      </c>
      <c r="J334" s="59" t="str">
        <f t="shared" si="46"/>
        <v/>
      </c>
      <c r="K334" s="60" t="str">
        <f t="shared" si="49"/>
        <v/>
      </c>
      <c r="L334" s="59" t="str">
        <f t="shared" si="47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6"/>
        <v/>
      </c>
      <c r="J335" s="59" t="str">
        <f t="shared" si="46"/>
        <v/>
      </c>
      <c r="K335" s="60" t="str">
        <f t="shared" si="49"/>
        <v/>
      </c>
      <c r="L335" s="59" t="str">
        <f t="shared" si="47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6"/>
        <v/>
      </c>
      <c r="J336" s="59" t="str">
        <f t="shared" si="46"/>
        <v/>
      </c>
      <c r="K336" s="60" t="str">
        <f t="shared" si="49"/>
        <v/>
      </c>
      <c r="L336" s="59" t="str">
        <f t="shared" si="47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6"/>
        <v/>
      </c>
      <c r="J337" s="90" t="str">
        <f t="shared" si="46"/>
        <v/>
      </c>
      <c r="K337" s="60" t="str">
        <f t="shared" si="49"/>
        <v/>
      </c>
      <c r="L337" s="90" t="str">
        <f t="shared" si="47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6"/>
        <v/>
      </c>
      <c r="J338" s="59" t="str">
        <f t="shared" si="46"/>
        <v/>
      </c>
      <c r="K338" s="60" t="str">
        <f t="shared" ref="K338:K368" si="51">IF(J338="","",+(J338/I338))</f>
        <v/>
      </c>
      <c r="L338" s="59" t="str">
        <f t="shared" si="47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6"/>
        <v/>
      </c>
      <c r="J339" s="59" t="str">
        <f t="shared" si="46"/>
        <v/>
      </c>
      <c r="K339" s="60" t="str">
        <f t="shared" si="51"/>
        <v/>
      </c>
      <c r="L339" s="59" t="str">
        <f t="shared" si="47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6"/>
        <v/>
      </c>
      <c r="J340" s="59" t="str">
        <f t="shared" si="46"/>
        <v/>
      </c>
      <c r="K340" s="60" t="str">
        <f t="shared" si="51"/>
        <v/>
      </c>
      <c r="L340" s="59" t="str">
        <f t="shared" si="47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6"/>
        <v/>
      </c>
      <c r="J341" s="59" t="str">
        <f t="shared" si="46"/>
        <v/>
      </c>
      <c r="K341" s="60" t="str">
        <f t="shared" si="51"/>
        <v/>
      </c>
      <c r="L341" s="59" t="str">
        <f t="shared" si="47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6"/>
        <v/>
      </c>
      <c r="J342" s="59" t="str">
        <f t="shared" si="46"/>
        <v/>
      </c>
      <c r="K342" s="60" t="str">
        <f t="shared" si="51"/>
        <v/>
      </c>
      <c r="L342" s="59" t="str">
        <f t="shared" si="47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6"/>
        <v/>
      </c>
      <c r="J343" s="59" t="str">
        <f t="shared" si="46"/>
        <v/>
      </c>
      <c r="K343" s="60" t="str">
        <f t="shared" si="51"/>
        <v/>
      </c>
      <c r="L343" s="59" t="str">
        <f t="shared" si="47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6"/>
        <v/>
      </c>
      <c r="J344" s="59" t="str">
        <f t="shared" si="46"/>
        <v/>
      </c>
      <c r="K344" s="60" t="str">
        <f t="shared" si="51"/>
        <v/>
      </c>
      <c r="L344" s="59" t="str">
        <f t="shared" si="47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6"/>
        <v/>
      </c>
      <c r="J345" s="59" t="str">
        <f t="shared" si="46"/>
        <v/>
      </c>
      <c r="K345" s="60" t="str">
        <f t="shared" si="51"/>
        <v/>
      </c>
      <c r="L345" s="59" t="str">
        <f t="shared" si="47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6"/>
        <v/>
      </c>
      <c r="J346" s="59" t="str">
        <f t="shared" si="46"/>
        <v/>
      </c>
      <c r="K346" s="60" t="str">
        <f t="shared" si="51"/>
        <v/>
      </c>
      <c r="L346" s="59" t="str">
        <f t="shared" si="47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6"/>
        <v/>
      </c>
      <c r="J347" s="59" t="str">
        <f t="shared" si="46"/>
        <v/>
      </c>
      <c r="K347" s="60" t="str">
        <f t="shared" si="51"/>
        <v/>
      </c>
      <c r="L347" s="59" t="str">
        <f t="shared" si="47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6"/>
        <v/>
      </c>
      <c r="J348" s="59" t="str">
        <f t="shared" si="46"/>
        <v/>
      </c>
      <c r="K348" s="60" t="str">
        <f t="shared" si="51"/>
        <v/>
      </c>
      <c r="L348" s="59" t="str">
        <f t="shared" si="47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6"/>
        <v/>
      </c>
      <c r="J349" s="59" t="str">
        <f t="shared" si="46"/>
        <v/>
      </c>
      <c r="K349" s="60" t="str">
        <f t="shared" si="51"/>
        <v/>
      </c>
      <c r="L349" s="59" t="str">
        <f t="shared" si="47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6"/>
        <v/>
      </c>
      <c r="J350" s="59" t="str">
        <f t="shared" si="46"/>
        <v/>
      </c>
      <c r="K350" s="60" t="str">
        <f t="shared" si="51"/>
        <v/>
      </c>
      <c r="L350" s="59" t="str">
        <f t="shared" si="47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6"/>
        <v/>
      </c>
      <c r="J351" s="59" t="str">
        <f t="shared" si="46"/>
        <v/>
      </c>
      <c r="K351" s="60" t="str">
        <f t="shared" si="51"/>
        <v/>
      </c>
      <c r="L351" s="59" t="str">
        <f t="shared" si="47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6"/>
        <v/>
      </c>
      <c r="J352" s="59" t="str">
        <f t="shared" si="46"/>
        <v/>
      </c>
      <c r="K352" s="60" t="str">
        <f t="shared" si="51"/>
        <v/>
      </c>
      <c r="L352" s="59" t="str">
        <f t="shared" si="47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6"/>
        <v/>
      </c>
      <c r="J353" s="59" t="str">
        <f t="shared" si="46"/>
        <v/>
      </c>
      <c r="K353" s="60" t="str">
        <f t="shared" si="51"/>
        <v/>
      </c>
      <c r="L353" s="59" t="str">
        <f t="shared" si="47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6"/>
        <v/>
      </c>
      <c r="J354" s="59" t="str">
        <f t="shared" si="46"/>
        <v/>
      </c>
      <c r="K354" s="60" t="str">
        <f t="shared" si="51"/>
        <v/>
      </c>
      <c r="L354" s="59" t="str">
        <f t="shared" si="47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6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7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6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7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6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7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6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7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6"/>
        <v/>
      </c>
      <c r="J359" s="59" t="str">
        <f t="shared" si="46"/>
        <v/>
      </c>
      <c r="K359" s="60" t="str">
        <f t="shared" si="51"/>
        <v/>
      </c>
      <c r="L359" s="59" t="str">
        <f t="shared" si="47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6"/>
        <v/>
      </c>
      <c r="J360" s="59" t="str">
        <f t="shared" si="46"/>
        <v/>
      </c>
      <c r="K360" s="60" t="str">
        <f t="shared" si="51"/>
        <v/>
      </c>
      <c r="L360" s="59" t="str">
        <f t="shared" si="47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6"/>
        <v/>
      </c>
      <c r="J361" s="59" t="str">
        <f t="shared" si="46"/>
        <v/>
      </c>
      <c r="K361" s="60" t="str">
        <f t="shared" si="51"/>
        <v/>
      </c>
      <c r="L361" s="59" t="str">
        <f t="shared" si="47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6"/>
        <v/>
      </c>
      <c r="J362" s="59" t="str">
        <f t="shared" si="46"/>
        <v/>
      </c>
      <c r="K362" s="60" t="str">
        <f t="shared" si="51"/>
        <v/>
      </c>
      <c r="L362" s="59" t="str">
        <f t="shared" si="47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6"/>
        <v/>
      </c>
      <c r="J363" s="59" t="str">
        <f t="shared" si="46"/>
        <v/>
      </c>
      <c r="K363" s="60" t="str">
        <f t="shared" si="51"/>
        <v/>
      </c>
      <c r="L363" s="59" t="str">
        <f t="shared" si="47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6"/>
        <v/>
      </c>
      <c r="J364" s="59" t="str">
        <f t="shared" si="46"/>
        <v/>
      </c>
      <c r="K364" s="60" t="str">
        <f t="shared" si="51"/>
        <v/>
      </c>
      <c r="L364" s="59" t="str">
        <f t="shared" si="47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6"/>
        <v/>
      </c>
      <c r="J365" s="59" t="str">
        <f t="shared" si="46"/>
        <v/>
      </c>
      <c r="K365" s="60" t="str">
        <f t="shared" si="51"/>
        <v/>
      </c>
      <c r="L365" s="59" t="str">
        <f t="shared" si="47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6"/>
        <v/>
      </c>
      <c r="K366" s="60" t="str">
        <f t="shared" si="51"/>
        <v/>
      </c>
      <c r="L366" s="59" t="str">
        <f t="shared" si="47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6"/>
        <v/>
      </c>
      <c r="J367" s="59" t="str">
        <f t="shared" si="46"/>
        <v/>
      </c>
      <c r="K367" s="60" t="str">
        <f t="shared" si="51"/>
        <v/>
      </c>
      <c r="L367" s="59" t="str">
        <f t="shared" si="47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6"/>
        <v/>
      </c>
      <c r="J368" s="90" t="str">
        <f t="shared" si="46"/>
        <v/>
      </c>
      <c r="K368" s="91" t="str">
        <f t="shared" si="51"/>
        <v/>
      </c>
      <c r="L368" s="90" t="str">
        <f t="shared" si="47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7512298.6199999973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2021-10-15T05:54:13Z</dcterms:modified>
  <cp:category/>
  <cp:contentStatus/>
</cp:coreProperties>
</file>