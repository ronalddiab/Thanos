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<sst xmlns="http://schemas.openxmlformats.org/spreadsheetml/2006/main" count="72" uniqueCount="37">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</sst>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3" sqref="A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308.60000000000002</v>
      </c>
      <c r="H2" s="3">
        <v>5.65</v>
      </c>
      <c r="I2" s="13">
        <f>Water!H4</f>
        <v>40</v>
      </c>
      <c r="J2" s="3">
        <v>22.4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302.34366799984127</v>
      </c>
      <c r="H3" s="3">
        <v>5.65</v>
      </c>
      <c r="I3" s="13">
        <f>Water!H5</f>
        <v>48</v>
      </c>
      <c r="J3" s="3">
        <v>22.4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209.89147200016305</v>
      </c>
      <c r="H4" s="3">
        <v>5.65</v>
      </c>
      <c r="I4" s="13">
        <f>Water!H6</f>
        <v>37</v>
      </c>
      <c r="J4" s="3">
        <v>22.4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118.68862999998964</v>
      </c>
      <c r="H5" s="3">
        <v>5.65</v>
      </c>
      <c r="I5" s="13">
        <f>Water!H7</f>
        <v>22</v>
      </c>
      <c r="J5" s="3">
        <v>22.4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104.94573599984869</v>
      </c>
      <c r="H6" s="3">
        <v>5.65</v>
      </c>
      <c r="I6" s="13">
        <f>Water!H8</f>
        <v>37</v>
      </c>
      <c r="J6" s="3">
        <v>22.4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178.65762199996971</v>
      </c>
      <c r="H7" s="3">
        <v>5.65</v>
      </c>
      <c r="I7" s="13">
        <f>Water!H9</f>
        <v>38</v>
      </c>
      <c r="J7" s="3">
        <v>22.4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188.65245400019921</v>
      </c>
      <c r="H8" s="3">
        <v>5.65</v>
      </c>
      <c r="I8" s="13">
        <f>Water!H10</f>
        <v>50</v>
      </c>
      <c r="J8" s="3">
        <v>22.4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209.89147199993022</v>
      </c>
      <c r="H9" s="3">
        <v>5.65</v>
      </c>
      <c r="I9" s="13">
        <f>Water!H11</f>
        <v>27</v>
      </c>
      <c r="J9" s="3">
        <v>22.4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152.42118799989112</v>
      </c>
      <c r="H10" s="3">
        <v>5.65</v>
      </c>
      <c r="I10" s="13">
        <f>Water!H12</f>
        <v>26</v>
      </c>
      <c r="J10" s="3">
        <v>22.4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236.12790600000881</v>
      </c>
      <c r="H11" s="3">
        <v>5.65</v>
      </c>
      <c r="I11" s="13">
        <f>Water!H13</f>
        <v>41</v>
      </c>
      <c r="J11" s="3">
        <v>22.4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229.8811360001564</v>
      </c>
      <c r="H12" s="3">
        <v>5.65</v>
      </c>
      <c r="I12" s="13">
        <f>Water!H14</f>
        <v>31</v>
      </c>
      <c r="J12" s="3">
        <v>22.4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211.1408259999007</v>
      </c>
      <c r="H13" s="3">
        <v>5.65</v>
      </c>
      <c r="I13" s="13">
        <f>Water!H15</f>
        <v>44</v>
      </c>
      <c r="J13" s="3">
        <v>22.4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244.873384000035</v>
      </c>
      <c r="H14" s="3">
        <v>5.65</v>
      </c>
      <c r="I14" s="13">
        <f>Water!H16</f>
        <v>29</v>
      </c>
      <c r="J14" s="3">
        <v>22.4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254.86821600003168</v>
      </c>
      <c r="H15" s="3">
        <v>5.65</v>
      </c>
      <c r="I15" s="13">
        <f>Water!H17</f>
        <v>33</v>
      </c>
      <c r="J15" s="3">
        <v>22.4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262.36433999985456</v>
      </c>
      <c r="H16" s="3">
        <v>5.65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278.60594200016931</v>
      </c>
      <c r="H17" s="3">
        <v>5.65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289.85012799990363</v>
      </c>
      <c r="H18" s="3">
        <v>5.65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391.04780200007372</v>
      </c>
      <c r="H19" s="3">
        <v>5.65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8266.2000000029802</v>
      </c>
      <c r="F20" s="3">
        <v>2.7</v>
      </c>
      <c r="G20" s="13">
        <f>Gas!J22</f>
        <v>406.04004999995232</v>
      </c>
      <c r="H20" s="3">
        <v>5.65</v>
      </c>
      <c r="I20" s="13">
        <f>Water!H22</f>
        <v>46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-13745890.200000001</v>
      </c>
      <c r="F21" s="3">
        <v>2.7</v>
      </c>
      <c r="G21" s="13">
        <f>Gas!J23</f>
        <v>-1179257.7444760001</v>
      </c>
      <c r="H21" s="3">
        <v>5.65</v>
      </c>
      <c r="I21" s="13">
        <f>Water!H23</f>
        <v>-14102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0</v>
      </c>
      <c r="F22" s="3">
        <v>2.7</v>
      </c>
      <c r="G22" s="13">
        <f>Gas!J24</f>
        <v>0</v>
      </c>
      <c r="H22" s="3">
        <v>5.65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0</v>
      </c>
      <c r="F23" s="3">
        <v>2.7</v>
      </c>
      <c r="G23" s="13">
        <f>Gas!J25</f>
        <v>0</v>
      </c>
      <c r="H23" s="3">
        <v>5.65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0</v>
      </c>
      <c r="F24" s="3">
        <v>2.7</v>
      </c>
      <c r="G24" s="13">
        <f>Gas!J26</f>
        <v>0</v>
      </c>
      <c r="H24" s="3">
        <v>5.65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0</v>
      </c>
      <c r="F25" s="3">
        <v>2.7</v>
      </c>
      <c r="G25" s="13">
        <f>Gas!J27</f>
        <v>0</v>
      </c>
      <c r="H25" s="3">
        <v>5.65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5.65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0</v>
      </c>
      <c r="F27" s="3">
        <v>2.7</v>
      </c>
      <c r="G27" s="13">
        <f>Gas!J29</f>
        <v>0</v>
      </c>
      <c r="H27" s="3">
        <v>5.65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0</v>
      </c>
      <c r="F28" s="3">
        <v>2.7</v>
      </c>
      <c r="G28" s="13">
        <f>Gas!J30</f>
        <v>0</v>
      </c>
      <c r="H28" s="3">
        <v>5.65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5.65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5.65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5.65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5.65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F22" sqref="F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36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>
        <v>14102</v>
      </c>
      <c r="F22" s="23">
        <v>1065</v>
      </c>
      <c r="G22" s="23">
        <f t="shared" si="0"/>
        <v>15167</v>
      </c>
      <c r="H22" s="65">
        <f t="shared" si="1"/>
        <v>46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/>
      <c r="F23" s="23">
        <v>1065</v>
      </c>
      <c r="G23" s="23">
        <f t="shared" si="0"/>
        <v>1065</v>
      </c>
      <c r="H23" s="65">
        <f t="shared" si="1"/>
        <v>-14102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3" sqref="F2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34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1.2493540000000001</v>
      </c>
      <c r="I7" s="23">
        <f t="shared" si="1"/>
        <v>1175618.3762740002</v>
      </c>
      <c r="J7" s="24">
        <f t="shared" si="2"/>
        <v>118.68862999998964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1.2493540000000001</v>
      </c>
      <c r="I8" s="23">
        <f t="shared" si="1"/>
        <v>1175723.32201</v>
      </c>
      <c r="J8" s="24">
        <f t="shared" si="2"/>
        <v>104.94573599984869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1.2493540000000001</v>
      </c>
      <c r="I9" s="23">
        <f t="shared" si="1"/>
        <v>1175901.979632</v>
      </c>
      <c r="J9" s="24">
        <f t="shared" si="2"/>
        <v>178.65762199996971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1.2493540000000001</v>
      </c>
      <c r="I10" s="23">
        <f t="shared" si="1"/>
        <v>1176090.6320860002</v>
      </c>
      <c r="J10" s="24">
        <f t="shared" si="2"/>
        <v>188.65245400019921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1.2493540000000001</v>
      </c>
      <c r="I11" s="23">
        <f t="shared" si="1"/>
        <v>1176300.5235580001</v>
      </c>
      <c r="J11" s="24">
        <f t="shared" si="2"/>
        <v>209.89147199993022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1.2493540000000001</v>
      </c>
      <c r="I12" s="23">
        <f t="shared" si="1"/>
        <v>1176452.944746</v>
      </c>
      <c r="J12" s="24">
        <f t="shared" si="2"/>
        <v>152.42118799989112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1.2493540000000001</v>
      </c>
      <c r="I13" s="23">
        <f t="shared" si="1"/>
        <v>1176689.072652</v>
      </c>
      <c r="J13" s="24">
        <f t="shared" si="2"/>
        <v>236.12790600000881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1.2493540000000001</v>
      </c>
      <c r="I14" s="23">
        <f t="shared" si="1"/>
        <v>1176918.9537880002</v>
      </c>
      <c r="J14" s="24">
        <f t="shared" si="2"/>
        <v>229.8811360001564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1.2493540000000001</v>
      </c>
      <c r="I15" s="23">
        <f t="shared" si="1"/>
        <v>1177130.0946140001</v>
      </c>
      <c r="J15" s="24">
        <f t="shared" si="2"/>
        <v>211.1408259999007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1.2493540000000001</v>
      </c>
      <c r="I16" s="23">
        <f>H16*G16</f>
        <v>1177374.9679980001</v>
      </c>
      <c r="J16" s="24">
        <f t="shared" si="2"/>
        <v>244.873384000035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1.2493540000000001</v>
      </c>
      <c r="I17" s="23">
        <f>H17*G17</f>
        <v>1177629.8362140001</v>
      </c>
      <c r="J17" s="24">
        <f t="shared" si="2"/>
        <v>254.86821600003168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1.2493540000000001</v>
      </c>
      <c r="I18" s="23">
        <f>H18*G18</f>
        <v>1177892.200554</v>
      </c>
      <c r="J18" s="24">
        <f t="shared" si="2"/>
        <v>262.36433999985456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1.2493540000000001</v>
      </c>
      <c r="I19" s="23">
        <f>H19*G19</f>
        <v>1178170.8064960002</v>
      </c>
      <c r="J19" s="24">
        <f t="shared" si="2"/>
        <v>278.60594200016931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1.2493540000000001</v>
      </c>
      <c r="I20" s="23">
        <f>H20*G20</f>
        <v>1178460.6566240001</v>
      </c>
      <c r="J20" s="24">
        <f t="shared" si="2"/>
        <v>289.85012799990363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1.2493540000000001</v>
      </c>
      <c r="I21" s="23">
        <f t="shared" ref="I21:I34" si="4">H21*G21</f>
        <v>1178851.7044260001</v>
      </c>
      <c r="J21" s="24">
        <f t="shared" si="2"/>
        <v>391.04780200007372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>
        <v>770282</v>
      </c>
      <c r="F22" s="23">
        <v>173612</v>
      </c>
      <c r="G22" s="23">
        <f t="shared" si="3"/>
        <v>943894</v>
      </c>
      <c r="H22" s="18">
        <v>1.2493540000000001</v>
      </c>
      <c r="I22" s="23">
        <f t="shared" si="4"/>
        <v>1179257.7444760001</v>
      </c>
      <c r="J22" s="24">
        <f t="shared" si="2"/>
        <v>406.04004999995232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/>
      <c r="F23" s="23"/>
      <c r="G23" s="23">
        <f t="shared" si="3"/>
        <v>0</v>
      </c>
      <c r="H23" s="18">
        <v>1.2493540000000001</v>
      </c>
      <c r="I23" s="23">
        <f t="shared" si="4"/>
        <v>0</v>
      </c>
      <c r="J23" s="24">
        <f t="shared" si="2"/>
        <v>-1179257.7444760001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/>
      <c r="F24" s="23"/>
      <c r="G24" s="23">
        <f t="shared" si="3"/>
        <v>0</v>
      </c>
      <c r="H24" s="18">
        <v>1.2493540000000001</v>
      </c>
      <c r="I24" s="23">
        <f>H24*G24</f>
        <v>0</v>
      </c>
      <c r="J24" s="24">
        <f t="shared" si="2"/>
        <v>0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/>
      <c r="F25" s="23"/>
      <c r="G25" s="23">
        <f t="shared" si="3"/>
        <v>0</v>
      </c>
      <c r="H25" s="18">
        <v>1.2493540000000001</v>
      </c>
      <c r="I25" s="23">
        <f t="shared" si="4"/>
        <v>0</v>
      </c>
      <c r="J25" s="22">
        <f t="shared" si="2"/>
        <v>0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/>
      <c r="F26" s="23"/>
      <c r="G26" s="23">
        <f>E26+F26</f>
        <v>0</v>
      </c>
      <c r="H26" s="18">
        <v>1.2493540000000001</v>
      </c>
      <c r="I26" s="23">
        <f t="shared" si="4"/>
        <v>0</v>
      </c>
      <c r="J26" s="22">
        <f>I26-I25</f>
        <v>0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/>
      <c r="F27" s="23"/>
      <c r="G27" s="23">
        <f>E27+F27</f>
        <v>0</v>
      </c>
      <c r="H27" s="18">
        <v>1.2493540000000001</v>
      </c>
      <c r="I27" s="23">
        <f>H27*G27</f>
        <v>0</v>
      </c>
      <c r="J27" s="22">
        <f>I27-I26</f>
        <v>0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/>
      <c r="F28" s="23"/>
      <c r="G28" s="23">
        <f>E28+F28</f>
        <v>0</v>
      </c>
      <c r="H28" s="18">
        <v>1.2493540000000001</v>
      </c>
      <c r="I28" s="23">
        <f t="shared" si="4"/>
        <v>0</v>
      </c>
      <c r="J28" s="22">
        <f>I28-I27</f>
        <v>0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/>
      <c r="F29" s="23"/>
      <c r="G29" s="23">
        <f t="shared" si="3"/>
        <v>0</v>
      </c>
      <c r="H29" s="18">
        <v>1.2493540000000001</v>
      </c>
      <c r="I29" s="23">
        <f t="shared" si="4"/>
        <v>0</v>
      </c>
      <c r="J29" s="22">
        <f t="shared" si="2"/>
        <v>0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/>
      <c r="F30" s="23"/>
      <c r="G30" s="23">
        <f t="shared" si="3"/>
        <v>0</v>
      </c>
      <c r="H30" s="18">
        <v>1.2493540000000001</v>
      </c>
      <c r="I30" s="23">
        <f>H30*G30</f>
        <v>0</v>
      </c>
      <c r="J30" s="22">
        <f t="shared" si="2"/>
        <v>0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/>
      <c r="F31" s="23"/>
      <c r="G31" s="23">
        <f t="shared" si="3"/>
        <v>0</v>
      </c>
      <c r="H31" s="18">
        <v>1.2493540000000001</v>
      </c>
      <c r="I31" s="23">
        <f t="shared" si="4"/>
        <v>0</v>
      </c>
      <c r="J31" s="22">
        <f t="shared" si="2"/>
        <v>0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0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208.89390119996852</v>
      </c>
      <c r="M36" s="17">
        <f>+(L36*31)</f>
        <v>6475.7109371990246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abSelected="1"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35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>
        <v>4980.3950000000004</v>
      </c>
      <c r="G22" s="22">
        <v>2760</v>
      </c>
      <c r="H22" s="23">
        <f t="shared" si="0"/>
        <v>13745890.200000001</v>
      </c>
      <c r="I22" s="24">
        <f t="shared" si="1"/>
        <v>8266.2000000029802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/>
      <c r="G23" s="22">
        <v>2760</v>
      </c>
      <c r="H23" s="23">
        <f t="shared" si="0"/>
        <v>0</v>
      </c>
      <c r="I23" s="24">
        <f t="shared" si="1"/>
        <v>-13745890.200000001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2022-07-19T03:25:32Z</dcterms:modified>
</cp:coreProperties>
</file>