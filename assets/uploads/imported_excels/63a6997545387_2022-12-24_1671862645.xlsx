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 i="4" l="1"/>
  <c r="Q32" i="5"/>
  <c r="Q33" i="5" s="1"/>
  <c r="R33" i="3" l="1"/>
  <c r="R32" i="3"/>
  <c r="R31" i="3"/>
  <c r="R30" i="3"/>
  <c r="R29" i="3" l="1"/>
  <c r="X31" i="5" l="1"/>
  <c r="H16" i="5" l="1"/>
  <c r="R15" i="5" l="1"/>
  <c r="L7" i="4" l="1"/>
  <c r="N7" i="4" l="1"/>
  <c r="M7"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7" i="4"/>
  <c r="N37" i="4" s="1"/>
  <c r="L36" i="4"/>
  <c r="N36" i="4" s="1"/>
  <c r="L35" i="4"/>
  <c r="N35" i="4" s="1"/>
  <c r="L34" i="4"/>
  <c r="N34" i="4" s="1"/>
  <c r="L33" i="4"/>
  <c r="N33" i="4" s="1"/>
  <c r="L32" i="4"/>
  <c r="N32" i="4" s="1"/>
  <c r="L31" i="4"/>
  <c r="N31" i="4" s="1"/>
  <c r="L30" i="4"/>
  <c r="N30" i="4" s="1"/>
  <c r="L29" i="4"/>
  <c r="N29" i="4" s="1"/>
  <c r="L28" i="4"/>
  <c r="N28" i="4" s="1"/>
  <c r="L27" i="4"/>
  <c r="N27" i="4" s="1"/>
  <c r="L26" i="4"/>
  <c r="M26" i="4" s="1"/>
  <c r="L25" i="4"/>
  <c r="N25" i="4" s="1"/>
  <c r="L24" i="4"/>
  <c r="N24" i="4" s="1"/>
  <c r="L23" i="4"/>
  <c r="N23" i="4" s="1"/>
  <c r="L22" i="4"/>
  <c r="M22" i="4" s="1"/>
  <c r="L21" i="4"/>
  <c r="N21" i="4" s="1"/>
  <c r="L20" i="4"/>
  <c r="N20" i="4" s="1"/>
  <c r="L19" i="4"/>
  <c r="N19" i="4" s="1"/>
  <c r="L18" i="4"/>
  <c r="N18" i="4" s="1"/>
  <c r="L17" i="4"/>
  <c r="N17" i="4" s="1"/>
  <c r="L16" i="4"/>
  <c r="N16" i="4" s="1"/>
  <c r="L15" i="4"/>
  <c r="N15" i="4" s="1"/>
  <c r="L14" i="4"/>
  <c r="N14" i="4" s="1"/>
  <c r="L13" i="4"/>
  <c r="N13" i="4" s="1"/>
  <c r="L12" i="4"/>
  <c r="N12" i="4" s="1"/>
  <c r="L11" i="4"/>
  <c r="N11" i="4" s="1"/>
  <c r="L10" i="4"/>
  <c r="N10" i="4" s="1"/>
  <c r="L9" i="4"/>
  <c r="L8" i="4"/>
  <c r="N8" i="4" s="1"/>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7" i="4"/>
  <c r="H36" i="4"/>
  <c r="H35" i="4"/>
  <c r="H34" i="4"/>
  <c r="H33" i="4"/>
  <c r="H32" i="4"/>
  <c r="H31" i="4"/>
  <c r="H30" i="4"/>
  <c r="H29" i="4"/>
  <c r="H28" i="4"/>
  <c r="H27" i="4"/>
  <c r="H26" i="4"/>
  <c r="H25" i="4"/>
  <c r="H24" i="4"/>
  <c r="H23" i="4"/>
  <c r="H22" i="4"/>
  <c r="H21" i="4"/>
  <c r="H20" i="4"/>
  <c r="H19" i="4"/>
  <c r="H18" i="4"/>
  <c r="H17" i="4"/>
  <c r="H16" i="4"/>
  <c r="H15" i="4"/>
  <c r="H14" i="4"/>
  <c r="H13" i="4"/>
  <c r="H11" i="4"/>
  <c r="H10" i="4"/>
  <c r="H9" i="4"/>
  <c r="H8" i="4"/>
  <c r="H7"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I38" i="3"/>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Y38" i="3" s="1"/>
  <c r="X37" i="3"/>
  <c r="Y37" i="3" s="1"/>
  <c r="X36" i="3"/>
  <c r="Y36" i="3" s="1"/>
  <c r="X35" i="3"/>
  <c r="Y35" i="3" s="1"/>
  <c r="X34" i="3"/>
  <c r="Y34" i="3" s="1"/>
  <c r="X33" i="3"/>
  <c r="Y33" i="3" s="1"/>
  <c r="X32" i="3"/>
  <c r="Y32" i="3" s="1"/>
  <c r="X31" i="3"/>
  <c r="Y31" i="3" s="1"/>
  <c r="X30" i="3"/>
  <c r="Y30" i="3" s="1"/>
  <c r="X29" i="3"/>
  <c r="Y29" i="3" s="1"/>
  <c r="X28" i="3"/>
  <c r="Y28" i="3" s="1"/>
  <c r="X27" i="3"/>
  <c r="Y27" i="3" s="1"/>
  <c r="X26" i="3"/>
  <c r="Y26" i="3" s="1"/>
  <c r="X25" i="3"/>
  <c r="Y25" i="3" s="1"/>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X9" i="3"/>
  <c r="Y9" i="3" s="1"/>
  <c r="X8" i="3"/>
  <c r="Y8" i="3" s="1"/>
  <c r="U38" i="3"/>
  <c r="V38" i="3" s="1"/>
  <c r="U37" i="3"/>
  <c r="V37" i="3" s="1"/>
  <c r="U36" i="3"/>
  <c r="V36" i="3" s="1"/>
  <c r="U35" i="3"/>
  <c r="V35" i="3" s="1"/>
  <c r="U34" i="3"/>
  <c r="V34" i="3" s="1"/>
  <c r="U33" i="3"/>
  <c r="V33" i="3" s="1"/>
  <c r="U32" i="3"/>
  <c r="V32" i="3" s="1"/>
  <c r="U31" i="3"/>
  <c r="V31" i="3" s="1"/>
  <c r="U30" i="3"/>
  <c r="V30" i="3" s="1"/>
  <c r="U29" i="3"/>
  <c r="V29" i="3" s="1"/>
  <c r="U28" i="3"/>
  <c r="V28" i="3" s="1"/>
  <c r="U27" i="3"/>
  <c r="V27" i="3" s="1"/>
  <c r="U26" i="3"/>
  <c r="V26" i="3" s="1"/>
  <c r="U25" i="3"/>
  <c r="V25" i="3" s="1"/>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U9" i="3"/>
  <c r="V9" i="3" s="1"/>
  <c r="U8" i="3"/>
  <c r="V8" i="3" s="1"/>
  <c r="R38" i="3"/>
  <c r="S38" i="3" s="1"/>
  <c r="R37" i="3"/>
  <c r="S37" i="3" s="1"/>
  <c r="R36" i="3"/>
  <c r="S36" i="3" s="1"/>
  <c r="R35" i="3"/>
  <c r="S35" i="3" s="1"/>
  <c r="R34" i="3"/>
  <c r="S34" i="3" s="1"/>
  <c r="S33" i="3"/>
  <c r="S32" i="3"/>
  <c r="S31" i="3"/>
  <c r="S30" i="3"/>
  <c r="S29" i="3"/>
  <c r="R28" i="3"/>
  <c r="S28" i="3" s="1"/>
  <c r="R27" i="3"/>
  <c r="S27" i="3" s="1"/>
  <c r="R26" i="3"/>
  <c r="S26" i="3" s="1"/>
  <c r="R25" i="3"/>
  <c r="S25"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R8" i="3"/>
  <c r="S8" i="3" s="1"/>
  <c r="O38" i="3"/>
  <c r="P38" i="3" s="1"/>
  <c r="O37" i="3"/>
  <c r="P37" i="3" s="1"/>
  <c r="O36" i="3"/>
  <c r="P36" i="3" s="1"/>
  <c r="O35" i="3"/>
  <c r="P35" i="3" s="1"/>
  <c r="O34" i="3"/>
  <c r="P34" i="3" s="1"/>
  <c r="O33" i="3"/>
  <c r="P33" i="3" s="1"/>
  <c r="O32" i="3"/>
  <c r="P32" i="3" s="1"/>
  <c r="O31" i="3"/>
  <c r="P31" i="3" s="1"/>
  <c r="O30" i="3"/>
  <c r="P30" i="3" s="1"/>
  <c r="O29" i="3"/>
  <c r="P29" i="3" s="1"/>
  <c r="O28" i="3"/>
  <c r="P28" i="3" s="1"/>
  <c r="O27" i="3"/>
  <c r="P27" i="3" s="1"/>
  <c r="O26" i="3"/>
  <c r="P26" i="3" s="1"/>
  <c r="O25" i="3"/>
  <c r="P25"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O8"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H38" i="3"/>
  <c r="I38" i="3" s="1"/>
  <c r="H37" i="3"/>
  <c r="I37" i="3" s="1"/>
  <c r="H36" i="3"/>
  <c r="I36"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H9" i="3"/>
  <c r="I9" i="3" s="1"/>
  <c r="H8" i="3"/>
  <c r="I8" i="3" s="1"/>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M12" i="4" l="1"/>
  <c r="N26" i="4"/>
  <c r="M32" i="4"/>
  <c r="M8" i="4"/>
  <c r="M18" i="4"/>
  <c r="N22" i="4"/>
  <c r="M28" i="4"/>
  <c r="M34" i="4"/>
  <c r="AK18" i="3"/>
  <c r="AK26" i="3"/>
  <c r="AK30" i="3"/>
  <c r="AK38" i="3"/>
  <c r="AL19" i="3"/>
  <c r="AL23" i="3"/>
  <c r="AL27" i="3"/>
  <c r="AL31" i="3"/>
  <c r="AL35" i="3"/>
  <c r="M10" i="4"/>
  <c r="M24" i="4"/>
  <c r="M30" i="4"/>
  <c r="AK22" i="3"/>
  <c r="AK34" i="3"/>
  <c r="M20" i="4"/>
  <c r="M36" i="4"/>
  <c r="M16" i="4"/>
  <c r="AL15" i="3"/>
  <c r="AK14" i="3"/>
  <c r="M14" i="4"/>
  <c r="M39" i="3"/>
  <c r="F39" i="3"/>
  <c r="F38" i="4"/>
  <c r="AL11" i="3"/>
  <c r="AK11" i="3"/>
  <c r="AG39" i="3"/>
  <c r="X39" i="3"/>
  <c r="D38" i="4"/>
  <c r="J38" i="4"/>
  <c r="AL25" i="3"/>
  <c r="AK15" i="3"/>
  <c r="AK23" i="3"/>
  <c r="AK31" i="3"/>
  <c r="AL16" i="3"/>
  <c r="AL20" i="3"/>
  <c r="AL24" i="3"/>
  <c r="AL28" i="3"/>
  <c r="AL32" i="3"/>
  <c r="AL36" i="3"/>
  <c r="AL13" i="3"/>
  <c r="AL29" i="3"/>
  <c r="AL9" i="3"/>
  <c r="AK19" i="3"/>
  <c r="AK27" i="3"/>
  <c r="AK35" i="3"/>
  <c r="AL12" i="3"/>
  <c r="AK12" i="3"/>
  <c r="AK16" i="3"/>
  <c r="AK20" i="3"/>
  <c r="AK24" i="3"/>
  <c r="AK28" i="3"/>
  <c r="AK32" i="3"/>
  <c r="AK36" i="3"/>
  <c r="AL17" i="3"/>
  <c r="AL33" i="3"/>
  <c r="AK9" i="3"/>
  <c r="AK13" i="3"/>
  <c r="AK17" i="3"/>
  <c r="AK21" i="3"/>
  <c r="AK25" i="3"/>
  <c r="AK29" i="3"/>
  <c r="AK33" i="3"/>
  <c r="AK37" i="3"/>
  <c r="AL14" i="3"/>
  <c r="AL18" i="3"/>
  <c r="AL22" i="3"/>
  <c r="AL26" i="3"/>
  <c r="AL30" i="3"/>
  <c r="AL34" i="3"/>
  <c r="AL38" i="3"/>
  <c r="AL21" i="3"/>
  <c r="AL37" i="3"/>
  <c r="O39" i="3"/>
  <c r="U39" i="3"/>
  <c r="AA39" i="3"/>
  <c r="AI39" i="3"/>
  <c r="P38" i="4"/>
  <c r="D39" i="3"/>
  <c r="H39" i="3"/>
  <c r="R39" i="3"/>
  <c r="AE39" i="3"/>
  <c r="I10" i="3"/>
  <c r="Y10" i="3"/>
  <c r="L38" i="4"/>
  <c r="M9" i="4"/>
  <c r="M11" i="4"/>
  <c r="M13" i="4"/>
  <c r="M15" i="4"/>
  <c r="M17" i="4"/>
  <c r="M19" i="4"/>
  <c r="M21" i="4"/>
  <c r="M23" i="4"/>
  <c r="M25" i="4"/>
  <c r="M27" i="4"/>
  <c r="M29" i="4"/>
  <c r="M31" i="4"/>
  <c r="M33" i="4"/>
  <c r="M35" i="4"/>
  <c r="M37" i="4"/>
  <c r="K39" i="3"/>
  <c r="AC39" i="3"/>
  <c r="P8" i="3"/>
  <c r="AL8" i="3" s="1"/>
  <c r="V10" i="3"/>
  <c r="AL10" i="3" s="1"/>
  <c r="H38" i="4"/>
  <c r="N9" i="4"/>
  <c r="AZ11" i="5"/>
  <c r="AT12" i="5"/>
  <c r="AJ11" i="5"/>
  <c r="AN11" i="5"/>
  <c r="AP11" i="5"/>
  <c r="AV12" i="5"/>
  <c r="AK10" i="3" l="1"/>
  <c r="AK8" i="3"/>
  <c r="X11" i="5"/>
  <c r="AD11" i="5"/>
  <c r="AF11" i="5"/>
  <c r="N9" i="5"/>
  <c r="L9" i="5"/>
  <c r="J9" i="5"/>
  <c r="N10" i="5"/>
  <c r="L11" i="5"/>
  <c r="L10" i="5"/>
  <c r="J11" i="5"/>
  <c r="J10" i="5"/>
  <c r="H11" i="5"/>
  <c r="H10" i="5"/>
  <c r="H9" i="5"/>
  <c r="D11" i="5"/>
  <c r="D10" i="5"/>
  <c r="D9" i="5"/>
  <c r="E9" i="5" l="1"/>
  <c r="F9" i="5"/>
  <c r="F10" i="5"/>
  <c r="E10" i="5"/>
  <c r="F11" i="5"/>
  <c r="E11" i="5"/>
  <c r="AR12" i="5"/>
  <c r="AR14" i="5"/>
  <c r="AR13" i="5"/>
  <c r="AR11" i="5"/>
  <c r="T10" i="5" l="1"/>
  <c r="V10" i="5"/>
  <c r="AD27" i="5" l="1"/>
  <c r="R7" i="4" l="1"/>
  <c r="R8" i="4"/>
  <c r="S8" i="4"/>
  <c r="R9" i="4"/>
  <c r="R10" i="4"/>
  <c r="S10" i="4"/>
  <c r="R11" i="4"/>
  <c r="R12" i="4"/>
  <c r="S12" i="4"/>
  <c r="R13" i="4"/>
  <c r="R14" i="4"/>
  <c r="S14" i="4"/>
  <c r="R15" i="4"/>
  <c r="S15" i="4" l="1"/>
  <c r="S13" i="4"/>
  <c r="S11" i="4"/>
  <c r="S9" i="4"/>
  <c r="S7" i="4"/>
  <c r="AP22" i="5" l="1"/>
  <c r="L31" i="5" l="1"/>
  <c r="T9" i="5" l="1"/>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9" i="5"/>
  <c r="L38" i="5"/>
  <c r="L37" i="5"/>
  <c r="L36" i="5"/>
  <c r="L35" i="5"/>
  <c r="L34" i="5"/>
  <c r="L33" i="5"/>
  <c r="L32" i="5"/>
  <c r="L30" i="5"/>
  <c r="L29" i="5"/>
  <c r="L28" i="5"/>
  <c r="L27" i="5"/>
  <c r="L26" i="5"/>
  <c r="L25" i="5"/>
  <c r="L24" i="5"/>
  <c r="L23" i="5"/>
  <c r="L22" i="5"/>
  <c r="L21" i="5"/>
  <c r="L20" i="5"/>
  <c r="L19" i="5"/>
  <c r="L18" i="5"/>
  <c r="L17" i="5"/>
  <c r="L16" i="5"/>
  <c r="L15" i="5"/>
  <c r="L14" i="5"/>
  <c r="L13" i="5"/>
  <c r="L12"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R10" i="5"/>
  <c r="P10" i="5"/>
  <c r="D39" i="5"/>
  <c r="H39" i="5"/>
  <c r="P39" i="5"/>
  <c r="R39" i="5"/>
  <c r="AD39" i="5"/>
  <c r="V39" i="5"/>
  <c r="X39" i="5"/>
  <c r="Z39" i="5"/>
  <c r="AF39" i="5"/>
  <c r="AJ39" i="5"/>
  <c r="AN39" i="5"/>
  <c r="AP39" i="5"/>
  <c r="AR39" i="5"/>
  <c r="AZ39" i="5"/>
  <c r="BD39" i="5"/>
  <c r="F39" i="5" l="1"/>
  <c r="E39" i="5"/>
  <c r="S35" i="4"/>
  <c r="BI10" i="5"/>
  <c r="BH10" i="5"/>
  <c r="R35" i="4"/>
  <c r="AZ22" i="5"/>
  <c r="AZ21" i="5"/>
  <c r="AZ20" i="5"/>
  <c r="AZ19" i="5"/>
  <c r="AZ18" i="5"/>
  <c r="AZ23" i="5"/>
  <c r="AD19" i="5"/>
  <c r="AR17" i="5" l="1"/>
  <c r="AR16" i="5"/>
  <c r="AT36" i="5" l="1"/>
  <c r="AJ33" i="5" l="1"/>
  <c r="AT30" i="5" l="1"/>
  <c r="V11" i="5" l="1"/>
  <c r="V9" i="5"/>
  <c r="BF39" i="5" l="1"/>
  <c r="BB39" i="5"/>
  <c r="AX39" i="5"/>
  <c r="AV39" i="5"/>
  <c r="AT39" i="5"/>
  <c r="AL39" i="5"/>
  <c r="AH39" i="5"/>
  <c r="AB39" i="5"/>
  <c r="BF38" i="5"/>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V31" i="5"/>
  <c r="R31" i="5"/>
  <c r="P31" i="5"/>
  <c r="H31" i="5"/>
  <c r="D31" i="5"/>
  <c r="BF30" i="5"/>
  <c r="BD30" i="5"/>
  <c r="BB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H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5" i="5" l="1"/>
  <c r="F25" i="5"/>
  <c r="E28" i="5"/>
  <c r="F28" i="5"/>
  <c r="BI28" i="5" s="1"/>
  <c r="F14" i="5"/>
  <c r="E14" i="5"/>
  <c r="E17" i="5"/>
  <c r="BH17" i="5" s="1"/>
  <c r="F17" i="5"/>
  <c r="BI17" i="5" s="1"/>
  <c r="F19" i="5"/>
  <c r="E19" i="5"/>
  <c r="F27" i="5"/>
  <c r="BI27" i="5" s="1"/>
  <c r="E27" i="5"/>
  <c r="BH27" i="5" s="1"/>
  <c r="F30" i="5"/>
  <c r="E30" i="5"/>
  <c r="E32" i="5"/>
  <c r="F32" i="5"/>
  <c r="BI32" i="5" s="1"/>
  <c r="E36" i="5"/>
  <c r="F36" i="5"/>
  <c r="F15" i="5"/>
  <c r="E15" i="5"/>
  <c r="BH15" i="5" s="1"/>
  <c r="E20" i="5"/>
  <c r="F20" i="5"/>
  <c r="F22" i="5"/>
  <c r="BI22" i="5" s="1"/>
  <c r="E22" i="5"/>
  <c r="BH22" i="5" s="1"/>
  <c r="F26" i="5"/>
  <c r="E26" i="5"/>
  <c r="F29" i="5"/>
  <c r="BI29" i="5" s="1"/>
  <c r="E29" i="5"/>
  <c r="BH29" i="5" s="1"/>
  <c r="F34" i="5"/>
  <c r="E34" i="5"/>
  <c r="F18" i="5"/>
  <c r="E18" i="5"/>
  <c r="F23" i="5"/>
  <c r="E23" i="5"/>
  <c r="F31" i="5"/>
  <c r="E31" i="5"/>
  <c r="BH31" i="5" s="1"/>
  <c r="F37" i="5"/>
  <c r="E37" i="5"/>
  <c r="E12" i="5"/>
  <c r="BH12" i="5" s="1"/>
  <c r="F12" i="5"/>
  <c r="BI12" i="5" s="1"/>
  <c r="F13" i="5"/>
  <c r="E13" i="5"/>
  <c r="E16" i="5"/>
  <c r="BH16" i="5" s="1"/>
  <c r="F16" i="5"/>
  <c r="BI16" i="5" s="1"/>
  <c r="F21" i="5"/>
  <c r="E21" i="5"/>
  <c r="E24" i="5"/>
  <c r="BH24" i="5" s="1"/>
  <c r="F24" i="5"/>
  <c r="BI24" i="5" s="1"/>
  <c r="E33" i="5"/>
  <c r="F33" i="5"/>
  <c r="F35" i="5"/>
  <c r="BI35" i="5" s="1"/>
  <c r="E35" i="5"/>
  <c r="E38" i="5"/>
  <c r="F38" i="5"/>
  <c r="BI34" i="5"/>
  <c r="BH34" i="5"/>
  <c r="BI36" i="5"/>
  <c r="BH36" i="5"/>
  <c r="BI38" i="5"/>
  <c r="BH38" i="5"/>
  <c r="BI9" i="5"/>
  <c r="BH9" i="5"/>
  <c r="BI26" i="5"/>
  <c r="BH26" i="5"/>
  <c r="BI30" i="5"/>
  <c r="BH30" i="5"/>
  <c r="BI33" i="5"/>
  <c r="BH33" i="5"/>
  <c r="BI37" i="5"/>
  <c r="BH37" i="5"/>
  <c r="BI25" i="5"/>
  <c r="BH25" i="5"/>
  <c r="BH32" i="5"/>
  <c r="BI21" i="5"/>
  <c r="BH21" i="5"/>
  <c r="BI20" i="5"/>
  <c r="BH20" i="5"/>
  <c r="BI18" i="5"/>
  <c r="BH18" i="5"/>
  <c r="BI14" i="5"/>
  <c r="BH14" i="5"/>
  <c r="S32" i="4"/>
  <c r="S36" i="4"/>
  <c r="S33" i="4"/>
  <c r="S31" i="4"/>
  <c r="S28" i="4"/>
  <c r="S26" i="4"/>
  <c r="R36" i="4"/>
  <c r="S18" i="4"/>
  <c r="S23" i="4"/>
  <c r="S25" i="4"/>
  <c r="S30" i="4"/>
  <c r="R32" i="4"/>
  <c r="R34" i="4"/>
  <c r="R16" i="4"/>
  <c r="R22" i="4"/>
  <c r="R37" i="4"/>
  <c r="S34" i="4"/>
  <c r="R33" i="4"/>
  <c r="R30" i="4"/>
  <c r="R31" i="4"/>
  <c r="R29" i="4"/>
  <c r="S29" i="4"/>
  <c r="R28" i="4"/>
  <c r="S27" i="4"/>
  <c r="R27" i="4"/>
  <c r="R26" i="4"/>
  <c r="R25" i="4"/>
  <c r="S24" i="4"/>
  <c r="R23" i="4"/>
  <c r="R24" i="4"/>
  <c r="S21" i="4"/>
  <c r="S22" i="4"/>
  <c r="S20" i="4"/>
  <c r="S19" i="4"/>
  <c r="R21" i="4"/>
  <c r="R20" i="4"/>
  <c r="R19" i="4"/>
  <c r="R18" i="4"/>
  <c r="BH23" i="5"/>
  <c r="S17" i="4"/>
  <c r="R17" i="4"/>
  <c r="BI11" i="5"/>
  <c r="BI15" i="5"/>
  <c r="BI23" i="5"/>
  <c r="BI31" i="5"/>
  <c r="BH35" i="5"/>
  <c r="BH19" i="5"/>
  <c r="BI19" i="5"/>
  <c r="BH11" i="5"/>
  <c r="BH13" i="5"/>
  <c r="BI13" i="5"/>
  <c r="BH28" i="5"/>
  <c r="S16" i="4"/>
  <c r="S37" i="4"/>
  <c r="BH39" i="5" l="1"/>
  <c r="BI39"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J20" i="8" s="1"/>
  <c r="I19" i="10" s="1"/>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alcChain>
</file>

<file path=xl/sharedStrings.xml><?xml version="1.0" encoding="utf-8"?>
<sst xmlns="http://schemas.openxmlformats.org/spreadsheetml/2006/main" count="1420" uniqueCount="404">
  <si>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</si>
  <si>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</si>
  <si>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</si>
  <si>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</si>
  <si>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</si>
  <si>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</si>
  <si>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</si>
  <si>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</si>
  <si>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</si>
  <si>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</si>
  <si>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</si>
  <si>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</si>
  <si>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</si>
  <si>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</si>
  <si>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</si>
  <si>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</si>
  <si>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</si>
  <si>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</si>
  <si>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</si>
  <si>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</si>
  <si>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</si>
  <si>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</si>
  <si>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</si>
  <si>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</si>
  <si>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</si>
  <si>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</si>
  <si>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</si>
  <si>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</si>
  <si>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</si>
  <si>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</si>
  <si>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</si>
  <si>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</si>
  <si>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</si>
  <si>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</si>
  <si>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</si>
  <si>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</si>
  <si>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</si>
  <si>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</si>
  <si>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</si>
  <si>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</si>
  <si>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</si>
  <si>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</si>
  <si>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</si>
  <si>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</si>
  <si>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</si>
  <si>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</si>
  <si>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</si>
  <si>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</si>
  <si>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</si>
  <si>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</si>
  <si>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</si>
  <si>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</si>
  <si>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</si>
  <si>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</si>
  <si>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</si>
  <si>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</si>
  <si>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</si>
  <si>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</si>
  <si>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</si>
  <si>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</si>
  <si>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</si>
  <si>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</si>
  <si>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</si>
  <si>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</si>
  <si>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</si>
  <si>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</si>
  <si>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</si>
  <si>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</si>
  <si>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</si>
  <si>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</si>
  <si>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</si>
  <si>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</si>
  <si>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</si>
  <si>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</si>
  <si>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</si>
  <si>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</si>
  <si>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</si>
  <si>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</si>
  <si>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</si>
  <si>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</si>
  <si>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</si>
  <si>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</si>
  <si>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</si>
  <si>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</si>
  <si>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</si>
  <si>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</si>
  <si>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</si>
  <si>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</si>
  <si>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</si>
  <si>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</si>
  <si>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</si>
  <si>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</si>
  <si>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</si>
  <si>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</si>
  <si>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</si>
  <si>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</si>
  <si>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</si>
  <si>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</si>
  <si>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</si>
  <si>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</si>
  <si>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</si>
  <si>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</si>
  <si>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</si>
  <si>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</si>
  <si>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</si>
  <si>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</si>
  <si>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</si>
  <si>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</si>
  <si>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</si>
  <si>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</si>
  <si>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</si>
  <si>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</si>
  <si>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</si>
  <si>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</si>
  <si>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</si>
  <si>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</si>
  <si>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</si>
  <si>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</si>
  <si>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</si>
  <si>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</si>
  <si>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</si>
  <si>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</si>
  <si>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</si>
  <si>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</si>
  <si>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</si>
  <si>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</si>
  <si>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</si>
  <si>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</si>
  <si>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</si>
  <si>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</si>
  <si>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</si>
  <si>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</si>
  <si>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</si>
  <si>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</si>
  <si>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</si>
  <si>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</si>
  <si>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</si>
  <si>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</si>
  <si>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</si>
  <si>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</si>
  <si>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</si>
  <si>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</si>
  <si>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</si>
  <si>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</si>
  <si>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</si>
  <si>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</si>
  <si>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</si>
  <si>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</si>
  <si>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</si>
  <si>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</si>
  <si>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</si>
  <si>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</si>
  <si>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</si>
  <si>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</si>
  <si>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</si>
  <si>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</si>
  <si>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</si>
  <si>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</si>
  <si>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</si>
  <si>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</si>
  <si>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</si>
  <si>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</si>
  <si>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</si>
  <si>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</si>
  <si>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</si>
  <si>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</si>
  <si>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</si>
  <si>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</si>
  <si>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</si>
  <si>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</si>
  <si>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</si>
  <si>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</si>
  <si>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</si>
  <si>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</si>
  <si>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</si>
  <si>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</si>
  <si>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</si>
  <si>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</si>
  <si>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</si>
  <si>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</si>
  <si>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</si>
  <si>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</si>
  <si>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</si>
  <si>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</si>
  <si>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</si>
  <si>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</si>
  <si>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</si>
  <si>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</si>
  <si>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</si>
  <si>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</si>
  <si>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</si>
  <si>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</si>
  <si>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</si>
  <si>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</si>
  <si>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</si>
  <si>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</si>
  <si>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</si>
  <si>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</si>
  <si>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</si>
  <si>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</si>
  <si>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</si>
  <si>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</si>
  <si>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</si>
  <si>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</si>
  <si>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</si>
  <si>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</si>
  <si>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</si>
  <si>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</si>
  <si>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</si>
  <si>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</si>
  <si>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</si>
  <si>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</si>
  <si>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</si>
  <si>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</si>
  <si>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</si>
  <si>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</si>
  <si>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</si>
  <si>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</si>
  <si>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</si>
  <si>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</si>
  <si>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</si>
  <si>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</si>
  <si>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</si>
  <si>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</si>
  <si>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</si>
  <si>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</si>
  <si>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</si>
  <si>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</si>
  <si>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</si>
  <si>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</si>
  <si>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</si>
  <si>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</si>
  <si>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</si>
  <si>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</si>
  <si>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</si>
  <si>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</si>
  <si>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</si>
  <si>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</si>
  <si>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</si>
  <si>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</si>
  <si>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</si>
  <si>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</si>
  <si>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</si>
  <si>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</si>
  <si>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</si>
  <si>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</si>
  <si>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</si>
  <si>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</si>
  <si>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</si>
  <si>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</si>
  <si>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</si>
  <si>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</si>
  <si>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</si>
  <si>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</si>
  <si>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</si>
  <si>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</si>
  <si>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</si>
  <si>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</si>
  <si>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</si>
  <si>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</si>
  <si>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</si>
  <si>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</si>
  <si>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</si>
  <si>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</si>
  <si>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</si>
  <si>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</si>
  <si>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</si>
  <si>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</si>
  <si>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</si>
  <si>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</si>
  <si>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</si>
  <si>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</si>
  <si>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</si>
  <si>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</si>
  <si>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</si>
  <si>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</si>
  <si>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</si>
  <si>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</si>
  <si>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</si>
  <si>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</si>
  <si>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</si>
  <si>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</si>
  <si>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</si>
  <si>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</si>
  <si>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</si>
  <si>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</si>
  <si>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</si>
  <si>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</si>
  <si>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</si>
  <si>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</si>
  <si>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</si>
  <si>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</si>
  <si>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</si>
  <si>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</si>
  <si>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</si>
  <si>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</si>
  <si>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</si>
  <si>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</si>
  <si>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</si>
  <si>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</si>
  <si>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</si>
  <si>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</si>
  <si>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</si>
  <si>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</si>
  <si>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</si>
  <si>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</si>
  <si>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</si>
  <si>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</si>
  <si>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</si>
  <si>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</si>
  <si>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</si>
  <si>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</si>
  <si>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</si>
  <si>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</si>
  <si>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</si>
  <si>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</si>
  <si>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</si>
  <si>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</si>
  <si>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</si>
  <si>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</si>
  <si>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</si>
  <si>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</si>
  <si>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</si>
  <si>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</si>
  <si>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</si>
  <si>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</si>
  <si>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</si>
  <si>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</si>
  <si>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</si>
  <si>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</si>
  <si>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</si>
  <si>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</si>
  <si>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</si>
  <si>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</si>
  <si>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</si>
  <si>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</si>
  <si>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</si>
  <si>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</si>
  <si>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</si>
  <si>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</si>
  <si>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</si>
  <si>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</si>
  <si>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</si>
  <si>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</si>
  <si>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</si>
  <si>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</si>
  <si>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</si>
  <si>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</si>
  <si>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</si>
  <si>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</si>
  <si>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</si>
  <si>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</si>
  <si>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</si>
  <si>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</si>
  <si>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</si>
  <si>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</si>
  <si>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</si>
  <si>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</si>
  <si>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</si>
  <si>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</si>
  <si>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</si>
  <si>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</si>
  <si>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</si>
  <si>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</si>
  <si>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</si>
  <si>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</si>
  <si>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</si>
  <si>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</si>
  <si>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</si>
  <si>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</si>
  <si>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</si>
  <si>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</si>
  <si>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</si>
  <si>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</si>
  <si>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</si>
  <si>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</si>
  <si>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</si>
  <si>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</si>
  <si>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</si>
  <si>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</si>
  <si>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</si>
  <si>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</si>
  <si>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</si>
  <si>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</si>
  <si>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</si>
  <si>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</si>
  <si>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</si>
  <si>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</si>
  <si>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</si>
  <si>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</si>
  <si>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</si>
  <si>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</si>
  <si>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</si>
  <si>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</si>
  <si>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</si>
  <si>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</si>
  <si>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</si>
  <si>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</si>
  <si>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</si>
  <si>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</si>
  <si>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</si>
  <si>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</si>
  <si>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</si>
  <si>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Oct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</si>
</sst>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1" fontId="22" fillId="4" borderId="2" xfId="0" applyNumberFormat="1" applyFont="1" applyFill="1" applyBorder="1" applyAlignment="1" applyProtection="1">
      <alignment horizontal="center" vertical="center"/>
      <protection locked="0"/>
    </xf>
    <xf numFmtId="0" fontId="22" fillId="4" borderId="2" xfId="0" applyNumberFormat="1" applyFont="1" applyFill="1" applyBorder="1" applyAlignment="1" applyProtection="1">
      <alignment horizontal="center" vertical="center"/>
      <protection locked="0"/>
    </xf>
    <xf numFmtId="0" fontId="0" fillId="0" borderId="2" xfId="0" applyFont="1" applyBorder="1"/>
    <xf numFmtId="0" fontId="50" fillId="0" borderId="2" xfId="0" applyFont="1" applyFill="1" applyBorder="1" applyAlignment="1" applyProtection="1">
      <alignment horizontal="center" vertical="center"/>
      <protection locked="0"/>
    </xf>
    <xf numFmtId="0" fontId="51" fillId="0" borderId="2" xfId="0" applyFont="1" applyBorder="1" applyAlignment="1">
      <alignment horizontal="center" vertical="center"/>
    </xf>
    <xf numFmtId="0" fontId="0" fillId="0" borderId="0" xfId="0" applyFont="1"/>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50" fillId="0" borderId="2" xfId="0" applyFont="1" applyBorder="1" applyAlignment="1" applyProtection="1">
      <alignment horizontal="center" vertical="center"/>
      <protection locked="0"/>
    </xf>
    <xf numFmtId="0" fontId="0" fillId="0" borderId="0" xfId="0" applyFont="1" applyAlignment="1">
      <alignment vertical="center"/>
    </xf>
    <xf numFmtId="1" fontId="50" fillId="0" borderId="2" xfId="0" applyNumberFormat="1" applyFont="1" applyBorder="1" applyAlignment="1" applyProtection="1">
      <alignment horizontal="center" vertical="center"/>
      <protection locked="0"/>
    </xf>
    <xf numFmtId="0" fontId="0" fillId="4" borderId="0" xfId="0" applyFont="1" applyFill="1" applyBorder="1"/>
    <xf numFmtId="0" fontId="50" fillId="4" borderId="2" xfId="0" applyFont="1" applyFill="1" applyBorder="1" applyAlignment="1" applyProtection="1">
      <alignment horizontal="center" vertical="center"/>
      <protection locked="0"/>
    </xf>
    <xf numFmtId="0" fontId="0" fillId="4" borderId="0" xfId="0" applyFont="1" applyFill="1"/>
    <xf numFmtId="0" fontId="0" fillId="6" borderId="32" xfId="0" applyFill="1" applyBorder="1" applyAlignment="1" applyProtection="1">
      <alignment horizontal="center"/>
      <protection locked="0"/>
    </xf>
    <xf numFmtId="0" fontId="0" fillId="6" borderId="33" xfId="0" applyFill="1" applyBorder="1" applyAlignment="1" applyProtection="1">
      <alignment horizontal="center"/>
      <protection locked="0"/>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workbookViewId="0">
      <selection activeCell="I17" sqref="I17"/>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6" t="s">
        <v>3</v>
      </c>
      <c r="B1" s="176" t="s">
        <v>4</v>
      </c>
      <c r="C1" s="177" t="s">
        <v>5</v>
      </c>
      <c r="D1" s="176" t="s">
        <v>64</v>
      </c>
      <c r="E1" s="178" t="s">
        <v>395</v>
      </c>
      <c r="F1" s="179" t="s">
        <v>396</v>
      </c>
      <c r="G1" s="178" t="s">
        <v>402</v>
      </c>
      <c r="H1" s="179" t="s">
        <v>397</v>
      </c>
      <c r="I1" s="178" t="s">
        <v>398</v>
      </c>
      <c r="J1" s="180" t="s">
        <v>399</v>
      </c>
      <c r="K1" s="178" t="s">
        <v>400</v>
      </c>
      <c r="L1" s="178" t="s">
        <v>63</v>
      </c>
    </row>
    <row r="2" spans="1:12">
      <c r="A2" s="181" t="s">
        <v>401</v>
      </c>
      <c r="B2" s="182">
        <v>1</v>
      </c>
      <c r="C2" s="183">
        <v>10</v>
      </c>
      <c r="D2" s="182">
        <v>2022</v>
      </c>
      <c r="E2" s="115">
        <f>Combine!G3</f>
        <v>54255</v>
      </c>
      <c r="F2" s="184">
        <v>1.8272212222261885</v>
      </c>
      <c r="G2" s="115">
        <f>Combine!M3</f>
        <v>3206.2110334110344</v>
      </c>
      <c r="H2" s="185">
        <v>9.7723251418894037</v>
      </c>
      <c r="I2" s="115">
        <f>Combine!J3</f>
        <v>496.02200000000084</v>
      </c>
      <c r="J2" s="184">
        <v>8.299325619154871</v>
      </c>
      <c r="K2" s="115">
        <f>Combine!N3</f>
        <v>194</v>
      </c>
      <c r="L2" s="115">
        <f>Combine!O3</f>
        <v>402</v>
      </c>
    </row>
    <row r="3" spans="1:12">
      <c r="A3" s="181" t="s">
        <v>401</v>
      </c>
      <c r="B3" s="182">
        <v>2</v>
      </c>
      <c r="C3" s="183">
        <v>10</v>
      </c>
      <c r="D3" s="182">
        <v>2022</v>
      </c>
      <c r="E3" s="115">
        <f>Combine!G4</f>
        <v>48245</v>
      </c>
      <c r="F3" s="184">
        <v>1.8272212222261885</v>
      </c>
      <c r="G3" s="115">
        <f>Combine!M4</f>
        <v>3620.221911421911</v>
      </c>
      <c r="H3" s="185">
        <v>9.7723251418894037</v>
      </c>
      <c r="I3" s="115">
        <f>Combine!J4</f>
        <v>538.39999999999964</v>
      </c>
      <c r="J3" s="184">
        <v>8.299325619154871</v>
      </c>
      <c r="K3" s="115">
        <f>Combine!N4</f>
        <v>115</v>
      </c>
      <c r="L3" s="115">
        <f>Combine!O4</f>
        <v>200</v>
      </c>
    </row>
    <row r="4" spans="1:12">
      <c r="A4" s="181" t="s">
        <v>401</v>
      </c>
      <c r="B4" s="182">
        <v>3</v>
      </c>
      <c r="C4" s="183">
        <v>10</v>
      </c>
      <c r="D4" s="182">
        <v>2022</v>
      </c>
      <c r="E4" s="115">
        <f>Combine!G5</f>
        <v>48760</v>
      </c>
      <c r="F4" s="184">
        <v>1.8272212222261885</v>
      </c>
      <c r="G4" s="115">
        <f>Combine!M5</f>
        <v>3027.3280497280498</v>
      </c>
      <c r="H4" s="185">
        <v>9.7723251418894037</v>
      </c>
      <c r="I4" s="115">
        <f>Combine!J5</f>
        <v>427.57799999999952</v>
      </c>
      <c r="J4" s="184">
        <v>8.299325619154871</v>
      </c>
      <c r="K4" s="115">
        <f>Combine!N5</f>
        <v>134</v>
      </c>
      <c r="L4" s="115">
        <f>Combine!O5</f>
        <v>246</v>
      </c>
    </row>
    <row r="5" spans="1:12">
      <c r="A5" s="181" t="s">
        <v>401</v>
      </c>
      <c r="B5" s="182">
        <v>4</v>
      </c>
      <c r="C5" s="183">
        <v>10</v>
      </c>
      <c r="D5" s="182">
        <v>2022</v>
      </c>
      <c r="E5" s="115">
        <f>Combine!G6</f>
        <v>49570</v>
      </c>
      <c r="F5" s="184">
        <v>1.8272212222261885</v>
      </c>
      <c r="G5" s="115">
        <f>Combine!M6</f>
        <v>2868.8447552447556</v>
      </c>
      <c r="H5" s="185">
        <v>9.7723251418894037</v>
      </c>
      <c r="I5" s="115">
        <f>Combine!J6</f>
        <v>422.41810000000078</v>
      </c>
      <c r="J5" s="184">
        <v>8.299325619154871</v>
      </c>
      <c r="K5" s="115">
        <f>Combine!N6</f>
        <v>131</v>
      </c>
      <c r="L5" s="115">
        <f>Combine!O6</f>
        <v>223</v>
      </c>
    </row>
    <row r="6" spans="1:12">
      <c r="A6" s="181" t="s">
        <v>401</v>
      </c>
      <c r="B6" s="182">
        <v>5</v>
      </c>
      <c r="C6" s="183">
        <v>10</v>
      </c>
      <c r="D6" s="182">
        <v>2022</v>
      </c>
      <c r="E6" s="115">
        <f>Combine!G7</f>
        <v>49045</v>
      </c>
      <c r="F6" s="184">
        <v>1.8272212222261885</v>
      </c>
      <c r="G6" s="115">
        <f>Combine!M7</f>
        <v>2969.0206682206685</v>
      </c>
      <c r="H6" s="185">
        <v>9.7723251418894037</v>
      </c>
      <c r="I6" s="115">
        <f>Combine!J7</f>
        <v>447.54489999999896</v>
      </c>
      <c r="J6" s="184">
        <v>8.299325619154871</v>
      </c>
      <c r="K6" s="115">
        <f>Combine!N7</f>
        <v>97</v>
      </c>
      <c r="L6" s="115">
        <f>Combine!O7</f>
        <v>154</v>
      </c>
    </row>
    <row r="7" spans="1:12">
      <c r="A7" s="181" t="s">
        <v>401</v>
      </c>
      <c r="B7" s="182">
        <v>6</v>
      </c>
      <c r="C7" s="183">
        <v>10</v>
      </c>
      <c r="D7" s="182">
        <v>2022</v>
      </c>
      <c r="E7" s="115">
        <f>Combine!G8</f>
        <v>49405</v>
      </c>
      <c r="F7" s="184">
        <v>1.8272212222261885</v>
      </c>
      <c r="G7" s="115">
        <f>Combine!M8</f>
        <v>3008.1777777777775</v>
      </c>
      <c r="H7" s="185">
        <v>9.7723251418894037</v>
      </c>
      <c r="I7" s="115">
        <f>Combine!J8</f>
        <v>456</v>
      </c>
      <c r="J7" s="184">
        <v>8.299325619154871</v>
      </c>
      <c r="K7" s="115">
        <f>Combine!N8</f>
        <v>121</v>
      </c>
      <c r="L7" s="115">
        <f>Combine!O8</f>
        <v>215</v>
      </c>
    </row>
    <row r="8" spans="1:12">
      <c r="A8" s="181" t="s">
        <v>401</v>
      </c>
      <c r="B8" s="182">
        <v>7</v>
      </c>
      <c r="C8" s="183">
        <v>10</v>
      </c>
      <c r="D8" s="182">
        <v>2022</v>
      </c>
      <c r="E8" s="115">
        <f>Combine!G9</f>
        <v>51715</v>
      </c>
      <c r="F8" s="184">
        <v>1.8272212222261885</v>
      </c>
      <c r="G8" s="115">
        <f>Combine!M9</f>
        <v>3190.0519036519031</v>
      </c>
      <c r="H8" s="185">
        <v>9.7723251418894037</v>
      </c>
      <c r="I8" s="115">
        <f>Combine!J9</f>
        <v>459.27</v>
      </c>
      <c r="J8" s="184">
        <v>8.299325619154871</v>
      </c>
      <c r="K8" s="115">
        <f>Combine!N9</f>
        <v>124</v>
      </c>
      <c r="L8" s="115">
        <f>Combine!O9</f>
        <v>225</v>
      </c>
    </row>
    <row r="9" spans="1:12">
      <c r="A9" s="181" t="s">
        <v>401</v>
      </c>
      <c r="B9" s="182">
        <v>8</v>
      </c>
      <c r="C9" s="183">
        <v>10</v>
      </c>
      <c r="D9" s="182">
        <v>2022</v>
      </c>
      <c r="E9" s="115">
        <f>Combine!G10</f>
        <v>49840</v>
      </c>
      <c r="F9" s="184">
        <v>1.8272212222261885</v>
      </c>
      <c r="G9" s="115">
        <f>Combine!M10</f>
        <v>3465.3364413364416</v>
      </c>
      <c r="H9" s="185">
        <v>9.7723251418894037</v>
      </c>
      <c r="I9" s="115">
        <f>Combine!J10</f>
        <v>466.995</v>
      </c>
      <c r="J9" s="184">
        <v>8.299325619154871</v>
      </c>
      <c r="K9" s="115">
        <f>Combine!N10</f>
        <v>164</v>
      </c>
      <c r="L9" s="115">
        <f>Combine!O10</f>
        <v>314</v>
      </c>
    </row>
    <row r="10" spans="1:12">
      <c r="A10" s="181" t="s">
        <v>401</v>
      </c>
      <c r="B10" s="182">
        <v>9</v>
      </c>
      <c r="C10" s="183">
        <v>10</v>
      </c>
      <c r="D10" s="182">
        <v>2022</v>
      </c>
      <c r="E10" s="115">
        <f>Combine!G11</f>
        <v>47120</v>
      </c>
      <c r="F10" s="184">
        <v>1.8272212222261885</v>
      </c>
      <c r="G10" s="115">
        <f>Combine!M11</f>
        <v>3141.4029526029526</v>
      </c>
      <c r="H10" s="185">
        <v>9.7723251418894037</v>
      </c>
      <c r="I10" s="115">
        <f>Combine!J11</f>
        <v>551.91099999999994</v>
      </c>
      <c r="J10" s="184">
        <v>8.299325619154871</v>
      </c>
      <c r="K10" s="115">
        <f>Combine!N11</f>
        <v>147</v>
      </c>
      <c r="L10" s="115">
        <f>Combine!O11</f>
        <v>263</v>
      </c>
    </row>
    <row r="11" spans="1:12">
      <c r="A11" s="181" t="s">
        <v>401</v>
      </c>
      <c r="B11" s="182">
        <v>10</v>
      </c>
      <c r="C11" s="183">
        <v>10</v>
      </c>
      <c r="D11" s="182">
        <v>2022</v>
      </c>
      <c r="E11" s="115">
        <f>Combine!G12</f>
        <v>38180</v>
      </c>
      <c r="F11" s="184">
        <v>1.8272212222261885</v>
      </c>
      <c r="G11" s="115">
        <f>Combine!M12</f>
        <v>3422.4509712509712</v>
      </c>
      <c r="H11" s="185">
        <v>9.7723251418894037</v>
      </c>
      <c r="I11" s="115">
        <f>Combine!J12</f>
        <v>512.01400000000001</v>
      </c>
      <c r="J11" s="184">
        <v>8.299325619154871</v>
      </c>
      <c r="K11" s="115">
        <f>Combine!N12</f>
        <v>124</v>
      </c>
      <c r="L11" s="115">
        <f>Combine!O12</f>
        <v>200</v>
      </c>
    </row>
    <row r="12" spans="1:12">
      <c r="A12" s="181" t="s">
        <v>401</v>
      </c>
      <c r="B12" s="182">
        <v>11</v>
      </c>
      <c r="C12" s="183">
        <v>10</v>
      </c>
      <c r="D12" s="182">
        <v>2022</v>
      </c>
      <c r="E12" s="115">
        <f>Combine!G13</f>
        <v>40420</v>
      </c>
      <c r="F12" s="184">
        <v>1.8272212222261885</v>
      </c>
      <c r="G12" s="115">
        <f>Combine!M13</f>
        <v>3163.819114219114</v>
      </c>
      <c r="H12" s="185">
        <v>9.7723251418894037</v>
      </c>
      <c r="I12" s="115">
        <f>Combine!J13</f>
        <v>415.6</v>
      </c>
      <c r="J12" s="184">
        <v>8.299325619154871</v>
      </c>
      <c r="K12" s="115">
        <f>Combine!N13</f>
        <v>124</v>
      </c>
      <c r="L12" s="115">
        <f>Combine!O13</f>
        <v>203</v>
      </c>
    </row>
    <row r="13" spans="1:12">
      <c r="A13" s="181" t="s">
        <v>401</v>
      </c>
      <c r="B13" s="182">
        <v>12</v>
      </c>
      <c r="C13" s="183">
        <v>10</v>
      </c>
      <c r="D13" s="182">
        <v>2022</v>
      </c>
      <c r="E13" s="115">
        <f>Combine!G14</f>
        <v>48340</v>
      </c>
      <c r="F13" s="184">
        <v>1.8272212222261885</v>
      </c>
      <c r="G13" s="115">
        <f>Combine!M14</f>
        <v>3129.3986013986018</v>
      </c>
      <c r="H13" s="185">
        <v>9.7723251418894037</v>
      </c>
      <c r="I13" s="115">
        <f>Combine!J14</f>
        <v>448.4</v>
      </c>
      <c r="J13" s="184">
        <v>8.299325619154871</v>
      </c>
      <c r="K13" s="115">
        <f>Combine!N14</f>
        <v>129</v>
      </c>
      <c r="L13" s="115">
        <f>Combine!O14</f>
        <v>214</v>
      </c>
    </row>
    <row r="14" spans="1:12">
      <c r="A14" s="181" t="s">
        <v>401</v>
      </c>
      <c r="B14" s="182">
        <v>13</v>
      </c>
      <c r="C14" s="183">
        <v>10</v>
      </c>
      <c r="D14" s="182">
        <v>2022</v>
      </c>
      <c r="E14" s="115">
        <f>Combine!G15</f>
        <v>32580</v>
      </c>
      <c r="F14" s="184">
        <v>1.8272212222261885</v>
      </c>
      <c r="G14" s="115">
        <f>Combine!M15</f>
        <v>3177.2407148407142</v>
      </c>
      <c r="H14" s="185">
        <v>9.7723251418894037</v>
      </c>
      <c r="I14" s="115">
        <f>Combine!J15</f>
        <v>428.4</v>
      </c>
      <c r="J14" s="184">
        <v>8.299325619154871</v>
      </c>
      <c r="K14" s="115">
        <f>Combine!N15</f>
        <v>119</v>
      </c>
      <c r="L14" s="115">
        <f>Combine!O15</f>
        <v>200</v>
      </c>
    </row>
    <row r="15" spans="1:12">
      <c r="A15" s="181" t="s">
        <v>401</v>
      </c>
      <c r="B15" s="182">
        <v>14</v>
      </c>
      <c r="C15" s="183">
        <v>10</v>
      </c>
      <c r="D15" s="182">
        <v>2022</v>
      </c>
      <c r="E15" s="115">
        <f>Combine!G16</f>
        <v>43520</v>
      </c>
      <c r="F15" s="184">
        <v>1.8272212222261885</v>
      </c>
      <c r="G15" s="115">
        <f>Combine!M16</f>
        <v>3146.5423465423464</v>
      </c>
      <c r="H15" s="185">
        <v>9.7723251418894037</v>
      </c>
      <c r="I15" s="115">
        <f>Combine!J16</f>
        <v>468.6</v>
      </c>
      <c r="J15" s="184">
        <v>8.299325619154871</v>
      </c>
      <c r="K15" s="115">
        <f>Combine!N16</f>
        <v>142</v>
      </c>
      <c r="L15" s="115">
        <f>Combine!O16</f>
        <v>253</v>
      </c>
    </row>
    <row r="16" spans="1:12">
      <c r="A16" s="181" t="s">
        <v>401</v>
      </c>
      <c r="B16" s="182">
        <v>15</v>
      </c>
      <c r="C16" s="183">
        <v>10</v>
      </c>
      <c r="D16" s="182">
        <v>2022</v>
      </c>
      <c r="E16" s="115">
        <f>Combine!G17</f>
        <v>41605</v>
      </c>
      <c r="F16" s="184">
        <v>1.8272212222261885</v>
      </c>
      <c r="G16" s="115">
        <f>Combine!M17</f>
        <v>3230.8313908313908</v>
      </c>
      <c r="H16" s="185">
        <v>9.7723251418894037</v>
      </c>
      <c r="I16" s="115">
        <f>Combine!J17</f>
        <v>448</v>
      </c>
      <c r="J16" s="184">
        <v>8.299325619154871</v>
      </c>
      <c r="K16" s="115">
        <f>Combine!N17</f>
        <v>176</v>
      </c>
      <c r="L16" s="115">
        <f>Combine!O17</f>
        <v>331</v>
      </c>
    </row>
    <row r="17" spans="1:12">
      <c r="A17" s="181" t="s">
        <v>401</v>
      </c>
      <c r="B17" s="182">
        <v>16</v>
      </c>
      <c r="C17" s="183">
        <v>10</v>
      </c>
      <c r="D17" s="182">
        <v>2022</v>
      </c>
      <c r="E17" s="115">
        <f>Combine!G18</f>
        <v>42935</v>
      </c>
      <c r="F17" s="184">
        <v>1.8272212222261885</v>
      </c>
      <c r="G17" s="115">
        <f>Combine!M18</f>
        <v>3293.4887334887335</v>
      </c>
      <c r="H17" s="185">
        <v>9.7723251418894037</v>
      </c>
      <c r="I17" s="115">
        <f>Combine!J18</f>
        <v>464</v>
      </c>
      <c r="J17" s="184">
        <v>8.299325619154871</v>
      </c>
      <c r="K17" s="115">
        <f>Combine!N18</f>
        <v>151</v>
      </c>
      <c r="L17" s="115">
        <f>Combine!O18</f>
        <v>267</v>
      </c>
    </row>
    <row r="18" spans="1:12">
      <c r="A18" s="181" t="s">
        <v>401</v>
      </c>
      <c r="B18" s="182">
        <v>17</v>
      </c>
      <c r="C18" s="183">
        <v>10</v>
      </c>
      <c r="D18" s="182">
        <v>2022</v>
      </c>
      <c r="E18" s="115">
        <f>Combine!G19</f>
        <v>39835</v>
      </c>
      <c r="F18" s="184">
        <v>1.8272212222261885</v>
      </c>
      <c r="G18" s="115">
        <f>Combine!M19</f>
        <v>3305.6721056721058</v>
      </c>
      <c r="H18" s="185">
        <v>9.7723251418894037</v>
      </c>
      <c r="I18" s="115">
        <f>Combine!J19</f>
        <v>507</v>
      </c>
      <c r="J18" s="184">
        <v>8.299325619154871</v>
      </c>
      <c r="K18" s="115">
        <f>Combine!N19</f>
        <v>128</v>
      </c>
      <c r="L18" s="115">
        <f>Combine!O19</f>
        <v>199</v>
      </c>
    </row>
    <row r="19" spans="1:12">
      <c r="A19" s="181" t="s">
        <v>401</v>
      </c>
      <c r="B19" s="182">
        <v>18</v>
      </c>
      <c r="C19" s="183">
        <v>10</v>
      </c>
      <c r="D19" s="182">
        <v>2022</v>
      </c>
      <c r="E19" s="115">
        <f>Combine!G20</f>
        <v>37975</v>
      </c>
      <c r="F19" s="184">
        <v>1.8272212222261885</v>
      </c>
      <c r="G19" s="115">
        <f>Combine!M20</f>
        <v>3355.6487956487958</v>
      </c>
      <c r="H19" s="185">
        <v>9.7723251418894037</v>
      </c>
      <c r="I19" s="115">
        <f>Combine!J20</f>
        <v>454</v>
      </c>
      <c r="J19" s="184">
        <v>8.299325619154871</v>
      </c>
      <c r="K19" s="115">
        <f>Combine!N20</f>
        <v>147</v>
      </c>
      <c r="L19" s="115">
        <f>Combine!O20</f>
        <v>232</v>
      </c>
    </row>
    <row r="20" spans="1:12">
      <c r="A20" s="181" t="s">
        <v>401</v>
      </c>
      <c r="B20" s="182">
        <v>19</v>
      </c>
      <c r="C20" s="183">
        <v>10</v>
      </c>
      <c r="D20" s="182">
        <v>2022</v>
      </c>
      <c r="E20" s="115">
        <f>Combine!G21</f>
        <v>38170</v>
      </c>
      <c r="F20" s="184">
        <v>1.8272212222261885</v>
      </c>
      <c r="G20" s="115">
        <f>Combine!M21</f>
        <v>2911.5773115773118</v>
      </c>
      <c r="H20" s="185">
        <v>9.7723251418894037</v>
      </c>
      <c r="I20" s="115">
        <f>Combine!J21</f>
        <v>429</v>
      </c>
      <c r="J20" s="184">
        <v>8.299325619154871</v>
      </c>
      <c r="K20" s="115">
        <f>Combine!N21</f>
        <v>143</v>
      </c>
      <c r="L20" s="115">
        <f>Combine!O21</f>
        <v>224</v>
      </c>
    </row>
    <row r="21" spans="1:12">
      <c r="A21" s="181" t="s">
        <v>401</v>
      </c>
      <c r="B21" s="182">
        <v>20</v>
      </c>
      <c r="C21" s="183">
        <v>10</v>
      </c>
      <c r="D21" s="182">
        <v>2022</v>
      </c>
      <c r="E21" s="115">
        <f>Combine!G22</f>
        <v>40270</v>
      </c>
      <c r="F21" s="184">
        <v>1.8272212222261885</v>
      </c>
      <c r="G21" s="115">
        <f>Combine!M22</f>
        <v>3296.7210567210568</v>
      </c>
      <c r="H21" s="185">
        <v>9.7723251418894037</v>
      </c>
      <c r="I21" s="115">
        <f>Combine!J22</f>
        <v>476</v>
      </c>
      <c r="J21" s="184">
        <v>8.299325619154871</v>
      </c>
      <c r="K21" s="115">
        <f>Combine!N22</f>
        <v>146</v>
      </c>
      <c r="L21" s="115">
        <f>Combine!O22</f>
        <v>239</v>
      </c>
    </row>
    <row r="22" spans="1:12">
      <c r="A22" s="181" t="s">
        <v>401</v>
      </c>
      <c r="B22" s="182">
        <v>21</v>
      </c>
      <c r="C22" s="183">
        <v>10</v>
      </c>
      <c r="D22" s="182">
        <v>2022</v>
      </c>
      <c r="E22" s="115">
        <f>Combine!G23</f>
        <v>41930</v>
      </c>
      <c r="F22" s="184">
        <v>1.8272212222261885</v>
      </c>
      <c r="G22" s="115">
        <f>Combine!M23</f>
        <v>3459.0831390831395</v>
      </c>
      <c r="H22" s="185">
        <v>9.7723251418894037</v>
      </c>
      <c r="I22" s="115">
        <f>Combine!J23</f>
        <v>501</v>
      </c>
      <c r="J22" s="184">
        <v>8.299325619154871</v>
      </c>
      <c r="K22" s="115">
        <f>Combine!N23</f>
        <v>177</v>
      </c>
      <c r="L22" s="115">
        <f>Combine!O23</f>
        <v>317</v>
      </c>
    </row>
    <row r="23" spans="1:12">
      <c r="A23" s="181" t="s">
        <v>401</v>
      </c>
      <c r="B23" s="182">
        <v>22</v>
      </c>
      <c r="C23" s="183">
        <v>10</v>
      </c>
      <c r="D23" s="182">
        <v>2022</v>
      </c>
      <c r="E23" s="115">
        <f>Combine!G24</f>
        <v>44160</v>
      </c>
      <c r="F23" s="184">
        <v>1.8272212222261885</v>
      </c>
      <c r="G23" s="115">
        <f>Combine!M24</f>
        <v>3318.6013986013986</v>
      </c>
      <c r="H23" s="185">
        <v>9.7723251418894037</v>
      </c>
      <c r="I23" s="115">
        <f>Combine!J24</f>
        <v>192</v>
      </c>
      <c r="J23" s="184">
        <v>8.299325619154871</v>
      </c>
      <c r="K23" s="115">
        <f>Combine!N24</f>
        <v>186</v>
      </c>
      <c r="L23" s="115">
        <f>Combine!O24</f>
        <v>330</v>
      </c>
    </row>
    <row r="24" spans="1:12">
      <c r="A24" s="181" t="s">
        <v>401</v>
      </c>
      <c r="B24" s="182">
        <v>23</v>
      </c>
      <c r="C24" s="183">
        <v>10</v>
      </c>
      <c r="D24" s="182">
        <v>2022</v>
      </c>
      <c r="E24" s="115">
        <f>Combine!G25</f>
        <v>42640</v>
      </c>
      <c r="F24" s="184">
        <v>1.8272212222261885</v>
      </c>
      <c r="G24" s="115">
        <f>Combine!M25</f>
        <v>3057.6120176120417</v>
      </c>
      <c r="H24" s="185">
        <v>9.7723251418894037</v>
      </c>
      <c r="I24" s="115">
        <f>Combine!J25</f>
        <v>505</v>
      </c>
      <c r="J24" s="184">
        <v>8.299325619154871</v>
      </c>
      <c r="K24" s="115">
        <f>Combine!N25</f>
        <v>135</v>
      </c>
      <c r="L24" s="115">
        <f>Combine!O25</f>
        <v>217</v>
      </c>
    </row>
    <row r="25" spans="1:12">
      <c r="A25" s="181" t="s">
        <v>401</v>
      </c>
      <c r="B25" s="182">
        <v>24</v>
      </c>
      <c r="C25" s="183">
        <v>10</v>
      </c>
      <c r="D25" s="182">
        <v>2022</v>
      </c>
      <c r="E25" s="115">
        <f>Combine!G26</f>
        <v>36100</v>
      </c>
      <c r="F25" s="184">
        <v>1.8272212222261885</v>
      </c>
      <c r="G25" s="115">
        <f>Combine!M26</f>
        <v>3265.7239057239299</v>
      </c>
      <c r="H25" s="185">
        <v>9.7723251418894037</v>
      </c>
      <c r="I25" s="115">
        <f>Combine!J26</f>
        <v>448</v>
      </c>
      <c r="J25" s="184">
        <v>8.299325619154871</v>
      </c>
      <c r="K25" s="115">
        <f>Combine!N26</f>
        <v>141</v>
      </c>
      <c r="L25" s="115">
        <f>Combine!O26</f>
        <v>220</v>
      </c>
    </row>
    <row r="26" spans="1:12">
      <c r="A26" s="181" t="s">
        <v>401</v>
      </c>
      <c r="B26" s="182">
        <v>25</v>
      </c>
      <c r="C26" s="183">
        <v>10</v>
      </c>
      <c r="D26" s="182">
        <v>2022</v>
      </c>
      <c r="E26" s="115">
        <f>Combine!G27</f>
        <v>44155</v>
      </c>
      <c r="F26" s="184">
        <v>1.8272212222261885</v>
      </c>
      <c r="G26" s="115">
        <f>Combine!M27</f>
        <v>3477.734472934425</v>
      </c>
      <c r="H26" s="185">
        <v>9.7723251418894037</v>
      </c>
      <c r="I26" s="115">
        <f>Combine!J27</f>
        <v>773.44100000000003</v>
      </c>
      <c r="J26" s="184">
        <v>8.299325619154871</v>
      </c>
      <c r="K26" s="115">
        <f>Combine!N27</f>
        <v>134</v>
      </c>
      <c r="L26" s="115">
        <f>Combine!O27</f>
        <v>215</v>
      </c>
    </row>
    <row r="27" spans="1:12">
      <c r="A27" s="181" t="s">
        <v>401</v>
      </c>
      <c r="B27" s="182">
        <v>26</v>
      </c>
      <c r="C27" s="183">
        <v>10</v>
      </c>
      <c r="D27" s="182">
        <v>2022</v>
      </c>
      <c r="E27" s="115">
        <f>Combine!G28</f>
        <v>40325</v>
      </c>
      <c r="F27" s="184">
        <v>1.8272212222261885</v>
      </c>
      <c r="G27" s="115">
        <f>Combine!M28</f>
        <v>5877.1016835016835</v>
      </c>
      <c r="H27" s="185">
        <v>9.7723251418894037</v>
      </c>
      <c r="I27" s="115">
        <f>Combine!J28</f>
        <v>92.559000000000026</v>
      </c>
      <c r="J27" s="184">
        <v>8.299325619154871</v>
      </c>
      <c r="K27" s="115">
        <f>Combine!N28</f>
        <v>131</v>
      </c>
      <c r="L27" s="115">
        <f>Combine!O28</f>
        <v>208</v>
      </c>
    </row>
    <row r="28" spans="1:12">
      <c r="A28" s="181" t="s">
        <v>401</v>
      </c>
      <c r="B28" s="182">
        <v>27</v>
      </c>
      <c r="C28" s="183">
        <v>10</v>
      </c>
      <c r="D28" s="182">
        <v>2022</v>
      </c>
      <c r="E28" s="115">
        <f>Combine!G29</f>
        <v>40750</v>
      </c>
      <c r="F28" s="184">
        <v>1.8272212222261885</v>
      </c>
      <c r="G28" s="115">
        <f>Combine!M29</f>
        <v>3246.8177156177157</v>
      </c>
      <c r="H28" s="185">
        <v>9.7723251418894037</v>
      </c>
      <c r="I28" s="115">
        <f>Combine!J29</f>
        <v>435</v>
      </c>
      <c r="J28" s="184">
        <v>8.299325619154871</v>
      </c>
      <c r="K28" s="115">
        <f>Combine!N29</f>
        <v>134</v>
      </c>
      <c r="L28" s="115">
        <f>Combine!O29</f>
        <v>214</v>
      </c>
    </row>
    <row r="29" spans="1:12">
      <c r="A29" s="181" t="s">
        <v>401</v>
      </c>
      <c r="B29" s="182">
        <v>28</v>
      </c>
      <c r="C29" s="183">
        <v>10</v>
      </c>
      <c r="D29" s="182">
        <v>2022</v>
      </c>
      <c r="E29" s="115">
        <f>Combine!G30</f>
        <v>41420</v>
      </c>
      <c r="F29" s="184">
        <v>1.8272212222261885</v>
      </c>
      <c r="G29" s="115">
        <f>Combine!M30</f>
        <v>3422.5790209790212</v>
      </c>
      <c r="H29" s="185">
        <v>9.7723251418894037</v>
      </c>
      <c r="I29" s="115">
        <f>Combine!J30</f>
        <v>449</v>
      </c>
      <c r="J29" s="184">
        <v>8.299325619154871</v>
      </c>
      <c r="K29" s="115">
        <f>Combine!N30</f>
        <v>142</v>
      </c>
      <c r="L29" s="115">
        <f>Combine!O30</f>
        <v>232</v>
      </c>
    </row>
    <row r="30" spans="1:12">
      <c r="A30" s="181" t="s">
        <v>401</v>
      </c>
      <c r="B30" s="182">
        <v>29</v>
      </c>
      <c r="C30" s="183">
        <v>10</v>
      </c>
      <c r="D30" s="182">
        <v>2022</v>
      </c>
      <c r="E30" s="115">
        <f>Combine!G31</f>
        <v>44645</v>
      </c>
      <c r="F30" s="184">
        <v>1.8272212222261885</v>
      </c>
      <c r="G30" s="115">
        <f>Combine!M31</f>
        <v>3496.7160839160833</v>
      </c>
      <c r="H30" s="185">
        <v>9.7723251418894037</v>
      </c>
      <c r="I30" s="115">
        <f>Combine!J31</f>
        <v>1550.7416000000001</v>
      </c>
      <c r="J30" s="184">
        <v>8.299325619154871</v>
      </c>
      <c r="K30" s="115">
        <f>Combine!N31</f>
        <v>145</v>
      </c>
      <c r="L30" s="115">
        <f>Combine!O31</f>
        <v>226</v>
      </c>
    </row>
    <row r="31" spans="1:12">
      <c r="A31" s="181" t="s">
        <v>401</v>
      </c>
      <c r="B31" s="182">
        <v>30</v>
      </c>
      <c r="C31" s="183">
        <v>10</v>
      </c>
      <c r="D31" s="182">
        <v>2022</v>
      </c>
      <c r="E31" s="115">
        <f>Combine!G32</f>
        <v>38690</v>
      </c>
      <c r="F31" s="184">
        <v>1.8272212222261885</v>
      </c>
      <c r="G31" s="115">
        <f>Combine!M32</f>
        <v>3233.6435120435117</v>
      </c>
      <c r="H31" s="185">
        <v>9.7723251418894037</v>
      </c>
      <c r="I31" s="115">
        <f>Combine!J32</f>
        <v>172.25839999999999</v>
      </c>
      <c r="J31" s="184">
        <v>8.299325619154871</v>
      </c>
      <c r="K31" s="115">
        <f>Combine!N32</f>
        <v>129</v>
      </c>
      <c r="L31" s="115">
        <f>Combine!O32</f>
        <v>168</v>
      </c>
    </row>
    <row r="32" spans="1:12">
      <c r="A32" s="181" t="s">
        <v>401</v>
      </c>
      <c r="B32" s="182">
        <v>31</v>
      </c>
      <c r="C32" s="183">
        <v>10</v>
      </c>
      <c r="D32" s="182">
        <v>2022</v>
      </c>
      <c r="E32" s="115">
        <f>Combine!G33</f>
        <v>37525</v>
      </c>
      <c r="F32" s="184">
        <v>1.8272212222261885</v>
      </c>
      <c r="G32" s="115">
        <f>Combine!M33</f>
        <v>0</v>
      </c>
      <c r="H32" s="185">
        <v>9.7723251418894037</v>
      </c>
      <c r="I32" s="115">
        <f>Combine!J33</f>
        <v>0</v>
      </c>
      <c r="J32" s="184">
        <v>8.299325619154871</v>
      </c>
      <c r="K32" s="115">
        <f>Combine!N33</f>
        <v>0</v>
      </c>
      <c r="L32" s="115">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H31" sqref="H3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2"/>
      <c r="C1" s="112"/>
      <c r="D1" s="112"/>
      <c r="E1" s="116" t="s">
        <v>0</v>
      </c>
      <c r="F1" s="117" t="s">
        <v>1</v>
      </c>
      <c r="G1" s="123" t="s">
        <v>2</v>
      </c>
      <c r="H1" s="116" t="s">
        <v>0</v>
      </c>
      <c r="I1" s="117" t="s">
        <v>1</v>
      </c>
      <c r="J1" s="120" t="s">
        <v>2</v>
      </c>
      <c r="K1" s="116" t="s">
        <v>0</v>
      </c>
      <c r="L1" s="117" t="s">
        <v>1</v>
      </c>
      <c r="M1" s="123" t="s">
        <v>2</v>
      </c>
      <c r="N1" s="209" t="s">
        <v>66</v>
      </c>
      <c r="O1" s="210"/>
      <c r="P1" s="211"/>
    </row>
    <row r="2" spans="1:17" s="2" customFormat="1" ht="60" customHeight="1">
      <c r="A2" s="4" t="s">
        <v>3</v>
      </c>
      <c r="B2" s="5" t="s">
        <v>4</v>
      </c>
      <c r="C2" s="5" t="s">
        <v>5</v>
      </c>
      <c r="D2" s="113"/>
      <c r="E2" s="118" t="s">
        <v>6</v>
      </c>
      <c r="F2" s="139" t="s">
        <v>6</v>
      </c>
      <c r="G2" s="146" t="s">
        <v>6</v>
      </c>
      <c r="H2" s="147" t="s">
        <v>9</v>
      </c>
      <c r="I2" s="140" t="s">
        <v>9</v>
      </c>
      <c r="J2" s="146" t="s">
        <v>9</v>
      </c>
      <c r="K2" s="118" t="s">
        <v>7</v>
      </c>
      <c r="L2" s="105">
        <v>335</v>
      </c>
      <c r="M2" s="124" t="s">
        <v>8</v>
      </c>
      <c r="N2" s="153" t="s">
        <v>10</v>
      </c>
      <c r="O2" s="5" t="s">
        <v>11</v>
      </c>
      <c r="P2" s="152" t="s">
        <v>12</v>
      </c>
      <c r="Q2" s="141" t="s">
        <v>394</v>
      </c>
    </row>
    <row r="3" spans="1:17" ht="15.75">
      <c r="A3" s="7" t="s">
        <v>14</v>
      </c>
      <c r="B3" s="7">
        <v>1</v>
      </c>
      <c r="C3" s="7">
        <v>10</v>
      </c>
      <c r="D3" s="114">
        <v>2022</v>
      </c>
      <c r="E3" s="142">
        <f>'Athens Daily - EL'!AK8</f>
        <v>54255</v>
      </c>
      <c r="F3" s="144"/>
      <c r="G3" s="125">
        <f>SUM(E3,F3)</f>
        <v>54255</v>
      </c>
      <c r="H3" s="142">
        <f>'Athens Daily - Water'!R7</f>
        <v>496.02200000000084</v>
      </c>
      <c r="I3" s="115"/>
      <c r="J3" s="121">
        <f t="shared" ref="J3:J33" si="0">SUM(H3,I3)</f>
        <v>496.02200000000084</v>
      </c>
      <c r="K3" s="142">
        <f>'Athens Daily - Gas'!BH9</f>
        <v>123791.80800000003</v>
      </c>
      <c r="L3" s="115"/>
      <c r="M3" s="125">
        <f>SUM(K3,L3)/38.61</f>
        <v>3206.2110334110344</v>
      </c>
      <c r="N3" s="151">
        <f>Occ!G10</f>
        <v>194</v>
      </c>
      <c r="O3" s="98">
        <f>Occ!H10</f>
        <v>402</v>
      </c>
      <c r="P3" s="150">
        <v>918</v>
      </c>
      <c r="Q3" s="159"/>
    </row>
    <row r="4" spans="1:17" ht="15.75">
      <c r="A4" s="7" t="s">
        <v>14</v>
      </c>
      <c r="B4" s="7">
        <v>2</v>
      </c>
      <c r="C4" s="7">
        <v>10</v>
      </c>
      <c r="D4" s="114">
        <v>2022</v>
      </c>
      <c r="E4" s="142">
        <f>'Athens Daily - EL'!AK9</f>
        <v>48245</v>
      </c>
      <c r="F4" s="144"/>
      <c r="G4" s="125">
        <f t="shared" ref="G4:G33" si="1">SUM(E4,F4)</f>
        <v>48245</v>
      </c>
      <c r="H4" s="142">
        <f>'Athens Daily - Water'!R8</f>
        <v>538.39999999999964</v>
      </c>
      <c r="I4" s="115"/>
      <c r="J4" s="121">
        <f t="shared" si="0"/>
        <v>538.39999999999964</v>
      </c>
      <c r="K4" s="142">
        <f>'Athens Daily - Gas'!BH11</f>
        <v>139776.76799999998</v>
      </c>
      <c r="L4" s="115"/>
      <c r="M4" s="125">
        <f t="shared" ref="M4:M33" si="2">SUM(K4,L4)/38.61</f>
        <v>3620.221911421911</v>
      </c>
      <c r="N4" s="151">
        <f>Occ!G11</f>
        <v>115</v>
      </c>
      <c r="O4" s="98">
        <f>Occ!H11</f>
        <v>200</v>
      </c>
      <c r="P4" s="150">
        <v>918</v>
      </c>
      <c r="Q4" s="159"/>
    </row>
    <row r="5" spans="1:17" ht="15.75">
      <c r="A5" s="7" t="s">
        <v>14</v>
      </c>
      <c r="B5" s="7">
        <v>3</v>
      </c>
      <c r="C5" s="7">
        <v>10</v>
      </c>
      <c r="D5" s="114">
        <v>2022</v>
      </c>
      <c r="E5" s="142">
        <f>'Athens Daily - EL'!AK10</f>
        <v>48760</v>
      </c>
      <c r="F5" s="144"/>
      <c r="G5" s="125">
        <f t="shared" si="1"/>
        <v>48760</v>
      </c>
      <c r="H5" s="142">
        <f>'Athens Daily - Water'!R9</f>
        <v>427.57799999999952</v>
      </c>
      <c r="I5" s="115"/>
      <c r="J5" s="121">
        <f t="shared" si="0"/>
        <v>427.57799999999952</v>
      </c>
      <c r="K5" s="142">
        <f>'Athens Daily - Gas'!BH12</f>
        <v>116885.136</v>
      </c>
      <c r="L5" s="115"/>
      <c r="M5" s="125">
        <f t="shared" si="2"/>
        <v>3027.3280497280498</v>
      </c>
      <c r="N5" s="151">
        <f>Occ!G12</f>
        <v>134</v>
      </c>
      <c r="O5" s="98">
        <f>Occ!H12</f>
        <v>246</v>
      </c>
      <c r="P5" s="150">
        <v>918</v>
      </c>
      <c r="Q5" s="159"/>
    </row>
    <row r="6" spans="1:17" ht="15.75">
      <c r="A6" s="7" t="s">
        <v>14</v>
      </c>
      <c r="B6" s="7">
        <v>4</v>
      </c>
      <c r="C6" s="7">
        <v>10</v>
      </c>
      <c r="D6" s="114">
        <v>2022</v>
      </c>
      <c r="E6" s="142">
        <f>'Athens Daily - EL'!AK11</f>
        <v>49570</v>
      </c>
      <c r="F6" s="144"/>
      <c r="G6" s="125">
        <f t="shared" si="1"/>
        <v>49570</v>
      </c>
      <c r="H6" s="142">
        <f>'Athens Daily - Water'!R10</f>
        <v>422.41810000000078</v>
      </c>
      <c r="I6" s="115"/>
      <c r="J6" s="121">
        <f t="shared" si="0"/>
        <v>422.41810000000078</v>
      </c>
      <c r="K6" s="142">
        <f>'Athens Daily - Gas'!BH13</f>
        <v>110766.09600000001</v>
      </c>
      <c r="L6" s="115"/>
      <c r="M6" s="125">
        <f t="shared" si="2"/>
        <v>2868.8447552447556</v>
      </c>
      <c r="N6" s="151">
        <f>Occ!G13</f>
        <v>131</v>
      </c>
      <c r="O6" s="98">
        <f>Occ!H13</f>
        <v>223</v>
      </c>
      <c r="P6" s="150">
        <v>918</v>
      </c>
      <c r="Q6" s="159"/>
    </row>
    <row r="7" spans="1:17" ht="15.75">
      <c r="A7" s="7" t="s">
        <v>14</v>
      </c>
      <c r="B7" s="7">
        <v>5</v>
      </c>
      <c r="C7" s="7">
        <v>10</v>
      </c>
      <c r="D7" s="114">
        <v>2022</v>
      </c>
      <c r="E7" s="142">
        <f>'Athens Daily - EL'!AK12</f>
        <v>49045</v>
      </c>
      <c r="F7" s="144"/>
      <c r="G7" s="125">
        <f t="shared" si="1"/>
        <v>49045</v>
      </c>
      <c r="H7" s="142">
        <f>'Athens Daily - Water'!R11</f>
        <v>447.54489999999896</v>
      </c>
      <c r="I7" s="115"/>
      <c r="J7" s="121">
        <f t="shared" si="0"/>
        <v>447.54489999999896</v>
      </c>
      <c r="K7" s="142">
        <f>'Athens Daily - Gas'!BH14</f>
        <v>114633.88800000001</v>
      </c>
      <c r="L7" s="115"/>
      <c r="M7" s="125">
        <f t="shared" si="2"/>
        <v>2969.0206682206685</v>
      </c>
      <c r="N7" s="151">
        <f>Occ!G14</f>
        <v>97</v>
      </c>
      <c r="O7" s="98">
        <f>Occ!H14</f>
        <v>154</v>
      </c>
      <c r="P7" s="150">
        <v>918</v>
      </c>
      <c r="Q7" s="159"/>
    </row>
    <row r="8" spans="1:17" ht="15.75">
      <c r="A8" s="7" t="s">
        <v>14</v>
      </c>
      <c r="B8" s="7">
        <v>6</v>
      </c>
      <c r="C8" s="7">
        <v>10</v>
      </c>
      <c r="D8" s="114">
        <v>2022</v>
      </c>
      <c r="E8" s="142">
        <f>'Athens Daily - EL'!AK13</f>
        <v>49405</v>
      </c>
      <c r="F8" s="144"/>
      <c r="G8" s="125">
        <f t="shared" si="1"/>
        <v>49405</v>
      </c>
      <c r="H8" s="142">
        <f>'Athens Daily - Water'!R12</f>
        <v>456</v>
      </c>
      <c r="I8" s="115"/>
      <c r="J8" s="121">
        <f t="shared" si="0"/>
        <v>456</v>
      </c>
      <c r="K8" s="142">
        <f>'Athens Daily - Gas'!BH15</f>
        <v>116145.74399999999</v>
      </c>
      <c r="L8" s="115"/>
      <c r="M8" s="125">
        <f t="shared" si="2"/>
        <v>3008.1777777777775</v>
      </c>
      <c r="N8" s="151">
        <f>Occ!G15</f>
        <v>121</v>
      </c>
      <c r="O8" s="98">
        <f>Occ!H15</f>
        <v>215</v>
      </c>
      <c r="P8" s="150">
        <v>918</v>
      </c>
      <c r="Q8" s="159"/>
    </row>
    <row r="9" spans="1:17" ht="15.75">
      <c r="A9" s="7" t="s">
        <v>14</v>
      </c>
      <c r="B9" s="7">
        <v>7</v>
      </c>
      <c r="C9" s="7">
        <v>10</v>
      </c>
      <c r="D9" s="114">
        <v>2022</v>
      </c>
      <c r="E9" s="142">
        <f>'Athens Daily - EL'!AK14</f>
        <v>51715</v>
      </c>
      <c r="F9" s="144"/>
      <c r="G9" s="125">
        <f t="shared" si="1"/>
        <v>51715</v>
      </c>
      <c r="H9" s="142">
        <f>'Athens Daily - Water'!R13</f>
        <v>459.27</v>
      </c>
      <c r="I9" s="115"/>
      <c r="J9" s="121">
        <f t="shared" si="0"/>
        <v>459.27</v>
      </c>
      <c r="K9" s="142">
        <f>'Athens Daily - Gas'!BH16</f>
        <v>123167.90399999998</v>
      </c>
      <c r="L9" s="115"/>
      <c r="M9" s="125">
        <f t="shared" si="2"/>
        <v>3190.0519036519031</v>
      </c>
      <c r="N9" s="151">
        <f>Occ!G16</f>
        <v>124</v>
      </c>
      <c r="O9" s="98">
        <f>Occ!H16</f>
        <v>225</v>
      </c>
      <c r="P9" s="150">
        <v>918</v>
      </c>
      <c r="Q9" s="159"/>
    </row>
    <row r="10" spans="1:17">
      <c r="A10" s="7" t="s">
        <v>14</v>
      </c>
      <c r="B10" s="7">
        <v>8</v>
      </c>
      <c r="C10" s="7">
        <v>10</v>
      </c>
      <c r="D10" s="114">
        <v>2022</v>
      </c>
      <c r="E10" s="142">
        <f>'Athens Daily - EL'!AK15</f>
        <v>49840</v>
      </c>
      <c r="F10" s="144"/>
      <c r="G10" s="125">
        <f t="shared" si="1"/>
        <v>49840</v>
      </c>
      <c r="H10" s="142">
        <f>'Athens Daily - Water'!R14</f>
        <v>466.995</v>
      </c>
      <c r="I10" s="115"/>
      <c r="J10" s="121">
        <f t="shared" si="0"/>
        <v>466.995</v>
      </c>
      <c r="K10" s="142">
        <f>'Athens Daily - Gas'!BH17</f>
        <v>133796.64000000001</v>
      </c>
      <c r="L10" s="115"/>
      <c r="M10" s="125">
        <f t="shared" si="2"/>
        <v>3465.3364413364416</v>
      </c>
      <c r="N10" s="151">
        <f>Occ!G17</f>
        <v>164</v>
      </c>
      <c r="O10" s="98">
        <f>Occ!H17</f>
        <v>314</v>
      </c>
      <c r="P10" s="150">
        <v>918</v>
      </c>
      <c r="Q10" s="96"/>
    </row>
    <row r="11" spans="1:17">
      <c r="A11" s="7" t="s">
        <v>14</v>
      </c>
      <c r="B11" s="7">
        <v>9</v>
      </c>
      <c r="C11" s="7">
        <v>10</v>
      </c>
      <c r="D11" s="114">
        <v>2022</v>
      </c>
      <c r="E11" s="142">
        <f>'Athens Daily - EL'!AK16</f>
        <v>47120</v>
      </c>
      <c r="F11" s="144"/>
      <c r="G11" s="125">
        <f t="shared" si="1"/>
        <v>47120</v>
      </c>
      <c r="H11" s="142">
        <f>'Athens Daily - Water'!R15</f>
        <v>551.91099999999994</v>
      </c>
      <c r="I11" s="115"/>
      <c r="J11" s="121">
        <f t="shared" si="0"/>
        <v>551.91099999999994</v>
      </c>
      <c r="K11" s="142">
        <f>'Athens Daily - Gas'!BH18</f>
        <v>121289.568</v>
      </c>
      <c r="L11" s="115"/>
      <c r="M11" s="125">
        <f t="shared" si="2"/>
        <v>3141.4029526029526</v>
      </c>
      <c r="N11" s="151">
        <f>Occ!G18</f>
        <v>147</v>
      </c>
      <c r="O11" s="98">
        <f>Occ!H18</f>
        <v>263</v>
      </c>
      <c r="P11" s="150">
        <v>918</v>
      </c>
      <c r="Q11" s="96"/>
    </row>
    <row r="12" spans="1:17" ht="15.75">
      <c r="A12" s="7" t="s">
        <v>14</v>
      </c>
      <c r="B12" s="7">
        <v>10</v>
      </c>
      <c r="C12" s="7">
        <v>10</v>
      </c>
      <c r="D12" s="114">
        <v>2022</v>
      </c>
      <c r="E12" s="142">
        <f>'Athens Daily - EL'!AK17</f>
        <v>38180</v>
      </c>
      <c r="F12" s="144"/>
      <c r="G12" s="125">
        <f t="shared" si="1"/>
        <v>38180</v>
      </c>
      <c r="H12" s="142">
        <f>'Athens Daily - Water'!R16</f>
        <v>512.01400000000001</v>
      </c>
      <c r="I12" s="115"/>
      <c r="J12" s="121">
        <f t="shared" si="0"/>
        <v>512.01400000000001</v>
      </c>
      <c r="K12" s="142">
        <f>'Athens Daily - Gas'!BH19</f>
        <v>132140.83199999999</v>
      </c>
      <c r="L12" s="115"/>
      <c r="M12" s="125">
        <f t="shared" si="2"/>
        <v>3422.4509712509712</v>
      </c>
      <c r="N12" s="151">
        <f>Occ!G19</f>
        <v>124</v>
      </c>
      <c r="O12" s="98">
        <f>Occ!H19</f>
        <v>200</v>
      </c>
      <c r="P12" s="150">
        <v>918</v>
      </c>
      <c r="Q12" s="159"/>
    </row>
    <row r="13" spans="1:17" ht="15.75">
      <c r="A13" s="7" t="s">
        <v>14</v>
      </c>
      <c r="B13" s="7">
        <v>11</v>
      </c>
      <c r="C13" s="7">
        <v>10</v>
      </c>
      <c r="D13" s="114">
        <v>2022</v>
      </c>
      <c r="E13" s="142">
        <f>'Athens Daily - EL'!AK18</f>
        <v>40420</v>
      </c>
      <c r="F13" s="144"/>
      <c r="G13" s="125">
        <f t="shared" si="1"/>
        <v>40420</v>
      </c>
      <c r="H13" s="142">
        <f>'Athens Daily - Water'!R17</f>
        <v>415.6</v>
      </c>
      <c r="I13" s="115"/>
      <c r="J13" s="121">
        <f t="shared" si="0"/>
        <v>415.6</v>
      </c>
      <c r="K13" s="142">
        <f>'Athens Daily - Gas'!BH20</f>
        <v>122155.056</v>
      </c>
      <c r="L13" s="115"/>
      <c r="M13" s="125">
        <f t="shared" si="2"/>
        <v>3163.819114219114</v>
      </c>
      <c r="N13" s="151">
        <f>Occ!G20</f>
        <v>124</v>
      </c>
      <c r="O13" s="98">
        <f>Occ!H20</f>
        <v>203</v>
      </c>
      <c r="P13" s="150">
        <v>918</v>
      </c>
      <c r="Q13" s="159"/>
    </row>
    <row r="14" spans="1:17" ht="15.75">
      <c r="A14" s="7" t="s">
        <v>14</v>
      </c>
      <c r="B14" s="7">
        <v>12</v>
      </c>
      <c r="C14" s="7">
        <v>10</v>
      </c>
      <c r="D14" s="114">
        <v>2022</v>
      </c>
      <c r="E14" s="142">
        <f>'Athens Daily - EL'!AK19</f>
        <v>48340</v>
      </c>
      <c r="F14" s="144"/>
      <c r="G14" s="125">
        <f t="shared" si="1"/>
        <v>48340</v>
      </c>
      <c r="H14" s="142">
        <f>'Athens Daily - Water'!R18</f>
        <v>448.4</v>
      </c>
      <c r="I14" s="115"/>
      <c r="J14" s="121">
        <f t="shared" si="0"/>
        <v>448.4</v>
      </c>
      <c r="K14" s="142">
        <f>'Athens Daily - Gas'!BH21</f>
        <v>120826.08000000002</v>
      </c>
      <c r="L14" s="115"/>
      <c r="M14" s="125">
        <f t="shared" si="2"/>
        <v>3129.3986013986018</v>
      </c>
      <c r="N14" s="151">
        <f>Occ!G21</f>
        <v>129</v>
      </c>
      <c r="O14" s="98">
        <f>Occ!H21</f>
        <v>214</v>
      </c>
      <c r="P14" s="150">
        <v>918</v>
      </c>
      <c r="Q14" s="159"/>
    </row>
    <row r="15" spans="1:17">
      <c r="A15" s="7" t="s">
        <v>14</v>
      </c>
      <c r="B15" s="7">
        <v>13</v>
      </c>
      <c r="C15" s="7">
        <v>10</v>
      </c>
      <c r="D15" s="114">
        <v>2022</v>
      </c>
      <c r="E15" s="142">
        <f>'Athens Daily - EL'!AK20</f>
        <v>32580</v>
      </c>
      <c r="F15" s="160"/>
      <c r="G15" s="125">
        <f t="shared" si="1"/>
        <v>32580</v>
      </c>
      <c r="H15" s="142">
        <f>'Athens Daily - Water'!R19</f>
        <v>428.4</v>
      </c>
      <c r="I15" s="115"/>
      <c r="J15" s="121">
        <f t="shared" si="0"/>
        <v>428.4</v>
      </c>
      <c r="K15" s="142">
        <f>'Athens Daily - Gas'!BH22</f>
        <v>122673.26399999998</v>
      </c>
      <c r="L15" s="115"/>
      <c r="M15" s="125">
        <f t="shared" si="2"/>
        <v>3177.2407148407142</v>
      </c>
      <c r="N15" s="151">
        <f>Occ!G22</f>
        <v>119</v>
      </c>
      <c r="O15" s="98">
        <f>Occ!H22</f>
        <v>200</v>
      </c>
      <c r="P15" s="150">
        <v>918</v>
      </c>
      <c r="Q15" s="156"/>
    </row>
    <row r="16" spans="1:17">
      <c r="A16" s="7" t="s">
        <v>14</v>
      </c>
      <c r="B16" s="7">
        <v>14</v>
      </c>
      <c r="C16" s="7">
        <v>10</v>
      </c>
      <c r="D16" s="114">
        <v>2022</v>
      </c>
      <c r="E16" s="142">
        <f>'Athens Daily - EL'!AK21</f>
        <v>43520</v>
      </c>
      <c r="F16" s="144"/>
      <c r="G16" s="125">
        <f t="shared" si="1"/>
        <v>43520</v>
      </c>
      <c r="H16" s="142">
        <f>'Athens Daily - Water'!R20</f>
        <v>468.6</v>
      </c>
      <c r="I16" s="115"/>
      <c r="J16" s="121">
        <f t="shared" si="0"/>
        <v>468.6</v>
      </c>
      <c r="K16" s="142">
        <f>'Athens Daily - Gas'!BH23</f>
        <v>121488</v>
      </c>
      <c r="L16" s="115"/>
      <c r="M16" s="125">
        <f t="shared" si="2"/>
        <v>3146.5423465423464</v>
      </c>
      <c r="N16" s="151">
        <f>Occ!G23</f>
        <v>142</v>
      </c>
      <c r="O16" s="98">
        <f>Occ!H23</f>
        <v>253</v>
      </c>
      <c r="P16" s="150">
        <v>918</v>
      </c>
      <c r="Q16" s="156"/>
    </row>
    <row r="17" spans="1:17">
      <c r="A17" s="7" t="s">
        <v>14</v>
      </c>
      <c r="B17" s="7">
        <v>15</v>
      </c>
      <c r="C17" s="7">
        <v>10</v>
      </c>
      <c r="D17" s="114">
        <v>2022</v>
      </c>
      <c r="E17" s="142">
        <f>'Athens Daily - EL'!AK22</f>
        <v>41605</v>
      </c>
      <c r="F17" s="144"/>
      <c r="G17" s="125">
        <f t="shared" si="1"/>
        <v>41605</v>
      </c>
      <c r="H17" s="142">
        <f>'Athens Daily - Water'!R21</f>
        <v>448</v>
      </c>
      <c r="I17" s="115"/>
      <c r="J17" s="121">
        <f t="shared" si="0"/>
        <v>448</v>
      </c>
      <c r="K17" s="142">
        <f>'Athens Daily - Gas'!BH24</f>
        <v>124742.39999999999</v>
      </c>
      <c r="L17" s="115"/>
      <c r="M17" s="125">
        <f t="shared" si="2"/>
        <v>3230.8313908313908</v>
      </c>
      <c r="N17" s="151">
        <f>Occ!G24</f>
        <v>176</v>
      </c>
      <c r="O17" s="98">
        <f>Occ!H24</f>
        <v>331</v>
      </c>
      <c r="P17" s="150">
        <v>918</v>
      </c>
      <c r="Q17" s="156"/>
    </row>
    <row r="18" spans="1:17">
      <c r="A18" s="7" t="s">
        <v>14</v>
      </c>
      <c r="B18" s="7">
        <v>16</v>
      </c>
      <c r="C18" s="7">
        <v>10</v>
      </c>
      <c r="D18" s="114">
        <v>2022</v>
      </c>
      <c r="E18" s="142">
        <f>'Athens Daily - EL'!AK23</f>
        <v>42935</v>
      </c>
      <c r="F18" s="144"/>
      <c r="G18" s="125">
        <f t="shared" si="1"/>
        <v>42935</v>
      </c>
      <c r="H18" s="142">
        <f>'Athens Daily - Water'!R22</f>
        <v>464</v>
      </c>
      <c r="I18" s="115"/>
      <c r="J18" s="121">
        <f t="shared" si="0"/>
        <v>464</v>
      </c>
      <c r="K18" s="142">
        <f>'Athens Daily - Gas'!BH25</f>
        <v>127161.59999999999</v>
      </c>
      <c r="L18" s="115"/>
      <c r="M18" s="125">
        <f t="shared" si="2"/>
        <v>3293.4887334887335</v>
      </c>
      <c r="N18" s="151">
        <f>Occ!G25</f>
        <v>151</v>
      </c>
      <c r="O18" s="98">
        <f>Occ!H25</f>
        <v>267</v>
      </c>
      <c r="P18" s="150">
        <v>918</v>
      </c>
      <c r="Q18" s="155"/>
    </row>
    <row r="19" spans="1:17">
      <c r="A19" s="7" t="s">
        <v>14</v>
      </c>
      <c r="B19" s="7">
        <v>17</v>
      </c>
      <c r="C19" s="7">
        <v>10</v>
      </c>
      <c r="D19" s="114">
        <v>2022</v>
      </c>
      <c r="E19" s="142">
        <f>'Athens Daily - EL'!AK24</f>
        <v>39835</v>
      </c>
      <c r="F19" s="144"/>
      <c r="G19" s="125">
        <f t="shared" si="1"/>
        <v>39835</v>
      </c>
      <c r="H19" s="142">
        <f>'Athens Daily - Water'!R23</f>
        <v>507</v>
      </c>
      <c r="I19" s="115"/>
      <c r="J19" s="121">
        <f t="shared" si="0"/>
        <v>507</v>
      </c>
      <c r="K19" s="142">
        <f>'Athens Daily - Gas'!BH26</f>
        <v>127632</v>
      </c>
      <c r="L19" s="115"/>
      <c r="M19" s="125">
        <f t="shared" si="2"/>
        <v>3305.6721056721058</v>
      </c>
      <c r="N19" s="151">
        <f>Occ!G26</f>
        <v>128</v>
      </c>
      <c r="O19" s="98">
        <f>Occ!H26</f>
        <v>199</v>
      </c>
      <c r="P19" s="150">
        <v>918</v>
      </c>
      <c r="Q19" s="155"/>
    </row>
    <row r="20" spans="1:17">
      <c r="A20" s="7" t="s">
        <v>14</v>
      </c>
      <c r="B20" s="7">
        <v>18</v>
      </c>
      <c r="C20" s="7">
        <v>10</v>
      </c>
      <c r="D20" s="114">
        <v>2022</v>
      </c>
      <c r="E20" s="142">
        <f>'Athens Daily - EL'!AK25</f>
        <v>37975</v>
      </c>
      <c r="F20" s="144"/>
      <c r="G20" s="125">
        <f t="shared" si="1"/>
        <v>37975</v>
      </c>
      <c r="H20" s="142">
        <f>'Athens Daily - Water'!R24</f>
        <v>454</v>
      </c>
      <c r="I20" s="115"/>
      <c r="J20" s="121">
        <f t="shared" si="0"/>
        <v>454</v>
      </c>
      <c r="K20" s="142">
        <f>'Athens Daily - Gas'!BH27</f>
        <v>129561.60000000001</v>
      </c>
      <c r="L20" s="115"/>
      <c r="M20" s="125">
        <f t="shared" si="2"/>
        <v>3355.6487956487958</v>
      </c>
      <c r="N20" s="151">
        <f>Occ!G27</f>
        <v>147</v>
      </c>
      <c r="O20" s="98">
        <f>Occ!H27</f>
        <v>232</v>
      </c>
      <c r="P20" s="150">
        <v>918</v>
      </c>
      <c r="Q20" s="155"/>
    </row>
    <row r="21" spans="1:17">
      <c r="A21" s="7" t="s">
        <v>14</v>
      </c>
      <c r="B21" s="7">
        <v>19</v>
      </c>
      <c r="C21" s="7">
        <v>10</v>
      </c>
      <c r="D21" s="114">
        <v>2022</v>
      </c>
      <c r="E21" s="142">
        <f>'Athens Daily - EL'!AK26</f>
        <v>38170</v>
      </c>
      <c r="F21" s="144"/>
      <c r="G21" s="125">
        <f t="shared" si="1"/>
        <v>38170</v>
      </c>
      <c r="H21" s="142">
        <f>'Athens Daily - Water'!R25</f>
        <v>429</v>
      </c>
      <c r="I21" s="115"/>
      <c r="J21" s="121">
        <f t="shared" si="0"/>
        <v>429</v>
      </c>
      <c r="K21" s="142">
        <f>'Athens Daily - Gas'!BH28</f>
        <v>112416</v>
      </c>
      <c r="L21" s="164"/>
      <c r="M21" s="125">
        <f t="shared" si="2"/>
        <v>2911.5773115773118</v>
      </c>
      <c r="N21" s="151">
        <f>Occ!G28</f>
        <v>143</v>
      </c>
      <c r="O21" s="98">
        <f>Occ!H28</f>
        <v>224</v>
      </c>
      <c r="P21" s="150">
        <v>918</v>
      </c>
      <c r="Q21" s="155"/>
    </row>
    <row r="22" spans="1:17">
      <c r="A22" s="7" t="s">
        <v>14</v>
      </c>
      <c r="B22" s="7">
        <v>20</v>
      </c>
      <c r="C22" s="7">
        <v>10</v>
      </c>
      <c r="D22" s="114">
        <v>2022</v>
      </c>
      <c r="E22" s="142">
        <f>'Athens Daily - EL'!AK27</f>
        <v>40270</v>
      </c>
      <c r="F22" s="144"/>
      <c r="G22" s="125">
        <f t="shared" si="1"/>
        <v>40270</v>
      </c>
      <c r="H22" s="142">
        <f>'Athens Daily - Water'!R26</f>
        <v>476</v>
      </c>
      <c r="I22" s="115"/>
      <c r="J22" s="121">
        <f t="shared" si="0"/>
        <v>476</v>
      </c>
      <c r="K22" s="142">
        <f>'Athens Daily - Gas'!BH29</f>
        <v>127286.39999999999</v>
      </c>
      <c r="L22" s="115"/>
      <c r="M22" s="125">
        <f t="shared" si="2"/>
        <v>3296.7210567210568</v>
      </c>
      <c r="N22" s="151">
        <f>Occ!G29</f>
        <v>146</v>
      </c>
      <c r="O22" s="98">
        <f>Occ!H29</f>
        <v>239</v>
      </c>
      <c r="P22" s="150">
        <v>918</v>
      </c>
      <c r="Q22" s="156"/>
    </row>
    <row r="23" spans="1:17">
      <c r="A23" s="7" t="s">
        <v>14</v>
      </c>
      <c r="B23" s="7">
        <v>21</v>
      </c>
      <c r="C23" s="7">
        <v>10</v>
      </c>
      <c r="D23" s="114">
        <v>2022</v>
      </c>
      <c r="E23" s="142">
        <f>'Athens Daily - EL'!AK28</f>
        <v>41930</v>
      </c>
      <c r="F23" s="144"/>
      <c r="G23" s="125">
        <f t="shared" si="1"/>
        <v>41930</v>
      </c>
      <c r="H23" s="163">
        <f>'Athens Daily - Water'!R27</f>
        <v>501</v>
      </c>
      <c r="I23" s="164"/>
      <c r="J23" s="121">
        <f t="shared" si="0"/>
        <v>501</v>
      </c>
      <c r="K23" s="142">
        <f>'Athens Daily - Gas'!BH30</f>
        <v>133555.20000000001</v>
      </c>
      <c r="L23" s="115"/>
      <c r="M23" s="125">
        <f t="shared" si="2"/>
        <v>3459.0831390831395</v>
      </c>
      <c r="N23" s="151">
        <f>Occ!G30</f>
        <v>177</v>
      </c>
      <c r="O23" s="98">
        <f>Occ!H30</f>
        <v>317</v>
      </c>
      <c r="P23" s="150">
        <v>918</v>
      </c>
      <c r="Q23" s="156"/>
    </row>
    <row r="24" spans="1:17">
      <c r="A24" s="7" t="s">
        <v>14</v>
      </c>
      <c r="B24" s="7">
        <v>22</v>
      </c>
      <c r="C24" s="7">
        <v>10</v>
      </c>
      <c r="D24" s="114">
        <v>2022</v>
      </c>
      <c r="E24" s="142">
        <f>'Athens Daily - EL'!AK29</f>
        <v>44160</v>
      </c>
      <c r="F24" s="144"/>
      <c r="G24" s="125">
        <f t="shared" si="1"/>
        <v>44160</v>
      </c>
      <c r="H24" s="163">
        <f>'Athens Daily - Water'!R28</f>
        <v>192</v>
      </c>
      <c r="I24" s="164"/>
      <c r="J24" s="121">
        <f t="shared" si="0"/>
        <v>192</v>
      </c>
      <c r="K24" s="142">
        <f>'Athens Daily - Gas'!BH31</f>
        <v>128131.2</v>
      </c>
      <c r="L24" s="115"/>
      <c r="M24" s="125">
        <f t="shared" si="2"/>
        <v>3318.6013986013986</v>
      </c>
      <c r="N24" s="151">
        <f>Occ!G31</f>
        <v>186</v>
      </c>
      <c r="O24" s="98">
        <f>Occ!H31</f>
        <v>330</v>
      </c>
      <c r="P24" s="150">
        <v>918</v>
      </c>
      <c r="Q24" s="156"/>
    </row>
    <row r="25" spans="1:17">
      <c r="A25" s="7" t="s">
        <v>14</v>
      </c>
      <c r="B25" s="7">
        <v>23</v>
      </c>
      <c r="C25" s="7">
        <v>10</v>
      </c>
      <c r="D25" s="114">
        <v>2022</v>
      </c>
      <c r="E25" s="142">
        <f>'Athens Daily - EL'!AK30</f>
        <v>42640</v>
      </c>
      <c r="F25" s="144"/>
      <c r="G25" s="125">
        <f t="shared" si="1"/>
        <v>42640</v>
      </c>
      <c r="H25" s="163">
        <f>'Athens Daily - Water'!R29</f>
        <v>505</v>
      </c>
      <c r="I25" s="164"/>
      <c r="J25" s="121">
        <f t="shared" si="0"/>
        <v>505</v>
      </c>
      <c r="K25" s="163">
        <f>'Athens Daily - Gas'!BH32</f>
        <v>118054.40000000093</v>
      </c>
      <c r="L25" s="115"/>
      <c r="M25" s="125">
        <f t="shared" si="2"/>
        <v>3057.6120176120417</v>
      </c>
      <c r="N25" s="151">
        <f>Occ!G32</f>
        <v>135</v>
      </c>
      <c r="O25" s="98">
        <f>Occ!H32</f>
        <v>217</v>
      </c>
      <c r="P25" s="150">
        <v>918</v>
      </c>
      <c r="Q25" s="156"/>
    </row>
    <row r="26" spans="1:17">
      <c r="A26" s="7" t="s">
        <v>14</v>
      </c>
      <c r="B26" s="7">
        <v>24</v>
      </c>
      <c r="C26" s="7">
        <v>10</v>
      </c>
      <c r="D26" s="114">
        <v>2022</v>
      </c>
      <c r="E26" s="142">
        <f>'Athens Daily - EL'!AK31</f>
        <v>36100</v>
      </c>
      <c r="F26" s="144"/>
      <c r="G26" s="125">
        <f t="shared" si="1"/>
        <v>36100</v>
      </c>
      <c r="H26" s="163">
        <f>'Athens Daily - Water'!R30</f>
        <v>448</v>
      </c>
      <c r="I26" s="164"/>
      <c r="J26" s="121">
        <f t="shared" si="0"/>
        <v>448</v>
      </c>
      <c r="K26" s="142">
        <f>'Athens Daily - Gas'!BH33</f>
        <v>126089.60000000094</v>
      </c>
      <c r="L26" s="115"/>
      <c r="M26" s="125">
        <f t="shared" si="2"/>
        <v>3265.7239057239299</v>
      </c>
      <c r="N26" s="151">
        <f>Occ!G33</f>
        <v>141</v>
      </c>
      <c r="O26" s="98">
        <f>Occ!H33</f>
        <v>220</v>
      </c>
      <c r="P26" s="150">
        <v>918</v>
      </c>
      <c r="Q26" s="156"/>
    </row>
    <row r="27" spans="1:17">
      <c r="A27" s="7" t="s">
        <v>14</v>
      </c>
      <c r="B27" s="7">
        <v>25</v>
      </c>
      <c r="C27" s="7">
        <v>10</v>
      </c>
      <c r="D27" s="114">
        <v>2022</v>
      </c>
      <c r="E27" s="142">
        <f>'Athens Daily - EL'!AK32</f>
        <v>44155</v>
      </c>
      <c r="F27" s="144"/>
      <c r="G27" s="125">
        <f t="shared" si="1"/>
        <v>44155</v>
      </c>
      <c r="H27" s="142">
        <f>'Athens Daily - Water'!R31</f>
        <v>773.44100000000003</v>
      </c>
      <c r="I27" s="115"/>
      <c r="J27" s="121">
        <f t="shared" si="0"/>
        <v>773.44100000000003</v>
      </c>
      <c r="K27" s="142">
        <f>'Athens Daily - Gas'!BH34</f>
        <v>134275.32799999815</v>
      </c>
      <c r="L27" s="115"/>
      <c r="M27" s="125">
        <f t="shared" si="2"/>
        <v>3477.734472934425</v>
      </c>
      <c r="N27" s="151">
        <f>Occ!G34</f>
        <v>134</v>
      </c>
      <c r="O27" s="98">
        <f>Occ!H34</f>
        <v>215</v>
      </c>
      <c r="P27" s="150">
        <v>918</v>
      </c>
      <c r="Q27" s="154"/>
    </row>
    <row r="28" spans="1:17">
      <c r="A28" s="7" t="s">
        <v>14</v>
      </c>
      <c r="B28" s="7">
        <v>26</v>
      </c>
      <c r="C28" s="7">
        <v>10</v>
      </c>
      <c r="D28" s="114">
        <v>2022</v>
      </c>
      <c r="E28" s="142">
        <f>'Athens Daily - EL'!AK33</f>
        <v>40325</v>
      </c>
      <c r="F28" s="144"/>
      <c r="G28" s="125">
        <f t="shared" si="1"/>
        <v>40325</v>
      </c>
      <c r="H28" s="142">
        <f>'Athens Daily - Water'!R32</f>
        <v>92.559000000000026</v>
      </c>
      <c r="I28" s="115"/>
      <c r="J28" s="121">
        <f t="shared" si="0"/>
        <v>92.559000000000026</v>
      </c>
      <c r="K28" s="142">
        <f>'Athens Daily - Gas'!BH35</f>
        <v>226914.89600000001</v>
      </c>
      <c r="L28" s="115"/>
      <c r="M28" s="125">
        <f t="shared" si="2"/>
        <v>5877.1016835016835</v>
      </c>
      <c r="N28" s="151">
        <f>Occ!G35</f>
        <v>131</v>
      </c>
      <c r="O28" s="98">
        <f>Occ!H35</f>
        <v>208</v>
      </c>
      <c r="P28" s="150">
        <v>918</v>
      </c>
      <c r="Q28" s="154"/>
    </row>
    <row r="29" spans="1:17">
      <c r="A29" s="7" t="s">
        <v>14</v>
      </c>
      <c r="B29" s="7">
        <v>27</v>
      </c>
      <c r="C29" s="7">
        <v>10</v>
      </c>
      <c r="D29" s="114">
        <v>2022</v>
      </c>
      <c r="E29" s="142">
        <f>'Athens Daily - EL'!AK34</f>
        <v>40750</v>
      </c>
      <c r="F29" s="144"/>
      <c r="G29" s="125">
        <f t="shared" si="1"/>
        <v>40750</v>
      </c>
      <c r="H29" s="142">
        <f>'Athens Daily - Water'!R33</f>
        <v>435</v>
      </c>
      <c r="I29" s="115"/>
      <c r="J29" s="121">
        <f t="shared" si="0"/>
        <v>435</v>
      </c>
      <c r="K29" s="142">
        <f>'Athens Daily - Gas'!BH36</f>
        <v>125359.632</v>
      </c>
      <c r="L29" s="115"/>
      <c r="M29" s="125">
        <f t="shared" si="2"/>
        <v>3246.8177156177157</v>
      </c>
      <c r="N29" s="151">
        <f>Occ!G36</f>
        <v>134</v>
      </c>
      <c r="O29" s="98">
        <f>Occ!H36</f>
        <v>214</v>
      </c>
      <c r="P29" s="150">
        <v>918</v>
      </c>
      <c r="Q29" s="154"/>
    </row>
    <row r="30" spans="1:17">
      <c r="A30" s="7" t="s">
        <v>14</v>
      </c>
      <c r="B30" s="7">
        <v>28</v>
      </c>
      <c r="C30" s="7">
        <v>10</v>
      </c>
      <c r="D30" s="114">
        <v>2022</v>
      </c>
      <c r="E30" s="142">
        <f>'Athens Daily - EL'!AK35</f>
        <v>41420</v>
      </c>
      <c r="F30" s="144"/>
      <c r="G30" s="125">
        <f t="shared" si="1"/>
        <v>41420</v>
      </c>
      <c r="H30" s="142">
        <f>'Athens Daily - Water'!R34</f>
        <v>449</v>
      </c>
      <c r="I30" s="115"/>
      <c r="J30" s="121">
        <f t="shared" si="0"/>
        <v>449</v>
      </c>
      <c r="K30" s="142">
        <f>'Athens Daily - Gas'!BH37</f>
        <v>132145.77600000001</v>
      </c>
      <c r="L30" s="115"/>
      <c r="M30" s="125">
        <f t="shared" si="2"/>
        <v>3422.5790209790212</v>
      </c>
      <c r="N30" s="151">
        <f>Occ!G37</f>
        <v>142</v>
      </c>
      <c r="O30" s="98">
        <f>Occ!H37</f>
        <v>232</v>
      </c>
      <c r="P30" s="150">
        <v>918</v>
      </c>
      <c r="Q30" s="154"/>
    </row>
    <row r="31" spans="1:17">
      <c r="A31" s="7" t="s">
        <v>14</v>
      </c>
      <c r="B31" s="7">
        <v>29</v>
      </c>
      <c r="C31" s="7">
        <v>10</v>
      </c>
      <c r="D31" s="114">
        <v>2022</v>
      </c>
      <c r="E31" s="142">
        <f>'Athens Daily - EL'!AK36</f>
        <v>44645</v>
      </c>
      <c r="F31" s="144"/>
      <c r="G31" s="125">
        <f t="shared" si="1"/>
        <v>44645</v>
      </c>
      <c r="H31" s="142">
        <f>'Athens Daily - Water'!R36</f>
        <v>1550.7416000000001</v>
      </c>
      <c r="I31" s="115"/>
      <c r="J31" s="121">
        <f t="shared" si="0"/>
        <v>1550.7416000000001</v>
      </c>
      <c r="K31" s="142">
        <f>'Athens Daily - Gas'!BH38</f>
        <v>135008.20799999998</v>
      </c>
      <c r="L31" s="115"/>
      <c r="M31" s="125">
        <f t="shared" si="2"/>
        <v>3496.7160839160833</v>
      </c>
      <c r="N31" s="151">
        <f>Occ!G38</f>
        <v>145</v>
      </c>
      <c r="O31" s="98">
        <f>Occ!H38</f>
        <v>226</v>
      </c>
      <c r="P31" s="150">
        <v>918</v>
      </c>
      <c r="Q31" s="154"/>
    </row>
    <row r="32" spans="1:17">
      <c r="A32" s="7" t="s">
        <v>14</v>
      </c>
      <c r="B32" s="7">
        <v>30</v>
      </c>
      <c r="C32" s="7">
        <v>10</v>
      </c>
      <c r="D32" s="114">
        <v>2022</v>
      </c>
      <c r="E32" s="142">
        <f>'Athens Daily - EL'!AK37</f>
        <v>38690</v>
      </c>
      <c r="F32" s="144"/>
      <c r="G32" s="125">
        <f t="shared" si="1"/>
        <v>38690</v>
      </c>
      <c r="H32" s="142">
        <f>'Athens Daily - Water'!R37</f>
        <v>172.25839999999999</v>
      </c>
      <c r="I32" s="115"/>
      <c r="J32" s="121">
        <f t="shared" si="0"/>
        <v>172.25839999999999</v>
      </c>
      <c r="K32" s="142">
        <f>'Athens Daily - Gas'!BH39</f>
        <v>124850.97599999998</v>
      </c>
      <c r="L32" s="115"/>
      <c r="M32" s="125">
        <f t="shared" si="2"/>
        <v>3233.6435120435117</v>
      </c>
      <c r="N32" s="151">
        <f>Occ!G39</f>
        <v>129</v>
      </c>
      <c r="O32" s="98">
        <f>Occ!H39</f>
        <v>168</v>
      </c>
      <c r="P32" s="150">
        <v>918</v>
      </c>
      <c r="Q32" s="154"/>
    </row>
    <row r="33" spans="1:17" ht="15.75" thickBot="1">
      <c r="A33" s="7" t="s">
        <v>14</v>
      </c>
      <c r="B33" s="7">
        <v>31</v>
      </c>
      <c r="C33" s="7">
        <v>10</v>
      </c>
      <c r="D33" s="114">
        <v>2022</v>
      </c>
      <c r="E33" s="143">
        <f>'Athens Daily - EL'!AK38</f>
        <v>37525</v>
      </c>
      <c r="F33" s="145"/>
      <c r="G33" s="126">
        <f t="shared" si="1"/>
        <v>37525</v>
      </c>
      <c r="H33" s="143">
        <f>'Athens Daily - Water'!R38</f>
        <v>0</v>
      </c>
      <c r="I33" s="119"/>
      <c r="J33" s="122">
        <f t="shared" si="0"/>
        <v>0</v>
      </c>
      <c r="K33" s="143">
        <f>'Athens Daily - Gas'!BH40</f>
        <v>0</v>
      </c>
      <c r="L33" s="119"/>
      <c r="M33" s="126">
        <f t="shared" si="2"/>
        <v>0</v>
      </c>
      <c r="N33" s="158">
        <f>Occ!G40</f>
        <v>0</v>
      </c>
      <c r="O33" s="149">
        <f>Occ!H40</f>
        <v>0</v>
      </c>
      <c r="P33" s="148">
        <v>918</v>
      </c>
      <c r="Q33" s="154"/>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32" sqref="D3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7" t="s">
        <v>15</v>
      </c>
      <c r="B1" s="127" t="s">
        <v>16</v>
      </c>
      <c r="C1" s="128"/>
      <c r="D1" s="128"/>
      <c r="E1" s="128"/>
      <c r="F1" s="128"/>
      <c r="G1" s="128"/>
      <c r="H1" s="128"/>
      <c r="I1" s="128"/>
      <c r="J1" s="127"/>
      <c r="K1" s="127"/>
      <c r="L1" s="127"/>
      <c r="M1" s="127"/>
      <c r="N1" s="127"/>
    </row>
    <row r="2" spans="1:14">
      <c r="A2" s="127"/>
      <c r="B2" s="127"/>
      <c r="C2" s="128"/>
      <c r="D2" s="128"/>
      <c r="E2" s="128"/>
      <c r="F2" s="128"/>
      <c r="G2" s="128"/>
      <c r="H2" s="128"/>
      <c r="I2" s="128"/>
      <c r="J2" s="127"/>
      <c r="K2" s="127"/>
      <c r="L2" s="127"/>
      <c r="M2" s="127"/>
      <c r="N2" s="127"/>
    </row>
    <row r="3" spans="1:14">
      <c r="A3" s="127"/>
      <c r="B3" s="127"/>
      <c r="C3" s="129" t="s">
        <v>17</v>
      </c>
      <c r="D3" s="129"/>
      <c r="E3" s="129"/>
      <c r="F3" s="129"/>
      <c r="G3" s="129"/>
      <c r="H3" s="129"/>
      <c r="I3" s="129"/>
      <c r="J3" s="130"/>
      <c r="K3" s="130"/>
      <c r="L3" s="130"/>
      <c r="M3" s="130"/>
      <c r="N3" s="130"/>
    </row>
    <row r="4" spans="1:14">
      <c r="A4" s="127"/>
      <c r="B4" s="127"/>
      <c r="C4" s="128" t="s">
        <v>18</v>
      </c>
      <c r="D4" s="128"/>
      <c r="E4" s="128"/>
      <c r="F4" s="128"/>
      <c r="G4" s="128"/>
      <c r="H4" s="128"/>
      <c r="I4" s="128"/>
      <c r="J4" s="127"/>
      <c r="K4" s="127"/>
      <c r="L4" s="127"/>
      <c r="M4" s="127"/>
      <c r="N4" s="127"/>
    </row>
    <row r="5" spans="1:14">
      <c r="A5" s="127"/>
      <c r="B5" s="127"/>
      <c r="C5" s="128" t="s">
        <v>19</v>
      </c>
      <c r="D5" s="128"/>
      <c r="E5" s="128"/>
      <c r="F5" s="128"/>
      <c r="G5" s="128"/>
      <c r="H5" s="128"/>
      <c r="I5" s="128"/>
      <c r="J5" s="127"/>
      <c r="K5" s="127"/>
      <c r="L5" s="127"/>
      <c r="M5" s="127"/>
      <c r="N5" s="127"/>
    </row>
    <row r="6" spans="1:14">
      <c r="A6" s="127"/>
      <c r="B6" s="127"/>
      <c r="C6" s="128" t="s">
        <v>12</v>
      </c>
      <c r="D6" s="128"/>
      <c r="E6" s="128"/>
      <c r="F6" s="128"/>
      <c r="G6" s="128"/>
      <c r="H6" s="128"/>
      <c r="I6" s="128"/>
      <c r="J6" s="127"/>
      <c r="K6" s="127"/>
      <c r="L6" s="127"/>
      <c r="M6" s="127"/>
      <c r="N6" s="127"/>
    </row>
    <row r="7" spans="1:14">
      <c r="A7" s="127"/>
      <c r="B7" s="127" t="s">
        <v>20</v>
      </c>
      <c r="C7" s="128" t="s">
        <v>403</v>
      </c>
      <c r="D7" s="128"/>
      <c r="E7" s="128"/>
      <c r="F7" s="128"/>
      <c r="G7" s="128"/>
      <c r="H7" s="128"/>
      <c r="I7" s="128"/>
      <c r="J7" s="127"/>
      <c r="K7" s="127"/>
      <c r="L7" s="127"/>
      <c r="M7" s="127"/>
      <c r="N7" s="127"/>
    </row>
    <row r="8" spans="1:14" ht="15.75" thickBot="1">
      <c r="A8" s="127"/>
      <c r="B8" s="127" t="s">
        <v>21</v>
      </c>
      <c r="C8" s="131"/>
      <c r="D8" s="131"/>
      <c r="E8" s="131"/>
      <c r="F8" s="131"/>
      <c r="G8" s="212" t="s">
        <v>22</v>
      </c>
      <c r="H8" s="213"/>
      <c r="I8" s="128"/>
      <c r="J8" s="127"/>
      <c r="K8" s="127"/>
      <c r="L8" s="127"/>
      <c r="M8" s="127"/>
      <c r="N8" s="127"/>
    </row>
    <row r="9" spans="1:14">
      <c r="A9" s="127"/>
      <c r="B9" s="132" t="s">
        <v>23</v>
      </c>
      <c r="C9" s="133" t="s">
        <v>24</v>
      </c>
      <c r="D9" s="134" t="s">
        <v>25</v>
      </c>
      <c r="E9" s="133" t="s">
        <v>26</v>
      </c>
      <c r="F9" s="134" t="s">
        <v>25</v>
      </c>
      <c r="G9" s="133" t="s">
        <v>27</v>
      </c>
      <c r="H9" s="134" t="s">
        <v>11</v>
      </c>
      <c r="I9" s="135" t="s">
        <v>12</v>
      </c>
      <c r="J9" s="127"/>
      <c r="K9" s="127"/>
      <c r="L9" s="127"/>
      <c r="M9" s="127"/>
      <c r="N9" s="127"/>
    </row>
    <row r="10" spans="1:14">
      <c r="A10" s="127"/>
      <c r="B10" s="136" t="s">
        <v>28</v>
      </c>
      <c r="C10" s="137">
        <v>194</v>
      </c>
      <c r="D10" s="138">
        <v>402</v>
      </c>
      <c r="E10" s="137"/>
      <c r="F10" s="138"/>
      <c r="G10" s="157">
        <f>SUM(C10+E10)</f>
        <v>194</v>
      </c>
      <c r="H10" s="138">
        <f>D10+F10</f>
        <v>402</v>
      </c>
      <c r="I10" s="135">
        <v>918</v>
      </c>
      <c r="J10" s="127"/>
      <c r="K10" s="127"/>
      <c r="L10" s="127"/>
      <c r="M10" s="127"/>
      <c r="N10" s="127"/>
    </row>
    <row r="11" spans="1:14">
      <c r="A11" s="127"/>
      <c r="B11" s="136" t="s">
        <v>29</v>
      </c>
      <c r="C11" s="137">
        <v>115</v>
      </c>
      <c r="D11" s="138">
        <v>200</v>
      </c>
      <c r="E11" s="137"/>
      <c r="F11" s="138"/>
      <c r="G11" s="157">
        <f t="shared" ref="G11:G40" si="0">SUM(C11+E11)</f>
        <v>115</v>
      </c>
      <c r="H11" s="138">
        <f t="shared" ref="H11:H14" si="1">D11+F11</f>
        <v>200</v>
      </c>
      <c r="I11" s="135">
        <v>918</v>
      </c>
      <c r="J11" s="127"/>
      <c r="K11" s="127"/>
      <c r="L11" s="127"/>
      <c r="M11" s="127"/>
      <c r="N11" s="127"/>
    </row>
    <row r="12" spans="1:14">
      <c r="A12" s="127"/>
      <c r="B12" s="136" t="s">
        <v>30</v>
      </c>
      <c r="C12" s="137">
        <v>134</v>
      </c>
      <c r="D12" s="138">
        <v>246</v>
      </c>
      <c r="E12" s="137"/>
      <c r="F12" s="138"/>
      <c r="G12" s="157">
        <f t="shared" si="0"/>
        <v>134</v>
      </c>
      <c r="H12" s="138">
        <f t="shared" si="1"/>
        <v>246</v>
      </c>
      <c r="I12" s="135">
        <v>918</v>
      </c>
      <c r="J12" s="127"/>
      <c r="K12" s="127"/>
      <c r="L12" s="127"/>
      <c r="M12" s="127"/>
      <c r="N12" s="127"/>
    </row>
    <row r="13" spans="1:14">
      <c r="A13" s="127"/>
      <c r="B13" s="136" t="s">
        <v>31</v>
      </c>
      <c r="C13" s="137">
        <v>131</v>
      </c>
      <c r="D13" s="138">
        <v>223</v>
      </c>
      <c r="E13" s="137"/>
      <c r="F13" s="138"/>
      <c r="G13" s="157">
        <f t="shared" si="0"/>
        <v>131</v>
      </c>
      <c r="H13" s="138">
        <f t="shared" si="1"/>
        <v>223</v>
      </c>
      <c r="I13" s="135">
        <v>918</v>
      </c>
      <c r="J13" s="127"/>
      <c r="K13" s="127"/>
      <c r="L13" s="127"/>
      <c r="M13" s="127"/>
      <c r="N13" s="127"/>
    </row>
    <row r="14" spans="1:14">
      <c r="A14" s="127"/>
      <c r="B14" s="136" t="s">
        <v>32</v>
      </c>
      <c r="C14" s="137">
        <v>97</v>
      </c>
      <c r="D14" s="138">
        <v>154</v>
      </c>
      <c r="E14" s="137"/>
      <c r="F14" s="138"/>
      <c r="G14" s="157">
        <f t="shared" si="0"/>
        <v>97</v>
      </c>
      <c r="H14" s="138">
        <f t="shared" si="1"/>
        <v>154</v>
      </c>
      <c r="I14" s="135">
        <v>918</v>
      </c>
      <c r="J14" s="127"/>
      <c r="K14" s="127"/>
      <c r="L14" s="127"/>
      <c r="M14" s="127"/>
      <c r="N14" s="127"/>
    </row>
    <row r="15" spans="1:14">
      <c r="A15" s="127"/>
      <c r="B15" s="136" t="s">
        <v>33</v>
      </c>
      <c r="C15" s="137">
        <v>121</v>
      </c>
      <c r="D15" s="138">
        <v>215</v>
      </c>
      <c r="E15" s="137"/>
      <c r="F15" s="138"/>
      <c r="G15" s="157">
        <f t="shared" si="0"/>
        <v>121</v>
      </c>
      <c r="H15" s="138">
        <f t="shared" ref="H15:H40" si="2">D15+F15</f>
        <v>215</v>
      </c>
      <c r="I15" s="135">
        <v>918</v>
      </c>
      <c r="J15" s="127"/>
      <c r="K15" s="127"/>
      <c r="L15" s="127"/>
      <c r="M15" s="127"/>
      <c r="N15" s="127"/>
    </row>
    <row r="16" spans="1:14">
      <c r="A16" s="127"/>
      <c r="B16" s="136" t="s">
        <v>34</v>
      </c>
      <c r="C16" s="137">
        <v>124</v>
      </c>
      <c r="D16" s="138">
        <v>225</v>
      </c>
      <c r="E16" s="137"/>
      <c r="F16" s="138"/>
      <c r="G16" s="157">
        <f t="shared" si="0"/>
        <v>124</v>
      </c>
      <c r="H16" s="138">
        <f t="shared" si="2"/>
        <v>225</v>
      </c>
      <c r="I16" s="135">
        <v>918</v>
      </c>
      <c r="J16" s="127"/>
      <c r="K16" s="127"/>
      <c r="L16" s="127"/>
      <c r="M16" s="127"/>
      <c r="N16" s="127"/>
    </row>
    <row r="17" spans="1:14">
      <c r="A17" s="127"/>
      <c r="B17" s="136" t="s">
        <v>35</v>
      </c>
      <c r="C17" s="137">
        <v>164</v>
      </c>
      <c r="D17" s="138">
        <v>314</v>
      </c>
      <c r="E17" s="137"/>
      <c r="F17" s="138"/>
      <c r="G17" s="157">
        <f t="shared" si="0"/>
        <v>164</v>
      </c>
      <c r="H17" s="138">
        <f t="shared" si="2"/>
        <v>314</v>
      </c>
      <c r="I17" s="135">
        <v>918</v>
      </c>
      <c r="J17" s="127"/>
      <c r="K17" s="127"/>
      <c r="L17" s="127"/>
      <c r="M17" s="127"/>
      <c r="N17" s="127"/>
    </row>
    <row r="18" spans="1:14">
      <c r="A18" s="127"/>
      <c r="B18" s="136" t="s">
        <v>36</v>
      </c>
      <c r="C18" s="137">
        <v>147</v>
      </c>
      <c r="D18" s="138">
        <v>263</v>
      </c>
      <c r="E18" s="137"/>
      <c r="F18" s="138"/>
      <c r="G18" s="157">
        <f t="shared" si="0"/>
        <v>147</v>
      </c>
      <c r="H18" s="138">
        <f t="shared" si="2"/>
        <v>263</v>
      </c>
      <c r="I18" s="135">
        <v>918</v>
      </c>
      <c r="J18" s="127"/>
      <c r="K18" s="127"/>
      <c r="L18" s="127"/>
      <c r="M18" s="127"/>
      <c r="N18" s="127"/>
    </row>
    <row r="19" spans="1:14">
      <c r="A19" s="127"/>
      <c r="B19" s="136" t="s">
        <v>37</v>
      </c>
      <c r="C19" s="137">
        <v>124</v>
      </c>
      <c r="D19" s="138">
        <v>200</v>
      </c>
      <c r="E19" s="137"/>
      <c r="F19" s="138"/>
      <c r="G19" s="157">
        <f t="shared" si="0"/>
        <v>124</v>
      </c>
      <c r="H19" s="138">
        <f t="shared" si="2"/>
        <v>200</v>
      </c>
      <c r="I19" s="135">
        <v>918</v>
      </c>
      <c r="J19" s="127"/>
      <c r="K19" s="127"/>
      <c r="L19" s="127"/>
      <c r="M19" s="127"/>
      <c r="N19" s="127"/>
    </row>
    <row r="20" spans="1:14">
      <c r="A20" s="127"/>
      <c r="B20" s="136" t="s">
        <v>38</v>
      </c>
      <c r="C20" s="137">
        <v>124</v>
      </c>
      <c r="D20" s="138">
        <v>203</v>
      </c>
      <c r="E20" s="137"/>
      <c r="F20" s="138"/>
      <c r="G20" s="157">
        <f t="shared" si="0"/>
        <v>124</v>
      </c>
      <c r="H20" s="138">
        <f t="shared" si="2"/>
        <v>203</v>
      </c>
      <c r="I20" s="135">
        <v>918</v>
      </c>
      <c r="J20" s="127"/>
      <c r="K20" s="127"/>
      <c r="L20" s="127"/>
      <c r="M20" s="127"/>
      <c r="N20" s="127"/>
    </row>
    <row r="21" spans="1:14">
      <c r="A21" s="127"/>
      <c r="B21" s="136" t="s">
        <v>39</v>
      </c>
      <c r="C21" s="137">
        <v>129</v>
      </c>
      <c r="D21" s="138">
        <v>214</v>
      </c>
      <c r="E21" s="157"/>
      <c r="F21" s="138"/>
      <c r="G21" s="157">
        <f t="shared" ref="G21:G34" si="3">SUM(C21+E21)</f>
        <v>129</v>
      </c>
      <c r="H21" s="138">
        <f t="shared" ref="H21:H34" si="4">D21+F21</f>
        <v>214</v>
      </c>
      <c r="I21" s="135">
        <v>918</v>
      </c>
      <c r="J21" s="127"/>
      <c r="K21" s="127"/>
      <c r="L21" s="127"/>
      <c r="M21" s="127"/>
      <c r="N21" s="127"/>
    </row>
    <row r="22" spans="1:14">
      <c r="A22" s="127"/>
      <c r="B22" s="136" t="s">
        <v>40</v>
      </c>
      <c r="C22" s="167">
        <v>119</v>
      </c>
      <c r="D22" s="168">
        <v>200</v>
      </c>
      <c r="E22" s="157"/>
      <c r="F22" s="138"/>
      <c r="G22" s="157">
        <f t="shared" si="3"/>
        <v>119</v>
      </c>
      <c r="H22" s="138">
        <f t="shared" si="4"/>
        <v>200</v>
      </c>
      <c r="I22" s="135">
        <v>918</v>
      </c>
      <c r="J22" s="127"/>
      <c r="K22" s="127"/>
      <c r="L22" s="127"/>
      <c r="M22" s="127"/>
      <c r="N22" s="127"/>
    </row>
    <row r="23" spans="1:14">
      <c r="A23" s="127"/>
      <c r="B23" s="136" t="s">
        <v>41</v>
      </c>
      <c r="C23" s="167">
        <v>142</v>
      </c>
      <c r="D23" s="168">
        <v>253</v>
      </c>
      <c r="E23" s="157"/>
      <c r="F23" s="138"/>
      <c r="G23" s="157">
        <f t="shared" si="3"/>
        <v>142</v>
      </c>
      <c r="H23" s="138">
        <f t="shared" si="4"/>
        <v>253</v>
      </c>
      <c r="I23" s="135">
        <v>918</v>
      </c>
      <c r="J23" s="127"/>
      <c r="K23" s="127"/>
      <c r="L23" s="127"/>
      <c r="M23" s="127"/>
      <c r="N23" s="127"/>
    </row>
    <row r="24" spans="1:14">
      <c r="A24" s="127"/>
      <c r="B24" s="136" t="s">
        <v>42</v>
      </c>
      <c r="C24" s="167">
        <v>176</v>
      </c>
      <c r="D24" s="168">
        <v>331</v>
      </c>
      <c r="E24" s="157"/>
      <c r="F24" s="138"/>
      <c r="G24" s="157">
        <f t="shared" si="3"/>
        <v>176</v>
      </c>
      <c r="H24" s="138">
        <f t="shared" si="4"/>
        <v>331</v>
      </c>
      <c r="I24" s="135">
        <v>918</v>
      </c>
      <c r="J24" s="127"/>
      <c r="K24" s="127"/>
      <c r="L24" s="127"/>
      <c r="M24" s="127"/>
      <c r="N24" s="127"/>
    </row>
    <row r="25" spans="1:14">
      <c r="A25" s="127"/>
      <c r="B25" s="136" t="s">
        <v>43</v>
      </c>
      <c r="C25" s="167">
        <v>151</v>
      </c>
      <c r="D25" s="168">
        <v>267</v>
      </c>
      <c r="E25" s="157"/>
      <c r="F25" s="138"/>
      <c r="G25" s="157">
        <f t="shared" si="3"/>
        <v>151</v>
      </c>
      <c r="H25" s="138">
        <f t="shared" si="4"/>
        <v>267</v>
      </c>
      <c r="I25" s="135">
        <v>918</v>
      </c>
      <c r="J25" s="127"/>
      <c r="K25" s="127"/>
      <c r="L25" s="127"/>
      <c r="M25" s="127"/>
      <c r="N25" s="127"/>
    </row>
    <row r="26" spans="1:14">
      <c r="A26" s="127"/>
      <c r="B26" s="136" t="s">
        <v>44</v>
      </c>
      <c r="C26" s="167">
        <v>128</v>
      </c>
      <c r="D26" s="168">
        <v>199</v>
      </c>
      <c r="E26" s="157"/>
      <c r="F26" s="138"/>
      <c r="G26" s="157">
        <f t="shared" si="3"/>
        <v>128</v>
      </c>
      <c r="H26" s="138">
        <f t="shared" si="4"/>
        <v>199</v>
      </c>
      <c r="I26" s="135">
        <v>918</v>
      </c>
      <c r="J26" s="127"/>
      <c r="K26" s="127"/>
      <c r="L26" s="127"/>
      <c r="M26" s="127"/>
      <c r="N26" s="127"/>
    </row>
    <row r="27" spans="1:14">
      <c r="A27" s="127"/>
      <c r="B27" s="136" t="s">
        <v>45</v>
      </c>
      <c r="C27" s="167">
        <v>147</v>
      </c>
      <c r="D27" s="168">
        <v>232</v>
      </c>
      <c r="E27" s="157"/>
      <c r="F27" s="138"/>
      <c r="G27" s="157">
        <f t="shared" si="3"/>
        <v>147</v>
      </c>
      <c r="H27" s="138">
        <f t="shared" si="4"/>
        <v>232</v>
      </c>
      <c r="I27" s="135">
        <v>918</v>
      </c>
      <c r="J27" s="127"/>
      <c r="K27" s="127"/>
      <c r="L27" s="127"/>
      <c r="M27" s="127"/>
      <c r="N27" s="127"/>
    </row>
    <row r="28" spans="1:14">
      <c r="A28" s="127"/>
      <c r="B28" s="136" t="s">
        <v>46</v>
      </c>
      <c r="C28" s="167">
        <v>143</v>
      </c>
      <c r="D28" s="168">
        <v>224</v>
      </c>
      <c r="E28" s="157"/>
      <c r="F28" s="138"/>
      <c r="G28" s="157">
        <f t="shared" si="3"/>
        <v>143</v>
      </c>
      <c r="H28" s="138">
        <f t="shared" si="4"/>
        <v>224</v>
      </c>
      <c r="I28" s="135">
        <v>918</v>
      </c>
      <c r="J28" s="127"/>
      <c r="K28" s="127"/>
      <c r="L28" s="127"/>
      <c r="M28" s="127"/>
      <c r="N28" s="127"/>
    </row>
    <row r="29" spans="1:14">
      <c r="A29" s="127"/>
      <c r="B29" s="136" t="s">
        <v>47</v>
      </c>
      <c r="C29" s="137">
        <v>146</v>
      </c>
      <c r="D29" s="138">
        <v>239</v>
      </c>
      <c r="E29" s="157"/>
      <c r="F29" s="138"/>
      <c r="G29" s="157">
        <f t="shared" si="3"/>
        <v>146</v>
      </c>
      <c r="H29" s="138">
        <f t="shared" si="4"/>
        <v>239</v>
      </c>
      <c r="I29" s="135">
        <v>918</v>
      </c>
      <c r="J29" s="127"/>
      <c r="K29" s="127"/>
      <c r="L29" s="127"/>
      <c r="M29" s="127"/>
      <c r="N29" s="127"/>
    </row>
    <row r="30" spans="1:14">
      <c r="A30" s="127"/>
      <c r="B30" s="136" t="s">
        <v>48</v>
      </c>
      <c r="C30" s="137">
        <v>177</v>
      </c>
      <c r="D30" s="138">
        <v>317</v>
      </c>
      <c r="E30" s="157"/>
      <c r="F30" s="138"/>
      <c r="G30" s="157">
        <f t="shared" si="3"/>
        <v>177</v>
      </c>
      <c r="H30" s="138">
        <f t="shared" si="4"/>
        <v>317</v>
      </c>
      <c r="I30" s="135">
        <v>918</v>
      </c>
      <c r="J30" s="127"/>
      <c r="K30" s="127"/>
      <c r="L30" s="127"/>
      <c r="M30" s="127"/>
      <c r="N30" s="127"/>
    </row>
    <row r="31" spans="1:14">
      <c r="A31" s="127"/>
      <c r="B31" s="136" t="s">
        <v>49</v>
      </c>
      <c r="C31" s="137">
        <v>186</v>
      </c>
      <c r="D31" s="138">
        <v>330</v>
      </c>
      <c r="E31" s="157"/>
      <c r="F31" s="138"/>
      <c r="G31" s="157">
        <f t="shared" si="3"/>
        <v>186</v>
      </c>
      <c r="H31" s="138">
        <f t="shared" si="4"/>
        <v>330</v>
      </c>
      <c r="I31" s="135">
        <v>918</v>
      </c>
      <c r="J31" s="127"/>
      <c r="K31" s="127"/>
      <c r="L31" s="127"/>
      <c r="M31" s="127"/>
      <c r="N31" s="127"/>
    </row>
    <row r="32" spans="1:14">
      <c r="A32" s="127"/>
      <c r="B32" s="136" t="s">
        <v>50</v>
      </c>
      <c r="C32" s="137">
        <v>135</v>
      </c>
      <c r="D32" s="138">
        <v>217</v>
      </c>
      <c r="E32" s="157"/>
      <c r="F32" s="138"/>
      <c r="G32" s="157">
        <f t="shared" si="3"/>
        <v>135</v>
      </c>
      <c r="H32" s="138">
        <f t="shared" si="4"/>
        <v>217</v>
      </c>
      <c r="I32" s="135">
        <v>918</v>
      </c>
      <c r="J32" s="127"/>
      <c r="K32" s="127"/>
      <c r="L32" s="127"/>
      <c r="M32" s="127"/>
      <c r="N32" s="127"/>
    </row>
    <row r="33" spans="1:14">
      <c r="A33" s="127"/>
      <c r="B33" s="136" t="s">
        <v>51</v>
      </c>
      <c r="C33" s="137">
        <v>141</v>
      </c>
      <c r="D33" s="138">
        <v>220</v>
      </c>
      <c r="E33" s="157"/>
      <c r="F33" s="138"/>
      <c r="G33" s="157">
        <f t="shared" si="3"/>
        <v>141</v>
      </c>
      <c r="H33" s="138">
        <f t="shared" si="4"/>
        <v>220</v>
      </c>
      <c r="I33" s="135">
        <v>918</v>
      </c>
      <c r="J33" s="127"/>
      <c r="K33" s="127"/>
      <c r="L33" s="127"/>
      <c r="M33" s="127"/>
      <c r="N33" s="127"/>
    </row>
    <row r="34" spans="1:14">
      <c r="A34" s="127"/>
      <c r="B34" s="136" t="s">
        <v>52</v>
      </c>
      <c r="C34" s="137">
        <v>134</v>
      </c>
      <c r="D34" s="138">
        <v>215</v>
      </c>
      <c r="E34" s="157"/>
      <c r="F34" s="138"/>
      <c r="G34" s="157">
        <f t="shared" si="3"/>
        <v>134</v>
      </c>
      <c r="H34" s="138">
        <f t="shared" si="4"/>
        <v>215</v>
      </c>
      <c r="I34" s="135">
        <v>918</v>
      </c>
      <c r="J34" s="127"/>
      <c r="K34" s="127"/>
      <c r="L34" s="127"/>
      <c r="M34" s="127"/>
      <c r="N34" s="127"/>
    </row>
    <row r="35" spans="1:14">
      <c r="A35" s="127"/>
      <c r="B35" s="136" t="s">
        <v>53</v>
      </c>
      <c r="C35" s="137">
        <v>131</v>
      </c>
      <c r="D35" s="138">
        <v>208</v>
      </c>
      <c r="E35" s="137"/>
      <c r="F35" s="138"/>
      <c r="G35" s="157">
        <f t="shared" si="0"/>
        <v>131</v>
      </c>
      <c r="H35" s="138">
        <f t="shared" si="2"/>
        <v>208</v>
      </c>
      <c r="I35" s="135">
        <v>918</v>
      </c>
      <c r="J35" s="127"/>
      <c r="K35" s="127"/>
      <c r="L35" s="127"/>
      <c r="M35" s="127"/>
      <c r="N35" s="127"/>
    </row>
    <row r="36" spans="1:14">
      <c r="A36" s="127"/>
      <c r="B36" s="136" t="s">
        <v>54</v>
      </c>
      <c r="C36" s="137">
        <v>134</v>
      </c>
      <c r="D36" s="138">
        <v>214</v>
      </c>
      <c r="E36" s="137"/>
      <c r="F36" s="138"/>
      <c r="G36" s="157">
        <f t="shared" si="0"/>
        <v>134</v>
      </c>
      <c r="H36" s="138">
        <f t="shared" si="2"/>
        <v>214</v>
      </c>
      <c r="I36" s="135">
        <v>918</v>
      </c>
      <c r="J36" s="127"/>
      <c r="K36" s="127"/>
      <c r="L36" s="127"/>
      <c r="M36" s="127"/>
      <c r="N36" s="127"/>
    </row>
    <row r="37" spans="1:14">
      <c r="A37" s="127"/>
      <c r="B37" s="136" t="s">
        <v>55</v>
      </c>
      <c r="C37" s="137">
        <v>142</v>
      </c>
      <c r="D37" s="138">
        <v>232</v>
      </c>
      <c r="E37" s="137"/>
      <c r="F37" s="138"/>
      <c r="G37" s="157">
        <f t="shared" si="0"/>
        <v>142</v>
      </c>
      <c r="H37" s="138">
        <f t="shared" si="2"/>
        <v>232</v>
      </c>
      <c r="I37" s="135">
        <v>918</v>
      </c>
      <c r="J37" s="127"/>
      <c r="K37" s="127"/>
      <c r="L37" s="127"/>
      <c r="M37" s="127"/>
      <c r="N37" s="127"/>
    </row>
    <row r="38" spans="1:14" s="171" customFormat="1">
      <c r="A38" s="165"/>
      <c r="B38" s="166" t="s">
        <v>56</v>
      </c>
      <c r="C38" s="167">
        <v>145</v>
      </c>
      <c r="D38" s="138">
        <v>226</v>
      </c>
      <c r="E38" s="167"/>
      <c r="F38" s="168"/>
      <c r="G38" s="169">
        <f t="shared" si="0"/>
        <v>145</v>
      </c>
      <c r="H38" s="168">
        <f t="shared" si="2"/>
        <v>226</v>
      </c>
      <c r="I38" s="170">
        <v>918</v>
      </c>
      <c r="J38" s="165"/>
      <c r="K38" s="165"/>
      <c r="L38" s="165"/>
      <c r="M38" s="165"/>
      <c r="N38" s="165"/>
    </row>
    <row r="39" spans="1:14" s="171" customFormat="1">
      <c r="A39" s="165"/>
      <c r="B39" s="166" t="s">
        <v>57</v>
      </c>
      <c r="C39" s="167">
        <v>129</v>
      </c>
      <c r="D39" s="168">
        <v>168</v>
      </c>
      <c r="E39" s="167"/>
      <c r="F39" s="168"/>
      <c r="G39" s="169">
        <f t="shared" si="0"/>
        <v>129</v>
      </c>
      <c r="H39" s="168">
        <f t="shared" si="2"/>
        <v>168</v>
      </c>
      <c r="I39" s="170">
        <v>918</v>
      </c>
      <c r="J39" s="165"/>
      <c r="K39" s="165"/>
      <c r="L39" s="165"/>
      <c r="M39" s="165"/>
      <c r="N39" s="165"/>
    </row>
    <row r="40" spans="1:14" s="171" customFormat="1" ht="15.75" thickBot="1">
      <c r="A40" s="165"/>
      <c r="B40" s="166" t="s">
        <v>58</v>
      </c>
      <c r="C40" s="207"/>
      <c r="D40" s="208"/>
      <c r="E40" s="172"/>
      <c r="F40" s="173"/>
      <c r="G40" s="174">
        <f t="shared" si="0"/>
        <v>0</v>
      </c>
      <c r="H40" s="173">
        <f t="shared" si="2"/>
        <v>0</v>
      </c>
      <c r="I40" s="170">
        <v>918</v>
      </c>
      <c r="J40" s="165"/>
      <c r="K40" s="165"/>
      <c r="L40" s="165"/>
      <c r="M40" s="165"/>
      <c r="N40" s="165"/>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98">
        <f>'Athens Daily - EL'!AK8</f>
        <v>54255</v>
      </c>
      <c r="F2" s="98"/>
      <c r="G2" s="98">
        <f>'Athens Daily - Gas'!BH9</f>
        <v>123791.80800000003</v>
      </c>
      <c r="H2" s="98">
        <f>G2/38.3</f>
        <v>3232.1620887728473</v>
      </c>
      <c r="I2" s="98"/>
      <c r="J2" s="98">
        <f>'Athens Daily - Water'!R7</f>
        <v>496.02200000000084</v>
      </c>
      <c r="K2" s="98"/>
      <c r="L2" s="99">
        <v>142</v>
      </c>
      <c r="M2" s="98">
        <f>L2*2</f>
        <v>284</v>
      </c>
      <c r="N2" s="96">
        <v>10</v>
      </c>
    </row>
    <row r="3" spans="1:14">
      <c r="A3" s="7" t="s">
        <v>14</v>
      </c>
      <c r="B3" s="7">
        <v>2</v>
      </c>
      <c r="C3" s="7">
        <v>1</v>
      </c>
      <c r="D3" s="7">
        <v>2021</v>
      </c>
      <c r="E3" s="98">
        <f>'Athens Daily - EL'!AK9</f>
        <v>48245</v>
      </c>
      <c r="F3" s="98"/>
      <c r="G3" s="98">
        <f>'Athens Daily - Gas'!BH11</f>
        <v>139776.76799999998</v>
      </c>
      <c r="H3" s="98">
        <f t="shared" ref="H3:H32" si="0">G3/38.3</f>
        <v>3649.5239686684072</v>
      </c>
      <c r="I3" s="98"/>
      <c r="J3" s="98">
        <f>'Athens Daily - Water'!R8</f>
        <v>538.39999999999964</v>
      </c>
      <c r="K3" s="98"/>
      <c r="L3" s="99">
        <v>102</v>
      </c>
      <c r="M3" s="98">
        <f t="shared" ref="M3:M32" si="1">L3*2</f>
        <v>204</v>
      </c>
      <c r="N3" s="96">
        <v>12</v>
      </c>
    </row>
    <row r="4" spans="1:14">
      <c r="A4" s="7" t="s">
        <v>14</v>
      </c>
      <c r="B4" s="7">
        <v>3</v>
      </c>
      <c r="C4" s="7">
        <v>1</v>
      </c>
      <c r="D4" s="7">
        <v>2021</v>
      </c>
      <c r="E4" s="98">
        <f>'Athens Daily - EL'!AK10</f>
        <v>48760</v>
      </c>
      <c r="F4" s="98"/>
      <c r="G4" s="98">
        <f>'Athens Daily - Gas'!BH12</f>
        <v>116885.136</v>
      </c>
      <c r="H4" s="98">
        <f t="shared" si="0"/>
        <v>3051.8312271540472</v>
      </c>
      <c r="I4" s="98"/>
      <c r="J4" s="98">
        <f>'Athens Daily - Water'!R9</f>
        <v>427.57799999999952</v>
      </c>
      <c r="K4" s="98"/>
      <c r="L4" s="99">
        <v>55</v>
      </c>
      <c r="M4" s="98">
        <f t="shared" si="1"/>
        <v>110</v>
      </c>
      <c r="N4" s="96">
        <v>15</v>
      </c>
    </row>
    <row r="5" spans="1:14">
      <c r="A5" s="7" t="s">
        <v>14</v>
      </c>
      <c r="B5" s="7">
        <v>4</v>
      </c>
      <c r="C5" s="7">
        <v>1</v>
      </c>
      <c r="D5" s="7">
        <v>2021</v>
      </c>
      <c r="E5" s="98">
        <f>'Athens Daily - EL'!AK11</f>
        <v>49570</v>
      </c>
      <c r="F5" s="98"/>
      <c r="G5" s="98">
        <f>'Athens Daily - Gas'!BH13</f>
        <v>110766.09600000001</v>
      </c>
      <c r="H5" s="98">
        <f t="shared" si="0"/>
        <v>2892.0651697127942</v>
      </c>
      <c r="I5" s="98"/>
      <c r="J5" s="98">
        <f>'Athens Daily - Water'!R10</f>
        <v>422.41810000000078</v>
      </c>
      <c r="K5" s="98"/>
      <c r="L5" s="99">
        <v>45</v>
      </c>
      <c r="M5" s="98">
        <f t="shared" si="1"/>
        <v>90</v>
      </c>
      <c r="N5" s="96">
        <v>17</v>
      </c>
    </row>
    <row r="6" spans="1:14">
      <c r="A6" s="7" t="s">
        <v>14</v>
      </c>
      <c r="B6" s="7">
        <v>5</v>
      </c>
      <c r="C6" s="7">
        <v>1</v>
      </c>
      <c r="D6" s="7">
        <v>2021</v>
      </c>
      <c r="E6" s="98">
        <f>'Athens Daily - EL'!AK12</f>
        <v>49045</v>
      </c>
      <c r="F6" s="98"/>
      <c r="G6" s="98">
        <f>'Athens Daily - Gas'!BH14</f>
        <v>114633.88800000001</v>
      </c>
      <c r="H6" s="98">
        <f t="shared" si="0"/>
        <v>2993.0519060052225</v>
      </c>
      <c r="I6" s="98"/>
      <c r="J6" s="98">
        <f>'Athens Daily - Water'!R11</f>
        <v>447.54489999999896</v>
      </c>
      <c r="K6" s="98"/>
      <c r="L6" s="99">
        <v>34</v>
      </c>
      <c r="M6" s="98">
        <f t="shared" si="1"/>
        <v>68</v>
      </c>
      <c r="N6" s="96">
        <v>15</v>
      </c>
    </row>
    <row r="7" spans="1:14">
      <c r="A7" s="7" t="s">
        <v>14</v>
      </c>
      <c r="B7" s="7">
        <v>6</v>
      </c>
      <c r="C7" s="7">
        <v>1</v>
      </c>
      <c r="D7" s="7">
        <v>2021</v>
      </c>
      <c r="E7" s="98">
        <f>'Athens Daily - EL'!AK13</f>
        <v>49405</v>
      </c>
      <c r="F7" s="98"/>
      <c r="G7" s="98">
        <f>'Athens Daily - Gas'!BH15</f>
        <v>116145.74399999999</v>
      </c>
      <c r="H7" s="98">
        <f t="shared" si="0"/>
        <v>3032.525953002611</v>
      </c>
      <c r="I7" s="98"/>
      <c r="J7" s="98">
        <f>'Athens Daily - Water'!R12</f>
        <v>456</v>
      </c>
      <c r="K7" s="98"/>
      <c r="L7" s="99">
        <v>36</v>
      </c>
      <c r="M7" s="98">
        <f t="shared" si="1"/>
        <v>72</v>
      </c>
      <c r="N7" s="96"/>
    </row>
    <row r="8" spans="1:14">
      <c r="A8" s="7" t="s">
        <v>14</v>
      </c>
      <c r="B8" s="7">
        <v>7</v>
      </c>
      <c r="C8" s="7">
        <v>1</v>
      </c>
      <c r="D8" s="7">
        <v>2021</v>
      </c>
      <c r="E8" s="98">
        <f>'Athens Daily - EL'!AK14</f>
        <v>51715</v>
      </c>
      <c r="F8" s="98"/>
      <c r="G8" s="98">
        <f>'Athens Daily - Gas'!BH16</f>
        <v>123167.90399999998</v>
      </c>
      <c r="H8" s="98">
        <f t="shared" si="0"/>
        <v>3215.8721671018275</v>
      </c>
      <c r="I8" s="98"/>
      <c r="J8" s="98">
        <f>'Athens Daily - Water'!R13</f>
        <v>459.27</v>
      </c>
      <c r="K8" s="98"/>
      <c r="L8" s="99">
        <v>60</v>
      </c>
      <c r="M8" s="98">
        <f t="shared" si="1"/>
        <v>120</v>
      </c>
      <c r="N8" s="96"/>
    </row>
    <row r="9" spans="1:14">
      <c r="A9" s="7" t="s">
        <v>14</v>
      </c>
      <c r="B9" s="7">
        <v>8</v>
      </c>
      <c r="C9" s="7">
        <v>1</v>
      </c>
      <c r="D9" s="7">
        <v>2021</v>
      </c>
      <c r="E9" s="98">
        <f>'Athens Daily - EL'!AK15</f>
        <v>49840</v>
      </c>
      <c r="F9" s="98"/>
      <c r="G9" s="98">
        <f>'Athens Daily - Gas'!BH17</f>
        <v>133796.64000000001</v>
      </c>
      <c r="H9" s="98">
        <f t="shared" si="0"/>
        <v>3493.3848563968677</v>
      </c>
      <c r="I9" s="98"/>
      <c r="J9" s="98">
        <f>'Athens Daily - Water'!R14</f>
        <v>466.995</v>
      </c>
      <c r="K9" s="98"/>
      <c r="L9" s="99">
        <v>64</v>
      </c>
      <c r="M9" s="98">
        <f t="shared" si="1"/>
        <v>128</v>
      </c>
      <c r="N9" s="96"/>
    </row>
    <row r="10" spans="1:14">
      <c r="A10" s="7" t="s">
        <v>14</v>
      </c>
      <c r="B10" s="7">
        <v>9</v>
      </c>
      <c r="C10" s="7">
        <v>1</v>
      </c>
      <c r="D10" s="7">
        <v>2021</v>
      </c>
      <c r="E10" s="98">
        <f>'Athens Daily - EL'!AK16</f>
        <v>47120</v>
      </c>
      <c r="F10" s="98"/>
      <c r="G10" s="98">
        <f>'Athens Daily - Gas'!BH18</f>
        <v>121289.568</v>
      </c>
      <c r="H10" s="98">
        <f t="shared" si="0"/>
        <v>3166.8294516971282</v>
      </c>
      <c r="I10" s="98"/>
      <c r="J10" s="98">
        <f>'Athens Daily - Water'!R15</f>
        <v>551.91099999999994</v>
      </c>
      <c r="K10" s="98"/>
      <c r="L10" s="99">
        <v>100</v>
      </c>
      <c r="M10" s="98">
        <f t="shared" si="1"/>
        <v>200</v>
      </c>
      <c r="N10" s="96">
        <v>9</v>
      </c>
    </row>
    <row r="11" spans="1:14">
      <c r="A11" s="7" t="s">
        <v>14</v>
      </c>
      <c r="B11" s="7">
        <v>10</v>
      </c>
      <c r="C11" s="7">
        <v>1</v>
      </c>
      <c r="D11" s="7">
        <v>2021</v>
      </c>
      <c r="E11" s="98">
        <f>'Athens Daily - EL'!AK17</f>
        <v>38180</v>
      </c>
      <c r="F11" s="98"/>
      <c r="G11" s="98">
        <f>'Athens Daily - Gas'!BH19</f>
        <v>132140.83199999999</v>
      </c>
      <c r="H11" s="98">
        <f t="shared" si="0"/>
        <v>3450.1522715404699</v>
      </c>
      <c r="I11" s="98"/>
      <c r="J11" s="98">
        <f>'Athens Daily - Water'!R16</f>
        <v>512.01400000000001</v>
      </c>
      <c r="K11" s="98"/>
      <c r="L11" s="99">
        <v>63</v>
      </c>
      <c r="M11" s="98">
        <f t="shared" si="1"/>
        <v>126</v>
      </c>
      <c r="N11" s="96">
        <v>12</v>
      </c>
    </row>
    <row r="12" spans="1:14">
      <c r="A12" s="7" t="s">
        <v>14</v>
      </c>
      <c r="B12" s="7">
        <v>11</v>
      </c>
      <c r="C12" s="7">
        <v>1</v>
      </c>
      <c r="D12" s="7">
        <v>2021</v>
      </c>
      <c r="E12" s="98">
        <f>'Athens Daily - EL'!AK18</f>
        <v>40420</v>
      </c>
      <c r="F12" s="98"/>
      <c r="G12" s="98">
        <f>'Athens Daily - Gas'!BH20</f>
        <v>122155.056</v>
      </c>
      <c r="H12" s="98">
        <f t="shared" si="0"/>
        <v>3189.4270496083554</v>
      </c>
      <c r="I12" s="98"/>
      <c r="J12" s="98">
        <f>'Athens Daily - Water'!R17</f>
        <v>415.6</v>
      </c>
      <c r="K12" s="98"/>
      <c r="L12" s="99">
        <v>39</v>
      </c>
      <c r="M12" s="98">
        <f t="shared" si="1"/>
        <v>78</v>
      </c>
      <c r="N12" s="96">
        <v>12</v>
      </c>
    </row>
    <row r="13" spans="1:14">
      <c r="A13" s="7" t="s">
        <v>14</v>
      </c>
      <c r="B13" s="7">
        <v>12</v>
      </c>
      <c r="C13" s="7">
        <v>1</v>
      </c>
      <c r="D13" s="7">
        <v>2021</v>
      </c>
      <c r="E13" s="98">
        <f>'Athens Daily - EL'!AK19</f>
        <v>48340</v>
      </c>
      <c r="F13" s="98"/>
      <c r="G13" s="98">
        <f>'Athens Daily - Gas'!BH21</f>
        <v>120826.08000000002</v>
      </c>
      <c r="H13" s="98">
        <f t="shared" si="0"/>
        <v>3154.7279373368151</v>
      </c>
      <c r="I13" s="98"/>
      <c r="J13" s="98">
        <f>'Athens Daily - Water'!R18</f>
        <v>448.4</v>
      </c>
      <c r="K13" s="98"/>
      <c r="L13" s="99">
        <v>43</v>
      </c>
      <c r="M13" s="98">
        <f t="shared" si="1"/>
        <v>86</v>
      </c>
      <c r="N13" s="96">
        <v>10</v>
      </c>
    </row>
    <row r="14" spans="1:14">
      <c r="A14" s="7" t="s">
        <v>14</v>
      </c>
      <c r="B14" s="7">
        <v>13</v>
      </c>
      <c r="C14" s="7">
        <v>1</v>
      </c>
      <c r="D14" s="7">
        <v>2021</v>
      </c>
      <c r="E14" s="98">
        <f>'Athens Daily - EL'!AK20</f>
        <v>32580</v>
      </c>
      <c r="F14" s="98"/>
      <c r="G14" s="98">
        <f>'Athens Daily - Gas'!BH22</f>
        <v>122673.26399999998</v>
      </c>
      <c r="H14" s="98">
        <f t="shared" si="0"/>
        <v>3202.9572845952998</v>
      </c>
      <c r="I14" s="98"/>
      <c r="J14" s="98">
        <f>'Athens Daily - Water'!R19</f>
        <v>428.4</v>
      </c>
      <c r="K14" s="98"/>
      <c r="L14" s="99">
        <v>46</v>
      </c>
      <c r="M14" s="98">
        <f t="shared" si="1"/>
        <v>92</v>
      </c>
      <c r="N14" s="96">
        <v>12</v>
      </c>
    </row>
    <row r="15" spans="1:14">
      <c r="A15" s="7" t="s">
        <v>14</v>
      </c>
      <c r="B15" s="7">
        <v>14</v>
      </c>
      <c r="C15" s="7">
        <v>1</v>
      </c>
      <c r="D15" s="7">
        <v>2021</v>
      </c>
      <c r="E15" s="98">
        <f>'Athens Daily - EL'!AK21</f>
        <v>43520</v>
      </c>
      <c r="F15" s="98"/>
      <c r="G15" s="98">
        <f>'Athens Daily - Gas'!BH23</f>
        <v>121488</v>
      </c>
      <c r="H15" s="98">
        <f t="shared" si="0"/>
        <v>3172.0104438642302</v>
      </c>
      <c r="I15" s="98"/>
      <c r="J15" s="98">
        <f>'Athens Daily - Water'!R20</f>
        <v>468.6</v>
      </c>
      <c r="K15" s="98"/>
      <c r="L15" s="99">
        <v>55</v>
      </c>
      <c r="M15" s="98">
        <f t="shared" si="1"/>
        <v>110</v>
      </c>
      <c r="N15" s="96">
        <v>13</v>
      </c>
    </row>
    <row r="16" spans="1:14">
      <c r="A16" s="7" t="s">
        <v>14</v>
      </c>
      <c r="B16" s="7">
        <v>15</v>
      </c>
      <c r="C16" s="7">
        <v>1</v>
      </c>
      <c r="D16" s="7">
        <v>2021</v>
      </c>
      <c r="E16" s="98">
        <f>'Athens Daily - EL'!AK22</f>
        <v>41605</v>
      </c>
      <c r="F16" s="98"/>
      <c r="G16" s="98">
        <f>'Athens Daily - Gas'!BH24</f>
        <v>124742.39999999999</v>
      </c>
      <c r="H16" s="98">
        <f t="shared" si="0"/>
        <v>3256.9817232375981</v>
      </c>
      <c r="I16" s="98"/>
      <c r="J16" s="98">
        <f>'Athens Daily - Water'!R21</f>
        <v>448</v>
      </c>
      <c r="K16" s="98"/>
      <c r="L16" s="99">
        <v>74</v>
      </c>
      <c r="M16" s="98">
        <f t="shared" si="1"/>
        <v>148</v>
      </c>
      <c r="N16" s="96">
        <v>13</v>
      </c>
    </row>
    <row r="17" spans="1:14">
      <c r="A17" s="7" t="s">
        <v>14</v>
      </c>
      <c r="B17" s="7">
        <v>16</v>
      </c>
      <c r="C17" s="7">
        <v>1</v>
      </c>
      <c r="D17" s="7">
        <v>2021</v>
      </c>
      <c r="E17" s="98">
        <f>'Athens Daily - EL'!AK23</f>
        <v>42935</v>
      </c>
      <c r="F17" s="98"/>
      <c r="G17" s="98">
        <f>'Athens Daily - Gas'!BH25</f>
        <v>127161.59999999999</v>
      </c>
      <c r="H17" s="98">
        <f t="shared" si="0"/>
        <v>3320.1462140992166</v>
      </c>
      <c r="I17" s="98"/>
      <c r="J17" s="98">
        <f>'Athens Daily - Water'!R22</f>
        <v>464</v>
      </c>
      <c r="K17" s="98"/>
      <c r="L17" s="99">
        <v>149</v>
      </c>
      <c r="M17" s="98">
        <f t="shared" si="1"/>
        <v>298</v>
      </c>
      <c r="N17" s="100"/>
    </row>
    <row r="18" spans="1:14">
      <c r="A18" s="7" t="s">
        <v>14</v>
      </c>
      <c r="B18" s="7">
        <v>17</v>
      </c>
      <c r="C18" s="7">
        <v>1</v>
      </c>
      <c r="D18" s="7">
        <v>2021</v>
      </c>
      <c r="E18" s="98">
        <f>'Athens Daily - EL'!AK24</f>
        <v>39835</v>
      </c>
      <c r="F18" s="98"/>
      <c r="G18" s="98">
        <f>'Athens Daily - Gas'!BH26</f>
        <v>127632</v>
      </c>
      <c r="H18" s="98">
        <f t="shared" si="0"/>
        <v>3332.4281984334207</v>
      </c>
      <c r="I18" s="98"/>
      <c r="J18" s="98">
        <f>'Athens Daily - Water'!R23</f>
        <v>507</v>
      </c>
      <c r="K18" s="98"/>
      <c r="L18" s="99">
        <v>64</v>
      </c>
      <c r="M18" s="98">
        <f t="shared" si="1"/>
        <v>128</v>
      </c>
      <c r="N18" s="100"/>
    </row>
    <row r="19" spans="1:14">
      <c r="A19" s="7" t="s">
        <v>14</v>
      </c>
      <c r="B19" s="7">
        <v>18</v>
      </c>
      <c r="C19" s="7">
        <v>1</v>
      </c>
      <c r="D19" s="7">
        <v>2021</v>
      </c>
      <c r="E19" s="98">
        <f>'Athens Daily - EL'!AK25</f>
        <v>37975</v>
      </c>
      <c r="F19" s="98"/>
      <c r="G19" s="98">
        <f>'Athens Daily - Gas'!BH27</f>
        <v>129561.60000000001</v>
      </c>
      <c r="H19" s="98">
        <f t="shared" si="0"/>
        <v>3382.8093994778073</v>
      </c>
      <c r="I19" s="98"/>
      <c r="J19" s="98">
        <f>'Athens Daily - Water'!R24</f>
        <v>454</v>
      </c>
      <c r="K19" s="98"/>
      <c r="L19" s="99">
        <v>58</v>
      </c>
      <c r="M19" s="98">
        <f t="shared" si="1"/>
        <v>116</v>
      </c>
      <c r="N19" s="100"/>
    </row>
    <row r="20" spans="1:14">
      <c r="A20" s="7" t="s">
        <v>14</v>
      </c>
      <c r="B20" s="7">
        <v>19</v>
      </c>
      <c r="C20" s="7">
        <v>1</v>
      </c>
      <c r="D20" s="7">
        <v>2021</v>
      </c>
      <c r="E20" s="98">
        <f>'Athens Daily - EL'!AK26</f>
        <v>38170</v>
      </c>
      <c r="F20" s="98"/>
      <c r="G20" s="98">
        <f>'Athens Daily - Gas'!BH28</f>
        <v>112416</v>
      </c>
      <c r="H20" s="98">
        <f t="shared" si="0"/>
        <v>2935.1436031331596</v>
      </c>
      <c r="I20" s="98"/>
      <c r="J20" s="98">
        <f>'Athens Daily - Water'!R25</f>
        <v>429</v>
      </c>
      <c r="K20" s="98"/>
      <c r="L20" s="99">
        <v>69</v>
      </c>
      <c r="M20" s="98">
        <f t="shared" si="1"/>
        <v>138</v>
      </c>
      <c r="N20" s="100"/>
    </row>
    <row r="21" spans="1:14">
      <c r="A21" s="7" t="s">
        <v>14</v>
      </c>
      <c r="B21" s="7">
        <v>20</v>
      </c>
      <c r="C21" s="7">
        <v>1</v>
      </c>
      <c r="D21" s="7">
        <v>2021</v>
      </c>
      <c r="E21" s="98">
        <f>'Athens Daily - EL'!AK27</f>
        <v>40270</v>
      </c>
      <c r="F21" s="98"/>
      <c r="G21" s="98">
        <f>'Athens Daily - Gas'!BH29</f>
        <v>127286.39999999999</v>
      </c>
      <c r="H21" s="98">
        <f t="shared" si="0"/>
        <v>3323.4046997389037</v>
      </c>
      <c r="I21" s="98"/>
      <c r="J21" s="98">
        <f>'Athens Daily - Water'!R26</f>
        <v>476</v>
      </c>
      <c r="K21" s="98"/>
      <c r="L21" s="99">
        <v>42</v>
      </c>
      <c r="M21" s="98">
        <f t="shared" si="1"/>
        <v>84</v>
      </c>
      <c r="N21" s="96"/>
    </row>
    <row r="22" spans="1:14">
      <c r="A22" s="7" t="s">
        <v>14</v>
      </c>
      <c r="B22" s="7">
        <v>21</v>
      </c>
      <c r="C22" s="7">
        <v>1</v>
      </c>
      <c r="D22" s="7">
        <v>2021</v>
      </c>
      <c r="E22" s="98">
        <f>'Athens Daily - EL'!AK28</f>
        <v>41930</v>
      </c>
      <c r="F22" s="98"/>
      <c r="G22" s="98">
        <f>'Athens Daily - Gas'!BH30</f>
        <v>133555.20000000001</v>
      </c>
      <c r="H22" s="98">
        <f t="shared" si="0"/>
        <v>3487.0809399477812</v>
      </c>
      <c r="I22" s="98"/>
      <c r="J22" s="98">
        <f>'Athens Daily - Water'!R27</f>
        <v>501</v>
      </c>
      <c r="K22" s="98"/>
      <c r="L22" s="99">
        <v>45</v>
      </c>
      <c r="M22" s="98">
        <f t="shared" si="1"/>
        <v>90</v>
      </c>
      <c r="N22" s="96"/>
    </row>
    <row r="23" spans="1:14">
      <c r="A23" s="7" t="s">
        <v>14</v>
      </c>
      <c r="B23" s="7">
        <v>22</v>
      </c>
      <c r="C23" s="7">
        <v>1</v>
      </c>
      <c r="D23" s="7">
        <v>2021</v>
      </c>
      <c r="E23" s="98">
        <f>'Athens Daily - EL'!AK29</f>
        <v>44160</v>
      </c>
      <c r="F23" s="98"/>
      <c r="G23" s="98">
        <f>'Athens Daily - Gas'!BH31</f>
        <v>128131.2</v>
      </c>
      <c r="H23" s="98">
        <f t="shared" si="0"/>
        <v>3345.4621409921674</v>
      </c>
      <c r="I23" s="98"/>
      <c r="J23" s="98">
        <f>'Athens Daily - Water'!R28</f>
        <v>192</v>
      </c>
      <c r="K23" s="98"/>
      <c r="L23" s="99">
        <v>82</v>
      </c>
      <c r="M23" s="98">
        <f t="shared" si="1"/>
        <v>164</v>
      </c>
      <c r="N23" s="96">
        <v>19</v>
      </c>
    </row>
    <row r="24" spans="1:14">
      <c r="A24" s="7" t="s">
        <v>14</v>
      </c>
      <c r="B24" s="7">
        <v>23</v>
      </c>
      <c r="C24" s="7">
        <v>1</v>
      </c>
      <c r="D24" s="7">
        <v>2021</v>
      </c>
      <c r="E24" s="98">
        <f>'Athens Daily - EL'!AK30</f>
        <v>42640</v>
      </c>
      <c r="F24" s="98"/>
      <c r="G24" s="98">
        <f>'Athens Daily - Gas'!BH32</f>
        <v>118054.40000000093</v>
      </c>
      <c r="H24" s="98">
        <f t="shared" si="0"/>
        <v>3082.3603133159513</v>
      </c>
      <c r="I24" s="98"/>
      <c r="J24" s="98">
        <f>'Athens Daily - Water'!R29</f>
        <v>505</v>
      </c>
      <c r="K24" s="98"/>
      <c r="L24" s="99">
        <v>170</v>
      </c>
      <c r="M24" s="98">
        <f t="shared" si="1"/>
        <v>340</v>
      </c>
      <c r="N24" s="96">
        <v>20</v>
      </c>
    </row>
    <row r="25" spans="1:14">
      <c r="A25" s="7" t="s">
        <v>14</v>
      </c>
      <c r="B25" s="7">
        <v>24</v>
      </c>
      <c r="C25" s="7">
        <v>1</v>
      </c>
      <c r="D25" s="7">
        <v>2021</v>
      </c>
      <c r="E25" s="98">
        <f>'Athens Daily - EL'!AK31</f>
        <v>36100</v>
      </c>
      <c r="F25" s="98"/>
      <c r="G25" s="98">
        <f>'Athens Daily - Gas'!BH33</f>
        <v>126089.60000000094</v>
      </c>
      <c r="H25" s="98">
        <f t="shared" si="0"/>
        <v>3292.1566579634714</v>
      </c>
      <c r="I25" s="98"/>
      <c r="J25" s="98">
        <f>'Athens Daily - Water'!R30</f>
        <v>448</v>
      </c>
      <c r="K25" s="98"/>
      <c r="L25" s="99">
        <v>91</v>
      </c>
      <c r="M25" s="98">
        <f t="shared" si="1"/>
        <v>182</v>
      </c>
      <c r="N25" s="96">
        <v>19</v>
      </c>
    </row>
    <row r="26" spans="1:14">
      <c r="A26" s="7" t="s">
        <v>14</v>
      </c>
      <c r="B26" s="7">
        <v>25</v>
      </c>
      <c r="C26" s="7">
        <v>1</v>
      </c>
      <c r="D26" s="7">
        <v>2021</v>
      </c>
      <c r="E26" s="98">
        <f>'Athens Daily - EL'!AK32</f>
        <v>44155</v>
      </c>
      <c r="F26" s="98"/>
      <c r="G26" s="98">
        <f>'Athens Daily - Gas'!BH34</f>
        <v>134275.32799999815</v>
      </c>
      <c r="H26" s="98">
        <f t="shared" si="0"/>
        <v>3505.8832375978632</v>
      </c>
      <c r="I26" s="98"/>
      <c r="J26" s="98">
        <f>'Athens Daily - Water'!R31</f>
        <v>773.44100000000003</v>
      </c>
      <c r="K26" s="98"/>
      <c r="L26" s="99">
        <v>56</v>
      </c>
      <c r="M26" s="98">
        <f t="shared" si="1"/>
        <v>112</v>
      </c>
      <c r="N26" s="97"/>
    </row>
    <row r="27" spans="1:14">
      <c r="A27" s="7" t="s">
        <v>14</v>
      </c>
      <c r="B27" s="7">
        <v>26</v>
      </c>
      <c r="C27" s="7">
        <v>1</v>
      </c>
      <c r="D27" s="7">
        <v>2021</v>
      </c>
      <c r="E27" s="98">
        <f>'Athens Daily - EL'!AK33</f>
        <v>40325</v>
      </c>
      <c r="F27" s="98"/>
      <c r="G27" s="98">
        <f>'Athens Daily - Gas'!BH35</f>
        <v>226914.89600000001</v>
      </c>
      <c r="H27" s="98">
        <f t="shared" si="0"/>
        <v>5924.6709138381211</v>
      </c>
      <c r="I27" s="98"/>
      <c r="J27" s="98">
        <f>'Athens Daily - Water'!R32</f>
        <v>92.559000000000026</v>
      </c>
      <c r="K27" s="98"/>
      <c r="L27" s="98"/>
      <c r="M27" s="98">
        <f t="shared" si="1"/>
        <v>0</v>
      </c>
      <c r="N27" s="97"/>
    </row>
    <row r="28" spans="1:14">
      <c r="A28" s="7" t="s">
        <v>14</v>
      </c>
      <c r="B28" s="7">
        <v>27</v>
      </c>
      <c r="C28" s="7">
        <v>1</v>
      </c>
      <c r="D28" s="7">
        <v>2021</v>
      </c>
      <c r="E28" s="98">
        <f>'Athens Daily - EL'!AK34</f>
        <v>40750</v>
      </c>
      <c r="F28" s="98"/>
      <c r="G28" s="98">
        <f>'Athens Daily - Gas'!BH36</f>
        <v>125359.632</v>
      </c>
      <c r="H28" s="98">
        <f t="shared" si="0"/>
        <v>3273.0974412532637</v>
      </c>
      <c r="I28" s="98"/>
      <c r="J28" s="98">
        <f>'Athens Daily - Water'!R33</f>
        <v>435</v>
      </c>
      <c r="K28" s="98"/>
      <c r="L28" s="98"/>
      <c r="M28" s="98">
        <f t="shared" si="1"/>
        <v>0</v>
      </c>
      <c r="N28" s="97"/>
    </row>
    <row r="29" spans="1:14">
      <c r="A29" s="7" t="s">
        <v>14</v>
      </c>
      <c r="B29" s="7">
        <v>28</v>
      </c>
      <c r="C29" s="7">
        <v>1</v>
      </c>
      <c r="D29" s="7">
        <v>2021</v>
      </c>
      <c r="E29" s="98">
        <f>'Athens Daily - EL'!AK35</f>
        <v>41420</v>
      </c>
      <c r="F29" s="98"/>
      <c r="G29" s="98">
        <f>'Athens Daily - Gas'!BH37</f>
        <v>132145.77600000001</v>
      </c>
      <c r="H29" s="98">
        <f t="shared" si="0"/>
        <v>3450.2813577023503</v>
      </c>
      <c r="I29" s="98"/>
      <c r="J29" s="98">
        <f>'Athens Daily - Water'!R34</f>
        <v>449</v>
      </c>
      <c r="K29" s="98"/>
      <c r="L29" s="98"/>
      <c r="M29" s="98">
        <f t="shared" si="1"/>
        <v>0</v>
      </c>
      <c r="N29" s="97"/>
    </row>
    <row r="30" spans="1:14">
      <c r="A30" s="7" t="s">
        <v>14</v>
      </c>
      <c r="B30" s="7">
        <v>29</v>
      </c>
      <c r="C30" s="7">
        <v>1</v>
      </c>
      <c r="D30" s="7">
        <v>2021</v>
      </c>
      <c r="E30" s="98">
        <f>'Athens Daily - EL'!AK36</f>
        <v>44645</v>
      </c>
      <c r="F30" s="98"/>
      <c r="G30" s="98">
        <f>'Athens Daily - Gas'!BH38</f>
        <v>135008.20799999998</v>
      </c>
      <c r="H30" s="98">
        <f t="shared" si="0"/>
        <v>3525.0184856396863</v>
      </c>
      <c r="I30" s="98"/>
      <c r="J30" s="98">
        <f>'Athens Daily - Water'!R36</f>
        <v>1550.7416000000001</v>
      </c>
      <c r="K30" s="98"/>
      <c r="L30" s="98"/>
      <c r="M30" s="98">
        <f t="shared" si="1"/>
        <v>0</v>
      </c>
      <c r="N30" s="97"/>
    </row>
    <row r="31" spans="1:14">
      <c r="A31" s="7" t="s">
        <v>14</v>
      </c>
      <c r="B31" s="7">
        <v>30</v>
      </c>
      <c r="C31" s="7">
        <v>1</v>
      </c>
      <c r="D31" s="7">
        <v>2021</v>
      </c>
      <c r="E31" s="98">
        <f>'Athens Daily - EL'!AK37</f>
        <v>38690</v>
      </c>
      <c r="F31" s="98"/>
      <c r="G31" s="98">
        <f>'Athens Daily - Gas'!BH39</f>
        <v>124850.97599999998</v>
      </c>
      <c r="H31" s="98">
        <f t="shared" si="0"/>
        <v>3259.8166057441249</v>
      </c>
      <c r="I31" s="98"/>
      <c r="J31" s="98">
        <f>'Athens Daily - Water'!R38</f>
        <v>0</v>
      </c>
      <c r="K31" s="98"/>
      <c r="L31" s="98"/>
      <c r="M31" s="98">
        <f t="shared" si="1"/>
        <v>0</v>
      </c>
      <c r="N31" s="97"/>
    </row>
    <row r="32" spans="1:14">
      <c r="A32" s="7" t="s">
        <v>14</v>
      </c>
      <c r="B32" s="7">
        <v>31</v>
      </c>
      <c r="C32" s="7">
        <v>1</v>
      </c>
      <c r="D32" s="7">
        <v>2021</v>
      </c>
      <c r="E32" s="98">
        <f>'Athens Daily - EL'!AK38</f>
        <v>37525</v>
      </c>
      <c r="F32" s="98"/>
      <c r="G32" s="98">
        <f>'Athens Daily - Gas'!BH40</f>
        <v>0</v>
      </c>
      <c r="H32" s="98">
        <f t="shared" si="0"/>
        <v>0</v>
      </c>
      <c r="I32" s="98"/>
      <c r="J32" s="98">
        <f>'Athens Daily - Water'!R39</f>
        <v>0</v>
      </c>
      <c r="K32" s="98"/>
      <c r="L32" s="98"/>
      <c r="M32" s="98">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35110</v>
      </c>
      <c r="F2" s="7"/>
      <c r="G2" s="37">
        <f>'Athens Daily - Gas'!BI9</f>
        <v>66547.200000000012</v>
      </c>
      <c r="H2" s="7"/>
      <c r="I2" s="38">
        <f>'Athens Daily - Water'!S7</f>
        <v>200.75</v>
      </c>
      <c r="J2" s="7"/>
      <c r="K2" s="7">
        <v>286</v>
      </c>
      <c r="L2" s="7">
        <v>2</v>
      </c>
    </row>
    <row r="3" spans="1:12">
      <c r="A3" s="7" t="s">
        <v>14</v>
      </c>
      <c r="B3" s="7">
        <v>2</v>
      </c>
      <c r="C3" s="7">
        <v>1</v>
      </c>
      <c r="D3" s="7">
        <v>2021</v>
      </c>
      <c r="E3" s="7">
        <f>'Athens Daily - EL'!AL9</f>
        <v>32205</v>
      </c>
      <c r="F3" s="7"/>
      <c r="G3" s="37">
        <f>'Athens Daily - Gas'!BI11</f>
        <v>69705.600000000006</v>
      </c>
      <c r="H3" s="7"/>
      <c r="I3" s="38">
        <f>'Athens Daily - Water'!S8</f>
        <v>222.4</v>
      </c>
      <c r="J3" s="7"/>
      <c r="K3" s="7">
        <v>285</v>
      </c>
      <c r="L3" s="7">
        <v>2</v>
      </c>
    </row>
    <row r="4" spans="1:12">
      <c r="A4" s="7" t="s">
        <v>14</v>
      </c>
      <c r="B4" s="7">
        <v>3</v>
      </c>
      <c r="C4" s="7">
        <v>1</v>
      </c>
      <c r="D4" s="7">
        <v>2021</v>
      </c>
      <c r="E4" s="7">
        <f>'Athens Daily - EL'!AL10</f>
        <v>33590</v>
      </c>
      <c r="F4" s="7"/>
      <c r="G4" s="37">
        <f>'Athens Daily - Gas'!BI12</f>
        <v>67046.399999999994</v>
      </c>
      <c r="H4" s="7"/>
      <c r="I4" s="38">
        <f>'Athens Daily - Water'!S9</f>
        <v>202.65</v>
      </c>
      <c r="J4" s="7"/>
      <c r="K4" s="7">
        <v>282</v>
      </c>
      <c r="L4" s="7">
        <v>2</v>
      </c>
    </row>
    <row r="5" spans="1:12">
      <c r="A5" s="7" t="s">
        <v>14</v>
      </c>
      <c r="B5" s="7">
        <v>4</v>
      </c>
      <c r="C5" s="7">
        <v>1</v>
      </c>
      <c r="D5" s="7">
        <v>2021</v>
      </c>
      <c r="E5" s="7">
        <f>'Athens Daily - EL'!AL11</f>
        <v>32890</v>
      </c>
      <c r="F5" s="7"/>
      <c r="G5" s="37">
        <f>'Athens Daily - Gas'!BI13</f>
        <v>63129.600000000006</v>
      </c>
      <c r="H5" s="7"/>
      <c r="I5" s="38">
        <f>'Athens Daily - Water'!S10</f>
        <v>227.85000000000002</v>
      </c>
      <c r="J5" s="7"/>
      <c r="K5" s="7">
        <v>284</v>
      </c>
      <c r="L5" s="7">
        <v>2</v>
      </c>
    </row>
    <row r="6" spans="1:12">
      <c r="A6" s="7" t="s">
        <v>14</v>
      </c>
      <c r="B6" s="7">
        <v>5</v>
      </c>
      <c r="C6" s="7">
        <v>1</v>
      </c>
      <c r="D6" s="7">
        <v>2021</v>
      </c>
      <c r="E6" s="7">
        <f>'Athens Daily - EL'!AL12</f>
        <v>33620</v>
      </c>
      <c r="F6" s="7"/>
      <c r="G6" s="37">
        <f>'Athens Daily - Gas'!BI14</f>
        <v>61632</v>
      </c>
      <c r="H6" s="7"/>
      <c r="I6" s="38">
        <f>'Athens Daily - Water'!S11</f>
        <v>191.15</v>
      </c>
      <c r="J6" s="7"/>
      <c r="K6" s="7">
        <v>286</v>
      </c>
      <c r="L6" s="7">
        <v>2</v>
      </c>
    </row>
    <row r="7" spans="1:12">
      <c r="A7" s="7" t="s">
        <v>14</v>
      </c>
      <c r="B7" s="7">
        <v>6</v>
      </c>
      <c r="C7" s="7">
        <v>1</v>
      </c>
      <c r="D7" s="7">
        <v>2021</v>
      </c>
      <c r="E7" s="7">
        <f>'Athens Daily - EL'!AL13</f>
        <v>31435</v>
      </c>
      <c r="F7" s="7"/>
      <c r="G7" s="37">
        <f>'Athens Daily - Gas'!BI15</f>
        <v>61603.200000000004</v>
      </c>
      <c r="H7" s="7"/>
      <c r="I7" s="38">
        <f>'Athens Daily - Water'!S12</f>
        <v>224.4</v>
      </c>
      <c r="J7" s="7"/>
      <c r="K7" s="7">
        <v>288</v>
      </c>
      <c r="L7" s="7">
        <v>2</v>
      </c>
    </row>
    <row r="8" spans="1:12">
      <c r="A8" s="7" t="s">
        <v>14</v>
      </c>
      <c r="B8" s="7">
        <v>7</v>
      </c>
      <c r="C8" s="7">
        <v>1</v>
      </c>
      <c r="D8" s="7">
        <v>2021</v>
      </c>
      <c r="E8" s="7">
        <f>'Athens Daily - EL'!AL14</f>
        <v>36745</v>
      </c>
      <c r="F8" s="7"/>
      <c r="G8" s="37">
        <f>'Athens Daily - Gas'!BI16</f>
        <v>65328</v>
      </c>
      <c r="H8" s="7"/>
      <c r="I8" s="38">
        <f>'Athens Daily - Water'!S13</f>
        <v>193.4</v>
      </c>
      <c r="J8" s="7"/>
      <c r="K8" s="7">
        <v>286</v>
      </c>
      <c r="L8" s="7">
        <v>2</v>
      </c>
    </row>
    <row r="9" spans="1:12">
      <c r="A9" s="7" t="s">
        <v>14</v>
      </c>
      <c r="B9" s="7">
        <v>8</v>
      </c>
      <c r="C9" s="7">
        <v>1</v>
      </c>
      <c r="D9" s="7">
        <v>2021</v>
      </c>
      <c r="E9" s="7">
        <f>'Athens Daily - EL'!AL15</f>
        <v>32100</v>
      </c>
      <c r="F9" s="7"/>
      <c r="G9" s="37">
        <f>'Athens Daily - Gas'!BI17</f>
        <v>62217.600000000006</v>
      </c>
      <c r="H9" s="7"/>
      <c r="I9" s="38">
        <f>'Athens Daily - Water'!S14</f>
        <v>210.8</v>
      </c>
      <c r="J9" s="7"/>
      <c r="K9" s="7">
        <v>287</v>
      </c>
      <c r="L9" s="7">
        <v>2</v>
      </c>
    </row>
    <row r="10" spans="1:12">
      <c r="A10" s="7" t="s">
        <v>14</v>
      </c>
      <c r="B10" s="7">
        <v>9</v>
      </c>
      <c r="C10" s="7">
        <v>1</v>
      </c>
      <c r="D10" s="7">
        <v>2021</v>
      </c>
      <c r="E10" s="7">
        <f>'Athens Daily - EL'!AL16</f>
        <v>30220</v>
      </c>
      <c r="F10" s="7"/>
      <c r="G10" s="37">
        <f>'Athens Daily - Gas'!BI18</f>
        <v>71078.399999999994</v>
      </c>
      <c r="H10" s="7"/>
      <c r="I10" s="38">
        <f>'Athens Daily - Water'!S15</f>
        <v>225.75</v>
      </c>
      <c r="J10" s="7"/>
      <c r="K10" s="7">
        <v>284</v>
      </c>
      <c r="L10" s="7">
        <v>2</v>
      </c>
    </row>
    <row r="11" spans="1:12">
      <c r="A11" s="7" t="s">
        <v>14</v>
      </c>
      <c r="B11" s="7">
        <v>10</v>
      </c>
      <c r="C11" s="7">
        <v>1</v>
      </c>
      <c r="D11" s="7">
        <v>2021</v>
      </c>
      <c r="E11" s="7">
        <f>'Athens Daily - EL'!AL17</f>
        <v>25370</v>
      </c>
      <c r="F11" s="7"/>
      <c r="G11" s="37">
        <f>'Athens Daily - Gas'!BI19</f>
        <v>64915.200000000004</v>
      </c>
      <c r="H11" s="7"/>
      <c r="I11" s="38">
        <f>'Athens Daily - Water'!S16</f>
        <v>214.25</v>
      </c>
      <c r="J11" s="7"/>
      <c r="K11" s="7">
        <v>284</v>
      </c>
      <c r="L11" s="7">
        <v>2</v>
      </c>
    </row>
    <row r="12" spans="1:12">
      <c r="A12" s="7" t="s">
        <v>14</v>
      </c>
      <c r="B12" s="7">
        <v>11</v>
      </c>
      <c r="C12" s="7">
        <v>1</v>
      </c>
      <c r="D12" s="7">
        <v>2021</v>
      </c>
      <c r="E12" s="7">
        <f>'Athens Daily - EL'!AL18</f>
        <v>25855</v>
      </c>
      <c r="F12" s="7"/>
      <c r="G12" s="37">
        <f>'Athens Daily - Gas'!BI20</f>
        <v>63552</v>
      </c>
      <c r="H12" s="7"/>
      <c r="I12" s="38">
        <f>'Athens Daily - Water'!S17</f>
        <v>211.7</v>
      </c>
      <c r="J12" s="7"/>
      <c r="K12" s="7">
        <v>284</v>
      </c>
      <c r="L12" s="7">
        <v>2</v>
      </c>
    </row>
    <row r="13" spans="1:12">
      <c r="A13" s="7" t="s">
        <v>14</v>
      </c>
      <c r="B13" s="7">
        <v>12</v>
      </c>
      <c r="C13" s="7">
        <v>1</v>
      </c>
      <c r="D13" s="7">
        <v>2021</v>
      </c>
      <c r="E13" s="7">
        <f>'Athens Daily - EL'!AL19</f>
        <v>23430</v>
      </c>
      <c r="F13" s="7"/>
      <c r="G13" s="37">
        <f>'Athens Daily - Gas'!BI21</f>
        <v>64934.400000000001</v>
      </c>
      <c r="H13" s="7"/>
      <c r="I13" s="38">
        <f>'Athens Daily - Water'!S18</f>
        <v>202.2</v>
      </c>
      <c r="J13" s="7"/>
      <c r="K13" s="7">
        <v>286</v>
      </c>
      <c r="L13" s="7">
        <v>2</v>
      </c>
    </row>
    <row r="14" spans="1:12">
      <c r="A14" s="7" t="s">
        <v>14</v>
      </c>
      <c r="B14" s="7">
        <v>13</v>
      </c>
      <c r="C14" s="7">
        <v>1</v>
      </c>
      <c r="D14" s="7">
        <v>2021</v>
      </c>
      <c r="E14" s="7">
        <f>'Athens Daily - EL'!AL20</f>
        <v>29325</v>
      </c>
      <c r="F14" s="7"/>
      <c r="G14" s="37">
        <f>'Athens Daily - Gas'!BI22</f>
        <v>69571.200000000012</v>
      </c>
      <c r="H14" s="7"/>
      <c r="I14" s="38">
        <f>'Athens Daily - Water'!S19</f>
        <v>205.85000000000002</v>
      </c>
      <c r="J14" s="7"/>
      <c r="K14" s="7">
        <v>287</v>
      </c>
      <c r="L14" s="7">
        <v>2</v>
      </c>
    </row>
    <row r="15" spans="1:12">
      <c r="A15" s="7" t="s">
        <v>14</v>
      </c>
      <c r="B15" s="7">
        <v>14</v>
      </c>
      <c r="C15" s="7">
        <v>1</v>
      </c>
      <c r="D15" s="7">
        <v>2021</v>
      </c>
      <c r="E15" s="7">
        <f>'Athens Daily - EL'!AL21</f>
        <v>29125</v>
      </c>
      <c r="F15" s="7"/>
      <c r="G15" s="37">
        <f>'Athens Daily - Gas'!BI23</f>
        <v>65472</v>
      </c>
      <c r="H15" s="7"/>
      <c r="I15" s="38">
        <f>'Athens Daily - Water'!S20</f>
        <v>135</v>
      </c>
      <c r="J15" s="7"/>
      <c r="K15" s="7">
        <v>287</v>
      </c>
      <c r="L15" s="7">
        <v>2</v>
      </c>
    </row>
    <row r="16" spans="1:12">
      <c r="A16" s="7" t="s">
        <v>14</v>
      </c>
      <c r="B16" s="7">
        <v>15</v>
      </c>
      <c r="C16" s="7">
        <v>1</v>
      </c>
      <c r="D16" s="7">
        <v>2021</v>
      </c>
      <c r="E16" s="7">
        <f>'Athens Daily - EL'!AL22</f>
        <v>25535</v>
      </c>
      <c r="F16" s="7"/>
      <c r="G16" s="37">
        <f>'Athens Daily - Gas'!BI24</f>
        <v>59049.600000000006</v>
      </c>
      <c r="H16" s="7"/>
      <c r="I16" s="38">
        <f>'Athens Daily - Water'!S21</f>
        <v>261.35000000000002</v>
      </c>
      <c r="J16" s="7"/>
      <c r="K16" s="7">
        <v>288</v>
      </c>
      <c r="L16" s="7">
        <v>2</v>
      </c>
    </row>
    <row r="17" spans="1:12">
      <c r="A17" s="7" t="s">
        <v>14</v>
      </c>
      <c r="B17" s="7">
        <v>16</v>
      </c>
      <c r="C17" s="7">
        <v>1</v>
      </c>
      <c r="D17" s="7">
        <v>2021</v>
      </c>
      <c r="E17" s="7">
        <f>'Athens Daily - EL'!AL23</f>
        <v>27550</v>
      </c>
      <c r="F17" s="7"/>
      <c r="G17" s="37">
        <f>'Athens Daily - Gas'!BI25</f>
        <v>64118.400000000001</v>
      </c>
      <c r="H17" s="7"/>
      <c r="I17" s="38">
        <f>'Athens Daily - Water'!S22</f>
        <v>200.65</v>
      </c>
      <c r="J17" s="7"/>
      <c r="K17" s="7">
        <v>288</v>
      </c>
      <c r="L17" s="7">
        <v>2</v>
      </c>
    </row>
    <row r="18" spans="1:12">
      <c r="A18" s="7" t="s">
        <v>14</v>
      </c>
      <c r="B18" s="7">
        <v>17</v>
      </c>
      <c r="C18" s="7">
        <v>1</v>
      </c>
      <c r="D18" s="7">
        <v>2021</v>
      </c>
      <c r="E18" s="7">
        <f>'Athens Daily - EL'!AL24</f>
        <v>27095</v>
      </c>
      <c r="F18" s="7"/>
      <c r="G18" s="37">
        <f>'Athens Daily - Gas'!BI26</f>
        <v>67296</v>
      </c>
      <c r="H18" s="7"/>
      <c r="I18" s="38">
        <f>'Athens Daily - Water'!S23</f>
        <v>186</v>
      </c>
      <c r="J18" s="7"/>
      <c r="K18" s="7">
        <v>288</v>
      </c>
      <c r="L18" s="7">
        <v>2</v>
      </c>
    </row>
    <row r="19" spans="1:12">
      <c r="A19" s="7" t="s">
        <v>14</v>
      </c>
      <c r="B19" s="7">
        <v>18</v>
      </c>
      <c r="C19" s="7">
        <v>1</v>
      </c>
      <c r="D19" s="7">
        <v>2021</v>
      </c>
      <c r="E19" s="7">
        <f>'Athens Daily - EL'!AL25</f>
        <v>25705</v>
      </c>
      <c r="F19" s="7"/>
      <c r="G19" s="37">
        <f>'Athens Daily - Gas'!BI27</f>
        <v>73334.399999999994</v>
      </c>
      <c r="H19" s="7"/>
      <c r="I19" s="38">
        <f>'Athens Daily - Water'!S24</f>
        <v>215.4</v>
      </c>
      <c r="J19" s="7"/>
      <c r="K19" s="7">
        <v>291</v>
      </c>
      <c r="L19" s="7">
        <v>2</v>
      </c>
    </row>
    <row r="20" spans="1:12">
      <c r="A20" s="7" t="s">
        <v>14</v>
      </c>
      <c r="B20" s="7">
        <v>19</v>
      </c>
      <c r="C20" s="7">
        <v>1</v>
      </c>
      <c r="D20" s="7">
        <v>2021</v>
      </c>
      <c r="E20" s="7">
        <f>'Athens Daily - EL'!AL26</f>
        <v>23210</v>
      </c>
      <c r="F20" s="7"/>
      <c r="G20" s="37">
        <f>'Athens Daily - Gas'!BI28</f>
        <v>68640</v>
      </c>
      <c r="H20" s="7"/>
      <c r="I20" s="38">
        <f>'Athens Daily - Water'!S25</f>
        <v>206.4</v>
      </c>
      <c r="J20" s="7"/>
      <c r="K20" s="7">
        <v>290</v>
      </c>
      <c r="L20" s="7">
        <v>2</v>
      </c>
    </row>
    <row r="21" spans="1:12">
      <c r="A21" s="7" t="s">
        <v>14</v>
      </c>
      <c r="B21" s="7">
        <v>20</v>
      </c>
      <c r="C21" s="7">
        <v>1</v>
      </c>
      <c r="D21" s="7">
        <v>2021</v>
      </c>
      <c r="E21" s="7">
        <f>'Athens Daily - EL'!AL27</f>
        <v>24160</v>
      </c>
      <c r="F21" s="7"/>
      <c r="G21" s="37">
        <f>'Athens Daily - Gas'!BI29</f>
        <v>68841.600000000006</v>
      </c>
      <c r="H21" s="7"/>
      <c r="I21" s="38">
        <f>'Athens Daily - Water'!S26</f>
        <v>200.7</v>
      </c>
      <c r="J21" s="7"/>
      <c r="K21" s="7">
        <v>292</v>
      </c>
      <c r="L21" s="7">
        <v>2</v>
      </c>
    </row>
    <row r="22" spans="1:12">
      <c r="A22" s="7" t="s">
        <v>14</v>
      </c>
      <c r="B22" s="7">
        <v>21</v>
      </c>
      <c r="C22" s="7">
        <v>1</v>
      </c>
      <c r="D22" s="7">
        <v>2021</v>
      </c>
      <c r="E22" s="7">
        <f>'Athens Daily - EL'!AL28</f>
        <v>29120</v>
      </c>
      <c r="F22" s="7"/>
      <c r="G22" s="37">
        <f>'Athens Daily - Gas'!BI30</f>
        <v>70348.800000000003</v>
      </c>
      <c r="H22" s="7"/>
      <c r="I22" s="38">
        <f>'Athens Daily - Water'!S27</f>
        <v>239.2</v>
      </c>
      <c r="J22" s="7"/>
      <c r="K22" s="7">
        <v>293</v>
      </c>
      <c r="L22" s="7">
        <v>2</v>
      </c>
    </row>
    <row r="23" spans="1:12">
      <c r="A23" s="7" t="s">
        <v>14</v>
      </c>
      <c r="B23" s="7">
        <v>22</v>
      </c>
      <c r="C23" s="7">
        <v>1</v>
      </c>
      <c r="D23" s="7">
        <v>2021</v>
      </c>
      <c r="E23" s="7">
        <f>'Athens Daily - EL'!AL29</f>
        <v>26445</v>
      </c>
      <c r="F23" s="7"/>
      <c r="G23" s="37">
        <f>'Athens Daily - Gas'!BI31</f>
        <v>72220.800000000003</v>
      </c>
      <c r="H23" s="7"/>
      <c r="I23" s="38">
        <f>'Athens Daily - Water'!S28</f>
        <v>206.2</v>
      </c>
      <c r="J23" s="7"/>
      <c r="K23" s="7">
        <v>293</v>
      </c>
      <c r="L23" s="7">
        <v>2</v>
      </c>
    </row>
    <row r="24" spans="1:12">
      <c r="A24" s="7" t="s">
        <v>14</v>
      </c>
      <c r="B24" s="7">
        <v>23</v>
      </c>
      <c r="C24" s="7">
        <v>1</v>
      </c>
      <c r="D24" s="7">
        <v>2021</v>
      </c>
      <c r="E24" s="7">
        <f>'Athens Daily - EL'!AL30</f>
        <v>28090</v>
      </c>
      <c r="F24" s="7"/>
      <c r="G24" s="37">
        <f>'Athens Daily - Gas'!BI32</f>
        <v>69801.600000000006</v>
      </c>
      <c r="H24" s="7"/>
      <c r="I24" s="38">
        <f>'Athens Daily - Water'!S29</f>
        <v>224.10000000000002</v>
      </c>
      <c r="J24" s="7"/>
      <c r="K24" s="7">
        <v>294</v>
      </c>
      <c r="L24" s="7">
        <v>2</v>
      </c>
    </row>
    <row r="25" spans="1:12">
      <c r="A25" s="7" t="s">
        <v>14</v>
      </c>
      <c r="B25" s="7">
        <v>24</v>
      </c>
      <c r="C25" s="7">
        <v>1</v>
      </c>
      <c r="D25" s="7">
        <v>2021</v>
      </c>
      <c r="E25" s="7">
        <f>'Athens Daily - EL'!AL31</f>
        <v>23165</v>
      </c>
      <c r="F25" s="7"/>
      <c r="G25" s="37">
        <f>'Athens Daily - Gas'!BI33</f>
        <v>69686.399999999994</v>
      </c>
      <c r="H25" s="7"/>
      <c r="I25" s="38">
        <f>'Athens Daily - Water'!S30</f>
        <v>202.2</v>
      </c>
      <c r="J25" s="7"/>
      <c r="K25" s="7">
        <v>294</v>
      </c>
      <c r="L25" s="7">
        <v>2</v>
      </c>
    </row>
    <row r="26" spans="1:12">
      <c r="A26" s="7" t="s">
        <v>14</v>
      </c>
      <c r="B26" s="7">
        <v>25</v>
      </c>
      <c r="C26" s="7">
        <v>1</v>
      </c>
      <c r="D26" s="7">
        <v>2021</v>
      </c>
      <c r="E26" s="7">
        <f>'Athens Daily - EL'!AL32</f>
        <v>30910</v>
      </c>
      <c r="F26" s="7"/>
      <c r="G26" s="37">
        <f>'Athens Daily - Gas'!BI34</f>
        <v>72364.800000000003</v>
      </c>
      <c r="H26" s="7"/>
      <c r="I26" s="38">
        <f>'Athens Daily - Water'!S31</f>
        <v>202.65</v>
      </c>
      <c r="J26" s="7"/>
      <c r="K26" s="7">
        <v>291</v>
      </c>
      <c r="L26" s="7">
        <v>2</v>
      </c>
    </row>
    <row r="27" spans="1:12">
      <c r="A27" s="7" t="s">
        <v>14</v>
      </c>
      <c r="B27" s="7">
        <v>26</v>
      </c>
      <c r="C27" s="7">
        <v>1</v>
      </c>
      <c r="D27" s="7">
        <v>2021</v>
      </c>
      <c r="E27" s="7">
        <f>'Athens Daily - EL'!AL33</f>
        <v>26915</v>
      </c>
      <c r="F27" s="7"/>
      <c r="G27" s="37">
        <f>'Athens Daily - Gas'!BI35</f>
        <v>73670.399999999994</v>
      </c>
      <c r="H27" s="7"/>
      <c r="I27" s="38">
        <f>'Athens Daily - Water'!S32</f>
        <v>223.95</v>
      </c>
      <c r="J27" s="7"/>
      <c r="K27" s="7">
        <v>291</v>
      </c>
      <c r="L27" s="7">
        <v>2</v>
      </c>
    </row>
    <row r="28" spans="1:12">
      <c r="A28" s="7" t="s">
        <v>14</v>
      </c>
      <c r="B28" s="7">
        <v>27</v>
      </c>
      <c r="C28" s="7">
        <v>1</v>
      </c>
      <c r="D28" s="7">
        <v>2021</v>
      </c>
      <c r="E28" s="7">
        <f>'Athens Daily - EL'!AL34</f>
        <v>26115</v>
      </c>
      <c r="F28" s="7"/>
      <c r="G28" s="37">
        <f>'Athens Daily - Gas'!BI36</f>
        <v>69542.399999999994</v>
      </c>
      <c r="H28" s="7"/>
      <c r="I28" s="38">
        <f>'Athens Daily - Water'!S33</f>
        <v>307.55</v>
      </c>
      <c r="J28" s="7"/>
      <c r="K28" s="7">
        <v>288</v>
      </c>
      <c r="L28" s="7">
        <v>2</v>
      </c>
    </row>
    <row r="29" spans="1:12">
      <c r="A29" s="7" t="s">
        <v>14</v>
      </c>
      <c r="B29" s="7">
        <v>28</v>
      </c>
      <c r="C29" s="7">
        <v>1</v>
      </c>
      <c r="D29" s="7">
        <v>2021</v>
      </c>
      <c r="E29" s="7">
        <f>'Athens Daily - EL'!AL35</f>
        <v>26920</v>
      </c>
      <c r="F29" s="7"/>
      <c r="G29" s="37">
        <f>'Athens Daily - Gas'!BI37</f>
        <v>66384</v>
      </c>
      <c r="H29" s="7"/>
      <c r="I29" s="38">
        <f>'Athens Daily - Water'!S34</f>
        <v>118.95</v>
      </c>
      <c r="J29" s="7"/>
      <c r="K29" s="7">
        <v>290</v>
      </c>
      <c r="L29" s="7">
        <v>2</v>
      </c>
    </row>
    <row r="30" spans="1:12">
      <c r="A30" s="7" t="s">
        <v>14</v>
      </c>
      <c r="B30" s="7">
        <v>29</v>
      </c>
      <c r="C30" s="7">
        <v>1</v>
      </c>
      <c r="D30" s="7">
        <v>2021</v>
      </c>
      <c r="E30" s="7">
        <f>'Athens Daily - EL'!AL36</f>
        <v>27035</v>
      </c>
      <c r="F30" s="7"/>
      <c r="G30" s="37">
        <f>'Athens Daily - Gas'!BI38</f>
        <v>87686.399999999994</v>
      </c>
      <c r="H30" s="7"/>
      <c r="I30" s="38">
        <f>'Athens Daily - Water'!S36</f>
        <v>440.1</v>
      </c>
      <c r="J30" s="7"/>
      <c r="K30" s="7">
        <v>291</v>
      </c>
      <c r="L30" s="7">
        <v>2</v>
      </c>
    </row>
    <row r="31" spans="1:12">
      <c r="A31" s="7" t="s">
        <v>14</v>
      </c>
      <c r="B31" s="7">
        <v>30</v>
      </c>
      <c r="C31" s="7">
        <v>1</v>
      </c>
      <c r="D31" s="7">
        <v>2021</v>
      </c>
      <c r="E31" s="7">
        <f>'Athens Daily - EL'!AL37</f>
        <v>24830</v>
      </c>
      <c r="F31" s="7"/>
      <c r="G31" s="37">
        <f>'Athens Daily - Gas'!BI39</f>
        <v>73113.600000000006</v>
      </c>
      <c r="H31" s="7"/>
      <c r="I31" s="38">
        <f>'Athens Daily - Water'!S38</f>
        <v>0</v>
      </c>
      <c r="J31" s="7"/>
      <c r="K31" s="7">
        <v>290</v>
      </c>
      <c r="L31" s="7">
        <v>2</v>
      </c>
    </row>
    <row r="32" spans="1:12">
      <c r="A32" s="7" t="s">
        <v>14</v>
      </c>
      <c r="B32" s="7">
        <v>31</v>
      </c>
      <c r="C32" s="7">
        <v>1</v>
      </c>
      <c r="D32" s="7">
        <v>2021</v>
      </c>
      <c r="E32" s="7">
        <f>'Athens Daily - EL'!AL38</f>
        <v>24680</v>
      </c>
      <c r="F32" s="7"/>
      <c r="G32" s="37">
        <f>'Athens Daily - Gas'!BI40</f>
        <v>0</v>
      </c>
      <c r="H32" s="7"/>
      <c r="I32" s="38">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89"/>
  <sheetViews>
    <sheetView topLeftCell="A2" zoomScale="50" zoomScaleNormal="50" zoomScaleSheetLayoutView="50" workbookViewId="0">
      <pane xSplit="2" ySplit="5" topLeftCell="AD16" activePane="bottomRight" state="frozen"/>
      <selection pane="topRight" activeCell="C2" sqref="C2"/>
      <selection pane="bottomLeft" activeCell="A7" sqref="A7"/>
      <selection pane="bottomRight" activeCell="AI38" sqref="AI38"/>
    </sheetView>
  </sheetViews>
  <sheetFormatPr defaultRowHeight="21"/>
  <cols>
    <col min="1" max="1" width="23"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88"/>
      <c r="B1" s="188"/>
      <c r="C1" s="216" t="s">
        <v>65</v>
      </c>
      <c r="D1" s="216"/>
      <c r="E1" s="216" t="s">
        <v>65</v>
      </c>
      <c r="F1" s="216"/>
      <c r="G1" s="216" t="s">
        <v>65</v>
      </c>
      <c r="H1" s="216"/>
      <c r="I1" s="188"/>
      <c r="J1" s="216" t="s">
        <v>65</v>
      </c>
      <c r="K1" s="216"/>
      <c r="L1" s="216" t="s">
        <v>65</v>
      </c>
      <c r="M1" s="216"/>
      <c r="N1" s="229" t="s">
        <v>66</v>
      </c>
      <c r="O1" s="230"/>
      <c r="P1" s="231"/>
      <c r="Q1" s="229" t="s">
        <v>66</v>
      </c>
      <c r="R1" s="230"/>
      <c r="S1" s="231"/>
      <c r="T1" s="229" t="s">
        <v>66</v>
      </c>
      <c r="U1" s="230"/>
      <c r="V1" s="231"/>
      <c r="W1" s="229" t="s">
        <v>66</v>
      </c>
      <c r="X1" s="230"/>
      <c r="Y1" s="231"/>
      <c r="Z1" s="216" t="s">
        <v>67</v>
      </c>
      <c r="AA1" s="216"/>
      <c r="AB1" s="216" t="s">
        <v>67</v>
      </c>
      <c r="AC1" s="216"/>
      <c r="AD1" s="216" t="s">
        <v>67</v>
      </c>
      <c r="AE1" s="216"/>
      <c r="AF1" s="216" t="s">
        <v>67</v>
      </c>
      <c r="AG1" s="216"/>
      <c r="AH1" s="216" t="s">
        <v>67</v>
      </c>
      <c r="AI1" s="216"/>
    </row>
    <row r="2" spans="1:38" s="112" customFormat="1" ht="113.25" customHeight="1">
      <c r="A2" s="13"/>
      <c r="B2" s="14"/>
      <c r="C2" s="215" t="s">
        <v>68</v>
      </c>
      <c r="D2" s="215"/>
      <c r="E2" s="215" t="s">
        <v>69</v>
      </c>
      <c r="F2" s="215"/>
      <c r="G2" s="220" t="s">
        <v>70</v>
      </c>
      <c r="H2" s="221"/>
      <c r="I2" s="222"/>
      <c r="J2" s="215" t="s">
        <v>71</v>
      </c>
      <c r="K2" s="215"/>
      <c r="L2" s="215" t="s">
        <v>72</v>
      </c>
      <c r="M2" s="215"/>
      <c r="N2" s="220" t="s">
        <v>73</v>
      </c>
      <c r="O2" s="221"/>
      <c r="P2" s="222"/>
      <c r="Q2" s="220" t="s">
        <v>74</v>
      </c>
      <c r="R2" s="221"/>
      <c r="S2" s="222"/>
      <c r="T2" s="220" t="s">
        <v>75</v>
      </c>
      <c r="U2" s="221"/>
      <c r="V2" s="222"/>
      <c r="W2" s="220" t="s">
        <v>76</v>
      </c>
      <c r="X2" s="221"/>
      <c r="Y2" s="222"/>
      <c r="Z2" s="215" t="s">
        <v>77</v>
      </c>
      <c r="AA2" s="215"/>
      <c r="AB2" s="215" t="s">
        <v>78</v>
      </c>
      <c r="AC2" s="215"/>
      <c r="AD2" s="215" t="s">
        <v>79</v>
      </c>
      <c r="AE2" s="215"/>
      <c r="AF2" s="215" t="s">
        <v>78</v>
      </c>
      <c r="AG2" s="215"/>
      <c r="AH2" s="215" t="s">
        <v>80</v>
      </c>
      <c r="AI2" s="215"/>
    </row>
    <row r="3" spans="1:38" s="23" customFormat="1" ht="30" customHeight="1">
      <c r="A3" s="187"/>
      <c r="B3" s="47"/>
      <c r="C3" s="217">
        <v>5065546</v>
      </c>
      <c r="D3" s="219"/>
      <c r="E3" s="217">
        <v>5065547</v>
      </c>
      <c r="F3" s="219"/>
      <c r="G3" s="217">
        <v>5008272</v>
      </c>
      <c r="H3" s="218"/>
      <c r="I3" s="219"/>
      <c r="J3" s="217">
        <v>5065548</v>
      </c>
      <c r="K3" s="219"/>
      <c r="L3" s="217">
        <v>5465545</v>
      </c>
      <c r="M3" s="219"/>
      <c r="N3" s="217">
        <v>5008273</v>
      </c>
      <c r="O3" s="218"/>
      <c r="P3" s="219"/>
      <c r="Q3" s="217">
        <v>5018351</v>
      </c>
      <c r="R3" s="218"/>
      <c r="S3" s="219"/>
      <c r="T3" s="217">
        <v>5018354</v>
      </c>
      <c r="U3" s="218"/>
      <c r="V3" s="219"/>
      <c r="W3" s="217">
        <v>5018350</v>
      </c>
      <c r="X3" s="218"/>
      <c r="Y3" s="219"/>
      <c r="Z3" s="217">
        <v>5065543</v>
      </c>
      <c r="AA3" s="219"/>
      <c r="AB3" s="217">
        <v>5065544</v>
      </c>
      <c r="AC3" s="219"/>
      <c r="AD3" s="217">
        <v>5065541</v>
      </c>
      <c r="AE3" s="219"/>
      <c r="AF3" s="217">
        <v>5065542</v>
      </c>
      <c r="AG3" s="219"/>
      <c r="AH3" s="217">
        <v>5065540</v>
      </c>
      <c r="AI3" s="219"/>
      <c r="AK3" s="214" t="s">
        <v>81</v>
      </c>
      <c r="AL3" s="214"/>
    </row>
    <row r="4" spans="1:38" s="22" customFormat="1" ht="30" customHeight="1">
      <c r="A4" s="187"/>
      <c r="B4" s="190"/>
      <c r="C4" s="225" t="s">
        <v>82</v>
      </c>
      <c r="D4" s="226"/>
      <c r="E4" s="225" t="s">
        <v>83</v>
      </c>
      <c r="F4" s="226"/>
      <c r="G4" s="225" t="s">
        <v>84</v>
      </c>
      <c r="H4" s="227"/>
      <c r="I4" s="226"/>
      <c r="J4" s="225" t="s">
        <v>85</v>
      </c>
      <c r="K4" s="226"/>
      <c r="L4" s="225" t="s">
        <v>86</v>
      </c>
      <c r="M4" s="226"/>
      <c r="N4" s="225" t="s">
        <v>87</v>
      </c>
      <c r="O4" s="227"/>
      <c r="P4" s="226"/>
      <c r="Q4" s="225" t="s">
        <v>88</v>
      </c>
      <c r="R4" s="227"/>
      <c r="S4" s="226"/>
      <c r="T4" s="225" t="s">
        <v>89</v>
      </c>
      <c r="U4" s="227"/>
      <c r="V4" s="226"/>
      <c r="W4" s="225" t="s">
        <v>90</v>
      </c>
      <c r="X4" s="227"/>
      <c r="Y4" s="226"/>
      <c r="Z4" s="225" t="s">
        <v>91</v>
      </c>
      <c r="AA4" s="226"/>
      <c r="AB4" s="225" t="s">
        <v>92</v>
      </c>
      <c r="AC4" s="226"/>
      <c r="AD4" s="225" t="s">
        <v>93</v>
      </c>
      <c r="AE4" s="226"/>
      <c r="AF4" s="225" t="s">
        <v>94</v>
      </c>
      <c r="AG4" s="226"/>
      <c r="AH4" s="225" t="s">
        <v>95</v>
      </c>
      <c r="AI4" s="226"/>
      <c r="AK4" s="214"/>
      <c r="AL4" s="214"/>
    </row>
    <row r="5" spans="1:38" s="8" customFormat="1" ht="30" customHeight="1">
      <c r="A5" s="187" t="s">
        <v>96</v>
      </c>
      <c r="B5" s="48"/>
      <c r="C5" s="223" t="s">
        <v>97</v>
      </c>
      <c r="D5" s="224"/>
      <c r="E5" s="223" t="s">
        <v>97</v>
      </c>
      <c r="F5" s="224"/>
      <c r="G5" s="223" t="s">
        <v>97</v>
      </c>
      <c r="H5" s="228"/>
      <c r="I5" s="224"/>
      <c r="J5" s="48" t="s">
        <v>97</v>
      </c>
      <c r="K5" s="48"/>
      <c r="L5" s="223" t="s">
        <v>97</v>
      </c>
      <c r="M5" s="224"/>
      <c r="N5" s="223" t="s">
        <v>97</v>
      </c>
      <c r="O5" s="228"/>
      <c r="P5" s="224"/>
      <c r="Q5" s="223" t="s">
        <v>98</v>
      </c>
      <c r="R5" s="228"/>
      <c r="S5" s="224"/>
      <c r="T5" s="223" t="s">
        <v>98</v>
      </c>
      <c r="U5" s="228"/>
      <c r="V5" s="224"/>
      <c r="W5" s="223" t="s">
        <v>98</v>
      </c>
      <c r="X5" s="228"/>
      <c r="Y5" s="224"/>
      <c r="Z5" s="223" t="s">
        <v>97</v>
      </c>
      <c r="AA5" s="224"/>
      <c r="AB5" s="223" t="s">
        <v>97</v>
      </c>
      <c r="AC5" s="224"/>
      <c r="AD5" s="223" t="s">
        <v>97</v>
      </c>
      <c r="AE5" s="224"/>
      <c r="AF5" s="223" t="s">
        <v>97</v>
      </c>
      <c r="AG5" s="224"/>
      <c r="AH5" s="223" t="s">
        <v>97</v>
      </c>
      <c r="AI5" s="224"/>
    </row>
    <row r="6" spans="1:38" s="10" customFormat="1" ht="50.1" customHeight="1">
      <c r="A6" s="187" t="s">
        <v>99</v>
      </c>
      <c r="B6" s="187"/>
      <c r="C6" s="187" t="s">
        <v>100</v>
      </c>
      <c r="D6" s="187" t="s">
        <v>101</v>
      </c>
      <c r="E6" s="187" t="s">
        <v>100</v>
      </c>
      <c r="F6" s="187" t="s">
        <v>101</v>
      </c>
      <c r="G6" s="187" t="s">
        <v>100</v>
      </c>
      <c r="H6" s="187" t="s">
        <v>101</v>
      </c>
      <c r="I6" s="187" t="s">
        <v>102</v>
      </c>
      <c r="J6" s="187" t="s">
        <v>100</v>
      </c>
      <c r="K6" s="187" t="s">
        <v>101</v>
      </c>
      <c r="L6" s="187" t="s">
        <v>100</v>
      </c>
      <c r="M6" s="187" t="s">
        <v>101</v>
      </c>
      <c r="N6" s="187" t="s">
        <v>100</v>
      </c>
      <c r="O6" s="187" t="s">
        <v>101</v>
      </c>
      <c r="P6" s="187" t="s">
        <v>102</v>
      </c>
      <c r="Q6" s="187" t="s">
        <v>100</v>
      </c>
      <c r="R6" s="187" t="s">
        <v>101</v>
      </c>
      <c r="S6" s="187" t="s">
        <v>102</v>
      </c>
      <c r="T6" s="187" t="s">
        <v>100</v>
      </c>
      <c r="U6" s="187" t="s">
        <v>101</v>
      </c>
      <c r="V6" s="187" t="s">
        <v>102</v>
      </c>
      <c r="W6" s="187" t="s">
        <v>100</v>
      </c>
      <c r="X6" s="187" t="s">
        <v>101</v>
      </c>
      <c r="Y6" s="187" t="s">
        <v>102</v>
      </c>
      <c r="Z6" s="187" t="s">
        <v>100</v>
      </c>
      <c r="AA6" s="187" t="s">
        <v>101</v>
      </c>
      <c r="AB6" s="187" t="s">
        <v>100</v>
      </c>
      <c r="AC6" s="187" t="s">
        <v>101</v>
      </c>
      <c r="AD6" s="187" t="s">
        <v>100</v>
      </c>
      <c r="AE6" s="187" t="s">
        <v>101</v>
      </c>
      <c r="AF6" s="187" t="s">
        <v>100</v>
      </c>
      <c r="AG6" s="187" t="s">
        <v>101</v>
      </c>
      <c r="AH6" s="187" t="s">
        <v>100</v>
      </c>
      <c r="AI6" s="187" t="s">
        <v>101</v>
      </c>
      <c r="AK6" s="187" t="s">
        <v>65</v>
      </c>
      <c r="AL6" s="187" t="s">
        <v>67</v>
      </c>
    </row>
    <row r="7" spans="1:38" s="197" customFormat="1" ht="39.950000000000003" customHeight="1">
      <c r="A7" s="186">
        <v>44834</v>
      </c>
      <c r="B7" s="194"/>
      <c r="C7" s="195">
        <v>312383</v>
      </c>
      <c r="D7" s="196"/>
      <c r="E7" s="195">
        <v>533487</v>
      </c>
      <c r="F7" s="196"/>
      <c r="G7" s="195">
        <v>319680</v>
      </c>
      <c r="H7" s="196"/>
      <c r="I7" s="196"/>
      <c r="J7" s="195">
        <v>456979</v>
      </c>
      <c r="K7" s="196"/>
      <c r="L7" s="195">
        <v>728135</v>
      </c>
      <c r="M7" s="196"/>
      <c r="N7" s="195">
        <v>438372</v>
      </c>
      <c r="O7" s="196"/>
      <c r="P7" s="196"/>
      <c r="Q7" s="195">
        <v>461930</v>
      </c>
      <c r="R7" s="196"/>
      <c r="S7" s="196"/>
      <c r="T7" s="195">
        <v>237601</v>
      </c>
      <c r="U7" s="196"/>
      <c r="V7" s="196"/>
      <c r="W7" s="195">
        <v>308496</v>
      </c>
      <c r="X7" s="196"/>
      <c r="Y7" s="196"/>
      <c r="Z7" s="195">
        <v>88221</v>
      </c>
      <c r="AA7" s="196"/>
      <c r="AB7" s="195">
        <v>167027</v>
      </c>
      <c r="AC7" s="196"/>
      <c r="AD7" s="195">
        <v>298586</v>
      </c>
      <c r="AE7" s="196"/>
      <c r="AF7" s="195">
        <v>151415</v>
      </c>
      <c r="AG7" s="196"/>
      <c r="AH7" s="195">
        <v>796801</v>
      </c>
      <c r="AI7" s="196"/>
      <c r="AK7" s="198"/>
      <c r="AL7" s="199"/>
    </row>
    <row r="8" spans="1:38" s="202" customFormat="1" ht="39.950000000000003" customHeight="1">
      <c r="A8" s="186">
        <v>44835</v>
      </c>
      <c r="B8" s="200"/>
      <c r="C8" s="201">
        <v>312851</v>
      </c>
      <c r="D8" s="196">
        <f>(C8-C7)*10</f>
        <v>4680</v>
      </c>
      <c r="E8" s="201">
        <v>534344</v>
      </c>
      <c r="F8" s="196">
        <f>(E8-E7)*10</f>
        <v>8570</v>
      </c>
      <c r="G8" s="201">
        <v>321227</v>
      </c>
      <c r="H8" s="196">
        <f>(G8-G7)*10</f>
        <v>15470</v>
      </c>
      <c r="I8" s="196">
        <f>H8*50%</f>
        <v>7735</v>
      </c>
      <c r="J8" s="201">
        <v>457670</v>
      </c>
      <c r="K8" s="196">
        <f>(J8-J7)*10</f>
        <v>6910</v>
      </c>
      <c r="L8" s="201">
        <v>729344</v>
      </c>
      <c r="M8" s="196">
        <f>(L8-L7)*10</f>
        <v>12090</v>
      </c>
      <c r="N8" s="201">
        <v>439516</v>
      </c>
      <c r="O8" s="196">
        <f>(N8-N7)*10</f>
        <v>11440</v>
      </c>
      <c r="P8" s="196">
        <f>O8*50%</f>
        <v>5720</v>
      </c>
      <c r="Q8" s="201">
        <v>461932</v>
      </c>
      <c r="R8" s="196">
        <f>(Q8-Q7)*10</f>
        <v>20</v>
      </c>
      <c r="S8" s="196">
        <f>R8*50%</f>
        <v>10</v>
      </c>
      <c r="T8" s="201">
        <v>238727</v>
      </c>
      <c r="U8" s="196">
        <f>(T8-T7)*10</f>
        <v>11260</v>
      </c>
      <c r="V8" s="196">
        <f>U8*50%</f>
        <v>5630</v>
      </c>
      <c r="W8" s="201">
        <v>309078</v>
      </c>
      <c r="X8" s="196">
        <f>(W8-W7)*10</f>
        <v>5820</v>
      </c>
      <c r="Y8" s="196">
        <f>X8*50%</f>
        <v>2910</v>
      </c>
      <c r="Z8" s="201">
        <v>88363</v>
      </c>
      <c r="AA8" s="196">
        <f>(Z8-Z7)*10</f>
        <v>1420</v>
      </c>
      <c r="AB8" s="201">
        <v>167277</v>
      </c>
      <c r="AC8" s="196">
        <f>(AB8-AB7)*10</f>
        <v>2500</v>
      </c>
      <c r="AD8" s="201">
        <v>299020</v>
      </c>
      <c r="AE8" s="196">
        <f>(AD8-AD7)*10</f>
        <v>4340</v>
      </c>
      <c r="AF8" s="201">
        <v>151633</v>
      </c>
      <c r="AG8" s="196">
        <f>(AF8-AF7)*10</f>
        <v>2180</v>
      </c>
      <c r="AH8" s="201">
        <v>797841</v>
      </c>
      <c r="AI8" s="196">
        <f>(AH8-AH7)*10</f>
        <v>10400</v>
      </c>
      <c r="AK8" s="198">
        <f>SUM(D8,F8,I8,K8,M8,P8,S8,V8,Y8)</f>
        <v>54255</v>
      </c>
      <c r="AL8" s="199">
        <f>SUM(P8,S8,V8,Y8,AA8,AC8,AE8,AG8,AI8)</f>
        <v>35110</v>
      </c>
    </row>
    <row r="9" spans="1:38" s="197" customFormat="1" ht="39.950000000000003" customHeight="1">
      <c r="A9" s="186">
        <f>SUM(A8+1)</f>
        <v>44836</v>
      </c>
      <c r="B9" s="194"/>
      <c r="C9" s="201">
        <v>313277</v>
      </c>
      <c r="D9" s="196">
        <f t="shared" ref="D9:D38" si="0">(C9-C8)*10</f>
        <v>4260</v>
      </c>
      <c r="E9" s="201">
        <v>535085</v>
      </c>
      <c r="F9" s="196">
        <f t="shared" ref="F9:F38" si="1">(E9-E8)*10</f>
        <v>7410</v>
      </c>
      <c r="G9" s="201">
        <v>322739</v>
      </c>
      <c r="H9" s="196">
        <f t="shared" ref="H9:H38" si="2">(G9-G8)*10</f>
        <v>15120</v>
      </c>
      <c r="I9" s="196">
        <f t="shared" ref="I9:I38" si="3">H9*50%</f>
        <v>7560</v>
      </c>
      <c r="J9" s="201">
        <v>458242</v>
      </c>
      <c r="K9" s="196">
        <f t="shared" ref="K9:K38" si="4">(J9-J8)*10</f>
        <v>5720</v>
      </c>
      <c r="L9" s="201">
        <v>730368</v>
      </c>
      <c r="M9" s="196">
        <f t="shared" ref="M9:M38" si="5">(L9-L8)*10</f>
        <v>10240</v>
      </c>
      <c r="N9" s="201">
        <v>440938</v>
      </c>
      <c r="O9" s="196">
        <f t="shared" ref="O9:O38" si="6">(N9-N8)*10</f>
        <v>14220</v>
      </c>
      <c r="P9" s="196">
        <f t="shared" ref="P9:P38" si="7">O9*50%</f>
        <v>7110</v>
      </c>
      <c r="Q9" s="201">
        <v>461934</v>
      </c>
      <c r="R9" s="196">
        <f t="shared" ref="R9:R38" si="8">(Q9-Q8)*10</f>
        <v>20</v>
      </c>
      <c r="S9" s="196">
        <f t="shared" ref="S9:S38" si="9">R9*50%</f>
        <v>10</v>
      </c>
      <c r="T9" s="201">
        <v>239133</v>
      </c>
      <c r="U9" s="196">
        <f t="shared" ref="U9:U38" si="10">(T9-T8)*10</f>
        <v>4060</v>
      </c>
      <c r="V9" s="196">
        <f t="shared" ref="V9:V38" si="11">U9*50%</f>
        <v>2030</v>
      </c>
      <c r="W9" s="201">
        <v>309859</v>
      </c>
      <c r="X9" s="196">
        <f t="shared" ref="X9:X38" si="12">(W9-W8)*10</f>
        <v>7810</v>
      </c>
      <c r="Y9" s="196">
        <f t="shared" ref="Y9:Y38" si="13">X9*50%</f>
        <v>3905</v>
      </c>
      <c r="Z9" s="201">
        <v>88486</v>
      </c>
      <c r="AA9" s="196">
        <f t="shared" ref="AA9:AA38" si="14">(Z9-Z8)*10</f>
        <v>1230</v>
      </c>
      <c r="AB9" s="201">
        <v>167504</v>
      </c>
      <c r="AC9" s="196">
        <f t="shared" ref="AC9:AC38" si="15">(AB9-AB8)*10</f>
        <v>2270</v>
      </c>
      <c r="AD9" s="201">
        <v>299412</v>
      </c>
      <c r="AE9" s="196">
        <f t="shared" ref="AE9:AE38" si="16">(AD9-AD8)*10</f>
        <v>3920</v>
      </c>
      <c r="AF9" s="201">
        <v>151829</v>
      </c>
      <c r="AG9" s="196">
        <f t="shared" ref="AG9:AG38" si="17">(AF9-AF8)*10</f>
        <v>1960</v>
      </c>
      <c r="AH9" s="201">
        <v>798818</v>
      </c>
      <c r="AI9" s="196">
        <f t="shared" ref="AI9:AI38" si="18">(AH9-AH8)*10</f>
        <v>9770</v>
      </c>
      <c r="AK9" s="198">
        <f t="shared" ref="AK9:AK38" si="19">SUM(D9,F9,I9,K9,M9,P9,S9,V9,Y9)</f>
        <v>48245</v>
      </c>
      <c r="AL9" s="199">
        <f t="shared" ref="AL9:AL38" si="20">SUM(P9,S9,V9,Y9,AA9,AC9,AE9,AG9,AI9)</f>
        <v>32205</v>
      </c>
    </row>
    <row r="10" spans="1:38" s="197" customFormat="1" ht="39.950000000000003" customHeight="1">
      <c r="A10" s="186">
        <f t="shared" ref="A10:A38" si="21">SUM(A9+1)</f>
        <v>44837</v>
      </c>
      <c r="B10" s="194"/>
      <c r="C10" s="201">
        <v>313704</v>
      </c>
      <c r="D10" s="196">
        <f t="shared" si="0"/>
        <v>4270</v>
      </c>
      <c r="E10" s="201">
        <v>535841</v>
      </c>
      <c r="F10" s="196">
        <f t="shared" si="1"/>
        <v>7560</v>
      </c>
      <c r="G10" s="201">
        <v>324341</v>
      </c>
      <c r="H10" s="196">
        <f t="shared" si="2"/>
        <v>16020</v>
      </c>
      <c r="I10" s="196">
        <f t="shared" si="3"/>
        <v>8010</v>
      </c>
      <c r="J10" s="201">
        <v>458863</v>
      </c>
      <c r="K10" s="196">
        <f t="shared" si="4"/>
        <v>6210</v>
      </c>
      <c r="L10" s="201">
        <v>731359</v>
      </c>
      <c r="M10" s="196">
        <f t="shared" si="5"/>
        <v>9910</v>
      </c>
      <c r="N10" s="201">
        <v>442563</v>
      </c>
      <c r="O10" s="196">
        <f t="shared" si="6"/>
        <v>16250</v>
      </c>
      <c r="P10" s="196">
        <f t="shared" si="7"/>
        <v>8125</v>
      </c>
      <c r="Q10" s="201">
        <v>461936</v>
      </c>
      <c r="R10" s="196">
        <f t="shared" si="8"/>
        <v>20</v>
      </c>
      <c r="S10" s="196">
        <f t="shared" si="9"/>
        <v>10</v>
      </c>
      <c r="T10" s="201">
        <v>239155</v>
      </c>
      <c r="U10" s="196">
        <f t="shared" si="10"/>
        <v>220</v>
      </c>
      <c r="V10" s="196">
        <f t="shared" si="11"/>
        <v>110</v>
      </c>
      <c r="W10" s="201">
        <v>310770</v>
      </c>
      <c r="X10" s="196">
        <f t="shared" si="12"/>
        <v>9110</v>
      </c>
      <c r="Y10" s="196">
        <f t="shared" si="13"/>
        <v>4555</v>
      </c>
      <c r="Z10" s="201">
        <v>88619</v>
      </c>
      <c r="AA10" s="196">
        <f t="shared" si="14"/>
        <v>1330</v>
      </c>
      <c r="AB10" s="201">
        <v>167749</v>
      </c>
      <c r="AC10" s="196">
        <f t="shared" si="15"/>
        <v>2450</v>
      </c>
      <c r="AD10" s="201">
        <v>299843</v>
      </c>
      <c r="AE10" s="196">
        <f t="shared" si="16"/>
        <v>4310</v>
      </c>
      <c r="AF10" s="201">
        <v>152035</v>
      </c>
      <c r="AG10" s="196">
        <f t="shared" si="17"/>
        <v>2060</v>
      </c>
      <c r="AH10" s="201">
        <v>799882</v>
      </c>
      <c r="AI10" s="196">
        <f t="shared" si="18"/>
        <v>10640</v>
      </c>
      <c r="AK10" s="198">
        <f t="shared" si="19"/>
        <v>48760</v>
      </c>
      <c r="AL10" s="199">
        <f>SUM(P10,S10,V10,Y10,AA10,AC10,AE10,AG10,AI10)</f>
        <v>33590</v>
      </c>
    </row>
    <row r="11" spans="1:38" s="197" customFormat="1" ht="39.950000000000003" customHeight="1">
      <c r="A11" s="186">
        <f t="shared" si="21"/>
        <v>44838</v>
      </c>
      <c r="B11" s="194"/>
      <c r="C11" s="201">
        <v>314137</v>
      </c>
      <c r="D11" s="196">
        <f t="shared" si="0"/>
        <v>4330</v>
      </c>
      <c r="E11" s="201">
        <v>536612</v>
      </c>
      <c r="F11" s="196">
        <f t="shared" si="1"/>
        <v>7710</v>
      </c>
      <c r="G11" s="201">
        <v>325885</v>
      </c>
      <c r="H11" s="196">
        <f t="shared" si="2"/>
        <v>15440</v>
      </c>
      <c r="I11" s="196">
        <f t="shared" si="3"/>
        <v>7720</v>
      </c>
      <c r="J11" s="201">
        <v>459480</v>
      </c>
      <c r="K11" s="196">
        <f t="shared" si="4"/>
        <v>6170</v>
      </c>
      <c r="L11" s="201">
        <v>732436</v>
      </c>
      <c r="M11" s="196">
        <f t="shared" si="5"/>
        <v>10770</v>
      </c>
      <c r="N11" s="201">
        <v>443758</v>
      </c>
      <c r="O11" s="196">
        <f t="shared" si="6"/>
        <v>11950</v>
      </c>
      <c r="P11" s="196">
        <f t="shared" si="7"/>
        <v>5975</v>
      </c>
      <c r="Q11" s="201">
        <v>462400</v>
      </c>
      <c r="R11" s="196">
        <f t="shared" si="8"/>
        <v>4640</v>
      </c>
      <c r="S11" s="196">
        <f t="shared" si="9"/>
        <v>2320</v>
      </c>
      <c r="T11" s="201">
        <v>239157</v>
      </c>
      <c r="U11" s="196">
        <f t="shared" si="10"/>
        <v>20</v>
      </c>
      <c r="V11" s="196">
        <f t="shared" si="11"/>
        <v>10</v>
      </c>
      <c r="W11" s="201">
        <v>311683</v>
      </c>
      <c r="X11" s="196">
        <f t="shared" si="12"/>
        <v>9130</v>
      </c>
      <c r="Y11" s="196">
        <f t="shared" si="13"/>
        <v>4565</v>
      </c>
      <c r="Z11" s="201">
        <v>88745</v>
      </c>
      <c r="AA11" s="196">
        <f t="shared" si="14"/>
        <v>1260</v>
      </c>
      <c r="AB11" s="201">
        <v>167992</v>
      </c>
      <c r="AC11" s="196">
        <f t="shared" si="15"/>
        <v>2430</v>
      </c>
      <c r="AD11" s="201">
        <v>300254</v>
      </c>
      <c r="AE11" s="196">
        <f t="shared" si="16"/>
        <v>4110</v>
      </c>
      <c r="AF11" s="201">
        <v>152231</v>
      </c>
      <c r="AG11" s="196">
        <f t="shared" si="17"/>
        <v>1960</v>
      </c>
      <c r="AH11" s="201">
        <v>800908</v>
      </c>
      <c r="AI11" s="196">
        <f t="shared" si="18"/>
        <v>10260</v>
      </c>
      <c r="AK11" s="198">
        <f t="shared" si="19"/>
        <v>49570</v>
      </c>
      <c r="AL11" s="199">
        <f t="shared" si="20"/>
        <v>32890</v>
      </c>
    </row>
    <row r="12" spans="1:38" s="197" customFormat="1" ht="39.950000000000003" customHeight="1">
      <c r="A12" s="186">
        <f t="shared" si="21"/>
        <v>44839</v>
      </c>
      <c r="B12" s="194"/>
      <c r="C12" s="201">
        <v>314552</v>
      </c>
      <c r="D12" s="196">
        <f t="shared" si="0"/>
        <v>4150</v>
      </c>
      <c r="E12" s="201">
        <v>537350</v>
      </c>
      <c r="F12" s="196">
        <f t="shared" si="1"/>
        <v>7380</v>
      </c>
      <c r="G12" s="201">
        <v>327234</v>
      </c>
      <c r="H12" s="196">
        <f t="shared" si="2"/>
        <v>13490</v>
      </c>
      <c r="I12" s="196">
        <f t="shared" si="3"/>
        <v>6745</v>
      </c>
      <c r="J12" s="201">
        <v>460124</v>
      </c>
      <c r="K12" s="196">
        <f t="shared" si="4"/>
        <v>6440</v>
      </c>
      <c r="L12" s="201">
        <v>733533</v>
      </c>
      <c r="M12" s="196">
        <f t="shared" si="5"/>
        <v>10970</v>
      </c>
      <c r="N12" s="201">
        <v>445226</v>
      </c>
      <c r="O12" s="196">
        <f t="shared" si="6"/>
        <v>14680</v>
      </c>
      <c r="P12" s="196">
        <f t="shared" si="7"/>
        <v>7340</v>
      </c>
      <c r="Q12" s="201">
        <v>463598</v>
      </c>
      <c r="R12" s="196">
        <f t="shared" si="8"/>
        <v>11980</v>
      </c>
      <c r="S12" s="196">
        <f t="shared" si="9"/>
        <v>5990</v>
      </c>
      <c r="T12" s="201">
        <v>239159</v>
      </c>
      <c r="U12" s="196">
        <f t="shared" si="10"/>
        <v>20</v>
      </c>
      <c r="V12" s="196">
        <f t="shared" si="11"/>
        <v>10</v>
      </c>
      <c r="W12" s="201">
        <v>311687</v>
      </c>
      <c r="X12" s="196">
        <f t="shared" si="12"/>
        <v>40</v>
      </c>
      <c r="Y12" s="196">
        <f t="shared" si="13"/>
        <v>20</v>
      </c>
      <c r="Z12" s="201">
        <v>88876</v>
      </c>
      <c r="AA12" s="196">
        <f t="shared" si="14"/>
        <v>1310</v>
      </c>
      <c r="AB12" s="201">
        <v>168245</v>
      </c>
      <c r="AC12" s="196">
        <f t="shared" si="15"/>
        <v>2530</v>
      </c>
      <c r="AD12" s="201">
        <v>300668</v>
      </c>
      <c r="AE12" s="196">
        <f t="shared" si="16"/>
        <v>4140</v>
      </c>
      <c r="AF12" s="201">
        <v>152426</v>
      </c>
      <c r="AG12" s="196">
        <f t="shared" si="17"/>
        <v>1950</v>
      </c>
      <c r="AH12" s="201">
        <v>801941</v>
      </c>
      <c r="AI12" s="196">
        <f t="shared" si="18"/>
        <v>10330</v>
      </c>
      <c r="AK12" s="198">
        <f t="shared" si="19"/>
        <v>49045</v>
      </c>
      <c r="AL12" s="199">
        <f t="shared" si="20"/>
        <v>33620</v>
      </c>
    </row>
    <row r="13" spans="1:38" s="197" customFormat="1" ht="39.950000000000003" customHeight="1">
      <c r="A13" s="186">
        <f t="shared" si="21"/>
        <v>44840</v>
      </c>
      <c r="B13" s="194"/>
      <c r="C13" s="201">
        <v>314973</v>
      </c>
      <c r="D13" s="196">
        <f t="shared" si="0"/>
        <v>4210</v>
      </c>
      <c r="E13" s="201">
        <v>538135</v>
      </c>
      <c r="F13" s="196">
        <f t="shared" si="1"/>
        <v>7850</v>
      </c>
      <c r="G13" s="201">
        <v>328856</v>
      </c>
      <c r="H13" s="196">
        <f t="shared" si="2"/>
        <v>16220</v>
      </c>
      <c r="I13" s="196">
        <f t="shared" si="3"/>
        <v>8110</v>
      </c>
      <c r="J13" s="201">
        <v>460774</v>
      </c>
      <c r="K13" s="196">
        <f t="shared" si="4"/>
        <v>6500</v>
      </c>
      <c r="L13" s="201">
        <v>734627</v>
      </c>
      <c r="M13" s="196">
        <f t="shared" si="5"/>
        <v>10940</v>
      </c>
      <c r="N13" s="201">
        <v>446675</v>
      </c>
      <c r="O13" s="196">
        <f t="shared" si="6"/>
        <v>14490</v>
      </c>
      <c r="P13" s="196">
        <f t="shared" si="7"/>
        <v>7245</v>
      </c>
      <c r="Q13" s="201">
        <v>464503</v>
      </c>
      <c r="R13" s="196">
        <f t="shared" si="8"/>
        <v>9050</v>
      </c>
      <c r="S13" s="196">
        <f t="shared" si="9"/>
        <v>4525</v>
      </c>
      <c r="T13" s="201">
        <v>239161</v>
      </c>
      <c r="U13" s="196">
        <f t="shared" si="10"/>
        <v>20</v>
      </c>
      <c r="V13" s="196">
        <f t="shared" si="11"/>
        <v>10</v>
      </c>
      <c r="W13" s="201">
        <v>311690</v>
      </c>
      <c r="X13" s="196">
        <f t="shared" si="12"/>
        <v>30</v>
      </c>
      <c r="Y13" s="196">
        <f t="shared" si="13"/>
        <v>15</v>
      </c>
      <c r="Z13" s="201">
        <v>89010</v>
      </c>
      <c r="AA13" s="196">
        <f t="shared" si="14"/>
        <v>1340</v>
      </c>
      <c r="AB13" s="201">
        <v>168492</v>
      </c>
      <c r="AC13" s="196">
        <f t="shared" si="15"/>
        <v>2470</v>
      </c>
      <c r="AD13" s="201">
        <v>301071</v>
      </c>
      <c r="AE13" s="196">
        <f t="shared" si="16"/>
        <v>4030</v>
      </c>
      <c r="AF13" s="201">
        <v>152617</v>
      </c>
      <c r="AG13" s="196">
        <f t="shared" si="17"/>
        <v>1910</v>
      </c>
      <c r="AH13" s="201">
        <v>802930</v>
      </c>
      <c r="AI13" s="196">
        <f t="shared" si="18"/>
        <v>9890</v>
      </c>
      <c r="AK13" s="198">
        <f t="shared" si="19"/>
        <v>49405</v>
      </c>
      <c r="AL13" s="199">
        <f t="shared" si="20"/>
        <v>31435</v>
      </c>
    </row>
    <row r="14" spans="1:38" s="197" customFormat="1" ht="39.950000000000003" customHeight="1">
      <c r="A14" s="186">
        <f t="shared" si="21"/>
        <v>44841</v>
      </c>
      <c r="B14" s="194"/>
      <c r="C14" s="201">
        <v>315420</v>
      </c>
      <c r="D14" s="196">
        <f t="shared" si="0"/>
        <v>4470</v>
      </c>
      <c r="E14" s="201">
        <v>538962</v>
      </c>
      <c r="F14" s="196">
        <f t="shared" si="1"/>
        <v>8270</v>
      </c>
      <c r="G14" s="201">
        <v>330118</v>
      </c>
      <c r="H14" s="196">
        <f t="shared" si="2"/>
        <v>12620</v>
      </c>
      <c r="I14" s="196">
        <f t="shared" si="3"/>
        <v>6310</v>
      </c>
      <c r="J14" s="201">
        <v>461440</v>
      </c>
      <c r="K14" s="196">
        <f t="shared" si="4"/>
        <v>6660</v>
      </c>
      <c r="L14" s="201">
        <v>735732</v>
      </c>
      <c r="M14" s="196">
        <f t="shared" si="5"/>
        <v>11050</v>
      </c>
      <c r="N14" s="201">
        <v>448069</v>
      </c>
      <c r="O14" s="196">
        <f t="shared" si="6"/>
        <v>13940</v>
      </c>
      <c r="P14" s="196">
        <f t="shared" si="7"/>
        <v>6970</v>
      </c>
      <c r="Q14" s="201">
        <v>465071</v>
      </c>
      <c r="R14" s="196">
        <f t="shared" si="8"/>
        <v>5680</v>
      </c>
      <c r="S14" s="196">
        <f t="shared" si="9"/>
        <v>2840</v>
      </c>
      <c r="T14" s="201">
        <v>239512</v>
      </c>
      <c r="U14" s="196">
        <f t="shared" si="10"/>
        <v>3510</v>
      </c>
      <c r="V14" s="196">
        <f t="shared" si="11"/>
        <v>1755</v>
      </c>
      <c r="W14" s="201">
        <v>312368</v>
      </c>
      <c r="X14" s="196">
        <f t="shared" si="12"/>
        <v>6780</v>
      </c>
      <c r="Y14" s="196">
        <f t="shared" si="13"/>
        <v>3390</v>
      </c>
      <c r="Z14" s="201">
        <v>89145</v>
      </c>
      <c r="AA14" s="196">
        <f t="shared" si="14"/>
        <v>1350</v>
      </c>
      <c r="AB14" s="201">
        <v>168753</v>
      </c>
      <c r="AC14" s="196">
        <f t="shared" si="15"/>
        <v>2610</v>
      </c>
      <c r="AD14" s="201">
        <v>301492</v>
      </c>
      <c r="AE14" s="196">
        <f t="shared" si="16"/>
        <v>4210</v>
      </c>
      <c r="AF14" s="201">
        <v>152925</v>
      </c>
      <c r="AG14" s="196">
        <f t="shared" si="17"/>
        <v>3080</v>
      </c>
      <c r="AH14" s="201">
        <v>803984</v>
      </c>
      <c r="AI14" s="196">
        <f t="shared" si="18"/>
        <v>10540</v>
      </c>
      <c r="AK14" s="198">
        <f t="shared" si="19"/>
        <v>51715</v>
      </c>
      <c r="AL14" s="199">
        <f t="shared" si="20"/>
        <v>36745</v>
      </c>
    </row>
    <row r="15" spans="1:38" s="197" customFormat="1" ht="39.950000000000003" customHeight="1">
      <c r="A15" s="186">
        <f t="shared" si="21"/>
        <v>44842</v>
      </c>
      <c r="B15" s="194"/>
      <c r="C15" s="201">
        <v>315880</v>
      </c>
      <c r="D15" s="196">
        <f t="shared" si="0"/>
        <v>4600</v>
      </c>
      <c r="E15" s="201">
        <v>539790</v>
      </c>
      <c r="F15" s="196">
        <f t="shared" si="1"/>
        <v>8280</v>
      </c>
      <c r="G15" s="201">
        <v>331382</v>
      </c>
      <c r="H15" s="196">
        <f t="shared" si="2"/>
        <v>12640</v>
      </c>
      <c r="I15" s="196">
        <f t="shared" si="3"/>
        <v>6320</v>
      </c>
      <c r="J15" s="201">
        <v>462128</v>
      </c>
      <c r="K15" s="196">
        <f t="shared" si="4"/>
        <v>6880</v>
      </c>
      <c r="L15" s="201">
        <v>736899</v>
      </c>
      <c r="M15" s="196">
        <f t="shared" si="5"/>
        <v>11670</v>
      </c>
      <c r="N15" s="201">
        <v>449464</v>
      </c>
      <c r="O15" s="196">
        <f t="shared" si="6"/>
        <v>13950</v>
      </c>
      <c r="P15" s="196">
        <f t="shared" si="7"/>
        <v>6975</v>
      </c>
      <c r="Q15" s="201">
        <v>465073</v>
      </c>
      <c r="R15" s="196">
        <f t="shared" si="8"/>
        <v>20</v>
      </c>
      <c r="S15" s="196">
        <f t="shared" si="9"/>
        <v>10</v>
      </c>
      <c r="T15" s="201">
        <v>239515</v>
      </c>
      <c r="U15" s="196">
        <f t="shared" si="10"/>
        <v>30</v>
      </c>
      <c r="V15" s="196">
        <f t="shared" si="11"/>
        <v>15</v>
      </c>
      <c r="W15" s="201">
        <v>313386</v>
      </c>
      <c r="X15" s="196">
        <f t="shared" si="12"/>
        <v>10180</v>
      </c>
      <c r="Y15" s="196">
        <f t="shared" si="13"/>
        <v>5090</v>
      </c>
      <c r="Z15" s="201">
        <v>89289</v>
      </c>
      <c r="AA15" s="196">
        <f t="shared" si="14"/>
        <v>1440</v>
      </c>
      <c r="AB15" s="201">
        <v>169017</v>
      </c>
      <c r="AC15" s="196">
        <f t="shared" si="15"/>
        <v>2640</v>
      </c>
      <c r="AD15" s="201">
        <v>301915</v>
      </c>
      <c r="AE15" s="196">
        <f t="shared" si="16"/>
        <v>4230</v>
      </c>
      <c r="AF15" s="201">
        <v>153038</v>
      </c>
      <c r="AG15" s="196">
        <f t="shared" si="17"/>
        <v>1130</v>
      </c>
      <c r="AH15" s="201">
        <v>805041</v>
      </c>
      <c r="AI15" s="196">
        <f t="shared" si="18"/>
        <v>10570</v>
      </c>
      <c r="AK15" s="198">
        <f t="shared" si="19"/>
        <v>49840</v>
      </c>
      <c r="AL15" s="199">
        <f t="shared" si="20"/>
        <v>32100</v>
      </c>
    </row>
    <row r="16" spans="1:38" s="197" customFormat="1" ht="39.950000000000003" customHeight="1">
      <c r="A16" s="186">
        <f t="shared" si="21"/>
        <v>44843</v>
      </c>
      <c r="B16" s="194"/>
      <c r="C16" s="201">
        <v>316307</v>
      </c>
      <c r="D16" s="196">
        <f t="shared" si="0"/>
        <v>4270</v>
      </c>
      <c r="E16" s="201">
        <v>540575</v>
      </c>
      <c r="F16" s="196">
        <f t="shared" si="1"/>
        <v>7850</v>
      </c>
      <c r="G16" s="201">
        <v>332730</v>
      </c>
      <c r="H16" s="196">
        <f t="shared" si="2"/>
        <v>13480</v>
      </c>
      <c r="I16" s="196">
        <f t="shared" si="3"/>
        <v>6740</v>
      </c>
      <c r="J16" s="201">
        <v>462768</v>
      </c>
      <c r="K16" s="196">
        <f t="shared" si="4"/>
        <v>6400</v>
      </c>
      <c r="L16" s="201">
        <v>738039</v>
      </c>
      <c r="M16" s="196">
        <f t="shared" si="5"/>
        <v>11400</v>
      </c>
      <c r="N16" s="201">
        <v>450942</v>
      </c>
      <c r="O16" s="196">
        <f t="shared" si="6"/>
        <v>14780</v>
      </c>
      <c r="P16" s="196">
        <f t="shared" si="7"/>
        <v>7390</v>
      </c>
      <c r="Q16" s="201">
        <v>465680</v>
      </c>
      <c r="R16" s="196">
        <f t="shared" si="8"/>
        <v>6070</v>
      </c>
      <c r="S16" s="196">
        <f t="shared" si="9"/>
        <v>3035</v>
      </c>
      <c r="T16" s="201">
        <v>239517</v>
      </c>
      <c r="U16" s="196">
        <f t="shared" si="10"/>
        <v>20</v>
      </c>
      <c r="V16" s="196">
        <f t="shared" si="11"/>
        <v>10</v>
      </c>
      <c r="W16" s="201">
        <v>313391</v>
      </c>
      <c r="X16" s="196">
        <f t="shared" si="12"/>
        <v>50</v>
      </c>
      <c r="Y16" s="196">
        <f t="shared" si="13"/>
        <v>25</v>
      </c>
      <c r="Z16" s="201">
        <v>89421</v>
      </c>
      <c r="AA16" s="196">
        <f t="shared" si="14"/>
        <v>1320</v>
      </c>
      <c r="AB16" s="201">
        <v>169260</v>
      </c>
      <c r="AC16" s="196">
        <f t="shared" si="15"/>
        <v>2430</v>
      </c>
      <c r="AD16" s="201">
        <v>302312</v>
      </c>
      <c r="AE16" s="196">
        <f t="shared" si="16"/>
        <v>3970</v>
      </c>
      <c r="AF16" s="201">
        <v>153244</v>
      </c>
      <c r="AG16" s="196">
        <f t="shared" si="17"/>
        <v>2060</v>
      </c>
      <c r="AH16" s="201">
        <v>806039</v>
      </c>
      <c r="AI16" s="196">
        <f t="shared" si="18"/>
        <v>9980</v>
      </c>
      <c r="AK16" s="198">
        <f t="shared" si="19"/>
        <v>47120</v>
      </c>
      <c r="AL16" s="199">
        <f t="shared" si="20"/>
        <v>30220</v>
      </c>
    </row>
    <row r="17" spans="1:38" s="197" customFormat="1" ht="39.950000000000003" customHeight="1">
      <c r="A17" s="186">
        <f t="shared" si="21"/>
        <v>44844</v>
      </c>
      <c r="B17" s="194"/>
      <c r="C17" s="201">
        <v>316685</v>
      </c>
      <c r="D17" s="196">
        <f t="shared" si="0"/>
        <v>3780</v>
      </c>
      <c r="E17" s="201">
        <v>541291</v>
      </c>
      <c r="F17" s="196">
        <f t="shared" si="1"/>
        <v>7160</v>
      </c>
      <c r="G17" s="201">
        <v>333928</v>
      </c>
      <c r="H17" s="196">
        <f t="shared" si="2"/>
        <v>11980</v>
      </c>
      <c r="I17" s="196">
        <f t="shared" si="3"/>
        <v>5990</v>
      </c>
      <c r="J17" s="201">
        <v>463391</v>
      </c>
      <c r="K17" s="196">
        <f t="shared" si="4"/>
        <v>6230</v>
      </c>
      <c r="L17" s="201">
        <v>738990</v>
      </c>
      <c r="M17" s="196">
        <f t="shared" si="5"/>
        <v>9510</v>
      </c>
      <c r="N17" s="201">
        <v>452036</v>
      </c>
      <c r="O17" s="196">
        <f t="shared" si="6"/>
        <v>10940</v>
      </c>
      <c r="P17" s="196">
        <f t="shared" si="7"/>
        <v>5470</v>
      </c>
      <c r="Q17" s="201">
        <v>465682</v>
      </c>
      <c r="R17" s="196">
        <f t="shared" si="8"/>
        <v>20</v>
      </c>
      <c r="S17" s="196">
        <f t="shared" si="9"/>
        <v>10</v>
      </c>
      <c r="T17" s="201">
        <v>239519</v>
      </c>
      <c r="U17" s="196">
        <f t="shared" si="10"/>
        <v>20</v>
      </c>
      <c r="V17" s="196">
        <f t="shared" si="11"/>
        <v>10</v>
      </c>
      <c r="W17" s="201">
        <v>313395</v>
      </c>
      <c r="X17" s="196">
        <f t="shared" si="12"/>
        <v>40</v>
      </c>
      <c r="Y17" s="196">
        <f t="shared" si="13"/>
        <v>20</v>
      </c>
      <c r="Z17" s="201">
        <v>89545</v>
      </c>
      <c r="AA17" s="196">
        <f t="shared" si="14"/>
        <v>1240</v>
      </c>
      <c r="AB17" s="201">
        <v>169509</v>
      </c>
      <c r="AC17" s="196">
        <f t="shared" si="15"/>
        <v>2490</v>
      </c>
      <c r="AD17" s="201">
        <v>302771</v>
      </c>
      <c r="AE17" s="196">
        <f t="shared" si="16"/>
        <v>4590</v>
      </c>
      <c r="AF17" s="201">
        <v>153441</v>
      </c>
      <c r="AG17" s="196">
        <f t="shared" si="17"/>
        <v>1970</v>
      </c>
      <c r="AH17" s="201">
        <v>806996</v>
      </c>
      <c r="AI17" s="196">
        <f t="shared" si="18"/>
        <v>9570</v>
      </c>
      <c r="AK17" s="198">
        <f t="shared" si="19"/>
        <v>38180</v>
      </c>
      <c r="AL17" s="199">
        <f t="shared" si="20"/>
        <v>25370</v>
      </c>
    </row>
    <row r="18" spans="1:38" s="197" customFormat="1" ht="39.950000000000003" customHeight="1">
      <c r="A18" s="186">
        <f t="shared" si="21"/>
        <v>44845</v>
      </c>
      <c r="B18" s="194"/>
      <c r="C18" s="201">
        <v>317075</v>
      </c>
      <c r="D18" s="196">
        <f t="shared" si="0"/>
        <v>3900</v>
      </c>
      <c r="E18" s="201">
        <v>542038</v>
      </c>
      <c r="F18" s="196">
        <f t="shared" si="1"/>
        <v>7470</v>
      </c>
      <c r="G18" s="201">
        <v>335125</v>
      </c>
      <c r="H18" s="196">
        <f t="shared" si="2"/>
        <v>11970</v>
      </c>
      <c r="I18" s="196">
        <f t="shared" si="3"/>
        <v>5985</v>
      </c>
      <c r="J18" s="201">
        <v>464030</v>
      </c>
      <c r="K18" s="196">
        <f t="shared" si="4"/>
        <v>6390</v>
      </c>
      <c r="L18" s="201">
        <v>740085</v>
      </c>
      <c r="M18" s="196">
        <f t="shared" si="5"/>
        <v>10950</v>
      </c>
      <c r="N18" s="201">
        <v>453173</v>
      </c>
      <c r="O18" s="196">
        <f t="shared" si="6"/>
        <v>11370</v>
      </c>
      <c r="P18" s="196">
        <f t="shared" si="7"/>
        <v>5685</v>
      </c>
      <c r="Q18" s="201">
        <v>465684</v>
      </c>
      <c r="R18" s="196">
        <f t="shared" si="8"/>
        <v>20</v>
      </c>
      <c r="S18" s="196">
        <f t="shared" si="9"/>
        <v>10</v>
      </c>
      <c r="T18" s="201">
        <v>239521</v>
      </c>
      <c r="U18" s="196">
        <f t="shared" si="10"/>
        <v>20</v>
      </c>
      <c r="V18" s="196">
        <f t="shared" si="11"/>
        <v>10</v>
      </c>
      <c r="W18" s="201">
        <v>313399</v>
      </c>
      <c r="X18" s="196">
        <f t="shared" si="12"/>
        <v>40</v>
      </c>
      <c r="Y18" s="196">
        <f t="shared" si="13"/>
        <v>20</v>
      </c>
      <c r="Z18" s="201">
        <v>89611</v>
      </c>
      <c r="AA18" s="196">
        <f t="shared" si="14"/>
        <v>660</v>
      </c>
      <c r="AB18" s="201">
        <v>169778</v>
      </c>
      <c r="AC18" s="196">
        <f t="shared" si="15"/>
        <v>2690</v>
      </c>
      <c r="AD18" s="201">
        <v>303199</v>
      </c>
      <c r="AE18" s="196">
        <f t="shared" si="16"/>
        <v>4280</v>
      </c>
      <c r="AF18" s="201">
        <v>153679</v>
      </c>
      <c r="AG18" s="196">
        <f t="shared" si="17"/>
        <v>2380</v>
      </c>
      <c r="AH18" s="201">
        <v>808008</v>
      </c>
      <c r="AI18" s="196">
        <f t="shared" si="18"/>
        <v>10120</v>
      </c>
      <c r="AK18" s="198">
        <f t="shared" si="19"/>
        <v>40420</v>
      </c>
      <c r="AL18" s="199">
        <f t="shared" si="20"/>
        <v>25855</v>
      </c>
    </row>
    <row r="19" spans="1:38" s="197" customFormat="1" ht="39.950000000000003" customHeight="1">
      <c r="A19" s="186">
        <f t="shared" si="21"/>
        <v>44846</v>
      </c>
      <c r="B19" s="194"/>
      <c r="C19" s="201">
        <v>317440</v>
      </c>
      <c r="D19" s="196">
        <f t="shared" si="0"/>
        <v>3650</v>
      </c>
      <c r="E19" s="201">
        <v>542728</v>
      </c>
      <c r="F19" s="196">
        <f t="shared" si="1"/>
        <v>6900</v>
      </c>
      <c r="G19" s="201">
        <v>336297</v>
      </c>
      <c r="H19" s="196">
        <f t="shared" si="2"/>
        <v>11720</v>
      </c>
      <c r="I19" s="196">
        <f t="shared" si="3"/>
        <v>5860</v>
      </c>
      <c r="J19" s="201">
        <v>465649</v>
      </c>
      <c r="K19" s="196">
        <f t="shared" si="4"/>
        <v>16190</v>
      </c>
      <c r="L19" s="201">
        <v>741116</v>
      </c>
      <c r="M19" s="196">
        <f t="shared" si="5"/>
        <v>10310</v>
      </c>
      <c r="N19" s="201">
        <v>454251</v>
      </c>
      <c r="O19" s="196">
        <f t="shared" si="6"/>
        <v>10780</v>
      </c>
      <c r="P19" s="196">
        <f t="shared" si="7"/>
        <v>5390</v>
      </c>
      <c r="Q19" s="201">
        <v>465686</v>
      </c>
      <c r="R19" s="196">
        <f t="shared" si="8"/>
        <v>20</v>
      </c>
      <c r="S19" s="196">
        <f t="shared" si="9"/>
        <v>10</v>
      </c>
      <c r="T19" s="201">
        <v>239523</v>
      </c>
      <c r="U19" s="196">
        <f t="shared" si="10"/>
        <v>20</v>
      </c>
      <c r="V19" s="196">
        <f t="shared" si="11"/>
        <v>10</v>
      </c>
      <c r="W19" s="201">
        <v>313403</v>
      </c>
      <c r="X19" s="196">
        <f t="shared" si="12"/>
        <v>40</v>
      </c>
      <c r="Y19" s="196">
        <f t="shared" si="13"/>
        <v>20</v>
      </c>
      <c r="Z19" s="201">
        <v>89789</v>
      </c>
      <c r="AA19" s="196">
        <f t="shared" si="14"/>
        <v>1780</v>
      </c>
      <c r="AB19" s="201">
        <v>169996</v>
      </c>
      <c r="AC19" s="196">
        <f t="shared" si="15"/>
        <v>2180</v>
      </c>
      <c r="AD19" s="201">
        <v>303511</v>
      </c>
      <c r="AE19" s="196">
        <f t="shared" si="16"/>
        <v>3120</v>
      </c>
      <c r="AF19" s="201">
        <v>153824</v>
      </c>
      <c r="AG19" s="196">
        <f t="shared" si="17"/>
        <v>1450</v>
      </c>
      <c r="AH19" s="201">
        <v>808955</v>
      </c>
      <c r="AI19" s="196">
        <f t="shared" si="18"/>
        <v>9470</v>
      </c>
      <c r="AK19" s="198">
        <f t="shared" si="19"/>
        <v>48340</v>
      </c>
      <c r="AL19" s="199">
        <f t="shared" si="20"/>
        <v>23430</v>
      </c>
    </row>
    <row r="20" spans="1:38" s="197" customFormat="1" ht="39.950000000000003" customHeight="1">
      <c r="A20" s="186">
        <f t="shared" si="21"/>
        <v>44847</v>
      </c>
      <c r="B20" s="194"/>
      <c r="C20" s="201">
        <v>317835</v>
      </c>
      <c r="D20" s="196">
        <f t="shared" si="0"/>
        <v>3950</v>
      </c>
      <c r="E20" s="201">
        <v>543492</v>
      </c>
      <c r="F20" s="196">
        <f t="shared" si="1"/>
        <v>7640</v>
      </c>
      <c r="G20" s="201">
        <v>337090</v>
      </c>
      <c r="H20" s="196">
        <f t="shared" si="2"/>
        <v>7930</v>
      </c>
      <c r="I20" s="196">
        <f t="shared" si="3"/>
        <v>3965</v>
      </c>
      <c r="J20" s="201">
        <v>465289</v>
      </c>
      <c r="K20" s="196">
        <f t="shared" si="4"/>
        <v>-3600</v>
      </c>
      <c r="L20" s="201">
        <v>742231</v>
      </c>
      <c r="M20" s="196">
        <f t="shared" si="5"/>
        <v>11150</v>
      </c>
      <c r="N20" s="201">
        <v>455261</v>
      </c>
      <c r="O20" s="196">
        <f t="shared" si="6"/>
        <v>10100</v>
      </c>
      <c r="P20" s="196">
        <f t="shared" si="7"/>
        <v>5050</v>
      </c>
      <c r="Q20" s="201">
        <v>465688</v>
      </c>
      <c r="R20" s="196">
        <f t="shared" si="8"/>
        <v>20</v>
      </c>
      <c r="S20" s="196">
        <f t="shared" si="9"/>
        <v>10</v>
      </c>
      <c r="T20" s="201">
        <v>240094</v>
      </c>
      <c r="U20" s="196">
        <f t="shared" si="10"/>
        <v>5710</v>
      </c>
      <c r="V20" s="196">
        <f t="shared" si="11"/>
        <v>2855</v>
      </c>
      <c r="W20" s="201">
        <v>313715</v>
      </c>
      <c r="X20" s="196">
        <f t="shared" si="12"/>
        <v>3120</v>
      </c>
      <c r="Y20" s="196">
        <f t="shared" si="13"/>
        <v>1560</v>
      </c>
      <c r="Z20" s="201">
        <v>89920</v>
      </c>
      <c r="AA20" s="196">
        <f t="shared" si="14"/>
        <v>1310</v>
      </c>
      <c r="AB20" s="201">
        <v>170246</v>
      </c>
      <c r="AC20" s="196">
        <f t="shared" si="15"/>
        <v>2500</v>
      </c>
      <c r="AD20" s="201">
        <v>303913</v>
      </c>
      <c r="AE20" s="196">
        <f t="shared" si="16"/>
        <v>4020</v>
      </c>
      <c r="AF20" s="201">
        <v>154024</v>
      </c>
      <c r="AG20" s="196">
        <f t="shared" si="17"/>
        <v>2000</v>
      </c>
      <c r="AH20" s="201">
        <v>809957</v>
      </c>
      <c r="AI20" s="196">
        <f t="shared" si="18"/>
        <v>10020</v>
      </c>
      <c r="AK20" s="198">
        <f t="shared" si="19"/>
        <v>32580</v>
      </c>
      <c r="AL20" s="199">
        <f t="shared" si="20"/>
        <v>29325</v>
      </c>
    </row>
    <row r="21" spans="1:38" s="197" customFormat="1" ht="39.950000000000003" customHeight="1">
      <c r="A21" s="186">
        <f t="shared" si="21"/>
        <v>44848</v>
      </c>
      <c r="B21" s="194"/>
      <c r="C21" s="201">
        <v>318234</v>
      </c>
      <c r="D21" s="196">
        <f t="shared" si="0"/>
        <v>3990</v>
      </c>
      <c r="E21" s="201">
        <v>544251</v>
      </c>
      <c r="F21" s="196">
        <f t="shared" si="1"/>
        <v>7590</v>
      </c>
      <c r="G21" s="201">
        <v>338227</v>
      </c>
      <c r="H21" s="196">
        <f t="shared" si="2"/>
        <v>11370</v>
      </c>
      <c r="I21" s="196">
        <f t="shared" si="3"/>
        <v>5685</v>
      </c>
      <c r="J21" s="201">
        <v>465904</v>
      </c>
      <c r="K21" s="196">
        <f t="shared" si="4"/>
        <v>6150</v>
      </c>
      <c r="L21" s="201">
        <v>743338</v>
      </c>
      <c r="M21" s="196">
        <f t="shared" si="5"/>
        <v>11070</v>
      </c>
      <c r="N21" s="201">
        <v>456962</v>
      </c>
      <c r="O21" s="196">
        <f t="shared" si="6"/>
        <v>17010</v>
      </c>
      <c r="P21" s="196">
        <f t="shared" si="7"/>
        <v>8505</v>
      </c>
      <c r="Q21" s="203">
        <v>465690</v>
      </c>
      <c r="R21" s="196">
        <f t="shared" si="8"/>
        <v>20</v>
      </c>
      <c r="S21" s="196">
        <f t="shared" si="9"/>
        <v>10</v>
      </c>
      <c r="T21" s="201">
        <v>240188</v>
      </c>
      <c r="U21" s="196">
        <f t="shared" si="10"/>
        <v>940</v>
      </c>
      <c r="V21" s="196">
        <f t="shared" si="11"/>
        <v>470</v>
      </c>
      <c r="W21" s="201">
        <v>313725</v>
      </c>
      <c r="X21" s="196">
        <f t="shared" si="12"/>
        <v>100</v>
      </c>
      <c r="Y21" s="196">
        <f t="shared" si="13"/>
        <v>50</v>
      </c>
      <c r="Z21" s="201">
        <v>90046</v>
      </c>
      <c r="AA21" s="196">
        <f t="shared" si="14"/>
        <v>1260</v>
      </c>
      <c r="AB21" s="201">
        <v>170497</v>
      </c>
      <c r="AC21" s="196">
        <f t="shared" si="15"/>
        <v>2510</v>
      </c>
      <c r="AD21" s="201">
        <v>304327</v>
      </c>
      <c r="AE21" s="196">
        <f t="shared" si="16"/>
        <v>4140</v>
      </c>
      <c r="AF21" s="201">
        <v>154219</v>
      </c>
      <c r="AG21" s="196">
        <f t="shared" si="17"/>
        <v>1950</v>
      </c>
      <c r="AH21" s="201">
        <v>810980</v>
      </c>
      <c r="AI21" s="196">
        <f t="shared" si="18"/>
        <v>10230</v>
      </c>
      <c r="AK21" s="198">
        <f t="shared" si="19"/>
        <v>43520</v>
      </c>
      <c r="AL21" s="199">
        <f t="shared" si="20"/>
        <v>29125</v>
      </c>
    </row>
    <row r="22" spans="1:38" s="197" customFormat="1" ht="39.950000000000003" customHeight="1">
      <c r="A22" s="186">
        <f t="shared" si="21"/>
        <v>44849</v>
      </c>
      <c r="B22" s="194"/>
      <c r="C22" s="201">
        <v>318637</v>
      </c>
      <c r="D22" s="196">
        <f t="shared" si="0"/>
        <v>4030</v>
      </c>
      <c r="E22" s="201">
        <v>545013</v>
      </c>
      <c r="F22" s="196">
        <f t="shared" si="1"/>
        <v>7620</v>
      </c>
      <c r="G22" s="201">
        <v>339589</v>
      </c>
      <c r="H22" s="196">
        <f t="shared" si="2"/>
        <v>13620</v>
      </c>
      <c r="I22" s="196">
        <f t="shared" si="3"/>
        <v>6810</v>
      </c>
      <c r="J22" s="201">
        <v>466497</v>
      </c>
      <c r="K22" s="196">
        <f t="shared" si="4"/>
        <v>5930</v>
      </c>
      <c r="L22" s="201">
        <v>744389</v>
      </c>
      <c r="M22" s="196">
        <f t="shared" si="5"/>
        <v>10510</v>
      </c>
      <c r="N22" s="201">
        <v>458295</v>
      </c>
      <c r="O22" s="196">
        <f t="shared" si="6"/>
        <v>13330</v>
      </c>
      <c r="P22" s="196">
        <f t="shared" si="7"/>
        <v>6665</v>
      </c>
      <c r="Q22" s="201">
        <v>465692</v>
      </c>
      <c r="R22" s="196">
        <f t="shared" si="8"/>
        <v>20</v>
      </c>
      <c r="S22" s="196">
        <f t="shared" si="9"/>
        <v>10</v>
      </c>
      <c r="T22" s="201">
        <v>240190</v>
      </c>
      <c r="U22" s="196">
        <f t="shared" si="10"/>
        <v>20</v>
      </c>
      <c r="V22" s="196">
        <f t="shared" si="11"/>
        <v>10</v>
      </c>
      <c r="W22" s="201">
        <v>313729</v>
      </c>
      <c r="X22" s="196">
        <f t="shared" si="12"/>
        <v>40</v>
      </c>
      <c r="Y22" s="196">
        <f t="shared" si="13"/>
        <v>20</v>
      </c>
      <c r="Z22" s="201">
        <v>90166</v>
      </c>
      <c r="AA22" s="196">
        <f t="shared" si="14"/>
        <v>1200</v>
      </c>
      <c r="AB22" s="201">
        <v>170729</v>
      </c>
      <c r="AC22" s="196">
        <f t="shared" si="15"/>
        <v>2320</v>
      </c>
      <c r="AD22" s="201">
        <v>304713</v>
      </c>
      <c r="AE22" s="196">
        <f t="shared" si="16"/>
        <v>3860</v>
      </c>
      <c r="AF22" s="201">
        <v>154409</v>
      </c>
      <c r="AG22" s="196">
        <f t="shared" si="17"/>
        <v>1900</v>
      </c>
      <c r="AH22" s="201">
        <v>811935</v>
      </c>
      <c r="AI22" s="196">
        <f t="shared" si="18"/>
        <v>9550</v>
      </c>
      <c r="AK22" s="198">
        <f t="shared" si="19"/>
        <v>41605</v>
      </c>
      <c r="AL22" s="199">
        <f t="shared" si="20"/>
        <v>25535</v>
      </c>
    </row>
    <row r="23" spans="1:38" s="197" customFormat="1" ht="39.950000000000003" customHeight="1">
      <c r="A23" s="186">
        <f t="shared" si="21"/>
        <v>44850</v>
      </c>
      <c r="B23" s="194"/>
      <c r="C23" s="201">
        <v>319057</v>
      </c>
      <c r="D23" s="196">
        <f t="shared" si="0"/>
        <v>4200</v>
      </c>
      <c r="E23" s="201">
        <v>545794</v>
      </c>
      <c r="F23" s="196">
        <f t="shared" si="1"/>
        <v>7810</v>
      </c>
      <c r="G23" s="201">
        <v>340702</v>
      </c>
      <c r="H23" s="196">
        <f t="shared" si="2"/>
        <v>11130</v>
      </c>
      <c r="I23" s="196">
        <f t="shared" si="3"/>
        <v>5565</v>
      </c>
      <c r="J23" s="201">
        <v>467144</v>
      </c>
      <c r="K23" s="196">
        <f t="shared" si="4"/>
        <v>6470</v>
      </c>
      <c r="L23" s="201">
        <v>745491</v>
      </c>
      <c r="M23" s="196">
        <f t="shared" si="5"/>
        <v>11020</v>
      </c>
      <c r="N23" s="201">
        <v>459861</v>
      </c>
      <c r="O23" s="196">
        <f t="shared" si="6"/>
        <v>15660</v>
      </c>
      <c r="P23" s="196">
        <f t="shared" si="7"/>
        <v>7830</v>
      </c>
      <c r="Q23" s="201">
        <v>465694</v>
      </c>
      <c r="R23" s="196">
        <f t="shared" si="8"/>
        <v>20</v>
      </c>
      <c r="S23" s="196">
        <f t="shared" si="9"/>
        <v>10</v>
      </c>
      <c r="T23" s="201">
        <v>240193</v>
      </c>
      <c r="U23" s="196">
        <f t="shared" si="10"/>
        <v>30</v>
      </c>
      <c r="V23" s="196">
        <f t="shared" si="11"/>
        <v>15</v>
      </c>
      <c r="W23" s="201">
        <v>313732</v>
      </c>
      <c r="X23" s="196">
        <f t="shared" si="12"/>
        <v>30</v>
      </c>
      <c r="Y23" s="196">
        <f t="shared" si="13"/>
        <v>15</v>
      </c>
      <c r="Z23" s="201">
        <v>90299</v>
      </c>
      <c r="AA23" s="196">
        <f t="shared" si="14"/>
        <v>1330</v>
      </c>
      <c r="AB23" s="201">
        <v>170973</v>
      </c>
      <c r="AC23" s="196">
        <f t="shared" si="15"/>
        <v>2440</v>
      </c>
      <c r="AD23" s="201">
        <v>305105</v>
      </c>
      <c r="AE23" s="196">
        <f t="shared" si="16"/>
        <v>3920</v>
      </c>
      <c r="AF23" s="201">
        <v>154616</v>
      </c>
      <c r="AG23" s="196">
        <f t="shared" si="17"/>
        <v>2070</v>
      </c>
      <c r="AH23" s="201">
        <v>812927</v>
      </c>
      <c r="AI23" s="196">
        <f t="shared" si="18"/>
        <v>9920</v>
      </c>
      <c r="AK23" s="198">
        <f t="shared" si="19"/>
        <v>42935</v>
      </c>
      <c r="AL23" s="199">
        <f t="shared" si="20"/>
        <v>27550</v>
      </c>
    </row>
    <row r="24" spans="1:38" s="197" customFormat="1" ht="39.950000000000003" customHeight="1">
      <c r="A24" s="186">
        <f t="shared" si="21"/>
        <v>44851</v>
      </c>
      <c r="B24" s="194"/>
      <c r="C24" s="201">
        <v>319452</v>
      </c>
      <c r="D24" s="196">
        <f t="shared" si="0"/>
        <v>3950</v>
      </c>
      <c r="E24" s="201">
        <v>546538</v>
      </c>
      <c r="F24" s="196">
        <f t="shared" si="1"/>
        <v>7440</v>
      </c>
      <c r="G24" s="201">
        <v>341718</v>
      </c>
      <c r="H24" s="196">
        <f t="shared" si="2"/>
        <v>10160</v>
      </c>
      <c r="I24" s="196">
        <f t="shared" si="3"/>
        <v>5080</v>
      </c>
      <c r="J24" s="201">
        <v>467764</v>
      </c>
      <c r="K24" s="196">
        <f t="shared" si="4"/>
        <v>6200</v>
      </c>
      <c r="L24" s="201">
        <v>746460</v>
      </c>
      <c r="M24" s="196">
        <f t="shared" si="5"/>
        <v>9690</v>
      </c>
      <c r="N24" s="201">
        <v>461348</v>
      </c>
      <c r="O24" s="196">
        <f t="shared" si="6"/>
        <v>14870</v>
      </c>
      <c r="P24" s="196">
        <f t="shared" si="7"/>
        <v>7435</v>
      </c>
      <c r="Q24" s="201">
        <v>465696</v>
      </c>
      <c r="R24" s="196">
        <f t="shared" si="8"/>
        <v>20</v>
      </c>
      <c r="S24" s="196">
        <f t="shared" si="9"/>
        <v>10</v>
      </c>
      <c r="T24" s="201">
        <v>240195</v>
      </c>
      <c r="U24" s="196">
        <f t="shared" si="10"/>
        <v>20</v>
      </c>
      <c r="V24" s="196">
        <f t="shared" si="11"/>
        <v>10</v>
      </c>
      <c r="W24" s="201">
        <v>313736</v>
      </c>
      <c r="X24" s="196">
        <f t="shared" si="12"/>
        <v>40</v>
      </c>
      <c r="Y24" s="196">
        <f t="shared" si="13"/>
        <v>20</v>
      </c>
      <c r="Z24" s="201">
        <v>90421</v>
      </c>
      <c r="AA24" s="196">
        <f t="shared" si="14"/>
        <v>1220</v>
      </c>
      <c r="AB24" s="201">
        <v>171219</v>
      </c>
      <c r="AC24" s="196">
        <f t="shared" si="15"/>
        <v>2460</v>
      </c>
      <c r="AD24" s="201">
        <v>305502</v>
      </c>
      <c r="AE24" s="196">
        <f t="shared" si="16"/>
        <v>3970</v>
      </c>
      <c r="AF24" s="201">
        <v>154819</v>
      </c>
      <c r="AG24" s="196">
        <f t="shared" si="17"/>
        <v>2030</v>
      </c>
      <c r="AH24" s="201">
        <v>813921</v>
      </c>
      <c r="AI24" s="196">
        <f t="shared" si="18"/>
        <v>9940</v>
      </c>
      <c r="AK24" s="198">
        <f t="shared" si="19"/>
        <v>39835</v>
      </c>
      <c r="AL24" s="199">
        <f t="shared" si="20"/>
        <v>27095</v>
      </c>
    </row>
    <row r="25" spans="1:38" s="197" customFormat="1" ht="39.950000000000003" customHeight="1">
      <c r="A25" s="186">
        <f t="shared" si="21"/>
        <v>44852</v>
      </c>
      <c r="B25" s="194"/>
      <c r="C25" s="201">
        <v>319825</v>
      </c>
      <c r="D25" s="196">
        <f t="shared" si="0"/>
        <v>3730</v>
      </c>
      <c r="E25" s="201">
        <v>547268</v>
      </c>
      <c r="F25" s="196">
        <f t="shared" si="1"/>
        <v>7300</v>
      </c>
      <c r="G25" s="201">
        <v>342440</v>
      </c>
      <c r="H25" s="196">
        <f t="shared" si="2"/>
        <v>7220</v>
      </c>
      <c r="I25" s="196">
        <f t="shared" si="3"/>
        <v>3610</v>
      </c>
      <c r="J25" s="201">
        <v>468373</v>
      </c>
      <c r="K25" s="196">
        <f t="shared" si="4"/>
        <v>6090</v>
      </c>
      <c r="L25" s="201">
        <v>747540</v>
      </c>
      <c r="M25" s="196">
        <f t="shared" si="5"/>
        <v>10800</v>
      </c>
      <c r="N25" s="201">
        <v>462628</v>
      </c>
      <c r="O25" s="196">
        <f t="shared" si="6"/>
        <v>12800</v>
      </c>
      <c r="P25" s="196">
        <f t="shared" si="7"/>
        <v>6400</v>
      </c>
      <c r="Q25" s="201">
        <v>465699</v>
      </c>
      <c r="R25" s="196">
        <f t="shared" si="8"/>
        <v>30</v>
      </c>
      <c r="S25" s="196">
        <f t="shared" si="9"/>
        <v>15</v>
      </c>
      <c r="T25" s="201">
        <v>240197</v>
      </c>
      <c r="U25" s="196">
        <f t="shared" si="10"/>
        <v>20</v>
      </c>
      <c r="V25" s="196">
        <f t="shared" si="11"/>
        <v>10</v>
      </c>
      <c r="W25" s="201">
        <v>313740</v>
      </c>
      <c r="X25" s="196">
        <f t="shared" si="12"/>
        <v>40</v>
      </c>
      <c r="Y25" s="196">
        <f t="shared" si="13"/>
        <v>20</v>
      </c>
      <c r="Z25" s="201">
        <v>90541</v>
      </c>
      <c r="AA25" s="196">
        <f t="shared" si="14"/>
        <v>1200</v>
      </c>
      <c r="AB25" s="201">
        <v>171470</v>
      </c>
      <c r="AC25" s="196">
        <f t="shared" si="15"/>
        <v>2510</v>
      </c>
      <c r="AD25" s="201">
        <v>305895</v>
      </c>
      <c r="AE25" s="196">
        <f t="shared" si="16"/>
        <v>3930</v>
      </c>
      <c r="AF25" s="201">
        <v>155021</v>
      </c>
      <c r="AG25" s="196">
        <f t="shared" si="17"/>
        <v>2020</v>
      </c>
      <c r="AH25" s="201">
        <v>814881</v>
      </c>
      <c r="AI25" s="196">
        <f t="shared" si="18"/>
        <v>9600</v>
      </c>
      <c r="AK25" s="198">
        <f t="shared" si="19"/>
        <v>37975</v>
      </c>
      <c r="AL25" s="199">
        <f t="shared" si="20"/>
        <v>25705</v>
      </c>
    </row>
    <row r="26" spans="1:38" s="197" customFormat="1" ht="39.950000000000003" customHeight="1">
      <c r="A26" s="186">
        <f t="shared" si="21"/>
        <v>44853</v>
      </c>
      <c r="B26" s="194"/>
      <c r="C26" s="201">
        <v>320193</v>
      </c>
      <c r="D26" s="196">
        <f t="shared" si="0"/>
        <v>3680</v>
      </c>
      <c r="E26" s="201">
        <v>547987</v>
      </c>
      <c r="F26" s="196">
        <f t="shared" si="1"/>
        <v>7190</v>
      </c>
      <c r="G26" s="201">
        <v>343252</v>
      </c>
      <c r="H26" s="196">
        <f t="shared" si="2"/>
        <v>8120</v>
      </c>
      <c r="I26" s="196">
        <f t="shared" si="3"/>
        <v>4060</v>
      </c>
      <c r="J26" s="201">
        <v>468990</v>
      </c>
      <c r="K26" s="196">
        <f t="shared" si="4"/>
        <v>6170</v>
      </c>
      <c r="L26" s="201">
        <v>748644</v>
      </c>
      <c r="M26" s="196">
        <f t="shared" si="5"/>
        <v>11040</v>
      </c>
      <c r="N26" s="201">
        <v>463826</v>
      </c>
      <c r="O26" s="196">
        <f t="shared" si="6"/>
        <v>11980</v>
      </c>
      <c r="P26" s="196">
        <f t="shared" si="7"/>
        <v>5990</v>
      </c>
      <c r="Q26" s="201">
        <v>465701</v>
      </c>
      <c r="R26" s="196">
        <f t="shared" si="8"/>
        <v>20</v>
      </c>
      <c r="S26" s="196">
        <f t="shared" si="9"/>
        <v>10</v>
      </c>
      <c r="T26" s="201">
        <v>240199</v>
      </c>
      <c r="U26" s="196">
        <f t="shared" si="10"/>
        <v>20</v>
      </c>
      <c r="V26" s="196">
        <f t="shared" si="11"/>
        <v>10</v>
      </c>
      <c r="W26" s="201">
        <v>313744</v>
      </c>
      <c r="X26" s="196">
        <f t="shared" si="12"/>
        <v>40</v>
      </c>
      <c r="Y26" s="196">
        <f t="shared" si="13"/>
        <v>20</v>
      </c>
      <c r="Z26" s="201">
        <v>90674</v>
      </c>
      <c r="AA26" s="196">
        <f t="shared" si="14"/>
        <v>1330</v>
      </c>
      <c r="AB26" s="201">
        <v>171721</v>
      </c>
      <c r="AC26" s="196">
        <f t="shared" si="15"/>
        <v>2510</v>
      </c>
      <c r="AD26" s="201">
        <v>306029</v>
      </c>
      <c r="AE26" s="196">
        <f t="shared" si="16"/>
        <v>1340</v>
      </c>
      <c r="AF26" s="201">
        <v>155223</v>
      </c>
      <c r="AG26" s="196">
        <f t="shared" si="17"/>
        <v>2020</v>
      </c>
      <c r="AH26" s="201">
        <v>815879</v>
      </c>
      <c r="AI26" s="196">
        <f t="shared" si="18"/>
        <v>9980</v>
      </c>
      <c r="AK26" s="198">
        <f t="shared" si="19"/>
        <v>38170</v>
      </c>
      <c r="AL26" s="199">
        <f t="shared" si="20"/>
        <v>23210</v>
      </c>
    </row>
    <row r="27" spans="1:38" s="197" customFormat="1" ht="39.950000000000003" customHeight="1">
      <c r="A27" s="186">
        <f t="shared" si="21"/>
        <v>44854</v>
      </c>
      <c r="B27" s="194"/>
      <c r="C27" s="201">
        <v>320575</v>
      </c>
      <c r="D27" s="196">
        <f t="shared" si="0"/>
        <v>3820</v>
      </c>
      <c r="E27" s="201">
        <v>548756</v>
      </c>
      <c r="F27" s="196">
        <f t="shared" si="1"/>
        <v>7690</v>
      </c>
      <c r="G27" s="201">
        <v>344566</v>
      </c>
      <c r="H27" s="196">
        <f t="shared" si="2"/>
        <v>13140</v>
      </c>
      <c r="I27" s="196">
        <f t="shared" si="3"/>
        <v>6570</v>
      </c>
      <c r="J27" s="201">
        <v>469608</v>
      </c>
      <c r="K27" s="196">
        <f t="shared" si="4"/>
        <v>6180</v>
      </c>
      <c r="L27" s="201">
        <v>749736</v>
      </c>
      <c r="M27" s="196">
        <f t="shared" si="5"/>
        <v>10920</v>
      </c>
      <c r="N27" s="201">
        <v>464836</v>
      </c>
      <c r="O27" s="196">
        <f t="shared" si="6"/>
        <v>10100</v>
      </c>
      <c r="P27" s="196">
        <f t="shared" si="7"/>
        <v>5050</v>
      </c>
      <c r="Q27" s="201">
        <v>465703</v>
      </c>
      <c r="R27" s="196">
        <f t="shared" si="8"/>
        <v>20</v>
      </c>
      <c r="S27" s="196">
        <f t="shared" si="9"/>
        <v>10</v>
      </c>
      <c r="T27" s="201">
        <v>240201</v>
      </c>
      <c r="U27" s="196">
        <f t="shared" si="10"/>
        <v>20</v>
      </c>
      <c r="V27" s="196">
        <f t="shared" si="11"/>
        <v>10</v>
      </c>
      <c r="W27" s="201">
        <v>313748</v>
      </c>
      <c r="X27" s="196">
        <f t="shared" si="12"/>
        <v>40</v>
      </c>
      <c r="Y27" s="196">
        <f t="shared" si="13"/>
        <v>20</v>
      </c>
      <c r="Z27" s="201">
        <v>90802</v>
      </c>
      <c r="AA27" s="196">
        <f t="shared" si="14"/>
        <v>1280</v>
      </c>
      <c r="AB27" s="201">
        <v>171910</v>
      </c>
      <c r="AC27" s="196">
        <f t="shared" si="15"/>
        <v>1890</v>
      </c>
      <c r="AD27" s="201">
        <v>306413</v>
      </c>
      <c r="AE27" s="196">
        <f t="shared" si="16"/>
        <v>3840</v>
      </c>
      <c r="AF27" s="201">
        <v>155428</v>
      </c>
      <c r="AG27" s="196">
        <f t="shared" si="17"/>
        <v>2050</v>
      </c>
      <c r="AH27" s="201">
        <v>816880</v>
      </c>
      <c r="AI27" s="196">
        <f t="shared" si="18"/>
        <v>10010</v>
      </c>
      <c r="AK27" s="198">
        <f t="shared" si="19"/>
        <v>40270</v>
      </c>
      <c r="AL27" s="199">
        <f t="shared" si="20"/>
        <v>24160</v>
      </c>
    </row>
    <row r="28" spans="1:38" s="197" customFormat="1" ht="39.950000000000003" customHeight="1">
      <c r="A28" s="186">
        <f t="shared" si="21"/>
        <v>44855</v>
      </c>
      <c r="B28" s="194"/>
      <c r="C28" s="201">
        <v>320980</v>
      </c>
      <c r="D28" s="196">
        <f t="shared" si="0"/>
        <v>4050</v>
      </c>
      <c r="E28" s="201">
        <v>549544</v>
      </c>
      <c r="F28" s="196">
        <f t="shared" si="1"/>
        <v>7880</v>
      </c>
      <c r="G28" s="201">
        <v>345926</v>
      </c>
      <c r="H28" s="196">
        <f t="shared" si="2"/>
        <v>13600</v>
      </c>
      <c r="I28" s="196">
        <f t="shared" si="3"/>
        <v>6800</v>
      </c>
      <c r="J28" s="201">
        <v>470224</v>
      </c>
      <c r="K28" s="196">
        <f t="shared" si="4"/>
        <v>6160</v>
      </c>
      <c r="L28" s="201">
        <v>750867</v>
      </c>
      <c r="M28" s="196">
        <f t="shared" si="5"/>
        <v>11310</v>
      </c>
      <c r="N28" s="201">
        <v>465973</v>
      </c>
      <c r="O28" s="196">
        <f t="shared" si="6"/>
        <v>11370</v>
      </c>
      <c r="P28" s="196">
        <f t="shared" si="7"/>
        <v>5685</v>
      </c>
      <c r="Q28" s="201">
        <v>465705</v>
      </c>
      <c r="R28" s="196">
        <f t="shared" si="8"/>
        <v>20</v>
      </c>
      <c r="S28" s="196">
        <f t="shared" si="9"/>
        <v>10</v>
      </c>
      <c r="T28" s="201">
        <v>240204</v>
      </c>
      <c r="U28" s="196">
        <f t="shared" si="10"/>
        <v>30</v>
      </c>
      <c r="V28" s="196">
        <f t="shared" si="11"/>
        <v>15</v>
      </c>
      <c r="W28" s="201">
        <v>313752</v>
      </c>
      <c r="X28" s="196">
        <f t="shared" si="12"/>
        <v>40</v>
      </c>
      <c r="Y28" s="196">
        <f t="shared" si="13"/>
        <v>20</v>
      </c>
      <c r="Z28" s="201">
        <v>90932</v>
      </c>
      <c r="AA28" s="196">
        <f t="shared" si="14"/>
        <v>1300</v>
      </c>
      <c r="AB28" s="201">
        <v>172222</v>
      </c>
      <c r="AC28" s="196">
        <f t="shared" si="15"/>
        <v>3120</v>
      </c>
      <c r="AD28" s="201">
        <v>307091</v>
      </c>
      <c r="AE28" s="196">
        <f t="shared" si="16"/>
        <v>6780</v>
      </c>
      <c r="AF28" s="201">
        <v>155630</v>
      </c>
      <c r="AG28" s="196">
        <f t="shared" si="17"/>
        <v>2020</v>
      </c>
      <c r="AH28" s="201">
        <v>817897</v>
      </c>
      <c r="AI28" s="196">
        <f t="shared" si="18"/>
        <v>10170</v>
      </c>
      <c r="AK28" s="198">
        <f t="shared" si="19"/>
        <v>41930</v>
      </c>
      <c r="AL28" s="199">
        <f t="shared" si="20"/>
        <v>29120</v>
      </c>
    </row>
    <row r="29" spans="1:38" s="197" customFormat="1" ht="39.950000000000003" customHeight="1">
      <c r="A29" s="186">
        <f t="shared" si="21"/>
        <v>44856</v>
      </c>
      <c r="B29" s="194"/>
      <c r="C29" s="201">
        <v>321397</v>
      </c>
      <c r="D29" s="196">
        <f t="shared" si="0"/>
        <v>4170</v>
      </c>
      <c r="E29" s="201">
        <v>550372</v>
      </c>
      <c r="F29" s="196">
        <f t="shared" si="1"/>
        <v>8280</v>
      </c>
      <c r="G29" s="201">
        <v>347399</v>
      </c>
      <c r="H29" s="196">
        <f t="shared" si="2"/>
        <v>14730</v>
      </c>
      <c r="I29" s="196">
        <f t="shared" si="3"/>
        <v>7365</v>
      </c>
      <c r="J29" s="201">
        <v>470866</v>
      </c>
      <c r="K29" s="196">
        <f t="shared" si="4"/>
        <v>6420</v>
      </c>
      <c r="L29" s="201">
        <v>752006</v>
      </c>
      <c r="M29" s="196">
        <f t="shared" si="5"/>
        <v>11390</v>
      </c>
      <c r="N29" s="201">
        <v>467272</v>
      </c>
      <c r="O29" s="196">
        <f t="shared" si="6"/>
        <v>12990</v>
      </c>
      <c r="P29" s="196">
        <f t="shared" si="7"/>
        <v>6495</v>
      </c>
      <c r="Q29" s="201">
        <v>465707</v>
      </c>
      <c r="R29" s="196">
        <f t="shared" si="8"/>
        <v>20</v>
      </c>
      <c r="S29" s="196">
        <f t="shared" si="9"/>
        <v>10</v>
      </c>
      <c r="T29" s="201">
        <v>240206</v>
      </c>
      <c r="U29" s="196">
        <f t="shared" si="10"/>
        <v>20</v>
      </c>
      <c r="V29" s="196">
        <f t="shared" si="11"/>
        <v>10</v>
      </c>
      <c r="W29" s="201">
        <v>313756</v>
      </c>
      <c r="X29" s="196">
        <f t="shared" si="12"/>
        <v>40</v>
      </c>
      <c r="Y29" s="196">
        <f t="shared" si="13"/>
        <v>20</v>
      </c>
      <c r="Z29" s="201">
        <v>91073</v>
      </c>
      <c r="AA29" s="196">
        <f t="shared" si="14"/>
        <v>1410</v>
      </c>
      <c r="AB29" s="201">
        <v>172470</v>
      </c>
      <c r="AC29" s="196">
        <f t="shared" si="15"/>
        <v>2480</v>
      </c>
      <c r="AD29" s="201">
        <v>307492</v>
      </c>
      <c r="AE29" s="196">
        <f t="shared" si="16"/>
        <v>4010</v>
      </c>
      <c r="AF29" s="201">
        <v>155836</v>
      </c>
      <c r="AG29" s="196">
        <f t="shared" si="17"/>
        <v>2060</v>
      </c>
      <c r="AH29" s="201">
        <v>818892</v>
      </c>
      <c r="AI29" s="196">
        <f t="shared" si="18"/>
        <v>9950</v>
      </c>
      <c r="AK29" s="198">
        <f t="shared" si="19"/>
        <v>44160</v>
      </c>
      <c r="AL29" s="199">
        <f t="shared" si="20"/>
        <v>26445</v>
      </c>
    </row>
    <row r="30" spans="1:38" s="197" customFormat="1" ht="39.950000000000003" customHeight="1">
      <c r="A30" s="186">
        <f t="shared" si="21"/>
        <v>44857</v>
      </c>
      <c r="B30" s="194"/>
      <c r="C30" s="201">
        <v>321805</v>
      </c>
      <c r="D30" s="196">
        <f t="shared" si="0"/>
        <v>4080</v>
      </c>
      <c r="E30" s="201">
        <v>551149</v>
      </c>
      <c r="F30" s="196">
        <f t="shared" si="1"/>
        <v>7770</v>
      </c>
      <c r="G30" s="201">
        <v>348551</v>
      </c>
      <c r="H30" s="196">
        <f t="shared" si="2"/>
        <v>11520</v>
      </c>
      <c r="I30" s="196">
        <f t="shared" si="3"/>
        <v>5760</v>
      </c>
      <c r="J30" s="201">
        <v>471491</v>
      </c>
      <c r="K30" s="196">
        <f t="shared" si="4"/>
        <v>6250</v>
      </c>
      <c r="L30" s="201">
        <v>753050</v>
      </c>
      <c r="M30" s="196">
        <f t="shared" si="5"/>
        <v>10440</v>
      </c>
      <c r="N30" s="201">
        <v>468629</v>
      </c>
      <c r="O30" s="196">
        <f t="shared" si="6"/>
        <v>13570</v>
      </c>
      <c r="P30" s="196">
        <f t="shared" si="7"/>
        <v>6785</v>
      </c>
      <c r="Q30" s="201">
        <v>466012</v>
      </c>
      <c r="R30" s="196">
        <f t="shared" si="8"/>
        <v>3050</v>
      </c>
      <c r="S30" s="196">
        <f t="shared" si="9"/>
        <v>1525</v>
      </c>
      <c r="T30" s="201">
        <v>240208</v>
      </c>
      <c r="U30" s="196">
        <f t="shared" si="10"/>
        <v>20</v>
      </c>
      <c r="V30" s="196">
        <f t="shared" si="11"/>
        <v>10</v>
      </c>
      <c r="W30" s="201">
        <v>313760</v>
      </c>
      <c r="X30" s="196">
        <f t="shared" si="12"/>
        <v>40</v>
      </c>
      <c r="Y30" s="196">
        <f t="shared" si="13"/>
        <v>20</v>
      </c>
      <c r="Z30" s="201">
        <v>91210</v>
      </c>
      <c r="AA30" s="196">
        <f t="shared" si="14"/>
        <v>1370</v>
      </c>
      <c r="AB30" s="201">
        <v>172719</v>
      </c>
      <c r="AC30" s="196">
        <f t="shared" si="15"/>
        <v>2490</v>
      </c>
      <c r="AD30" s="201">
        <v>307879</v>
      </c>
      <c r="AE30" s="196">
        <f t="shared" si="16"/>
        <v>3870</v>
      </c>
      <c r="AF30" s="201">
        <v>156042</v>
      </c>
      <c r="AG30" s="196">
        <f t="shared" si="17"/>
        <v>2060</v>
      </c>
      <c r="AH30" s="201">
        <v>819888</v>
      </c>
      <c r="AI30" s="196">
        <f t="shared" si="18"/>
        <v>9960</v>
      </c>
      <c r="AK30" s="198">
        <f t="shared" si="19"/>
        <v>42640</v>
      </c>
      <c r="AL30" s="199">
        <f t="shared" si="20"/>
        <v>28090</v>
      </c>
    </row>
    <row r="31" spans="1:38" s="197" customFormat="1" ht="39.950000000000003" customHeight="1">
      <c r="A31" s="186">
        <f t="shared" si="21"/>
        <v>44858</v>
      </c>
      <c r="B31" s="194"/>
      <c r="C31" s="201">
        <v>322186</v>
      </c>
      <c r="D31" s="196">
        <f t="shared" si="0"/>
        <v>3810</v>
      </c>
      <c r="E31" s="201">
        <v>551889</v>
      </c>
      <c r="F31" s="196">
        <f t="shared" si="1"/>
        <v>7400</v>
      </c>
      <c r="G31" s="201">
        <v>349502</v>
      </c>
      <c r="H31" s="196">
        <f t="shared" si="2"/>
        <v>9510</v>
      </c>
      <c r="I31" s="196">
        <f t="shared" si="3"/>
        <v>4755</v>
      </c>
      <c r="J31" s="201">
        <v>472117</v>
      </c>
      <c r="K31" s="196">
        <f t="shared" si="4"/>
        <v>6260</v>
      </c>
      <c r="L31" s="201">
        <v>754017</v>
      </c>
      <c r="M31" s="196">
        <f t="shared" si="5"/>
        <v>9670</v>
      </c>
      <c r="N31" s="201">
        <v>469438</v>
      </c>
      <c r="O31" s="196">
        <f t="shared" si="6"/>
        <v>8090</v>
      </c>
      <c r="P31" s="196">
        <f t="shared" si="7"/>
        <v>4045</v>
      </c>
      <c r="Q31" s="201">
        <v>466038</v>
      </c>
      <c r="R31" s="196">
        <f t="shared" si="8"/>
        <v>260</v>
      </c>
      <c r="S31" s="196">
        <f t="shared" si="9"/>
        <v>130</v>
      </c>
      <c r="T31" s="201">
        <v>240210</v>
      </c>
      <c r="U31" s="196">
        <f t="shared" si="10"/>
        <v>20</v>
      </c>
      <c r="V31" s="196">
        <f t="shared" si="11"/>
        <v>10</v>
      </c>
      <c r="W31" s="201">
        <v>313764</v>
      </c>
      <c r="X31" s="196">
        <f t="shared" si="12"/>
        <v>40</v>
      </c>
      <c r="Y31" s="196">
        <f t="shared" si="13"/>
        <v>20</v>
      </c>
      <c r="Z31" s="201">
        <v>91343</v>
      </c>
      <c r="AA31" s="196">
        <f t="shared" si="14"/>
        <v>1330</v>
      </c>
      <c r="AB31" s="201">
        <v>172955</v>
      </c>
      <c r="AC31" s="196">
        <f t="shared" si="15"/>
        <v>2360</v>
      </c>
      <c r="AD31" s="201">
        <v>308263</v>
      </c>
      <c r="AE31" s="196">
        <f t="shared" si="16"/>
        <v>3840</v>
      </c>
      <c r="AF31" s="201">
        <v>156233</v>
      </c>
      <c r="AG31" s="196">
        <f t="shared" si="17"/>
        <v>1910</v>
      </c>
      <c r="AH31" s="201">
        <v>820840</v>
      </c>
      <c r="AI31" s="196">
        <f t="shared" si="18"/>
        <v>9520</v>
      </c>
      <c r="AK31" s="198">
        <f t="shared" si="19"/>
        <v>36100</v>
      </c>
      <c r="AL31" s="199">
        <f t="shared" si="20"/>
        <v>23165</v>
      </c>
    </row>
    <row r="32" spans="1:38" s="197" customFormat="1" ht="39.950000000000003" customHeight="1">
      <c r="A32" s="186">
        <f t="shared" si="21"/>
        <v>44859</v>
      </c>
      <c r="B32" s="194"/>
      <c r="C32" s="195">
        <v>322581</v>
      </c>
      <c r="D32" s="196">
        <f t="shared" si="0"/>
        <v>3950</v>
      </c>
      <c r="E32" s="195">
        <v>552685</v>
      </c>
      <c r="F32" s="196">
        <f t="shared" si="1"/>
        <v>7960</v>
      </c>
      <c r="G32" s="195">
        <v>350421</v>
      </c>
      <c r="H32" s="196">
        <f t="shared" si="2"/>
        <v>9190</v>
      </c>
      <c r="I32" s="196">
        <f t="shared" si="3"/>
        <v>4595</v>
      </c>
      <c r="J32" s="195">
        <v>472739</v>
      </c>
      <c r="K32" s="196">
        <f t="shared" si="4"/>
        <v>6220</v>
      </c>
      <c r="L32" s="195">
        <v>755099</v>
      </c>
      <c r="M32" s="196">
        <f t="shared" si="5"/>
        <v>10820</v>
      </c>
      <c r="N32" s="195">
        <v>471518</v>
      </c>
      <c r="O32" s="196">
        <f t="shared" si="6"/>
        <v>20800</v>
      </c>
      <c r="P32" s="196">
        <f t="shared" si="7"/>
        <v>10400</v>
      </c>
      <c r="Q32" s="195">
        <v>466074</v>
      </c>
      <c r="R32" s="196">
        <f t="shared" si="8"/>
        <v>360</v>
      </c>
      <c r="S32" s="196">
        <f t="shared" si="9"/>
        <v>180</v>
      </c>
      <c r="T32" s="195">
        <v>240213</v>
      </c>
      <c r="U32" s="196">
        <f t="shared" si="10"/>
        <v>30</v>
      </c>
      <c r="V32" s="196">
        <f t="shared" si="11"/>
        <v>15</v>
      </c>
      <c r="W32" s="195">
        <v>313767</v>
      </c>
      <c r="X32" s="196">
        <f t="shared" si="12"/>
        <v>30</v>
      </c>
      <c r="Y32" s="196">
        <f t="shared" si="13"/>
        <v>15</v>
      </c>
      <c r="Z32" s="195">
        <v>91477</v>
      </c>
      <c r="AA32" s="196">
        <f t="shared" si="14"/>
        <v>1340</v>
      </c>
      <c r="AB32" s="195">
        <v>173214</v>
      </c>
      <c r="AC32" s="196">
        <f t="shared" si="15"/>
        <v>2590</v>
      </c>
      <c r="AD32" s="195">
        <v>308678</v>
      </c>
      <c r="AE32" s="196">
        <f t="shared" si="16"/>
        <v>4150</v>
      </c>
      <c r="AF32" s="195">
        <v>156444</v>
      </c>
      <c r="AG32" s="196">
        <f t="shared" si="17"/>
        <v>2110</v>
      </c>
      <c r="AH32" s="195">
        <v>821851</v>
      </c>
      <c r="AI32" s="196">
        <f t="shared" si="18"/>
        <v>10110</v>
      </c>
      <c r="AK32" s="198">
        <f t="shared" si="19"/>
        <v>44155</v>
      </c>
      <c r="AL32" s="199">
        <f t="shared" si="20"/>
        <v>30910</v>
      </c>
    </row>
    <row r="33" spans="1:38" s="197" customFormat="1" ht="39.950000000000003" customHeight="1">
      <c r="A33" s="186">
        <f t="shared" si="21"/>
        <v>44860</v>
      </c>
      <c r="B33" s="194"/>
      <c r="C33" s="195">
        <v>323062</v>
      </c>
      <c r="D33" s="196">
        <f t="shared" si="0"/>
        <v>4810</v>
      </c>
      <c r="E33" s="195">
        <v>553414</v>
      </c>
      <c r="F33" s="196">
        <f t="shared" si="1"/>
        <v>7290</v>
      </c>
      <c r="G33" s="195">
        <v>351275</v>
      </c>
      <c r="H33" s="196">
        <f t="shared" si="2"/>
        <v>8540</v>
      </c>
      <c r="I33" s="196">
        <f t="shared" si="3"/>
        <v>4270</v>
      </c>
      <c r="J33" s="195">
        <v>473357</v>
      </c>
      <c r="K33" s="196">
        <f t="shared" si="4"/>
        <v>6180</v>
      </c>
      <c r="L33" s="195">
        <v>756177</v>
      </c>
      <c r="M33" s="196">
        <f t="shared" si="5"/>
        <v>10780</v>
      </c>
      <c r="N33" s="195">
        <v>472808</v>
      </c>
      <c r="O33" s="196">
        <f t="shared" si="6"/>
        <v>12900</v>
      </c>
      <c r="P33" s="196">
        <f t="shared" si="7"/>
        <v>6450</v>
      </c>
      <c r="Q33" s="195">
        <v>466076</v>
      </c>
      <c r="R33" s="196">
        <f t="shared" si="8"/>
        <v>20</v>
      </c>
      <c r="S33" s="196">
        <f t="shared" si="9"/>
        <v>10</v>
      </c>
      <c r="T33" s="195">
        <v>240307</v>
      </c>
      <c r="U33" s="196">
        <f t="shared" si="10"/>
        <v>940</v>
      </c>
      <c r="V33" s="196">
        <f t="shared" si="11"/>
        <v>470</v>
      </c>
      <c r="W33" s="195">
        <v>313780</v>
      </c>
      <c r="X33" s="196">
        <f t="shared" si="12"/>
        <v>130</v>
      </c>
      <c r="Y33" s="196">
        <f t="shared" si="13"/>
        <v>65</v>
      </c>
      <c r="Z33" s="195">
        <v>91615</v>
      </c>
      <c r="AA33" s="196">
        <f t="shared" si="14"/>
        <v>1380</v>
      </c>
      <c r="AB33" s="195">
        <v>173485</v>
      </c>
      <c r="AC33" s="196">
        <f t="shared" si="15"/>
        <v>2710</v>
      </c>
      <c r="AD33" s="195">
        <v>309077</v>
      </c>
      <c r="AE33" s="196">
        <f t="shared" si="16"/>
        <v>3990</v>
      </c>
      <c r="AF33" s="195">
        <v>156642</v>
      </c>
      <c r="AG33" s="196">
        <f t="shared" si="17"/>
        <v>1980</v>
      </c>
      <c r="AH33" s="195">
        <v>822837</v>
      </c>
      <c r="AI33" s="196">
        <f t="shared" si="18"/>
        <v>9860</v>
      </c>
      <c r="AK33" s="198">
        <f t="shared" si="19"/>
        <v>40325</v>
      </c>
      <c r="AL33" s="199">
        <f t="shared" si="20"/>
        <v>26915</v>
      </c>
    </row>
    <row r="34" spans="1:38" s="197" customFormat="1" ht="39.950000000000003" customHeight="1">
      <c r="A34" s="186">
        <f t="shared" si="21"/>
        <v>44861</v>
      </c>
      <c r="B34" s="194"/>
      <c r="C34" s="195">
        <v>323370</v>
      </c>
      <c r="D34" s="196">
        <f t="shared" si="0"/>
        <v>3080</v>
      </c>
      <c r="E34" s="195">
        <v>554195</v>
      </c>
      <c r="F34" s="196">
        <f t="shared" si="1"/>
        <v>7810</v>
      </c>
      <c r="G34" s="195">
        <v>352634</v>
      </c>
      <c r="H34" s="196">
        <f t="shared" si="2"/>
        <v>13590</v>
      </c>
      <c r="I34" s="196">
        <f t="shared" si="3"/>
        <v>6795</v>
      </c>
      <c r="J34" s="195">
        <v>473997</v>
      </c>
      <c r="K34" s="196">
        <f t="shared" si="4"/>
        <v>6400</v>
      </c>
      <c r="L34" s="195">
        <v>757273</v>
      </c>
      <c r="M34" s="196">
        <f t="shared" si="5"/>
        <v>10960</v>
      </c>
      <c r="N34" s="195">
        <v>473941</v>
      </c>
      <c r="O34" s="196">
        <f t="shared" si="6"/>
        <v>11330</v>
      </c>
      <c r="P34" s="196">
        <f t="shared" si="7"/>
        <v>5665</v>
      </c>
      <c r="Q34" s="195">
        <v>466078</v>
      </c>
      <c r="R34" s="196">
        <f t="shared" si="8"/>
        <v>20</v>
      </c>
      <c r="S34" s="196">
        <f t="shared" si="9"/>
        <v>10</v>
      </c>
      <c r="T34" s="195">
        <v>240310</v>
      </c>
      <c r="U34" s="196">
        <f t="shared" si="10"/>
        <v>30</v>
      </c>
      <c r="V34" s="196">
        <f t="shared" si="11"/>
        <v>15</v>
      </c>
      <c r="W34" s="195">
        <v>313783</v>
      </c>
      <c r="X34" s="196">
        <f t="shared" si="12"/>
        <v>30</v>
      </c>
      <c r="Y34" s="196">
        <f t="shared" si="13"/>
        <v>15</v>
      </c>
      <c r="Z34" s="195">
        <v>91751</v>
      </c>
      <c r="AA34" s="196">
        <f t="shared" si="14"/>
        <v>1360</v>
      </c>
      <c r="AB34" s="195">
        <v>173732</v>
      </c>
      <c r="AC34" s="196">
        <f t="shared" si="15"/>
        <v>2470</v>
      </c>
      <c r="AD34" s="195">
        <v>309488</v>
      </c>
      <c r="AE34" s="196">
        <f t="shared" si="16"/>
        <v>4110</v>
      </c>
      <c r="AF34" s="195">
        <v>156848</v>
      </c>
      <c r="AG34" s="196">
        <f t="shared" si="17"/>
        <v>2060</v>
      </c>
      <c r="AH34" s="195">
        <v>823878</v>
      </c>
      <c r="AI34" s="196">
        <f t="shared" si="18"/>
        <v>10410</v>
      </c>
      <c r="AK34" s="198">
        <f t="shared" si="19"/>
        <v>40750</v>
      </c>
      <c r="AL34" s="199">
        <f t="shared" si="20"/>
        <v>26115</v>
      </c>
    </row>
    <row r="35" spans="1:38" s="197" customFormat="1" ht="39.950000000000003" customHeight="1">
      <c r="A35" s="186">
        <f t="shared" si="21"/>
        <v>44862</v>
      </c>
      <c r="B35" s="194"/>
      <c r="C35" s="195">
        <v>323776</v>
      </c>
      <c r="D35" s="196">
        <f t="shared" si="0"/>
        <v>4060</v>
      </c>
      <c r="E35" s="195">
        <v>554952</v>
      </c>
      <c r="F35" s="196">
        <f t="shared" si="1"/>
        <v>7570</v>
      </c>
      <c r="G35" s="195">
        <v>353680</v>
      </c>
      <c r="H35" s="196">
        <f t="shared" si="2"/>
        <v>10460</v>
      </c>
      <c r="I35" s="196">
        <f t="shared" si="3"/>
        <v>5230</v>
      </c>
      <c r="J35" s="195">
        <v>474629</v>
      </c>
      <c r="K35" s="196">
        <f t="shared" si="4"/>
        <v>6320</v>
      </c>
      <c r="L35" s="195">
        <v>758358</v>
      </c>
      <c r="M35" s="196">
        <f t="shared" si="5"/>
        <v>10850</v>
      </c>
      <c r="N35" s="195">
        <v>475411</v>
      </c>
      <c r="O35" s="196">
        <f t="shared" si="6"/>
        <v>14700</v>
      </c>
      <c r="P35" s="196">
        <f t="shared" si="7"/>
        <v>7350</v>
      </c>
      <c r="Q35" s="195">
        <v>466080</v>
      </c>
      <c r="R35" s="196">
        <f t="shared" si="8"/>
        <v>20</v>
      </c>
      <c r="S35" s="196">
        <f t="shared" si="9"/>
        <v>10</v>
      </c>
      <c r="T35" s="195">
        <v>240312</v>
      </c>
      <c r="U35" s="196">
        <f t="shared" si="10"/>
        <v>20</v>
      </c>
      <c r="V35" s="196">
        <f t="shared" si="11"/>
        <v>10</v>
      </c>
      <c r="W35" s="195">
        <v>313787</v>
      </c>
      <c r="X35" s="196">
        <f t="shared" si="12"/>
        <v>40</v>
      </c>
      <c r="Y35" s="196">
        <f t="shared" si="13"/>
        <v>20</v>
      </c>
      <c r="Z35" s="195">
        <v>91885</v>
      </c>
      <c r="AA35" s="196">
        <f t="shared" si="14"/>
        <v>1340</v>
      </c>
      <c r="AB35" s="195">
        <v>173971</v>
      </c>
      <c r="AC35" s="196">
        <f t="shared" si="15"/>
        <v>2390</v>
      </c>
      <c r="AD35" s="195">
        <v>309885</v>
      </c>
      <c r="AE35" s="196">
        <f t="shared" si="16"/>
        <v>3970</v>
      </c>
      <c r="AF35" s="195">
        <v>157043</v>
      </c>
      <c r="AG35" s="196">
        <f t="shared" si="17"/>
        <v>1950</v>
      </c>
      <c r="AH35" s="195">
        <v>824866</v>
      </c>
      <c r="AI35" s="196">
        <f t="shared" si="18"/>
        <v>9880</v>
      </c>
      <c r="AK35" s="198">
        <f t="shared" si="19"/>
        <v>41420</v>
      </c>
      <c r="AL35" s="199">
        <f t="shared" si="20"/>
        <v>26920</v>
      </c>
    </row>
    <row r="36" spans="1:38" s="197" customFormat="1" ht="39.950000000000003" customHeight="1">
      <c r="A36" s="186">
        <f t="shared" si="21"/>
        <v>44863</v>
      </c>
      <c r="B36" s="194"/>
      <c r="C36" s="195">
        <v>324196</v>
      </c>
      <c r="D36" s="196">
        <f t="shared" si="0"/>
        <v>4200</v>
      </c>
      <c r="E36" s="195">
        <v>555760</v>
      </c>
      <c r="F36" s="196">
        <f t="shared" si="1"/>
        <v>8080</v>
      </c>
      <c r="G36" s="195">
        <v>355092</v>
      </c>
      <c r="H36" s="196">
        <f t="shared" si="2"/>
        <v>14120</v>
      </c>
      <c r="I36" s="196">
        <f t="shared" si="3"/>
        <v>7060</v>
      </c>
      <c r="J36" s="195">
        <v>475311</v>
      </c>
      <c r="K36" s="196">
        <f t="shared" si="4"/>
        <v>6820</v>
      </c>
      <c r="L36" s="195">
        <v>759546</v>
      </c>
      <c r="M36" s="196">
        <f t="shared" si="5"/>
        <v>11880</v>
      </c>
      <c r="N36" s="195">
        <v>476723</v>
      </c>
      <c r="O36" s="196">
        <f t="shared" si="6"/>
        <v>13120</v>
      </c>
      <c r="P36" s="196">
        <f t="shared" si="7"/>
        <v>6560</v>
      </c>
      <c r="Q36" s="195">
        <v>466083</v>
      </c>
      <c r="R36" s="196">
        <f t="shared" si="8"/>
        <v>30</v>
      </c>
      <c r="S36" s="196">
        <f t="shared" si="9"/>
        <v>15</v>
      </c>
      <c r="T36" s="195">
        <v>240314</v>
      </c>
      <c r="U36" s="196">
        <f t="shared" si="10"/>
        <v>20</v>
      </c>
      <c r="V36" s="196">
        <f t="shared" si="11"/>
        <v>10</v>
      </c>
      <c r="W36" s="195">
        <v>313791</v>
      </c>
      <c r="X36" s="196">
        <f t="shared" si="12"/>
        <v>40</v>
      </c>
      <c r="Y36" s="196">
        <f t="shared" si="13"/>
        <v>20</v>
      </c>
      <c r="Z36" s="195">
        <v>92036</v>
      </c>
      <c r="AA36" s="196">
        <f t="shared" si="14"/>
        <v>1510</v>
      </c>
      <c r="AB36" s="195">
        <v>174223</v>
      </c>
      <c r="AC36" s="196">
        <f t="shared" si="15"/>
        <v>2520</v>
      </c>
      <c r="AD36" s="195">
        <v>310287</v>
      </c>
      <c r="AE36" s="196">
        <f t="shared" si="16"/>
        <v>4020</v>
      </c>
      <c r="AF36" s="195">
        <v>157253</v>
      </c>
      <c r="AG36" s="196">
        <f t="shared" si="17"/>
        <v>2100</v>
      </c>
      <c r="AH36" s="195">
        <v>825894</v>
      </c>
      <c r="AI36" s="196">
        <f t="shared" si="18"/>
        <v>10280</v>
      </c>
      <c r="AK36" s="198">
        <f t="shared" si="19"/>
        <v>44645</v>
      </c>
      <c r="AL36" s="199">
        <f t="shared" si="20"/>
        <v>27035</v>
      </c>
    </row>
    <row r="37" spans="1:38" s="197" customFormat="1" ht="39.950000000000003" customHeight="1">
      <c r="A37" s="186">
        <f t="shared" si="21"/>
        <v>44864</v>
      </c>
      <c r="B37" s="194"/>
      <c r="C37" s="195">
        <v>324590</v>
      </c>
      <c r="D37" s="196">
        <f t="shared" si="0"/>
        <v>3940</v>
      </c>
      <c r="E37" s="195">
        <v>556496</v>
      </c>
      <c r="F37" s="196">
        <f t="shared" si="1"/>
        <v>7360</v>
      </c>
      <c r="G37" s="195">
        <v>356394</v>
      </c>
      <c r="H37" s="196">
        <f t="shared" si="2"/>
        <v>13020</v>
      </c>
      <c r="I37" s="196">
        <f t="shared" si="3"/>
        <v>6510</v>
      </c>
      <c r="J37" s="195">
        <v>475886</v>
      </c>
      <c r="K37" s="196">
        <f t="shared" si="4"/>
        <v>5750</v>
      </c>
      <c r="L37" s="195">
        <v>760523</v>
      </c>
      <c r="M37" s="196">
        <f t="shared" si="5"/>
        <v>9770</v>
      </c>
      <c r="N37" s="195">
        <v>477788</v>
      </c>
      <c r="O37" s="196">
        <f t="shared" si="6"/>
        <v>10650</v>
      </c>
      <c r="P37" s="196">
        <f t="shared" si="7"/>
        <v>5325</v>
      </c>
      <c r="Q37" s="195">
        <v>466085</v>
      </c>
      <c r="R37" s="196">
        <f t="shared" si="8"/>
        <v>20</v>
      </c>
      <c r="S37" s="196">
        <f t="shared" si="9"/>
        <v>10</v>
      </c>
      <c r="T37" s="195">
        <v>240316</v>
      </c>
      <c r="U37" s="196">
        <f t="shared" si="10"/>
        <v>20</v>
      </c>
      <c r="V37" s="196">
        <f t="shared" si="11"/>
        <v>10</v>
      </c>
      <c r="W37" s="195">
        <v>313794</v>
      </c>
      <c r="X37" s="196">
        <f t="shared" si="12"/>
        <v>30</v>
      </c>
      <c r="Y37" s="196">
        <f t="shared" si="13"/>
        <v>15</v>
      </c>
      <c r="Z37" s="195">
        <v>92159</v>
      </c>
      <c r="AA37" s="196">
        <f t="shared" si="14"/>
        <v>1230</v>
      </c>
      <c r="AB37" s="195">
        <v>174471</v>
      </c>
      <c r="AC37" s="196">
        <f t="shared" si="15"/>
        <v>2480</v>
      </c>
      <c r="AD37" s="195">
        <v>310671</v>
      </c>
      <c r="AE37" s="196">
        <f t="shared" si="16"/>
        <v>3840</v>
      </c>
      <c r="AF37" s="195">
        <v>157461</v>
      </c>
      <c r="AG37" s="196">
        <f t="shared" si="17"/>
        <v>2080</v>
      </c>
      <c r="AH37" s="195">
        <v>826878</v>
      </c>
      <c r="AI37" s="196">
        <f t="shared" si="18"/>
        <v>9840</v>
      </c>
      <c r="AK37" s="198">
        <f t="shared" si="19"/>
        <v>38690</v>
      </c>
      <c r="AL37" s="199">
        <f t="shared" si="20"/>
        <v>24830</v>
      </c>
    </row>
    <row r="38" spans="1:38" s="206" customFormat="1" ht="39.950000000000003" customHeight="1">
      <c r="A38" s="186">
        <f t="shared" si="21"/>
        <v>44865</v>
      </c>
      <c r="B38" s="204"/>
      <c r="C38" s="205">
        <v>324980</v>
      </c>
      <c r="D38" s="196">
        <f t="shared" si="0"/>
        <v>3900</v>
      </c>
      <c r="E38" s="205">
        <v>557198</v>
      </c>
      <c r="F38" s="196">
        <f t="shared" si="1"/>
        <v>7020</v>
      </c>
      <c r="G38" s="205">
        <v>357599</v>
      </c>
      <c r="H38" s="196">
        <f t="shared" si="2"/>
        <v>12050</v>
      </c>
      <c r="I38" s="196">
        <f t="shared" si="3"/>
        <v>6025</v>
      </c>
      <c r="J38" s="205">
        <v>476493</v>
      </c>
      <c r="K38" s="196">
        <f t="shared" si="4"/>
        <v>6070</v>
      </c>
      <c r="L38" s="205">
        <v>761478</v>
      </c>
      <c r="M38" s="196">
        <f t="shared" si="5"/>
        <v>9550</v>
      </c>
      <c r="N38" s="205">
        <v>478772</v>
      </c>
      <c r="O38" s="196">
        <f t="shared" si="6"/>
        <v>9840</v>
      </c>
      <c r="P38" s="196">
        <f t="shared" si="7"/>
        <v>4920</v>
      </c>
      <c r="Q38" s="205">
        <v>466087</v>
      </c>
      <c r="R38" s="196">
        <f t="shared" si="8"/>
        <v>20</v>
      </c>
      <c r="S38" s="196">
        <f t="shared" si="9"/>
        <v>10</v>
      </c>
      <c r="T38" s="205">
        <v>240318</v>
      </c>
      <c r="U38" s="196">
        <f t="shared" si="10"/>
        <v>20</v>
      </c>
      <c r="V38" s="196">
        <f t="shared" si="11"/>
        <v>10</v>
      </c>
      <c r="W38" s="205">
        <v>313798</v>
      </c>
      <c r="X38" s="196">
        <f t="shared" si="12"/>
        <v>40</v>
      </c>
      <c r="Y38" s="196">
        <f t="shared" si="13"/>
        <v>20</v>
      </c>
      <c r="Z38" s="205">
        <v>92287</v>
      </c>
      <c r="AA38" s="196">
        <f t="shared" si="14"/>
        <v>1280</v>
      </c>
      <c r="AB38" s="205">
        <v>174725</v>
      </c>
      <c r="AC38" s="196">
        <f t="shared" si="15"/>
        <v>2540</v>
      </c>
      <c r="AD38" s="205">
        <v>311070</v>
      </c>
      <c r="AE38" s="196">
        <f t="shared" si="16"/>
        <v>3990</v>
      </c>
      <c r="AF38" s="205">
        <v>157666</v>
      </c>
      <c r="AG38" s="196">
        <f t="shared" si="17"/>
        <v>2050</v>
      </c>
      <c r="AH38" s="205">
        <v>827864</v>
      </c>
      <c r="AI38" s="196">
        <f t="shared" si="18"/>
        <v>9860</v>
      </c>
      <c r="AK38" s="198">
        <f t="shared" si="19"/>
        <v>37525</v>
      </c>
      <c r="AL38" s="199">
        <f t="shared" si="20"/>
        <v>24680</v>
      </c>
    </row>
    <row r="39" spans="1:38" s="18" customFormat="1" ht="39.950000000000003" customHeight="1">
      <c r="A39" s="17"/>
      <c r="D39" s="10">
        <f>SUM(D8:D38)</f>
        <v>125970</v>
      </c>
      <c r="F39" s="10">
        <f>SUM(F8:F38)</f>
        <v>237110</v>
      </c>
      <c r="H39" s="10">
        <f>SUM(H8:H38)</f>
        <v>379190</v>
      </c>
      <c r="K39" s="10">
        <f>SUM(K8:K38)</f>
        <v>195140</v>
      </c>
      <c r="M39" s="10">
        <f>SUM(M8:M38)</f>
        <v>333430</v>
      </c>
      <c r="O39" s="10">
        <f>SUM(O8:O38)</f>
        <v>404000</v>
      </c>
      <c r="R39" s="10">
        <f>SUM(R8:R38)</f>
        <v>41570</v>
      </c>
      <c r="U39" s="10">
        <f>SUM(U8:U38)</f>
        <v>27170</v>
      </c>
      <c r="X39" s="10">
        <f>SUM(X8:X38)</f>
        <v>53020</v>
      </c>
      <c r="AA39" s="10">
        <f>SUM(AA8:AA38)</f>
        <v>40660</v>
      </c>
      <c r="AC39" s="10">
        <f>SUM(AC8:AC38)</f>
        <v>76980</v>
      </c>
      <c r="AE39" s="10">
        <f>SUM(AE8:AE38)</f>
        <v>124840</v>
      </c>
      <c r="AG39" s="10">
        <f>SUM(AG8:AG38)</f>
        <v>62510</v>
      </c>
      <c r="AI39" s="10">
        <f>SUM(AI8:AI38)</f>
        <v>310630</v>
      </c>
    </row>
    <row r="40" spans="1:38" s="18" customFormat="1" ht="39.950000000000003" customHeight="1">
      <c r="A40" s="17"/>
      <c r="D40" s="19"/>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29" type="noConversion"/>
  <pageMargins left="0.7" right="0.7" top="0.75" bottom="0.75" header="0.3" footer="0.3"/>
  <pageSetup scale="12" orientation="portrait" r:id="rId1"/>
  <colBreaks count="1" manualBreakCount="1">
    <brk id="2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23" activePane="bottomRight" state="frozen"/>
      <selection pane="topRight" activeCell="C1" sqref="C1"/>
      <selection pane="bottomLeft" activeCell="A5" sqref="A5"/>
      <selection pane="bottomRight" activeCell="J39" sqref="J39"/>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88"/>
      <c r="B1" s="188"/>
      <c r="C1" s="216" t="s">
        <v>65</v>
      </c>
      <c r="D1" s="216"/>
      <c r="E1" s="216" t="s">
        <v>65</v>
      </c>
      <c r="F1" s="216"/>
      <c r="G1" s="216" t="s">
        <v>65</v>
      </c>
      <c r="H1" s="216"/>
      <c r="I1" s="216" t="s">
        <v>65</v>
      </c>
      <c r="J1" s="216"/>
      <c r="K1" s="229" t="s">
        <v>66</v>
      </c>
      <c r="L1" s="230"/>
      <c r="M1" s="230"/>
      <c r="N1" s="231"/>
      <c r="O1" s="216" t="s">
        <v>67</v>
      </c>
      <c r="P1" s="216"/>
    </row>
    <row r="2" spans="1:19" s="25" customFormat="1" ht="113.25" customHeight="1">
      <c r="A2" s="24"/>
      <c r="B2" s="24"/>
      <c r="C2" s="232" t="s">
        <v>103</v>
      </c>
      <c r="D2" s="233"/>
      <c r="E2" s="232" t="s">
        <v>104</v>
      </c>
      <c r="F2" s="233"/>
      <c r="G2" s="232" t="s">
        <v>105</v>
      </c>
      <c r="H2" s="233"/>
      <c r="I2" s="232" t="s">
        <v>106</v>
      </c>
      <c r="J2" s="233"/>
      <c r="K2" s="241" t="s">
        <v>107</v>
      </c>
      <c r="L2" s="242"/>
      <c r="M2" s="242"/>
      <c r="N2" s="243"/>
      <c r="O2" s="232" t="s">
        <v>108</v>
      </c>
      <c r="P2" s="233"/>
    </row>
    <row r="3" spans="1:19" s="30" customFormat="1" ht="50.1" customHeight="1">
      <c r="A3" s="39"/>
      <c r="B3" s="39"/>
      <c r="C3" s="236" t="s">
        <v>109</v>
      </c>
      <c r="D3" s="237"/>
      <c r="E3" s="234" t="s">
        <v>110</v>
      </c>
      <c r="F3" s="235"/>
      <c r="G3" s="234" t="s">
        <v>111</v>
      </c>
      <c r="H3" s="235"/>
      <c r="I3" s="234" t="s">
        <v>112</v>
      </c>
      <c r="J3" s="235"/>
      <c r="K3" s="238" t="s">
        <v>113</v>
      </c>
      <c r="L3" s="239"/>
      <c r="M3" s="239"/>
      <c r="N3" s="240"/>
      <c r="O3" s="236" t="s">
        <v>114</v>
      </c>
      <c r="P3" s="237"/>
      <c r="R3" s="214" t="s">
        <v>81</v>
      </c>
      <c r="S3" s="214"/>
    </row>
    <row r="4" spans="1:19" s="8" customFormat="1" ht="30" customHeight="1">
      <c r="A4" s="187" t="s">
        <v>96</v>
      </c>
      <c r="B4" s="48"/>
      <c r="C4" s="223"/>
      <c r="D4" s="224"/>
      <c r="E4" s="223"/>
      <c r="F4" s="224"/>
      <c r="G4" s="223"/>
      <c r="H4" s="224"/>
      <c r="I4" s="223"/>
      <c r="J4" s="224"/>
      <c r="K4" s="223"/>
      <c r="L4" s="228"/>
      <c r="M4" s="228"/>
      <c r="N4" s="224"/>
      <c r="O4" s="48"/>
      <c r="P4" s="48"/>
      <c r="R4" s="214"/>
      <c r="S4" s="214"/>
    </row>
    <row r="5" spans="1:19" s="10" customFormat="1" ht="50.1" customHeight="1">
      <c r="A5" s="187" t="s">
        <v>99</v>
      </c>
      <c r="B5" s="187"/>
      <c r="C5" s="187" t="s">
        <v>115</v>
      </c>
      <c r="D5" s="187" t="s">
        <v>116</v>
      </c>
      <c r="E5" s="187" t="s">
        <v>115</v>
      </c>
      <c r="F5" s="187" t="s">
        <v>116</v>
      </c>
      <c r="G5" s="187" t="s">
        <v>115</v>
      </c>
      <c r="H5" s="187" t="s">
        <v>116</v>
      </c>
      <c r="I5" s="187" t="s">
        <v>115</v>
      </c>
      <c r="J5" s="187" t="s">
        <v>116</v>
      </c>
      <c r="K5" s="187" t="s">
        <v>115</v>
      </c>
      <c r="L5" s="187" t="s">
        <v>116</v>
      </c>
      <c r="M5" s="187" t="s">
        <v>65</v>
      </c>
      <c r="N5" s="187" t="s">
        <v>67</v>
      </c>
      <c r="O5" s="187" t="s">
        <v>115</v>
      </c>
      <c r="P5" s="187" t="s">
        <v>116</v>
      </c>
      <c r="R5" s="187"/>
      <c r="S5" s="187"/>
    </row>
    <row r="6" spans="1:19" ht="39.950000000000003" customHeight="1">
      <c r="A6" s="186">
        <f>SUM(A7-1)</f>
        <v>44834</v>
      </c>
      <c r="B6" s="79"/>
      <c r="C6" s="80">
        <v>83701</v>
      </c>
      <c r="D6" s="73"/>
      <c r="E6" s="80">
        <v>133200</v>
      </c>
      <c r="F6" s="73"/>
      <c r="G6" s="192">
        <v>9956</v>
      </c>
      <c r="H6" s="73"/>
      <c r="I6" s="193">
        <v>22450</v>
      </c>
      <c r="J6" s="73"/>
      <c r="K6" s="80">
        <v>44711</v>
      </c>
      <c r="L6" s="73"/>
      <c r="M6" s="175"/>
      <c r="N6" s="175"/>
      <c r="O6" s="80">
        <v>46717</v>
      </c>
      <c r="P6" s="73"/>
      <c r="R6" s="104"/>
      <c r="S6" s="95"/>
    </row>
    <row r="7" spans="1:19" s="2" customFormat="1" ht="39.950000000000003" customHeight="1">
      <c r="A7" s="186">
        <v>44835</v>
      </c>
      <c r="B7" s="15"/>
      <c r="C7" s="71">
        <v>83869</v>
      </c>
      <c r="D7" s="73">
        <f>(C7-C6)</f>
        <v>168</v>
      </c>
      <c r="E7" s="71">
        <v>133515</v>
      </c>
      <c r="F7" s="73">
        <f>(E7-E6)</f>
        <v>315</v>
      </c>
      <c r="G7" s="81">
        <v>9969.0220000000008</v>
      </c>
      <c r="H7" s="175">
        <f>(G7-G6)</f>
        <v>13.022000000000844</v>
      </c>
      <c r="I7" s="71">
        <v>22535</v>
      </c>
      <c r="J7" s="73">
        <f>(I7-I6)</f>
        <v>85</v>
      </c>
      <c r="K7" s="71">
        <v>44866</v>
      </c>
      <c r="L7" s="73">
        <f t="shared" ref="L7:L35" si="0">(K7-K6)</f>
        <v>155</v>
      </c>
      <c r="M7" s="74">
        <f>L7*55%</f>
        <v>85.25</v>
      </c>
      <c r="N7" s="74">
        <f>L7*45%</f>
        <v>69.75</v>
      </c>
      <c r="O7" s="71">
        <v>46848</v>
      </c>
      <c r="P7" s="73">
        <f>(O7-O6)</f>
        <v>131</v>
      </c>
      <c r="R7" s="104">
        <f t="shared" ref="R7:R34" si="1">SUM(D7,F7,M71,H7)</f>
        <v>496.02200000000084</v>
      </c>
      <c r="S7" s="95">
        <f>SUM(N7,P7)</f>
        <v>200.75</v>
      </c>
    </row>
    <row r="8" spans="1:19" ht="39.950000000000003" customHeight="1">
      <c r="A8" s="186">
        <f>SUM(A7+1)</f>
        <v>44836</v>
      </c>
      <c r="B8" s="16"/>
      <c r="C8" s="71">
        <v>84061</v>
      </c>
      <c r="D8" s="73">
        <f t="shared" ref="D8:D35" si="2">(C8-C7)</f>
        <v>192</v>
      </c>
      <c r="E8" s="71">
        <v>133861</v>
      </c>
      <c r="F8" s="73">
        <f t="shared" ref="F8:F35" si="3">(E8-E7)</f>
        <v>346</v>
      </c>
      <c r="G8" s="81">
        <v>9969.4220000000005</v>
      </c>
      <c r="H8" s="175">
        <f t="shared" ref="H8:H35" si="4">(G8-G7)</f>
        <v>0.3999999999996362</v>
      </c>
      <c r="I8" s="71">
        <v>22556</v>
      </c>
      <c r="J8" s="73">
        <f t="shared" ref="J8:J35" si="5">(I8-I7)</f>
        <v>21</v>
      </c>
      <c r="K8" s="71">
        <v>45058</v>
      </c>
      <c r="L8" s="73">
        <f t="shared" si="0"/>
        <v>192</v>
      </c>
      <c r="M8" s="74">
        <f t="shared" ref="M8:M37" si="6">L8*55%</f>
        <v>105.60000000000001</v>
      </c>
      <c r="N8" s="74">
        <f t="shared" ref="N8:N37" si="7">L8*45%</f>
        <v>86.4</v>
      </c>
      <c r="O8" s="71">
        <v>46984</v>
      </c>
      <c r="P8" s="73">
        <f t="shared" ref="P8:P35" si="8">(O8-O7)</f>
        <v>136</v>
      </c>
      <c r="R8" s="104">
        <f t="shared" si="1"/>
        <v>538.39999999999964</v>
      </c>
      <c r="S8" s="95">
        <f t="shared" ref="S8:S37" si="9">SUM(N8,P8)</f>
        <v>222.4</v>
      </c>
    </row>
    <row r="9" spans="1:19" ht="39.950000000000003" customHeight="1">
      <c r="A9" s="186">
        <f t="shared" ref="A9:A37" si="10">SUM(A8+1)</f>
        <v>44837</v>
      </c>
      <c r="B9" s="16"/>
      <c r="C9" s="71">
        <v>84207</v>
      </c>
      <c r="D9" s="73">
        <f t="shared" si="2"/>
        <v>146</v>
      </c>
      <c r="E9" s="71">
        <v>134135</v>
      </c>
      <c r="F9" s="73">
        <f t="shared" si="3"/>
        <v>274</v>
      </c>
      <c r="G9" s="81">
        <v>9977</v>
      </c>
      <c r="H9" s="175">
        <f t="shared" si="4"/>
        <v>7.5779999999995198</v>
      </c>
      <c r="I9" s="71">
        <v>22578</v>
      </c>
      <c r="J9" s="73">
        <f t="shared" si="5"/>
        <v>22</v>
      </c>
      <c r="K9" s="71">
        <v>45235</v>
      </c>
      <c r="L9" s="73">
        <f t="shared" si="0"/>
        <v>177</v>
      </c>
      <c r="M9" s="74">
        <f t="shared" si="6"/>
        <v>97.350000000000009</v>
      </c>
      <c r="N9" s="74">
        <f t="shared" si="7"/>
        <v>79.650000000000006</v>
      </c>
      <c r="O9" s="71">
        <v>47107</v>
      </c>
      <c r="P9" s="73">
        <f t="shared" si="8"/>
        <v>123</v>
      </c>
      <c r="R9" s="104">
        <f t="shared" si="1"/>
        <v>427.57799999999952</v>
      </c>
      <c r="S9" s="95">
        <f t="shared" si="9"/>
        <v>202.65</v>
      </c>
    </row>
    <row r="10" spans="1:19" ht="39.950000000000003" customHeight="1">
      <c r="A10" s="186">
        <f t="shared" si="10"/>
        <v>44838</v>
      </c>
      <c r="B10" s="16"/>
      <c r="C10" s="71">
        <v>84347</v>
      </c>
      <c r="D10" s="73">
        <f t="shared" si="2"/>
        <v>140</v>
      </c>
      <c r="E10" s="71">
        <v>134415</v>
      </c>
      <c r="F10" s="73">
        <f t="shared" si="3"/>
        <v>280</v>
      </c>
      <c r="G10" s="81">
        <v>9979.4181000000008</v>
      </c>
      <c r="H10" s="175">
        <f t="shared" si="4"/>
        <v>2.4181000000007771</v>
      </c>
      <c r="I10" s="81">
        <v>22601</v>
      </c>
      <c r="J10" s="73">
        <f t="shared" si="5"/>
        <v>23</v>
      </c>
      <c r="K10" s="71">
        <v>45408</v>
      </c>
      <c r="L10" s="73">
        <f t="shared" si="0"/>
        <v>173</v>
      </c>
      <c r="M10" s="74">
        <f t="shared" si="6"/>
        <v>95.15</v>
      </c>
      <c r="N10" s="74">
        <f t="shared" si="7"/>
        <v>77.850000000000009</v>
      </c>
      <c r="O10" s="71">
        <v>47257</v>
      </c>
      <c r="P10" s="73">
        <f t="shared" si="8"/>
        <v>150</v>
      </c>
      <c r="R10" s="104">
        <f t="shared" si="1"/>
        <v>422.41810000000078</v>
      </c>
      <c r="S10" s="95">
        <f t="shared" si="9"/>
        <v>227.85000000000002</v>
      </c>
    </row>
    <row r="11" spans="1:19" ht="39.950000000000003" customHeight="1">
      <c r="A11" s="186">
        <f t="shared" si="10"/>
        <v>44839</v>
      </c>
      <c r="B11" s="16"/>
      <c r="C11" s="71">
        <v>84488</v>
      </c>
      <c r="D11" s="73">
        <f t="shared" si="2"/>
        <v>141</v>
      </c>
      <c r="E11" s="71">
        <v>134705</v>
      </c>
      <c r="F11" s="73">
        <f t="shared" si="3"/>
        <v>290</v>
      </c>
      <c r="G11" s="81">
        <v>9995.9629999999997</v>
      </c>
      <c r="H11" s="175">
        <f t="shared" si="4"/>
        <v>16.544899999998961</v>
      </c>
      <c r="I11" s="81">
        <v>22625</v>
      </c>
      <c r="J11" s="73">
        <f t="shared" si="5"/>
        <v>24</v>
      </c>
      <c r="K11" s="71">
        <v>45535</v>
      </c>
      <c r="L11" s="73">
        <f t="shared" si="0"/>
        <v>127</v>
      </c>
      <c r="M11" s="74">
        <f t="shared" si="6"/>
        <v>69.850000000000009</v>
      </c>
      <c r="N11" s="74">
        <f t="shared" si="7"/>
        <v>57.15</v>
      </c>
      <c r="O11" s="71">
        <v>47391</v>
      </c>
      <c r="P11" s="73">
        <f t="shared" si="8"/>
        <v>134</v>
      </c>
      <c r="R11" s="104">
        <f t="shared" si="1"/>
        <v>447.54489999999896</v>
      </c>
      <c r="S11" s="95">
        <f t="shared" si="9"/>
        <v>191.15</v>
      </c>
    </row>
    <row r="12" spans="1:19" ht="39.950000000000003" customHeight="1">
      <c r="A12" s="186">
        <f t="shared" si="10"/>
        <v>44840</v>
      </c>
      <c r="B12" s="16"/>
      <c r="C12" s="71">
        <v>84610</v>
      </c>
      <c r="D12" s="73">
        <f t="shared" si="2"/>
        <v>122</v>
      </c>
      <c r="E12" s="71">
        <v>135022</v>
      </c>
      <c r="F12" s="73">
        <f t="shared" si="3"/>
        <v>317</v>
      </c>
      <c r="G12" s="81">
        <v>12.81</v>
      </c>
      <c r="H12" s="175">
        <v>17</v>
      </c>
      <c r="I12" s="81">
        <v>22649</v>
      </c>
      <c r="J12" s="73">
        <f t="shared" si="5"/>
        <v>24</v>
      </c>
      <c r="K12" s="71">
        <v>45687</v>
      </c>
      <c r="L12" s="73">
        <f t="shared" si="0"/>
        <v>152</v>
      </c>
      <c r="M12" s="74">
        <f t="shared" si="6"/>
        <v>83.600000000000009</v>
      </c>
      <c r="N12" s="74">
        <f t="shared" si="7"/>
        <v>68.400000000000006</v>
      </c>
      <c r="O12" s="71">
        <v>47547</v>
      </c>
      <c r="P12" s="73">
        <f t="shared" si="8"/>
        <v>156</v>
      </c>
      <c r="R12" s="104">
        <f t="shared" si="1"/>
        <v>456</v>
      </c>
      <c r="S12" s="95">
        <f t="shared" si="9"/>
        <v>224.4</v>
      </c>
    </row>
    <row r="13" spans="1:19" ht="39.950000000000003" customHeight="1">
      <c r="A13" s="186">
        <f t="shared" si="10"/>
        <v>44841</v>
      </c>
      <c r="B13" s="16"/>
      <c r="C13" s="71">
        <v>84725</v>
      </c>
      <c r="D13" s="73">
        <f t="shared" si="2"/>
        <v>115</v>
      </c>
      <c r="E13" s="71">
        <v>135349</v>
      </c>
      <c r="F13" s="73">
        <f t="shared" si="3"/>
        <v>327</v>
      </c>
      <c r="G13" s="81">
        <v>30.08</v>
      </c>
      <c r="H13" s="175">
        <f t="shared" si="4"/>
        <v>17.269999999999996</v>
      </c>
      <c r="I13" s="81">
        <v>22671</v>
      </c>
      <c r="J13" s="73">
        <f t="shared" si="5"/>
        <v>22</v>
      </c>
      <c r="K13" s="71">
        <v>45839</v>
      </c>
      <c r="L13" s="73">
        <f t="shared" si="0"/>
        <v>152</v>
      </c>
      <c r="M13" s="74">
        <f t="shared" si="6"/>
        <v>83.600000000000009</v>
      </c>
      <c r="N13" s="74">
        <f t="shared" si="7"/>
        <v>68.400000000000006</v>
      </c>
      <c r="O13" s="71">
        <v>47672</v>
      </c>
      <c r="P13" s="73">
        <f t="shared" si="8"/>
        <v>125</v>
      </c>
      <c r="R13" s="104">
        <f t="shared" si="1"/>
        <v>459.27</v>
      </c>
      <c r="S13" s="95">
        <f t="shared" si="9"/>
        <v>193.4</v>
      </c>
    </row>
    <row r="14" spans="1:19" ht="39.950000000000003" customHeight="1">
      <c r="A14" s="186">
        <f t="shared" si="10"/>
        <v>44842</v>
      </c>
      <c r="B14" s="16"/>
      <c r="C14" s="71">
        <v>84859</v>
      </c>
      <c r="D14" s="73">
        <f t="shared" si="2"/>
        <v>134</v>
      </c>
      <c r="E14" s="71">
        <v>135666</v>
      </c>
      <c r="F14" s="73">
        <f t="shared" si="3"/>
        <v>317</v>
      </c>
      <c r="G14" s="81">
        <v>46.075000000000003</v>
      </c>
      <c r="H14" s="175">
        <f t="shared" si="4"/>
        <v>15.995000000000005</v>
      </c>
      <c r="I14" s="81">
        <v>22723</v>
      </c>
      <c r="J14" s="73">
        <f t="shared" si="5"/>
        <v>52</v>
      </c>
      <c r="K14" s="71">
        <v>46003</v>
      </c>
      <c r="L14" s="73">
        <f t="shared" si="0"/>
        <v>164</v>
      </c>
      <c r="M14" s="74">
        <f t="shared" si="6"/>
        <v>90.2</v>
      </c>
      <c r="N14" s="74">
        <f t="shared" si="7"/>
        <v>73.8</v>
      </c>
      <c r="O14" s="71">
        <v>47809</v>
      </c>
      <c r="P14" s="73">
        <f t="shared" si="8"/>
        <v>137</v>
      </c>
      <c r="R14" s="104">
        <f t="shared" si="1"/>
        <v>466.995</v>
      </c>
      <c r="S14" s="95">
        <f t="shared" si="9"/>
        <v>210.8</v>
      </c>
    </row>
    <row r="15" spans="1:19" ht="39.950000000000003" customHeight="1">
      <c r="A15" s="186">
        <f t="shared" si="10"/>
        <v>44843</v>
      </c>
      <c r="B15" s="16"/>
      <c r="C15" s="71">
        <v>85025</v>
      </c>
      <c r="D15" s="73">
        <f t="shared" si="2"/>
        <v>166</v>
      </c>
      <c r="E15" s="71">
        <v>136035</v>
      </c>
      <c r="F15" s="73">
        <f t="shared" si="3"/>
        <v>369</v>
      </c>
      <c r="G15" s="81">
        <v>62.985999999999997</v>
      </c>
      <c r="H15" s="175">
        <f t="shared" si="4"/>
        <v>16.910999999999994</v>
      </c>
      <c r="I15" s="81">
        <v>22778</v>
      </c>
      <c r="J15" s="73">
        <f t="shared" si="5"/>
        <v>55</v>
      </c>
      <c r="K15" s="71">
        <v>46178</v>
      </c>
      <c r="L15" s="73">
        <f t="shared" si="0"/>
        <v>175</v>
      </c>
      <c r="M15" s="74">
        <f t="shared" si="6"/>
        <v>96.250000000000014</v>
      </c>
      <c r="N15" s="74">
        <f t="shared" si="7"/>
        <v>78.75</v>
      </c>
      <c r="O15" s="71">
        <v>47956</v>
      </c>
      <c r="P15" s="73">
        <f t="shared" si="8"/>
        <v>147</v>
      </c>
      <c r="R15" s="104">
        <f t="shared" si="1"/>
        <v>551.91099999999994</v>
      </c>
      <c r="S15" s="95">
        <f t="shared" si="9"/>
        <v>225.75</v>
      </c>
    </row>
    <row r="16" spans="1:19" ht="39.950000000000003" customHeight="1">
      <c r="A16" s="186">
        <f t="shared" si="10"/>
        <v>44844</v>
      </c>
      <c r="B16" s="16"/>
      <c r="C16" s="81">
        <v>85177</v>
      </c>
      <c r="D16" s="73">
        <f t="shared" si="2"/>
        <v>152</v>
      </c>
      <c r="E16" s="81">
        <v>136378</v>
      </c>
      <c r="F16" s="73">
        <f t="shared" si="3"/>
        <v>343</v>
      </c>
      <c r="G16" s="81">
        <v>80</v>
      </c>
      <c r="H16" s="175">
        <f t="shared" si="4"/>
        <v>17.014000000000003</v>
      </c>
      <c r="I16" s="71">
        <v>22815</v>
      </c>
      <c r="J16" s="73">
        <f t="shared" si="5"/>
        <v>37</v>
      </c>
      <c r="K16" s="71">
        <v>46343</v>
      </c>
      <c r="L16" s="73">
        <f t="shared" si="0"/>
        <v>165</v>
      </c>
      <c r="M16" s="74">
        <f t="shared" si="6"/>
        <v>90.750000000000014</v>
      </c>
      <c r="N16" s="74">
        <f t="shared" si="7"/>
        <v>74.25</v>
      </c>
      <c r="O16" s="71">
        <v>48096</v>
      </c>
      <c r="P16" s="73">
        <f t="shared" si="8"/>
        <v>140</v>
      </c>
      <c r="R16" s="104">
        <f t="shared" si="1"/>
        <v>512.01400000000001</v>
      </c>
      <c r="S16" s="95">
        <f t="shared" si="9"/>
        <v>214.25</v>
      </c>
    </row>
    <row r="17" spans="1:19" ht="39.950000000000003" customHeight="1">
      <c r="A17" s="186">
        <f t="shared" si="10"/>
        <v>44845</v>
      </c>
      <c r="B17" s="16"/>
      <c r="C17" s="71">
        <v>85307</v>
      </c>
      <c r="D17" s="73">
        <f t="shared" si="2"/>
        <v>130</v>
      </c>
      <c r="E17" s="71">
        <v>136645</v>
      </c>
      <c r="F17" s="73">
        <f t="shared" si="3"/>
        <v>267</v>
      </c>
      <c r="G17" s="81">
        <v>98.6</v>
      </c>
      <c r="H17" s="175">
        <f t="shared" si="4"/>
        <v>18.599999999999994</v>
      </c>
      <c r="I17" s="71">
        <v>22844</v>
      </c>
      <c r="J17" s="73">
        <f t="shared" si="5"/>
        <v>29</v>
      </c>
      <c r="K17" s="71">
        <v>46509</v>
      </c>
      <c r="L17" s="73">
        <f t="shared" si="0"/>
        <v>166</v>
      </c>
      <c r="M17" s="74">
        <f t="shared" si="6"/>
        <v>91.300000000000011</v>
      </c>
      <c r="N17" s="74">
        <f t="shared" si="7"/>
        <v>74.7</v>
      </c>
      <c r="O17" s="71">
        <v>48233</v>
      </c>
      <c r="P17" s="73">
        <f t="shared" si="8"/>
        <v>137</v>
      </c>
      <c r="R17" s="104">
        <f t="shared" si="1"/>
        <v>415.6</v>
      </c>
      <c r="S17" s="95">
        <f t="shared" si="9"/>
        <v>211.7</v>
      </c>
    </row>
    <row r="18" spans="1:19" ht="39.950000000000003" customHeight="1">
      <c r="A18" s="186">
        <f t="shared" si="10"/>
        <v>44846</v>
      </c>
      <c r="B18" s="16"/>
      <c r="C18" s="71">
        <v>85432</v>
      </c>
      <c r="D18" s="73">
        <f t="shared" si="2"/>
        <v>125</v>
      </c>
      <c r="E18" s="71">
        <v>136951</v>
      </c>
      <c r="F18" s="73">
        <f t="shared" si="3"/>
        <v>306</v>
      </c>
      <c r="G18" s="81">
        <v>116</v>
      </c>
      <c r="H18" s="175">
        <f t="shared" si="4"/>
        <v>17.400000000000006</v>
      </c>
      <c r="I18" s="71">
        <v>22881</v>
      </c>
      <c r="J18" s="73">
        <f t="shared" si="5"/>
        <v>37</v>
      </c>
      <c r="K18" s="71">
        <v>46665</v>
      </c>
      <c r="L18" s="73">
        <f t="shared" si="0"/>
        <v>156</v>
      </c>
      <c r="M18" s="74">
        <f t="shared" si="6"/>
        <v>85.800000000000011</v>
      </c>
      <c r="N18" s="74">
        <f t="shared" si="7"/>
        <v>70.2</v>
      </c>
      <c r="O18" s="71">
        <v>48365</v>
      </c>
      <c r="P18" s="73">
        <f t="shared" si="8"/>
        <v>132</v>
      </c>
      <c r="R18" s="104">
        <f t="shared" si="1"/>
        <v>448.4</v>
      </c>
      <c r="S18" s="95">
        <f t="shared" si="9"/>
        <v>202.2</v>
      </c>
    </row>
    <row r="19" spans="1:19" s="77" customFormat="1" ht="39.950000000000003" customHeight="1">
      <c r="A19" s="186">
        <f t="shared" si="10"/>
        <v>44847</v>
      </c>
      <c r="B19" s="79"/>
      <c r="C19" s="71">
        <v>85552</v>
      </c>
      <c r="D19" s="73">
        <f t="shared" si="2"/>
        <v>120</v>
      </c>
      <c r="E19" s="71">
        <v>137242</v>
      </c>
      <c r="F19" s="73">
        <f t="shared" si="3"/>
        <v>291</v>
      </c>
      <c r="G19" s="81">
        <v>133.4</v>
      </c>
      <c r="H19" s="175">
        <f t="shared" si="4"/>
        <v>17.400000000000006</v>
      </c>
      <c r="I19" s="71">
        <v>22913</v>
      </c>
      <c r="J19" s="73">
        <f t="shared" si="5"/>
        <v>32</v>
      </c>
      <c r="K19" s="71">
        <v>46818</v>
      </c>
      <c r="L19" s="73">
        <f t="shared" si="0"/>
        <v>153</v>
      </c>
      <c r="M19" s="74">
        <f t="shared" si="6"/>
        <v>84.15</v>
      </c>
      <c r="N19" s="74">
        <f t="shared" si="7"/>
        <v>68.850000000000009</v>
      </c>
      <c r="O19" s="71">
        <v>48502</v>
      </c>
      <c r="P19" s="73">
        <f t="shared" si="8"/>
        <v>137</v>
      </c>
      <c r="R19" s="161">
        <f t="shared" si="1"/>
        <v>428.4</v>
      </c>
      <c r="S19" s="103">
        <f t="shared" si="9"/>
        <v>205.85000000000002</v>
      </c>
    </row>
    <row r="20" spans="1:19" s="77" customFormat="1" ht="39.950000000000003" customHeight="1">
      <c r="A20" s="186">
        <f t="shared" si="10"/>
        <v>44848</v>
      </c>
      <c r="B20" s="79"/>
      <c r="C20" s="71">
        <v>85681</v>
      </c>
      <c r="D20" s="73">
        <f t="shared" si="2"/>
        <v>129</v>
      </c>
      <c r="E20" s="71">
        <v>137565</v>
      </c>
      <c r="F20" s="73">
        <f t="shared" si="3"/>
        <v>323</v>
      </c>
      <c r="G20" s="81">
        <v>150</v>
      </c>
      <c r="H20" s="175">
        <f t="shared" si="4"/>
        <v>16.599999999999994</v>
      </c>
      <c r="I20" s="71">
        <v>22944</v>
      </c>
      <c r="J20" s="73">
        <f t="shared" si="5"/>
        <v>31</v>
      </c>
      <c r="K20" s="71">
        <v>46958</v>
      </c>
      <c r="L20" s="73">
        <f t="shared" si="0"/>
        <v>140</v>
      </c>
      <c r="M20" s="74">
        <f t="shared" si="6"/>
        <v>77</v>
      </c>
      <c r="N20" s="74">
        <f t="shared" si="7"/>
        <v>63</v>
      </c>
      <c r="O20" s="71">
        <v>48574</v>
      </c>
      <c r="P20" s="73">
        <f t="shared" si="8"/>
        <v>72</v>
      </c>
      <c r="R20" s="161">
        <f t="shared" si="1"/>
        <v>468.6</v>
      </c>
      <c r="S20" s="103">
        <f t="shared" si="9"/>
        <v>135</v>
      </c>
    </row>
    <row r="21" spans="1:19" s="77" customFormat="1" ht="39.950000000000003" customHeight="1">
      <c r="A21" s="186">
        <f t="shared" si="10"/>
        <v>44849</v>
      </c>
      <c r="B21" s="79"/>
      <c r="C21" s="72">
        <v>85815</v>
      </c>
      <c r="D21" s="73">
        <f t="shared" si="2"/>
        <v>134</v>
      </c>
      <c r="E21" s="72">
        <v>137862</v>
      </c>
      <c r="F21" s="73">
        <f t="shared" si="3"/>
        <v>297</v>
      </c>
      <c r="G21" s="80">
        <v>167</v>
      </c>
      <c r="H21" s="175">
        <f t="shared" si="4"/>
        <v>17</v>
      </c>
      <c r="I21" s="71">
        <v>22979</v>
      </c>
      <c r="J21" s="73">
        <f t="shared" si="5"/>
        <v>35</v>
      </c>
      <c r="K21" s="72">
        <v>47101</v>
      </c>
      <c r="L21" s="73">
        <f t="shared" si="0"/>
        <v>143</v>
      </c>
      <c r="M21" s="74">
        <f t="shared" si="6"/>
        <v>78.650000000000006</v>
      </c>
      <c r="N21" s="74">
        <f t="shared" si="7"/>
        <v>64.350000000000009</v>
      </c>
      <c r="O21" s="72">
        <v>48771</v>
      </c>
      <c r="P21" s="73">
        <f t="shared" si="8"/>
        <v>197</v>
      </c>
      <c r="R21" s="161">
        <f t="shared" si="1"/>
        <v>448</v>
      </c>
      <c r="S21" s="103">
        <f t="shared" si="9"/>
        <v>261.35000000000002</v>
      </c>
    </row>
    <row r="22" spans="1:19" s="77" customFormat="1" ht="39.950000000000003" customHeight="1">
      <c r="A22" s="186">
        <f t="shared" si="10"/>
        <v>44850</v>
      </c>
      <c r="B22" s="79"/>
      <c r="C22" s="72">
        <v>85961</v>
      </c>
      <c r="D22" s="73">
        <f t="shared" si="2"/>
        <v>146</v>
      </c>
      <c r="E22" s="72">
        <v>138162</v>
      </c>
      <c r="F22" s="73">
        <f t="shared" si="3"/>
        <v>300</v>
      </c>
      <c r="G22" s="80">
        <v>185</v>
      </c>
      <c r="H22" s="175">
        <f t="shared" si="4"/>
        <v>18</v>
      </c>
      <c r="I22" s="81">
        <v>23018</v>
      </c>
      <c r="J22" s="73">
        <f t="shared" si="5"/>
        <v>39</v>
      </c>
      <c r="K22" s="72">
        <v>47258</v>
      </c>
      <c r="L22" s="73">
        <f t="shared" si="0"/>
        <v>157</v>
      </c>
      <c r="M22" s="74">
        <f t="shared" si="6"/>
        <v>86.350000000000009</v>
      </c>
      <c r="N22" s="74">
        <f t="shared" si="7"/>
        <v>70.650000000000006</v>
      </c>
      <c r="O22" s="72">
        <v>48901</v>
      </c>
      <c r="P22" s="73">
        <f t="shared" si="8"/>
        <v>130</v>
      </c>
      <c r="R22" s="161">
        <f t="shared" si="1"/>
        <v>464</v>
      </c>
      <c r="S22" s="103">
        <f t="shared" si="9"/>
        <v>200.65</v>
      </c>
    </row>
    <row r="23" spans="1:19" s="77" customFormat="1" ht="39.950000000000003" customHeight="1">
      <c r="A23" s="186">
        <f t="shared" si="10"/>
        <v>44851</v>
      </c>
      <c r="B23" s="79"/>
      <c r="C23" s="72">
        <v>86124</v>
      </c>
      <c r="D23" s="73">
        <f t="shared" si="2"/>
        <v>163</v>
      </c>
      <c r="E23" s="72">
        <v>138485</v>
      </c>
      <c r="F23" s="73">
        <f t="shared" si="3"/>
        <v>323</v>
      </c>
      <c r="G23" s="80">
        <v>206</v>
      </c>
      <c r="H23" s="175">
        <f t="shared" si="4"/>
        <v>21</v>
      </c>
      <c r="I23" s="71">
        <v>23058</v>
      </c>
      <c r="J23" s="73">
        <f t="shared" si="5"/>
        <v>40</v>
      </c>
      <c r="K23" s="72">
        <v>47398</v>
      </c>
      <c r="L23" s="73">
        <f t="shared" si="0"/>
        <v>140</v>
      </c>
      <c r="M23" s="74">
        <f t="shared" si="6"/>
        <v>77</v>
      </c>
      <c r="N23" s="74">
        <f t="shared" si="7"/>
        <v>63</v>
      </c>
      <c r="O23" s="72">
        <v>49024</v>
      </c>
      <c r="P23" s="73">
        <f t="shared" si="8"/>
        <v>123</v>
      </c>
      <c r="R23" s="161">
        <f t="shared" si="1"/>
        <v>507</v>
      </c>
      <c r="S23" s="103">
        <f t="shared" si="9"/>
        <v>186</v>
      </c>
    </row>
    <row r="24" spans="1:19" s="77" customFormat="1" ht="39.950000000000003" customHeight="1">
      <c r="A24" s="186">
        <f t="shared" si="10"/>
        <v>44852</v>
      </c>
      <c r="B24" s="79"/>
      <c r="C24" s="72">
        <v>86261</v>
      </c>
      <c r="D24" s="73">
        <f t="shared" si="2"/>
        <v>137</v>
      </c>
      <c r="E24" s="72">
        <v>138782</v>
      </c>
      <c r="F24" s="73">
        <f t="shared" si="3"/>
        <v>297</v>
      </c>
      <c r="G24" s="80">
        <v>226</v>
      </c>
      <c r="H24" s="175">
        <f t="shared" si="4"/>
        <v>20</v>
      </c>
      <c r="I24" s="71">
        <v>23084</v>
      </c>
      <c r="J24" s="73">
        <f t="shared" si="5"/>
        <v>26</v>
      </c>
      <c r="K24" s="72">
        <v>47570</v>
      </c>
      <c r="L24" s="73">
        <f t="shared" si="0"/>
        <v>172</v>
      </c>
      <c r="M24" s="74">
        <f t="shared" si="6"/>
        <v>94.600000000000009</v>
      </c>
      <c r="N24" s="74">
        <f t="shared" si="7"/>
        <v>77.400000000000006</v>
      </c>
      <c r="O24" s="72">
        <v>49162</v>
      </c>
      <c r="P24" s="73">
        <f t="shared" si="8"/>
        <v>138</v>
      </c>
      <c r="R24" s="161">
        <f t="shared" si="1"/>
        <v>454</v>
      </c>
      <c r="S24" s="103">
        <f t="shared" si="9"/>
        <v>215.4</v>
      </c>
    </row>
    <row r="25" spans="1:19" s="77" customFormat="1" ht="39.950000000000003" customHeight="1">
      <c r="A25" s="186">
        <f t="shared" si="10"/>
        <v>44853</v>
      </c>
      <c r="B25" s="79"/>
      <c r="C25" s="72">
        <v>86382</v>
      </c>
      <c r="D25" s="73">
        <f t="shared" si="2"/>
        <v>121</v>
      </c>
      <c r="E25" s="72">
        <v>139075</v>
      </c>
      <c r="F25" s="73">
        <f t="shared" si="3"/>
        <v>293</v>
      </c>
      <c r="G25" s="80">
        <v>241</v>
      </c>
      <c r="H25" s="175">
        <f t="shared" si="4"/>
        <v>15</v>
      </c>
      <c r="I25" s="71">
        <v>23115</v>
      </c>
      <c r="J25" s="73">
        <f t="shared" si="5"/>
        <v>31</v>
      </c>
      <c r="K25" s="72">
        <v>47722</v>
      </c>
      <c r="L25" s="73">
        <f t="shared" si="0"/>
        <v>152</v>
      </c>
      <c r="M25" s="74">
        <f t="shared" si="6"/>
        <v>83.600000000000009</v>
      </c>
      <c r="N25" s="74">
        <f t="shared" si="7"/>
        <v>68.400000000000006</v>
      </c>
      <c r="O25" s="72">
        <v>49300</v>
      </c>
      <c r="P25" s="73">
        <f t="shared" si="8"/>
        <v>138</v>
      </c>
      <c r="R25" s="161">
        <f t="shared" si="1"/>
        <v>429</v>
      </c>
      <c r="S25" s="103">
        <f t="shared" si="9"/>
        <v>206.4</v>
      </c>
    </row>
    <row r="26" spans="1:19" ht="39.950000000000003" customHeight="1">
      <c r="A26" s="186">
        <f t="shared" si="10"/>
        <v>44854</v>
      </c>
      <c r="B26" s="79"/>
      <c r="C26" s="72">
        <v>86507</v>
      </c>
      <c r="D26" s="73">
        <f t="shared" si="2"/>
        <v>125</v>
      </c>
      <c r="E26" s="72">
        <v>139407</v>
      </c>
      <c r="F26" s="73">
        <f t="shared" si="3"/>
        <v>332</v>
      </c>
      <c r="G26" s="80">
        <v>260</v>
      </c>
      <c r="H26" s="175">
        <f t="shared" si="4"/>
        <v>19</v>
      </c>
      <c r="I26" s="71">
        <v>23135</v>
      </c>
      <c r="J26" s="73">
        <f t="shared" si="5"/>
        <v>20</v>
      </c>
      <c r="K26" s="72">
        <v>47868</v>
      </c>
      <c r="L26" s="73">
        <f t="shared" si="0"/>
        <v>146</v>
      </c>
      <c r="M26" s="74">
        <f t="shared" si="6"/>
        <v>80.300000000000011</v>
      </c>
      <c r="N26" s="74">
        <f t="shared" si="7"/>
        <v>65.7</v>
      </c>
      <c r="O26" s="72">
        <v>49435</v>
      </c>
      <c r="P26" s="73">
        <f t="shared" si="8"/>
        <v>135</v>
      </c>
      <c r="R26" s="104">
        <f t="shared" si="1"/>
        <v>476</v>
      </c>
      <c r="S26" s="95">
        <f t="shared" si="9"/>
        <v>200.7</v>
      </c>
    </row>
    <row r="27" spans="1:19" ht="39.950000000000003" customHeight="1">
      <c r="A27" s="186">
        <f t="shared" si="10"/>
        <v>44855</v>
      </c>
      <c r="B27" s="79"/>
      <c r="C27" s="72">
        <v>86664</v>
      </c>
      <c r="D27" s="73">
        <f t="shared" si="2"/>
        <v>157</v>
      </c>
      <c r="E27" s="72">
        <v>139730</v>
      </c>
      <c r="F27" s="73">
        <f t="shared" si="3"/>
        <v>323</v>
      </c>
      <c r="G27" s="80">
        <v>281</v>
      </c>
      <c r="H27" s="175">
        <f t="shared" si="4"/>
        <v>21</v>
      </c>
      <c r="I27" s="71">
        <v>23168</v>
      </c>
      <c r="J27" s="73">
        <f t="shared" si="5"/>
        <v>33</v>
      </c>
      <c r="K27" s="72">
        <v>48024</v>
      </c>
      <c r="L27" s="73">
        <f t="shared" si="0"/>
        <v>156</v>
      </c>
      <c r="M27" s="74">
        <f t="shared" si="6"/>
        <v>85.800000000000011</v>
      </c>
      <c r="N27" s="74">
        <f t="shared" si="7"/>
        <v>70.2</v>
      </c>
      <c r="O27" s="72">
        <v>49604</v>
      </c>
      <c r="P27" s="73">
        <f t="shared" si="8"/>
        <v>169</v>
      </c>
      <c r="R27" s="104">
        <f t="shared" si="1"/>
        <v>501</v>
      </c>
      <c r="S27" s="95">
        <f t="shared" si="9"/>
        <v>239.2</v>
      </c>
    </row>
    <row r="28" spans="1:19" ht="39.950000000000003" customHeight="1">
      <c r="A28" s="186">
        <f t="shared" si="10"/>
        <v>44856</v>
      </c>
      <c r="B28" s="79"/>
      <c r="C28" s="72">
        <v>86818</v>
      </c>
      <c r="D28" s="73">
        <f t="shared" si="2"/>
        <v>154</v>
      </c>
      <c r="E28" s="72">
        <v>140049</v>
      </c>
      <c r="F28" s="73">
        <f t="shared" si="3"/>
        <v>319</v>
      </c>
      <c r="G28" s="80"/>
      <c r="H28" s="175">
        <f t="shared" si="4"/>
        <v>-281</v>
      </c>
      <c r="I28" s="72"/>
      <c r="J28" s="73">
        <f t="shared" si="5"/>
        <v>-23168</v>
      </c>
      <c r="K28" s="72">
        <v>48180</v>
      </c>
      <c r="L28" s="73">
        <f t="shared" si="0"/>
        <v>156</v>
      </c>
      <c r="M28" s="74">
        <f t="shared" si="6"/>
        <v>85.800000000000011</v>
      </c>
      <c r="N28" s="74">
        <f t="shared" si="7"/>
        <v>70.2</v>
      </c>
      <c r="O28" s="72">
        <v>49740</v>
      </c>
      <c r="P28" s="73">
        <f t="shared" si="8"/>
        <v>136</v>
      </c>
      <c r="R28" s="104">
        <f t="shared" si="1"/>
        <v>192</v>
      </c>
      <c r="S28" s="95">
        <f t="shared" si="9"/>
        <v>206.2</v>
      </c>
    </row>
    <row r="29" spans="1:19" ht="39.950000000000003" customHeight="1">
      <c r="A29" s="186">
        <f t="shared" si="10"/>
        <v>44857</v>
      </c>
      <c r="B29" s="79"/>
      <c r="C29" s="72">
        <v>86983</v>
      </c>
      <c r="D29" s="73">
        <f t="shared" si="2"/>
        <v>165</v>
      </c>
      <c r="E29" s="72">
        <v>140389</v>
      </c>
      <c r="F29" s="73">
        <f t="shared" si="3"/>
        <v>340</v>
      </c>
      <c r="G29" s="80"/>
      <c r="H29" s="175">
        <f t="shared" si="4"/>
        <v>0</v>
      </c>
      <c r="I29" s="72"/>
      <c r="J29" s="73">
        <f t="shared" si="5"/>
        <v>0</v>
      </c>
      <c r="K29" s="72">
        <v>48338</v>
      </c>
      <c r="L29" s="73">
        <f t="shared" si="0"/>
        <v>158</v>
      </c>
      <c r="M29" s="74">
        <f t="shared" si="6"/>
        <v>86.9</v>
      </c>
      <c r="N29" s="74">
        <f t="shared" si="7"/>
        <v>71.100000000000009</v>
      </c>
      <c r="O29" s="72">
        <v>49893</v>
      </c>
      <c r="P29" s="73">
        <f t="shared" si="8"/>
        <v>153</v>
      </c>
      <c r="R29" s="104">
        <f t="shared" si="1"/>
        <v>505</v>
      </c>
      <c r="S29" s="95">
        <f t="shared" si="9"/>
        <v>224.10000000000002</v>
      </c>
    </row>
    <row r="30" spans="1:19" ht="39.950000000000003" customHeight="1">
      <c r="A30" s="186">
        <f t="shared" si="10"/>
        <v>44858</v>
      </c>
      <c r="B30" s="79"/>
      <c r="C30" s="72">
        <v>87119</v>
      </c>
      <c r="D30" s="73">
        <f t="shared" si="2"/>
        <v>136</v>
      </c>
      <c r="E30" s="72">
        <v>140701</v>
      </c>
      <c r="F30" s="73">
        <f t="shared" si="3"/>
        <v>312</v>
      </c>
      <c r="G30" s="80"/>
      <c r="H30" s="175">
        <f t="shared" si="4"/>
        <v>0</v>
      </c>
      <c r="I30" s="72"/>
      <c r="J30" s="73">
        <f t="shared" si="5"/>
        <v>0</v>
      </c>
      <c r="K30" s="72">
        <v>48494</v>
      </c>
      <c r="L30" s="73">
        <f t="shared" si="0"/>
        <v>156</v>
      </c>
      <c r="M30" s="74">
        <f t="shared" si="6"/>
        <v>85.800000000000011</v>
      </c>
      <c r="N30" s="74">
        <f t="shared" si="7"/>
        <v>70.2</v>
      </c>
      <c r="O30" s="72">
        <v>50025</v>
      </c>
      <c r="P30" s="73">
        <f t="shared" si="8"/>
        <v>132</v>
      </c>
      <c r="R30" s="104">
        <f t="shared" si="1"/>
        <v>448</v>
      </c>
      <c r="S30" s="95">
        <f t="shared" si="9"/>
        <v>202.2</v>
      </c>
    </row>
    <row r="31" spans="1:19" ht="39.950000000000003" customHeight="1">
      <c r="A31" s="186">
        <f t="shared" si="10"/>
        <v>44859</v>
      </c>
      <c r="B31" s="79"/>
      <c r="C31" s="72">
        <v>87250</v>
      </c>
      <c r="D31" s="73">
        <f t="shared" si="2"/>
        <v>131</v>
      </c>
      <c r="E31" s="72">
        <v>140990</v>
      </c>
      <c r="F31" s="73">
        <f t="shared" si="3"/>
        <v>289</v>
      </c>
      <c r="G31" s="80">
        <v>353.44099999999997</v>
      </c>
      <c r="H31" s="175">
        <f t="shared" si="4"/>
        <v>353.44099999999997</v>
      </c>
      <c r="I31" s="72">
        <v>23337</v>
      </c>
      <c r="J31" s="73">
        <f t="shared" si="5"/>
        <v>23337</v>
      </c>
      <c r="K31" s="72">
        <v>48651</v>
      </c>
      <c r="L31" s="73">
        <f t="shared" si="0"/>
        <v>157</v>
      </c>
      <c r="M31" s="74">
        <f t="shared" si="6"/>
        <v>86.350000000000009</v>
      </c>
      <c r="N31" s="74">
        <f t="shared" si="7"/>
        <v>70.650000000000006</v>
      </c>
      <c r="O31" s="72">
        <v>50157</v>
      </c>
      <c r="P31" s="73">
        <f t="shared" si="8"/>
        <v>132</v>
      </c>
      <c r="R31" s="104">
        <f t="shared" si="1"/>
        <v>773.44100000000003</v>
      </c>
      <c r="S31" s="95">
        <f t="shared" si="9"/>
        <v>202.65</v>
      </c>
    </row>
    <row r="32" spans="1:19" ht="39.950000000000003" customHeight="1">
      <c r="A32" s="186">
        <f t="shared" si="10"/>
        <v>44860</v>
      </c>
      <c r="B32" s="79"/>
      <c r="C32" s="72">
        <v>87390</v>
      </c>
      <c r="D32" s="73">
        <f t="shared" si="2"/>
        <v>140</v>
      </c>
      <c r="E32" s="72">
        <v>141296</v>
      </c>
      <c r="F32" s="73">
        <f t="shared" si="3"/>
        <v>306</v>
      </c>
      <c r="G32" s="80"/>
      <c r="H32" s="175">
        <f t="shared" si="4"/>
        <v>-353.44099999999997</v>
      </c>
      <c r="I32" s="72"/>
      <c r="J32" s="73">
        <f t="shared" si="5"/>
        <v>-23337</v>
      </c>
      <c r="K32" s="72">
        <v>48802</v>
      </c>
      <c r="L32" s="73">
        <f t="shared" si="0"/>
        <v>151</v>
      </c>
      <c r="M32" s="74">
        <f t="shared" si="6"/>
        <v>83.050000000000011</v>
      </c>
      <c r="N32" s="74">
        <f t="shared" si="7"/>
        <v>67.95</v>
      </c>
      <c r="O32" s="72">
        <v>50313</v>
      </c>
      <c r="P32" s="73">
        <f t="shared" si="8"/>
        <v>156</v>
      </c>
      <c r="R32" s="104">
        <f t="shared" si="1"/>
        <v>92.559000000000026</v>
      </c>
      <c r="S32" s="95">
        <f t="shared" si="9"/>
        <v>223.95</v>
      </c>
    </row>
    <row r="33" spans="1:19" ht="39.950000000000003" customHeight="1">
      <c r="A33" s="186">
        <f t="shared" si="10"/>
        <v>44861</v>
      </c>
      <c r="B33" s="79"/>
      <c r="C33" s="72">
        <v>87518</v>
      </c>
      <c r="D33" s="73">
        <f t="shared" si="2"/>
        <v>128</v>
      </c>
      <c r="E33" s="72">
        <v>141603</v>
      </c>
      <c r="F33" s="73">
        <f t="shared" si="3"/>
        <v>307</v>
      </c>
      <c r="G33" s="80"/>
      <c r="H33" s="175">
        <f t="shared" si="4"/>
        <v>0</v>
      </c>
      <c r="I33" s="72"/>
      <c r="J33" s="73">
        <f t="shared" si="5"/>
        <v>0</v>
      </c>
      <c r="K33" s="72">
        <v>48961</v>
      </c>
      <c r="L33" s="73">
        <f t="shared" si="0"/>
        <v>159</v>
      </c>
      <c r="M33" s="74">
        <f t="shared" si="6"/>
        <v>87.45</v>
      </c>
      <c r="N33" s="74">
        <f t="shared" si="7"/>
        <v>71.55</v>
      </c>
      <c r="O33" s="72">
        <v>50549</v>
      </c>
      <c r="P33" s="73">
        <f t="shared" si="8"/>
        <v>236</v>
      </c>
      <c r="R33" s="104">
        <f t="shared" si="1"/>
        <v>435</v>
      </c>
      <c r="S33" s="95">
        <f t="shared" si="9"/>
        <v>307.55</v>
      </c>
    </row>
    <row r="34" spans="1:19" ht="39.950000000000003" customHeight="1">
      <c r="A34" s="186">
        <f t="shared" si="10"/>
        <v>44862</v>
      </c>
      <c r="B34" s="79"/>
      <c r="C34" s="72">
        <v>87647</v>
      </c>
      <c r="D34" s="175">
        <f t="shared" si="2"/>
        <v>129</v>
      </c>
      <c r="E34" s="72">
        <v>141923</v>
      </c>
      <c r="F34" s="175">
        <f t="shared" si="3"/>
        <v>320</v>
      </c>
      <c r="G34" s="80"/>
      <c r="H34" s="175">
        <f t="shared" si="4"/>
        <v>0</v>
      </c>
      <c r="I34" s="72"/>
      <c r="J34" s="175">
        <f t="shared" si="5"/>
        <v>0</v>
      </c>
      <c r="K34" s="72">
        <v>49112</v>
      </c>
      <c r="L34" s="175">
        <f t="shared" si="0"/>
        <v>151</v>
      </c>
      <c r="M34" s="74">
        <f t="shared" si="6"/>
        <v>83.050000000000011</v>
      </c>
      <c r="N34" s="74">
        <f t="shared" si="7"/>
        <v>67.95</v>
      </c>
      <c r="O34" s="72">
        <v>50600</v>
      </c>
      <c r="P34" s="175">
        <f t="shared" si="8"/>
        <v>51</v>
      </c>
      <c r="R34" s="104">
        <f t="shared" si="1"/>
        <v>449</v>
      </c>
      <c r="S34" s="95">
        <f t="shared" si="9"/>
        <v>118.95</v>
      </c>
    </row>
    <row r="35" spans="1:19" ht="39.950000000000003" customHeight="1">
      <c r="A35" s="186">
        <f t="shared" si="10"/>
        <v>44863</v>
      </c>
      <c r="B35" s="79"/>
      <c r="C35" s="72">
        <v>87808</v>
      </c>
      <c r="D35" s="175">
        <f t="shared" si="2"/>
        <v>161</v>
      </c>
      <c r="E35" s="72">
        <v>142272</v>
      </c>
      <c r="F35" s="175">
        <f t="shared" si="3"/>
        <v>349</v>
      </c>
      <c r="G35" s="80">
        <v>419.06900000000002</v>
      </c>
      <c r="H35" s="175">
        <f t="shared" si="4"/>
        <v>419.06900000000002</v>
      </c>
      <c r="I35" s="72">
        <v>23378</v>
      </c>
      <c r="J35" s="175">
        <f t="shared" si="5"/>
        <v>23378</v>
      </c>
      <c r="K35" s="72">
        <v>49277</v>
      </c>
      <c r="L35" s="175">
        <f t="shared" si="0"/>
        <v>165</v>
      </c>
      <c r="M35" s="74">
        <f t="shared" si="6"/>
        <v>90.750000000000014</v>
      </c>
      <c r="N35" s="74">
        <f t="shared" si="7"/>
        <v>74.25</v>
      </c>
      <c r="O35" s="72">
        <v>50747</v>
      </c>
      <c r="P35" s="175">
        <f t="shared" si="8"/>
        <v>147</v>
      </c>
      <c r="R35" s="104">
        <f t="shared" ref="R35" si="11">SUM(D35,F35,M99,H35)</f>
        <v>929.06899999999996</v>
      </c>
      <c r="S35" s="95">
        <f t="shared" ref="S35" si="12">SUM(N35,P35)</f>
        <v>221.25</v>
      </c>
    </row>
    <row r="36" spans="1:19" ht="39.950000000000003" customHeight="1">
      <c r="A36" s="186">
        <f t="shared" si="10"/>
        <v>44864</v>
      </c>
      <c r="B36" s="79"/>
      <c r="C36" s="80">
        <v>88045</v>
      </c>
      <c r="D36" s="175">
        <f>(C36-C34)</f>
        <v>398</v>
      </c>
      <c r="E36" s="80">
        <v>142624</v>
      </c>
      <c r="F36" s="175">
        <f>(E36-E34)</f>
        <v>701</v>
      </c>
      <c r="G36" s="80">
        <v>451.74160000000001</v>
      </c>
      <c r="H36" s="175">
        <f>(G36-G34)</f>
        <v>451.74160000000001</v>
      </c>
      <c r="I36" s="80">
        <v>23387</v>
      </c>
      <c r="J36" s="175">
        <f>(I36-I34)</f>
        <v>23387</v>
      </c>
      <c r="K36" s="80">
        <v>49450</v>
      </c>
      <c r="L36" s="175">
        <f>(K36-K34)</f>
        <v>338</v>
      </c>
      <c r="M36" s="74">
        <f t="shared" si="6"/>
        <v>185.9</v>
      </c>
      <c r="N36" s="74">
        <f t="shared" si="7"/>
        <v>152.1</v>
      </c>
      <c r="O36" s="80">
        <v>50888</v>
      </c>
      <c r="P36" s="175">
        <f>(O36-O34)</f>
        <v>288</v>
      </c>
      <c r="R36" s="104">
        <f t="shared" ref="R36:R37" si="13">SUM(D36,F36,M99,H36)</f>
        <v>1550.7416000000001</v>
      </c>
      <c r="S36" s="95">
        <f t="shared" si="9"/>
        <v>440.1</v>
      </c>
    </row>
    <row r="37" spans="1:19" ht="39.950000000000003" customHeight="1">
      <c r="A37" s="186">
        <f t="shared" si="10"/>
        <v>44865</v>
      </c>
      <c r="B37" s="79"/>
      <c r="C37" s="72">
        <v>88352</v>
      </c>
      <c r="D37" s="73">
        <f t="shared" ref="D37" si="14">(C37-C36)</f>
        <v>307</v>
      </c>
      <c r="E37" s="72">
        <v>142941</v>
      </c>
      <c r="F37" s="73">
        <f t="shared" ref="F37" si="15">(E37-E36)</f>
        <v>317</v>
      </c>
      <c r="G37" s="80"/>
      <c r="H37" s="175">
        <f t="shared" ref="H37" si="16">(G37-G36)</f>
        <v>-451.74160000000001</v>
      </c>
      <c r="I37" s="80"/>
      <c r="J37" s="73">
        <f t="shared" ref="J37" si="17">(I37-I36)</f>
        <v>-23387</v>
      </c>
      <c r="K37" s="72">
        <v>49602</v>
      </c>
      <c r="L37" s="73">
        <f t="shared" ref="L37" si="18">(K37-K36)</f>
        <v>152</v>
      </c>
      <c r="M37" s="74">
        <f t="shared" si="6"/>
        <v>83.600000000000009</v>
      </c>
      <c r="N37" s="74">
        <f t="shared" si="7"/>
        <v>68.400000000000006</v>
      </c>
      <c r="O37" s="72">
        <v>51014</v>
      </c>
      <c r="P37" s="73">
        <f t="shared" ref="P37" si="19">(O37-O36)</f>
        <v>126</v>
      </c>
      <c r="R37" s="94">
        <f t="shared" si="13"/>
        <v>172.25839999999999</v>
      </c>
      <c r="S37" s="95">
        <f t="shared" si="9"/>
        <v>194.4</v>
      </c>
    </row>
    <row r="38" spans="1:19" s="20" customFormat="1" ht="39.950000000000003" customHeight="1">
      <c r="A38" s="17"/>
      <c r="D38" s="21">
        <f>SUM(D7:D37)</f>
        <v>4812</v>
      </c>
      <c r="F38" s="21">
        <f>SUM(F7:F37)</f>
        <v>10090</v>
      </c>
      <c r="H38" s="21">
        <f>SUM(H7:H37)</f>
        <v>463.22199999999981</v>
      </c>
      <c r="J38" s="21">
        <f>SUM(J7:J37)</f>
        <v>928</v>
      </c>
      <c r="L38" s="21">
        <f>SUM(L7:L37)</f>
        <v>5056</v>
      </c>
      <c r="M38" s="21"/>
      <c r="N38" s="21"/>
      <c r="P38" s="21">
        <f>SUM(P7:P37)</f>
        <v>4444</v>
      </c>
    </row>
    <row r="39" spans="1:19" s="18" customFormat="1" ht="39.950000000000003" customHeight="1">
      <c r="A39" s="17"/>
      <c r="D39" s="19"/>
    </row>
    <row r="40" spans="1:19" s="18" customFormat="1" ht="39.950000000000003" customHeight="1">
      <c r="A40" s="17"/>
      <c r="D40" s="19"/>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60" zoomScaleNormal="60" workbookViewId="0">
      <pane xSplit="2" ySplit="7" topLeftCell="C32" activePane="bottomRight" state="frozen"/>
      <selection activeCell="V61" sqref="V61"/>
      <selection pane="topRight" activeCell="V61" sqref="V61"/>
      <selection pane="bottomLeft" activeCell="V61" sqref="V61"/>
      <selection pane="bottomRight" activeCell="BF42" sqref="BF42"/>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8"/>
      <c r="B1" s="188"/>
      <c r="C1" s="216" t="s">
        <v>66</v>
      </c>
      <c r="D1" s="216"/>
      <c r="E1" s="216"/>
      <c r="F1" s="216"/>
      <c r="G1" s="216" t="s">
        <v>65</v>
      </c>
      <c r="H1" s="216"/>
      <c r="I1" s="216" t="s">
        <v>65</v>
      </c>
      <c r="J1" s="216"/>
      <c r="K1" s="216" t="s">
        <v>65</v>
      </c>
      <c r="L1" s="216"/>
      <c r="M1" s="216" t="s">
        <v>65</v>
      </c>
      <c r="N1" s="216"/>
      <c r="O1" s="216" t="s">
        <v>65</v>
      </c>
      <c r="P1" s="216"/>
      <c r="Q1" s="229" t="s">
        <v>65</v>
      </c>
      <c r="R1" s="230"/>
      <c r="S1" s="229" t="s">
        <v>65</v>
      </c>
      <c r="T1" s="230"/>
      <c r="U1" s="229" t="s">
        <v>65</v>
      </c>
      <c r="V1" s="230"/>
      <c r="W1" s="229" t="s">
        <v>65</v>
      </c>
      <c r="X1" s="231"/>
      <c r="Y1" s="216" t="s">
        <v>65</v>
      </c>
      <c r="Z1" s="216"/>
      <c r="AA1" s="229" t="s">
        <v>65</v>
      </c>
      <c r="AB1" s="230"/>
      <c r="AC1" s="216" t="s">
        <v>65</v>
      </c>
      <c r="AD1" s="216"/>
      <c r="AE1" s="216" t="s">
        <v>65</v>
      </c>
      <c r="AF1" s="216"/>
      <c r="AG1" s="216" t="s">
        <v>65</v>
      </c>
      <c r="AH1" s="216"/>
      <c r="AI1" s="216" t="s">
        <v>65</v>
      </c>
      <c r="AJ1" s="216"/>
      <c r="AK1" s="216" t="s">
        <v>65</v>
      </c>
      <c r="AL1" s="216"/>
      <c r="AM1" s="216" t="s">
        <v>67</v>
      </c>
      <c r="AN1" s="216"/>
      <c r="AO1" s="216" t="s">
        <v>67</v>
      </c>
      <c r="AP1" s="216"/>
      <c r="AQ1" s="216" t="s">
        <v>67</v>
      </c>
      <c r="AR1" s="216"/>
      <c r="AS1" s="216" t="s">
        <v>67</v>
      </c>
      <c r="AT1" s="216"/>
      <c r="AU1" s="216" t="s">
        <v>67</v>
      </c>
      <c r="AV1" s="216"/>
      <c r="AW1" s="216" t="s">
        <v>67</v>
      </c>
      <c r="AX1" s="216"/>
      <c r="AY1" s="216" t="s">
        <v>67</v>
      </c>
      <c r="AZ1" s="216"/>
      <c r="BA1" s="216" t="s">
        <v>67</v>
      </c>
      <c r="BB1" s="216"/>
      <c r="BC1" s="216" t="s">
        <v>67</v>
      </c>
      <c r="BD1" s="216"/>
      <c r="BE1" s="216" t="s">
        <v>67</v>
      </c>
      <c r="BF1" s="216"/>
      <c r="BH1" s="31"/>
      <c r="BI1" s="31"/>
    </row>
    <row r="2" spans="1:61" s="23" customFormat="1" ht="75.75" customHeight="1">
      <c r="A2" s="47"/>
      <c r="B2" s="47"/>
      <c r="C2" s="251" t="s">
        <v>117</v>
      </c>
      <c r="D2" s="251"/>
      <c r="E2" s="251"/>
      <c r="F2" s="251"/>
      <c r="G2" s="251" t="s">
        <v>118</v>
      </c>
      <c r="H2" s="251"/>
      <c r="I2" s="251" t="s">
        <v>119</v>
      </c>
      <c r="J2" s="251"/>
      <c r="K2" s="251" t="s">
        <v>120</v>
      </c>
      <c r="L2" s="251"/>
      <c r="M2" s="251" t="s">
        <v>121</v>
      </c>
      <c r="N2" s="251"/>
      <c r="O2" s="256" t="s">
        <v>122</v>
      </c>
      <c r="P2" s="258"/>
      <c r="Q2" s="256" t="s">
        <v>123</v>
      </c>
      <c r="R2" s="258"/>
      <c r="S2" s="256" t="s">
        <v>124</v>
      </c>
      <c r="T2" s="258"/>
      <c r="U2" s="256" t="s">
        <v>125</v>
      </c>
      <c r="V2" s="258"/>
      <c r="W2" s="256" t="s">
        <v>126</v>
      </c>
      <c r="X2" s="257"/>
      <c r="Y2" s="251" t="s">
        <v>127</v>
      </c>
      <c r="Z2" s="251"/>
      <c r="AA2" s="256" t="s">
        <v>128</v>
      </c>
      <c r="AB2" s="258"/>
      <c r="AC2" s="251" t="s">
        <v>129</v>
      </c>
      <c r="AD2" s="251"/>
      <c r="AE2" s="251" t="s">
        <v>130</v>
      </c>
      <c r="AF2" s="251"/>
      <c r="AG2" s="251" t="s">
        <v>130</v>
      </c>
      <c r="AH2" s="251"/>
      <c r="AI2" s="251" t="s">
        <v>130</v>
      </c>
      <c r="AJ2" s="251"/>
      <c r="AK2" s="251" t="s">
        <v>130</v>
      </c>
      <c r="AL2" s="251"/>
      <c r="AM2" s="251" t="s">
        <v>131</v>
      </c>
      <c r="AN2" s="251"/>
      <c r="AO2" s="251" t="s">
        <v>132</v>
      </c>
      <c r="AP2" s="251"/>
      <c r="AQ2" s="251" t="s">
        <v>133</v>
      </c>
      <c r="AR2" s="251"/>
      <c r="AS2" s="251" t="s">
        <v>133</v>
      </c>
      <c r="AT2" s="251"/>
      <c r="AU2" s="251" t="s">
        <v>134</v>
      </c>
      <c r="AV2" s="251"/>
      <c r="AW2" s="251" t="s">
        <v>135</v>
      </c>
      <c r="AX2" s="251"/>
      <c r="AY2" s="251" t="s">
        <v>136</v>
      </c>
      <c r="AZ2" s="251"/>
      <c r="BA2" s="251" t="s">
        <v>136</v>
      </c>
      <c r="BB2" s="251"/>
      <c r="BC2" s="251" t="s">
        <v>137</v>
      </c>
      <c r="BD2" s="251"/>
      <c r="BE2" s="251" t="s">
        <v>137</v>
      </c>
      <c r="BF2" s="251"/>
      <c r="BH2" s="31"/>
      <c r="BI2" s="31"/>
    </row>
    <row r="3" spans="1:61" s="10" customFormat="1" ht="87.75" customHeight="1">
      <c r="A3" s="187"/>
      <c r="B3" s="187"/>
      <c r="C3" s="244" t="s">
        <v>138</v>
      </c>
      <c r="D3" s="245"/>
      <c r="E3" s="187" t="s">
        <v>65</v>
      </c>
      <c r="F3" s="188" t="s">
        <v>67</v>
      </c>
      <c r="G3" s="248" t="s">
        <v>139</v>
      </c>
      <c r="H3" s="249"/>
      <c r="I3" s="248" t="s">
        <v>139</v>
      </c>
      <c r="J3" s="249"/>
      <c r="K3" s="248" t="s">
        <v>139</v>
      </c>
      <c r="L3" s="249"/>
      <c r="M3" s="246" t="s">
        <v>140</v>
      </c>
      <c r="N3" s="247"/>
      <c r="O3" s="248" t="s">
        <v>139</v>
      </c>
      <c r="P3" s="249"/>
      <c r="Q3" s="248" t="s">
        <v>139</v>
      </c>
      <c r="R3" s="249"/>
      <c r="S3" s="254" t="s">
        <v>139</v>
      </c>
      <c r="T3" s="255"/>
      <c r="U3" s="248" t="s">
        <v>139</v>
      </c>
      <c r="V3" s="249"/>
      <c r="W3" s="248" t="s">
        <v>139</v>
      </c>
      <c r="X3" s="249"/>
      <c r="Y3" s="250" t="s">
        <v>141</v>
      </c>
      <c r="Z3" s="249"/>
      <c r="AA3" s="248" t="s">
        <v>142</v>
      </c>
      <c r="AB3" s="249"/>
      <c r="AC3" s="248" t="s">
        <v>143</v>
      </c>
      <c r="AD3" s="249"/>
      <c r="AE3" s="248" t="s">
        <v>143</v>
      </c>
      <c r="AF3" s="249"/>
      <c r="AG3" s="250" t="s">
        <v>144</v>
      </c>
      <c r="AH3" s="249"/>
      <c r="AI3" s="248" t="s">
        <v>145</v>
      </c>
      <c r="AJ3" s="249"/>
      <c r="AK3" s="250" t="s">
        <v>146</v>
      </c>
      <c r="AL3" s="249"/>
      <c r="AM3" s="248" t="s">
        <v>147</v>
      </c>
      <c r="AN3" s="249"/>
      <c r="AO3" s="248" t="s">
        <v>147</v>
      </c>
      <c r="AP3" s="249"/>
      <c r="AQ3" s="250" t="s">
        <v>148</v>
      </c>
      <c r="AR3" s="249"/>
      <c r="AS3" s="248" t="s">
        <v>149</v>
      </c>
      <c r="AT3" s="249"/>
      <c r="AU3" s="250" t="s">
        <v>150</v>
      </c>
      <c r="AV3" s="249"/>
      <c r="AW3" s="250" t="s">
        <v>150</v>
      </c>
      <c r="AX3" s="249"/>
      <c r="AY3" s="248" t="s">
        <v>145</v>
      </c>
      <c r="AZ3" s="249"/>
      <c r="BA3" s="250" t="s">
        <v>146</v>
      </c>
      <c r="BB3" s="249"/>
      <c r="BC3" s="248" t="s">
        <v>145</v>
      </c>
      <c r="BD3" s="249"/>
      <c r="BE3" s="250" t="s">
        <v>146</v>
      </c>
      <c r="BF3" s="249"/>
      <c r="BH3" s="31"/>
      <c r="BI3" s="31"/>
    </row>
    <row r="4" spans="1:61" s="23" customFormat="1" ht="50.1" customHeight="1">
      <c r="A4" s="187"/>
      <c r="B4" s="47"/>
      <c r="C4" s="217" t="s">
        <v>151</v>
      </c>
      <c r="D4" s="219"/>
      <c r="E4" s="252" t="s">
        <v>152</v>
      </c>
      <c r="F4" s="253"/>
      <c r="G4" s="217" t="s">
        <v>153</v>
      </c>
      <c r="H4" s="219"/>
      <c r="I4" s="217" t="s">
        <v>154</v>
      </c>
      <c r="J4" s="219"/>
      <c r="K4" s="217" t="s">
        <v>155</v>
      </c>
      <c r="L4" s="219"/>
      <c r="M4" s="217">
        <v>7092801222</v>
      </c>
      <c r="N4" s="219"/>
      <c r="O4" s="217" t="s">
        <v>156</v>
      </c>
      <c r="P4" s="218"/>
      <c r="Q4" s="217" t="s">
        <v>157</v>
      </c>
      <c r="R4" s="218"/>
      <c r="S4" s="217" t="s">
        <v>158</v>
      </c>
      <c r="T4" s="218"/>
      <c r="U4" s="217" t="s">
        <v>159</v>
      </c>
      <c r="V4" s="218"/>
      <c r="W4" s="217" t="s">
        <v>160</v>
      </c>
      <c r="X4" s="219"/>
      <c r="Y4" s="217" t="s">
        <v>161</v>
      </c>
      <c r="Z4" s="219"/>
      <c r="AA4" s="217" t="s">
        <v>162</v>
      </c>
      <c r="AB4" s="218"/>
      <c r="AC4" s="217" t="s">
        <v>163</v>
      </c>
      <c r="AD4" s="219"/>
      <c r="AE4" s="217" t="s">
        <v>164</v>
      </c>
      <c r="AF4" s="219"/>
      <c r="AG4" s="217" t="s">
        <v>165</v>
      </c>
      <c r="AH4" s="219"/>
      <c r="AI4" s="217">
        <v>7105826734</v>
      </c>
      <c r="AJ4" s="219"/>
      <c r="AK4" s="217">
        <v>7105825932</v>
      </c>
      <c r="AL4" s="219"/>
      <c r="AM4" s="217" t="s">
        <v>166</v>
      </c>
      <c r="AN4" s="219"/>
      <c r="AO4" s="217" t="s">
        <v>167</v>
      </c>
      <c r="AP4" s="219"/>
      <c r="AQ4" s="217" t="s">
        <v>168</v>
      </c>
      <c r="AR4" s="219"/>
      <c r="AS4" s="217" t="s">
        <v>169</v>
      </c>
      <c r="AT4" s="219"/>
      <c r="AU4" s="217" t="s">
        <v>170</v>
      </c>
      <c r="AV4" s="219"/>
      <c r="AW4" s="217" t="s">
        <v>171</v>
      </c>
      <c r="AX4" s="219"/>
      <c r="AY4" s="217">
        <v>7111912486</v>
      </c>
      <c r="AZ4" s="219"/>
      <c r="BA4" s="217">
        <v>7111911842</v>
      </c>
      <c r="BB4" s="219"/>
      <c r="BC4" s="217">
        <v>7111913281</v>
      </c>
      <c r="BD4" s="219"/>
      <c r="BE4" s="217">
        <v>7111912723</v>
      </c>
      <c r="BF4" s="219"/>
      <c r="BH4" s="214" t="s">
        <v>81</v>
      </c>
      <c r="BI4" s="214"/>
    </row>
    <row r="5" spans="1:61" s="23" customFormat="1" ht="50.1" customHeight="1">
      <c r="A5" s="47" t="s">
        <v>172</v>
      </c>
      <c r="B5" s="47"/>
      <c r="C5" s="217" t="s">
        <v>173</v>
      </c>
      <c r="D5" s="219"/>
      <c r="E5" s="29">
        <v>0.6</v>
      </c>
      <c r="F5" s="29">
        <v>0.4</v>
      </c>
      <c r="G5" s="217" t="s">
        <v>174</v>
      </c>
      <c r="H5" s="219"/>
      <c r="I5" s="217" t="s">
        <v>175</v>
      </c>
      <c r="J5" s="219"/>
      <c r="K5" s="217" t="s">
        <v>176</v>
      </c>
      <c r="L5" s="219"/>
      <c r="M5" s="217" t="s">
        <v>177</v>
      </c>
      <c r="N5" s="219"/>
      <c r="O5" s="217" t="s">
        <v>178</v>
      </c>
      <c r="P5" s="218"/>
      <c r="Q5" s="217" t="s">
        <v>179</v>
      </c>
      <c r="R5" s="218"/>
      <c r="S5" s="217" t="s">
        <v>180</v>
      </c>
      <c r="T5" s="218"/>
      <c r="U5" s="217" t="s">
        <v>181</v>
      </c>
      <c r="V5" s="218"/>
      <c r="W5" s="217" t="s">
        <v>182</v>
      </c>
      <c r="X5" s="219"/>
      <c r="Y5" s="217" t="s">
        <v>183</v>
      </c>
      <c r="Z5" s="219"/>
      <c r="AA5" s="217" t="s">
        <v>184</v>
      </c>
      <c r="AB5" s="218"/>
      <c r="AC5" s="217" t="s">
        <v>185</v>
      </c>
      <c r="AD5" s="219"/>
      <c r="AE5" s="217" t="s">
        <v>186</v>
      </c>
      <c r="AF5" s="219"/>
      <c r="AG5" s="217" t="s">
        <v>187</v>
      </c>
      <c r="AH5" s="219"/>
      <c r="AI5" s="217" t="s">
        <v>188</v>
      </c>
      <c r="AJ5" s="219"/>
      <c r="AK5" s="217" t="s">
        <v>189</v>
      </c>
      <c r="AL5" s="219"/>
      <c r="AM5" s="217" t="s">
        <v>190</v>
      </c>
      <c r="AN5" s="219"/>
      <c r="AO5" s="217" t="s">
        <v>191</v>
      </c>
      <c r="AP5" s="219"/>
      <c r="AQ5" s="217" t="s">
        <v>192</v>
      </c>
      <c r="AR5" s="219"/>
      <c r="AS5" s="217" t="s">
        <v>193</v>
      </c>
      <c r="AT5" s="219"/>
      <c r="AU5" s="217" t="s">
        <v>194</v>
      </c>
      <c r="AV5" s="219"/>
      <c r="AW5" s="217" t="s">
        <v>195</v>
      </c>
      <c r="AX5" s="219"/>
      <c r="AY5" s="217">
        <v>744483</v>
      </c>
      <c r="AZ5" s="219"/>
      <c r="BA5" s="217">
        <v>119314</v>
      </c>
      <c r="BB5" s="219"/>
      <c r="BC5" s="217">
        <v>1053229</v>
      </c>
      <c r="BD5" s="219"/>
      <c r="BE5" s="217">
        <v>1053215</v>
      </c>
      <c r="BF5" s="219"/>
      <c r="BH5" s="214"/>
      <c r="BI5" s="214"/>
    </row>
    <row r="6" spans="1:61" s="8" customFormat="1" ht="30" customHeight="1">
      <c r="A6" s="187" t="s">
        <v>96</v>
      </c>
      <c r="B6" s="48"/>
      <c r="C6" s="223"/>
      <c r="D6" s="224"/>
      <c r="E6" s="78"/>
      <c r="F6" s="189"/>
      <c r="G6" s="187"/>
      <c r="H6" s="48"/>
      <c r="I6" s="223"/>
      <c r="J6" s="224"/>
      <c r="K6" s="223"/>
      <c r="L6" s="224"/>
      <c r="M6" s="223"/>
      <c r="N6" s="224"/>
      <c r="O6" s="223"/>
      <c r="P6" s="228"/>
      <c r="Q6" s="223"/>
      <c r="R6" s="228"/>
      <c r="S6" s="223"/>
      <c r="T6" s="228"/>
      <c r="U6" s="223"/>
      <c r="V6" s="228"/>
      <c r="W6" s="223"/>
      <c r="X6" s="224"/>
      <c r="Y6" s="223"/>
      <c r="Z6" s="224"/>
      <c r="AA6" s="223"/>
      <c r="AB6" s="228"/>
      <c r="AC6" s="223"/>
      <c r="AD6" s="224"/>
      <c r="AE6" s="223"/>
      <c r="AF6" s="224"/>
      <c r="AG6" s="223"/>
      <c r="AH6" s="224"/>
      <c r="AI6" s="223"/>
      <c r="AJ6" s="224"/>
      <c r="AK6" s="223"/>
      <c r="AL6" s="224"/>
      <c r="AM6" s="223"/>
      <c r="AN6" s="224"/>
      <c r="AO6" s="223"/>
      <c r="AP6" s="224"/>
      <c r="AQ6" s="223"/>
      <c r="AR6" s="224"/>
      <c r="AS6" s="223"/>
      <c r="AT6" s="224"/>
      <c r="AU6" s="223"/>
      <c r="AV6" s="224"/>
      <c r="AW6" s="223"/>
      <c r="AX6" s="224"/>
      <c r="AY6" s="223"/>
      <c r="AZ6" s="224"/>
      <c r="BA6" s="223"/>
      <c r="BB6" s="224"/>
      <c r="BC6" s="223"/>
      <c r="BD6" s="224"/>
      <c r="BE6" s="223"/>
      <c r="BF6" s="224"/>
      <c r="BH6" s="31"/>
      <c r="BI6" s="31"/>
    </row>
    <row r="7" spans="1:61" s="10" customFormat="1" ht="50.1" customHeight="1">
      <c r="A7" s="187" t="s">
        <v>99</v>
      </c>
      <c r="B7" s="187"/>
      <c r="C7" s="191" t="s">
        <v>115</v>
      </c>
      <c r="D7" s="191" t="s">
        <v>196</v>
      </c>
      <c r="E7" s="191" t="s">
        <v>196</v>
      </c>
      <c r="F7" s="191" t="s">
        <v>196</v>
      </c>
      <c r="G7" s="191" t="s">
        <v>115</v>
      </c>
      <c r="H7" s="191" t="s">
        <v>196</v>
      </c>
      <c r="I7" s="191" t="s">
        <v>115</v>
      </c>
      <c r="J7" s="191" t="s">
        <v>196</v>
      </c>
      <c r="K7" s="191" t="s">
        <v>115</v>
      </c>
      <c r="L7" s="191" t="s">
        <v>196</v>
      </c>
      <c r="M7" s="191" t="s">
        <v>115</v>
      </c>
      <c r="N7" s="191" t="s">
        <v>196</v>
      </c>
      <c r="O7" s="191" t="s">
        <v>115</v>
      </c>
      <c r="P7" s="191" t="s">
        <v>196</v>
      </c>
      <c r="Q7" s="191" t="s">
        <v>115</v>
      </c>
      <c r="R7" s="191" t="s">
        <v>196</v>
      </c>
      <c r="S7" s="191" t="s">
        <v>115</v>
      </c>
      <c r="T7" s="191" t="s">
        <v>196</v>
      </c>
      <c r="U7" s="191" t="s">
        <v>115</v>
      </c>
      <c r="V7" s="191" t="s">
        <v>196</v>
      </c>
      <c r="W7" s="191" t="s">
        <v>115</v>
      </c>
      <c r="X7" s="191" t="s">
        <v>196</v>
      </c>
      <c r="Y7" s="191" t="s">
        <v>115</v>
      </c>
      <c r="Z7" s="191" t="s">
        <v>196</v>
      </c>
      <c r="AA7" s="191" t="s">
        <v>115</v>
      </c>
      <c r="AB7" s="191" t="s">
        <v>196</v>
      </c>
      <c r="AC7" s="191" t="s">
        <v>115</v>
      </c>
      <c r="AD7" s="191" t="s">
        <v>196</v>
      </c>
      <c r="AE7" s="13" t="s">
        <v>115</v>
      </c>
      <c r="AF7" s="191" t="s">
        <v>196</v>
      </c>
      <c r="AG7" s="13" t="s">
        <v>115</v>
      </c>
      <c r="AH7" s="191" t="s">
        <v>196</v>
      </c>
      <c r="AI7" s="13" t="s">
        <v>115</v>
      </c>
      <c r="AJ7" s="191" t="s">
        <v>196</v>
      </c>
      <c r="AK7" s="13" t="s">
        <v>115</v>
      </c>
      <c r="AL7" s="191" t="s">
        <v>196</v>
      </c>
      <c r="AM7" s="13" t="s">
        <v>115</v>
      </c>
      <c r="AN7" s="191" t="s">
        <v>196</v>
      </c>
      <c r="AO7" s="13" t="s">
        <v>115</v>
      </c>
      <c r="AP7" s="191" t="s">
        <v>196</v>
      </c>
      <c r="AQ7" s="13" t="s">
        <v>115</v>
      </c>
      <c r="AR7" s="191" t="s">
        <v>196</v>
      </c>
      <c r="AS7" s="13" t="s">
        <v>115</v>
      </c>
      <c r="AT7" s="191" t="s">
        <v>196</v>
      </c>
      <c r="AU7" s="13" t="s">
        <v>115</v>
      </c>
      <c r="AV7" s="191" t="s">
        <v>196</v>
      </c>
      <c r="AW7" s="13" t="s">
        <v>115</v>
      </c>
      <c r="AX7" s="191" t="s">
        <v>196</v>
      </c>
      <c r="AY7" s="13" t="s">
        <v>115</v>
      </c>
      <c r="AZ7" s="191" t="s">
        <v>196</v>
      </c>
      <c r="BA7" s="13" t="s">
        <v>115</v>
      </c>
      <c r="BB7" s="191" t="s">
        <v>196</v>
      </c>
      <c r="BC7" s="13" t="s">
        <v>115</v>
      </c>
      <c r="BD7" s="191" t="s">
        <v>196</v>
      </c>
      <c r="BE7" s="13" t="s">
        <v>115</v>
      </c>
      <c r="BF7" s="191" t="s">
        <v>196</v>
      </c>
      <c r="BH7" s="187" t="s">
        <v>65</v>
      </c>
      <c r="BI7" s="187" t="s">
        <v>67</v>
      </c>
    </row>
    <row r="8" spans="1:61" s="34" customFormat="1" ht="39.950000000000003" customHeight="1">
      <c r="A8" s="186">
        <v>44834</v>
      </c>
      <c r="B8" s="33"/>
      <c r="C8" s="76">
        <v>7205959</v>
      </c>
      <c r="D8" s="101"/>
      <c r="E8" s="102"/>
      <c r="F8" s="101"/>
      <c r="G8" s="76">
        <v>300411</v>
      </c>
      <c r="H8" s="101"/>
      <c r="I8" s="76">
        <v>208683</v>
      </c>
      <c r="J8" s="101"/>
      <c r="K8" s="76">
        <v>273669</v>
      </c>
      <c r="L8" s="101"/>
      <c r="M8" s="76">
        <v>25562</v>
      </c>
      <c r="N8" s="101"/>
      <c r="O8" s="76">
        <v>355911</v>
      </c>
      <c r="P8" s="36"/>
      <c r="Q8" s="76">
        <v>487294</v>
      </c>
      <c r="R8" s="101"/>
      <c r="S8" s="76">
        <v>781488</v>
      </c>
      <c r="T8" s="101"/>
      <c r="U8" s="80">
        <v>7395.7169999999996</v>
      </c>
      <c r="V8" s="101"/>
      <c r="W8" s="76">
        <v>86795</v>
      </c>
      <c r="X8" s="101"/>
      <c r="Y8" s="76">
        <v>1523120</v>
      </c>
      <c r="Z8" s="101"/>
      <c r="AA8" s="76">
        <v>13886</v>
      </c>
      <c r="AB8" s="101"/>
      <c r="AC8" s="76">
        <v>517938</v>
      </c>
      <c r="AD8" s="101"/>
      <c r="AE8" s="76">
        <v>588739</v>
      </c>
      <c r="AF8" s="101"/>
      <c r="AG8" s="76">
        <v>49813</v>
      </c>
      <c r="AH8" s="101"/>
      <c r="AI8" s="76">
        <v>458687</v>
      </c>
      <c r="AJ8" s="101"/>
      <c r="AK8" s="76">
        <v>102770</v>
      </c>
      <c r="AL8" s="101"/>
      <c r="AM8" s="76">
        <v>624209</v>
      </c>
      <c r="AN8" s="101"/>
      <c r="AO8" s="76">
        <v>15345</v>
      </c>
      <c r="AP8" s="101"/>
      <c r="AQ8" s="76">
        <v>92550</v>
      </c>
      <c r="AR8" s="101"/>
      <c r="AS8" s="76">
        <v>2464</v>
      </c>
      <c r="AT8" s="101"/>
      <c r="AU8" s="76">
        <v>939</v>
      </c>
      <c r="AV8" s="101"/>
      <c r="AW8" s="76">
        <v>3110</v>
      </c>
      <c r="AX8" s="101"/>
      <c r="AY8" s="76">
        <v>359357</v>
      </c>
      <c r="AZ8" s="101"/>
      <c r="BA8" s="75">
        <v>161101</v>
      </c>
      <c r="BB8" s="101"/>
      <c r="BC8" s="76">
        <v>242056</v>
      </c>
      <c r="BD8" s="101"/>
      <c r="BE8" s="76">
        <v>5350</v>
      </c>
      <c r="BF8" s="101"/>
      <c r="BH8" s="103"/>
      <c r="BI8" s="103"/>
    </row>
    <row r="9" spans="1:61" s="27" customFormat="1" ht="39.950000000000003" customHeight="1">
      <c r="A9" s="186">
        <v>44835</v>
      </c>
      <c r="B9" s="26"/>
      <c r="C9" s="76">
        <v>7208380</v>
      </c>
      <c r="D9" s="36">
        <f t="shared" ref="D9:D11" si="0">(+C9-+C8)*48</f>
        <v>116208</v>
      </c>
      <c r="E9" s="102">
        <f>D9*E5</f>
        <v>69724.800000000003</v>
      </c>
      <c r="F9" s="101">
        <f>D9*F5</f>
        <v>46483.200000000004</v>
      </c>
      <c r="G9" s="76">
        <v>300455</v>
      </c>
      <c r="H9" s="36">
        <f t="shared" ref="H9:N38" si="1">(+G9-+G8)*48</f>
        <v>2112</v>
      </c>
      <c r="I9" s="76">
        <v>208863</v>
      </c>
      <c r="J9" s="36">
        <f t="shared" si="1"/>
        <v>8640</v>
      </c>
      <c r="K9" s="76">
        <v>273730</v>
      </c>
      <c r="L9" s="36">
        <f t="shared" si="1"/>
        <v>2928</v>
      </c>
      <c r="M9" s="76">
        <v>25562</v>
      </c>
      <c r="N9" s="36">
        <f>(+M9-+M8)*48</f>
        <v>0</v>
      </c>
      <c r="O9" s="76">
        <v>356129</v>
      </c>
      <c r="P9" s="36">
        <f>(+O9-+O8)*48</f>
        <v>10464</v>
      </c>
      <c r="Q9" s="76">
        <v>487345</v>
      </c>
      <c r="R9" s="36">
        <f>(+Q9-+Q8)*48</f>
        <v>2448</v>
      </c>
      <c r="S9" s="76">
        <v>781619</v>
      </c>
      <c r="T9" s="36">
        <f>(+S9-+S8)*48</f>
        <v>6288</v>
      </c>
      <c r="U9" s="80">
        <v>7411.1130000000003</v>
      </c>
      <c r="V9" s="101">
        <f>(+U9-+U8)*48</f>
        <v>739.00800000003073</v>
      </c>
      <c r="W9" s="76">
        <v>86811</v>
      </c>
      <c r="X9" s="36">
        <f>(+W9-+W8)*48</f>
        <v>768</v>
      </c>
      <c r="Y9" s="76">
        <v>1523120</v>
      </c>
      <c r="Z9" s="36">
        <f>(+Y9-+Y8)*48</f>
        <v>0</v>
      </c>
      <c r="AA9" s="76">
        <v>13886</v>
      </c>
      <c r="AB9" s="36">
        <f>(+AA9-+AA8)*48</f>
        <v>0</v>
      </c>
      <c r="AC9" s="76">
        <v>518080</v>
      </c>
      <c r="AD9" s="36">
        <f>(+AC9-+AC8)*48</f>
        <v>6816</v>
      </c>
      <c r="AE9" s="76">
        <v>588899</v>
      </c>
      <c r="AF9" s="36">
        <f>(+AE9-+AE8)*48</f>
        <v>7680</v>
      </c>
      <c r="AG9" s="76">
        <v>49813</v>
      </c>
      <c r="AH9" s="36">
        <f>(+AG9-+AG8)*48</f>
        <v>0</v>
      </c>
      <c r="AI9" s="76">
        <v>458795</v>
      </c>
      <c r="AJ9" s="36">
        <f>(+AI9-+AI8)*48</f>
        <v>5184</v>
      </c>
      <c r="AK9" s="76">
        <v>102770</v>
      </c>
      <c r="AL9" s="36">
        <f>(+AK9-+AK8)*48</f>
        <v>0</v>
      </c>
      <c r="AM9" s="76">
        <v>624326</v>
      </c>
      <c r="AN9" s="36">
        <f>(+AM9-+AM8)*48</f>
        <v>5616</v>
      </c>
      <c r="AO9" s="76">
        <v>15487</v>
      </c>
      <c r="AP9" s="36">
        <f>(+AO9-+AO8)*48</f>
        <v>6816</v>
      </c>
      <c r="AQ9" s="76">
        <v>92550</v>
      </c>
      <c r="AR9" s="36">
        <f>(+AQ9-+AQ8)*48</f>
        <v>0</v>
      </c>
      <c r="AS9" s="76">
        <v>2464</v>
      </c>
      <c r="AT9" s="36">
        <f>(+AS9-+AS8)*48</f>
        <v>0</v>
      </c>
      <c r="AU9" s="76">
        <v>939</v>
      </c>
      <c r="AV9" s="36">
        <f>(+AU9-+AU8)*48</f>
        <v>0</v>
      </c>
      <c r="AW9" s="76">
        <v>3110</v>
      </c>
      <c r="AX9" s="36">
        <f>(+AW9-+AW8)*48</f>
        <v>0</v>
      </c>
      <c r="AY9" s="76">
        <v>359449</v>
      </c>
      <c r="AZ9" s="36">
        <f>(+AY9-+AY8)*48</f>
        <v>4416</v>
      </c>
      <c r="BA9" s="76">
        <v>161101</v>
      </c>
      <c r="BB9" s="36">
        <f>(+BA9-+BA8)*48</f>
        <v>0</v>
      </c>
      <c r="BC9" s="76">
        <v>242123</v>
      </c>
      <c r="BD9" s="36">
        <f>(+BC9-+BC8)*48</f>
        <v>3216</v>
      </c>
      <c r="BE9" s="76">
        <v>5350</v>
      </c>
      <c r="BF9" s="36">
        <f>(+BE9-+BE8)*48</f>
        <v>0</v>
      </c>
      <c r="BH9" s="103">
        <f t="shared" ref="BH9:BH39" si="2">SUM(E9,J9,P9,H9,L9,R9,T9,V9,X9,N9,AB9,Z9,AD9,AF9,AH9,AL9,AJ9)</f>
        <v>123791.80800000003</v>
      </c>
      <c r="BI9" s="103">
        <f t="shared" ref="BI9:BI39" si="3">SUM(F9,AN9,AP9,AT9,AV9,AX9,AR9,AZ9,BB9,BD9,BF9)</f>
        <v>66547.200000000012</v>
      </c>
    </row>
    <row r="10" spans="1:61" s="27" customFormat="1" ht="39.950000000000003" customHeight="1">
      <c r="A10" s="186">
        <f>SUM(A9+1)</f>
        <v>44836</v>
      </c>
      <c r="B10" s="26"/>
      <c r="C10" s="76">
        <v>7210842</v>
      </c>
      <c r="D10" s="36">
        <f t="shared" si="0"/>
        <v>118176</v>
      </c>
      <c r="E10" s="102">
        <f>D10*E5</f>
        <v>70905.599999999991</v>
      </c>
      <c r="F10" s="101">
        <f>D10*F5</f>
        <v>47270.400000000001</v>
      </c>
      <c r="G10" s="76">
        <v>300516</v>
      </c>
      <c r="H10" s="36">
        <f t="shared" si="1"/>
        <v>2928</v>
      </c>
      <c r="I10" s="76">
        <v>209035</v>
      </c>
      <c r="J10" s="36">
        <f t="shared" si="1"/>
        <v>8256</v>
      </c>
      <c r="K10" s="76">
        <v>273810</v>
      </c>
      <c r="L10" s="36">
        <f t="shared" si="1"/>
        <v>3840</v>
      </c>
      <c r="M10" s="76">
        <v>25572</v>
      </c>
      <c r="N10" s="36">
        <f t="shared" ref="N10" si="4">(+M10-+M8)*48</f>
        <v>480</v>
      </c>
      <c r="O10" s="76">
        <v>356351</v>
      </c>
      <c r="P10" s="36">
        <f>(+O10-+O9)*48</f>
        <v>10656</v>
      </c>
      <c r="Q10" s="76">
        <v>487420</v>
      </c>
      <c r="R10" s="36">
        <f>(+Q10-+Q9)*48</f>
        <v>3600</v>
      </c>
      <c r="S10" s="76">
        <v>781758</v>
      </c>
      <c r="T10" s="36">
        <f>(+S10-+S9)*48</f>
        <v>6672</v>
      </c>
      <c r="U10" s="80">
        <v>7430.549</v>
      </c>
      <c r="V10" s="101">
        <f>(+U10-+U9)*48</f>
        <v>932.92799999998533</v>
      </c>
      <c r="W10" s="76">
        <v>86830</v>
      </c>
      <c r="X10" s="36">
        <f>(+W10-+W9)*48</f>
        <v>912</v>
      </c>
      <c r="Y10" s="76">
        <v>1523120</v>
      </c>
      <c r="Z10" s="36">
        <f>(+Y10-+Y9)*48</f>
        <v>0</v>
      </c>
      <c r="AA10" s="76">
        <v>13886</v>
      </c>
      <c r="AB10" s="36">
        <f>(+AA10-+AA9)*48</f>
        <v>0</v>
      </c>
      <c r="AC10" s="76">
        <v>518214</v>
      </c>
      <c r="AD10" s="36">
        <f>(+AC10-+AC9)*48</f>
        <v>6432</v>
      </c>
      <c r="AE10" s="76">
        <v>589062</v>
      </c>
      <c r="AF10" s="36">
        <f>(+AE10-+AE9)*48</f>
        <v>7824</v>
      </c>
      <c r="AG10" s="76">
        <v>49813</v>
      </c>
      <c r="AH10" s="36">
        <f>(+AG10-+AG9)*48</f>
        <v>0</v>
      </c>
      <c r="AI10" s="76">
        <v>458908</v>
      </c>
      <c r="AJ10" s="36">
        <f>(+AI10-+AI9)*48</f>
        <v>5424</v>
      </c>
      <c r="AK10" s="76">
        <v>102770</v>
      </c>
      <c r="AL10" s="36">
        <f>(+AK10-+AK9)*48</f>
        <v>0</v>
      </c>
      <c r="AM10" s="76">
        <v>624447</v>
      </c>
      <c r="AN10" s="36">
        <f>(+AM10-+AM9)*48</f>
        <v>5808</v>
      </c>
      <c r="AO10" s="76">
        <v>15637</v>
      </c>
      <c r="AP10" s="36">
        <f>(+AO10-+AO9)*48</f>
        <v>7200</v>
      </c>
      <c r="AQ10" s="76">
        <v>92550</v>
      </c>
      <c r="AR10" s="36">
        <f>(+AQ10-+AQ9)*48</f>
        <v>0</v>
      </c>
      <c r="AS10" s="76">
        <v>2464</v>
      </c>
      <c r="AT10" s="36">
        <f>(+AS10-+AS9)*48</f>
        <v>0</v>
      </c>
      <c r="AU10" s="76">
        <v>939</v>
      </c>
      <c r="AV10" s="36">
        <f>(+AU10-+AU9)*48</f>
        <v>0</v>
      </c>
      <c r="AW10" s="76">
        <v>3110</v>
      </c>
      <c r="AX10" s="36">
        <f>(+AW10-+AW9)*48</f>
        <v>0</v>
      </c>
      <c r="AY10" s="76">
        <v>359540</v>
      </c>
      <c r="AZ10" s="36">
        <f>(+AY10-+AY9)*48</f>
        <v>4368</v>
      </c>
      <c r="BA10" s="76">
        <v>161101</v>
      </c>
      <c r="BB10" s="36">
        <f>(+BA10-+BA9)*48</f>
        <v>0</v>
      </c>
      <c r="BC10" s="76">
        <v>242188</v>
      </c>
      <c r="BD10" s="36">
        <f>(+BC10-+BC9)*48</f>
        <v>3120</v>
      </c>
      <c r="BE10" s="76">
        <v>5350</v>
      </c>
      <c r="BF10" s="36">
        <f>(+BE10-+BE9)*48</f>
        <v>0</v>
      </c>
      <c r="BH10" s="103">
        <f t="shared" ref="BH10" si="5">SUM(E10,J10,P10,H10,L10,R10,T10,V10,X10,N10,AB10,Z10,AD10,AF10,AH10,AL10,AJ10)</f>
        <v>128862.52799999998</v>
      </c>
      <c r="BI10" s="103">
        <f t="shared" ref="BI10" si="6">SUM(F10,AN10,AP10,AT10,AV10,AX10,AR10,AZ10,BB10,BD10,BF10)</f>
        <v>67766.399999999994</v>
      </c>
    </row>
    <row r="11" spans="1:61" s="34" customFormat="1" ht="39.950000000000003" customHeight="1">
      <c r="A11" s="186">
        <f t="shared" ref="A11:A39" si="7">SUM(A10+1)</f>
        <v>44837</v>
      </c>
      <c r="B11" s="33"/>
      <c r="C11" s="76">
        <v>7213280</v>
      </c>
      <c r="D11" s="36">
        <f t="shared" si="0"/>
        <v>117024</v>
      </c>
      <c r="E11" s="102">
        <f>D11*E5</f>
        <v>70214.399999999994</v>
      </c>
      <c r="F11" s="101">
        <f>D11*F5</f>
        <v>46809.600000000006</v>
      </c>
      <c r="G11" s="76">
        <v>300551</v>
      </c>
      <c r="H11" s="36">
        <f t="shared" si="1"/>
        <v>1680</v>
      </c>
      <c r="I11" s="76">
        <v>209201</v>
      </c>
      <c r="J11" s="36">
        <f t="shared" si="1"/>
        <v>7968</v>
      </c>
      <c r="K11" s="76">
        <v>273822</v>
      </c>
      <c r="L11" s="36">
        <f t="shared" si="1"/>
        <v>576</v>
      </c>
      <c r="M11" s="76">
        <v>25572</v>
      </c>
      <c r="N11" s="36">
        <f>(+M11-+M9)*48</f>
        <v>480</v>
      </c>
      <c r="O11" s="76">
        <v>356567</v>
      </c>
      <c r="P11" s="36">
        <f>(+O11-+O9)*48</f>
        <v>21024</v>
      </c>
      <c r="Q11" s="76">
        <v>487477</v>
      </c>
      <c r="R11" s="36">
        <f>(+Q11-+Q9)*48</f>
        <v>6336</v>
      </c>
      <c r="S11" s="76">
        <v>781880</v>
      </c>
      <c r="T11" s="36">
        <f>(+S11-+S9)*48</f>
        <v>12528</v>
      </c>
      <c r="U11" s="80">
        <v>7450.3289999999997</v>
      </c>
      <c r="V11" s="101">
        <f>(+U11-+U9)*48</f>
        <v>1882.3679999999731</v>
      </c>
      <c r="W11" s="76">
        <v>86847</v>
      </c>
      <c r="X11" s="36">
        <f t="shared" ref="X11:X39" si="8">(+W11-+W10)*48</f>
        <v>816</v>
      </c>
      <c r="Y11" s="76">
        <v>1523120</v>
      </c>
      <c r="Z11" s="36">
        <f>(+Y11-+Y9)*48</f>
        <v>0</v>
      </c>
      <c r="AA11" s="76">
        <v>13886</v>
      </c>
      <c r="AB11" s="36">
        <f>(+AA11-+AA9)*48</f>
        <v>0</v>
      </c>
      <c r="AC11" s="76">
        <v>518315</v>
      </c>
      <c r="AD11" s="36">
        <f t="shared" ref="AD11:AF37" si="9">(+AC11-+AC10)*48</f>
        <v>4848</v>
      </c>
      <c r="AE11" s="76">
        <v>589198</v>
      </c>
      <c r="AF11" s="36">
        <f t="shared" si="9"/>
        <v>6528</v>
      </c>
      <c r="AG11" s="76">
        <v>49813</v>
      </c>
      <c r="AH11" s="36">
        <f>(+AG11-+AG9)*48</f>
        <v>0</v>
      </c>
      <c r="AI11" s="76">
        <v>459010</v>
      </c>
      <c r="AJ11" s="36">
        <f t="shared" ref="AJ11:AJ39" si="10">(+AI11-+AI10)*48</f>
        <v>4896</v>
      </c>
      <c r="AK11" s="76">
        <v>102770</v>
      </c>
      <c r="AL11" s="36">
        <f>(+AK11-+AK9)*48</f>
        <v>0</v>
      </c>
      <c r="AM11" s="76">
        <v>624556</v>
      </c>
      <c r="AN11" s="36">
        <f t="shared" ref="AN11:AN39" si="11">(+AM11-+AM10)*48</f>
        <v>5232</v>
      </c>
      <c r="AO11" s="76">
        <v>15798</v>
      </c>
      <c r="AP11" s="36">
        <f t="shared" ref="AP11:AP39" si="12">(+AO11-+AO10)*48</f>
        <v>7728</v>
      </c>
      <c r="AQ11" s="76">
        <v>92550</v>
      </c>
      <c r="AR11" s="36">
        <f t="shared" ref="AR11:AR14" si="13">(+AQ11-+AQ10)*48</f>
        <v>0</v>
      </c>
      <c r="AS11" s="76">
        <v>2464</v>
      </c>
      <c r="AT11" s="36">
        <f>(+AS11-+AS9)*48</f>
        <v>0</v>
      </c>
      <c r="AU11" s="76">
        <v>939</v>
      </c>
      <c r="AV11" s="36">
        <f>(+AU11-+AU9)*48</f>
        <v>0</v>
      </c>
      <c r="AW11" s="76">
        <v>3110</v>
      </c>
      <c r="AX11" s="36">
        <f>(+AW11-+AW9)*48</f>
        <v>0</v>
      </c>
      <c r="AY11" s="76">
        <v>359624</v>
      </c>
      <c r="AZ11" s="36">
        <f t="shared" ref="AZ11:AZ26" si="14">(+AY11-+AY10)*48</f>
        <v>4032</v>
      </c>
      <c r="BA11" s="76">
        <v>161101</v>
      </c>
      <c r="BB11" s="36">
        <f>(+BA11-+BA9)*48</f>
        <v>0</v>
      </c>
      <c r="BC11" s="76">
        <v>242246</v>
      </c>
      <c r="BD11" s="36">
        <f>(+BC11-+BC9)*48</f>
        <v>5904</v>
      </c>
      <c r="BE11" s="76">
        <v>5350</v>
      </c>
      <c r="BF11" s="36">
        <f>(+BE11-+BE9)*48</f>
        <v>0</v>
      </c>
      <c r="BH11" s="103">
        <f t="shared" si="2"/>
        <v>139776.76799999998</v>
      </c>
      <c r="BI11" s="103">
        <f t="shared" si="3"/>
        <v>69705.600000000006</v>
      </c>
    </row>
    <row r="12" spans="1:61" s="34" customFormat="1" ht="39.950000000000003" customHeight="1">
      <c r="A12" s="186">
        <f t="shared" si="7"/>
        <v>44838</v>
      </c>
      <c r="B12" s="33"/>
      <c r="C12" s="76">
        <v>7215657</v>
      </c>
      <c r="D12" s="36">
        <f t="shared" ref="D12:D38" si="15">(+C12-+C11)*48</f>
        <v>114096</v>
      </c>
      <c r="E12" s="102">
        <f>D12*E5</f>
        <v>68457.599999999991</v>
      </c>
      <c r="F12" s="101">
        <f>D12*F5</f>
        <v>45638.400000000001</v>
      </c>
      <c r="G12" s="76">
        <v>300588</v>
      </c>
      <c r="H12" s="36">
        <f t="shared" si="1"/>
        <v>1776</v>
      </c>
      <c r="I12" s="76">
        <v>209370</v>
      </c>
      <c r="J12" s="36">
        <f t="shared" si="1"/>
        <v>8112</v>
      </c>
      <c r="K12" s="76">
        <v>273885</v>
      </c>
      <c r="L12" s="36">
        <f t="shared" si="1"/>
        <v>3024</v>
      </c>
      <c r="M12" s="76">
        <v>25572</v>
      </c>
      <c r="N12" s="36">
        <f t="shared" si="1"/>
        <v>0</v>
      </c>
      <c r="O12" s="76">
        <v>356752</v>
      </c>
      <c r="P12" s="36">
        <f t="shared" ref="P12:P38" si="16">(+O12-+O11)*48</f>
        <v>8880</v>
      </c>
      <c r="Q12" s="76">
        <v>487517</v>
      </c>
      <c r="R12" s="36">
        <f t="shared" ref="R12:R38" si="17">(+Q12-+Q11)*48</f>
        <v>1920</v>
      </c>
      <c r="S12" s="76">
        <v>781996</v>
      </c>
      <c r="T12" s="36">
        <f t="shared" ref="T12:T38" si="18">(+S12-+S11)*48</f>
        <v>5568</v>
      </c>
      <c r="U12" s="80">
        <v>7471.2359999999999</v>
      </c>
      <c r="V12" s="101">
        <f t="shared" ref="V12:V14" si="19">(+U12-+U11)*48</f>
        <v>1003.5360000000073</v>
      </c>
      <c r="W12" s="76">
        <v>86847</v>
      </c>
      <c r="X12" s="36">
        <f t="shared" si="8"/>
        <v>0</v>
      </c>
      <c r="Y12" s="76">
        <v>1523120</v>
      </c>
      <c r="Z12" s="36">
        <f t="shared" ref="Z12:Z35" si="20">(+Y12-+Y11)*48</f>
        <v>0</v>
      </c>
      <c r="AA12" s="76">
        <v>13886</v>
      </c>
      <c r="AB12" s="36">
        <f t="shared" ref="AB12:AB38" si="21">(+AA12-+AA11)*48</f>
        <v>0</v>
      </c>
      <c r="AC12" s="76">
        <v>518429</v>
      </c>
      <c r="AD12" s="36">
        <f t="shared" si="9"/>
        <v>5472</v>
      </c>
      <c r="AE12" s="76">
        <v>589363</v>
      </c>
      <c r="AF12" s="36">
        <f t="shared" si="9"/>
        <v>7920</v>
      </c>
      <c r="AG12" s="76">
        <v>49813</v>
      </c>
      <c r="AH12" s="36">
        <f t="shared" ref="AH12:AH37" si="22">(+AG12-+AG11)*48</f>
        <v>0</v>
      </c>
      <c r="AI12" s="76">
        <v>459109</v>
      </c>
      <c r="AJ12" s="36">
        <f t="shared" si="10"/>
        <v>4752</v>
      </c>
      <c r="AK12" s="76">
        <v>102770</v>
      </c>
      <c r="AL12" s="36">
        <f t="shared" ref="AL12:AL38" si="23">(+AK12-+AK11)*48</f>
        <v>0</v>
      </c>
      <c r="AM12" s="76">
        <v>624668</v>
      </c>
      <c r="AN12" s="36">
        <f t="shared" si="11"/>
        <v>5376</v>
      </c>
      <c r="AO12" s="76">
        <v>15970</v>
      </c>
      <c r="AP12" s="36">
        <f t="shared" si="12"/>
        <v>8256</v>
      </c>
      <c r="AQ12" s="76">
        <v>92550</v>
      </c>
      <c r="AR12" s="36">
        <f t="shared" si="13"/>
        <v>0</v>
      </c>
      <c r="AS12" s="76">
        <v>2464</v>
      </c>
      <c r="AT12" s="36">
        <f>(+AS12-+AS10)*48</f>
        <v>0</v>
      </c>
      <c r="AU12" s="76">
        <v>939</v>
      </c>
      <c r="AV12" s="36">
        <f>(+AU12-+AU11)*48</f>
        <v>0</v>
      </c>
      <c r="AW12" s="76">
        <v>3110</v>
      </c>
      <c r="AX12" s="36">
        <f t="shared" ref="AX12:AX33" si="24">(+AW12-+AW11)*48</f>
        <v>0</v>
      </c>
      <c r="AY12" s="76">
        <v>359718</v>
      </c>
      <c r="AZ12" s="36">
        <f t="shared" si="14"/>
        <v>4512</v>
      </c>
      <c r="BA12" s="76">
        <v>161101</v>
      </c>
      <c r="BB12" s="36">
        <f>(+BA12-+BA11)*48</f>
        <v>0</v>
      </c>
      <c r="BC12" s="76">
        <v>242314</v>
      </c>
      <c r="BD12" s="36">
        <f t="shared" ref="BD12:BD39" si="25">(+BC12-+BC11)*48</f>
        <v>3264</v>
      </c>
      <c r="BE12" s="76">
        <v>5350</v>
      </c>
      <c r="BF12" s="36">
        <f t="shared" ref="BF12:BF38" si="26">(+BE12-+BE11)*48</f>
        <v>0</v>
      </c>
      <c r="BH12" s="103">
        <f t="shared" si="2"/>
        <v>116885.136</v>
      </c>
      <c r="BI12" s="103">
        <f t="shared" si="3"/>
        <v>67046.399999999994</v>
      </c>
    </row>
    <row r="13" spans="1:61" s="34" customFormat="1" ht="39.950000000000003" customHeight="1">
      <c r="A13" s="186">
        <f t="shared" si="7"/>
        <v>44839</v>
      </c>
      <c r="B13" s="33"/>
      <c r="C13" s="76">
        <v>7217865</v>
      </c>
      <c r="D13" s="36">
        <f t="shared" si="15"/>
        <v>105984</v>
      </c>
      <c r="E13" s="102">
        <f>D13*E5</f>
        <v>63590.399999999994</v>
      </c>
      <c r="F13" s="101">
        <f>D13*F5</f>
        <v>42393.600000000006</v>
      </c>
      <c r="G13" s="76">
        <v>300626</v>
      </c>
      <c r="H13" s="36">
        <f t="shared" si="1"/>
        <v>1824</v>
      </c>
      <c r="I13" s="76">
        <v>209538</v>
      </c>
      <c r="J13" s="36">
        <f t="shared" si="1"/>
        <v>8064</v>
      </c>
      <c r="K13" s="76">
        <v>273900</v>
      </c>
      <c r="L13" s="36">
        <f t="shared" si="1"/>
        <v>720</v>
      </c>
      <c r="M13" s="76">
        <v>25572</v>
      </c>
      <c r="N13" s="36">
        <f t="shared" si="1"/>
        <v>0</v>
      </c>
      <c r="O13" s="76">
        <v>356964</v>
      </c>
      <c r="P13" s="36">
        <f t="shared" si="16"/>
        <v>10176</v>
      </c>
      <c r="Q13" s="76">
        <v>487576</v>
      </c>
      <c r="R13" s="36">
        <f t="shared" si="17"/>
        <v>2832</v>
      </c>
      <c r="S13" s="76">
        <v>782110</v>
      </c>
      <c r="T13" s="36">
        <f t="shared" si="18"/>
        <v>5472</v>
      </c>
      <c r="U13" s="80">
        <v>7492.0630000000001</v>
      </c>
      <c r="V13" s="101">
        <f t="shared" si="19"/>
        <v>999.69600000001083</v>
      </c>
      <c r="W13" s="76">
        <v>86863</v>
      </c>
      <c r="X13" s="36">
        <f t="shared" si="8"/>
        <v>768</v>
      </c>
      <c r="Y13" s="76">
        <v>1523120</v>
      </c>
      <c r="Z13" s="36">
        <f t="shared" si="20"/>
        <v>0</v>
      </c>
      <c r="AA13" s="76">
        <v>13886</v>
      </c>
      <c r="AB13" s="36">
        <f t="shared" si="21"/>
        <v>0</v>
      </c>
      <c r="AC13" s="76">
        <v>518553</v>
      </c>
      <c r="AD13" s="36">
        <f t="shared" si="9"/>
        <v>5952</v>
      </c>
      <c r="AE13" s="76">
        <v>589522</v>
      </c>
      <c r="AF13" s="36">
        <f t="shared" si="9"/>
        <v>7632</v>
      </c>
      <c r="AG13" s="76">
        <v>49813</v>
      </c>
      <c r="AH13" s="36">
        <f t="shared" si="22"/>
        <v>0</v>
      </c>
      <c r="AI13" s="76">
        <v>459166</v>
      </c>
      <c r="AJ13" s="36">
        <f t="shared" si="10"/>
        <v>2736</v>
      </c>
      <c r="AK13" s="76">
        <v>102770</v>
      </c>
      <c r="AL13" s="36">
        <f t="shared" si="23"/>
        <v>0</v>
      </c>
      <c r="AM13" s="76">
        <v>624778</v>
      </c>
      <c r="AN13" s="36">
        <f t="shared" si="11"/>
        <v>5280</v>
      </c>
      <c r="AO13" s="76">
        <v>16140</v>
      </c>
      <c r="AP13" s="36">
        <f t="shared" si="12"/>
        <v>8160</v>
      </c>
      <c r="AQ13" s="76">
        <v>92550</v>
      </c>
      <c r="AR13" s="36">
        <f t="shared" si="13"/>
        <v>0</v>
      </c>
      <c r="AS13" s="76">
        <v>2464</v>
      </c>
      <c r="AT13" s="36">
        <f t="shared" ref="AT13:AT34" si="27">(+AS13-+AS12)*48</f>
        <v>0</v>
      </c>
      <c r="AU13" s="76">
        <v>939</v>
      </c>
      <c r="AV13" s="36">
        <f t="shared" ref="AV13:AV38" si="28">(+AU13-+AU12)*48</f>
        <v>0</v>
      </c>
      <c r="AW13" s="76">
        <v>3110</v>
      </c>
      <c r="AX13" s="36">
        <f t="shared" si="24"/>
        <v>0</v>
      </c>
      <c r="AY13" s="76">
        <v>359807</v>
      </c>
      <c r="AZ13" s="36">
        <f t="shared" si="14"/>
        <v>4272</v>
      </c>
      <c r="BA13" s="76">
        <v>161101</v>
      </c>
      <c r="BB13" s="36">
        <f t="shared" ref="BB13:BB22" si="29">(+BA13-+BA12)*48</f>
        <v>0</v>
      </c>
      <c r="BC13" s="76">
        <v>242377</v>
      </c>
      <c r="BD13" s="36">
        <f t="shared" si="25"/>
        <v>3024</v>
      </c>
      <c r="BE13" s="76">
        <v>5350</v>
      </c>
      <c r="BF13" s="36">
        <f t="shared" si="26"/>
        <v>0</v>
      </c>
      <c r="BH13" s="103">
        <f t="shared" si="2"/>
        <v>110766.09600000001</v>
      </c>
      <c r="BI13" s="103">
        <f t="shared" si="3"/>
        <v>63129.600000000006</v>
      </c>
    </row>
    <row r="14" spans="1:61" s="34" customFormat="1" ht="39.950000000000003" customHeight="1">
      <c r="A14" s="186">
        <f t="shared" si="7"/>
        <v>44840</v>
      </c>
      <c r="B14" s="33"/>
      <c r="C14" s="76">
        <v>7220015</v>
      </c>
      <c r="D14" s="36">
        <f t="shared" si="15"/>
        <v>103200</v>
      </c>
      <c r="E14" s="102">
        <f>D14*E5</f>
        <v>61920</v>
      </c>
      <c r="F14" s="101">
        <f>D14*F5</f>
        <v>41280</v>
      </c>
      <c r="G14" s="76">
        <v>300674</v>
      </c>
      <c r="H14" s="36">
        <f t="shared" si="1"/>
        <v>2304</v>
      </c>
      <c r="I14" s="76">
        <v>209708</v>
      </c>
      <c r="J14" s="36">
        <f t="shared" si="1"/>
        <v>8160</v>
      </c>
      <c r="K14" s="76">
        <v>273937</v>
      </c>
      <c r="L14" s="36">
        <f t="shared" si="1"/>
        <v>1776</v>
      </c>
      <c r="M14" s="76">
        <v>25576</v>
      </c>
      <c r="N14" s="36">
        <f t="shared" si="1"/>
        <v>192</v>
      </c>
      <c r="O14" s="76">
        <v>357148</v>
      </c>
      <c r="P14" s="36">
        <f t="shared" si="16"/>
        <v>8832</v>
      </c>
      <c r="Q14" s="76">
        <v>487631</v>
      </c>
      <c r="R14" s="36">
        <f t="shared" si="17"/>
        <v>2640</v>
      </c>
      <c r="S14" s="76">
        <v>782249</v>
      </c>
      <c r="T14" s="36">
        <f t="shared" si="18"/>
        <v>6672</v>
      </c>
      <c r="U14" s="80">
        <v>7511.2690000000002</v>
      </c>
      <c r="V14" s="101">
        <f t="shared" si="19"/>
        <v>921.88800000000629</v>
      </c>
      <c r="W14" s="76">
        <v>86881</v>
      </c>
      <c r="X14" s="36">
        <f t="shared" si="8"/>
        <v>864</v>
      </c>
      <c r="Y14" s="76">
        <v>1523120</v>
      </c>
      <c r="Z14" s="36">
        <f>(+Y14-+Y13)*48</f>
        <v>0</v>
      </c>
      <c r="AA14" s="76">
        <v>13886</v>
      </c>
      <c r="AB14" s="36">
        <f>(+AA14-+AA13)*48</f>
        <v>0</v>
      </c>
      <c r="AC14" s="76">
        <v>518677</v>
      </c>
      <c r="AD14" s="36">
        <f t="shared" si="9"/>
        <v>5952</v>
      </c>
      <c r="AE14" s="76">
        <v>589691</v>
      </c>
      <c r="AF14" s="36">
        <f t="shared" si="9"/>
        <v>8112</v>
      </c>
      <c r="AG14" s="76">
        <v>49813</v>
      </c>
      <c r="AH14" s="36">
        <f t="shared" si="22"/>
        <v>0</v>
      </c>
      <c r="AI14" s="76">
        <v>459297</v>
      </c>
      <c r="AJ14" s="36">
        <f t="shared" si="10"/>
        <v>6288</v>
      </c>
      <c r="AK14" s="76">
        <v>102770</v>
      </c>
      <c r="AL14" s="36">
        <f t="shared" si="23"/>
        <v>0</v>
      </c>
      <c r="AM14" s="76">
        <v>624889</v>
      </c>
      <c r="AN14" s="36">
        <f t="shared" si="11"/>
        <v>5328</v>
      </c>
      <c r="AO14" s="76">
        <v>16303</v>
      </c>
      <c r="AP14" s="36">
        <f t="shared" si="12"/>
        <v>7824</v>
      </c>
      <c r="AQ14" s="76">
        <v>92550</v>
      </c>
      <c r="AR14" s="36">
        <f t="shared" si="13"/>
        <v>0</v>
      </c>
      <c r="AS14" s="76">
        <v>2464</v>
      </c>
      <c r="AT14" s="36">
        <f t="shared" si="27"/>
        <v>0</v>
      </c>
      <c r="AU14" s="76">
        <v>939</v>
      </c>
      <c r="AV14" s="36">
        <f>(+AU14-+AU13)*48</f>
        <v>0</v>
      </c>
      <c r="AW14" s="76">
        <v>3110</v>
      </c>
      <c r="AX14" s="36">
        <f t="shared" si="24"/>
        <v>0</v>
      </c>
      <c r="AY14" s="76">
        <v>359899</v>
      </c>
      <c r="AZ14" s="36">
        <f t="shared" si="14"/>
        <v>4416</v>
      </c>
      <c r="BA14" s="76">
        <v>161101</v>
      </c>
      <c r="BB14" s="36">
        <f t="shared" si="29"/>
        <v>0</v>
      </c>
      <c r="BC14" s="76">
        <v>242435</v>
      </c>
      <c r="BD14" s="36">
        <f t="shared" si="25"/>
        <v>2784</v>
      </c>
      <c r="BE14" s="76">
        <v>5350</v>
      </c>
      <c r="BF14" s="36">
        <f t="shared" si="26"/>
        <v>0</v>
      </c>
      <c r="BH14" s="103">
        <f>SUM(E14,J14,P14,H14,L14,R14,T14,V14,X14,N14,AB14,Z14,AD14,AF14,AH14,AL14,AJ14)</f>
        <v>114633.88800000001</v>
      </c>
      <c r="BI14" s="103">
        <f t="shared" si="3"/>
        <v>61632</v>
      </c>
    </row>
    <row r="15" spans="1:61" s="34" customFormat="1" ht="39.950000000000003" customHeight="1">
      <c r="A15" s="186">
        <f t="shared" si="7"/>
        <v>44841</v>
      </c>
      <c r="B15" s="33"/>
      <c r="C15" s="76">
        <v>7222256</v>
      </c>
      <c r="D15" s="36">
        <f t="shared" si="15"/>
        <v>107568</v>
      </c>
      <c r="E15" s="102">
        <f>D15*E5</f>
        <v>64540.799999999996</v>
      </c>
      <c r="F15" s="101">
        <f>D15*F5</f>
        <v>43027.200000000004</v>
      </c>
      <c r="G15" s="76">
        <v>300718</v>
      </c>
      <c r="H15" s="36">
        <f t="shared" si="1"/>
        <v>2112</v>
      </c>
      <c r="I15" s="76">
        <v>209873</v>
      </c>
      <c r="J15" s="36">
        <f t="shared" si="1"/>
        <v>7920</v>
      </c>
      <c r="K15" s="76">
        <v>273989</v>
      </c>
      <c r="L15" s="36">
        <f t="shared" si="1"/>
        <v>2496</v>
      </c>
      <c r="M15" s="76">
        <v>25588</v>
      </c>
      <c r="N15" s="36">
        <f t="shared" si="1"/>
        <v>576</v>
      </c>
      <c r="O15" s="76">
        <v>357333</v>
      </c>
      <c r="P15" s="36">
        <f t="shared" si="16"/>
        <v>8880</v>
      </c>
      <c r="Q15" s="76">
        <v>487684</v>
      </c>
      <c r="R15" s="36">
        <f t="shared" si="17"/>
        <v>2544</v>
      </c>
      <c r="S15" s="76">
        <v>782395</v>
      </c>
      <c r="T15" s="36">
        <f t="shared" si="18"/>
        <v>7008</v>
      </c>
      <c r="U15" s="80">
        <v>7531.3720000000003</v>
      </c>
      <c r="V15" s="101">
        <f>(+U15-+U14)*48</f>
        <v>964.94400000000314</v>
      </c>
      <c r="W15" s="76">
        <v>86900</v>
      </c>
      <c r="X15" s="36">
        <f t="shared" si="8"/>
        <v>912</v>
      </c>
      <c r="Y15" s="76">
        <v>1523120</v>
      </c>
      <c r="Z15" s="36">
        <f>(+Y15-+Y14)*48</f>
        <v>0</v>
      </c>
      <c r="AA15" s="76">
        <v>13886</v>
      </c>
      <c r="AB15" s="36">
        <f>(+AA15-+AA14)*48</f>
        <v>0</v>
      </c>
      <c r="AC15" s="76">
        <v>518801</v>
      </c>
      <c r="AD15" s="36">
        <f t="shared" si="9"/>
        <v>5952</v>
      </c>
      <c r="AE15" s="76">
        <v>589856</v>
      </c>
      <c r="AF15" s="36">
        <f t="shared" si="9"/>
        <v>7920</v>
      </c>
      <c r="AG15" s="76">
        <v>49813</v>
      </c>
      <c r="AH15" s="36">
        <f t="shared" si="22"/>
        <v>0</v>
      </c>
      <c r="AI15" s="76">
        <v>459387</v>
      </c>
      <c r="AJ15" s="36">
        <f t="shared" si="10"/>
        <v>4320</v>
      </c>
      <c r="AK15" s="76">
        <v>102770</v>
      </c>
      <c r="AL15" s="36">
        <f t="shared" si="23"/>
        <v>0</v>
      </c>
      <c r="AM15" s="76">
        <v>625001</v>
      </c>
      <c r="AN15" s="36">
        <f t="shared" si="11"/>
        <v>5376</v>
      </c>
      <c r="AO15" s="76">
        <v>16420</v>
      </c>
      <c r="AP15" s="36">
        <f t="shared" si="12"/>
        <v>5616</v>
      </c>
      <c r="AQ15" s="76">
        <v>92550</v>
      </c>
      <c r="AR15" s="36">
        <f t="shared" ref="AR15:AR39" si="30">(+AQ15-+AQ14)*48</f>
        <v>0</v>
      </c>
      <c r="AS15" s="76">
        <v>2464</v>
      </c>
      <c r="AT15" s="36">
        <f>(+AS15-+AS14)*48</f>
        <v>0</v>
      </c>
      <c r="AU15" s="76">
        <v>939</v>
      </c>
      <c r="AV15" s="36">
        <f>(+AU15-+AU14)*48</f>
        <v>0</v>
      </c>
      <c r="AW15" s="76">
        <v>3110</v>
      </c>
      <c r="AX15" s="36">
        <f t="shared" si="24"/>
        <v>0</v>
      </c>
      <c r="AY15" s="76">
        <v>359992</v>
      </c>
      <c r="AZ15" s="36">
        <f t="shared" si="14"/>
        <v>4464</v>
      </c>
      <c r="BA15" s="76">
        <v>161101</v>
      </c>
      <c r="BB15" s="36">
        <f t="shared" si="29"/>
        <v>0</v>
      </c>
      <c r="BC15" s="76">
        <v>242500</v>
      </c>
      <c r="BD15" s="36">
        <f t="shared" si="25"/>
        <v>3120</v>
      </c>
      <c r="BE15" s="76">
        <v>5350</v>
      </c>
      <c r="BF15" s="36">
        <f t="shared" si="26"/>
        <v>0</v>
      </c>
      <c r="BH15" s="103">
        <f t="shared" si="2"/>
        <v>116145.74399999999</v>
      </c>
      <c r="BI15" s="103">
        <f t="shared" si="3"/>
        <v>61603.200000000004</v>
      </c>
    </row>
    <row r="16" spans="1:61" s="34" customFormat="1" ht="39.950000000000003" customHeight="1">
      <c r="A16" s="186">
        <f t="shared" si="7"/>
        <v>44842</v>
      </c>
      <c r="B16" s="33"/>
      <c r="C16" s="76">
        <v>7224591</v>
      </c>
      <c r="D16" s="36">
        <f t="shared" si="15"/>
        <v>112080</v>
      </c>
      <c r="E16" s="102">
        <f>D16*E5</f>
        <v>67248</v>
      </c>
      <c r="F16" s="101">
        <f>D16*F5</f>
        <v>44832</v>
      </c>
      <c r="G16" s="76">
        <v>300777</v>
      </c>
      <c r="H16" s="36">
        <f t="shared" si="1"/>
        <v>2832</v>
      </c>
      <c r="I16" s="76">
        <v>210039</v>
      </c>
      <c r="J16" s="36">
        <f t="shared" si="1"/>
        <v>7968</v>
      </c>
      <c r="K16" s="76">
        <v>274049</v>
      </c>
      <c r="L16" s="36">
        <f t="shared" si="1"/>
        <v>2880</v>
      </c>
      <c r="M16" s="76">
        <v>25595</v>
      </c>
      <c r="N16" s="36">
        <f t="shared" si="1"/>
        <v>336</v>
      </c>
      <c r="O16" s="76">
        <v>357539</v>
      </c>
      <c r="P16" s="36">
        <f t="shared" si="16"/>
        <v>9888</v>
      </c>
      <c r="Q16" s="76">
        <v>487774</v>
      </c>
      <c r="R16" s="36">
        <f t="shared" si="17"/>
        <v>4320</v>
      </c>
      <c r="S16" s="76">
        <v>782544</v>
      </c>
      <c r="T16" s="36">
        <f t="shared" si="18"/>
        <v>7152</v>
      </c>
      <c r="U16" s="80">
        <v>7551.37</v>
      </c>
      <c r="V16" s="101">
        <f t="shared" ref="D16:V39" si="31">(+U16-+U15)*48</f>
        <v>959.90399999998044</v>
      </c>
      <c r="W16" s="76">
        <v>86920</v>
      </c>
      <c r="X16" s="36">
        <f t="shared" si="8"/>
        <v>960</v>
      </c>
      <c r="Y16" s="76">
        <v>1523120</v>
      </c>
      <c r="Z16" s="36">
        <f>(+Y16-+Y15)*48</f>
        <v>0</v>
      </c>
      <c r="AA16" s="76">
        <v>13886</v>
      </c>
      <c r="AB16" s="36">
        <f>(+AA16-+AA15)*48</f>
        <v>0</v>
      </c>
      <c r="AC16" s="80">
        <v>518926</v>
      </c>
      <c r="AD16" s="36">
        <f t="shared" si="9"/>
        <v>6000</v>
      </c>
      <c r="AE16" s="76">
        <v>590022</v>
      </c>
      <c r="AF16" s="36">
        <f t="shared" si="9"/>
        <v>7968</v>
      </c>
      <c r="AG16" s="76">
        <v>49813</v>
      </c>
      <c r="AH16" s="36">
        <f t="shared" si="22"/>
        <v>0</v>
      </c>
      <c r="AI16" s="76">
        <v>459484</v>
      </c>
      <c r="AJ16" s="36">
        <f t="shared" si="10"/>
        <v>4656</v>
      </c>
      <c r="AK16" s="76">
        <v>102770</v>
      </c>
      <c r="AL16" s="36">
        <f t="shared" si="23"/>
        <v>0</v>
      </c>
      <c r="AM16" s="76">
        <v>625114</v>
      </c>
      <c r="AN16" s="36">
        <f t="shared" si="11"/>
        <v>5424</v>
      </c>
      <c r="AO16" s="76">
        <v>16575</v>
      </c>
      <c r="AP16" s="36">
        <f t="shared" si="12"/>
        <v>7440</v>
      </c>
      <c r="AQ16" s="76">
        <v>92550</v>
      </c>
      <c r="AR16" s="36">
        <f t="shared" si="30"/>
        <v>0</v>
      </c>
      <c r="AS16" s="76">
        <v>2464</v>
      </c>
      <c r="AT16" s="36">
        <f>(+AS16-+AS15)*48</f>
        <v>0</v>
      </c>
      <c r="AU16" s="76">
        <v>939</v>
      </c>
      <c r="AV16" s="36">
        <f>(+AU16-+AU15)*48</f>
        <v>0</v>
      </c>
      <c r="AW16" s="76">
        <v>3110</v>
      </c>
      <c r="AX16" s="36">
        <f t="shared" si="24"/>
        <v>0</v>
      </c>
      <c r="AY16" s="76">
        <v>360084</v>
      </c>
      <c r="AZ16" s="36">
        <f t="shared" si="14"/>
        <v>4416</v>
      </c>
      <c r="BA16" s="76">
        <v>161101</v>
      </c>
      <c r="BB16" s="36">
        <f t="shared" si="29"/>
        <v>0</v>
      </c>
      <c r="BC16" s="76">
        <v>242567</v>
      </c>
      <c r="BD16" s="36">
        <f t="shared" si="25"/>
        <v>3216</v>
      </c>
      <c r="BE16" s="76">
        <v>5350</v>
      </c>
      <c r="BF16" s="36">
        <f t="shared" si="26"/>
        <v>0</v>
      </c>
      <c r="BH16" s="103">
        <f t="shared" si="2"/>
        <v>123167.90399999998</v>
      </c>
      <c r="BI16" s="103">
        <f t="shared" si="3"/>
        <v>65328</v>
      </c>
    </row>
    <row r="17" spans="1:61" s="34" customFormat="1" ht="39.950000000000003" customHeight="1">
      <c r="A17" s="186">
        <f t="shared" si="7"/>
        <v>44843</v>
      </c>
      <c r="B17" s="33"/>
      <c r="C17" s="76">
        <v>7226979</v>
      </c>
      <c r="D17" s="36">
        <f t="shared" si="15"/>
        <v>114624</v>
      </c>
      <c r="E17" s="102">
        <f>D17*E5</f>
        <v>68774.399999999994</v>
      </c>
      <c r="F17" s="101">
        <f>D17*F5</f>
        <v>45849.600000000006</v>
      </c>
      <c r="G17" s="76">
        <v>300854</v>
      </c>
      <c r="H17" s="36">
        <f t="shared" si="1"/>
        <v>3696</v>
      </c>
      <c r="I17" s="76">
        <v>210207</v>
      </c>
      <c r="J17" s="36">
        <f t="shared" si="1"/>
        <v>8064</v>
      </c>
      <c r="K17" s="76">
        <v>274146</v>
      </c>
      <c r="L17" s="36">
        <f t="shared" si="1"/>
        <v>4656</v>
      </c>
      <c r="M17" s="76">
        <v>25601</v>
      </c>
      <c r="N17" s="36">
        <f t="shared" si="1"/>
        <v>288</v>
      </c>
      <c r="O17" s="76">
        <v>357762</v>
      </c>
      <c r="P17" s="36">
        <f t="shared" si="16"/>
        <v>10704</v>
      </c>
      <c r="Q17" s="76">
        <v>487869</v>
      </c>
      <c r="R17" s="36">
        <f t="shared" si="17"/>
        <v>4560</v>
      </c>
      <c r="S17" s="76">
        <v>782682</v>
      </c>
      <c r="T17" s="36">
        <f t="shared" si="18"/>
        <v>6624</v>
      </c>
      <c r="U17" s="80">
        <v>7573</v>
      </c>
      <c r="V17" s="101">
        <f t="shared" si="31"/>
        <v>1038.2400000000052</v>
      </c>
      <c r="W17" s="76">
        <v>86942</v>
      </c>
      <c r="X17" s="36">
        <f t="shared" si="8"/>
        <v>1056</v>
      </c>
      <c r="Y17" s="76">
        <v>1523120</v>
      </c>
      <c r="Z17" s="101">
        <f t="shared" si="20"/>
        <v>0</v>
      </c>
      <c r="AA17" s="76">
        <v>13886</v>
      </c>
      <c r="AB17" s="36">
        <f t="shared" si="21"/>
        <v>0</v>
      </c>
      <c r="AC17" s="80">
        <v>519055</v>
      </c>
      <c r="AD17" s="36">
        <f t="shared" si="9"/>
        <v>6192</v>
      </c>
      <c r="AE17" s="76">
        <v>590193</v>
      </c>
      <c r="AF17" s="36">
        <f t="shared" si="9"/>
        <v>8208</v>
      </c>
      <c r="AG17" s="76">
        <v>49813</v>
      </c>
      <c r="AH17" s="36">
        <f>(+AG17-+AG16)*48</f>
        <v>0</v>
      </c>
      <c r="AI17" s="76">
        <v>459691</v>
      </c>
      <c r="AJ17" s="36">
        <f t="shared" si="10"/>
        <v>9936</v>
      </c>
      <c r="AK17" s="76">
        <v>102770</v>
      </c>
      <c r="AL17" s="36">
        <f t="shared" si="23"/>
        <v>0</v>
      </c>
      <c r="AM17" s="76">
        <v>625128</v>
      </c>
      <c r="AN17" s="36">
        <f t="shared" si="11"/>
        <v>672</v>
      </c>
      <c r="AO17" s="76">
        <v>16742</v>
      </c>
      <c r="AP17" s="36">
        <f t="shared" si="12"/>
        <v>8016</v>
      </c>
      <c r="AQ17" s="76">
        <v>92550</v>
      </c>
      <c r="AR17" s="36">
        <f t="shared" si="30"/>
        <v>0</v>
      </c>
      <c r="AS17" s="76">
        <v>2464</v>
      </c>
      <c r="AT17" s="36">
        <f>(+AS17-+AS16)*48</f>
        <v>0</v>
      </c>
      <c r="AU17" s="76">
        <v>939</v>
      </c>
      <c r="AV17" s="36">
        <f t="shared" si="28"/>
        <v>0</v>
      </c>
      <c r="AW17" s="76">
        <v>3110</v>
      </c>
      <c r="AX17" s="36">
        <f t="shared" si="24"/>
        <v>0</v>
      </c>
      <c r="AY17" s="76">
        <v>360181</v>
      </c>
      <c r="AZ17" s="36">
        <f t="shared" si="14"/>
        <v>4656</v>
      </c>
      <c r="BA17" s="76">
        <v>161101</v>
      </c>
      <c r="BB17" s="36">
        <f t="shared" si="29"/>
        <v>0</v>
      </c>
      <c r="BC17" s="80">
        <v>242630</v>
      </c>
      <c r="BD17" s="101">
        <f t="shared" si="25"/>
        <v>3024</v>
      </c>
      <c r="BE17" s="76">
        <v>5350</v>
      </c>
      <c r="BF17" s="36">
        <f>(+BE17-+BE16)*48</f>
        <v>0</v>
      </c>
      <c r="BH17" s="103">
        <f>SUM(E17,J17,P17,H17,L17,R17,T17,V17,X17,N17,AB17,Z17,AD17,AF17,AH17,AL17,AJ17)</f>
        <v>133796.64000000001</v>
      </c>
      <c r="BI17" s="103">
        <f t="shared" si="3"/>
        <v>62217.600000000006</v>
      </c>
    </row>
    <row r="18" spans="1:61" s="34" customFormat="1" ht="39.950000000000003" customHeight="1">
      <c r="A18" s="186">
        <f t="shared" si="7"/>
        <v>44844</v>
      </c>
      <c r="B18" s="33"/>
      <c r="C18" s="76">
        <v>7229361</v>
      </c>
      <c r="D18" s="36">
        <f t="shared" si="15"/>
        <v>114336</v>
      </c>
      <c r="E18" s="102">
        <f>D18*E5</f>
        <v>68601.599999999991</v>
      </c>
      <c r="F18" s="101">
        <f>D18*F5</f>
        <v>45734.400000000001</v>
      </c>
      <c r="G18" s="76">
        <v>300911</v>
      </c>
      <c r="H18" s="36">
        <f t="shared" si="1"/>
        <v>2736</v>
      </c>
      <c r="I18" s="76">
        <v>210377</v>
      </c>
      <c r="J18" s="36">
        <f t="shared" si="1"/>
        <v>8160</v>
      </c>
      <c r="K18" s="76">
        <v>274236</v>
      </c>
      <c r="L18" s="36">
        <f t="shared" si="1"/>
        <v>4320</v>
      </c>
      <c r="M18" s="76">
        <v>25606</v>
      </c>
      <c r="N18" s="36">
        <f t="shared" si="1"/>
        <v>240</v>
      </c>
      <c r="O18" s="76">
        <v>357975</v>
      </c>
      <c r="P18" s="36">
        <f t="shared" si="16"/>
        <v>10224</v>
      </c>
      <c r="Q18" s="76">
        <v>487945</v>
      </c>
      <c r="R18" s="36">
        <f t="shared" si="17"/>
        <v>3648</v>
      </c>
      <c r="S18" s="76">
        <v>782824</v>
      </c>
      <c r="T18" s="36">
        <f t="shared" si="18"/>
        <v>6816</v>
      </c>
      <c r="U18" s="80">
        <v>7597.6660000000002</v>
      </c>
      <c r="V18" s="101">
        <f t="shared" si="31"/>
        <v>1183.968000000008</v>
      </c>
      <c r="W18" s="76">
        <v>86958</v>
      </c>
      <c r="X18" s="36">
        <f t="shared" si="8"/>
        <v>768</v>
      </c>
      <c r="Y18" s="76">
        <v>1523120</v>
      </c>
      <c r="Z18" s="101">
        <f t="shared" si="20"/>
        <v>0</v>
      </c>
      <c r="AA18" s="76">
        <v>13886</v>
      </c>
      <c r="AB18" s="36">
        <f t="shared" si="21"/>
        <v>0</v>
      </c>
      <c r="AC18" s="76">
        <v>519184</v>
      </c>
      <c r="AD18" s="36">
        <f t="shared" si="9"/>
        <v>6192</v>
      </c>
      <c r="AE18" s="76">
        <v>590360</v>
      </c>
      <c r="AF18" s="36">
        <f t="shared" si="9"/>
        <v>8016</v>
      </c>
      <c r="AG18" s="76">
        <v>49813</v>
      </c>
      <c r="AH18" s="36">
        <f>(+AG18-+AG17)*48</f>
        <v>0</v>
      </c>
      <c r="AI18" s="76">
        <v>459699</v>
      </c>
      <c r="AJ18" s="36">
        <f t="shared" si="10"/>
        <v>384</v>
      </c>
      <c r="AK18" s="76">
        <v>102770</v>
      </c>
      <c r="AL18" s="36">
        <f t="shared" si="23"/>
        <v>0</v>
      </c>
      <c r="AM18" s="76">
        <v>625331</v>
      </c>
      <c r="AN18" s="36">
        <f t="shared" si="11"/>
        <v>9744</v>
      </c>
      <c r="AO18" s="76">
        <v>16913</v>
      </c>
      <c r="AP18" s="36">
        <f t="shared" si="12"/>
        <v>8208</v>
      </c>
      <c r="AQ18" s="76">
        <v>92550</v>
      </c>
      <c r="AR18" s="36">
        <f t="shared" si="30"/>
        <v>0</v>
      </c>
      <c r="AS18" s="76">
        <v>2464</v>
      </c>
      <c r="AT18" s="36">
        <f t="shared" si="27"/>
        <v>0</v>
      </c>
      <c r="AU18" s="76">
        <v>939</v>
      </c>
      <c r="AV18" s="36">
        <f t="shared" si="28"/>
        <v>0</v>
      </c>
      <c r="AW18" s="76">
        <v>3110</v>
      </c>
      <c r="AX18" s="36">
        <f t="shared" si="24"/>
        <v>0</v>
      </c>
      <c r="AY18" s="76">
        <v>360272</v>
      </c>
      <c r="AZ18" s="36">
        <f t="shared" si="14"/>
        <v>4368</v>
      </c>
      <c r="BA18" s="76">
        <v>161101</v>
      </c>
      <c r="BB18" s="36">
        <f t="shared" si="29"/>
        <v>0</v>
      </c>
      <c r="BC18" s="80">
        <v>242693</v>
      </c>
      <c r="BD18" s="101">
        <f t="shared" si="25"/>
        <v>3024</v>
      </c>
      <c r="BE18" s="76">
        <v>5350</v>
      </c>
      <c r="BF18" s="36">
        <f>(+BE18-+BE17)*48</f>
        <v>0</v>
      </c>
      <c r="BH18" s="103">
        <f t="shared" si="2"/>
        <v>121289.568</v>
      </c>
      <c r="BI18" s="103">
        <f t="shared" si="3"/>
        <v>71078.399999999994</v>
      </c>
    </row>
    <row r="19" spans="1:61" s="34" customFormat="1" ht="39.950000000000003" customHeight="1">
      <c r="A19" s="186">
        <f t="shared" si="7"/>
        <v>44845</v>
      </c>
      <c r="B19" s="33"/>
      <c r="C19" s="76">
        <v>7231612</v>
      </c>
      <c r="D19" s="36">
        <f t="shared" si="15"/>
        <v>108048</v>
      </c>
      <c r="E19" s="102">
        <f>D19*E5</f>
        <v>64828.799999999996</v>
      </c>
      <c r="F19" s="101">
        <f>D19*F5</f>
        <v>43219.200000000004</v>
      </c>
      <c r="G19" s="76">
        <v>300954</v>
      </c>
      <c r="H19" s="36">
        <f t="shared" si="1"/>
        <v>2064</v>
      </c>
      <c r="I19" s="76">
        <v>210542</v>
      </c>
      <c r="J19" s="36">
        <f t="shared" si="1"/>
        <v>7920</v>
      </c>
      <c r="K19" s="76">
        <v>274245</v>
      </c>
      <c r="L19" s="36">
        <f t="shared" si="1"/>
        <v>432</v>
      </c>
      <c r="M19" s="76">
        <v>25606</v>
      </c>
      <c r="N19" s="36">
        <f t="shared" si="1"/>
        <v>0</v>
      </c>
      <c r="O19" s="76">
        <v>358159</v>
      </c>
      <c r="P19" s="36">
        <f t="shared" si="16"/>
        <v>8832</v>
      </c>
      <c r="Q19" s="76">
        <v>488007</v>
      </c>
      <c r="R19" s="36">
        <f t="shared" si="17"/>
        <v>2976</v>
      </c>
      <c r="S19" s="76">
        <v>782958</v>
      </c>
      <c r="T19" s="36">
        <f t="shared" si="18"/>
        <v>6432</v>
      </c>
      <c r="U19" s="80">
        <v>7691</v>
      </c>
      <c r="V19" s="101">
        <f t="shared" si="31"/>
        <v>4480.031999999992</v>
      </c>
      <c r="W19" s="76">
        <v>86961</v>
      </c>
      <c r="X19" s="36">
        <f t="shared" si="8"/>
        <v>144</v>
      </c>
      <c r="Y19" s="76">
        <v>1523494</v>
      </c>
      <c r="Z19" s="36">
        <f t="shared" si="20"/>
        <v>17952</v>
      </c>
      <c r="AA19" s="76">
        <v>13886</v>
      </c>
      <c r="AB19" s="36">
        <f t="shared" si="21"/>
        <v>0</v>
      </c>
      <c r="AC19" s="76">
        <v>519291</v>
      </c>
      <c r="AD19" s="36">
        <f t="shared" si="9"/>
        <v>5136</v>
      </c>
      <c r="AE19" s="76">
        <v>590487</v>
      </c>
      <c r="AF19" s="36">
        <f t="shared" si="9"/>
        <v>6096</v>
      </c>
      <c r="AG19" s="76">
        <v>49813</v>
      </c>
      <c r="AH19" s="36">
        <f>(+AG19-+AG18)*48</f>
        <v>0</v>
      </c>
      <c r="AI19" s="76">
        <v>459800</v>
      </c>
      <c r="AJ19" s="36">
        <f t="shared" si="10"/>
        <v>4848</v>
      </c>
      <c r="AK19" s="76">
        <v>102770</v>
      </c>
      <c r="AL19" s="36">
        <f t="shared" si="23"/>
        <v>0</v>
      </c>
      <c r="AM19" s="76">
        <v>625389</v>
      </c>
      <c r="AN19" s="36">
        <f t="shared" si="11"/>
        <v>2784</v>
      </c>
      <c r="AO19" s="76">
        <v>16999</v>
      </c>
      <c r="AP19" s="36">
        <f t="shared" si="12"/>
        <v>4128</v>
      </c>
      <c r="AQ19" s="76">
        <v>92696</v>
      </c>
      <c r="AR19" s="36">
        <f t="shared" si="30"/>
        <v>7008</v>
      </c>
      <c r="AS19" s="76">
        <v>2464</v>
      </c>
      <c r="AT19" s="36">
        <f t="shared" si="27"/>
        <v>0</v>
      </c>
      <c r="AU19" s="76">
        <v>939</v>
      </c>
      <c r="AV19" s="36">
        <f t="shared" si="28"/>
        <v>0</v>
      </c>
      <c r="AW19" s="76">
        <v>3110</v>
      </c>
      <c r="AX19" s="36">
        <f>(+AW19-+AW18)*48</f>
        <v>0</v>
      </c>
      <c r="AY19" s="76">
        <v>360367</v>
      </c>
      <c r="AZ19" s="36">
        <f t="shared" si="14"/>
        <v>4560</v>
      </c>
      <c r="BA19" s="76">
        <v>161101</v>
      </c>
      <c r="BB19" s="36">
        <f t="shared" si="29"/>
        <v>0</v>
      </c>
      <c r="BC19" s="80">
        <v>242760</v>
      </c>
      <c r="BD19" s="36">
        <f t="shared" si="25"/>
        <v>3216</v>
      </c>
      <c r="BE19" s="76">
        <v>5350</v>
      </c>
      <c r="BF19" s="36">
        <f>(+BE19-+BE18)*48</f>
        <v>0</v>
      </c>
      <c r="BH19" s="103">
        <f t="shared" si="2"/>
        <v>132140.83199999999</v>
      </c>
      <c r="BI19" s="103">
        <f t="shared" si="3"/>
        <v>64915.200000000004</v>
      </c>
    </row>
    <row r="20" spans="1:61" s="34" customFormat="1" ht="39.950000000000003" customHeight="1">
      <c r="A20" s="186">
        <f t="shared" si="7"/>
        <v>44846</v>
      </c>
      <c r="B20" s="33"/>
      <c r="C20" s="76">
        <v>7233862</v>
      </c>
      <c r="D20" s="36">
        <f t="shared" si="15"/>
        <v>108000</v>
      </c>
      <c r="E20" s="102">
        <f>D20*E5</f>
        <v>64800</v>
      </c>
      <c r="F20" s="101">
        <f>D20*F5</f>
        <v>43200</v>
      </c>
      <c r="G20" s="76">
        <v>300993</v>
      </c>
      <c r="H20" s="36">
        <f t="shared" si="1"/>
        <v>1872</v>
      </c>
      <c r="I20" s="76">
        <v>210710</v>
      </c>
      <c r="J20" s="36">
        <f t="shared" si="1"/>
        <v>8064</v>
      </c>
      <c r="K20" s="76">
        <v>274264</v>
      </c>
      <c r="L20" s="36">
        <f t="shared" si="1"/>
        <v>912</v>
      </c>
      <c r="M20" s="76">
        <v>25606</v>
      </c>
      <c r="N20" s="36">
        <f t="shared" si="1"/>
        <v>0</v>
      </c>
      <c r="O20" s="76">
        <v>358335</v>
      </c>
      <c r="P20" s="36">
        <f t="shared" si="16"/>
        <v>8448</v>
      </c>
      <c r="Q20" s="76">
        <v>488066</v>
      </c>
      <c r="R20" s="36">
        <f t="shared" si="17"/>
        <v>2832</v>
      </c>
      <c r="S20" s="76">
        <v>783116</v>
      </c>
      <c r="T20" s="36">
        <f t="shared" si="18"/>
        <v>7584</v>
      </c>
      <c r="U20" s="80">
        <v>7643.8969999999999</v>
      </c>
      <c r="V20" s="101">
        <f t="shared" si="31"/>
        <v>-2260.9440000000031</v>
      </c>
      <c r="W20" s="76">
        <v>86983</v>
      </c>
      <c r="X20" s="36">
        <f t="shared" si="8"/>
        <v>1056</v>
      </c>
      <c r="Y20" s="76">
        <v>1523753</v>
      </c>
      <c r="Z20" s="36">
        <f t="shared" si="20"/>
        <v>12432</v>
      </c>
      <c r="AA20" s="76">
        <v>13886</v>
      </c>
      <c r="AB20" s="36">
        <f t="shared" si="21"/>
        <v>0</v>
      </c>
      <c r="AC20" s="76">
        <v>519401</v>
      </c>
      <c r="AD20" s="36">
        <f t="shared" si="9"/>
        <v>5280</v>
      </c>
      <c r="AE20" s="76">
        <v>590627</v>
      </c>
      <c r="AF20" s="36">
        <f t="shared" si="9"/>
        <v>6720</v>
      </c>
      <c r="AG20" s="76">
        <v>49813</v>
      </c>
      <c r="AH20" s="36">
        <f>(+AG20-+AG19)*48</f>
        <v>0</v>
      </c>
      <c r="AI20" s="76">
        <v>459892</v>
      </c>
      <c r="AJ20" s="36">
        <f t="shared" si="10"/>
        <v>4416</v>
      </c>
      <c r="AK20" s="76">
        <v>102770</v>
      </c>
      <c r="AL20" s="36">
        <f t="shared" si="23"/>
        <v>0</v>
      </c>
      <c r="AM20" s="76">
        <v>625434</v>
      </c>
      <c r="AN20" s="36">
        <f t="shared" si="11"/>
        <v>2160</v>
      </c>
      <c r="AO20" s="76">
        <v>17070</v>
      </c>
      <c r="AP20" s="36">
        <f t="shared" si="12"/>
        <v>3408</v>
      </c>
      <c r="AQ20" s="76">
        <v>92839</v>
      </c>
      <c r="AR20" s="36">
        <f t="shared" si="30"/>
        <v>6864</v>
      </c>
      <c r="AS20" s="76">
        <v>2464</v>
      </c>
      <c r="AT20" s="36">
        <f t="shared" si="27"/>
        <v>0</v>
      </c>
      <c r="AU20" s="76">
        <v>939</v>
      </c>
      <c r="AV20" s="36">
        <f t="shared" si="28"/>
        <v>0</v>
      </c>
      <c r="AW20" s="76">
        <v>3110</v>
      </c>
      <c r="AX20" s="36">
        <f>(+AW20-+AW19)*48</f>
        <v>0</v>
      </c>
      <c r="AY20" s="76">
        <v>360467</v>
      </c>
      <c r="AZ20" s="36">
        <f t="shared" si="14"/>
        <v>4800</v>
      </c>
      <c r="BA20" s="76">
        <v>161101</v>
      </c>
      <c r="BB20" s="36">
        <f t="shared" si="29"/>
        <v>0</v>
      </c>
      <c r="BC20" s="80">
        <v>242825</v>
      </c>
      <c r="BD20" s="36">
        <f t="shared" si="25"/>
        <v>3120</v>
      </c>
      <c r="BE20" s="76">
        <v>5350</v>
      </c>
      <c r="BF20" s="36">
        <f t="shared" si="26"/>
        <v>0</v>
      </c>
      <c r="BH20" s="162">
        <f t="shared" si="2"/>
        <v>122155.056</v>
      </c>
      <c r="BI20" s="162">
        <f t="shared" si="3"/>
        <v>63552</v>
      </c>
    </row>
    <row r="21" spans="1:61" s="34" customFormat="1" ht="39.950000000000003" customHeight="1">
      <c r="A21" s="186">
        <f t="shared" si="7"/>
        <v>44847</v>
      </c>
      <c r="B21" s="33"/>
      <c r="C21" s="76">
        <v>7235959</v>
      </c>
      <c r="D21" s="36">
        <f t="shared" si="15"/>
        <v>100656</v>
      </c>
      <c r="E21" s="102">
        <f>D21*E5</f>
        <v>60393.599999999999</v>
      </c>
      <c r="F21" s="101">
        <f>D21*F5</f>
        <v>40262.400000000001</v>
      </c>
      <c r="G21" s="76">
        <v>301029</v>
      </c>
      <c r="H21" s="36">
        <f t="shared" si="1"/>
        <v>1728</v>
      </c>
      <c r="I21" s="76">
        <v>210873</v>
      </c>
      <c r="J21" s="36">
        <f t="shared" si="1"/>
        <v>7824</v>
      </c>
      <c r="K21" s="76">
        <v>274297</v>
      </c>
      <c r="L21" s="36">
        <f t="shared" si="1"/>
        <v>1584</v>
      </c>
      <c r="M21" s="76">
        <v>25606</v>
      </c>
      <c r="N21" s="36">
        <f t="shared" si="1"/>
        <v>0</v>
      </c>
      <c r="O21" s="76">
        <v>358528</v>
      </c>
      <c r="P21" s="36">
        <f t="shared" si="16"/>
        <v>9264</v>
      </c>
      <c r="Q21" s="76">
        <v>488130</v>
      </c>
      <c r="R21" s="36">
        <f t="shared" si="17"/>
        <v>3072</v>
      </c>
      <c r="S21" s="76">
        <v>783265</v>
      </c>
      <c r="T21" s="36">
        <f t="shared" si="18"/>
        <v>7152</v>
      </c>
      <c r="U21" s="80">
        <v>7664.9070000000002</v>
      </c>
      <c r="V21" s="101">
        <f t="shared" si="31"/>
        <v>1008.4800000000105</v>
      </c>
      <c r="W21" s="76">
        <v>87004</v>
      </c>
      <c r="X21" s="36">
        <f t="shared" si="8"/>
        <v>1008</v>
      </c>
      <c r="Y21" s="76">
        <v>1524015</v>
      </c>
      <c r="Z21" s="36">
        <f t="shared" si="20"/>
        <v>12576</v>
      </c>
      <c r="AA21" s="76">
        <v>13886</v>
      </c>
      <c r="AB21" s="36">
        <f t="shared" si="21"/>
        <v>0</v>
      </c>
      <c r="AC21" s="75">
        <v>519522</v>
      </c>
      <c r="AD21" s="36">
        <f t="shared" si="9"/>
        <v>5808</v>
      </c>
      <c r="AE21" s="75">
        <v>590753</v>
      </c>
      <c r="AF21" s="36">
        <f t="shared" si="9"/>
        <v>6048</v>
      </c>
      <c r="AG21" s="76">
        <v>49813</v>
      </c>
      <c r="AH21" s="36">
        <f t="shared" si="22"/>
        <v>0</v>
      </c>
      <c r="AI21" s="75">
        <v>459962</v>
      </c>
      <c r="AJ21" s="36">
        <f t="shared" si="10"/>
        <v>3360</v>
      </c>
      <c r="AK21" s="76">
        <v>102770</v>
      </c>
      <c r="AL21" s="36">
        <f t="shared" si="23"/>
        <v>0</v>
      </c>
      <c r="AM21" s="76">
        <v>625488</v>
      </c>
      <c r="AN21" s="36">
        <f t="shared" si="11"/>
        <v>2592</v>
      </c>
      <c r="AO21" s="76">
        <v>17146</v>
      </c>
      <c r="AP21" s="36">
        <f t="shared" si="12"/>
        <v>3648</v>
      </c>
      <c r="AQ21" s="76">
        <v>93066</v>
      </c>
      <c r="AR21" s="36">
        <f t="shared" si="30"/>
        <v>10896</v>
      </c>
      <c r="AS21" s="76">
        <v>2464</v>
      </c>
      <c r="AT21" s="36">
        <f t="shared" si="27"/>
        <v>0</v>
      </c>
      <c r="AU21" s="76">
        <v>939</v>
      </c>
      <c r="AV21" s="36">
        <f t="shared" si="28"/>
        <v>0</v>
      </c>
      <c r="AW21" s="76">
        <v>3110</v>
      </c>
      <c r="AX21" s="36">
        <f>(+AW21-+AW20)*48</f>
        <v>0</v>
      </c>
      <c r="AY21" s="76">
        <v>360562</v>
      </c>
      <c r="AZ21" s="36">
        <f t="shared" si="14"/>
        <v>4560</v>
      </c>
      <c r="BA21" s="76">
        <v>161101</v>
      </c>
      <c r="BB21" s="36">
        <f t="shared" si="29"/>
        <v>0</v>
      </c>
      <c r="BC21" s="80">
        <v>242887</v>
      </c>
      <c r="BD21" s="36">
        <f t="shared" si="25"/>
        <v>2976</v>
      </c>
      <c r="BE21" s="76">
        <v>5350</v>
      </c>
      <c r="BF21" s="36">
        <f t="shared" si="26"/>
        <v>0</v>
      </c>
      <c r="BH21" s="162">
        <f t="shared" si="2"/>
        <v>120826.08000000002</v>
      </c>
      <c r="BI21" s="162">
        <f t="shared" si="3"/>
        <v>64934.400000000001</v>
      </c>
    </row>
    <row r="22" spans="1:61" s="34" customFormat="1" ht="39.950000000000003" customHeight="1">
      <c r="A22" s="186">
        <f t="shared" si="7"/>
        <v>44848</v>
      </c>
      <c r="B22" s="33"/>
      <c r="C22" s="76">
        <v>7238220</v>
      </c>
      <c r="D22" s="36">
        <f t="shared" si="15"/>
        <v>108528</v>
      </c>
      <c r="E22" s="102">
        <f>D22*E5</f>
        <v>65116.799999999996</v>
      </c>
      <c r="F22" s="101">
        <f>D22*F5</f>
        <v>43411.200000000004</v>
      </c>
      <c r="G22" s="76">
        <v>301068</v>
      </c>
      <c r="H22" s="36">
        <f t="shared" si="1"/>
        <v>1872</v>
      </c>
      <c r="I22" s="76">
        <v>211036</v>
      </c>
      <c r="J22" s="36">
        <f t="shared" si="1"/>
        <v>7824</v>
      </c>
      <c r="K22" s="76">
        <v>274350</v>
      </c>
      <c r="L22" s="36">
        <f t="shared" si="1"/>
        <v>2544</v>
      </c>
      <c r="M22" s="76">
        <v>25610</v>
      </c>
      <c r="N22" s="36">
        <f t="shared" si="1"/>
        <v>192</v>
      </c>
      <c r="O22" s="76">
        <v>358734</v>
      </c>
      <c r="P22" s="36">
        <f t="shared" si="16"/>
        <v>9888</v>
      </c>
      <c r="Q22" s="76">
        <v>488195</v>
      </c>
      <c r="R22" s="36">
        <f t="shared" si="17"/>
        <v>3120</v>
      </c>
      <c r="S22" s="76">
        <v>783404</v>
      </c>
      <c r="T22" s="36">
        <f t="shared" si="18"/>
        <v>6672</v>
      </c>
      <c r="U22" s="80">
        <v>7684</v>
      </c>
      <c r="V22" s="101">
        <f t="shared" si="31"/>
        <v>916.46399999999267</v>
      </c>
      <c r="W22" s="76">
        <v>87020</v>
      </c>
      <c r="X22" s="36">
        <f t="shared" si="8"/>
        <v>768</v>
      </c>
      <c r="Y22" s="76">
        <v>1524240</v>
      </c>
      <c r="Z22" s="36">
        <f>(+Y22-+Y21)*48</f>
        <v>10800</v>
      </c>
      <c r="AA22" s="76">
        <v>13886</v>
      </c>
      <c r="AB22" s="36">
        <f t="shared" si="21"/>
        <v>0</v>
      </c>
      <c r="AC22" s="76">
        <v>519583</v>
      </c>
      <c r="AD22" s="36">
        <f t="shared" si="9"/>
        <v>2928</v>
      </c>
      <c r="AE22" s="76">
        <v>590831</v>
      </c>
      <c r="AF22" s="36">
        <f t="shared" si="9"/>
        <v>3744</v>
      </c>
      <c r="AG22" s="76">
        <v>49813</v>
      </c>
      <c r="AH22" s="36">
        <f t="shared" si="22"/>
        <v>0</v>
      </c>
      <c r="AI22" s="76">
        <v>460093</v>
      </c>
      <c r="AJ22" s="36">
        <f t="shared" si="10"/>
        <v>6288</v>
      </c>
      <c r="AK22" s="76">
        <v>102770</v>
      </c>
      <c r="AL22" s="36">
        <f t="shared" si="23"/>
        <v>0</v>
      </c>
      <c r="AM22" s="75">
        <v>625574</v>
      </c>
      <c r="AN22" s="36">
        <f t="shared" si="11"/>
        <v>4128</v>
      </c>
      <c r="AO22" s="75">
        <v>17247</v>
      </c>
      <c r="AP22" s="36">
        <f t="shared" si="12"/>
        <v>4848</v>
      </c>
      <c r="AQ22" s="76">
        <v>93266</v>
      </c>
      <c r="AR22" s="36">
        <f t="shared" si="30"/>
        <v>9600</v>
      </c>
      <c r="AS22" s="76">
        <v>2464</v>
      </c>
      <c r="AT22" s="36">
        <f t="shared" si="27"/>
        <v>0</v>
      </c>
      <c r="AU22" s="76">
        <v>939</v>
      </c>
      <c r="AV22" s="36">
        <f t="shared" si="28"/>
        <v>0</v>
      </c>
      <c r="AW22" s="76">
        <v>3110</v>
      </c>
      <c r="AX22" s="36">
        <f t="shared" si="24"/>
        <v>0</v>
      </c>
      <c r="AY22" s="76">
        <v>360658</v>
      </c>
      <c r="AZ22" s="36">
        <f t="shared" si="14"/>
        <v>4608</v>
      </c>
      <c r="BA22" s="76">
        <v>161101</v>
      </c>
      <c r="BB22" s="36">
        <f t="shared" si="29"/>
        <v>0</v>
      </c>
      <c r="BC22" s="76">
        <v>242949</v>
      </c>
      <c r="BD22" s="36">
        <f t="shared" si="25"/>
        <v>2976</v>
      </c>
      <c r="BE22" s="76">
        <v>5350</v>
      </c>
      <c r="BF22" s="36">
        <f t="shared" si="26"/>
        <v>0</v>
      </c>
      <c r="BH22" s="162">
        <f t="shared" si="2"/>
        <v>122673.26399999998</v>
      </c>
      <c r="BI22" s="162">
        <f t="shared" si="3"/>
        <v>69571.200000000012</v>
      </c>
    </row>
    <row r="23" spans="1:61" s="34" customFormat="1" ht="39.950000000000003" customHeight="1">
      <c r="A23" s="186">
        <f t="shared" si="7"/>
        <v>44849</v>
      </c>
      <c r="B23" s="33"/>
      <c r="C23" s="76">
        <v>7240350</v>
      </c>
      <c r="D23" s="36">
        <f t="shared" si="15"/>
        <v>102240</v>
      </c>
      <c r="E23" s="102">
        <f>D23*E5</f>
        <v>61344</v>
      </c>
      <c r="F23" s="101">
        <f>D23*F5</f>
        <v>40896</v>
      </c>
      <c r="G23" s="76">
        <v>301104</v>
      </c>
      <c r="H23" s="36">
        <f t="shared" si="1"/>
        <v>1728</v>
      </c>
      <c r="I23" s="76">
        <v>211206</v>
      </c>
      <c r="J23" s="36">
        <f t="shared" si="1"/>
        <v>8160</v>
      </c>
      <c r="K23" s="76">
        <v>274379</v>
      </c>
      <c r="L23" s="36">
        <f t="shared" si="1"/>
        <v>1392</v>
      </c>
      <c r="M23" s="76">
        <v>25610</v>
      </c>
      <c r="N23" s="36">
        <f>(+M23-+M22)*48</f>
        <v>0</v>
      </c>
      <c r="O23" s="76">
        <v>358927</v>
      </c>
      <c r="P23" s="36">
        <f t="shared" si="16"/>
        <v>9264</v>
      </c>
      <c r="Q23" s="76">
        <v>488261</v>
      </c>
      <c r="R23" s="36">
        <f t="shared" si="17"/>
        <v>3168</v>
      </c>
      <c r="S23" s="76">
        <v>783540</v>
      </c>
      <c r="T23" s="36">
        <f t="shared" si="18"/>
        <v>6528</v>
      </c>
      <c r="U23" s="80">
        <v>7704</v>
      </c>
      <c r="V23" s="101">
        <f t="shared" si="31"/>
        <v>960</v>
      </c>
      <c r="W23" s="76">
        <v>87040</v>
      </c>
      <c r="X23" s="36">
        <f t="shared" si="8"/>
        <v>960</v>
      </c>
      <c r="Y23" s="76">
        <v>1524436</v>
      </c>
      <c r="Z23" s="36">
        <f>(+Y23-+Y22)*48</f>
        <v>9408</v>
      </c>
      <c r="AA23" s="76">
        <v>13886</v>
      </c>
      <c r="AB23" s="36">
        <f t="shared" si="21"/>
        <v>0</v>
      </c>
      <c r="AC23" s="76">
        <v>519714</v>
      </c>
      <c r="AD23" s="36">
        <f t="shared" si="9"/>
        <v>6288</v>
      </c>
      <c r="AE23" s="76">
        <v>590994</v>
      </c>
      <c r="AF23" s="36">
        <f t="shared" si="9"/>
        <v>7824</v>
      </c>
      <c r="AG23" s="76">
        <v>49813</v>
      </c>
      <c r="AH23" s="36">
        <f t="shared" si="22"/>
        <v>0</v>
      </c>
      <c r="AI23" s="76">
        <v>460186</v>
      </c>
      <c r="AJ23" s="36">
        <f t="shared" si="10"/>
        <v>4464</v>
      </c>
      <c r="AK23" s="76">
        <v>102770</v>
      </c>
      <c r="AL23" s="36">
        <f t="shared" si="23"/>
        <v>0</v>
      </c>
      <c r="AM23" s="76">
        <v>625672</v>
      </c>
      <c r="AN23" s="36">
        <f t="shared" si="11"/>
        <v>4704</v>
      </c>
      <c r="AO23" s="76">
        <v>17350</v>
      </c>
      <c r="AP23" s="36">
        <f t="shared" si="12"/>
        <v>4944</v>
      </c>
      <c r="AQ23" s="76">
        <v>93415</v>
      </c>
      <c r="AR23" s="36">
        <f t="shared" si="30"/>
        <v>7152</v>
      </c>
      <c r="AS23" s="76">
        <v>2464</v>
      </c>
      <c r="AT23" s="36">
        <f t="shared" si="27"/>
        <v>0</v>
      </c>
      <c r="AU23" s="76">
        <v>939</v>
      </c>
      <c r="AV23" s="36">
        <f t="shared" si="28"/>
        <v>0</v>
      </c>
      <c r="AW23" s="76">
        <v>3110</v>
      </c>
      <c r="AX23" s="36">
        <f t="shared" si="24"/>
        <v>0</v>
      </c>
      <c r="AY23" s="76">
        <v>360752</v>
      </c>
      <c r="AZ23" s="101">
        <f t="shared" si="14"/>
        <v>4512</v>
      </c>
      <c r="BA23" s="76">
        <v>161101</v>
      </c>
      <c r="BB23" s="36">
        <v>0</v>
      </c>
      <c r="BC23" s="76">
        <v>243017</v>
      </c>
      <c r="BD23" s="36">
        <f t="shared" si="25"/>
        <v>3264</v>
      </c>
      <c r="BE23" s="76">
        <v>5350</v>
      </c>
      <c r="BF23" s="36">
        <f t="shared" si="26"/>
        <v>0</v>
      </c>
      <c r="BH23" s="162">
        <f t="shared" si="2"/>
        <v>121488</v>
      </c>
      <c r="BI23" s="162">
        <f t="shared" si="3"/>
        <v>65472</v>
      </c>
    </row>
    <row r="24" spans="1:61" s="34" customFormat="1" ht="39.950000000000003" customHeight="1">
      <c r="A24" s="186">
        <f t="shared" si="7"/>
        <v>44850</v>
      </c>
      <c r="B24" s="33"/>
      <c r="C24" s="76">
        <v>7242538</v>
      </c>
      <c r="D24" s="36">
        <f t="shared" si="15"/>
        <v>105024</v>
      </c>
      <c r="E24" s="102">
        <f>D24*E5</f>
        <v>63014.399999999994</v>
      </c>
      <c r="F24" s="101">
        <f>D24*F5</f>
        <v>42009.600000000006</v>
      </c>
      <c r="G24" s="76">
        <v>301156</v>
      </c>
      <c r="H24" s="36">
        <f t="shared" si="1"/>
        <v>2496</v>
      </c>
      <c r="I24" s="76">
        <v>211371</v>
      </c>
      <c r="J24" s="36">
        <f t="shared" si="1"/>
        <v>7920</v>
      </c>
      <c r="K24" s="76">
        <v>274411</v>
      </c>
      <c r="L24" s="36">
        <f t="shared" si="1"/>
        <v>1536</v>
      </c>
      <c r="M24" s="76">
        <v>25610</v>
      </c>
      <c r="N24" s="36">
        <f>(+M24-+M23)*48</f>
        <v>0</v>
      </c>
      <c r="O24" s="76">
        <v>359148</v>
      </c>
      <c r="P24" s="36">
        <f t="shared" si="16"/>
        <v>10608</v>
      </c>
      <c r="Q24" s="76">
        <v>488327</v>
      </c>
      <c r="R24" s="36">
        <f t="shared" si="17"/>
        <v>3168</v>
      </c>
      <c r="S24" s="76">
        <v>783704</v>
      </c>
      <c r="T24" s="36">
        <f t="shared" si="18"/>
        <v>7872</v>
      </c>
      <c r="U24" s="80">
        <v>7727</v>
      </c>
      <c r="V24" s="101">
        <f t="shared" si="31"/>
        <v>1104</v>
      </c>
      <c r="W24" s="76">
        <v>87060</v>
      </c>
      <c r="X24" s="36">
        <f t="shared" si="8"/>
        <v>960</v>
      </c>
      <c r="Y24" s="76">
        <v>1524622</v>
      </c>
      <c r="Z24" s="36">
        <f>(+Y24-+Y23)*48</f>
        <v>8928</v>
      </c>
      <c r="AA24" s="76">
        <v>13886</v>
      </c>
      <c r="AB24" s="36">
        <f t="shared" si="21"/>
        <v>0</v>
      </c>
      <c r="AC24" s="76">
        <v>519827</v>
      </c>
      <c r="AD24" s="36">
        <f t="shared" si="9"/>
        <v>5424</v>
      </c>
      <c r="AE24" s="76">
        <v>591141</v>
      </c>
      <c r="AF24" s="36">
        <f t="shared" si="9"/>
        <v>7056</v>
      </c>
      <c r="AG24" s="75">
        <v>49813</v>
      </c>
      <c r="AH24" s="36">
        <f t="shared" si="22"/>
        <v>0</v>
      </c>
      <c r="AI24" s="76">
        <v>460283</v>
      </c>
      <c r="AJ24" s="36">
        <f t="shared" si="10"/>
        <v>4656</v>
      </c>
      <c r="AK24" s="76">
        <v>102770</v>
      </c>
      <c r="AL24" s="36">
        <f t="shared" si="23"/>
        <v>0</v>
      </c>
      <c r="AM24" s="76">
        <v>625744</v>
      </c>
      <c r="AN24" s="36">
        <f t="shared" si="11"/>
        <v>3456</v>
      </c>
      <c r="AO24" s="76">
        <v>17447</v>
      </c>
      <c r="AP24" s="36">
        <f t="shared" si="12"/>
        <v>4656</v>
      </c>
      <c r="AQ24" s="76">
        <v>93443</v>
      </c>
      <c r="AR24" s="36">
        <f t="shared" si="30"/>
        <v>1344</v>
      </c>
      <c r="AS24" s="76">
        <v>2464</v>
      </c>
      <c r="AT24" s="36">
        <f t="shared" si="27"/>
        <v>0</v>
      </c>
      <c r="AU24" s="76">
        <v>939</v>
      </c>
      <c r="AV24" s="36">
        <f t="shared" si="28"/>
        <v>0</v>
      </c>
      <c r="AW24" s="76">
        <v>3110</v>
      </c>
      <c r="AX24" s="36">
        <f t="shared" si="24"/>
        <v>0</v>
      </c>
      <c r="AY24" s="76">
        <v>360851</v>
      </c>
      <c r="AZ24" s="36">
        <f t="shared" si="14"/>
        <v>4752</v>
      </c>
      <c r="BA24" s="76">
        <v>161101</v>
      </c>
      <c r="BB24" s="101">
        <f t="shared" ref="BB24:BB26" si="32">(+BA24-+BA23)*48</f>
        <v>0</v>
      </c>
      <c r="BC24" s="76">
        <v>243076</v>
      </c>
      <c r="BD24" s="36">
        <f t="shared" si="25"/>
        <v>2832</v>
      </c>
      <c r="BE24" s="76">
        <v>5350</v>
      </c>
      <c r="BF24" s="36">
        <f t="shared" si="26"/>
        <v>0</v>
      </c>
      <c r="BH24" s="103">
        <f t="shared" si="2"/>
        <v>124742.39999999999</v>
      </c>
      <c r="BI24" s="103">
        <f t="shared" si="3"/>
        <v>59049.600000000006</v>
      </c>
    </row>
    <row r="25" spans="1:61" s="34" customFormat="1" ht="39.950000000000003" customHeight="1">
      <c r="A25" s="186">
        <f t="shared" si="7"/>
        <v>44851</v>
      </c>
      <c r="B25" s="33"/>
      <c r="C25" s="76">
        <v>7244835</v>
      </c>
      <c r="D25" s="101">
        <f t="shared" si="15"/>
        <v>110256</v>
      </c>
      <c r="E25" s="102">
        <f>D25*E5</f>
        <v>66153.599999999991</v>
      </c>
      <c r="F25" s="101">
        <f>D25*F5</f>
        <v>44102.400000000001</v>
      </c>
      <c r="G25" s="76">
        <v>301212</v>
      </c>
      <c r="H25" s="101">
        <f t="shared" si="1"/>
        <v>2688</v>
      </c>
      <c r="I25" s="76">
        <v>211541</v>
      </c>
      <c r="J25" s="101">
        <f t="shared" si="1"/>
        <v>8160</v>
      </c>
      <c r="K25" s="76">
        <v>274490</v>
      </c>
      <c r="L25" s="101">
        <f t="shared" si="1"/>
        <v>3792</v>
      </c>
      <c r="M25" s="76">
        <v>25614</v>
      </c>
      <c r="N25" s="101">
        <f>(+M25-+M24)*48</f>
        <v>192</v>
      </c>
      <c r="O25" s="76">
        <v>359358</v>
      </c>
      <c r="P25" s="101">
        <f t="shared" si="16"/>
        <v>10080</v>
      </c>
      <c r="Q25" s="76">
        <v>488395</v>
      </c>
      <c r="R25" s="101">
        <f t="shared" si="17"/>
        <v>3264</v>
      </c>
      <c r="S25" s="76">
        <v>783837</v>
      </c>
      <c r="T25" s="101">
        <f t="shared" si="18"/>
        <v>6384</v>
      </c>
      <c r="U25" s="80">
        <v>7750</v>
      </c>
      <c r="V25" s="101">
        <f t="shared" si="31"/>
        <v>1104</v>
      </c>
      <c r="W25" s="76">
        <v>87079</v>
      </c>
      <c r="X25" s="101">
        <f t="shared" si="8"/>
        <v>912</v>
      </c>
      <c r="Y25" s="76">
        <v>1524783</v>
      </c>
      <c r="Z25" s="101">
        <f t="shared" si="20"/>
        <v>7728</v>
      </c>
      <c r="AA25" s="76">
        <v>13886</v>
      </c>
      <c r="AB25" s="101">
        <f t="shared" si="21"/>
        <v>0</v>
      </c>
      <c r="AC25" s="76">
        <v>519940</v>
      </c>
      <c r="AD25" s="101">
        <f t="shared" si="9"/>
        <v>5424</v>
      </c>
      <c r="AE25" s="76">
        <v>591272</v>
      </c>
      <c r="AF25" s="101">
        <f t="shared" si="9"/>
        <v>6288</v>
      </c>
      <c r="AG25" s="75">
        <v>49813</v>
      </c>
      <c r="AH25" s="101">
        <f t="shared" si="22"/>
        <v>0</v>
      </c>
      <c r="AI25" s="76">
        <v>460387</v>
      </c>
      <c r="AJ25" s="101">
        <f t="shared" si="10"/>
        <v>4992</v>
      </c>
      <c r="AK25" s="76">
        <v>102770</v>
      </c>
      <c r="AL25" s="101">
        <f t="shared" si="23"/>
        <v>0</v>
      </c>
      <c r="AM25" s="76">
        <v>625809</v>
      </c>
      <c r="AN25" s="101">
        <f t="shared" si="11"/>
        <v>3120</v>
      </c>
      <c r="AO25" s="76">
        <v>17536</v>
      </c>
      <c r="AP25" s="101">
        <f t="shared" si="12"/>
        <v>4272</v>
      </c>
      <c r="AQ25" s="76">
        <v>93548</v>
      </c>
      <c r="AR25" s="101">
        <f t="shared" si="30"/>
        <v>5040</v>
      </c>
      <c r="AS25" s="76">
        <v>2465</v>
      </c>
      <c r="AT25" s="101">
        <f t="shared" si="27"/>
        <v>48</v>
      </c>
      <c r="AU25" s="76">
        <v>939</v>
      </c>
      <c r="AV25" s="101">
        <f t="shared" si="28"/>
        <v>0</v>
      </c>
      <c r="AW25" s="76">
        <v>3110</v>
      </c>
      <c r="AX25" s="101">
        <f t="shared" si="24"/>
        <v>0</v>
      </c>
      <c r="AY25" s="76">
        <v>360948</v>
      </c>
      <c r="AZ25" s="101">
        <f t="shared" si="14"/>
        <v>4656</v>
      </c>
      <c r="BA25" s="76">
        <v>161101</v>
      </c>
      <c r="BB25" s="101">
        <f t="shared" si="32"/>
        <v>0</v>
      </c>
      <c r="BC25" s="76">
        <v>243136</v>
      </c>
      <c r="BD25" s="101">
        <f t="shared" si="25"/>
        <v>2880</v>
      </c>
      <c r="BE25" s="76">
        <v>5350</v>
      </c>
      <c r="BF25" s="101">
        <f t="shared" si="26"/>
        <v>0</v>
      </c>
      <c r="BH25" s="103">
        <f t="shared" si="2"/>
        <v>127161.59999999999</v>
      </c>
      <c r="BI25" s="103">
        <f t="shared" si="3"/>
        <v>64118.400000000001</v>
      </c>
    </row>
    <row r="26" spans="1:61" s="34" customFormat="1" ht="39.950000000000003" customHeight="1">
      <c r="A26" s="186">
        <f t="shared" si="7"/>
        <v>44852</v>
      </c>
      <c r="B26" s="33"/>
      <c r="C26" s="76">
        <v>7247165</v>
      </c>
      <c r="D26" s="101">
        <f t="shared" si="15"/>
        <v>111840</v>
      </c>
      <c r="E26" s="102">
        <f>D26*E5</f>
        <v>67104</v>
      </c>
      <c r="F26" s="101">
        <f>D26*F5</f>
        <v>44736</v>
      </c>
      <c r="G26" s="76">
        <v>301251</v>
      </c>
      <c r="H26" s="101">
        <f t="shared" si="1"/>
        <v>1872</v>
      </c>
      <c r="I26" s="76">
        <v>211705</v>
      </c>
      <c r="J26" s="101">
        <f t="shared" si="1"/>
        <v>7872</v>
      </c>
      <c r="K26" s="76">
        <v>274534</v>
      </c>
      <c r="L26" s="101">
        <f t="shared" si="1"/>
        <v>2112</v>
      </c>
      <c r="M26" s="76">
        <v>25616</v>
      </c>
      <c r="N26" s="101">
        <f t="shared" si="1"/>
        <v>96</v>
      </c>
      <c r="O26" s="76">
        <v>359545</v>
      </c>
      <c r="P26" s="101">
        <f t="shared" si="16"/>
        <v>8976</v>
      </c>
      <c r="Q26" s="76">
        <v>488445</v>
      </c>
      <c r="R26" s="101">
        <f t="shared" si="17"/>
        <v>2400</v>
      </c>
      <c r="S26" s="76">
        <v>783978</v>
      </c>
      <c r="T26" s="101">
        <f t="shared" si="18"/>
        <v>6768</v>
      </c>
      <c r="U26" s="80">
        <v>7771</v>
      </c>
      <c r="V26" s="101">
        <f t="shared" si="31"/>
        <v>1008</v>
      </c>
      <c r="W26" s="76">
        <v>87079</v>
      </c>
      <c r="X26" s="101">
        <f t="shared" si="8"/>
        <v>0</v>
      </c>
      <c r="Y26" s="76">
        <v>1525048</v>
      </c>
      <c r="Z26" s="101">
        <f t="shared" si="20"/>
        <v>12720</v>
      </c>
      <c r="AA26" s="76">
        <v>13886</v>
      </c>
      <c r="AB26" s="101">
        <f t="shared" si="21"/>
        <v>0</v>
      </c>
      <c r="AC26" s="76">
        <v>520052</v>
      </c>
      <c r="AD26" s="101">
        <f t="shared" si="9"/>
        <v>5376</v>
      </c>
      <c r="AE26" s="76">
        <v>591408</v>
      </c>
      <c r="AF26" s="101">
        <f t="shared" si="9"/>
        <v>6528</v>
      </c>
      <c r="AG26" s="75">
        <v>49813</v>
      </c>
      <c r="AH26" s="101">
        <f t="shared" si="22"/>
        <v>0</v>
      </c>
      <c r="AI26" s="76">
        <v>460487</v>
      </c>
      <c r="AJ26" s="101">
        <f t="shared" si="10"/>
        <v>4800</v>
      </c>
      <c r="AK26" s="76">
        <v>102770</v>
      </c>
      <c r="AL26" s="101">
        <f t="shared" si="23"/>
        <v>0</v>
      </c>
      <c r="AM26" s="76">
        <v>625876</v>
      </c>
      <c r="AN26" s="101">
        <f t="shared" si="11"/>
        <v>3216</v>
      </c>
      <c r="AO26" s="76">
        <v>17653</v>
      </c>
      <c r="AP26" s="101">
        <f t="shared" si="12"/>
        <v>5616</v>
      </c>
      <c r="AQ26" s="76">
        <v>93670</v>
      </c>
      <c r="AR26" s="101">
        <f t="shared" si="30"/>
        <v>5856</v>
      </c>
      <c r="AS26" s="76">
        <v>2465</v>
      </c>
      <c r="AT26" s="101">
        <f t="shared" si="27"/>
        <v>0</v>
      </c>
      <c r="AU26" s="76">
        <v>939</v>
      </c>
      <c r="AV26" s="101">
        <f t="shared" si="28"/>
        <v>0</v>
      </c>
      <c r="AW26" s="76">
        <v>3110</v>
      </c>
      <c r="AX26" s="101">
        <f t="shared" si="24"/>
        <v>0</v>
      </c>
      <c r="AY26" s="76">
        <v>361049</v>
      </c>
      <c r="AZ26" s="101">
        <f t="shared" si="14"/>
        <v>4848</v>
      </c>
      <c r="BA26" s="76">
        <v>161101</v>
      </c>
      <c r="BB26" s="101">
        <f t="shared" si="32"/>
        <v>0</v>
      </c>
      <c r="BC26" s="76">
        <v>243199</v>
      </c>
      <c r="BD26" s="101">
        <f t="shared" si="25"/>
        <v>3024</v>
      </c>
      <c r="BE26" s="76">
        <v>5350</v>
      </c>
      <c r="BF26" s="101">
        <f t="shared" si="26"/>
        <v>0</v>
      </c>
      <c r="BH26" s="103">
        <f t="shared" si="2"/>
        <v>127632</v>
      </c>
      <c r="BI26" s="103">
        <f t="shared" si="3"/>
        <v>67296</v>
      </c>
    </row>
    <row r="27" spans="1:61" s="34" customFormat="1" ht="39.950000000000003" customHeight="1">
      <c r="A27" s="186">
        <f t="shared" si="7"/>
        <v>44853</v>
      </c>
      <c r="B27" s="33"/>
      <c r="C27" s="76">
        <v>7249277</v>
      </c>
      <c r="D27" s="101">
        <f t="shared" si="15"/>
        <v>101376</v>
      </c>
      <c r="E27" s="102">
        <f>D27*E5</f>
        <v>60825.599999999999</v>
      </c>
      <c r="F27" s="101">
        <f>D27*F5</f>
        <v>40550.400000000001</v>
      </c>
      <c r="G27" s="76">
        <v>301288</v>
      </c>
      <c r="H27" s="101">
        <f t="shared" si="1"/>
        <v>1776</v>
      </c>
      <c r="I27" s="76">
        <v>211879</v>
      </c>
      <c r="J27" s="101">
        <f t="shared" si="1"/>
        <v>8352</v>
      </c>
      <c r="K27" s="76">
        <v>274550</v>
      </c>
      <c r="L27" s="101">
        <f t="shared" si="1"/>
        <v>768</v>
      </c>
      <c r="M27" s="76">
        <v>25616</v>
      </c>
      <c r="N27" s="101">
        <f t="shared" si="1"/>
        <v>0</v>
      </c>
      <c r="O27" s="76">
        <v>359737</v>
      </c>
      <c r="P27" s="101">
        <f t="shared" si="16"/>
        <v>9216</v>
      </c>
      <c r="Q27" s="76">
        <v>488503</v>
      </c>
      <c r="R27" s="101">
        <f t="shared" si="17"/>
        <v>2784</v>
      </c>
      <c r="S27" s="76">
        <v>784122</v>
      </c>
      <c r="T27" s="101">
        <f t="shared" si="18"/>
        <v>6912</v>
      </c>
      <c r="U27" s="80">
        <v>7790</v>
      </c>
      <c r="V27" s="101">
        <f t="shared" si="31"/>
        <v>912</v>
      </c>
      <c r="W27" s="76">
        <v>87099</v>
      </c>
      <c r="X27" s="101">
        <f t="shared" si="8"/>
        <v>960</v>
      </c>
      <c r="Y27" s="76">
        <v>1525445</v>
      </c>
      <c r="Z27" s="101">
        <f t="shared" si="20"/>
        <v>19056</v>
      </c>
      <c r="AA27" s="76">
        <v>13886</v>
      </c>
      <c r="AB27" s="101">
        <f t="shared" si="21"/>
        <v>0</v>
      </c>
      <c r="AC27" s="76">
        <v>520189</v>
      </c>
      <c r="AD27" s="101">
        <f t="shared" si="9"/>
        <v>6576</v>
      </c>
      <c r="AE27" s="76">
        <v>591544</v>
      </c>
      <c r="AF27" s="101">
        <f t="shared" si="9"/>
        <v>6528</v>
      </c>
      <c r="AG27" s="75">
        <v>49813</v>
      </c>
      <c r="AH27" s="101">
        <f t="shared" si="22"/>
        <v>0</v>
      </c>
      <c r="AI27" s="76">
        <v>460589</v>
      </c>
      <c r="AJ27" s="101">
        <f t="shared" si="10"/>
        <v>4896</v>
      </c>
      <c r="AK27" s="76">
        <v>102770</v>
      </c>
      <c r="AL27" s="101">
        <f t="shared" si="23"/>
        <v>0</v>
      </c>
      <c r="AM27" s="76">
        <v>625954</v>
      </c>
      <c r="AN27" s="101">
        <f t="shared" si="11"/>
        <v>3744</v>
      </c>
      <c r="AO27" s="76">
        <v>17784</v>
      </c>
      <c r="AP27" s="101">
        <f t="shared" si="12"/>
        <v>6288</v>
      </c>
      <c r="AQ27" s="76">
        <v>93980</v>
      </c>
      <c r="AR27" s="101">
        <f t="shared" si="30"/>
        <v>14880</v>
      </c>
      <c r="AS27" s="76">
        <v>2465</v>
      </c>
      <c r="AT27" s="101">
        <f t="shared" si="27"/>
        <v>0</v>
      </c>
      <c r="AU27" s="76">
        <v>939</v>
      </c>
      <c r="AV27" s="101">
        <f t="shared" si="28"/>
        <v>0</v>
      </c>
      <c r="AW27" s="76">
        <v>3110</v>
      </c>
      <c r="AX27" s="101">
        <f t="shared" si="24"/>
        <v>0</v>
      </c>
      <c r="AY27" s="76">
        <v>361150</v>
      </c>
      <c r="AZ27" s="101">
        <f>(+AY27-+AY26)*48</f>
        <v>4848</v>
      </c>
      <c r="BA27" s="76">
        <v>161101</v>
      </c>
      <c r="BB27" s="101">
        <f>(+BA27-+BA26)*48</f>
        <v>0</v>
      </c>
      <c r="BC27" s="76">
        <v>243262</v>
      </c>
      <c r="BD27" s="101">
        <f t="shared" si="25"/>
        <v>3024</v>
      </c>
      <c r="BE27" s="76">
        <v>5350</v>
      </c>
      <c r="BF27" s="101">
        <f t="shared" si="26"/>
        <v>0</v>
      </c>
      <c r="BH27" s="103">
        <f t="shared" si="2"/>
        <v>129561.60000000001</v>
      </c>
      <c r="BI27" s="103">
        <f t="shared" si="3"/>
        <v>73334.399999999994</v>
      </c>
    </row>
    <row r="28" spans="1:61" s="34" customFormat="1" ht="39.950000000000003" customHeight="1">
      <c r="A28" s="186">
        <f t="shared" si="7"/>
        <v>44854</v>
      </c>
      <c r="B28" s="33"/>
      <c r="C28" s="76">
        <v>7251597</v>
      </c>
      <c r="D28" s="101">
        <f t="shared" si="15"/>
        <v>111360</v>
      </c>
      <c r="E28" s="102">
        <f>D28*E5</f>
        <v>66816</v>
      </c>
      <c r="F28" s="101">
        <f>D28*F5</f>
        <v>44544</v>
      </c>
      <c r="G28" s="76">
        <v>301323</v>
      </c>
      <c r="H28" s="101">
        <f t="shared" si="1"/>
        <v>1680</v>
      </c>
      <c r="I28" s="76">
        <v>212042</v>
      </c>
      <c r="J28" s="101">
        <f t="shared" si="1"/>
        <v>7824</v>
      </c>
      <c r="K28" s="76">
        <v>274561</v>
      </c>
      <c r="L28" s="101">
        <f t="shared" si="1"/>
        <v>528</v>
      </c>
      <c r="M28" s="76">
        <v>25616</v>
      </c>
      <c r="N28" s="101">
        <f t="shared" si="1"/>
        <v>0</v>
      </c>
      <c r="O28" s="76">
        <v>359942</v>
      </c>
      <c r="P28" s="101">
        <f t="shared" si="16"/>
        <v>9840</v>
      </c>
      <c r="Q28" s="76">
        <v>488551</v>
      </c>
      <c r="R28" s="101">
        <f t="shared" si="17"/>
        <v>2304</v>
      </c>
      <c r="S28" s="76">
        <v>784266</v>
      </c>
      <c r="T28" s="101">
        <f t="shared" si="18"/>
        <v>6912</v>
      </c>
      <c r="U28" s="80">
        <v>7812</v>
      </c>
      <c r="V28" s="101">
        <f t="shared" si="31"/>
        <v>1056</v>
      </c>
      <c r="W28" s="76">
        <v>87121</v>
      </c>
      <c r="X28" s="101">
        <f t="shared" si="8"/>
        <v>1056</v>
      </c>
      <c r="Y28" s="76">
        <v>1525445</v>
      </c>
      <c r="Z28" s="101">
        <f t="shared" si="20"/>
        <v>0</v>
      </c>
      <c r="AA28" s="76">
        <v>13886</v>
      </c>
      <c r="AB28" s="101">
        <f t="shared" si="21"/>
        <v>0</v>
      </c>
      <c r="AC28" s="76">
        <v>520288</v>
      </c>
      <c r="AD28" s="101">
        <f t="shared" si="9"/>
        <v>4752</v>
      </c>
      <c r="AE28" s="76">
        <v>591646</v>
      </c>
      <c r="AF28" s="101">
        <f t="shared" si="9"/>
        <v>4896</v>
      </c>
      <c r="AG28" s="75">
        <v>49813</v>
      </c>
      <c r="AH28" s="101">
        <f t="shared" si="22"/>
        <v>0</v>
      </c>
      <c r="AI28" s="76">
        <v>460688</v>
      </c>
      <c r="AJ28" s="101">
        <f t="shared" si="10"/>
        <v>4752</v>
      </c>
      <c r="AK28" s="76">
        <v>102770</v>
      </c>
      <c r="AL28" s="101">
        <f t="shared" si="23"/>
        <v>0</v>
      </c>
      <c r="AM28" s="76">
        <v>626031</v>
      </c>
      <c r="AN28" s="101">
        <f t="shared" si="11"/>
        <v>3696</v>
      </c>
      <c r="AO28" s="76">
        <v>17887</v>
      </c>
      <c r="AP28" s="101">
        <f t="shared" si="12"/>
        <v>4944</v>
      </c>
      <c r="AQ28" s="76">
        <v>94136</v>
      </c>
      <c r="AR28" s="101">
        <f t="shared" si="30"/>
        <v>7488</v>
      </c>
      <c r="AS28" s="76">
        <v>2465</v>
      </c>
      <c r="AT28" s="101">
        <f t="shared" si="27"/>
        <v>0</v>
      </c>
      <c r="AU28" s="76">
        <v>939</v>
      </c>
      <c r="AV28" s="101">
        <f t="shared" si="28"/>
        <v>0</v>
      </c>
      <c r="AW28" s="76">
        <v>3110</v>
      </c>
      <c r="AX28" s="101">
        <f t="shared" si="24"/>
        <v>0</v>
      </c>
      <c r="AY28" s="76">
        <v>361248</v>
      </c>
      <c r="AZ28" s="101">
        <f t="shared" ref="AZ28:AZ39" si="33">(+AY28-+AY27)*48</f>
        <v>4704</v>
      </c>
      <c r="BA28" s="76">
        <v>161101</v>
      </c>
      <c r="BB28" s="101">
        <f>(+BA28-+BA27)*48</f>
        <v>0</v>
      </c>
      <c r="BC28" s="76">
        <v>243330</v>
      </c>
      <c r="BD28" s="101">
        <f t="shared" si="25"/>
        <v>3264</v>
      </c>
      <c r="BE28" s="76">
        <v>5350</v>
      </c>
      <c r="BF28" s="101">
        <f t="shared" si="26"/>
        <v>0</v>
      </c>
      <c r="BH28" s="103">
        <f t="shared" si="2"/>
        <v>112416</v>
      </c>
      <c r="BI28" s="103">
        <f t="shared" si="3"/>
        <v>68640</v>
      </c>
    </row>
    <row r="29" spans="1:61" s="34" customFormat="1" ht="39.950000000000003" customHeight="1">
      <c r="A29" s="186">
        <f t="shared" si="7"/>
        <v>44855</v>
      </c>
      <c r="B29" s="33"/>
      <c r="C29" s="76">
        <v>7253690</v>
      </c>
      <c r="D29" s="101">
        <f t="shared" si="15"/>
        <v>100464</v>
      </c>
      <c r="E29" s="102">
        <f>D29*E5</f>
        <v>60278.399999999994</v>
      </c>
      <c r="F29" s="101">
        <f>D29*F5</f>
        <v>40185.600000000006</v>
      </c>
      <c r="G29" s="76">
        <v>301357</v>
      </c>
      <c r="H29" s="101">
        <f t="shared" si="1"/>
        <v>1632</v>
      </c>
      <c r="I29" s="76">
        <v>212210</v>
      </c>
      <c r="J29" s="101">
        <f t="shared" si="1"/>
        <v>8064</v>
      </c>
      <c r="K29" s="76">
        <v>274584</v>
      </c>
      <c r="L29" s="101">
        <f t="shared" si="1"/>
        <v>1104</v>
      </c>
      <c r="M29" s="76">
        <v>25616</v>
      </c>
      <c r="N29" s="101">
        <f t="shared" si="1"/>
        <v>0</v>
      </c>
      <c r="O29" s="76">
        <v>360140</v>
      </c>
      <c r="P29" s="101">
        <f t="shared" si="16"/>
        <v>9504</v>
      </c>
      <c r="Q29" s="76">
        <v>488601</v>
      </c>
      <c r="R29" s="101">
        <f t="shared" si="17"/>
        <v>2400</v>
      </c>
      <c r="S29" s="75">
        <v>784411</v>
      </c>
      <c r="T29" s="101">
        <f t="shared" si="18"/>
        <v>6960</v>
      </c>
      <c r="U29" s="81">
        <v>7820</v>
      </c>
      <c r="V29" s="101">
        <f t="shared" si="31"/>
        <v>384</v>
      </c>
      <c r="W29" s="76">
        <v>87139</v>
      </c>
      <c r="X29" s="101">
        <f t="shared" si="8"/>
        <v>864</v>
      </c>
      <c r="Y29" s="76">
        <v>1525778</v>
      </c>
      <c r="Z29" s="101">
        <f t="shared" si="20"/>
        <v>15984</v>
      </c>
      <c r="AA29" s="76">
        <v>13886</v>
      </c>
      <c r="AB29" s="101">
        <f t="shared" si="21"/>
        <v>0</v>
      </c>
      <c r="AC29" s="76">
        <v>520438</v>
      </c>
      <c r="AD29" s="101">
        <f t="shared" si="9"/>
        <v>7200</v>
      </c>
      <c r="AE29" s="76">
        <v>591815</v>
      </c>
      <c r="AF29" s="101">
        <f t="shared" si="9"/>
        <v>8112</v>
      </c>
      <c r="AG29" s="75">
        <v>49813</v>
      </c>
      <c r="AH29" s="101">
        <f t="shared" si="22"/>
        <v>0</v>
      </c>
      <c r="AI29" s="76">
        <v>460788</v>
      </c>
      <c r="AJ29" s="101">
        <f t="shared" si="10"/>
        <v>4800</v>
      </c>
      <c r="AK29" s="76">
        <v>102770</v>
      </c>
      <c r="AL29" s="101">
        <f t="shared" si="23"/>
        <v>0</v>
      </c>
      <c r="AM29" s="76">
        <v>626165</v>
      </c>
      <c r="AN29" s="101">
        <f t="shared" si="11"/>
        <v>6432</v>
      </c>
      <c r="AO29" s="76">
        <v>18051</v>
      </c>
      <c r="AP29" s="101">
        <f t="shared" si="12"/>
        <v>7872</v>
      </c>
      <c r="AQ29" s="76">
        <v>94268</v>
      </c>
      <c r="AR29" s="101">
        <f t="shared" si="30"/>
        <v>6336</v>
      </c>
      <c r="AS29" s="76">
        <v>2465</v>
      </c>
      <c r="AT29" s="101">
        <f t="shared" si="27"/>
        <v>0</v>
      </c>
      <c r="AU29" s="76">
        <v>939</v>
      </c>
      <c r="AV29" s="101">
        <f t="shared" si="28"/>
        <v>0</v>
      </c>
      <c r="AW29" s="76">
        <v>3110</v>
      </c>
      <c r="AX29" s="101">
        <f t="shared" si="24"/>
        <v>0</v>
      </c>
      <c r="AY29" s="76">
        <v>361349</v>
      </c>
      <c r="AZ29" s="101">
        <f t="shared" si="33"/>
        <v>4848</v>
      </c>
      <c r="BA29" s="76">
        <v>161101</v>
      </c>
      <c r="BB29" s="101">
        <f t="shared" ref="BB29:BB38" si="34">(+BA29-+BA28)*48</f>
        <v>0</v>
      </c>
      <c r="BC29" s="76">
        <v>243396</v>
      </c>
      <c r="BD29" s="101">
        <f t="shared" si="25"/>
        <v>3168</v>
      </c>
      <c r="BE29" s="76">
        <v>5350</v>
      </c>
      <c r="BF29" s="101">
        <f t="shared" si="26"/>
        <v>0</v>
      </c>
      <c r="BH29" s="103">
        <f t="shared" si="2"/>
        <v>127286.39999999999</v>
      </c>
      <c r="BI29" s="103">
        <f t="shared" si="3"/>
        <v>68841.600000000006</v>
      </c>
    </row>
    <row r="30" spans="1:61" s="34" customFormat="1" ht="39.950000000000003" customHeight="1">
      <c r="A30" s="186">
        <f t="shared" si="7"/>
        <v>44856</v>
      </c>
      <c r="B30" s="33"/>
      <c r="C30" s="76">
        <v>7255909</v>
      </c>
      <c r="D30" s="101">
        <f t="shared" si="15"/>
        <v>106512</v>
      </c>
      <c r="E30" s="102">
        <f>D30*E5</f>
        <v>63907.199999999997</v>
      </c>
      <c r="F30" s="101">
        <f>D30*F5</f>
        <v>42604.800000000003</v>
      </c>
      <c r="G30" s="76">
        <v>301406</v>
      </c>
      <c r="H30" s="101">
        <f t="shared" si="1"/>
        <v>2352</v>
      </c>
      <c r="I30" s="76">
        <v>212374</v>
      </c>
      <c r="J30" s="101">
        <f t="shared" si="1"/>
        <v>7872</v>
      </c>
      <c r="K30" s="76">
        <v>274629</v>
      </c>
      <c r="L30" s="101">
        <f t="shared" si="1"/>
        <v>2160</v>
      </c>
      <c r="M30" s="76">
        <v>25616</v>
      </c>
      <c r="N30" s="101">
        <f t="shared" si="1"/>
        <v>0</v>
      </c>
      <c r="O30" s="76">
        <v>360331</v>
      </c>
      <c r="P30" s="101">
        <f t="shared" si="16"/>
        <v>9168</v>
      </c>
      <c r="Q30" s="76">
        <v>488662</v>
      </c>
      <c r="R30" s="101">
        <f t="shared" si="17"/>
        <v>2928</v>
      </c>
      <c r="S30" s="76">
        <v>784555</v>
      </c>
      <c r="T30" s="101">
        <f t="shared" si="18"/>
        <v>6912</v>
      </c>
      <c r="U30" s="80">
        <v>7832</v>
      </c>
      <c r="V30" s="101">
        <f t="shared" si="31"/>
        <v>576</v>
      </c>
      <c r="W30" s="76">
        <v>87151</v>
      </c>
      <c r="X30" s="101">
        <f t="shared" si="8"/>
        <v>576</v>
      </c>
      <c r="Y30" s="76">
        <v>1526117</v>
      </c>
      <c r="Z30" s="101">
        <f t="shared" si="20"/>
        <v>16272</v>
      </c>
      <c r="AA30" s="76">
        <v>13886</v>
      </c>
      <c r="AB30" s="101">
        <f t="shared" si="21"/>
        <v>0</v>
      </c>
      <c r="AC30" s="76">
        <v>520592</v>
      </c>
      <c r="AD30" s="101">
        <f t="shared" si="9"/>
        <v>7392</v>
      </c>
      <c r="AE30" s="76">
        <v>591988</v>
      </c>
      <c r="AF30" s="101">
        <f t="shared" si="9"/>
        <v>8304</v>
      </c>
      <c r="AG30" s="75">
        <v>49813</v>
      </c>
      <c r="AH30" s="101">
        <f t="shared" si="22"/>
        <v>0</v>
      </c>
      <c r="AI30" s="76">
        <v>460895</v>
      </c>
      <c r="AJ30" s="101">
        <f t="shared" si="10"/>
        <v>5136</v>
      </c>
      <c r="AK30" s="76">
        <v>102770</v>
      </c>
      <c r="AL30" s="101">
        <f t="shared" si="23"/>
        <v>0</v>
      </c>
      <c r="AM30" s="76">
        <v>626287</v>
      </c>
      <c r="AN30" s="101">
        <f t="shared" si="11"/>
        <v>5856</v>
      </c>
      <c r="AO30" s="76">
        <v>18221</v>
      </c>
      <c r="AP30" s="101">
        <f t="shared" si="12"/>
        <v>8160</v>
      </c>
      <c r="AQ30" s="76">
        <v>94383</v>
      </c>
      <c r="AR30" s="101">
        <f t="shared" si="30"/>
        <v>5520</v>
      </c>
      <c r="AS30" s="76">
        <v>2465</v>
      </c>
      <c r="AT30" s="101">
        <f t="shared" si="27"/>
        <v>0</v>
      </c>
      <c r="AU30" s="76">
        <v>939</v>
      </c>
      <c r="AV30" s="101">
        <f t="shared" si="28"/>
        <v>0</v>
      </c>
      <c r="AW30" s="76">
        <v>3110</v>
      </c>
      <c r="AX30" s="101">
        <f t="shared" si="24"/>
        <v>0</v>
      </c>
      <c r="AY30" s="76">
        <v>361452</v>
      </c>
      <c r="AZ30" s="101">
        <f t="shared" si="33"/>
        <v>4944</v>
      </c>
      <c r="BA30" s="76">
        <v>161101</v>
      </c>
      <c r="BB30" s="101">
        <f t="shared" si="34"/>
        <v>0</v>
      </c>
      <c r="BC30" s="76">
        <v>243464</v>
      </c>
      <c r="BD30" s="101">
        <f t="shared" si="25"/>
        <v>3264</v>
      </c>
      <c r="BE30" s="76">
        <v>5350</v>
      </c>
      <c r="BF30" s="101">
        <f t="shared" si="26"/>
        <v>0</v>
      </c>
      <c r="BH30" s="103">
        <f t="shared" si="2"/>
        <v>133555.20000000001</v>
      </c>
      <c r="BI30" s="103">
        <f t="shared" si="3"/>
        <v>70348.800000000003</v>
      </c>
    </row>
    <row r="31" spans="1:61" s="34" customFormat="1" ht="39.950000000000003" customHeight="1">
      <c r="A31" s="186">
        <f t="shared" si="7"/>
        <v>44857</v>
      </c>
      <c r="B31" s="33"/>
      <c r="C31" s="76">
        <v>7258323</v>
      </c>
      <c r="D31" s="101">
        <f t="shared" si="15"/>
        <v>115872</v>
      </c>
      <c r="E31" s="102">
        <f>D31*E5</f>
        <v>69523.199999999997</v>
      </c>
      <c r="F31" s="101">
        <f>D31*F5</f>
        <v>46348.800000000003</v>
      </c>
      <c r="G31" s="76">
        <v>301459</v>
      </c>
      <c r="H31" s="101">
        <f t="shared" si="1"/>
        <v>2544</v>
      </c>
      <c r="I31" s="76">
        <v>212542</v>
      </c>
      <c r="J31" s="101">
        <f t="shared" si="1"/>
        <v>8064</v>
      </c>
      <c r="K31" s="76">
        <v>274718</v>
      </c>
      <c r="L31" s="101">
        <f t="shared" si="1"/>
        <v>4272</v>
      </c>
      <c r="M31" s="76">
        <v>25620</v>
      </c>
      <c r="N31" s="101">
        <f t="shared" si="1"/>
        <v>192</v>
      </c>
      <c r="O31" s="76">
        <v>360546</v>
      </c>
      <c r="P31" s="101">
        <f t="shared" si="16"/>
        <v>10320</v>
      </c>
      <c r="Q31" s="76">
        <v>488741</v>
      </c>
      <c r="R31" s="101">
        <f t="shared" si="17"/>
        <v>3792</v>
      </c>
      <c r="S31" s="76">
        <v>784691</v>
      </c>
      <c r="T31" s="101">
        <f t="shared" si="18"/>
        <v>6528</v>
      </c>
      <c r="U31" s="80">
        <v>7877</v>
      </c>
      <c r="V31" s="101">
        <f t="shared" si="31"/>
        <v>2160</v>
      </c>
      <c r="W31" s="76">
        <v>87160</v>
      </c>
      <c r="X31" s="101">
        <f t="shared" si="8"/>
        <v>432</v>
      </c>
      <c r="Y31" s="76">
        <v>1526117</v>
      </c>
      <c r="Z31" s="101">
        <f t="shared" si="20"/>
        <v>0</v>
      </c>
      <c r="AA31" s="76">
        <v>13886</v>
      </c>
      <c r="AB31" s="101">
        <f t="shared" si="21"/>
        <v>0</v>
      </c>
      <c r="AC31" s="76">
        <v>520729</v>
      </c>
      <c r="AD31" s="101">
        <f t="shared" si="9"/>
        <v>6576</v>
      </c>
      <c r="AE31" s="76">
        <v>592156</v>
      </c>
      <c r="AF31" s="101">
        <f t="shared" si="9"/>
        <v>8064</v>
      </c>
      <c r="AG31" s="75">
        <v>49813</v>
      </c>
      <c r="AH31" s="101">
        <f t="shared" si="22"/>
        <v>0</v>
      </c>
      <c r="AI31" s="76">
        <v>461013</v>
      </c>
      <c r="AJ31" s="101">
        <f t="shared" si="10"/>
        <v>5664</v>
      </c>
      <c r="AK31" s="76">
        <v>102770</v>
      </c>
      <c r="AL31" s="101">
        <f t="shared" si="23"/>
        <v>0</v>
      </c>
      <c r="AM31" s="76">
        <v>626423</v>
      </c>
      <c r="AN31" s="101">
        <f t="shared" si="11"/>
        <v>6528</v>
      </c>
      <c r="AO31" s="76">
        <v>18374</v>
      </c>
      <c r="AP31" s="101">
        <f t="shared" si="12"/>
        <v>7344</v>
      </c>
      <c r="AQ31" s="76">
        <v>94466</v>
      </c>
      <c r="AR31" s="101">
        <f t="shared" si="30"/>
        <v>3984</v>
      </c>
      <c r="AS31" s="76">
        <v>2465</v>
      </c>
      <c r="AT31" s="101">
        <f t="shared" si="27"/>
        <v>0</v>
      </c>
      <c r="AU31" s="76">
        <v>939</v>
      </c>
      <c r="AV31" s="101">
        <f t="shared" si="28"/>
        <v>0</v>
      </c>
      <c r="AW31" s="76">
        <v>3110</v>
      </c>
      <c r="AX31" s="101">
        <f t="shared" si="24"/>
        <v>0</v>
      </c>
      <c r="AY31" s="76">
        <v>361531</v>
      </c>
      <c r="AZ31" s="101">
        <f t="shared" si="33"/>
        <v>3792</v>
      </c>
      <c r="BA31" s="76">
        <v>161101</v>
      </c>
      <c r="BB31" s="101">
        <f t="shared" si="34"/>
        <v>0</v>
      </c>
      <c r="BC31" s="76">
        <v>243552</v>
      </c>
      <c r="BD31" s="101">
        <f t="shared" si="25"/>
        <v>4224</v>
      </c>
      <c r="BE31" s="76">
        <v>5350</v>
      </c>
      <c r="BF31" s="101">
        <f t="shared" si="26"/>
        <v>0</v>
      </c>
      <c r="BH31" s="103">
        <f t="shared" si="2"/>
        <v>128131.2</v>
      </c>
      <c r="BI31" s="103">
        <f t="shared" si="3"/>
        <v>72220.800000000003</v>
      </c>
    </row>
    <row r="32" spans="1:61" s="34" customFormat="1" ht="39.950000000000003" customHeight="1">
      <c r="A32" s="186">
        <f t="shared" si="7"/>
        <v>44858</v>
      </c>
      <c r="B32" s="33"/>
      <c r="C32" s="76">
        <v>7260606</v>
      </c>
      <c r="D32" s="101">
        <f t="shared" si="15"/>
        <v>109584</v>
      </c>
      <c r="E32" s="102">
        <f>D32*E5</f>
        <v>65750.399999999994</v>
      </c>
      <c r="F32" s="101">
        <f>D32*F5</f>
        <v>43833.600000000006</v>
      </c>
      <c r="G32" s="76">
        <v>301504</v>
      </c>
      <c r="H32" s="101">
        <f t="shared" si="1"/>
        <v>2160</v>
      </c>
      <c r="I32" s="76">
        <v>212706</v>
      </c>
      <c r="J32" s="101">
        <f t="shared" si="1"/>
        <v>7872</v>
      </c>
      <c r="K32" s="76">
        <v>274753</v>
      </c>
      <c r="L32" s="101">
        <f t="shared" si="1"/>
        <v>1680</v>
      </c>
      <c r="M32" s="76">
        <v>25621</v>
      </c>
      <c r="N32" s="101">
        <f t="shared" si="1"/>
        <v>48</v>
      </c>
      <c r="O32" s="76">
        <v>360742</v>
      </c>
      <c r="P32" s="101">
        <f t="shared" si="16"/>
        <v>9408</v>
      </c>
      <c r="Q32" s="80">
        <f>(Q34-Q31)/3+Q31</f>
        <v>488801.66666666669</v>
      </c>
      <c r="R32" s="101">
        <f t="shared" si="17"/>
        <v>2912.0000000009313</v>
      </c>
      <c r="S32" s="76">
        <v>784820</v>
      </c>
      <c r="T32" s="101">
        <f t="shared" si="18"/>
        <v>6192</v>
      </c>
      <c r="U32" s="80">
        <v>7901</v>
      </c>
      <c r="V32" s="101">
        <f t="shared" si="31"/>
        <v>1152</v>
      </c>
      <c r="W32" s="76">
        <v>87177</v>
      </c>
      <c r="X32" s="101">
        <f t="shared" si="8"/>
        <v>816</v>
      </c>
      <c r="Y32" s="76">
        <v>1526117</v>
      </c>
      <c r="Z32" s="101">
        <f t="shared" si="20"/>
        <v>0</v>
      </c>
      <c r="AA32" s="76">
        <v>13886</v>
      </c>
      <c r="AB32" s="101">
        <f t="shared" si="21"/>
        <v>0</v>
      </c>
      <c r="AC32" s="76">
        <v>520873</v>
      </c>
      <c r="AD32" s="101">
        <f t="shared" si="9"/>
        <v>6912</v>
      </c>
      <c r="AE32" s="76">
        <v>592311</v>
      </c>
      <c r="AF32" s="101">
        <f t="shared" si="9"/>
        <v>7440</v>
      </c>
      <c r="AG32" s="75">
        <v>49813</v>
      </c>
      <c r="AH32" s="101">
        <f>(+AG32-+AG31)*48</f>
        <v>0</v>
      </c>
      <c r="AI32" s="76">
        <v>461132</v>
      </c>
      <c r="AJ32" s="101">
        <f t="shared" si="10"/>
        <v>5712</v>
      </c>
      <c r="AK32" s="76">
        <v>102770</v>
      </c>
      <c r="AL32" s="101">
        <f t="shared" si="23"/>
        <v>0</v>
      </c>
      <c r="AM32" s="76">
        <v>626561</v>
      </c>
      <c r="AN32" s="101">
        <f t="shared" si="11"/>
        <v>6624</v>
      </c>
      <c r="AO32" s="76">
        <v>18525</v>
      </c>
      <c r="AP32" s="101">
        <f t="shared" si="12"/>
        <v>7248</v>
      </c>
      <c r="AQ32" s="76">
        <v>94556</v>
      </c>
      <c r="AR32" s="101">
        <f t="shared" si="30"/>
        <v>4320</v>
      </c>
      <c r="AS32" s="76">
        <v>2465</v>
      </c>
      <c r="AT32" s="101">
        <f t="shared" si="27"/>
        <v>0</v>
      </c>
      <c r="AU32" s="76">
        <v>939</v>
      </c>
      <c r="AV32" s="101">
        <f t="shared" si="28"/>
        <v>0</v>
      </c>
      <c r="AW32" s="76">
        <v>3110</v>
      </c>
      <c r="AX32" s="101">
        <f t="shared" si="24"/>
        <v>0</v>
      </c>
      <c r="AY32" s="76">
        <v>361650</v>
      </c>
      <c r="AZ32" s="101">
        <f t="shared" si="33"/>
        <v>5712</v>
      </c>
      <c r="BA32" s="76">
        <v>161101</v>
      </c>
      <c r="BB32" s="101">
        <f t="shared" si="34"/>
        <v>0</v>
      </c>
      <c r="BC32" s="76">
        <v>243595</v>
      </c>
      <c r="BD32" s="101">
        <f t="shared" si="25"/>
        <v>2064</v>
      </c>
      <c r="BE32" s="76">
        <v>5350</v>
      </c>
      <c r="BF32" s="101">
        <f t="shared" si="26"/>
        <v>0</v>
      </c>
      <c r="BH32" s="103">
        <f t="shared" si="2"/>
        <v>118054.40000000093</v>
      </c>
      <c r="BI32" s="103">
        <f t="shared" si="3"/>
        <v>69801.600000000006</v>
      </c>
    </row>
    <row r="33" spans="1:61" s="34" customFormat="1" ht="39.950000000000003" customHeight="1">
      <c r="A33" s="186">
        <f t="shared" si="7"/>
        <v>44859</v>
      </c>
      <c r="B33" s="33"/>
      <c r="C33" s="76">
        <v>7262733</v>
      </c>
      <c r="D33" s="101">
        <f t="shared" si="15"/>
        <v>102096</v>
      </c>
      <c r="E33" s="102">
        <f>D33*E5</f>
        <v>61257.599999999999</v>
      </c>
      <c r="F33" s="101">
        <f>D33*F5</f>
        <v>40838.400000000001</v>
      </c>
      <c r="G33" s="76">
        <v>301534</v>
      </c>
      <c r="H33" s="36">
        <f t="shared" si="1"/>
        <v>1440</v>
      </c>
      <c r="I33" s="76">
        <v>212876</v>
      </c>
      <c r="J33" s="36">
        <f t="shared" si="1"/>
        <v>8160</v>
      </c>
      <c r="K33" s="76">
        <v>274823</v>
      </c>
      <c r="L33" s="36">
        <f t="shared" si="1"/>
        <v>3360</v>
      </c>
      <c r="M33" s="76">
        <v>25621</v>
      </c>
      <c r="N33" s="36">
        <f t="shared" si="1"/>
        <v>0</v>
      </c>
      <c r="O33" s="76">
        <v>360920</v>
      </c>
      <c r="P33" s="36">
        <f t="shared" si="16"/>
        <v>8544</v>
      </c>
      <c r="Q33" s="80">
        <f>(Q34-Q31)/3+Q32</f>
        <v>488862.33333333337</v>
      </c>
      <c r="R33" s="101">
        <f t="shared" si="17"/>
        <v>2912.0000000009313</v>
      </c>
      <c r="S33" s="76">
        <v>784981</v>
      </c>
      <c r="T33" s="36">
        <f t="shared" si="18"/>
        <v>7728</v>
      </c>
      <c r="U33" s="80">
        <v>7921</v>
      </c>
      <c r="V33" s="101">
        <f t="shared" si="31"/>
        <v>960</v>
      </c>
      <c r="W33" s="76">
        <v>87177</v>
      </c>
      <c r="X33" s="101">
        <f t="shared" si="8"/>
        <v>0</v>
      </c>
      <c r="Y33" s="76">
        <v>1526351</v>
      </c>
      <c r="Z33" s="101">
        <f t="shared" si="20"/>
        <v>11232</v>
      </c>
      <c r="AA33" s="76">
        <v>13886</v>
      </c>
      <c r="AB33" s="101">
        <f t="shared" si="21"/>
        <v>0</v>
      </c>
      <c r="AC33" s="76">
        <v>521028</v>
      </c>
      <c r="AD33" s="101">
        <f t="shared" si="9"/>
        <v>7440</v>
      </c>
      <c r="AE33" s="76">
        <v>592480</v>
      </c>
      <c r="AF33" s="101">
        <f t="shared" si="9"/>
        <v>8112</v>
      </c>
      <c r="AG33" s="75">
        <v>49813</v>
      </c>
      <c r="AH33" s="101">
        <f>(+AG33-+AG32)*48</f>
        <v>0</v>
      </c>
      <c r="AI33" s="76">
        <v>461235</v>
      </c>
      <c r="AJ33" s="101">
        <f t="shared" si="10"/>
        <v>4944</v>
      </c>
      <c r="AK33" s="76">
        <v>102770</v>
      </c>
      <c r="AL33" s="101">
        <f>(+AK33-+AK32)*48</f>
        <v>0</v>
      </c>
      <c r="AM33" s="76">
        <v>626706</v>
      </c>
      <c r="AN33" s="101">
        <f t="shared" si="11"/>
        <v>6960</v>
      </c>
      <c r="AO33" s="76">
        <v>18685</v>
      </c>
      <c r="AP33" s="101">
        <f t="shared" si="12"/>
        <v>7680</v>
      </c>
      <c r="AQ33" s="76">
        <v>94680</v>
      </c>
      <c r="AR33" s="101">
        <f t="shared" si="30"/>
        <v>5952</v>
      </c>
      <c r="AS33" s="76">
        <v>2465</v>
      </c>
      <c r="AT33" s="101">
        <f t="shared" si="27"/>
        <v>0</v>
      </c>
      <c r="AU33" s="76">
        <v>939</v>
      </c>
      <c r="AV33" s="101">
        <f t="shared" si="28"/>
        <v>0</v>
      </c>
      <c r="AW33" s="76">
        <v>3110</v>
      </c>
      <c r="AX33" s="101">
        <f t="shared" si="24"/>
        <v>0</v>
      </c>
      <c r="AY33" s="76">
        <v>361755</v>
      </c>
      <c r="AZ33" s="101">
        <f t="shared" si="33"/>
        <v>5040</v>
      </c>
      <c r="BA33" s="76">
        <v>161101</v>
      </c>
      <c r="BB33" s="101">
        <f t="shared" si="34"/>
        <v>0</v>
      </c>
      <c r="BC33" s="76">
        <v>243662</v>
      </c>
      <c r="BD33" s="101">
        <f t="shared" si="25"/>
        <v>3216</v>
      </c>
      <c r="BE33" s="76">
        <v>5350</v>
      </c>
      <c r="BF33" s="101">
        <f t="shared" si="26"/>
        <v>0</v>
      </c>
      <c r="BH33" s="103">
        <f t="shared" si="2"/>
        <v>126089.60000000094</v>
      </c>
      <c r="BI33" s="103">
        <f t="shared" si="3"/>
        <v>69686.399999999994</v>
      </c>
    </row>
    <row r="34" spans="1:61" s="34" customFormat="1" ht="39.950000000000003" customHeight="1">
      <c r="A34" s="186">
        <f t="shared" si="7"/>
        <v>44860</v>
      </c>
      <c r="B34" s="33"/>
      <c r="C34" s="76">
        <v>7265027</v>
      </c>
      <c r="D34" s="101">
        <f t="shared" si="15"/>
        <v>110112</v>
      </c>
      <c r="E34" s="102">
        <f>D34*E5</f>
        <v>66067.199999999997</v>
      </c>
      <c r="F34" s="101">
        <f>D34*F5</f>
        <v>44044.800000000003</v>
      </c>
      <c r="G34" s="76">
        <v>301572</v>
      </c>
      <c r="H34" s="36">
        <f t="shared" si="1"/>
        <v>1824</v>
      </c>
      <c r="I34" s="76">
        <v>213040</v>
      </c>
      <c r="J34" s="36">
        <f t="shared" si="1"/>
        <v>7872</v>
      </c>
      <c r="K34" s="76">
        <v>274842</v>
      </c>
      <c r="L34" s="36">
        <f t="shared" si="1"/>
        <v>912</v>
      </c>
      <c r="M34" s="76">
        <v>25651</v>
      </c>
      <c r="N34" s="36">
        <f t="shared" si="1"/>
        <v>1440</v>
      </c>
      <c r="O34" s="76">
        <v>361110</v>
      </c>
      <c r="P34" s="36">
        <f t="shared" si="16"/>
        <v>9120</v>
      </c>
      <c r="Q34" s="76">
        <v>488923</v>
      </c>
      <c r="R34" s="101">
        <f t="shared" si="17"/>
        <v>2911.9999999981374</v>
      </c>
      <c r="S34" s="76">
        <v>785125</v>
      </c>
      <c r="T34" s="36">
        <f t="shared" si="18"/>
        <v>6912</v>
      </c>
      <c r="U34" s="80">
        <v>7942.3360000000002</v>
      </c>
      <c r="V34" s="101">
        <f t="shared" si="31"/>
        <v>1024.1280000000115</v>
      </c>
      <c r="W34" s="76">
        <v>87197</v>
      </c>
      <c r="X34" s="101">
        <f t="shared" si="8"/>
        <v>960</v>
      </c>
      <c r="Y34" s="76">
        <v>1526661</v>
      </c>
      <c r="Z34" s="101">
        <f t="shared" si="20"/>
        <v>14880</v>
      </c>
      <c r="AA34" s="76">
        <v>13886</v>
      </c>
      <c r="AB34" s="101">
        <f>(+AA34-+AA33)*48</f>
        <v>0</v>
      </c>
      <c r="AC34" s="76">
        <v>521180</v>
      </c>
      <c r="AD34" s="101">
        <f t="shared" si="9"/>
        <v>7296</v>
      </c>
      <c r="AE34" s="76">
        <v>592648</v>
      </c>
      <c r="AF34" s="101">
        <f t="shared" si="9"/>
        <v>8064</v>
      </c>
      <c r="AG34" s="75">
        <v>49813</v>
      </c>
      <c r="AH34" s="101">
        <f>(+AG34-+AG33)*48</f>
        <v>0</v>
      </c>
      <c r="AI34" s="76">
        <v>461339</v>
      </c>
      <c r="AJ34" s="101">
        <f t="shared" si="10"/>
        <v>4992</v>
      </c>
      <c r="AK34" s="76">
        <v>102770</v>
      </c>
      <c r="AL34" s="101">
        <f>(+AK34-+AK33)*48</f>
        <v>0</v>
      </c>
      <c r="AM34" s="76">
        <v>626844</v>
      </c>
      <c r="AN34" s="101">
        <f t="shared" si="11"/>
        <v>6624</v>
      </c>
      <c r="AO34" s="76">
        <v>18841</v>
      </c>
      <c r="AP34" s="101">
        <f t="shared" si="12"/>
        <v>7488</v>
      </c>
      <c r="AQ34" s="76">
        <v>94807</v>
      </c>
      <c r="AR34" s="101">
        <f t="shared" si="30"/>
        <v>6096</v>
      </c>
      <c r="AS34" s="76">
        <v>2465</v>
      </c>
      <c r="AT34" s="101">
        <f t="shared" si="27"/>
        <v>0</v>
      </c>
      <c r="AU34" s="76">
        <v>939</v>
      </c>
      <c r="AV34" s="101">
        <f t="shared" si="28"/>
        <v>0</v>
      </c>
      <c r="AW34" s="76">
        <v>3110</v>
      </c>
      <c r="AX34" s="101">
        <v>0</v>
      </c>
      <c r="AY34" s="76">
        <v>361856</v>
      </c>
      <c r="AZ34" s="101">
        <f t="shared" si="33"/>
        <v>4848</v>
      </c>
      <c r="BA34" s="76">
        <v>161101</v>
      </c>
      <c r="BB34" s="101">
        <f t="shared" si="34"/>
        <v>0</v>
      </c>
      <c r="BC34" s="76">
        <v>243730</v>
      </c>
      <c r="BD34" s="101">
        <f t="shared" si="25"/>
        <v>3264</v>
      </c>
      <c r="BE34" s="76">
        <v>5350</v>
      </c>
      <c r="BF34" s="101">
        <f t="shared" si="26"/>
        <v>0</v>
      </c>
      <c r="BH34" s="103">
        <f t="shared" si="2"/>
        <v>134275.32799999815</v>
      </c>
      <c r="BI34" s="103">
        <f t="shared" si="3"/>
        <v>72364.800000000003</v>
      </c>
    </row>
    <row r="35" spans="1:61" s="34" customFormat="1" ht="39.950000000000003" customHeight="1">
      <c r="A35" s="186">
        <f t="shared" si="7"/>
        <v>44861</v>
      </c>
      <c r="B35" s="33"/>
      <c r="C35" s="76">
        <v>7267344</v>
      </c>
      <c r="D35" s="101">
        <f t="shared" si="15"/>
        <v>111216</v>
      </c>
      <c r="E35" s="102">
        <f>D35*E5</f>
        <v>66729.599999999991</v>
      </c>
      <c r="F35" s="101">
        <f>D35*F5</f>
        <v>44486.400000000001</v>
      </c>
      <c r="G35" s="76">
        <v>301603</v>
      </c>
      <c r="H35" s="101">
        <f t="shared" si="1"/>
        <v>1488</v>
      </c>
      <c r="I35" s="76">
        <v>213212</v>
      </c>
      <c r="J35" s="101">
        <f t="shared" si="1"/>
        <v>8256</v>
      </c>
      <c r="K35" s="76">
        <v>274872</v>
      </c>
      <c r="L35" s="101">
        <f t="shared" si="1"/>
        <v>1440</v>
      </c>
      <c r="M35" s="76">
        <v>25621</v>
      </c>
      <c r="N35" s="101">
        <f t="shared" si="1"/>
        <v>-1440</v>
      </c>
      <c r="O35" s="76">
        <v>361293</v>
      </c>
      <c r="P35" s="36">
        <f t="shared" si="16"/>
        <v>8784</v>
      </c>
      <c r="Q35" s="76">
        <v>488986</v>
      </c>
      <c r="R35" s="101">
        <f t="shared" si="17"/>
        <v>3024</v>
      </c>
      <c r="S35" s="76">
        <v>785280</v>
      </c>
      <c r="T35" s="101">
        <f t="shared" si="18"/>
        <v>7440</v>
      </c>
      <c r="U35" s="80">
        <v>7963.4880000000003</v>
      </c>
      <c r="V35" s="101">
        <f t="shared" si="31"/>
        <v>1015.2960000000021</v>
      </c>
      <c r="W35" s="76">
        <v>87214</v>
      </c>
      <c r="X35" s="101">
        <f t="shared" si="8"/>
        <v>816</v>
      </c>
      <c r="Y35" s="76">
        <v>1526888</v>
      </c>
      <c r="Z35" s="101">
        <f t="shared" si="20"/>
        <v>10896</v>
      </c>
      <c r="AA35" s="76">
        <v>13886</v>
      </c>
      <c r="AB35" s="101">
        <f>(+AA35-+AA34)*48</f>
        <v>0</v>
      </c>
      <c r="AC35" s="76">
        <v>521338</v>
      </c>
      <c r="AD35" s="101">
        <f t="shared" si="9"/>
        <v>7584</v>
      </c>
      <c r="AE35" s="76">
        <v>592817</v>
      </c>
      <c r="AF35" s="101">
        <f t="shared" si="9"/>
        <v>8112</v>
      </c>
      <c r="AG35" s="76">
        <v>49813</v>
      </c>
      <c r="AH35" s="101">
        <f t="shared" si="22"/>
        <v>0</v>
      </c>
      <c r="AI35" s="76">
        <v>461442</v>
      </c>
      <c r="AJ35" s="101">
        <v>102770</v>
      </c>
      <c r="AK35" s="76">
        <v>102770</v>
      </c>
      <c r="AL35" s="101">
        <f>(+AK35-+AK34)*48</f>
        <v>0</v>
      </c>
      <c r="AM35" s="76">
        <v>626988</v>
      </c>
      <c r="AN35" s="101">
        <f t="shared" si="11"/>
        <v>6912</v>
      </c>
      <c r="AO35" s="76">
        <v>19006</v>
      </c>
      <c r="AP35" s="101">
        <f t="shared" si="12"/>
        <v>7920</v>
      </c>
      <c r="AQ35" s="76">
        <v>94926</v>
      </c>
      <c r="AR35" s="101">
        <f t="shared" si="30"/>
        <v>5712</v>
      </c>
      <c r="AS35" s="76">
        <v>2465</v>
      </c>
      <c r="AT35" s="101">
        <f>(+AS35-+AS34)*48</f>
        <v>0</v>
      </c>
      <c r="AU35" s="76">
        <v>939</v>
      </c>
      <c r="AV35" s="101">
        <f t="shared" si="28"/>
        <v>0</v>
      </c>
      <c r="AW35" s="76">
        <v>3110</v>
      </c>
      <c r="AX35" s="101">
        <v>0</v>
      </c>
      <c r="AY35" s="76">
        <v>361963</v>
      </c>
      <c r="AZ35" s="101">
        <f t="shared" si="33"/>
        <v>5136</v>
      </c>
      <c r="BA35" s="75">
        <v>161101</v>
      </c>
      <c r="BB35" s="101">
        <f t="shared" si="34"/>
        <v>0</v>
      </c>
      <c r="BC35" s="76">
        <v>243803</v>
      </c>
      <c r="BD35" s="101">
        <f t="shared" si="25"/>
        <v>3504</v>
      </c>
      <c r="BE35" s="76">
        <v>5350</v>
      </c>
      <c r="BF35" s="101">
        <f t="shared" si="26"/>
        <v>0</v>
      </c>
      <c r="BH35" s="103">
        <f t="shared" si="2"/>
        <v>226914.89600000001</v>
      </c>
      <c r="BI35" s="103">
        <f t="shared" si="3"/>
        <v>73670.399999999994</v>
      </c>
    </row>
    <row r="36" spans="1:61" s="34" customFormat="1" ht="39.950000000000003" customHeight="1">
      <c r="A36" s="186">
        <f t="shared" si="7"/>
        <v>44862</v>
      </c>
      <c r="B36" s="33"/>
      <c r="C36" s="76">
        <v>7269586</v>
      </c>
      <c r="D36" s="101">
        <f t="shared" si="15"/>
        <v>107616</v>
      </c>
      <c r="E36" s="102">
        <f>D36*E5</f>
        <v>64569.599999999999</v>
      </c>
      <c r="F36" s="101">
        <f>D36*F5</f>
        <v>43046.400000000001</v>
      </c>
      <c r="G36" s="76">
        <v>301640</v>
      </c>
      <c r="H36" s="101">
        <f t="shared" si="1"/>
        <v>1776</v>
      </c>
      <c r="I36" s="76">
        <v>213377</v>
      </c>
      <c r="J36" s="101">
        <f t="shared" si="1"/>
        <v>7920</v>
      </c>
      <c r="K36" s="76">
        <v>274916</v>
      </c>
      <c r="L36" s="101">
        <f t="shared" si="1"/>
        <v>2112</v>
      </c>
      <c r="M36" s="76">
        <v>25624</v>
      </c>
      <c r="N36" s="101">
        <f t="shared" si="1"/>
        <v>144</v>
      </c>
      <c r="O36" s="76">
        <v>361480</v>
      </c>
      <c r="P36" s="36">
        <f t="shared" si="16"/>
        <v>8976</v>
      </c>
      <c r="Q36" s="76">
        <v>489050</v>
      </c>
      <c r="R36" s="101">
        <f t="shared" si="17"/>
        <v>3072</v>
      </c>
      <c r="S36" s="76">
        <v>785409</v>
      </c>
      <c r="T36" s="101">
        <f t="shared" si="18"/>
        <v>6192</v>
      </c>
      <c r="U36" s="80">
        <v>7987.9470000000001</v>
      </c>
      <c r="V36" s="101">
        <f t="shared" si="31"/>
        <v>1174.031999999992</v>
      </c>
      <c r="W36" s="76">
        <v>87232</v>
      </c>
      <c r="X36" s="101">
        <f t="shared" si="8"/>
        <v>864</v>
      </c>
      <c r="Y36" s="76">
        <v>1527054</v>
      </c>
      <c r="Z36" s="101">
        <f>(+Y36-+Y35)*48</f>
        <v>7968</v>
      </c>
      <c r="AA36" s="76">
        <v>13886</v>
      </c>
      <c r="AB36" s="101">
        <f>(+AA36-+AA35)*48</f>
        <v>0</v>
      </c>
      <c r="AC36" s="76">
        <v>521494</v>
      </c>
      <c r="AD36" s="101">
        <f t="shared" si="9"/>
        <v>7488</v>
      </c>
      <c r="AE36" s="76">
        <v>592986</v>
      </c>
      <c r="AF36" s="101">
        <f t="shared" si="9"/>
        <v>8112</v>
      </c>
      <c r="AG36" s="76">
        <v>49813</v>
      </c>
      <c r="AH36" s="101">
        <f t="shared" si="22"/>
        <v>0</v>
      </c>
      <c r="AI36" s="76">
        <v>461546</v>
      </c>
      <c r="AJ36" s="101">
        <f t="shared" si="10"/>
        <v>4992</v>
      </c>
      <c r="AK36" s="76">
        <v>102770</v>
      </c>
      <c r="AL36" s="101">
        <f t="shared" si="23"/>
        <v>0</v>
      </c>
      <c r="AM36" s="76">
        <v>627125</v>
      </c>
      <c r="AN36" s="101">
        <f t="shared" si="11"/>
        <v>6576</v>
      </c>
      <c r="AO36" s="76">
        <v>19157</v>
      </c>
      <c r="AP36" s="101">
        <f t="shared" si="12"/>
        <v>7248</v>
      </c>
      <c r="AQ36" s="76">
        <v>95027</v>
      </c>
      <c r="AR36" s="101">
        <f t="shared" si="30"/>
        <v>4848</v>
      </c>
      <c r="AS36" s="76">
        <v>2465</v>
      </c>
      <c r="AT36" s="101">
        <f>(+AS36-+AS35)*48</f>
        <v>0</v>
      </c>
      <c r="AU36" s="76">
        <v>939</v>
      </c>
      <c r="AV36" s="101">
        <f t="shared" si="28"/>
        <v>0</v>
      </c>
      <c r="AW36" s="76">
        <v>3110</v>
      </c>
      <c r="AX36" s="101">
        <f t="shared" ref="AX36:AX38" si="35">(+AW36-+AW35)*48</f>
        <v>0</v>
      </c>
      <c r="AY36" s="76">
        <v>362061</v>
      </c>
      <c r="AZ36" s="101">
        <f t="shared" si="33"/>
        <v>4704</v>
      </c>
      <c r="BA36" s="75">
        <v>161101</v>
      </c>
      <c r="BB36" s="101">
        <f t="shared" si="34"/>
        <v>0</v>
      </c>
      <c r="BC36" s="76">
        <v>243868</v>
      </c>
      <c r="BD36" s="101">
        <f t="shared" si="25"/>
        <v>3120</v>
      </c>
      <c r="BE36" s="76">
        <v>5350</v>
      </c>
      <c r="BF36" s="101">
        <f t="shared" si="26"/>
        <v>0</v>
      </c>
      <c r="BH36" s="103">
        <f t="shared" si="2"/>
        <v>125359.632</v>
      </c>
      <c r="BI36" s="103">
        <f t="shared" si="3"/>
        <v>69542.399999999994</v>
      </c>
    </row>
    <row r="37" spans="1:61" s="34" customFormat="1" ht="39.950000000000003" customHeight="1">
      <c r="A37" s="186">
        <f t="shared" si="7"/>
        <v>44863</v>
      </c>
      <c r="B37" s="33"/>
      <c r="C37" s="76">
        <v>7271916</v>
      </c>
      <c r="D37" s="101">
        <f t="shared" si="15"/>
        <v>111840</v>
      </c>
      <c r="E37" s="102">
        <f>D37*E5</f>
        <v>67104</v>
      </c>
      <c r="F37" s="101">
        <f>D37*F5</f>
        <v>44736</v>
      </c>
      <c r="G37" s="76">
        <v>301706</v>
      </c>
      <c r="H37" s="101">
        <f t="shared" si="1"/>
        <v>3168</v>
      </c>
      <c r="I37" s="76">
        <v>213547</v>
      </c>
      <c r="J37" s="101">
        <f t="shared" si="1"/>
        <v>8160</v>
      </c>
      <c r="K37" s="76">
        <v>274979</v>
      </c>
      <c r="L37" s="101">
        <f t="shared" si="1"/>
        <v>3024</v>
      </c>
      <c r="M37" s="76">
        <v>25628</v>
      </c>
      <c r="N37" s="101">
        <f t="shared" si="1"/>
        <v>192</v>
      </c>
      <c r="O37" s="76">
        <v>361686</v>
      </c>
      <c r="P37" s="36">
        <f t="shared" si="16"/>
        <v>9888</v>
      </c>
      <c r="Q37" s="76">
        <v>489139</v>
      </c>
      <c r="R37" s="101">
        <f t="shared" si="17"/>
        <v>4272</v>
      </c>
      <c r="S37" s="76">
        <v>785562</v>
      </c>
      <c r="T37" s="101">
        <f t="shared" si="18"/>
        <v>7344</v>
      </c>
      <c r="U37" s="80">
        <v>8011.9840000000004</v>
      </c>
      <c r="V37" s="101">
        <f t="shared" si="31"/>
        <v>1153.7760000000126</v>
      </c>
      <c r="W37" s="76">
        <v>87244</v>
      </c>
      <c r="X37" s="101">
        <f t="shared" si="8"/>
        <v>576</v>
      </c>
      <c r="Y37" s="76">
        <v>1527208</v>
      </c>
      <c r="Z37" s="101">
        <f>(+Y37-+Y36)*48</f>
        <v>7392</v>
      </c>
      <c r="AA37" s="76">
        <v>13886</v>
      </c>
      <c r="AB37" s="101">
        <f t="shared" si="21"/>
        <v>0</v>
      </c>
      <c r="AC37" s="76">
        <v>521642</v>
      </c>
      <c r="AD37" s="101">
        <f t="shared" si="9"/>
        <v>7104</v>
      </c>
      <c r="AE37" s="76">
        <v>593153</v>
      </c>
      <c r="AF37" s="101">
        <f t="shared" si="9"/>
        <v>8016</v>
      </c>
      <c r="AG37" s="76">
        <v>49813</v>
      </c>
      <c r="AH37" s="101">
        <f t="shared" si="22"/>
        <v>0</v>
      </c>
      <c r="AI37" s="76">
        <v>461645</v>
      </c>
      <c r="AJ37" s="101">
        <f t="shared" si="10"/>
        <v>4752</v>
      </c>
      <c r="AK37" s="76">
        <v>102770</v>
      </c>
      <c r="AL37" s="101">
        <f t="shared" si="23"/>
        <v>0</v>
      </c>
      <c r="AM37" s="76">
        <v>627160</v>
      </c>
      <c r="AN37" s="101">
        <f t="shared" si="11"/>
        <v>1680</v>
      </c>
      <c r="AO37" s="76">
        <v>19314</v>
      </c>
      <c r="AP37" s="101">
        <f t="shared" si="12"/>
        <v>7536</v>
      </c>
      <c r="AQ37" s="76">
        <v>95118</v>
      </c>
      <c r="AR37" s="101">
        <f t="shared" si="30"/>
        <v>4368</v>
      </c>
      <c r="AS37" s="76">
        <v>2465</v>
      </c>
      <c r="AT37" s="101">
        <f>(+AS37-+AS36)*48</f>
        <v>0</v>
      </c>
      <c r="AU37" s="76">
        <v>939</v>
      </c>
      <c r="AV37" s="101">
        <f t="shared" si="28"/>
        <v>0</v>
      </c>
      <c r="AW37" s="76">
        <v>3110</v>
      </c>
      <c r="AX37" s="101">
        <f t="shared" si="35"/>
        <v>0</v>
      </c>
      <c r="AY37" s="76">
        <v>362161</v>
      </c>
      <c r="AZ37" s="101">
        <f t="shared" si="33"/>
        <v>4800</v>
      </c>
      <c r="BA37" s="75">
        <v>161101</v>
      </c>
      <c r="BB37" s="101">
        <f t="shared" si="34"/>
        <v>0</v>
      </c>
      <c r="BC37" s="76">
        <v>243936</v>
      </c>
      <c r="BD37" s="101">
        <f t="shared" si="25"/>
        <v>3264</v>
      </c>
      <c r="BE37" s="76">
        <v>5350</v>
      </c>
      <c r="BF37" s="101">
        <f t="shared" si="26"/>
        <v>0</v>
      </c>
      <c r="BH37" s="103">
        <f t="shared" si="2"/>
        <v>132145.77600000001</v>
      </c>
      <c r="BI37" s="103">
        <f t="shared" si="3"/>
        <v>66384</v>
      </c>
    </row>
    <row r="38" spans="1:61" s="34" customFormat="1" ht="39.950000000000003" customHeight="1">
      <c r="A38" s="186">
        <f t="shared" si="7"/>
        <v>44864</v>
      </c>
      <c r="B38" s="33"/>
      <c r="C38" s="76">
        <v>7274363</v>
      </c>
      <c r="D38" s="101">
        <f t="shared" si="15"/>
        <v>117456</v>
      </c>
      <c r="E38" s="102">
        <f>D38*E5</f>
        <v>70473.599999999991</v>
      </c>
      <c r="F38" s="101">
        <f>D38*F5</f>
        <v>46982.400000000001</v>
      </c>
      <c r="G38" s="76">
        <v>301763</v>
      </c>
      <c r="H38" s="101">
        <f t="shared" si="1"/>
        <v>2736</v>
      </c>
      <c r="I38" s="76">
        <v>213713</v>
      </c>
      <c r="J38" s="101">
        <f t="shared" si="1"/>
        <v>7968</v>
      </c>
      <c r="K38" s="76">
        <v>275085</v>
      </c>
      <c r="L38" s="101">
        <f t="shared" si="1"/>
        <v>5088</v>
      </c>
      <c r="M38" s="76">
        <v>25646</v>
      </c>
      <c r="N38" s="101">
        <f t="shared" si="1"/>
        <v>864</v>
      </c>
      <c r="O38" s="76">
        <v>361896</v>
      </c>
      <c r="P38" s="36">
        <f t="shared" si="16"/>
        <v>10080</v>
      </c>
      <c r="Q38" s="76">
        <v>489226</v>
      </c>
      <c r="R38" s="101">
        <f t="shared" si="17"/>
        <v>4176</v>
      </c>
      <c r="S38" s="76">
        <v>785699</v>
      </c>
      <c r="T38" s="101">
        <f t="shared" si="18"/>
        <v>6576</v>
      </c>
      <c r="U38" s="80">
        <v>8033.4549999999999</v>
      </c>
      <c r="V38" s="101">
        <f t="shared" si="31"/>
        <v>1030.6079999999783</v>
      </c>
      <c r="W38" s="76">
        <v>87260</v>
      </c>
      <c r="X38" s="101">
        <f t="shared" si="8"/>
        <v>768</v>
      </c>
      <c r="Y38" s="76">
        <v>1527311</v>
      </c>
      <c r="Z38" s="101">
        <f>(+Y38-+Y37)*48</f>
        <v>4944</v>
      </c>
      <c r="AA38" s="76">
        <v>13886</v>
      </c>
      <c r="AB38" s="101">
        <f t="shared" si="21"/>
        <v>0</v>
      </c>
      <c r="AC38" s="76">
        <v>521790</v>
      </c>
      <c r="AD38" s="101">
        <f t="shared" ref="AD38:AD39" si="36">(+AC38-+AC37)*48</f>
        <v>7104</v>
      </c>
      <c r="AE38" s="76">
        <v>593327</v>
      </c>
      <c r="AF38" s="101">
        <f t="shared" ref="AF38:AF39" si="37">(+AE38-+AE37)*48</f>
        <v>8352</v>
      </c>
      <c r="AG38" s="76">
        <v>49813</v>
      </c>
      <c r="AH38" s="101">
        <f>(+AG38-+AG37)*48</f>
        <v>0</v>
      </c>
      <c r="AI38" s="76">
        <v>461746</v>
      </c>
      <c r="AJ38" s="101">
        <f t="shared" si="10"/>
        <v>4848</v>
      </c>
      <c r="AK38" s="76">
        <v>102770</v>
      </c>
      <c r="AL38" s="101">
        <f t="shared" si="23"/>
        <v>0</v>
      </c>
      <c r="AM38" s="76">
        <v>627406</v>
      </c>
      <c r="AN38" s="101">
        <f t="shared" si="11"/>
        <v>11808</v>
      </c>
      <c r="AO38" s="76">
        <v>19476</v>
      </c>
      <c r="AP38" s="101">
        <f t="shared" si="12"/>
        <v>7776</v>
      </c>
      <c r="AQ38" s="76">
        <v>95383</v>
      </c>
      <c r="AR38" s="101">
        <f t="shared" si="30"/>
        <v>12720</v>
      </c>
      <c r="AS38" s="76">
        <v>2465</v>
      </c>
      <c r="AT38" s="101">
        <f>(+AS38-+AS37)*48</f>
        <v>0</v>
      </c>
      <c r="AU38" s="76">
        <v>939</v>
      </c>
      <c r="AV38" s="101">
        <f t="shared" si="28"/>
        <v>0</v>
      </c>
      <c r="AW38" s="76">
        <v>3110</v>
      </c>
      <c r="AX38" s="101">
        <f t="shared" si="35"/>
        <v>0</v>
      </c>
      <c r="AY38" s="76">
        <v>362266</v>
      </c>
      <c r="AZ38" s="101">
        <f t="shared" si="33"/>
        <v>5040</v>
      </c>
      <c r="BA38" s="75">
        <v>161101</v>
      </c>
      <c r="BB38" s="101">
        <f t="shared" si="34"/>
        <v>0</v>
      </c>
      <c r="BC38" s="76">
        <v>244006</v>
      </c>
      <c r="BD38" s="101">
        <f t="shared" si="25"/>
        <v>3360</v>
      </c>
      <c r="BE38" s="76">
        <v>5350</v>
      </c>
      <c r="BF38" s="101">
        <f t="shared" si="26"/>
        <v>0</v>
      </c>
      <c r="BH38" s="103">
        <f t="shared" si="2"/>
        <v>135008.20799999998</v>
      </c>
      <c r="BI38" s="103">
        <f t="shared" si="3"/>
        <v>87686.399999999994</v>
      </c>
    </row>
    <row r="39" spans="1:61" s="34" customFormat="1" ht="39.950000000000003" customHeight="1">
      <c r="A39" s="186">
        <f t="shared" si="7"/>
        <v>44865</v>
      </c>
      <c r="B39" s="33"/>
      <c r="C39" s="76">
        <v>7276536</v>
      </c>
      <c r="D39" s="101">
        <f t="shared" si="31"/>
        <v>104304</v>
      </c>
      <c r="E39" s="102">
        <f>D39*E5</f>
        <v>62582.399999999994</v>
      </c>
      <c r="F39" s="101">
        <f>D39*F5</f>
        <v>41721.600000000006</v>
      </c>
      <c r="G39" s="76">
        <v>301798</v>
      </c>
      <c r="H39" s="101">
        <f t="shared" si="31"/>
        <v>1680</v>
      </c>
      <c r="I39" s="76">
        <v>213890</v>
      </c>
      <c r="J39" s="101">
        <f t="shared" si="31"/>
        <v>8496</v>
      </c>
      <c r="K39" s="76">
        <v>275098</v>
      </c>
      <c r="L39" s="101">
        <f t="shared" si="31"/>
        <v>624</v>
      </c>
      <c r="M39" s="76">
        <v>25648</v>
      </c>
      <c r="N39" s="101">
        <f t="shared" si="31"/>
        <v>96</v>
      </c>
      <c r="O39" s="76">
        <v>362111</v>
      </c>
      <c r="P39" s="101">
        <f t="shared" si="31"/>
        <v>10320</v>
      </c>
      <c r="Q39" s="76">
        <v>489295</v>
      </c>
      <c r="R39" s="101">
        <f t="shared" si="31"/>
        <v>3312</v>
      </c>
      <c r="S39" s="76">
        <v>785841</v>
      </c>
      <c r="T39" s="101">
        <f t="shared" si="31"/>
        <v>6816</v>
      </c>
      <c r="U39" s="80">
        <v>8055.7169999999996</v>
      </c>
      <c r="V39" s="101">
        <f t="shared" si="31"/>
        <v>1068.5759999999864</v>
      </c>
      <c r="W39" s="76">
        <v>87279</v>
      </c>
      <c r="X39" s="101">
        <f t="shared" si="8"/>
        <v>912</v>
      </c>
      <c r="Y39" s="76">
        <v>1527513</v>
      </c>
      <c r="Z39" s="101">
        <f t="shared" ref="Z39" si="38">(+Y39-+Y38)*48</f>
        <v>9696</v>
      </c>
      <c r="AA39" s="76">
        <v>13886</v>
      </c>
      <c r="AB39" s="101">
        <f>(+AA39-+AA37)*48</f>
        <v>0</v>
      </c>
      <c r="AC39" s="76">
        <v>521930</v>
      </c>
      <c r="AD39" s="101">
        <f t="shared" si="36"/>
        <v>6720</v>
      </c>
      <c r="AE39" s="76">
        <v>593489</v>
      </c>
      <c r="AF39" s="101">
        <f t="shared" si="37"/>
        <v>7776</v>
      </c>
      <c r="AG39" s="76">
        <v>49813</v>
      </c>
      <c r="AH39" s="101">
        <f>(+AG39-+AG37)*48</f>
        <v>0</v>
      </c>
      <c r="AI39" s="76">
        <v>461845</v>
      </c>
      <c r="AJ39" s="101">
        <f t="shared" si="10"/>
        <v>4752</v>
      </c>
      <c r="AK39" s="76">
        <v>102770</v>
      </c>
      <c r="AL39" s="101">
        <f>(+AK39-+AK37)*48</f>
        <v>0</v>
      </c>
      <c r="AM39" s="76">
        <v>627546</v>
      </c>
      <c r="AN39" s="101">
        <f t="shared" si="11"/>
        <v>6720</v>
      </c>
      <c r="AO39" s="76">
        <v>19619</v>
      </c>
      <c r="AP39" s="101">
        <f t="shared" si="12"/>
        <v>6864</v>
      </c>
      <c r="AQ39" s="76">
        <v>95598</v>
      </c>
      <c r="AR39" s="101">
        <f t="shared" si="30"/>
        <v>10320</v>
      </c>
      <c r="AS39" s="76">
        <v>2465</v>
      </c>
      <c r="AT39" s="101">
        <f t="shared" ref="AT39" si="39">(+AS39-+AS37)*48</f>
        <v>0</v>
      </c>
      <c r="AU39" s="76">
        <v>939</v>
      </c>
      <c r="AV39" s="101">
        <f>(+AU39-+AU37)*48</f>
        <v>0</v>
      </c>
      <c r="AW39" s="76">
        <v>3110</v>
      </c>
      <c r="AX39" s="101">
        <f>(+AW39-+AW37)*48</f>
        <v>0</v>
      </c>
      <c r="AY39" s="76">
        <v>362358</v>
      </c>
      <c r="AZ39" s="101">
        <f t="shared" si="33"/>
        <v>4416</v>
      </c>
      <c r="BA39" s="75">
        <v>161101</v>
      </c>
      <c r="BB39" s="101">
        <f>(+BA39-+BA37)*48</f>
        <v>0</v>
      </c>
      <c r="BC39" s="76">
        <v>244070</v>
      </c>
      <c r="BD39" s="101">
        <f t="shared" si="25"/>
        <v>3072</v>
      </c>
      <c r="BE39" s="76">
        <v>5350</v>
      </c>
      <c r="BF39" s="101">
        <f>(+BE39-+BE37)*48</f>
        <v>0</v>
      </c>
      <c r="BH39" s="103">
        <f t="shared" si="2"/>
        <v>124850.97599999998</v>
      </c>
      <c r="BI39" s="103">
        <f t="shared" si="3"/>
        <v>73113.600000000006</v>
      </c>
    </row>
    <row r="40" spans="1:61" s="34" customFormat="1" ht="39.950000000000003" customHeight="1">
      <c r="A40" s="17"/>
      <c r="AD40" s="28"/>
      <c r="AE40" s="77"/>
      <c r="AG40" s="77"/>
      <c r="AI40" s="77"/>
      <c r="AK40" s="77"/>
      <c r="AM40" s="77"/>
      <c r="AO40" s="77"/>
      <c r="AQ40" s="77"/>
      <c r="AS40" s="77"/>
      <c r="AU40" s="77"/>
      <c r="AW40" s="77"/>
      <c r="AY40" s="77"/>
      <c r="BA40" s="77"/>
      <c r="BC40" s="77"/>
      <c r="BE40" s="77"/>
      <c r="BH40" s="21"/>
      <c r="BI40" s="21"/>
    </row>
    <row r="41" spans="1:61" s="34" customFormat="1" ht="39.950000000000003" customHeight="1">
      <c r="A41" s="17"/>
      <c r="AD41" s="28"/>
      <c r="AE41" s="77"/>
      <c r="AG41" s="77"/>
      <c r="AI41" s="77"/>
      <c r="AK41" s="77"/>
      <c r="AM41" s="77"/>
      <c r="AO41" s="77"/>
      <c r="AQ41" s="77"/>
      <c r="AS41" s="77"/>
      <c r="AU41" s="77"/>
      <c r="AW41" s="77"/>
      <c r="AY41" s="77"/>
      <c r="BA41" s="77"/>
      <c r="BC41" s="77"/>
      <c r="BE41" s="77"/>
      <c r="BH41" s="28"/>
      <c r="BI41" s="28"/>
    </row>
    <row r="42" spans="1:61" s="34" customFormat="1" ht="39.950000000000003" customHeight="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s="34" customFormat="1" ht="21">
      <c r="A47" s="35"/>
      <c r="AD47" s="28"/>
      <c r="AE47" s="77"/>
      <c r="AG47" s="77"/>
      <c r="AI47" s="77"/>
      <c r="AK47" s="77"/>
      <c r="AM47" s="77"/>
      <c r="AO47" s="77"/>
      <c r="AQ47" s="77"/>
      <c r="AS47" s="77"/>
      <c r="AU47" s="77"/>
      <c r="AW47" s="77"/>
      <c r="AY47" s="77"/>
      <c r="BA47" s="77"/>
      <c r="BC47" s="77"/>
      <c r="BE47" s="77"/>
      <c r="BH47" s="28"/>
      <c r="BI47" s="28"/>
    </row>
    <row r="48" spans="1:61" ht="21">
      <c r="A48" s="11"/>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76" t="s">
        <v>197</v>
      </c>
      <c r="C1" s="276"/>
      <c r="D1" s="276" t="s">
        <v>197</v>
      </c>
      <c r="E1" s="276"/>
      <c r="F1" s="276" t="s">
        <v>197</v>
      </c>
      <c r="G1" s="276"/>
      <c r="H1" s="276" t="s">
        <v>198</v>
      </c>
      <c r="I1" s="276"/>
      <c r="J1" s="273"/>
      <c r="K1" s="273"/>
      <c r="L1" s="276" t="s">
        <v>199</v>
      </c>
      <c r="M1" s="276"/>
      <c r="N1" s="276" t="s">
        <v>199</v>
      </c>
      <c r="O1" s="276"/>
      <c r="P1" s="276" t="s">
        <v>199</v>
      </c>
      <c r="Q1" s="276"/>
      <c r="R1" s="276" t="s">
        <v>199</v>
      </c>
      <c r="S1" s="276"/>
      <c r="T1" s="276" t="s">
        <v>200</v>
      </c>
      <c r="U1" s="276"/>
      <c r="V1" s="284" t="s">
        <v>200</v>
      </c>
      <c r="W1" s="284"/>
      <c r="X1" s="276" t="s">
        <v>200</v>
      </c>
      <c r="Y1" s="276"/>
      <c r="Z1" s="276" t="s">
        <v>200</v>
      </c>
      <c r="AA1" s="276"/>
      <c r="AB1" s="273"/>
      <c r="AC1" s="273"/>
      <c r="AD1" s="276" t="s">
        <v>200</v>
      </c>
      <c r="AE1" s="276"/>
      <c r="AF1" s="276" t="s">
        <v>200</v>
      </c>
      <c r="AG1" s="276"/>
      <c r="AH1" s="276" t="s">
        <v>201</v>
      </c>
      <c r="AI1" s="276"/>
      <c r="AJ1" s="276" t="s">
        <v>201</v>
      </c>
      <c r="AK1" s="276"/>
      <c r="AL1" s="285" t="s">
        <v>201</v>
      </c>
      <c r="AM1" s="285"/>
      <c r="AN1" s="276" t="s">
        <v>201</v>
      </c>
      <c r="AO1" s="276"/>
      <c r="AP1" s="273" t="s">
        <v>201</v>
      </c>
      <c r="AQ1" s="273"/>
      <c r="AR1" s="285" t="s">
        <v>201</v>
      </c>
      <c r="AS1" s="285"/>
      <c r="AT1" s="276" t="s">
        <v>201</v>
      </c>
      <c r="AU1" s="276"/>
      <c r="AV1" s="273"/>
      <c r="AW1" s="273"/>
      <c r="AX1" s="276" t="s">
        <v>201</v>
      </c>
      <c r="AY1" s="276"/>
      <c r="AZ1" s="276" t="s">
        <v>201</v>
      </c>
      <c r="BA1" s="276"/>
      <c r="BB1" s="276" t="s">
        <v>201</v>
      </c>
      <c r="BC1" s="276"/>
      <c r="BD1" s="276" t="s">
        <v>202</v>
      </c>
      <c r="BE1" s="276"/>
      <c r="BF1" s="276" t="s">
        <v>202</v>
      </c>
      <c r="BG1" s="276"/>
      <c r="BH1" s="276" t="s">
        <v>202</v>
      </c>
      <c r="BI1" s="276"/>
      <c r="BJ1" s="276" t="s">
        <v>202</v>
      </c>
      <c r="BK1" s="276"/>
      <c r="BL1" s="276" t="s">
        <v>202</v>
      </c>
      <c r="BM1" s="276"/>
      <c r="BN1" s="276" t="s">
        <v>202</v>
      </c>
      <c r="BO1" s="276"/>
      <c r="BP1" s="276" t="s">
        <v>202</v>
      </c>
      <c r="BQ1" s="276"/>
      <c r="BR1" s="276" t="s">
        <v>202</v>
      </c>
      <c r="BS1" s="276"/>
      <c r="BT1" s="276" t="s">
        <v>202</v>
      </c>
      <c r="BU1" s="276"/>
      <c r="BV1" s="276" t="s">
        <v>202</v>
      </c>
      <c r="BW1" s="276"/>
      <c r="BX1" s="276" t="s">
        <v>202</v>
      </c>
      <c r="BY1" s="276"/>
      <c r="BZ1" s="276" t="s">
        <v>203</v>
      </c>
      <c r="CA1" s="276"/>
      <c r="CB1" s="284" t="s">
        <v>203</v>
      </c>
      <c r="CC1" s="284"/>
      <c r="CD1" s="276" t="s">
        <v>203</v>
      </c>
      <c r="CE1" s="276"/>
      <c r="CF1" s="276" t="s">
        <v>203</v>
      </c>
      <c r="CG1" s="276"/>
      <c r="CH1" s="276" t="s">
        <v>204</v>
      </c>
      <c r="CI1" s="276"/>
      <c r="CJ1" s="276" t="s">
        <v>204</v>
      </c>
      <c r="CK1" s="276"/>
      <c r="CL1" s="276" t="s">
        <v>204</v>
      </c>
      <c r="CM1" s="276"/>
      <c r="CN1" s="276" t="s">
        <v>205</v>
      </c>
      <c r="CO1" s="276"/>
      <c r="CP1" s="276" t="s">
        <v>205</v>
      </c>
      <c r="CQ1" s="276"/>
      <c r="CR1" s="284" t="s">
        <v>205</v>
      </c>
      <c r="CS1" s="284"/>
      <c r="CT1" s="276" t="s">
        <v>205</v>
      </c>
      <c r="CU1" s="276"/>
      <c r="CV1" s="276" t="s">
        <v>205</v>
      </c>
      <c r="CW1" s="276"/>
      <c r="CX1" s="276" t="s">
        <v>205</v>
      </c>
      <c r="CY1" s="276"/>
      <c r="CZ1" s="276" t="s">
        <v>205</v>
      </c>
      <c r="DA1" s="276"/>
      <c r="DB1" s="276" t="s">
        <v>205</v>
      </c>
      <c r="DC1" s="276"/>
      <c r="DD1" s="276" t="s">
        <v>205</v>
      </c>
      <c r="DE1" s="276"/>
      <c r="DF1" s="276" t="s">
        <v>205</v>
      </c>
      <c r="DG1" s="276"/>
      <c r="DH1" s="276" t="s">
        <v>205</v>
      </c>
      <c r="DI1" s="276"/>
      <c r="DJ1" s="273" t="s">
        <v>205</v>
      </c>
      <c r="DK1" s="273"/>
      <c r="DL1" s="276" t="s">
        <v>206</v>
      </c>
      <c r="DM1" s="276"/>
      <c r="DN1" s="276" t="s">
        <v>206</v>
      </c>
      <c r="DO1" s="276"/>
      <c r="DP1" s="276" t="s">
        <v>206</v>
      </c>
      <c r="DQ1" s="276"/>
      <c r="DR1" s="276" t="s">
        <v>206</v>
      </c>
      <c r="DS1" s="276"/>
      <c r="DT1" s="276" t="s">
        <v>206</v>
      </c>
      <c r="DU1" s="276"/>
      <c r="DV1" s="276" t="s">
        <v>206</v>
      </c>
      <c r="DW1" s="276"/>
      <c r="DX1" s="276" t="s">
        <v>207</v>
      </c>
      <c r="DY1" s="276"/>
      <c r="DZ1" s="276" t="s">
        <v>207</v>
      </c>
      <c r="EA1" s="276"/>
      <c r="EB1" s="276" t="s">
        <v>207</v>
      </c>
      <c r="EC1" s="276"/>
      <c r="ED1" s="276" t="s">
        <v>207</v>
      </c>
      <c r="EE1" s="276"/>
      <c r="EF1" s="276" t="s">
        <v>207</v>
      </c>
      <c r="EG1" s="276"/>
      <c r="EH1" s="276" t="s">
        <v>207</v>
      </c>
      <c r="EI1" s="276"/>
      <c r="EJ1" s="276" t="s">
        <v>207</v>
      </c>
      <c r="EK1" s="276"/>
      <c r="EL1" s="276" t="s">
        <v>208</v>
      </c>
      <c r="EM1" s="276"/>
      <c r="EN1" s="276" t="s">
        <v>208</v>
      </c>
      <c r="EO1" s="276"/>
      <c r="EP1" s="276" t="s">
        <v>208</v>
      </c>
      <c r="EQ1" s="276"/>
      <c r="ER1" s="276" t="s">
        <v>209</v>
      </c>
      <c r="ES1" s="276"/>
      <c r="ET1" s="276" t="s">
        <v>209</v>
      </c>
      <c r="EU1" s="276"/>
      <c r="EV1" s="276" t="s">
        <v>209</v>
      </c>
      <c r="EW1" s="276"/>
      <c r="EX1" s="276" t="s">
        <v>210</v>
      </c>
      <c r="EY1" s="276"/>
      <c r="EZ1" s="276" t="s">
        <v>211</v>
      </c>
      <c r="FA1" s="276"/>
      <c r="FB1" s="276" t="s">
        <v>211</v>
      </c>
      <c r="FC1" s="276"/>
      <c r="FD1" s="276" t="s">
        <v>211</v>
      </c>
      <c r="FE1" s="276"/>
      <c r="FF1" s="276" t="s">
        <v>212</v>
      </c>
      <c r="FG1" s="276"/>
      <c r="FH1" s="276" t="s">
        <v>212</v>
      </c>
      <c r="FI1" s="276"/>
      <c r="FJ1" s="276" t="s">
        <v>212</v>
      </c>
      <c r="FK1" s="276"/>
      <c r="FL1" s="273" t="s">
        <v>212</v>
      </c>
      <c r="FM1" s="273"/>
    </row>
    <row r="2" spans="1:169" s="22" customFormat="1" ht="49.5" customHeight="1">
      <c r="B2" s="276" t="s">
        <v>213</v>
      </c>
      <c r="C2" s="276"/>
      <c r="D2" s="276" t="s">
        <v>214</v>
      </c>
      <c r="E2" s="276"/>
      <c r="F2" s="276" t="s">
        <v>213</v>
      </c>
      <c r="G2" s="276"/>
      <c r="H2" s="276" t="s">
        <v>214</v>
      </c>
      <c r="I2" s="276"/>
      <c r="J2" s="276" t="s">
        <v>214</v>
      </c>
      <c r="K2" s="276"/>
      <c r="L2" s="276" t="s">
        <v>213</v>
      </c>
      <c r="M2" s="276"/>
      <c r="N2" s="276" t="s">
        <v>213</v>
      </c>
      <c r="O2" s="276"/>
      <c r="P2" s="276" t="s">
        <v>214</v>
      </c>
      <c r="Q2" s="276"/>
      <c r="R2" s="276" t="s">
        <v>214</v>
      </c>
      <c r="S2" s="276"/>
      <c r="T2" s="276" t="s">
        <v>213</v>
      </c>
      <c r="U2" s="276"/>
      <c r="V2" s="276" t="s">
        <v>214</v>
      </c>
      <c r="W2" s="276"/>
      <c r="X2" s="276" t="s">
        <v>214</v>
      </c>
      <c r="Y2" s="276"/>
      <c r="Z2" s="276" t="s">
        <v>214</v>
      </c>
      <c r="AA2" s="276"/>
      <c r="AB2" s="273" t="s">
        <v>214</v>
      </c>
      <c r="AC2" s="273"/>
      <c r="AD2" s="276" t="s">
        <v>213</v>
      </c>
      <c r="AE2" s="276"/>
      <c r="AF2" s="276" t="s">
        <v>214</v>
      </c>
      <c r="AG2" s="276"/>
      <c r="AH2" s="276" t="s">
        <v>214</v>
      </c>
      <c r="AI2" s="276"/>
      <c r="AJ2" s="276" t="s">
        <v>214</v>
      </c>
      <c r="AK2" s="276"/>
      <c r="AL2" s="276" t="s">
        <v>214</v>
      </c>
      <c r="AM2" s="276"/>
      <c r="AN2" s="276" t="s">
        <v>214</v>
      </c>
      <c r="AO2" s="276"/>
      <c r="AP2" s="273" t="s">
        <v>214</v>
      </c>
      <c r="AQ2" s="273"/>
      <c r="AR2" s="276" t="s">
        <v>214</v>
      </c>
      <c r="AS2" s="276"/>
      <c r="AT2" s="276" t="s">
        <v>214</v>
      </c>
      <c r="AU2" s="276"/>
      <c r="AV2" s="273" t="s">
        <v>214</v>
      </c>
      <c r="AW2" s="273"/>
      <c r="AX2" s="276" t="s">
        <v>214</v>
      </c>
      <c r="AY2" s="276"/>
      <c r="AZ2" s="276" t="s">
        <v>214</v>
      </c>
      <c r="BA2" s="276"/>
      <c r="BB2" s="276" t="s">
        <v>214</v>
      </c>
      <c r="BC2" s="276"/>
      <c r="BD2" s="276" t="s">
        <v>213</v>
      </c>
      <c r="BE2" s="276"/>
      <c r="BF2" s="276" t="s">
        <v>215</v>
      </c>
      <c r="BG2" s="276"/>
      <c r="BH2" s="276" t="s">
        <v>214</v>
      </c>
      <c r="BI2" s="276"/>
      <c r="BJ2" s="276" t="s">
        <v>214</v>
      </c>
      <c r="BK2" s="276"/>
      <c r="BL2" s="276" t="s">
        <v>214</v>
      </c>
      <c r="BM2" s="276"/>
      <c r="BN2" s="276" t="s">
        <v>214</v>
      </c>
      <c r="BO2" s="276"/>
      <c r="BP2" s="276" t="s">
        <v>214</v>
      </c>
      <c r="BQ2" s="276"/>
      <c r="BR2" s="276" t="s">
        <v>214</v>
      </c>
      <c r="BS2" s="276"/>
      <c r="BT2" s="276" t="s">
        <v>214</v>
      </c>
      <c r="BU2" s="276"/>
      <c r="BV2" s="276" t="s">
        <v>214</v>
      </c>
      <c r="BW2" s="276"/>
      <c r="BX2" s="276" t="s">
        <v>214</v>
      </c>
      <c r="BY2" s="276"/>
      <c r="BZ2" s="276" t="s">
        <v>213</v>
      </c>
      <c r="CA2" s="276"/>
      <c r="CB2" s="276" t="s">
        <v>213</v>
      </c>
      <c r="CC2" s="276"/>
      <c r="CD2" s="276" t="s">
        <v>213</v>
      </c>
      <c r="CE2" s="276"/>
      <c r="CF2" s="276" t="s">
        <v>213</v>
      </c>
      <c r="CG2" s="276"/>
      <c r="CH2" s="276" t="s">
        <v>214</v>
      </c>
      <c r="CI2" s="276"/>
      <c r="CJ2" s="276" t="s">
        <v>214</v>
      </c>
      <c r="CK2" s="276"/>
      <c r="CL2" s="276" t="s">
        <v>214</v>
      </c>
      <c r="CM2" s="276"/>
      <c r="CN2" s="276" t="s">
        <v>213</v>
      </c>
      <c r="CO2" s="276"/>
      <c r="CP2" s="276" t="s">
        <v>214</v>
      </c>
      <c r="CQ2" s="276"/>
      <c r="CR2" s="276" t="s">
        <v>214</v>
      </c>
      <c r="CS2" s="276"/>
      <c r="CT2" s="276" t="s">
        <v>214</v>
      </c>
      <c r="CU2" s="276"/>
      <c r="CV2" s="276" t="s">
        <v>214</v>
      </c>
      <c r="CW2" s="276"/>
      <c r="CX2" s="276" t="s">
        <v>214</v>
      </c>
      <c r="CY2" s="276"/>
      <c r="CZ2" s="276" t="s">
        <v>214</v>
      </c>
      <c r="DA2" s="276"/>
      <c r="DB2" s="276" t="s">
        <v>213</v>
      </c>
      <c r="DC2" s="276"/>
      <c r="DD2" s="276" t="s">
        <v>214</v>
      </c>
      <c r="DE2" s="276"/>
      <c r="DF2" s="276" t="s">
        <v>214</v>
      </c>
      <c r="DG2" s="276"/>
      <c r="DH2" s="276" t="s">
        <v>214</v>
      </c>
      <c r="DI2" s="276"/>
      <c r="DJ2" s="273" t="s">
        <v>214</v>
      </c>
      <c r="DK2" s="273"/>
      <c r="DL2" s="276" t="s">
        <v>214</v>
      </c>
      <c r="DM2" s="276"/>
      <c r="DN2" s="276" t="s">
        <v>214</v>
      </c>
      <c r="DO2" s="276"/>
      <c r="DP2" s="276" t="s">
        <v>214</v>
      </c>
      <c r="DQ2" s="276"/>
      <c r="DR2" s="276" t="s">
        <v>214</v>
      </c>
      <c r="DS2" s="276"/>
      <c r="DT2" s="276" t="s">
        <v>214</v>
      </c>
      <c r="DU2" s="276"/>
      <c r="DV2" s="276" t="s">
        <v>214</v>
      </c>
      <c r="DW2" s="276"/>
      <c r="DX2" s="276" t="s">
        <v>214</v>
      </c>
      <c r="DY2" s="276"/>
      <c r="DZ2" s="276" t="s">
        <v>214</v>
      </c>
      <c r="EA2" s="276"/>
      <c r="EB2" s="276" t="s">
        <v>214</v>
      </c>
      <c r="EC2" s="276"/>
      <c r="ED2" s="276" t="s">
        <v>214</v>
      </c>
      <c r="EE2" s="276"/>
      <c r="EF2" s="276" t="s">
        <v>214</v>
      </c>
      <c r="EG2" s="276"/>
      <c r="EH2" s="276" t="s">
        <v>214</v>
      </c>
      <c r="EI2" s="276"/>
      <c r="EJ2" s="276" t="s">
        <v>214</v>
      </c>
      <c r="EK2" s="276"/>
      <c r="EL2" s="276" t="s">
        <v>214</v>
      </c>
      <c r="EM2" s="276"/>
      <c r="EN2" s="276" t="s">
        <v>214</v>
      </c>
      <c r="EO2" s="276"/>
      <c r="EP2" s="276" t="s">
        <v>214</v>
      </c>
      <c r="EQ2" s="276"/>
      <c r="ER2" s="276" t="s">
        <v>214</v>
      </c>
      <c r="ES2" s="276"/>
      <c r="ET2" s="276" t="s">
        <v>214</v>
      </c>
      <c r="EU2" s="276"/>
      <c r="EV2" s="276" t="s">
        <v>214</v>
      </c>
      <c r="EW2" s="276"/>
      <c r="EX2" s="276" t="s">
        <v>214</v>
      </c>
      <c r="EY2" s="276"/>
      <c r="EZ2" s="276" t="s">
        <v>214</v>
      </c>
      <c r="FA2" s="276"/>
      <c r="FB2" s="276" t="s">
        <v>214</v>
      </c>
      <c r="FC2" s="276"/>
      <c r="FD2" s="276" t="s">
        <v>214</v>
      </c>
      <c r="FE2" s="276"/>
      <c r="FF2" s="276" t="s">
        <v>214</v>
      </c>
      <c r="FG2" s="276"/>
      <c r="FH2" s="276" t="s">
        <v>214</v>
      </c>
      <c r="FI2" s="276"/>
      <c r="FJ2" s="276" t="s">
        <v>214</v>
      </c>
      <c r="FK2" s="276"/>
      <c r="FL2" s="273" t="s">
        <v>214</v>
      </c>
      <c r="FM2" s="273"/>
    </row>
    <row r="3" spans="1:169" s="22" customFormat="1" ht="49.5" customHeight="1">
      <c r="B3" s="225" t="s">
        <v>67</v>
      </c>
      <c r="C3" s="226"/>
      <c r="D3" s="225" t="s">
        <v>216</v>
      </c>
      <c r="E3" s="226"/>
      <c r="F3" s="225"/>
      <c r="G3" s="226"/>
      <c r="H3" s="225" t="s">
        <v>216</v>
      </c>
      <c r="I3" s="226"/>
      <c r="J3" s="225" t="s">
        <v>216</v>
      </c>
      <c r="K3" s="226"/>
      <c r="L3" s="225"/>
      <c r="M3" s="226"/>
      <c r="N3" s="225"/>
      <c r="O3" s="226"/>
      <c r="P3" s="225" t="s">
        <v>216</v>
      </c>
      <c r="Q3" s="226"/>
      <c r="R3" s="225" t="s">
        <v>216</v>
      </c>
      <c r="S3" s="226"/>
      <c r="T3" s="225"/>
      <c r="U3" s="226"/>
      <c r="V3" s="225" t="s">
        <v>217</v>
      </c>
      <c r="W3" s="226"/>
      <c r="X3" s="225" t="s">
        <v>217</v>
      </c>
      <c r="Y3" s="226"/>
      <c r="Z3" s="225" t="s">
        <v>217</v>
      </c>
      <c r="AA3" s="226"/>
      <c r="AB3" s="282" t="s">
        <v>217</v>
      </c>
      <c r="AC3" s="283"/>
      <c r="AD3" s="225"/>
      <c r="AE3" s="226"/>
      <c r="AF3" s="225" t="s">
        <v>217</v>
      </c>
      <c r="AG3" s="226"/>
      <c r="AH3" s="225" t="s">
        <v>216</v>
      </c>
      <c r="AI3" s="226"/>
      <c r="AJ3" s="225" t="s">
        <v>216</v>
      </c>
      <c r="AK3" s="226"/>
      <c r="AL3" s="225" t="s">
        <v>216</v>
      </c>
      <c r="AM3" s="226"/>
      <c r="AN3" s="225" t="s">
        <v>216</v>
      </c>
      <c r="AO3" s="226"/>
      <c r="AP3" s="282" t="s">
        <v>216</v>
      </c>
      <c r="AQ3" s="283"/>
      <c r="AR3" s="225" t="s">
        <v>216</v>
      </c>
      <c r="AS3" s="226"/>
      <c r="AT3" s="225" t="s">
        <v>216</v>
      </c>
      <c r="AU3" s="226"/>
      <c r="AV3" s="282" t="s">
        <v>216</v>
      </c>
      <c r="AW3" s="283"/>
      <c r="AX3" s="225" t="s">
        <v>216</v>
      </c>
      <c r="AY3" s="226"/>
      <c r="AZ3" s="225" t="s">
        <v>216</v>
      </c>
      <c r="BA3" s="226"/>
      <c r="BB3" s="225" t="s">
        <v>216</v>
      </c>
      <c r="BC3" s="226"/>
      <c r="BD3" s="225"/>
      <c r="BE3" s="226"/>
      <c r="BF3" s="225"/>
      <c r="BG3" s="226"/>
      <c r="BH3" s="225" t="s">
        <v>216</v>
      </c>
      <c r="BI3" s="226"/>
      <c r="BJ3" s="225" t="s">
        <v>216</v>
      </c>
      <c r="BK3" s="226"/>
      <c r="BL3" s="225" t="s">
        <v>216</v>
      </c>
      <c r="BM3" s="226"/>
      <c r="BN3" s="225" t="s">
        <v>216</v>
      </c>
      <c r="BO3" s="226"/>
      <c r="BP3" s="225" t="s">
        <v>216</v>
      </c>
      <c r="BQ3" s="226"/>
      <c r="BR3" s="225" t="s">
        <v>216</v>
      </c>
      <c r="BS3" s="226"/>
      <c r="BT3" s="225" t="s">
        <v>216</v>
      </c>
      <c r="BU3" s="226"/>
      <c r="BV3" s="225" t="s">
        <v>216</v>
      </c>
      <c r="BW3" s="226"/>
      <c r="BX3" s="225" t="s">
        <v>216</v>
      </c>
      <c r="BY3" s="226"/>
      <c r="BZ3" s="225" t="s">
        <v>66</v>
      </c>
      <c r="CA3" s="226"/>
      <c r="CB3" s="225" t="s">
        <v>66</v>
      </c>
      <c r="CC3" s="226"/>
      <c r="CD3" s="225" t="s">
        <v>66</v>
      </c>
      <c r="CE3" s="226"/>
      <c r="CF3" s="109"/>
      <c r="CG3" s="109"/>
      <c r="CH3" s="225" t="s">
        <v>67</v>
      </c>
      <c r="CI3" s="226"/>
      <c r="CJ3" s="225" t="s">
        <v>67</v>
      </c>
      <c r="CK3" s="226"/>
      <c r="CL3" s="225" t="s">
        <v>216</v>
      </c>
      <c r="CM3" s="226"/>
      <c r="CN3" s="225"/>
      <c r="CO3" s="226"/>
      <c r="CP3" s="225" t="s">
        <v>216</v>
      </c>
      <c r="CQ3" s="226"/>
      <c r="CR3" s="225" t="s">
        <v>216</v>
      </c>
      <c r="CS3" s="226"/>
      <c r="CT3" s="225" t="s">
        <v>216</v>
      </c>
      <c r="CU3" s="226"/>
      <c r="CV3" s="225" t="s">
        <v>216</v>
      </c>
      <c r="CW3" s="226"/>
      <c r="CX3" s="225" t="s">
        <v>216</v>
      </c>
      <c r="CY3" s="226"/>
      <c r="CZ3" s="225" t="s">
        <v>216</v>
      </c>
      <c r="DA3" s="226"/>
      <c r="DB3" s="225" t="s">
        <v>216</v>
      </c>
      <c r="DC3" s="226"/>
      <c r="DD3" s="225" t="s">
        <v>216</v>
      </c>
      <c r="DE3" s="226"/>
      <c r="DF3" s="225" t="s">
        <v>216</v>
      </c>
      <c r="DG3" s="226"/>
      <c r="DH3" s="225" t="s">
        <v>216</v>
      </c>
      <c r="DI3" s="226"/>
      <c r="DJ3" s="282" t="s">
        <v>216</v>
      </c>
      <c r="DK3" s="283"/>
      <c r="DL3" s="225" t="s">
        <v>65</v>
      </c>
      <c r="DM3" s="226"/>
      <c r="DN3" s="225" t="s">
        <v>65</v>
      </c>
      <c r="DO3" s="226"/>
      <c r="DP3" s="225" t="s">
        <v>65</v>
      </c>
      <c r="DQ3" s="226"/>
      <c r="DR3" s="225" t="s">
        <v>65</v>
      </c>
      <c r="DS3" s="226"/>
      <c r="DT3" s="225" t="s">
        <v>65</v>
      </c>
      <c r="DU3" s="226"/>
      <c r="DV3" s="225" t="s">
        <v>218</v>
      </c>
      <c r="DW3" s="226"/>
      <c r="DX3" s="225" t="s">
        <v>65</v>
      </c>
      <c r="DY3" s="226"/>
      <c r="DZ3" s="225" t="s">
        <v>217</v>
      </c>
      <c r="EA3" s="226"/>
      <c r="EB3" s="225" t="s">
        <v>65</v>
      </c>
      <c r="EC3" s="226"/>
      <c r="ED3" s="225" t="s">
        <v>65</v>
      </c>
      <c r="EE3" s="226"/>
      <c r="EF3" s="225" t="s">
        <v>65</v>
      </c>
      <c r="EG3" s="226"/>
      <c r="EH3" s="225" t="s">
        <v>65</v>
      </c>
      <c r="EI3" s="226"/>
      <c r="EJ3" s="225" t="s">
        <v>65</v>
      </c>
      <c r="EK3" s="226"/>
      <c r="EL3" s="225" t="s">
        <v>67</v>
      </c>
      <c r="EM3" s="226"/>
      <c r="EN3" s="225" t="s">
        <v>67</v>
      </c>
      <c r="EO3" s="226"/>
      <c r="EP3" s="225" t="s">
        <v>67</v>
      </c>
      <c r="EQ3" s="226"/>
      <c r="ER3" s="225" t="s">
        <v>67</v>
      </c>
      <c r="ES3" s="226"/>
      <c r="ET3" s="225" t="s">
        <v>67</v>
      </c>
      <c r="EU3" s="226"/>
      <c r="EV3" s="225" t="s">
        <v>67</v>
      </c>
      <c r="EW3" s="226"/>
      <c r="EX3" s="225" t="s">
        <v>67</v>
      </c>
      <c r="EY3" s="226"/>
      <c r="EZ3" s="225" t="s">
        <v>67</v>
      </c>
      <c r="FA3" s="226"/>
      <c r="FB3" s="225" t="s">
        <v>67</v>
      </c>
      <c r="FC3" s="226"/>
      <c r="FD3" s="225" t="s">
        <v>67</v>
      </c>
      <c r="FE3" s="226"/>
      <c r="FF3" s="225" t="s">
        <v>67</v>
      </c>
      <c r="FG3" s="226"/>
      <c r="FH3" s="225" t="s">
        <v>67</v>
      </c>
      <c r="FI3" s="226"/>
      <c r="FJ3" s="225" t="s">
        <v>67</v>
      </c>
      <c r="FK3" s="226"/>
      <c r="FL3" s="282" t="s">
        <v>216</v>
      </c>
      <c r="FM3" s="283"/>
    </row>
    <row r="4" spans="1:169" s="22" customFormat="1" ht="30" customHeight="1">
      <c r="B4" s="225" t="s">
        <v>219</v>
      </c>
      <c r="C4" s="226"/>
      <c r="D4" s="225" t="s">
        <v>219</v>
      </c>
      <c r="E4" s="226"/>
      <c r="F4" s="107"/>
      <c r="G4" s="108"/>
      <c r="H4" s="225" t="s">
        <v>219</v>
      </c>
      <c r="I4" s="226"/>
      <c r="J4" s="225" t="s">
        <v>220</v>
      </c>
      <c r="K4" s="226"/>
      <c r="L4" s="107"/>
      <c r="M4" s="108"/>
      <c r="N4" s="225"/>
      <c r="O4" s="226"/>
      <c r="P4" s="225" t="s">
        <v>221</v>
      </c>
      <c r="Q4" s="226"/>
      <c r="R4" s="225" t="s">
        <v>221</v>
      </c>
      <c r="S4" s="226"/>
      <c r="T4" s="107"/>
      <c r="U4" s="108"/>
      <c r="V4" s="225" t="s">
        <v>221</v>
      </c>
      <c r="W4" s="226"/>
      <c r="X4" s="225" t="s">
        <v>221</v>
      </c>
      <c r="Y4" s="226"/>
      <c r="Z4" s="225" t="s">
        <v>221</v>
      </c>
      <c r="AA4" s="226"/>
      <c r="AB4" s="282" t="s">
        <v>221</v>
      </c>
      <c r="AC4" s="283"/>
      <c r="AD4" s="107"/>
      <c r="AE4" s="108"/>
      <c r="AF4" s="225" t="s">
        <v>221</v>
      </c>
      <c r="AG4" s="226"/>
      <c r="AH4" s="225" t="s">
        <v>221</v>
      </c>
      <c r="AI4" s="226"/>
      <c r="AJ4" s="225" t="s">
        <v>219</v>
      </c>
      <c r="AK4" s="226"/>
      <c r="AL4" s="225" t="s">
        <v>219</v>
      </c>
      <c r="AM4" s="226"/>
      <c r="AN4" s="225" t="s">
        <v>219</v>
      </c>
      <c r="AO4" s="226"/>
      <c r="AP4" s="282" t="s">
        <v>220</v>
      </c>
      <c r="AQ4" s="283"/>
      <c r="AR4" s="225" t="s">
        <v>219</v>
      </c>
      <c r="AS4" s="226"/>
      <c r="AT4" s="225" t="s">
        <v>219</v>
      </c>
      <c r="AU4" s="226"/>
      <c r="AV4" s="282" t="s">
        <v>219</v>
      </c>
      <c r="AW4" s="283"/>
      <c r="AX4" s="225" t="s">
        <v>221</v>
      </c>
      <c r="AY4" s="226"/>
      <c r="AZ4" s="225" t="s">
        <v>219</v>
      </c>
      <c r="BA4" s="226"/>
      <c r="BB4" s="225" t="s">
        <v>219</v>
      </c>
      <c r="BC4" s="226"/>
      <c r="BD4" s="107"/>
      <c r="BE4" s="108"/>
      <c r="BF4" s="107"/>
      <c r="BG4" s="108"/>
      <c r="BH4" s="225" t="s">
        <v>220</v>
      </c>
      <c r="BI4" s="226"/>
      <c r="BJ4" s="225" t="s">
        <v>221</v>
      </c>
      <c r="BK4" s="226"/>
      <c r="BL4" s="225" t="s">
        <v>219</v>
      </c>
      <c r="BM4" s="226"/>
      <c r="BN4" s="225" t="s">
        <v>219</v>
      </c>
      <c r="BO4" s="226"/>
      <c r="BP4" s="225" t="s">
        <v>219</v>
      </c>
      <c r="BQ4" s="226"/>
      <c r="BR4" s="225" t="s">
        <v>219</v>
      </c>
      <c r="BS4" s="226"/>
      <c r="BT4" s="225" t="s">
        <v>219</v>
      </c>
      <c r="BU4" s="226"/>
      <c r="BV4" s="225" t="s">
        <v>219</v>
      </c>
      <c r="BW4" s="226"/>
      <c r="BX4" s="225" t="s">
        <v>219</v>
      </c>
      <c r="BY4" s="226"/>
      <c r="BZ4" s="225" t="s">
        <v>221</v>
      </c>
      <c r="CA4" s="226"/>
      <c r="CB4" s="225" t="s">
        <v>221</v>
      </c>
      <c r="CC4" s="226"/>
      <c r="CD4" s="225" t="s">
        <v>221</v>
      </c>
      <c r="CE4" s="226"/>
      <c r="CF4" s="225" t="s">
        <v>219</v>
      </c>
      <c r="CG4" s="226"/>
      <c r="CH4" s="225" t="s">
        <v>219</v>
      </c>
      <c r="CI4" s="226"/>
      <c r="CJ4" s="225" t="s">
        <v>219</v>
      </c>
      <c r="CK4" s="226"/>
      <c r="CL4" s="225" t="s">
        <v>219</v>
      </c>
      <c r="CM4" s="226"/>
      <c r="CN4" s="107"/>
      <c r="CO4" s="108"/>
      <c r="CP4" s="225" t="s">
        <v>220</v>
      </c>
      <c r="CQ4" s="226"/>
      <c r="CR4" s="225" t="s">
        <v>222</v>
      </c>
      <c r="CS4" s="226"/>
      <c r="CT4" s="225" t="s">
        <v>220</v>
      </c>
      <c r="CU4" s="226"/>
      <c r="CV4" s="225" t="s">
        <v>221</v>
      </c>
      <c r="CW4" s="226"/>
      <c r="CX4" s="225" t="s">
        <v>219</v>
      </c>
      <c r="CY4" s="226"/>
      <c r="CZ4" s="225" t="s">
        <v>219</v>
      </c>
      <c r="DA4" s="226"/>
      <c r="DB4" s="107"/>
      <c r="DC4" s="108"/>
      <c r="DD4" s="225" t="s">
        <v>220</v>
      </c>
      <c r="DE4" s="226"/>
      <c r="DF4" s="225" t="s">
        <v>221</v>
      </c>
      <c r="DG4" s="226"/>
      <c r="DH4" s="225" t="s">
        <v>221</v>
      </c>
      <c r="DI4" s="226"/>
      <c r="DJ4" s="282" t="s">
        <v>220</v>
      </c>
      <c r="DK4" s="283"/>
      <c r="DL4" s="225" t="s">
        <v>219</v>
      </c>
      <c r="DM4" s="226"/>
      <c r="DN4" s="225" t="s">
        <v>219</v>
      </c>
      <c r="DO4" s="226"/>
      <c r="DP4" s="225" t="s">
        <v>219</v>
      </c>
      <c r="DQ4" s="226"/>
      <c r="DR4" s="225" t="s">
        <v>219</v>
      </c>
      <c r="DS4" s="226"/>
      <c r="DT4" s="225" t="s">
        <v>221</v>
      </c>
      <c r="DU4" s="226"/>
      <c r="DV4" s="225" t="s">
        <v>221</v>
      </c>
      <c r="DW4" s="226"/>
      <c r="DX4" s="225" t="s">
        <v>223</v>
      </c>
      <c r="DY4" s="226"/>
      <c r="DZ4" s="225" t="s">
        <v>224</v>
      </c>
      <c r="EA4" s="226"/>
      <c r="EB4" s="225" t="s">
        <v>223</v>
      </c>
      <c r="EC4" s="226"/>
      <c r="ED4" s="225" t="s">
        <v>219</v>
      </c>
      <c r="EE4" s="226"/>
      <c r="EF4" s="225" t="s">
        <v>219</v>
      </c>
      <c r="EG4" s="226"/>
      <c r="EH4" s="225" t="s">
        <v>221</v>
      </c>
      <c r="EI4" s="226"/>
      <c r="EJ4" s="225" t="s">
        <v>221</v>
      </c>
      <c r="EK4" s="226"/>
      <c r="EL4" s="225" t="s">
        <v>219</v>
      </c>
      <c r="EM4" s="226"/>
      <c r="EN4" s="225" t="s">
        <v>219</v>
      </c>
      <c r="EO4" s="226"/>
      <c r="EP4" s="225" t="s">
        <v>219</v>
      </c>
      <c r="EQ4" s="226"/>
      <c r="ER4" s="225" t="s">
        <v>219</v>
      </c>
      <c r="ES4" s="226"/>
      <c r="ET4" s="225" t="s">
        <v>219</v>
      </c>
      <c r="EU4" s="226"/>
      <c r="EV4" s="225" t="s">
        <v>219</v>
      </c>
      <c r="EW4" s="226"/>
      <c r="EX4" s="225" t="s">
        <v>219</v>
      </c>
      <c r="EY4" s="226"/>
      <c r="EZ4" s="225" t="s">
        <v>221</v>
      </c>
      <c r="FA4" s="226"/>
      <c r="FB4" s="225" t="s">
        <v>219</v>
      </c>
      <c r="FC4" s="226"/>
      <c r="FD4" s="225" t="s">
        <v>219</v>
      </c>
      <c r="FE4" s="226"/>
      <c r="FF4" s="225" t="s">
        <v>223</v>
      </c>
      <c r="FG4" s="226"/>
      <c r="FH4" s="225" t="s">
        <v>219</v>
      </c>
      <c r="FI4" s="226"/>
      <c r="FJ4" s="225" t="s">
        <v>223</v>
      </c>
      <c r="FK4" s="226"/>
      <c r="FL4" s="282" t="s">
        <v>219</v>
      </c>
      <c r="FM4" s="283"/>
    </row>
    <row r="5" spans="1:169" s="82" customFormat="1" ht="138.75" customHeight="1">
      <c r="B5" s="279" t="s">
        <v>78</v>
      </c>
      <c r="C5" s="279"/>
      <c r="D5" s="279" t="s">
        <v>225</v>
      </c>
      <c r="E5" s="279"/>
      <c r="F5" s="279" t="s">
        <v>79</v>
      </c>
      <c r="G5" s="279"/>
      <c r="H5" s="279" t="s">
        <v>226</v>
      </c>
      <c r="I5" s="279"/>
      <c r="J5" s="279" t="s">
        <v>227</v>
      </c>
      <c r="K5" s="279"/>
      <c r="L5" s="279" t="s">
        <v>78</v>
      </c>
      <c r="M5" s="279"/>
      <c r="N5" s="279" t="s">
        <v>80</v>
      </c>
      <c r="O5" s="279"/>
      <c r="P5" s="279" t="s">
        <v>228</v>
      </c>
      <c r="Q5" s="279"/>
      <c r="R5" s="279" t="s">
        <v>228</v>
      </c>
      <c r="S5" s="279"/>
      <c r="T5" s="279" t="s">
        <v>68</v>
      </c>
      <c r="U5" s="279"/>
      <c r="V5" s="279" t="s">
        <v>229</v>
      </c>
      <c r="W5" s="279"/>
      <c r="X5" s="279" t="s">
        <v>230</v>
      </c>
      <c r="Y5" s="279"/>
      <c r="Z5" s="279" t="s">
        <v>231</v>
      </c>
      <c r="AA5" s="279"/>
      <c r="AB5" s="280" t="s">
        <v>228</v>
      </c>
      <c r="AC5" s="280"/>
      <c r="AD5" s="279" t="s">
        <v>69</v>
      </c>
      <c r="AE5" s="279"/>
      <c r="AF5" s="279" t="s">
        <v>232</v>
      </c>
      <c r="AG5" s="279"/>
      <c r="AH5" s="279" t="s">
        <v>233</v>
      </c>
      <c r="AI5" s="279"/>
      <c r="AJ5" s="279" t="s">
        <v>234</v>
      </c>
      <c r="AK5" s="279"/>
      <c r="AL5" s="279" t="s">
        <v>226</v>
      </c>
      <c r="AM5" s="279"/>
      <c r="AN5" s="279" t="s">
        <v>235</v>
      </c>
      <c r="AO5" s="279"/>
      <c r="AP5" s="280" t="s">
        <v>236</v>
      </c>
      <c r="AQ5" s="280"/>
      <c r="AR5" s="279" t="s">
        <v>237</v>
      </c>
      <c r="AS5" s="279"/>
      <c r="AT5" s="279" t="s">
        <v>238</v>
      </c>
      <c r="AU5" s="279"/>
      <c r="AV5" s="280" t="s">
        <v>239</v>
      </c>
      <c r="AW5" s="280"/>
      <c r="AX5" s="279" t="s">
        <v>228</v>
      </c>
      <c r="AY5" s="279"/>
      <c r="AZ5" s="279" t="s">
        <v>226</v>
      </c>
      <c r="BA5" s="279"/>
      <c r="BB5" s="279" t="s">
        <v>240</v>
      </c>
      <c r="BC5" s="279"/>
      <c r="BD5" s="279" t="s">
        <v>71</v>
      </c>
      <c r="BE5" s="279"/>
      <c r="BF5" s="279" t="s">
        <v>72</v>
      </c>
      <c r="BG5" s="279"/>
      <c r="BH5" s="279" t="s">
        <v>241</v>
      </c>
      <c r="BI5" s="279"/>
      <c r="BJ5" s="279" t="s">
        <v>242</v>
      </c>
      <c r="BK5" s="279"/>
      <c r="BL5" s="279" t="s">
        <v>243</v>
      </c>
      <c r="BM5" s="279"/>
      <c r="BN5" s="279" t="s">
        <v>244</v>
      </c>
      <c r="BO5" s="279"/>
      <c r="BP5" s="279" t="s">
        <v>245</v>
      </c>
      <c r="BQ5" s="279"/>
      <c r="BR5" s="279" t="s">
        <v>246</v>
      </c>
      <c r="BS5" s="279"/>
      <c r="BT5" s="279" t="s">
        <v>247</v>
      </c>
      <c r="BU5" s="279"/>
      <c r="BV5" s="279" t="s">
        <v>248</v>
      </c>
      <c r="BW5" s="279"/>
      <c r="BX5" s="279" t="s">
        <v>246</v>
      </c>
      <c r="BY5" s="279"/>
      <c r="BZ5" s="279" t="s">
        <v>74</v>
      </c>
      <c r="CA5" s="279"/>
      <c r="CB5" s="279" t="s">
        <v>75</v>
      </c>
      <c r="CC5" s="279"/>
      <c r="CD5" s="279" t="s">
        <v>76</v>
      </c>
      <c r="CE5" s="279"/>
      <c r="CF5" s="279" t="s">
        <v>77</v>
      </c>
      <c r="CG5" s="279"/>
      <c r="CH5" s="279" t="s">
        <v>249</v>
      </c>
      <c r="CI5" s="279"/>
      <c r="CJ5" s="279" t="s">
        <v>249</v>
      </c>
      <c r="CK5" s="279"/>
      <c r="CL5" s="279" t="s">
        <v>250</v>
      </c>
      <c r="CM5" s="279"/>
      <c r="CN5" s="279" t="s">
        <v>70</v>
      </c>
      <c r="CO5" s="279"/>
      <c r="CP5" s="281" t="s">
        <v>251</v>
      </c>
      <c r="CQ5" s="281"/>
      <c r="CR5" s="281" t="s">
        <v>222</v>
      </c>
      <c r="CS5" s="281"/>
      <c r="CT5" s="281" t="s">
        <v>252</v>
      </c>
      <c r="CU5" s="281"/>
      <c r="CV5" s="281" t="s">
        <v>253</v>
      </c>
      <c r="CW5" s="281"/>
      <c r="CX5" s="281" t="s">
        <v>254</v>
      </c>
      <c r="CY5" s="281"/>
      <c r="CZ5" s="281" t="s">
        <v>255</v>
      </c>
      <c r="DA5" s="281"/>
      <c r="DB5" s="279" t="s">
        <v>73</v>
      </c>
      <c r="DC5" s="279"/>
      <c r="DD5" s="279" t="s">
        <v>256</v>
      </c>
      <c r="DE5" s="279"/>
      <c r="DF5" s="279" t="s">
        <v>257</v>
      </c>
      <c r="DG5" s="279"/>
      <c r="DH5" s="279" t="s">
        <v>258</v>
      </c>
      <c r="DI5" s="279"/>
      <c r="DJ5" s="280" t="s">
        <v>256</v>
      </c>
      <c r="DK5" s="280"/>
      <c r="DL5" s="279" t="s">
        <v>259</v>
      </c>
      <c r="DM5" s="279"/>
      <c r="DN5" s="279" t="s">
        <v>259</v>
      </c>
      <c r="DO5" s="279"/>
      <c r="DP5" s="279" t="s">
        <v>260</v>
      </c>
      <c r="DQ5" s="279"/>
      <c r="DR5" s="279" t="s">
        <v>260</v>
      </c>
      <c r="DS5" s="279"/>
      <c r="DT5" s="279" t="s">
        <v>232</v>
      </c>
      <c r="DU5" s="279"/>
      <c r="DV5" s="279" t="s">
        <v>261</v>
      </c>
      <c r="DW5" s="279"/>
      <c r="DX5" s="281" t="s">
        <v>262</v>
      </c>
      <c r="DY5" s="281"/>
      <c r="DZ5" s="279" t="s">
        <v>226</v>
      </c>
      <c r="EA5" s="279"/>
      <c r="EB5" s="281" t="s">
        <v>263</v>
      </c>
      <c r="EC5" s="281"/>
      <c r="ED5" s="281" t="s">
        <v>264</v>
      </c>
      <c r="EE5" s="281"/>
      <c r="EF5" s="281" t="s">
        <v>265</v>
      </c>
      <c r="EG5" s="281"/>
      <c r="EH5" s="281" t="s">
        <v>228</v>
      </c>
      <c r="EI5" s="281"/>
      <c r="EJ5" s="281" t="s">
        <v>266</v>
      </c>
      <c r="EK5" s="281"/>
      <c r="EL5" s="279" t="s">
        <v>267</v>
      </c>
      <c r="EM5" s="279"/>
      <c r="EN5" s="279" t="s">
        <v>268</v>
      </c>
      <c r="EO5" s="279"/>
      <c r="EP5" s="279" t="s">
        <v>269</v>
      </c>
      <c r="EQ5" s="279"/>
      <c r="ER5" s="279" t="s">
        <v>270</v>
      </c>
      <c r="ES5" s="279"/>
      <c r="ET5" s="279" t="s">
        <v>268</v>
      </c>
      <c r="EU5" s="279"/>
      <c r="EV5" s="279" t="s">
        <v>269</v>
      </c>
      <c r="EW5" s="279"/>
      <c r="EX5" s="279" t="s">
        <v>271</v>
      </c>
      <c r="EY5" s="279"/>
      <c r="EZ5" s="279" t="s">
        <v>266</v>
      </c>
      <c r="FA5" s="279"/>
      <c r="FB5" s="279" t="s">
        <v>272</v>
      </c>
      <c r="FC5" s="279"/>
      <c r="FD5" s="279" t="s">
        <v>273</v>
      </c>
      <c r="FE5" s="279"/>
      <c r="FF5" s="279" t="s">
        <v>274</v>
      </c>
      <c r="FG5" s="279"/>
      <c r="FH5" s="279" t="s">
        <v>275</v>
      </c>
      <c r="FI5" s="279"/>
      <c r="FJ5" s="279" t="s">
        <v>276</v>
      </c>
      <c r="FK5" s="279"/>
      <c r="FL5" s="280" t="s">
        <v>277</v>
      </c>
      <c r="FM5" s="280"/>
    </row>
    <row r="6" spans="1:169" s="22" customFormat="1" ht="30" customHeight="1">
      <c r="B6" s="276">
        <v>5065544</v>
      </c>
      <c r="C6" s="276"/>
      <c r="D6" s="225"/>
      <c r="E6" s="226"/>
      <c r="F6" s="276">
        <v>5065541</v>
      </c>
      <c r="G6" s="276"/>
      <c r="H6" s="225"/>
      <c r="I6" s="226"/>
      <c r="J6" s="225"/>
      <c r="K6" s="226"/>
      <c r="L6" s="276">
        <v>5065542</v>
      </c>
      <c r="M6" s="276"/>
      <c r="N6" s="276">
        <v>5065540</v>
      </c>
      <c r="O6" s="276"/>
      <c r="P6" s="225"/>
      <c r="Q6" s="226"/>
      <c r="R6" s="225"/>
      <c r="S6" s="226"/>
      <c r="T6" s="276">
        <v>5065546</v>
      </c>
      <c r="U6" s="276"/>
      <c r="V6" s="225"/>
      <c r="W6" s="226"/>
      <c r="X6" s="225"/>
      <c r="Y6" s="226"/>
      <c r="Z6" s="225"/>
      <c r="AA6" s="226"/>
      <c r="AB6" s="225"/>
      <c r="AC6" s="226"/>
      <c r="AD6" s="276">
        <v>5065547</v>
      </c>
      <c r="AE6" s="276"/>
      <c r="AF6" s="225"/>
      <c r="AG6" s="226"/>
      <c r="AH6" s="277"/>
      <c r="AI6" s="278"/>
      <c r="AJ6" s="277"/>
      <c r="AK6" s="278"/>
      <c r="AL6" s="277"/>
      <c r="AM6" s="278"/>
      <c r="AN6" s="277"/>
      <c r="AO6" s="278"/>
      <c r="AP6" s="277"/>
      <c r="AQ6" s="278"/>
      <c r="AR6" s="277"/>
      <c r="AS6" s="278"/>
      <c r="AT6" s="277"/>
      <c r="AU6" s="278"/>
      <c r="AV6" s="277"/>
      <c r="AW6" s="278"/>
      <c r="AX6" s="277"/>
      <c r="AY6" s="278"/>
      <c r="AZ6" s="277"/>
      <c r="BA6" s="278"/>
      <c r="BB6" s="277"/>
      <c r="BC6" s="278"/>
      <c r="BD6" s="276">
        <v>5065548</v>
      </c>
      <c r="BE6" s="276"/>
      <c r="BF6" s="276">
        <v>5465545</v>
      </c>
      <c r="BG6" s="276"/>
      <c r="BH6" s="225"/>
      <c r="BI6" s="226"/>
      <c r="BJ6" s="225"/>
      <c r="BK6" s="226"/>
      <c r="BL6" s="225"/>
      <c r="BM6" s="226"/>
      <c r="BN6" s="225"/>
      <c r="BO6" s="226"/>
      <c r="BP6" s="225"/>
      <c r="BQ6" s="226"/>
      <c r="BR6" s="225"/>
      <c r="BS6" s="226"/>
      <c r="BT6" s="225"/>
      <c r="BU6" s="226"/>
      <c r="BV6" s="225"/>
      <c r="BW6" s="226"/>
      <c r="BX6" s="225"/>
      <c r="BY6" s="226"/>
      <c r="BZ6" s="276">
        <v>5018351</v>
      </c>
      <c r="CA6" s="276"/>
      <c r="CB6" s="276">
        <v>5018354</v>
      </c>
      <c r="CC6" s="276"/>
      <c r="CD6" s="276">
        <v>5018350</v>
      </c>
      <c r="CE6" s="276"/>
      <c r="CF6" s="276">
        <v>5065543</v>
      </c>
      <c r="CG6" s="276"/>
      <c r="CH6" s="225"/>
      <c r="CI6" s="226"/>
      <c r="CJ6" s="225"/>
      <c r="CK6" s="226"/>
      <c r="CL6" s="225"/>
      <c r="CM6" s="226"/>
      <c r="CN6" s="276">
        <v>5008272</v>
      </c>
      <c r="CO6" s="276"/>
      <c r="CP6" s="225"/>
      <c r="CQ6" s="226"/>
      <c r="CR6" s="225"/>
      <c r="CS6" s="226"/>
      <c r="CT6" s="225"/>
      <c r="CU6" s="226"/>
      <c r="CV6" s="225"/>
      <c r="CW6" s="226"/>
      <c r="CX6" s="225"/>
      <c r="CY6" s="226"/>
      <c r="CZ6" s="225"/>
      <c r="DA6" s="226"/>
      <c r="DB6" s="276">
        <v>5008273</v>
      </c>
      <c r="DC6" s="276"/>
      <c r="DD6" s="225"/>
      <c r="DE6" s="226"/>
      <c r="DF6" s="225"/>
      <c r="DG6" s="226"/>
      <c r="DH6" s="225"/>
      <c r="DI6" s="226"/>
      <c r="DJ6" s="225"/>
      <c r="DK6" s="226"/>
      <c r="DL6" s="225"/>
      <c r="DM6" s="226"/>
      <c r="DN6" s="225"/>
      <c r="DO6" s="226"/>
      <c r="DP6" s="225"/>
      <c r="DQ6" s="226"/>
      <c r="DR6" s="225"/>
      <c r="DS6" s="226"/>
      <c r="DT6" s="225"/>
      <c r="DU6" s="226"/>
      <c r="DV6" s="225"/>
      <c r="DW6" s="226"/>
      <c r="DX6" s="225"/>
      <c r="DY6" s="226"/>
      <c r="DZ6" s="225"/>
      <c r="EA6" s="226"/>
      <c r="EB6" s="225"/>
      <c r="EC6" s="226"/>
      <c r="ED6" s="225"/>
      <c r="EE6" s="226"/>
      <c r="EF6" s="225"/>
      <c r="EG6" s="226"/>
      <c r="EH6" s="225"/>
      <c r="EI6" s="226"/>
      <c r="EJ6" s="225"/>
      <c r="EK6" s="226"/>
      <c r="EL6" s="225"/>
      <c r="EM6" s="226"/>
      <c r="EN6" s="225"/>
      <c r="EO6" s="226"/>
      <c r="EP6" s="225"/>
      <c r="EQ6" s="226"/>
      <c r="ER6" s="225"/>
      <c r="ES6" s="226"/>
      <c r="ET6" s="225"/>
      <c r="EU6" s="226"/>
      <c r="EV6" s="225"/>
      <c r="EW6" s="226"/>
      <c r="EX6" s="225"/>
      <c r="EY6" s="226"/>
      <c r="EZ6" s="225"/>
      <c r="FA6" s="226"/>
      <c r="FB6" s="225"/>
      <c r="FC6" s="226"/>
      <c r="FD6" s="225"/>
      <c r="FE6" s="226"/>
      <c r="FF6" s="225"/>
      <c r="FG6" s="226"/>
      <c r="FH6" s="225"/>
      <c r="FI6" s="226"/>
      <c r="FJ6" s="225"/>
      <c r="FK6" s="226"/>
      <c r="FL6" s="225"/>
      <c r="FM6" s="226"/>
    </row>
    <row r="7" spans="1:169" s="22" customFormat="1" ht="30" customHeight="1">
      <c r="B7" s="264" t="s">
        <v>92</v>
      </c>
      <c r="C7" s="264"/>
      <c r="D7" s="264" t="s">
        <v>92</v>
      </c>
      <c r="E7" s="264"/>
      <c r="F7" s="262" t="s">
        <v>93</v>
      </c>
      <c r="G7" s="262"/>
      <c r="H7" s="263" t="s">
        <v>94</v>
      </c>
      <c r="I7" s="263"/>
      <c r="J7" s="263" t="s">
        <v>94</v>
      </c>
      <c r="K7" s="263"/>
      <c r="L7" s="263" t="s">
        <v>94</v>
      </c>
      <c r="M7" s="263"/>
      <c r="N7" s="265" t="s">
        <v>95</v>
      </c>
      <c r="O7" s="265"/>
      <c r="P7" s="265" t="s">
        <v>95</v>
      </c>
      <c r="Q7" s="265"/>
      <c r="R7" s="265" t="s">
        <v>95</v>
      </c>
      <c r="S7" s="265"/>
      <c r="T7" s="266" t="s">
        <v>82</v>
      </c>
      <c r="U7" s="266"/>
      <c r="V7" s="266" t="s">
        <v>82</v>
      </c>
      <c r="W7" s="266"/>
      <c r="X7" s="266" t="s">
        <v>82</v>
      </c>
      <c r="Y7" s="266"/>
      <c r="Z7" s="266" t="s">
        <v>82</v>
      </c>
      <c r="AA7" s="266"/>
      <c r="AB7" s="266" t="s">
        <v>82</v>
      </c>
      <c r="AC7" s="266"/>
      <c r="AD7" s="268" t="s">
        <v>83</v>
      </c>
      <c r="AE7" s="268"/>
      <c r="AF7" s="268" t="s">
        <v>83</v>
      </c>
      <c r="AG7" s="268"/>
      <c r="AH7" s="275" t="s">
        <v>85</v>
      </c>
      <c r="AI7" s="275"/>
      <c r="AJ7" s="275" t="s">
        <v>85</v>
      </c>
      <c r="AK7" s="275"/>
      <c r="AL7" s="275" t="s">
        <v>85</v>
      </c>
      <c r="AM7" s="275"/>
      <c r="AN7" s="275" t="s">
        <v>85</v>
      </c>
      <c r="AO7" s="275"/>
      <c r="AP7" s="275" t="s">
        <v>85</v>
      </c>
      <c r="AQ7" s="275"/>
      <c r="AR7" s="275" t="s">
        <v>85</v>
      </c>
      <c r="AS7" s="275"/>
      <c r="AT7" s="275" t="s">
        <v>85</v>
      </c>
      <c r="AU7" s="275"/>
      <c r="AV7" s="275" t="s">
        <v>85</v>
      </c>
      <c r="AW7" s="275"/>
      <c r="AX7" s="275" t="s">
        <v>85</v>
      </c>
      <c r="AY7" s="275"/>
      <c r="AZ7" s="275" t="s">
        <v>85</v>
      </c>
      <c r="BA7" s="275"/>
      <c r="BB7" s="275" t="s">
        <v>85</v>
      </c>
      <c r="BC7" s="275"/>
      <c r="BD7" s="275" t="s">
        <v>85</v>
      </c>
      <c r="BE7" s="275"/>
      <c r="BF7" s="270" t="s">
        <v>86</v>
      </c>
      <c r="BG7" s="270"/>
      <c r="BH7" s="270" t="s">
        <v>86</v>
      </c>
      <c r="BI7" s="270"/>
      <c r="BJ7" s="270" t="s">
        <v>86</v>
      </c>
      <c r="BK7" s="270"/>
      <c r="BL7" s="270" t="s">
        <v>86</v>
      </c>
      <c r="BM7" s="270"/>
      <c r="BN7" s="270" t="s">
        <v>86</v>
      </c>
      <c r="BO7" s="270"/>
      <c r="BP7" s="270" t="s">
        <v>86</v>
      </c>
      <c r="BQ7" s="270"/>
      <c r="BR7" s="270" t="s">
        <v>86</v>
      </c>
      <c r="BS7" s="270"/>
      <c r="BT7" s="270" t="s">
        <v>86</v>
      </c>
      <c r="BU7" s="270"/>
      <c r="BV7" s="270" t="s">
        <v>86</v>
      </c>
      <c r="BW7" s="270"/>
      <c r="BX7" s="270" t="s">
        <v>86</v>
      </c>
      <c r="BY7" s="270"/>
      <c r="BZ7" s="271" t="s">
        <v>88</v>
      </c>
      <c r="CA7" s="271"/>
      <c r="CB7" s="272" t="s">
        <v>89</v>
      </c>
      <c r="CC7" s="272"/>
      <c r="CD7" s="273" t="s">
        <v>90</v>
      </c>
      <c r="CE7" s="273"/>
      <c r="CF7" s="274" t="s">
        <v>91</v>
      </c>
      <c r="CG7" s="274"/>
      <c r="CH7" s="274" t="s">
        <v>91</v>
      </c>
      <c r="CI7" s="274"/>
      <c r="CJ7" s="274" t="s">
        <v>91</v>
      </c>
      <c r="CK7" s="274"/>
      <c r="CL7" s="274" t="s">
        <v>91</v>
      </c>
      <c r="CM7" s="274"/>
      <c r="CN7" s="269" t="s">
        <v>84</v>
      </c>
      <c r="CO7" s="269"/>
      <c r="CP7" s="269" t="s">
        <v>84</v>
      </c>
      <c r="CQ7" s="269"/>
      <c r="CR7" s="269" t="s">
        <v>84</v>
      </c>
      <c r="CS7" s="269"/>
      <c r="CT7" s="269" t="s">
        <v>84</v>
      </c>
      <c r="CU7" s="269"/>
      <c r="CV7" s="269" t="s">
        <v>84</v>
      </c>
      <c r="CW7" s="269"/>
      <c r="CX7" s="269" t="s">
        <v>84</v>
      </c>
      <c r="CY7" s="269"/>
      <c r="CZ7" s="269" t="s">
        <v>84</v>
      </c>
      <c r="DA7" s="269"/>
      <c r="DB7" s="267" t="s">
        <v>87</v>
      </c>
      <c r="DC7" s="267"/>
      <c r="DD7" s="267" t="s">
        <v>87</v>
      </c>
      <c r="DE7" s="267"/>
      <c r="DF7" s="267" t="s">
        <v>87</v>
      </c>
      <c r="DG7" s="267"/>
      <c r="DH7" s="267" t="s">
        <v>87</v>
      </c>
      <c r="DI7" s="267"/>
      <c r="DJ7" s="267" t="s">
        <v>87</v>
      </c>
      <c r="DK7" s="267"/>
      <c r="DL7" s="268" t="s">
        <v>83</v>
      </c>
      <c r="DM7" s="268"/>
      <c r="DN7" s="268" t="s">
        <v>83</v>
      </c>
      <c r="DO7" s="268"/>
      <c r="DP7" s="268" t="s">
        <v>83</v>
      </c>
      <c r="DQ7" s="268"/>
      <c r="DR7" s="268" t="s">
        <v>83</v>
      </c>
      <c r="DS7" s="268"/>
      <c r="DT7" s="268" t="s">
        <v>83</v>
      </c>
      <c r="DU7" s="268"/>
      <c r="DV7" s="268" t="s">
        <v>83</v>
      </c>
      <c r="DW7" s="268"/>
      <c r="DX7" s="266" t="s">
        <v>82</v>
      </c>
      <c r="DY7" s="266"/>
      <c r="DZ7" s="266" t="s">
        <v>82</v>
      </c>
      <c r="EA7" s="266"/>
      <c r="EB7" s="266" t="s">
        <v>82</v>
      </c>
      <c r="EC7" s="266"/>
      <c r="ED7" s="266" t="s">
        <v>82</v>
      </c>
      <c r="EE7" s="266"/>
      <c r="EF7" s="266" t="s">
        <v>82</v>
      </c>
      <c r="EG7" s="266"/>
      <c r="EH7" s="266" t="s">
        <v>82</v>
      </c>
      <c r="EI7" s="266"/>
      <c r="EJ7" s="266" t="s">
        <v>82</v>
      </c>
      <c r="EK7" s="266"/>
      <c r="EL7" s="263" t="s">
        <v>94</v>
      </c>
      <c r="EM7" s="263"/>
      <c r="EN7" s="263" t="s">
        <v>94</v>
      </c>
      <c r="EO7" s="263"/>
      <c r="EP7" s="263" t="s">
        <v>94</v>
      </c>
      <c r="EQ7" s="263"/>
      <c r="ER7" s="264" t="s">
        <v>92</v>
      </c>
      <c r="ES7" s="264"/>
      <c r="ET7" s="264" t="s">
        <v>92</v>
      </c>
      <c r="EU7" s="264"/>
      <c r="EV7" s="264" t="s">
        <v>92</v>
      </c>
      <c r="EW7" s="264"/>
      <c r="EX7" s="262" t="s">
        <v>93</v>
      </c>
      <c r="EY7" s="262"/>
      <c r="EZ7" s="265" t="s">
        <v>95</v>
      </c>
      <c r="FA7" s="265"/>
      <c r="FB7" s="265" t="s">
        <v>95</v>
      </c>
      <c r="FC7" s="265"/>
      <c r="FD7" s="265" t="s">
        <v>95</v>
      </c>
      <c r="FE7" s="265"/>
      <c r="FF7" s="262" t="s">
        <v>93</v>
      </c>
      <c r="FG7" s="262"/>
      <c r="FH7" s="262" t="s">
        <v>93</v>
      </c>
      <c r="FI7" s="262"/>
      <c r="FJ7" s="262" t="s">
        <v>93</v>
      </c>
      <c r="FK7" s="262"/>
      <c r="FL7" s="262" t="s">
        <v>93</v>
      </c>
      <c r="FM7" s="262"/>
    </row>
    <row r="8" spans="1:169" s="22" customFormat="1" ht="30" customHeight="1">
      <c r="B8" s="261"/>
      <c r="C8" s="261"/>
      <c r="D8" s="259" t="s">
        <v>278</v>
      </c>
      <c r="E8" s="260"/>
      <c r="F8" s="261"/>
      <c r="G8" s="261"/>
      <c r="H8" s="259" t="s">
        <v>279</v>
      </c>
      <c r="I8" s="260"/>
      <c r="J8" s="259" t="s">
        <v>280</v>
      </c>
      <c r="K8" s="260"/>
      <c r="L8" s="261"/>
      <c r="M8" s="261"/>
      <c r="N8" s="261"/>
      <c r="O8" s="261"/>
      <c r="P8" s="259" t="s">
        <v>281</v>
      </c>
      <c r="Q8" s="260"/>
      <c r="R8" s="259" t="s">
        <v>282</v>
      </c>
      <c r="S8" s="260"/>
      <c r="T8" s="261"/>
      <c r="U8" s="261"/>
      <c r="V8" s="259" t="s">
        <v>283</v>
      </c>
      <c r="W8" s="260"/>
      <c r="X8" s="259" t="s">
        <v>284</v>
      </c>
      <c r="Y8" s="260"/>
      <c r="Z8" s="259" t="s">
        <v>285</v>
      </c>
      <c r="AA8" s="260"/>
      <c r="AB8" s="259" t="s">
        <v>286</v>
      </c>
      <c r="AC8" s="260"/>
      <c r="AD8" s="261"/>
      <c r="AE8" s="261"/>
      <c r="AF8" s="259" t="s">
        <v>287</v>
      </c>
      <c r="AG8" s="260"/>
      <c r="AH8" s="259" t="s">
        <v>288</v>
      </c>
      <c r="AI8" s="260"/>
      <c r="AJ8" s="259" t="s">
        <v>289</v>
      </c>
      <c r="AK8" s="260"/>
      <c r="AL8" s="259" t="s">
        <v>290</v>
      </c>
      <c r="AM8" s="260"/>
      <c r="AN8" s="259" t="s">
        <v>291</v>
      </c>
      <c r="AO8" s="260"/>
      <c r="AP8" s="259" t="s">
        <v>292</v>
      </c>
      <c r="AQ8" s="260"/>
      <c r="AR8" s="259" t="s">
        <v>293</v>
      </c>
      <c r="AS8" s="260"/>
      <c r="AT8" s="259" t="s">
        <v>294</v>
      </c>
      <c r="AU8" s="260"/>
      <c r="AV8" s="259" t="s">
        <v>295</v>
      </c>
      <c r="AW8" s="260"/>
      <c r="AX8" s="259" t="s">
        <v>296</v>
      </c>
      <c r="AY8" s="260"/>
      <c r="AZ8" s="259" t="s">
        <v>297</v>
      </c>
      <c r="BA8" s="260"/>
      <c r="BB8" s="259" t="s">
        <v>298</v>
      </c>
      <c r="BC8" s="260"/>
      <c r="BD8" s="259"/>
      <c r="BE8" s="260"/>
      <c r="BF8" s="261"/>
      <c r="BG8" s="261"/>
      <c r="BH8" s="259" t="s">
        <v>299</v>
      </c>
      <c r="BI8" s="260"/>
      <c r="BJ8" s="259" t="s">
        <v>300</v>
      </c>
      <c r="BK8" s="260"/>
      <c r="BL8" s="259" t="s">
        <v>301</v>
      </c>
      <c r="BM8" s="260"/>
      <c r="BN8" s="259" t="s">
        <v>302</v>
      </c>
      <c r="BO8" s="260"/>
      <c r="BP8" s="259" t="s">
        <v>303</v>
      </c>
      <c r="BQ8" s="260"/>
      <c r="BR8" s="259" t="s">
        <v>304</v>
      </c>
      <c r="BS8" s="260"/>
      <c r="BT8" s="259" t="s">
        <v>305</v>
      </c>
      <c r="BU8" s="260"/>
      <c r="BV8" s="259" t="s">
        <v>306</v>
      </c>
      <c r="BW8" s="260"/>
      <c r="BX8" s="259" t="s">
        <v>307</v>
      </c>
      <c r="BY8" s="260"/>
      <c r="BZ8" s="261"/>
      <c r="CA8" s="261"/>
      <c r="CB8" s="261"/>
      <c r="CC8" s="261"/>
      <c r="CD8" s="261"/>
      <c r="CE8" s="261"/>
      <c r="CF8" s="261"/>
      <c r="CG8" s="261"/>
      <c r="CH8" s="259" t="s">
        <v>308</v>
      </c>
      <c r="CI8" s="260"/>
      <c r="CJ8" s="259" t="s">
        <v>309</v>
      </c>
      <c r="CK8" s="260"/>
      <c r="CL8" s="259" t="s">
        <v>310</v>
      </c>
      <c r="CM8" s="260"/>
      <c r="CN8" s="261"/>
      <c r="CO8" s="261"/>
      <c r="CP8" s="259" t="s">
        <v>311</v>
      </c>
      <c r="CQ8" s="260"/>
      <c r="CR8" s="259" t="s">
        <v>312</v>
      </c>
      <c r="CS8" s="260"/>
      <c r="CT8" s="259" t="s">
        <v>313</v>
      </c>
      <c r="CU8" s="260"/>
      <c r="CV8" s="259" t="s">
        <v>314</v>
      </c>
      <c r="CW8" s="260"/>
      <c r="CX8" s="259" t="s">
        <v>315</v>
      </c>
      <c r="CY8" s="260"/>
      <c r="CZ8" s="259" t="s">
        <v>316</v>
      </c>
      <c r="DA8" s="260"/>
      <c r="DB8" s="261"/>
      <c r="DC8" s="261"/>
      <c r="DD8" s="259" t="s">
        <v>317</v>
      </c>
      <c r="DE8" s="260"/>
      <c r="DF8" s="259" t="s">
        <v>318</v>
      </c>
      <c r="DG8" s="260"/>
      <c r="DH8" s="259" t="s">
        <v>319</v>
      </c>
      <c r="DI8" s="260"/>
      <c r="DJ8" s="259" t="s">
        <v>320</v>
      </c>
      <c r="DK8" s="260"/>
      <c r="DL8" s="259" t="s">
        <v>321</v>
      </c>
      <c r="DM8" s="260"/>
      <c r="DN8" s="259" t="s">
        <v>322</v>
      </c>
      <c r="DO8" s="260"/>
      <c r="DP8" s="259" t="s">
        <v>323</v>
      </c>
      <c r="DQ8" s="260"/>
      <c r="DR8" s="259" t="s">
        <v>324</v>
      </c>
      <c r="DS8" s="260"/>
      <c r="DT8" s="259" t="s">
        <v>325</v>
      </c>
      <c r="DU8" s="260"/>
      <c r="DV8" s="259" t="s">
        <v>326</v>
      </c>
      <c r="DW8" s="260"/>
      <c r="DX8" s="259" t="s">
        <v>327</v>
      </c>
      <c r="DY8" s="260"/>
      <c r="DZ8" s="259" t="s">
        <v>328</v>
      </c>
      <c r="EA8" s="260"/>
      <c r="EB8" s="259" t="s">
        <v>329</v>
      </c>
      <c r="EC8" s="260"/>
      <c r="ED8" s="259" t="s">
        <v>330</v>
      </c>
      <c r="EE8" s="260"/>
      <c r="EF8" s="259" t="s">
        <v>331</v>
      </c>
      <c r="EG8" s="260"/>
      <c r="EH8" s="259" t="s">
        <v>332</v>
      </c>
      <c r="EI8" s="260"/>
      <c r="EJ8" s="259" t="s">
        <v>333</v>
      </c>
      <c r="EK8" s="260"/>
      <c r="EL8" s="259" t="s">
        <v>334</v>
      </c>
      <c r="EM8" s="260"/>
      <c r="EN8" s="259" t="s">
        <v>335</v>
      </c>
      <c r="EO8" s="260"/>
      <c r="EP8" s="259" t="s">
        <v>336</v>
      </c>
      <c r="EQ8" s="260"/>
      <c r="ER8" s="259" t="s">
        <v>337</v>
      </c>
      <c r="ES8" s="260"/>
      <c r="ET8" s="259" t="s">
        <v>338</v>
      </c>
      <c r="EU8" s="260"/>
      <c r="EV8" s="259" t="s">
        <v>339</v>
      </c>
      <c r="EW8" s="260"/>
      <c r="EX8" s="259" t="s">
        <v>340</v>
      </c>
      <c r="EY8" s="260"/>
      <c r="EZ8" s="259" t="s">
        <v>341</v>
      </c>
      <c r="FA8" s="260"/>
      <c r="FB8" s="259" t="s">
        <v>342</v>
      </c>
      <c r="FC8" s="260"/>
      <c r="FD8" s="259" t="s">
        <v>343</v>
      </c>
      <c r="FE8" s="260"/>
      <c r="FF8" s="259" t="s">
        <v>344</v>
      </c>
      <c r="FG8" s="260"/>
      <c r="FH8" s="259" t="s">
        <v>345</v>
      </c>
      <c r="FI8" s="260"/>
      <c r="FJ8" s="259" t="s">
        <v>346</v>
      </c>
      <c r="FK8" s="260"/>
      <c r="FL8" s="259" t="s">
        <v>347</v>
      </c>
      <c r="FM8" s="260"/>
    </row>
    <row r="9" spans="1:169" s="82" customFormat="1" ht="50.1" customHeight="1">
      <c r="A9" s="110" t="s">
        <v>99</v>
      </c>
      <c r="B9" s="110" t="s">
        <v>100</v>
      </c>
      <c r="C9" s="110" t="s">
        <v>101</v>
      </c>
      <c r="D9" s="110" t="s">
        <v>100</v>
      </c>
      <c r="E9" s="110" t="s">
        <v>101</v>
      </c>
      <c r="F9" s="110" t="s">
        <v>100</v>
      </c>
      <c r="G9" s="110" t="s">
        <v>101</v>
      </c>
      <c r="H9" s="110" t="s">
        <v>100</v>
      </c>
      <c r="I9" s="110" t="s">
        <v>101</v>
      </c>
      <c r="J9" s="110" t="s">
        <v>100</v>
      </c>
      <c r="K9" s="110" t="s">
        <v>101</v>
      </c>
      <c r="L9" s="110" t="s">
        <v>100</v>
      </c>
      <c r="M9" s="110" t="s">
        <v>101</v>
      </c>
      <c r="N9" s="110" t="s">
        <v>100</v>
      </c>
      <c r="O9" s="110" t="s">
        <v>101</v>
      </c>
      <c r="P9" s="110" t="s">
        <v>100</v>
      </c>
      <c r="Q9" s="110" t="s">
        <v>101</v>
      </c>
      <c r="R9" s="110" t="s">
        <v>100</v>
      </c>
      <c r="S9" s="110" t="s">
        <v>101</v>
      </c>
      <c r="T9" s="110" t="s">
        <v>100</v>
      </c>
      <c r="U9" s="110" t="s">
        <v>101</v>
      </c>
      <c r="V9" s="110" t="s">
        <v>100</v>
      </c>
      <c r="W9" s="110" t="s">
        <v>101</v>
      </c>
      <c r="X9" s="110" t="s">
        <v>100</v>
      </c>
      <c r="Y9" s="110" t="s">
        <v>101</v>
      </c>
      <c r="Z9" s="110" t="s">
        <v>100</v>
      </c>
      <c r="AA9" s="110" t="s">
        <v>101</v>
      </c>
      <c r="AB9" s="110" t="s">
        <v>100</v>
      </c>
      <c r="AC9" s="110" t="s">
        <v>101</v>
      </c>
      <c r="AD9" s="110" t="s">
        <v>100</v>
      </c>
      <c r="AE9" s="110" t="s">
        <v>101</v>
      </c>
      <c r="AF9" s="110" t="s">
        <v>100</v>
      </c>
      <c r="AG9" s="110" t="s">
        <v>101</v>
      </c>
      <c r="AH9" s="110" t="s">
        <v>100</v>
      </c>
      <c r="AI9" s="110" t="s">
        <v>101</v>
      </c>
      <c r="AJ9" s="110" t="s">
        <v>100</v>
      </c>
      <c r="AK9" s="110" t="s">
        <v>101</v>
      </c>
      <c r="AL9" s="110" t="s">
        <v>100</v>
      </c>
      <c r="AM9" s="110" t="s">
        <v>101</v>
      </c>
      <c r="AN9" s="110" t="s">
        <v>100</v>
      </c>
      <c r="AO9" s="110" t="s">
        <v>101</v>
      </c>
      <c r="AP9" s="110" t="s">
        <v>100</v>
      </c>
      <c r="AQ9" s="110" t="s">
        <v>101</v>
      </c>
      <c r="AR9" s="110" t="s">
        <v>100</v>
      </c>
      <c r="AS9" s="110" t="s">
        <v>101</v>
      </c>
      <c r="AT9" s="110" t="s">
        <v>100</v>
      </c>
      <c r="AU9" s="110" t="s">
        <v>101</v>
      </c>
      <c r="AV9" s="110" t="s">
        <v>100</v>
      </c>
      <c r="AW9" s="110" t="s">
        <v>101</v>
      </c>
      <c r="AX9" s="110" t="s">
        <v>100</v>
      </c>
      <c r="AY9" s="110" t="s">
        <v>101</v>
      </c>
      <c r="AZ9" s="110" t="s">
        <v>100</v>
      </c>
      <c r="BA9" s="110" t="s">
        <v>101</v>
      </c>
      <c r="BB9" s="110" t="s">
        <v>100</v>
      </c>
      <c r="BC9" s="110" t="s">
        <v>101</v>
      </c>
      <c r="BD9" s="110" t="s">
        <v>100</v>
      </c>
      <c r="BE9" s="110" t="s">
        <v>101</v>
      </c>
      <c r="BF9" s="110" t="s">
        <v>100</v>
      </c>
      <c r="BG9" s="110" t="s">
        <v>101</v>
      </c>
      <c r="BH9" s="110" t="s">
        <v>100</v>
      </c>
      <c r="BI9" s="110" t="s">
        <v>101</v>
      </c>
      <c r="BJ9" s="110" t="s">
        <v>100</v>
      </c>
      <c r="BK9" s="110" t="s">
        <v>101</v>
      </c>
      <c r="BL9" s="110" t="s">
        <v>100</v>
      </c>
      <c r="BM9" s="110" t="s">
        <v>101</v>
      </c>
      <c r="BN9" s="110" t="s">
        <v>100</v>
      </c>
      <c r="BO9" s="110" t="s">
        <v>101</v>
      </c>
      <c r="BP9" s="110" t="s">
        <v>100</v>
      </c>
      <c r="BQ9" s="110" t="s">
        <v>101</v>
      </c>
      <c r="BR9" s="110" t="s">
        <v>100</v>
      </c>
      <c r="BS9" s="110" t="s">
        <v>101</v>
      </c>
      <c r="BT9" s="110" t="s">
        <v>100</v>
      </c>
      <c r="BU9" s="110" t="s">
        <v>101</v>
      </c>
      <c r="BV9" s="110" t="s">
        <v>100</v>
      </c>
      <c r="BW9" s="110" t="s">
        <v>101</v>
      </c>
      <c r="BX9" s="110" t="s">
        <v>100</v>
      </c>
      <c r="BY9" s="110" t="s">
        <v>101</v>
      </c>
      <c r="BZ9" s="110" t="s">
        <v>100</v>
      </c>
      <c r="CA9" s="110" t="s">
        <v>101</v>
      </c>
      <c r="CB9" s="110" t="s">
        <v>100</v>
      </c>
      <c r="CC9" s="110" t="s">
        <v>101</v>
      </c>
      <c r="CD9" s="110" t="s">
        <v>100</v>
      </c>
      <c r="CE9" s="110" t="s">
        <v>101</v>
      </c>
      <c r="CF9" s="110" t="s">
        <v>100</v>
      </c>
      <c r="CG9" s="110" t="s">
        <v>101</v>
      </c>
      <c r="CH9" s="110" t="s">
        <v>100</v>
      </c>
      <c r="CI9" s="110" t="s">
        <v>101</v>
      </c>
      <c r="CJ9" s="110" t="s">
        <v>100</v>
      </c>
      <c r="CK9" s="110" t="s">
        <v>101</v>
      </c>
      <c r="CL9" s="110" t="s">
        <v>100</v>
      </c>
      <c r="CM9" s="110" t="s">
        <v>101</v>
      </c>
      <c r="CN9" s="110" t="s">
        <v>100</v>
      </c>
      <c r="CO9" s="110" t="s">
        <v>101</v>
      </c>
      <c r="CP9" s="110" t="s">
        <v>100</v>
      </c>
      <c r="CQ9" s="110" t="s">
        <v>101</v>
      </c>
      <c r="CR9" s="110" t="s">
        <v>100</v>
      </c>
      <c r="CS9" s="110" t="s">
        <v>101</v>
      </c>
      <c r="CT9" s="110" t="s">
        <v>100</v>
      </c>
      <c r="CU9" s="110" t="s">
        <v>101</v>
      </c>
      <c r="CV9" s="110" t="s">
        <v>100</v>
      </c>
      <c r="CW9" s="110" t="s">
        <v>101</v>
      </c>
      <c r="CX9" s="110" t="s">
        <v>100</v>
      </c>
      <c r="CY9" s="110" t="s">
        <v>101</v>
      </c>
      <c r="CZ9" s="110" t="s">
        <v>100</v>
      </c>
      <c r="DA9" s="110" t="s">
        <v>101</v>
      </c>
      <c r="DB9" s="110" t="s">
        <v>100</v>
      </c>
      <c r="DC9" s="110" t="s">
        <v>101</v>
      </c>
      <c r="DD9" s="110" t="s">
        <v>100</v>
      </c>
      <c r="DE9" s="110" t="s">
        <v>101</v>
      </c>
      <c r="DF9" s="110" t="s">
        <v>100</v>
      </c>
      <c r="DG9" s="110" t="s">
        <v>101</v>
      </c>
      <c r="DH9" s="110" t="s">
        <v>100</v>
      </c>
      <c r="DI9" s="110" t="s">
        <v>101</v>
      </c>
      <c r="DJ9" s="110" t="s">
        <v>100</v>
      </c>
      <c r="DK9" s="110" t="s">
        <v>101</v>
      </c>
      <c r="DL9" s="110" t="s">
        <v>100</v>
      </c>
      <c r="DM9" s="110" t="s">
        <v>101</v>
      </c>
      <c r="DN9" s="110" t="s">
        <v>100</v>
      </c>
      <c r="DO9" s="110" t="s">
        <v>101</v>
      </c>
      <c r="DP9" s="110" t="s">
        <v>100</v>
      </c>
      <c r="DQ9" s="110" t="s">
        <v>101</v>
      </c>
      <c r="DR9" s="110" t="s">
        <v>100</v>
      </c>
      <c r="DS9" s="110" t="s">
        <v>101</v>
      </c>
      <c r="DT9" s="110" t="s">
        <v>100</v>
      </c>
      <c r="DU9" s="110" t="s">
        <v>101</v>
      </c>
      <c r="DV9" s="110" t="s">
        <v>100</v>
      </c>
      <c r="DW9" s="110" t="s">
        <v>101</v>
      </c>
      <c r="DX9" s="110" t="s">
        <v>100</v>
      </c>
      <c r="DY9" s="110" t="s">
        <v>101</v>
      </c>
      <c r="DZ9" s="110" t="s">
        <v>100</v>
      </c>
      <c r="EA9" s="110" t="s">
        <v>101</v>
      </c>
      <c r="EB9" s="110" t="s">
        <v>100</v>
      </c>
      <c r="EC9" s="110" t="s">
        <v>101</v>
      </c>
      <c r="ED9" s="110" t="s">
        <v>100</v>
      </c>
      <c r="EE9" s="110" t="s">
        <v>101</v>
      </c>
      <c r="EF9" s="110" t="s">
        <v>100</v>
      </c>
      <c r="EG9" s="110" t="s">
        <v>101</v>
      </c>
      <c r="EH9" s="110" t="s">
        <v>100</v>
      </c>
      <c r="EI9" s="110" t="s">
        <v>101</v>
      </c>
      <c r="EJ9" s="110" t="s">
        <v>100</v>
      </c>
      <c r="EK9" s="110" t="s">
        <v>101</v>
      </c>
      <c r="EL9" s="110" t="s">
        <v>100</v>
      </c>
      <c r="EM9" s="110" t="s">
        <v>101</v>
      </c>
      <c r="EN9" s="110" t="s">
        <v>100</v>
      </c>
      <c r="EO9" s="110" t="s">
        <v>101</v>
      </c>
      <c r="EP9" s="110" t="s">
        <v>100</v>
      </c>
      <c r="EQ9" s="110" t="s">
        <v>101</v>
      </c>
      <c r="ER9" s="110" t="s">
        <v>100</v>
      </c>
      <c r="ES9" s="110" t="s">
        <v>101</v>
      </c>
      <c r="ET9" s="110" t="s">
        <v>100</v>
      </c>
      <c r="EU9" s="110" t="s">
        <v>101</v>
      </c>
      <c r="EV9" s="110" t="s">
        <v>100</v>
      </c>
      <c r="EW9" s="110" t="s">
        <v>101</v>
      </c>
      <c r="EX9" s="110" t="s">
        <v>100</v>
      </c>
      <c r="EY9" s="110" t="s">
        <v>101</v>
      </c>
      <c r="EZ9" s="110" t="s">
        <v>100</v>
      </c>
      <c r="FA9" s="110" t="s">
        <v>101</v>
      </c>
      <c r="FB9" s="110" t="s">
        <v>100</v>
      </c>
      <c r="FC9" s="110" t="s">
        <v>101</v>
      </c>
      <c r="FD9" s="110" t="s">
        <v>100</v>
      </c>
      <c r="FE9" s="110" t="s">
        <v>101</v>
      </c>
      <c r="FF9" s="110" t="s">
        <v>100</v>
      </c>
      <c r="FG9" s="110" t="s">
        <v>101</v>
      </c>
      <c r="FH9" s="110" t="s">
        <v>100</v>
      </c>
      <c r="FI9" s="110" t="s">
        <v>101</v>
      </c>
      <c r="FJ9" s="110" t="s">
        <v>100</v>
      </c>
      <c r="FK9" s="110" t="s">
        <v>101</v>
      </c>
      <c r="FL9" s="110" t="s">
        <v>100</v>
      </c>
      <c r="FM9" s="110" t="s">
        <v>101</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6"/>
      <c r="B1" s="106"/>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87" t="s">
        <v>348</v>
      </c>
      <c r="D2" s="287"/>
      <c r="E2" s="287" t="s">
        <v>349</v>
      </c>
      <c r="F2" s="287"/>
      <c r="G2" s="287" t="s">
        <v>350</v>
      </c>
      <c r="H2" s="287"/>
      <c r="I2" s="287" t="s">
        <v>351</v>
      </c>
      <c r="J2" s="287"/>
      <c r="K2" s="287" t="s">
        <v>352</v>
      </c>
      <c r="L2" s="287"/>
      <c r="M2" s="287" t="s">
        <v>353</v>
      </c>
      <c r="N2" s="287"/>
      <c r="O2" s="287" t="s">
        <v>354</v>
      </c>
      <c r="P2" s="287"/>
      <c r="Q2" s="287" t="s">
        <v>355</v>
      </c>
      <c r="R2" s="287"/>
      <c r="S2" s="287" t="s">
        <v>356</v>
      </c>
      <c r="T2" s="287"/>
      <c r="V2" s="287" t="s">
        <v>357</v>
      </c>
      <c r="W2" s="287"/>
      <c r="X2" s="287" t="s">
        <v>358</v>
      </c>
      <c r="Y2" s="287"/>
      <c r="Z2" s="287" t="s">
        <v>359</v>
      </c>
      <c r="AA2" s="287"/>
      <c r="AB2" s="287" t="s">
        <v>360</v>
      </c>
      <c r="AC2" s="287"/>
      <c r="AD2" s="287" t="s">
        <v>361</v>
      </c>
      <c r="AE2" s="287"/>
      <c r="AF2" s="287" t="s">
        <v>362</v>
      </c>
      <c r="AG2" s="287"/>
      <c r="AH2" s="287" t="s">
        <v>363</v>
      </c>
      <c r="AI2" s="287"/>
      <c r="AJ2" s="287" t="s">
        <v>364</v>
      </c>
      <c r="AK2" s="287"/>
      <c r="AL2" s="287" t="s">
        <v>365</v>
      </c>
      <c r="AM2" s="287"/>
      <c r="AO2" s="287" t="s">
        <v>366</v>
      </c>
      <c r="AP2" s="287"/>
      <c r="AQ2" s="287" t="s">
        <v>367</v>
      </c>
      <c r="AR2" s="287"/>
      <c r="AS2" s="287" t="s">
        <v>368</v>
      </c>
      <c r="AT2" s="287"/>
      <c r="AU2" s="287" t="s">
        <v>369</v>
      </c>
      <c r="AV2" s="287"/>
      <c r="AW2" s="287" t="s">
        <v>370</v>
      </c>
      <c r="AX2" s="287"/>
      <c r="AY2" s="287" t="s">
        <v>371</v>
      </c>
      <c r="AZ2" s="287"/>
      <c r="BA2" s="287" t="s">
        <v>372</v>
      </c>
      <c r="BB2" s="287"/>
      <c r="BC2" s="287" t="s">
        <v>373</v>
      </c>
      <c r="BD2" s="287"/>
      <c r="BE2" s="287" t="s">
        <v>374</v>
      </c>
      <c r="BF2" s="287"/>
      <c r="BH2" s="287" t="s">
        <v>104</v>
      </c>
      <c r="BI2" s="287"/>
      <c r="BJ2" s="287" t="s">
        <v>375</v>
      </c>
      <c r="BK2" s="287"/>
      <c r="BL2" s="287" t="s">
        <v>376</v>
      </c>
      <c r="BM2" s="287"/>
      <c r="BN2" s="287" t="s">
        <v>377</v>
      </c>
      <c r="BO2" s="287"/>
      <c r="BP2" s="287" t="s">
        <v>378</v>
      </c>
      <c r="BQ2" s="287"/>
      <c r="BR2" s="287" t="s">
        <v>379</v>
      </c>
      <c r="BS2" s="287"/>
      <c r="BT2" s="287" t="s">
        <v>380</v>
      </c>
      <c r="BU2" s="287"/>
      <c r="BV2" s="287" t="s">
        <v>381</v>
      </c>
      <c r="BW2" s="287"/>
      <c r="BX2" s="287" t="s">
        <v>382</v>
      </c>
      <c r="BY2" s="287"/>
      <c r="BZ2" s="287" t="s">
        <v>383</v>
      </c>
      <c r="CA2" s="287"/>
      <c r="CB2" s="287" t="s">
        <v>384</v>
      </c>
      <c r="CC2" s="287"/>
      <c r="CD2" s="287" t="s">
        <v>385</v>
      </c>
      <c r="CE2" s="287"/>
      <c r="CF2" s="287" t="s">
        <v>386</v>
      </c>
      <c r="CG2" s="287"/>
      <c r="CH2" s="287" t="s">
        <v>387</v>
      </c>
      <c r="CI2" s="287"/>
      <c r="CJ2" s="287" t="s">
        <v>388</v>
      </c>
      <c r="CK2" s="287"/>
      <c r="CL2" s="287" t="s">
        <v>389</v>
      </c>
      <c r="CM2" s="287"/>
      <c r="CN2" s="287" t="s">
        <v>390</v>
      </c>
      <c r="CO2" s="287"/>
      <c r="CP2" s="287" t="s">
        <v>391</v>
      </c>
      <c r="CQ2" s="287"/>
      <c r="CR2" s="287" t="s">
        <v>392</v>
      </c>
      <c r="CS2" s="287"/>
    </row>
    <row r="3" spans="1:97" s="53" customFormat="1" ht="49.5" customHeight="1">
      <c r="A3" s="111"/>
      <c r="B3" s="67"/>
      <c r="C3" s="286"/>
      <c r="D3" s="286"/>
      <c r="E3" s="289" t="s">
        <v>111</v>
      </c>
      <c r="F3" s="289"/>
      <c r="G3" s="286"/>
      <c r="H3" s="286"/>
      <c r="I3" s="290" t="s">
        <v>113</v>
      </c>
      <c r="J3" s="290"/>
      <c r="K3" s="286"/>
      <c r="L3" s="286"/>
      <c r="M3" s="286"/>
      <c r="N3" s="286"/>
      <c r="O3" s="286"/>
      <c r="P3" s="286"/>
      <c r="Q3" s="288" t="s">
        <v>114</v>
      </c>
      <c r="R3" s="288"/>
      <c r="S3" s="286"/>
      <c r="T3" s="286"/>
      <c r="U3" s="52"/>
      <c r="V3" s="288" t="s">
        <v>109</v>
      </c>
      <c r="W3" s="288"/>
      <c r="X3" s="286"/>
      <c r="Y3" s="286"/>
      <c r="Z3" s="286"/>
      <c r="AA3" s="286"/>
      <c r="AB3" s="286"/>
      <c r="AC3" s="286"/>
      <c r="AD3" s="286"/>
      <c r="AE3" s="286"/>
      <c r="AF3" s="286"/>
      <c r="AG3" s="286"/>
      <c r="AH3" s="286"/>
      <c r="AI3" s="286"/>
      <c r="AJ3" s="286"/>
      <c r="AK3" s="286"/>
      <c r="AL3" s="286"/>
      <c r="AM3" s="286"/>
      <c r="AN3" s="52"/>
      <c r="AO3" s="289" t="s">
        <v>112</v>
      </c>
      <c r="AP3" s="289"/>
      <c r="AQ3" s="286"/>
      <c r="AR3" s="286"/>
      <c r="AS3" s="286"/>
      <c r="AT3" s="286"/>
      <c r="AU3" s="286"/>
      <c r="AV3" s="286"/>
      <c r="AW3" s="286"/>
      <c r="AX3" s="286"/>
      <c r="AY3" s="286"/>
      <c r="AZ3" s="286"/>
      <c r="BA3" s="286"/>
      <c r="BB3" s="286"/>
      <c r="BC3" s="286"/>
      <c r="BD3" s="286"/>
      <c r="BE3" s="286"/>
      <c r="BF3" s="286"/>
      <c r="BG3" s="52"/>
      <c r="BH3" s="289" t="s">
        <v>110</v>
      </c>
      <c r="BI3" s="289"/>
      <c r="BJ3" s="286"/>
      <c r="BK3" s="286"/>
      <c r="BL3" s="286"/>
      <c r="BM3" s="286"/>
      <c r="BN3" s="286"/>
      <c r="BO3" s="286"/>
      <c r="BP3" s="286"/>
      <c r="BQ3" s="286"/>
      <c r="BR3" s="286"/>
      <c r="BS3" s="286"/>
      <c r="BT3" s="286"/>
      <c r="BU3" s="286"/>
      <c r="BV3" s="286"/>
      <c r="BW3" s="286"/>
      <c r="BX3" s="286"/>
      <c r="BY3" s="286"/>
      <c r="BZ3" s="286"/>
      <c r="CA3" s="286"/>
      <c r="CB3" s="286"/>
      <c r="CC3" s="286"/>
      <c r="CD3" s="286"/>
      <c r="CE3" s="286"/>
      <c r="CF3" s="286"/>
      <c r="CG3" s="286"/>
      <c r="CH3" s="286"/>
      <c r="CI3" s="286"/>
      <c r="CJ3" s="286"/>
      <c r="CK3" s="286"/>
      <c r="CL3" s="286"/>
      <c r="CM3" s="286"/>
      <c r="CN3" s="286"/>
      <c r="CO3" s="286"/>
      <c r="CP3" s="286"/>
      <c r="CQ3" s="286"/>
      <c r="CR3" s="286"/>
      <c r="CS3" s="286"/>
    </row>
    <row r="4" spans="1:97" s="56" customFormat="1" ht="50.1" customHeight="1">
      <c r="A4" s="57" t="s">
        <v>99</v>
      </c>
      <c r="B4" s="69"/>
      <c r="C4" s="57" t="s">
        <v>115</v>
      </c>
      <c r="D4" s="57" t="s">
        <v>393</v>
      </c>
      <c r="E4" s="57" t="s">
        <v>115</v>
      </c>
      <c r="F4" s="57" t="s">
        <v>393</v>
      </c>
      <c r="G4" s="57" t="s">
        <v>115</v>
      </c>
      <c r="H4" s="57" t="s">
        <v>393</v>
      </c>
      <c r="I4" s="57" t="s">
        <v>115</v>
      </c>
      <c r="J4" s="57" t="s">
        <v>393</v>
      </c>
      <c r="K4" s="57" t="s">
        <v>115</v>
      </c>
      <c r="L4" s="57" t="s">
        <v>393</v>
      </c>
      <c r="M4" s="57" t="s">
        <v>115</v>
      </c>
      <c r="N4" s="57" t="s">
        <v>393</v>
      </c>
      <c r="O4" s="57" t="s">
        <v>115</v>
      </c>
      <c r="P4" s="57" t="s">
        <v>393</v>
      </c>
      <c r="Q4" s="57" t="s">
        <v>115</v>
      </c>
      <c r="R4" s="57" t="s">
        <v>393</v>
      </c>
      <c r="S4" s="57" t="s">
        <v>115</v>
      </c>
      <c r="T4" s="57" t="s">
        <v>393</v>
      </c>
      <c r="V4" s="57" t="s">
        <v>115</v>
      </c>
      <c r="W4" s="57" t="s">
        <v>393</v>
      </c>
      <c r="X4" s="57" t="s">
        <v>115</v>
      </c>
      <c r="Y4" s="57" t="s">
        <v>393</v>
      </c>
      <c r="Z4" s="57" t="s">
        <v>115</v>
      </c>
      <c r="AA4" s="57" t="s">
        <v>393</v>
      </c>
      <c r="AB4" s="57" t="s">
        <v>115</v>
      </c>
      <c r="AC4" s="57" t="s">
        <v>393</v>
      </c>
      <c r="AD4" s="57" t="s">
        <v>115</v>
      </c>
      <c r="AE4" s="57" t="s">
        <v>393</v>
      </c>
      <c r="AF4" s="57" t="s">
        <v>115</v>
      </c>
      <c r="AG4" s="57" t="s">
        <v>393</v>
      </c>
      <c r="AH4" s="57" t="s">
        <v>115</v>
      </c>
      <c r="AI4" s="57" t="s">
        <v>393</v>
      </c>
      <c r="AJ4" s="57" t="s">
        <v>115</v>
      </c>
      <c r="AK4" s="57" t="s">
        <v>393</v>
      </c>
      <c r="AL4" s="57" t="s">
        <v>115</v>
      </c>
      <c r="AM4" s="57" t="s">
        <v>393</v>
      </c>
      <c r="AO4" s="57" t="s">
        <v>115</v>
      </c>
      <c r="AP4" s="57" t="s">
        <v>393</v>
      </c>
      <c r="AQ4" s="57" t="s">
        <v>115</v>
      </c>
      <c r="AR4" s="57" t="s">
        <v>393</v>
      </c>
      <c r="AS4" s="57" t="s">
        <v>115</v>
      </c>
      <c r="AT4" s="57" t="s">
        <v>393</v>
      </c>
      <c r="AU4" s="57" t="s">
        <v>115</v>
      </c>
      <c r="AV4" s="57" t="s">
        <v>393</v>
      </c>
      <c r="AW4" s="57" t="s">
        <v>115</v>
      </c>
      <c r="AX4" s="57" t="s">
        <v>393</v>
      </c>
      <c r="AY4" s="57" t="s">
        <v>115</v>
      </c>
      <c r="AZ4" s="57" t="s">
        <v>393</v>
      </c>
      <c r="BA4" s="57" t="s">
        <v>115</v>
      </c>
      <c r="BB4" s="57" t="s">
        <v>393</v>
      </c>
      <c r="BC4" s="57" t="s">
        <v>115</v>
      </c>
      <c r="BD4" s="57" t="s">
        <v>393</v>
      </c>
      <c r="BE4" s="57" t="s">
        <v>115</v>
      </c>
      <c r="BF4" s="57" t="s">
        <v>393</v>
      </c>
      <c r="BH4" s="57" t="s">
        <v>115</v>
      </c>
      <c r="BI4" s="57" t="s">
        <v>393</v>
      </c>
      <c r="BJ4" s="57" t="s">
        <v>115</v>
      </c>
      <c r="BK4" s="57" t="s">
        <v>393</v>
      </c>
      <c r="BL4" s="57" t="s">
        <v>115</v>
      </c>
      <c r="BM4" s="57" t="s">
        <v>393</v>
      </c>
      <c r="BN4" s="57" t="s">
        <v>115</v>
      </c>
      <c r="BO4" s="57" t="s">
        <v>393</v>
      </c>
      <c r="BP4" s="57" t="s">
        <v>115</v>
      </c>
      <c r="BQ4" s="57" t="s">
        <v>393</v>
      </c>
      <c r="BR4" s="57" t="s">
        <v>115</v>
      </c>
      <c r="BS4" s="57" t="s">
        <v>393</v>
      </c>
      <c r="BT4" s="57" t="s">
        <v>115</v>
      </c>
      <c r="BU4" s="57" t="s">
        <v>393</v>
      </c>
      <c r="BV4" s="57" t="s">
        <v>115</v>
      </c>
      <c r="BW4" s="57" t="s">
        <v>393</v>
      </c>
      <c r="BX4" s="57" t="s">
        <v>115</v>
      </c>
      <c r="BY4" s="57" t="s">
        <v>393</v>
      </c>
      <c r="BZ4" s="57" t="s">
        <v>115</v>
      </c>
      <c r="CA4" s="57" t="s">
        <v>393</v>
      </c>
      <c r="CB4" s="57" t="s">
        <v>115</v>
      </c>
      <c r="CC4" s="57" t="s">
        <v>393</v>
      </c>
      <c r="CD4" s="57" t="s">
        <v>115</v>
      </c>
      <c r="CE4" s="57" t="s">
        <v>393</v>
      </c>
      <c r="CF4" s="57" t="s">
        <v>115</v>
      </c>
      <c r="CG4" s="57" t="s">
        <v>393</v>
      </c>
      <c r="CH4" s="57" t="s">
        <v>115</v>
      </c>
      <c r="CI4" s="57" t="s">
        <v>393</v>
      </c>
      <c r="CJ4" s="57" t="s">
        <v>115</v>
      </c>
      <c r="CK4" s="57" t="s">
        <v>393</v>
      </c>
      <c r="CL4" s="57" t="s">
        <v>115</v>
      </c>
      <c r="CM4" s="57" t="s">
        <v>393</v>
      </c>
      <c r="CN4" s="57" t="s">
        <v>115</v>
      </c>
      <c r="CO4" s="57" t="s">
        <v>393</v>
      </c>
      <c r="CP4" s="57" t="s">
        <v>115</v>
      </c>
      <c r="CQ4" s="57" t="s">
        <v>393</v>
      </c>
      <c r="CR4" s="57" t="s">
        <v>115</v>
      </c>
      <c r="CS4" s="57" t="s">
        <v>393</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2022-12-24T06:12:36Z</dcterms:modified>
  <cp:category/>
  <cp:contentStatus/>
</cp:coreProperties>
</file>