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60" windowWidth="12210" windowHeight="12120" tabRatio="579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B20" i="76"/>
  <c r="J20"/>
  <c r="AW21" i="7" l="1"/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21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B22" i="76" l="1"/>
  <c r="F5"/>
  <c r="F6" s="1"/>
  <c r="F7" s="1"/>
  <c r="F8" s="1"/>
  <c r="F13" s="1"/>
  <c r="F14" s="1"/>
  <c r="F15" s="1"/>
  <c r="B25" i="3"/>
  <c r="B26" s="1"/>
  <c r="B27" s="1"/>
  <c r="B28" s="1"/>
  <c r="B29" s="1"/>
  <c r="B30" s="1"/>
  <c r="B31" s="1"/>
  <c r="B32" s="1"/>
  <c r="B33" s="1"/>
  <c r="C24"/>
  <c r="J18" i="76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C3"/>
  <c r="B23" i="76" l="1"/>
  <c r="D7" i="2"/>
  <c r="E6"/>
  <c r="F18" i="76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B24" i="76" l="1"/>
  <c r="D13" i="2"/>
  <c r="E8"/>
  <c r="E7"/>
  <c r="Q20"/>
  <c r="Q19"/>
  <c r="B25" i="76" l="1"/>
  <c r="E13" i="2"/>
  <c r="D14"/>
  <c r="E14" s="1"/>
  <c r="E15"/>
  <c r="D15" i="73"/>
  <c r="H12" i="77"/>
  <c r="B26" i="76" l="1"/>
  <c r="E16" i="2"/>
  <c r="BA7" i="5"/>
  <c r="B27" i="76" l="1"/>
  <c r="E17" i="2"/>
  <c r="I8" i="77"/>
  <c r="B28" i="76" l="1"/>
  <c r="E18" i="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B29" i="76" l="1"/>
  <c r="D20" i="2"/>
  <c r="E19"/>
  <c r="K4" i="76"/>
  <c r="AB26"/>
  <c r="AA28"/>
  <c r="AB28" s="1"/>
  <c r="AE28" s="1"/>
  <c r="AF28" s="1"/>
  <c r="B30" l="1"/>
  <c r="D21" i="2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B31" i="76" l="1"/>
  <c r="D22" i="2"/>
  <c r="E21"/>
  <c r="F36" i="73"/>
  <c r="W30" i="76" s="1"/>
  <c r="B32" l="1"/>
  <c r="D23" i="2"/>
  <c r="E22"/>
  <c r="AH38" i="1"/>
  <c r="AH37"/>
  <c r="AK38" i="5"/>
  <c r="F39"/>
  <c r="B39"/>
  <c r="P34" i="3"/>
  <c r="B33" i="76" l="1"/>
  <c r="D24" i="2"/>
  <c r="E23"/>
  <c r="K77" i="74"/>
  <c r="K76"/>
  <c r="J77"/>
  <c r="J76"/>
  <c r="J75"/>
  <c r="B34" i="76" l="1"/>
  <c r="D25" i="2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M34" i="76" l="1"/>
  <c r="M35" s="1"/>
  <c r="D34"/>
  <c r="E34" s="1"/>
  <c r="I30" i="2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L34" i="76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M31" i="76" l="1"/>
  <c r="D31"/>
  <c r="E31" s="1"/>
  <c r="I31" i="82"/>
  <c r="BD35" i="5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L32"/>
  <c r="G33"/>
  <c r="C33"/>
  <c r="U34" i="1"/>
  <c r="J34"/>
  <c r="AL34"/>
  <c r="Z35" i="7"/>
  <c r="AB34"/>
  <c r="D32"/>
  <c r="F31"/>
  <c r="AD32" i="3"/>
  <c r="M32" i="76" l="1"/>
  <c r="D32"/>
  <c r="E32" s="1"/>
  <c r="L35" i="5"/>
  <c r="AK35" s="1"/>
  <c r="E31" i="81"/>
  <c r="S33" i="76"/>
  <c r="I33"/>
  <c r="L33"/>
  <c r="F32" i="7"/>
  <c r="AB35"/>
  <c r="H31"/>
  <c r="D33"/>
  <c r="AD34"/>
  <c r="AI32" i="3"/>
  <c r="M33" i="76" l="1"/>
  <c r="D33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20" l="1"/>
  <c r="E20" s="1"/>
  <c r="D19"/>
  <c r="E19" s="1"/>
  <c r="C27"/>
  <c r="I21"/>
  <c r="M19"/>
  <c r="G20"/>
  <c r="K20"/>
  <c r="N20" s="1"/>
  <c r="L19"/>
  <c r="D21" l="1"/>
  <c r="E21" s="1"/>
  <c r="C28"/>
  <c r="M20"/>
  <c r="L20"/>
  <c r="G21"/>
  <c r="K21"/>
  <c r="N21" s="1"/>
  <c r="O5" i="79"/>
  <c r="N5"/>
  <c r="C29" i="76" l="1"/>
  <c r="M21"/>
  <c r="K22"/>
  <c r="D22" s="1"/>
  <c r="E22" s="1"/>
  <c r="L21"/>
  <c r="N22" l="1"/>
  <c r="C30"/>
  <c r="M22"/>
  <c r="I23"/>
  <c r="D23" s="1"/>
  <c r="E23" s="1"/>
  <c r="K23"/>
  <c r="N23" s="1"/>
  <c r="L22"/>
  <c r="G23"/>
  <c r="G29" i="73"/>
  <c r="M23" i="76" l="1"/>
  <c r="I24"/>
  <c r="G24"/>
  <c r="L23"/>
  <c r="K24"/>
  <c r="N24" s="1"/>
  <c r="D24" l="1"/>
  <c r="E24" s="1"/>
  <c r="M24"/>
  <c r="I25"/>
  <c r="D25" s="1"/>
  <c r="E25" s="1"/>
  <c r="G25"/>
  <c r="L24"/>
  <c r="K25"/>
  <c r="N25" s="1"/>
  <c r="AA8" i="1"/>
  <c r="U8" i="5"/>
  <c r="M25" i="76" l="1"/>
  <c r="I26"/>
  <c r="D26" s="1"/>
  <c r="E26" s="1"/>
  <c r="K26"/>
  <c r="N26" s="1"/>
  <c r="G26"/>
  <c r="L25"/>
  <c r="U9" i="5"/>
  <c r="M26" i="76" l="1"/>
  <c r="I27"/>
  <c r="D27" s="1"/>
  <c r="E27" s="1"/>
  <c r="G27"/>
  <c r="K27"/>
  <c r="N27" s="1"/>
  <c r="L26"/>
  <c r="U10" i="5"/>
  <c r="M27" i="76" l="1"/>
  <c r="I28"/>
  <c r="D28" s="1"/>
  <c r="E28" s="1"/>
  <c r="G28"/>
  <c r="K28"/>
  <c r="N28" s="1"/>
  <c r="L27"/>
  <c r="M28" l="1"/>
  <c r="I29"/>
  <c r="D29" s="1"/>
  <c r="E29" s="1"/>
  <c r="G29"/>
  <c r="L28"/>
  <c r="N29"/>
  <c r="I6" i="79"/>
  <c r="M29" i="76" l="1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B36" l="1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B21" s="1"/>
  <c r="AG19"/>
  <c r="AH19" s="1"/>
  <c r="BK22" i="7"/>
  <c r="K22" i="3"/>
  <c r="J23"/>
  <c r="M24" l="1"/>
  <c r="L25"/>
  <c r="AC21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AH21" s="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E20" l="1"/>
  <c r="AA20" s="1"/>
  <c r="D21"/>
  <c r="E21" l="1"/>
  <c r="AA21" s="1"/>
  <c r="D22"/>
  <c r="D23" s="1"/>
  <c r="D24" s="1"/>
  <c r="D25" l="1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<sst xmlns="http://schemas.openxmlformats.org/spreadsheetml/2006/main" count="669" uniqueCount="417">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</sst>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10445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4990592"/>
        <c:axId val="124992128"/>
      </c:lineChart>
      <c:catAx>
        <c:axId val="12499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2128"/>
        <c:crosses val="autoZero"/>
        <c:auto val="1"/>
        <c:lblAlgn val="ctr"/>
        <c:lblOffset val="100"/>
      </c:catAx>
      <c:valAx>
        <c:axId val="124992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7329408"/>
        <c:axId val="127331328"/>
      </c:lineChart>
      <c:catAx>
        <c:axId val="12732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31328"/>
        <c:crosses val="autoZero"/>
        <c:auto val="1"/>
        <c:lblAlgn val="ctr"/>
        <c:lblOffset val="100"/>
      </c:catAx>
      <c:valAx>
        <c:axId val="12733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2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92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7400192"/>
        <c:axId val="107410176"/>
      </c:lineChart>
      <c:catAx>
        <c:axId val="10740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10176"/>
        <c:crosses val="autoZero"/>
        <c:auto val="1"/>
        <c:lblAlgn val="ctr"/>
        <c:lblOffset val="100"/>
      </c:catAx>
      <c:valAx>
        <c:axId val="1074101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0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2263936"/>
        <c:axId val="112265472"/>
      </c:lineChart>
      <c:catAx>
        <c:axId val="11226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65472"/>
        <c:crosses val="autoZero"/>
        <c:auto val="1"/>
        <c:lblAlgn val="ctr"/>
        <c:lblOffset val="100"/>
      </c:catAx>
      <c:valAx>
        <c:axId val="11226547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6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6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2285952"/>
        <c:axId val="112287744"/>
      </c:lineChart>
      <c:catAx>
        <c:axId val="11228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87744"/>
        <c:crosses val="autoZero"/>
        <c:auto val="1"/>
        <c:lblAlgn val="ctr"/>
        <c:lblOffset val="100"/>
      </c:catAx>
      <c:valAx>
        <c:axId val="112287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8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0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4782592"/>
        <c:axId val="114784128"/>
      </c:lineChart>
      <c:catAx>
        <c:axId val="11478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84128"/>
        <c:crosses val="autoZero"/>
        <c:auto val="1"/>
        <c:lblAlgn val="ctr"/>
        <c:lblOffset val="100"/>
      </c:catAx>
      <c:valAx>
        <c:axId val="114784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8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4792320"/>
        <c:axId val="114793856"/>
      </c:lineChart>
      <c:catAx>
        <c:axId val="1147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93856"/>
        <c:crosses val="autoZero"/>
        <c:auto val="1"/>
        <c:lblAlgn val="ctr"/>
        <c:lblOffset val="100"/>
      </c:catAx>
      <c:valAx>
        <c:axId val="11479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4822528"/>
        <c:axId val="114828416"/>
      </c:lineChart>
      <c:catAx>
        <c:axId val="1148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8416"/>
        <c:crosses val="autoZero"/>
        <c:auto val="1"/>
        <c:lblAlgn val="ctr"/>
        <c:lblOffset val="100"/>
      </c:catAx>
      <c:valAx>
        <c:axId val="11482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4848896"/>
        <c:axId val="114850432"/>
      </c:lineChart>
      <c:catAx>
        <c:axId val="114848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50432"/>
        <c:crosses val="autoZero"/>
        <c:auto val="1"/>
        <c:lblAlgn val="ctr"/>
        <c:lblOffset val="100"/>
      </c:catAx>
      <c:valAx>
        <c:axId val="114850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4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989"/>
          <c:w val="0.1272403315177595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4866816"/>
        <c:axId val="114868608"/>
      </c:lineChart>
      <c:catAx>
        <c:axId val="1148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8608"/>
        <c:crosses val="autoZero"/>
        <c:auto val="1"/>
        <c:lblAlgn val="ctr"/>
        <c:lblOffset val="100"/>
      </c:catAx>
      <c:valAx>
        <c:axId val="11486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5147136"/>
        <c:axId val="115148672"/>
      </c:lineChart>
      <c:catAx>
        <c:axId val="11514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48672"/>
        <c:crosses val="autoZero"/>
        <c:auto val="1"/>
        <c:lblAlgn val="ctr"/>
        <c:lblOffset val="100"/>
      </c:catAx>
      <c:valAx>
        <c:axId val="1151486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4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9150848"/>
        <c:axId val="119152640"/>
      </c:lineChart>
      <c:catAx>
        <c:axId val="11915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52640"/>
        <c:crosses val="autoZero"/>
        <c:auto val="1"/>
        <c:lblAlgn val="ctr"/>
        <c:lblOffset val="100"/>
      </c:catAx>
      <c:valAx>
        <c:axId val="119152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0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9177600"/>
        <c:axId val="119179136"/>
      </c:lineChart>
      <c:catAx>
        <c:axId val="11917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79136"/>
        <c:crosses val="autoZero"/>
        <c:auto val="1"/>
        <c:lblAlgn val="ctr"/>
        <c:lblOffset val="100"/>
      </c:catAx>
      <c:valAx>
        <c:axId val="119179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7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989"/>
          <c:w val="0.135416885389375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9187328"/>
        <c:axId val="119188864"/>
      </c:lineChart>
      <c:catAx>
        <c:axId val="11918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88864"/>
        <c:crosses val="autoZero"/>
        <c:auto val="1"/>
        <c:lblAlgn val="ctr"/>
        <c:lblOffset val="100"/>
      </c:catAx>
      <c:valAx>
        <c:axId val="119188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8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9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5643</c:v>
                </c:pt>
                <c:pt idx="16">
                  <c:v>10445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9812096"/>
        <c:axId val="119813632"/>
      </c:lineChart>
      <c:catAx>
        <c:axId val="11981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3632"/>
        <c:crosses val="autoZero"/>
        <c:auto val="1"/>
        <c:lblAlgn val="ctr"/>
        <c:lblOffset val="100"/>
      </c:catAx>
      <c:valAx>
        <c:axId val="119813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597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9838208"/>
        <c:axId val="119839744"/>
      </c:lineChart>
      <c:catAx>
        <c:axId val="1198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39744"/>
        <c:crosses val="autoZero"/>
        <c:auto val="1"/>
        <c:lblAlgn val="ctr"/>
        <c:lblOffset val="100"/>
      </c:catAx>
      <c:valAx>
        <c:axId val="1198397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989"/>
          <c:w val="0.1354168853893752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20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9856128"/>
        <c:axId val="119939840"/>
      </c:lineChart>
      <c:catAx>
        <c:axId val="11985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39840"/>
        <c:crosses val="autoZero"/>
        <c:auto val="1"/>
        <c:lblAlgn val="ctr"/>
        <c:lblOffset val="100"/>
      </c:catAx>
      <c:valAx>
        <c:axId val="1199398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5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84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-2523.4193548386902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9964416"/>
        <c:axId val="119965952"/>
      </c:lineChart>
      <c:catAx>
        <c:axId val="11996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65952"/>
        <c:crosses val="autoZero"/>
        <c:auto val="1"/>
        <c:lblAlgn val="ctr"/>
        <c:lblOffset val="100"/>
      </c:catAx>
      <c:valAx>
        <c:axId val="119965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64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9978624"/>
        <c:axId val="119988608"/>
      </c:lineChart>
      <c:catAx>
        <c:axId val="1199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88608"/>
        <c:crosses val="autoZero"/>
        <c:auto val="1"/>
        <c:lblAlgn val="ctr"/>
        <c:lblOffset val="100"/>
      </c:catAx>
      <c:valAx>
        <c:axId val="11998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7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6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20021376"/>
        <c:axId val="120022912"/>
      </c:lineChart>
      <c:catAx>
        <c:axId val="12002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2912"/>
        <c:crosses val="autoZero"/>
        <c:auto val="1"/>
        <c:lblAlgn val="ctr"/>
        <c:lblOffset val="100"/>
      </c:catAx>
      <c:valAx>
        <c:axId val="1200229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20059776"/>
        <c:axId val="120061312"/>
      </c:lineChart>
      <c:catAx>
        <c:axId val="12005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61312"/>
        <c:crosses val="autoZero"/>
        <c:auto val="1"/>
        <c:lblAlgn val="ctr"/>
        <c:lblOffset val="100"/>
      </c:catAx>
      <c:valAx>
        <c:axId val="1200613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5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20200576"/>
        <c:axId val="120210560"/>
      </c:lineChart>
      <c:catAx>
        <c:axId val="12020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10560"/>
        <c:crosses val="autoZero"/>
        <c:auto val="1"/>
        <c:lblAlgn val="ctr"/>
        <c:lblOffset val="100"/>
      </c:catAx>
      <c:valAx>
        <c:axId val="12021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0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54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20231040"/>
        <c:axId val="120232576"/>
      </c:lineChart>
      <c:catAx>
        <c:axId val="12023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32576"/>
        <c:crosses val="autoZero"/>
        <c:auto val="1"/>
        <c:lblAlgn val="ctr"/>
        <c:lblOffset val="100"/>
      </c:catAx>
      <c:valAx>
        <c:axId val="12023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3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9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20253056"/>
        <c:axId val="121258368"/>
      </c:lineChart>
      <c:catAx>
        <c:axId val="12025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58368"/>
        <c:crosses val="autoZero"/>
        <c:auto val="1"/>
        <c:lblAlgn val="ctr"/>
        <c:lblOffset val="100"/>
      </c:catAx>
      <c:valAx>
        <c:axId val="12125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25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61"/>
          <c:w val="0.123431181980942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1280000"/>
        <c:axId val="121281536"/>
      </c:lineChart>
      <c:catAx>
        <c:axId val="1212800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81536"/>
        <c:crosses val="autoZero"/>
        <c:auto val="1"/>
        <c:lblAlgn val="ctr"/>
        <c:lblOffset val="100"/>
      </c:catAx>
      <c:valAx>
        <c:axId val="12128153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28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405"/>
          <c:w val="0.1569039853282405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1301632"/>
        <c:axId val="121377152"/>
      </c:lineChart>
      <c:catAx>
        <c:axId val="12130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77152"/>
        <c:crosses val="autoZero"/>
        <c:auto val="1"/>
        <c:lblAlgn val="ctr"/>
        <c:lblOffset val="100"/>
      </c:catAx>
      <c:valAx>
        <c:axId val="121377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60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1541376"/>
        <c:axId val="121542912"/>
      </c:lineChart>
      <c:catAx>
        <c:axId val="121541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2912"/>
        <c:crosses val="autoZero"/>
        <c:auto val="1"/>
        <c:lblAlgn val="ctr"/>
        <c:lblOffset val="100"/>
      </c:catAx>
      <c:valAx>
        <c:axId val="121542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4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38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2687488"/>
        <c:axId val="122689024"/>
      </c:lineChart>
      <c:catAx>
        <c:axId val="1226874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9024"/>
        <c:crosses val="autoZero"/>
        <c:auto val="1"/>
        <c:lblAlgn val="ctr"/>
        <c:lblOffset val="100"/>
      </c:catAx>
      <c:valAx>
        <c:axId val="122689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68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40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12" sqref="G1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0.25114967597094123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0.24187690809181595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3.5299405537362716E-2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0.25830948522820885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0.34285295962016288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0.24888920322438729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0.29927533336043038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0.15754218236777004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0.24283533063718221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8.2997184981685054E-2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5643</v>
      </c>
      <c r="F16" s="315">
        <f>SUM('EDl log'!T18)</f>
        <v>0.24347428841721486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10445</v>
      </c>
      <c r="F17" s="315">
        <f>SUM('EDl log'!T19)</f>
        <v>0.16821750560958429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117</v>
      </c>
      <c r="L17" s="316">
        <f>SUM(WATER!J21)</f>
        <v>2.0678246484698097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0.60699999999999998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0.60699999999999998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0.60699999999999998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0.60699999999999998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0.60699999999999998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0.60699999999999998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0.60699999999999998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0.60699999999999998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0.60699999999999998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0.60699999999999998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0.60699999999999998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H16" sqref="H1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2144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2236</v>
      </c>
      <c r="F17" s="203">
        <f>ELEC!K19</f>
        <v>2866</v>
      </c>
      <c r="G17" s="203">
        <f>ELEC!I19</f>
        <v>940</v>
      </c>
      <c r="H17" s="203">
        <f>ELEC!E19</f>
        <v>3900</v>
      </c>
      <c r="I17" s="203">
        <f>ELEC!G19</f>
        <v>503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E19" sqref="E19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92274</v>
      </c>
      <c r="E18" s="585">
        <f t="shared" si="7"/>
        <v>2144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5643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469.00000000093132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v>96174</v>
      </c>
      <c r="E19" s="585">
        <f t="shared" si="7"/>
        <v>3900</v>
      </c>
      <c r="F19" s="573">
        <v>4107541</v>
      </c>
      <c r="G19" s="449">
        <f t="shared" si="14"/>
        <v>503</v>
      </c>
      <c r="H19" s="426">
        <v>17996778</v>
      </c>
      <c r="I19" s="449">
        <f t="shared" si="16"/>
        <v>940</v>
      </c>
      <c r="J19" s="426">
        <v>29643616</v>
      </c>
      <c r="K19" s="449">
        <f t="shared" si="18"/>
        <v>2866</v>
      </c>
      <c r="L19" s="426">
        <v>24488010</v>
      </c>
      <c r="M19" s="449">
        <f t="shared" si="20"/>
        <v>2236</v>
      </c>
      <c r="N19" s="297">
        <f t="shared" si="21"/>
        <v>10445</v>
      </c>
      <c r="O19" s="445">
        <f t="shared" si="32"/>
        <v>0</v>
      </c>
      <c r="P19" s="564">
        <v>18730.953000000001</v>
      </c>
      <c r="Q19" s="446">
        <f>(P19-P18)*1000</f>
        <v>9922.0000000022992</v>
      </c>
      <c r="R19" s="606">
        <f>N19-Q19</f>
        <v>522.9999999977008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96174</v>
      </c>
      <c r="E20" s="585">
        <f t="shared" si="7"/>
        <v>0</v>
      </c>
      <c r="F20" s="573">
        <f t="shared" si="13"/>
        <v>4107541</v>
      </c>
      <c r="G20" s="449">
        <f t="shared" si="14"/>
        <v>0</v>
      </c>
      <c r="H20" s="426">
        <f t="shared" si="15"/>
        <v>17996778</v>
      </c>
      <c r="I20" s="449">
        <f t="shared" si="16"/>
        <v>0</v>
      </c>
      <c r="J20" s="426">
        <f t="shared" si="17"/>
        <v>29643616</v>
      </c>
      <c r="K20" s="449">
        <f t="shared" si="18"/>
        <v>0</v>
      </c>
      <c r="L20" s="426">
        <f t="shared" si="19"/>
        <v>24488010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18730.953000000001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96174</v>
      </c>
      <c r="E21" s="585">
        <f t="shared" si="7"/>
        <v>0</v>
      </c>
      <c r="F21" s="573">
        <f t="shared" si="13"/>
        <v>4107541</v>
      </c>
      <c r="G21" s="449">
        <f t="shared" si="14"/>
        <v>0</v>
      </c>
      <c r="H21" s="426">
        <f t="shared" si="15"/>
        <v>17996778</v>
      </c>
      <c r="I21" s="449">
        <f t="shared" si="16"/>
        <v>0</v>
      </c>
      <c r="J21" s="426">
        <f t="shared" si="17"/>
        <v>29643616</v>
      </c>
      <c r="K21" s="449">
        <f t="shared" si="18"/>
        <v>0</v>
      </c>
      <c r="L21" s="426">
        <f t="shared" si="19"/>
        <v>24488010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18730.953000000001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f t="shared" si="12"/>
        <v>96174</v>
      </c>
      <c r="E22" s="585">
        <f t="shared" si="7"/>
        <v>0</v>
      </c>
      <c r="F22" s="573">
        <f t="shared" si="13"/>
        <v>4107541</v>
      </c>
      <c r="G22" s="449">
        <f t="shared" si="14"/>
        <v>0</v>
      </c>
      <c r="H22" s="426">
        <f t="shared" si="15"/>
        <v>17996778</v>
      </c>
      <c r="I22" s="449">
        <f t="shared" si="16"/>
        <v>0</v>
      </c>
      <c r="J22" s="426">
        <f t="shared" si="17"/>
        <v>29643616</v>
      </c>
      <c r="K22" s="449">
        <f t="shared" si="18"/>
        <v>0</v>
      </c>
      <c r="L22" s="426">
        <f t="shared" si="19"/>
        <v>24488010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18730.953000000001</v>
      </c>
      <c r="Q22" s="446">
        <f t="shared" si="1"/>
        <v>0</v>
      </c>
      <c r="R22" s="606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33476</v>
      </c>
      <c r="X22" s="428">
        <f t="shared" si="31"/>
        <v>0</v>
      </c>
      <c r="Y22" s="426">
        <f t="shared" si="25"/>
        <v>995165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f t="shared" si="12"/>
        <v>96174</v>
      </c>
      <c r="E23" s="585">
        <f t="shared" si="7"/>
        <v>0</v>
      </c>
      <c r="F23" s="573">
        <f t="shared" si="13"/>
        <v>4107541</v>
      </c>
      <c r="G23" s="449">
        <f t="shared" si="14"/>
        <v>0</v>
      </c>
      <c r="H23" s="426">
        <f t="shared" si="15"/>
        <v>17996778</v>
      </c>
      <c r="I23" s="449">
        <f t="shared" si="16"/>
        <v>0</v>
      </c>
      <c r="J23" s="426">
        <f t="shared" si="17"/>
        <v>29643616</v>
      </c>
      <c r="K23" s="449">
        <f t="shared" si="18"/>
        <v>0</v>
      </c>
      <c r="L23" s="426">
        <f t="shared" si="19"/>
        <v>24488010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18730.953000000001</v>
      </c>
      <c r="Q23" s="446">
        <f t="shared" si="1"/>
        <v>0</v>
      </c>
      <c r="R23" s="606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33476</v>
      </c>
      <c r="X23" s="428">
        <f t="shared" si="31"/>
        <v>0</v>
      </c>
      <c r="Y23" s="426">
        <f t="shared" si="25"/>
        <v>995165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96174</v>
      </c>
      <c r="E24" s="585">
        <f t="shared" si="7"/>
        <v>0</v>
      </c>
      <c r="F24" s="573">
        <f t="shared" si="13"/>
        <v>4107541</v>
      </c>
      <c r="G24" s="449">
        <f t="shared" si="14"/>
        <v>0</v>
      </c>
      <c r="H24" s="426">
        <f t="shared" si="15"/>
        <v>17996778</v>
      </c>
      <c r="I24" s="622">
        <f t="shared" si="16"/>
        <v>0</v>
      </c>
      <c r="J24" s="426">
        <f t="shared" si="17"/>
        <v>29643616</v>
      </c>
      <c r="K24" s="449">
        <f t="shared" si="18"/>
        <v>0</v>
      </c>
      <c r="L24" s="426">
        <f t="shared" si="19"/>
        <v>24488010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18730.953000000001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33476</v>
      </c>
      <c r="X24" s="428">
        <f t="shared" si="31"/>
        <v>0</v>
      </c>
      <c r="Y24" s="426">
        <f t="shared" si="25"/>
        <v>995165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96174</v>
      </c>
      <c r="E25" s="585">
        <f t="shared" si="7"/>
        <v>0</v>
      </c>
      <c r="F25" s="573">
        <f t="shared" si="13"/>
        <v>4107541</v>
      </c>
      <c r="G25" s="449">
        <f t="shared" si="14"/>
        <v>0</v>
      </c>
      <c r="H25" s="426">
        <f t="shared" si="15"/>
        <v>17996778</v>
      </c>
      <c r="I25" s="449">
        <f t="shared" si="16"/>
        <v>0</v>
      </c>
      <c r="J25" s="426">
        <f t="shared" si="17"/>
        <v>29643616</v>
      </c>
      <c r="K25" s="449">
        <f t="shared" si="18"/>
        <v>0</v>
      </c>
      <c r="L25" s="426">
        <f t="shared" si="19"/>
        <v>24488010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18730.953000000001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33476</v>
      </c>
      <c r="X25" s="428">
        <f t="shared" si="31"/>
        <v>0</v>
      </c>
      <c r="Y25" s="426">
        <f t="shared" si="25"/>
        <v>995165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96174</v>
      </c>
      <c r="E26" s="585">
        <f t="shared" si="7"/>
        <v>0</v>
      </c>
      <c r="F26" s="573">
        <f t="shared" si="13"/>
        <v>4107541</v>
      </c>
      <c r="G26" s="449">
        <f t="shared" si="14"/>
        <v>0</v>
      </c>
      <c r="H26" s="426">
        <f t="shared" si="15"/>
        <v>17996778</v>
      </c>
      <c r="I26" s="449">
        <f t="shared" si="16"/>
        <v>0</v>
      </c>
      <c r="J26" s="426">
        <f t="shared" si="17"/>
        <v>29643616</v>
      </c>
      <c r="K26" s="449">
        <f t="shared" si="18"/>
        <v>0</v>
      </c>
      <c r="L26" s="426">
        <f t="shared" si="19"/>
        <v>24488010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18730.953000000001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33476</v>
      </c>
      <c r="X26" s="428">
        <f t="shared" si="31"/>
        <v>0</v>
      </c>
      <c r="Y26" s="426">
        <f t="shared" si="25"/>
        <v>995165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96174</v>
      </c>
      <c r="E27" s="585">
        <f t="shared" si="7"/>
        <v>0</v>
      </c>
      <c r="F27" s="573">
        <f t="shared" si="13"/>
        <v>4107541</v>
      </c>
      <c r="G27" s="449">
        <f t="shared" si="14"/>
        <v>0</v>
      </c>
      <c r="H27" s="426">
        <f t="shared" si="15"/>
        <v>17996778</v>
      </c>
      <c r="I27" s="449">
        <f t="shared" si="16"/>
        <v>0</v>
      </c>
      <c r="J27" s="426">
        <f t="shared" si="17"/>
        <v>29643616</v>
      </c>
      <c r="K27" s="449">
        <f t="shared" si="18"/>
        <v>0</v>
      </c>
      <c r="L27" s="426">
        <f t="shared" si="19"/>
        <v>24488010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18730.953000000001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33476</v>
      </c>
      <c r="X27" s="428">
        <f t="shared" si="31"/>
        <v>0</v>
      </c>
      <c r="Y27" s="426">
        <f t="shared" si="25"/>
        <v>995165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96174</v>
      </c>
      <c r="E28" s="585">
        <f t="shared" si="7"/>
        <v>0</v>
      </c>
      <c r="F28" s="573">
        <f t="shared" si="13"/>
        <v>4107541</v>
      </c>
      <c r="G28" s="449">
        <f>F28-F27</f>
        <v>0</v>
      </c>
      <c r="H28" s="426">
        <f t="shared" si="15"/>
        <v>17996778</v>
      </c>
      <c r="I28" s="449">
        <f t="shared" si="16"/>
        <v>0</v>
      </c>
      <c r="J28" s="426">
        <f t="shared" si="17"/>
        <v>29643616</v>
      </c>
      <c r="K28" s="449">
        <f t="shared" si="18"/>
        <v>0</v>
      </c>
      <c r="L28" s="426">
        <f t="shared" si="19"/>
        <v>24488010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18730.953000000001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33476</v>
      </c>
      <c r="X28" s="428">
        <f t="shared" si="31"/>
        <v>0</v>
      </c>
      <c r="Y28" s="426">
        <f t="shared" si="25"/>
        <v>995165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96174</v>
      </c>
      <c r="E29" s="585">
        <f t="shared" si="7"/>
        <v>0</v>
      </c>
      <c r="F29" s="573">
        <f t="shared" si="13"/>
        <v>4107541</v>
      </c>
      <c r="G29" s="449">
        <f t="shared" ref="G29" si="36">F29-F28</f>
        <v>0</v>
      </c>
      <c r="H29" s="426">
        <f t="shared" si="15"/>
        <v>17996778</v>
      </c>
      <c r="I29" s="449">
        <f t="shared" ref="I29" si="37">H29-H28</f>
        <v>0</v>
      </c>
      <c r="J29" s="426">
        <f t="shared" si="17"/>
        <v>29643616</v>
      </c>
      <c r="K29" s="449">
        <f t="shared" ref="K29" si="38">J29-J28</f>
        <v>0</v>
      </c>
      <c r="L29" s="426">
        <f t="shared" si="19"/>
        <v>24488010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18730.953000000001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33476</v>
      </c>
      <c r="X29" s="428">
        <f t="shared" ref="X29" si="45">W29-W28</f>
        <v>0</v>
      </c>
      <c r="Y29" s="426">
        <f t="shared" si="25"/>
        <v>995165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96174</v>
      </c>
      <c r="E30" s="585">
        <f t="shared" si="7"/>
        <v>0</v>
      </c>
      <c r="F30" s="573">
        <f t="shared" si="13"/>
        <v>4107541</v>
      </c>
      <c r="G30" s="449">
        <f t="shared" si="14"/>
        <v>0</v>
      </c>
      <c r="H30" s="426">
        <f t="shared" si="15"/>
        <v>17996778</v>
      </c>
      <c r="I30" s="449">
        <f t="shared" si="16"/>
        <v>0</v>
      </c>
      <c r="J30" s="426">
        <f t="shared" si="17"/>
        <v>29643616</v>
      </c>
      <c r="K30" s="449">
        <f t="shared" si="18"/>
        <v>0</v>
      </c>
      <c r="L30" s="426">
        <f t="shared" si="19"/>
        <v>24488010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18730.953000000001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33476</v>
      </c>
      <c r="X30" s="428">
        <f t="shared" si="31"/>
        <v>0</v>
      </c>
      <c r="Y30" s="426">
        <f t="shared" si="25"/>
        <v>995165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96174</v>
      </c>
      <c r="E31" s="585">
        <f t="shared" si="7"/>
        <v>0</v>
      </c>
      <c r="F31" s="573">
        <f t="shared" si="13"/>
        <v>4107541</v>
      </c>
      <c r="G31" s="449">
        <f t="shared" si="14"/>
        <v>0</v>
      </c>
      <c r="H31" s="426">
        <f t="shared" si="15"/>
        <v>17996778</v>
      </c>
      <c r="I31" s="449">
        <f t="shared" si="16"/>
        <v>0</v>
      </c>
      <c r="J31" s="426">
        <f t="shared" si="17"/>
        <v>29643616</v>
      </c>
      <c r="K31" s="449">
        <f t="shared" si="18"/>
        <v>0</v>
      </c>
      <c r="L31" s="426">
        <f t="shared" si="19"/>
        <v>24488010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18730.953000000001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33476</v>
      </c>
      <c r="X31" s="448">
        <f t="shared" si="31"/>
        <v>0</v>
      </c>
      <c r="Y31" s="426">
        <f t="shared" si="25"/>
        <v>995165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96174</v>
      </c>
      <c r="E32" s="585">
        <f t="shared" si="7"/>
        <v>0</v>
      </c>
      <c r="F32" s="573">
        <f t="shared" si="13"/>
        <v>4107541</v>
      </c>
      <c r="G32" s="449">
        <f t="shared" si="14"/>
        <v>0</v>
      </c>
      <c r="H32" s="426">
        <f t="shared" si="15"/>
        <v>17996778</v>
      </c>
      <c r="I32" s="449">
        <f t="shared" si="16"/>
        <v>0</v>
      </c>
      <c r="J32" s="426">
        <f t="shared" si="17"/>
        <v>29643616</v>
      </c>
      <c r="K32" s="449">
        <f t="shared" si="18"/>
        <v>0</v>
      </c>
      <c r="L32" s="426">
        <f t="shared" si="19"/>
        <v>24488010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18730.953000000001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33476</v>
      </c>
      <c r="X32" s="448">
        <f>W32-W31</f>
        <v>0</v>
      </c>
      <c r="Y32" s="426">
        <f t="shared" si="25"/>
        <v>995165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96174</v>
      </c>
      <c r="E33" s="585">
        <f t="shared" si="7"/>
        <v>0</v>
      </c>
      <c r="F33" s="573">
        <f t="shared" si="13"/>
        <v>4107541</v>
      </c>
      <c r="G33" s="449">
        <f t="shared" si="14"/>
        <v>0</v>
      </c>
      <c r="H33" s="426">
        <f t="shared" si="15"/>
        <v>17996778</v>
      </c>
      <c r="I33" s="449">
        <f t="shared" si="16"/>
        <v>0</v>
      </c>
      <c r="J33" s="426">
        <f t="shared" si="17"/>
        <v>29643616</v>
      </c>
      <c r="K33" s="449">
        <f t="shared" si="18"/>
        <v>0</v>
      </c>
      <c r="L33" s="426">
        <f t="shared" si="19"/>
        <v>24488010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18730.953000000001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33476</v>
      </c>
      <c r="X33" s="448">
        <f>W33-W32</f>
        <v>0</v>
      </c>
      <c r="Y33" s="426">
        <f t="shared" si="25"/>
        <v>995165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96174</v>
      </c>
      <c r="E34" s="585">
        <f t="shared" si="7"/>
        <v>0</v>
      </c>
      <c r="F34" s="573">
        <f t="shared" ref="F34" si="51">F33</f>
        <v>4107541</v>
      </c>
      <c r="G34" s="449">
        <f t="shared" ref="G34" si="52">F34-F33</f>
        <v>0</v>
      </c>
      <c r="H34" s="426">
        <f t="shared" si="15"/>
        <v>17996778</v>
      </c>
      <c r="I34" s="449">
        <f t="shared" si="16"/>
        <v>0</v>
      </c>
      <c r="J34" s="426">
        <f t="shared" si="17"/>
        <v>29643616</v>
      </c>
      <c r="K34" s="449">
        <f t="shared" ref="K34" si="53">J34-J33</f>
        <v>0</v>
      </c>
      <c r="L34" s="426">
        <f t="shared" si="19"/>
        <v>24488010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18730.953000000001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33476</v>
      </c>
      <c r="X34" s="448">
        <f>W34-W33</f>
        <v>0</v>
      </c>
      <c r="Y34" s="426">
        <f t="shared" si="25"/>
        <v>995165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I23" sqref="I2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3" t="s">
        <v>2</v>
      </c>
      <c r="G1" s="634"/>
      <c r="H1" s="634"/>
      <c r="I1" s="635"/>
      <c r="J1" s="271">
        <f>J36</f>
        <v>74.05</v>
      </c>
      <c r="K1" s="636" t="s">
        <v>4</v>
      </c>
      <c r="L1" s="637"/>
      <c r="M1" s="637"/>
      <c r="N1" s="637"/>
      <c r="O1" s="638"/>
      <c r="P1" s="627" t="s">
        <v>6</v>
      </c>
      <c r="Q1" s="628"/>
      <c r="R1" s="628"/>
      <c r="S1" s="628"/>
      <c r="T1" s="629"/>
      <c r="U1" s="381"/>
      <c r="V1" s="27" t="s">
        <v>104</v>
      </c>
      <c r="W1" s="382"/>
      <c r="X1" s="627" t="s">
        <v>8</v>
      </c>
      <c r="Y1" s="628"/>
      <c r="Z1" s="628"/>
      <c r="AA1" s="628"/>
      <c r="AB1" s="628"/>
      <c r="AC1" s="630" t="s">
        <v>10</v>
      </c>
      <c r="AD1" s="631"/>
      <c r="AE1" s="631"/>
      <c r="AF1" s="632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5"/>
      <c r="R2" s="626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v>211</v>
      </c>
      <c r="C20" s="537">
        <v>218</v>
      </c>
      <c r="D20" s="45">
        <f>C19-C20</f>
        <v>9</v>
      </c>
      <c r="E20" s="45">
        <f t="shared" si="12"/>
        <v>75.42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211</v>
      </c>
      <c r="C21" s="537">
        <f t="shared" si="35"/>
        <v>218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211</v>
      </c>
      <c r="C22" s="537">
        <f t="shared" si="35"/>
        <v>218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211</v>
      </c>
      <c r="C23" s="537">
        <f t="shared" si="35"/>
        <v>218</v>
      </c>
      <c r="D23" s="45">
        <f t="shared" si="49"/>
        <v>0</v>
      </c>
      <c r="E23" s="45">
        <f t="shared" si="12"/>
        <v>0</v>
      </c>
      <c r="F23" s="537">
        <f t="shared" si="13"/>
        <v>1936</v>
      </c>
      <c r="G23" s="52">
        <f t="shared" si="0"/>
        <v>0</v>
      </c>
      <c r="H23" s="537">
        <f t="shared" si="14"/>
        <v>20563</v>
      </c>
      <c r="I23" s="380">
        <f t="shared" si="1"/>
        <v>0</v>
      </c>
      <c r="J23" s="66">
        <f t="shared" si="15"/>
        <v>0</v>
      </c>
      <c r="K23" s="537">
        <f t="shared" si="16"/>
        <v>2368</v>
      </c>
      <c r="L23" s="52">
        <f t="shared" si="17"/>
        <v>0</v>
      </c>
      <c r="M23" s="537">
        <f t="shared" si="18"/>
        <v>174856</v>
      </c>
      <c r="N23" s="380">
        <f t="shared" si="2"/>
        <v>0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211</v>
      </c>
      <c r="C24" s="537">
        <f t="shared" si="35"/>
        <v>218</v>
      </c>
      <c r="D24" s="45">
        <f t="shared" si="49"/>
        <v>0</v>
      </c>
      <c r="E24" s="45">
        <f t="shared" si="12"/>
        <v>0</v>
      </c>
      <c r="F24" s="537">
        <f t="shared" si="13"/>
        <v>1936</v>
      </c>
      <c r="G24" s="52">
        <f t="shared" si="0"/>
        <v>0</v>
      </c>
      <c r="H24" s="537">
        <f t="shared" si="14"/>
        <v>20563</v>
      </c>
      <c r="I24" s="380">
        <f t="shared" si="1"/>
        <v>0</v>
      </c>
      <c r="J24" s="66">
        <f t="shared" si="15"/>
        <v>0</v>
      </c>
      <c r="K24" s="537">
        <f t="shared" si="16"/>
        <v>2368</v>
      </c>
      <c r="L24" s="52">
        <f t="shared" si="17"/>
        <v>0</v>
      </c>
      <c r="M24" s="537">
        <f t="shared" si="18"/>
        <v>174856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211</v>
      </c>
      <c r="C25" s="537">
        <f t="shared" si="35"/>
        <v>218</v>
      </c>
      <c r="D25" s="45">
        <f t="shared" si="49"/>
        <v>0</v>
      </c>
      <c r="E25" s="45">
        <f t="shared" si="12"/>
        <v>0</v>
      </c>
      <c r="F25" s="537">
        <f t="shared" si="13"/>
        <v>1936</v>
      </c>
      <c r="G25" s="52">
        <f t="shared" si="0"/>
        <v>0</v>
      </c>
      <c r="H25" s="537">
        <f t="shared" si="14"/>
        <v>20563</v>
      </c>
      <c r="I25" s="380">
        <f t="shared" si="1"/>
        <v>0</v>
      </c>
      <c r="J25" s="66">
        <f t="shared" si="15"/>
        <v>0</v>
      </c>
      <c r="K25" s="537">
        <f t="shared" si="16"/>
        <v>2368</v>
      </c>
      <c r="L25" s="52">
        <f t="shared" si="17"/>
        <v>0</v>
      </c>
      <c r="M25" s="537">
        <f t="shared" si="18"/>
        <v>174856</v>
      </c>
      <c r="N25" s="380">
        <f t="shared" si="2"/>
        <v>0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211</v>
      </c>
      <c r="C26" s="537">
        <f t="shared" si="35"/>
        <v>218</v>
      </c>
      <c r="D26" s="45">
        <f t="shared" si="49"/>
        <v>0</v>
      </c>
      <c r="E26" s="45">
        <f t="shared" si="12"/>
        <v>0</v>
      </c>
      <c r="F26" s="537">
        <f t="shared" si="13"/>
        <v>1936</v>
      </c>
      <c r="G26" s="52">
        <f t="shared" si="0"/>
        <v>0</v>
      </c>
      <c r="H26" s="537">
        <f t="shared" si="14"/>
        <v>20563</v>
      </c>
      <c r="I26" s="380">
        <f t="shared" si="1"/>
        <v>0</v>
      </c>
      <c r="J26" s="66">
        <f t="shared" si="15"/>
        <v>0</v>
      </c>
      <c r="K26" s="537">
        <f t="shared" si="16"/>
        <v>2368</v>
      </c>
      <c r="L26" s="52">
        <f t="shared" si="17"/>
        <v>0</v>
      </c>
      <c r="M26" s="537">
        <f t="shared" si="18"/>
        <v>174856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211</v>
      </c>
      <c r="C27" s="537">
        <f t="shared" si="35"/>
        <v>218</v>
      </c>
      <c r="D27" s="45">
        <f t="shared" si="49"/>
        <v>0</v>
      </c>
      <c r="E27" s="45">
        <f t="shared" si="12"/>
        <v>0</v>
      </c>
      <c r="F27" s="537">
        <f t="shared" si="13"/>
        <v>1936</v>
      </c>
      <c r="G27" s="52">
        <f t="shared" si="0"/>
        <v>0</v>
      </c>
      <c r="H27" s="537">
        <f t="shared" si="14"/>
        <v>20563</v>
      </c>
      <c r="I27" s="380">
        <f t="shared" si="1"/>
        <v>0</v>
      </c>
      <c r="J27" s="66">
        <f t="shared" si="15"/>
        <v>0</v>
      </c>
      <c r="K27" s="537">
        <f t="shared" si="16"/>
        <v>2368</v>
      </c>
      <c r="L27" s="52">
        <f t="shared" si="17"/>
        <v>0</v>
      </c>
      <c r="M27" s="537">
        <f t="shared" si="18"/>
        <v>174856</v>
      </c>
      <c r="N27" s="380">
        <f t="shared" si="2"/>
        <v>0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211</v>
      </c>
      <c r="C28" s="537">
        <f t="shared" si="35"/>
        <v>218</v>
      </c>
      <c r="D28" s="45">
        <f t="shared" si="49"/>
        <v>0</v>
      </c>
      <c r="E28" s="45">
        <f t="shared" si="12"/>
        <v>0</v>
      </c>
      <c r="F28" s="537">
        <f t="shared" si="13"/>
        <v>1936</v>
      </c>
      <c r="G28" s="52">
        <f t="shared" si="0"/>
        <v>0</v>
      </c>
      <c r="H28" s="537">
        <f t="shared" si="14"/>
        <v>20563</v>
      </c>
      <c r="I28" s="380">
        <f t="shared" si="1"/>
        <v>0</v>
      </c>
      <c r="J28" s="66">
        <f t="shared" si="15"/>
        <v>0</v>
      </c>
      <c r="K28" s="537">
        <f t="shared" si="16"/>
        <v>2368</v>
      </c>
      <c r="L28" s="52">
        <f t="shared" si="17"/>
        <v>0</v>
      </c>
      <c r="M28" s="537">
        <f t="shared" si="18"/>
        <v>174856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211</v>
      </c>
      <c r="C29" s="537">
        <f t="shared" si="35"/>
        <v>218</v>
      </c>
      <c r="D29" s="45">
        <f t="shared" si="49"/>
        <v>0</v>
      </c>
      <c r="E29" s="45">
        <f t="shared" si="12"/>
        <v>0</v>
      </c>
      <c r="F29" s="537">
        <f t="shared" si="13"/>
        <v>1936</v>
      </c>
      <c r="G29" s="52">
        <f t="shared" si="0"/>
        <v>0</v>
      </c>
      <c r="H29" s="537">
        <f t="shared" si="14"/>
        <v>20563</v>
      </c>
      <c r="I29" s="380">
        <f t="shared" si="1"/>
        <v>0</v>
      </c>
      <c r="J29" s="66">
        <f t="shared" si="15"/>
        <v>0</v>
      </c>
      <c r="K29" s="537">
        <f t="shared" si="16"/>
        <v>2368</v>
      </c>
      <c r="L29" s="52">
        <f t="shared" si="17"/>
        <v>0</v>
      </c>
      <c r="M29" s="537">
        <f t="shared" si="18"/>
        <v>174856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211</v>
      </c>
      <c r="C30" s="537">
        <f t="shared" si="35"/>
        <v>218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1936</v>
      </c>
      <c r="G30" s="52">
        <f t="shared" ref="G30" si="56">F30-F29</f>
        <v>0</v>
      </c>
      <c r="H30" s="537">
        <f t="shared" si="14"/>
        <v>20563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2368</v>
      </c>
      <c r="L30" s="52">
        <f t="shared" ref="L30" si="59">K30-K29</f>
        <v>0</v>
      </c>
      <c r="M30" s="537">
        <f t="shared" si="18"/>
        <v>174856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211</v>
      </c>
      <c r="C31" s="537">
        <f t="shared" si="35"/>
        <v>218</v>
      </c>
      <c r="D31" s="45">
        <f t="shared" si="49"/>
        <v>0</v>
      </c>
      <c r="E31" s="45">
        <f t="shared" si="12"/>
        <v>0</v>
      </c>
      <c r="F31" s="537">
        <f t="shared" si="13"/>
        <v>1936</v>
      </c>
      <c r="G31" s="52">
        <f t="shared" si="0"/>
        <v>0</v>
      </c>
      <c r="H31" s="537">
        <f t="shared" si="14"/>
        <v>20563</v>
      </c>
      <c r="I31" s="380">
        <f t="shared" si="1"/>
        <v>0</v>
      </c>
      <c r="J31" s="66">
        <f t="shared" si="15"/>
        <v>0</v>
      </c>
      <c r="K31" s="537">
        <f t="shared" si="16"/>
        <v>2368</v>
      </c>
      <c r="L31" s="52">
        <f t="shared" si="17"/>
        <v>0</v>
      </c>
      <c r="M31" s="537">
        <f t="shared" si="18"/>
        <v>174856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211</v>
      </c>
      <c r="C32" s="537">
        <f t="shared" si="35"/>
        <v>218</v>
      </c>
      <c r="D32" s="45">
        <f t="shared" si="49"/>
        <v>0</v>
      </c>
      <c r="E32" s="45">
        <f t="shared" si="12"/>
        <v>0</v>
      </c>
      <c r="F32" s="537">
        <f t="shared" si="13"/>
        <v>1936</v>
      </c>
      <c r="G32" s="52">
        <f t="shared" si="0"/>
        <v>0</v>
      </c>
      <c r="H32" s="537">
        <f t="shared" si="14"/>
        <v>20563</v>
      </c>
      <c r="I32" s="380">
        <f t="shared" si="1"/>
        <v>0</v>
      </c>
      <c r="J32" s="66">
        <f t="shared" si="15"/>
        <v>0</v>
      </c>
      <c r="K32" s="537">
        <f t="shared" si="16"/>
        <v>2368</v>
      </c>
      <c r="L32" s="52">
        <f t="shared" si="17"/>
        <v>0</v>
      </c>
      <c r="M32" s="537">
        <f t="shared" si="18"/>
        <v>174856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211</v>
      </c>
      <c r="C33" s="537">
        <f t="shared" si="35"/>
        <v>218</v>
      </c>
      <c r="D33" s="45">
        <f>C32-C33</f>
        <v>0</v>
      </c>
      <c r="E33" s="45">
        <f>D33*8.38</f>
        <v>0</v>
      </c>
      <c r="F33" s="537">
        <f t="shared" si="13"/>
        <v>1936</v>
      </c>
      <c r="G33" s="52">
        <f>F33-F32</f>
        <v>0</v>
      </c>
      <c r="H33" s="537">
        <f t="shared" si="14"/>
        <v>20563</v>
      </c>
      <c r="I33" s="380">
        <f>SUM(H33-H32)</f>
        <v>0</v>
      </c>
      <c r="J33" s="66">
        <f>IF(G33&gt;0,I33/G33,0)</f>
        <v>0</v>
      </c>
      <c r="K33" s="537">
        <f t="shared" si="16"/>
        <v>2368</v>
      </c>
      <c r="L33" s="52">
        <f>K33-K32</f>
        <v>0</v>
      </c>
      <c r="M33" s="537">
        <f t="shared" si="18"/>
        <v>174856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211</v>
      </c>
      <c r="C34" s="537">
        <f t="shared" si="35"/>
        <v>218</v>
      </c>
      <c r="D34" s="45">
        <f>C33-C34</f>
        <v>0</v>
      </c>
      <c r="E34" s="45">
        <f>D34*8.38</f>
        <v>0</v>
      </c>
      <c r="F34" s="537">
        <f t="shared" si="13"/>
        <v>1936</v>
      </c>
      <c r="G34" s="52">
        <f>F34-F33</f>
        <v>0</v>
      </c>
      <c r="H34" s="537">
        <f t="shared" si="14"/>
        <v>20563</v>
      </c>
      <c r="I34" s="380">
        <f>SUM(H34-H33)</f>
        <v>0</v>
      </c>
      <c r="J34" s="66">
        <f>IF(G34&gt;0,I34/G34,0)</f>
        <v>0</v>
      </c>
      <c r="K34" s="537">
        <f t="shared" si="16"/>
        <v>2368</v>
      </c>
      <c r="L34" s="52">
        <f>K34-K33</f>
        <v>0</v>
      </c>
      <c r="M34" s="537">
        <f t="shared" si="18"/>
        <v>174856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211</v>
      </c>
      <c r="C35" s="537">
        <f t="shared" si="35"/>
        <v>218</v>
      </c>
      <c r="D35" s="45">
        <f>C34-C35</f>
        <v>0</v>
      </c>
      <c r="E35" s="45">
        <f>D35*8.38</f>
        <v>0</v>
      </c>
      <c r="F35" s="537">
        <f t="shared" si="13"/>
        <v>1936</v>
      </c>
      <c r="G35" s="52">
        <f>F35-F34</f>
        <v>0</v>
      </c>
      <c r="H35" s="537">
        <f t="shared" si="14"/>
        <v>20563</v>
      </c>
      <c r="I35" s="380">
        <f>SUM(H35-H34)</f>
        <v>0</v>
      </c>
      <c r="J35" s="66">
        <f>IF(G35&gt;0,I35/G35,0)</f>
        <v>0</v>
      </c>
      <c r="K35" s="537">
        <f t="shared" si="16"/>
        <v>2368</v>
      </c>
      <c r="L35" s="52">
        <f>K35-K34</f>
        <v>0</v>
      </c>
      <c r="M35" s="537">
        <f t="shared" si="18"/>
        <v>174856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74.05</v>
      </c>
      <c r="U36" s="70">
        <f>SUM(U5:U35)</f>
        <v>17</v>
      </c>
      <c r="V36" s="62">
        <f>SUM(V5:V35)</f>
        <v>938</v>
      </c>
      <c r="AE36" s="71" t="s">
        <v>379</v>
      </c>
      <c r="AG36" s="329"/>
      <c r="AH36" s="62">
        <f>SUM(AH5:AH35)</f>
        <v>0</v>
      </c>
      <c r="AL36" s="62">
        <f>SUM(AL5:AL35)</f>
        <v>17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55.176470588235297</v>
      </c>
      <c r="AH37" s="62">
        <f>AF37+AA37</f>
        <v>0</v>
      </c>
      <c r="AI37" s="306">
        <f>SUM(AI5:AI35)</f>
        <v>938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C1" zoomScale="90" zoomScaleNormal="90" workbookViewId="0">
      <pane ySplit="3" topLeftCell="A19" activePane="bottomLeft" state="frozen"/>
      <selection pane="bottomLeft" activeCell="AH55" sqref="AH5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8143551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2" t="s">
        <v>95</v>
      </c>
      <c r="AS2" s="643"/>
      <c r="AT2" s="643"/>
      <c r="AU2" s="643"/>
      <c r="AV2" s="644"/>
      <c r="AW2" s="642" t="s">
        <v>96</v>
      </c>
      <c r="AX2" s="643"/>
      <c r="AY2" s="644"/>
      <c r="AZ2" s="642" t="s">
        <v>98</v>
      </c>
      <c r="BA2" s="643"/>
      <c r="BB2" s="644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9" t="s">
        <v>126</v>
      </c>
      <c r="AO3" s="640"/>
      <c r="AP3" s="641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v>626427</v>
      </c>
      <c r="H21" s="5">
        <f t="shared" si="9"/>
        <v>117</v>
      </c>
      <c r="I21" s="5">
        <f t="shared" si="10"/>
        <v>117</v>
      </c>
      <c r="J21" s="319">
        <f t="shared" si="0"/>
        <v>2.0678246484698097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15.5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v>119</v>
      </c>
      <c r="AY21" s="409">
        <f>AS21*AT21</f>
        <v>162.9</v>
      </c>
      <c r="AZ21" s="409">
        <f>AU21*AV21</f>
        <v>139.70000000000002</v>
      </c>
      <c r="BA21" s="409">
        <f>AW21*AX21</f>
        <v>345.09999999999997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2.8999999999999773</v>
      </c>
      <c r="BE21" s="24">
        <f t="shared" si="31"/>
        <v>2.8999999999999773</v>
      </c>
      <c r="BF21" s="96">
        <f t="shared" si="4"/>
        <v>114.10000000000002</v>
      </c>
      <c r="BG21" s="82">
        <f t="shared" si="5"/>
        <v>2.8999999999999773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626427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119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345.09999999999997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626427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119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345.09999999999997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626427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181</v>
      </c>
      <c r="AU24" s="408">
        <f t="shared" si="43"/>
        <v>1.1000000000000001</v>
      </c>
      <c r="AV24" s="201">
        <f t="shared" si="35"/>
        <v>127</v>
      </c>
      <c r="AW24" s="5">
        <v>2.9</v>
      </c>
      <c r="AX24" s="201">
        <f t="shared" si="36"/>
        <v>119</v>
      </c>
      <c r="AY24" s="409">
        <f t="shared" si="37"/>
        <v>162.9</v>
      </c>
      <c r="AZ24" s="409">
        <f t="shared" si="38"/>
        <v>139.70000000000002</v>
      </c>
      <c r="BA24" s="409">
        <f t="shared" si="39"/>
        <v>345.09999999999997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626427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181</v>
      </c>
      <c r="AU25" s="408">
        <f t="shared" si="43"/>
        <v>1.1000000000000001</v>
      </c>
      <c r="AV25" s="201">
        <f t="shared" si="35"/>
        <v>127</v>
      </c>
      <c r="AW25" s="5">
        <v>2.9</v>
      </c>
      <c r="AX25" s="201">
        <f t="shared" si="36"/>
        <v>119</v>
      </c>
      <c r="AY25" s="409">
        <f t="shared" si="37"/>
        <v>162.9</v>
      </c>
      <c r="AZ25" s="409">
        <f t="shared" si="38"/>
        <v>139.70000000000002</v>
      </c>
      <c r="BA25" s="409">
        <f t="shared" si="39"/>
        <v>345.09999999999997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626427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181</v>
      </c>
      <c r="AU26" s="408">
        <f t="shared" si="43"/>
        <v>1.1000000000000001</v>
      </c>
      <c r="AV26" s="201">
        <f t="shared" si="35"/>
        <v>127</v>
      </c>
      <c r="AW26" s="5">
        <v>2.9</v>
      </c>
      <c r="AX26" s="201">
        <f t="shared" si="36"/>
        <v>119</v>
      </c>
      <c r="AY26" s="409">
        <f t="shared" si="37"/>
        <v>162.9</v>
      </c>
      <c r="AZ26" s="409">
        <f t="shared" si="38"/>
        <v>139.70000000000002</v>
      </c>
      <c r="BA26" s="409">
        <f t="shared" si="39"/>
        <v>345.09999999999997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626427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181</v>
      </c>
      <c r="AU27" s="408">
        <f t="shared" si="43"/>
        <v>1.1000000000000001</v>
      </c>
      <c r="AV27" s="201">
        <f t="shared" si="35"/>
        <v>127</v>
      </c>
      <c r="AW27" s="5">
        <v>2.9</v>
      </c>
      <c r="AX27" s="201">
        <f t="shared" si="36"/>
        <v>119</v>
      </c>
      <c r="AY27" s="409">
        <f t="shared" si="37"/>
        <v>162.9</v>
      </c>
      <c r="AZ27" s="409">
        <f t="shared" si="38"/>
        <v>139.70000000000002</v>
      </c>
      <c r="BA27" s="409">
        <f t="shared" si="39"/>
        <v>345.09999999999997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626427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181</v>
      </c>
      <c r="AU28" s="408">
        <f t="shared" si="43"/>
        <v>1.1000000000000001</v>
      </c>
      <c r="AV28" s="201">
        <f t="shared" si="35"/>
        <v>127</v>
      </c>
      <c r="AW28" s="5">
        <v>2.9</v>
      </c>
      <c r="AX28" s="201">
        <f t="shared" si="36"/>
        <v>119</v>
      </c>
      <c r="AY28" s="409">
        <f t="shared" si="37"/>
        <v>162.9</v>
      </c>
      <c r="AZ28" s="409">
        <f t="shared" si="38"/>
        <v>139.70000000000002</v>
      </c>
      <c r="BA28" s="409">
        <f t="shared" si="39"/>
        <v>345.09999999999997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626427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181</v>
      </c>
      <c r="AU29" s="408">
        <f t="shared" si="43"/>
        <v>1.1000000000000001</v>
      </c>
      <c r="AV29" s="201">
        <f t="shared" si="35"/>
        <v>127</v>
      </c>
      <c r="AW29" s="5">
        <v>2.9</v>
      </c>
      <c r="AX29" s="201">
        <f t="shared" si="36"/>
        <v>119</v>
      </c>
      <c r="AY29" s="409">
        <f t="shared" si="37"/>
        <v>162.9</v>
      </c>
      <c r="AZ29" s="409">
        <f t="shared" si="38"/>
        <v>139.70000000000002</v>
      </c>
      <c r="BA29" s="409">
        <f t="shared" si="39"/>
        <v>345.09999999999997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626427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181</v>
      </c>
      <c r="AU30" s="408">
        <f t="shared" si="43"/>
        <v>1.1000000000000001</v>
      </c>
      <c r="AV30" s="201">
        <f t="shared" si="35"/>
        <v>127</v>
      </c>
      <c r="AW30" s="5">
        <v>2.9</v>
      </c>
      <c r="AX30" s="201">
        <f t="shared" si="36"/>
        <v>119</v>
      </c>
      <c r="AY30" s="409">
        <f t="shared" si="37"/>
        <v>162.9</v>
      </c>
      <c r="AZ30" s="409">
        <f t="shared" si="38"/>
        <v>139.70000000000002</v>
      </c>
      <c r="BA30" s="409">
        <f t="shared" si="39"/>
        <v>345.09999999999997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626427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181</v>
      </c>
      <c r="AU31" s="408">
        <f t="shared" si="43"/>
        <v>1.1000000000000001</v>
      </c>
      <c r="AV31" s="201">
        <f t="shared" si="35"/>
        <v>127</v>
      </c>
      <c r="AW31" s="5">
        <v>2.9</v>
      </c>
      <c r="AX31" s="201">
        <f t="shared" si="36"/>
        <v>119</v>
      </c>
      <c r="AY31" s="409">
        <f t="shared" si="37"/>
        <v>162.9</v>
      </c>
      <c r="AZ31" s="409">
        <f>AU31*AV31</f>
        <v>139.70000000000002</v>
      </c>
      <c r="BA31" s="409">
        <f t="shared" si="39"/>
        <v>345.09999999999997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626427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181</v>
      </c>
      <c r="AU32" s="408">
        <f t="shared" si="43"/>
        <v>1.1000000000000001</v>
      </c>
      <c r="AV32" s="201">
        <f t="shared" si="35"/>
        <v>127</v>
      </c>
      <c r="AW32" s="5">
        <v>2.9</v>
      </c>
      <c r="AX32" s="201">
        <f t="shared" si="36"/>
        <v>119</v>
      </c>
      <c r="AY32" s="409">
        <f t="shared" si="37"/>
        <v>162.9</v>
      </c>
      <c r="AZ32" s="409">
        <f t="shared" si="38"/>
        <v>139.70000000000002</v>
      </c>
      <c r="BA32" s="409">
        <f t="shared" si="39"/>
        <v>345.09999999999997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626427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181</v>
      </c>
      <c r="AU33" s="408">
        <f t="shared" si="43"/>
        <v>1.1000000000000001</v>
      </c>
      <c r="AV33" s="201">
        <f t="shared" si="35"/>
        <v>127</v>
      </c>
      <c r="AW33" s="5">
        <v>2.9</v>
      </c>
      <c r="AX33" s="201">
        <f t="shared" si="36"/>
        <v>119</v>
      </c>
      <c r="AY33" s="409">
        <f t="shared" si="37"/>
        <v>162.9</v>
      </c>
      <c r="AZ33" s="409">
        <f t="shared" si="38"/>
        <v>139.70000000000002</v>
      </c>
      <c r="BA33" s="409">
        <f t="shared" si="39"/>
        <v>345.09999999999997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626427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6969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181</v>
      </c>
      <c r="AU34" s="408">
        <f>AU33</f>
        <v>1.1000000000000001</v>
      </c>
      <c r="AV34" s="201">
        <f t="shared" si="35"/>
        <v>127</v>
      </c>
      <c r="AW34" s="5">
        <v>2.9</v>
      </c>
      <c r="AX34" s="201">
        <f t="shared" si="36"/>
        <v>119</v>
      </c>
      <c r="AY34" s="409">
        <f t="shared" si="37"/>
        <v>162.9</v>
      </c>
      <c r="AZ34" s="409">
        <f>AU34*AV34</f>
        <v>139.70000000000002</v>
      </c>
      <c r="BA34" s="409">
        <f>AW34*AX34</f>
        <v>345.09999999999997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626427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6969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181</v>
      </c>
      <c r="AU35" s="408">
        <f>AU34</f>
        <v>1.1000000000000001</v>
      </c>
      <c r="AV35" s="201">
        <f t="shared" si="35"/>
        <v>127</v>
      </c>
      <c r="AW35" s="5">
        <v>2.9</v>
      </c>
      <c r="AX35" s="201">
        <f t="shared" si="36"/>
        <v>119</v>
      </c>
      <c r="AY35" s="409">
        <f t="shared" si="37"/>
        <v>162.9</v>
      </c>
      <c r="AZ35" s="409">
        <f>AU35*AV35</f>
        <v>139.70000000000002</v>
      </c>
      <c r="BA35" s="409">
        <f>AW35*AX35</f>
        <v>345.09999999999997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626427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6969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181</v>
      </c>
      <c r="AU36" s="408">
        <f>AU35</f>
        <v>1.1000000000000001</v>
      </c>
      <c r="AV36" s="201">
        <f t="shared" si="35"/>
        <v>127</v>
      </c>
      <c r="AW36" s="5">
        <v>2.9</v>
      </c>
      <c r="AX36" s="201">
        <f t="shared" si="36"/>
        <v>119</v>
      </c>
      <c r="AY36" s="409">
        <f t="shared" ref="AY36" si="54">AS36*AT36</f>
        <v>162.9</v>
      </c>
      <c r="AZ36" s="409">
        <f>AU36*AV36</f>
        <v>139.70000000000002</v>
      </c>
      <c r="BA36" s="409">
        <f>AW36*AX36</f>
        <v>345.09999999999997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449</v>
      </c>
      <c r="I37" s="395">
        <f>SUM(I6:I36)</f>
        <v>449</v>
      </c>
      <c r="L37" s="258">
        <f>SUM(L7:L36)</f>
        <v>15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-15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449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449</v>
      </c>
      <c r="H39" s="1">
        <f>SUM(H38+C38)</f>
        <v>7500</v>
      </c>
      <c r="K39" s="1">
        <f>SUM(H39/G39)</f>
        <v>16.70378619153675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R18" sqref="R1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v>11265</v>
      </c>
      <c r="C18" s="276">
        <f t="shared" si="9"/>
        <v>20</v>
      </c>
      <c r="D18" s="503">
        <f t="shared" si="10"/>
        <v>579266</v>
      </c>
      <c r="E18" s="276">
        <f t="shared" si="11"/>
        <v>5000</v>
      </c>
      <c r="F18" s="276">
        <f t="shared" si="0"/>
        <v>250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20</v>
      </c>
      <c r="AA18" s="276">
        <f t="shared" si="21"/>
        <v>5000</v>
      </c>
      <c r="AB18" s="276">
        <f t="shared" si="22"/>
        <v>500</v>
      </c>
      <c r="AC18" s="276">
        <f t="shared" si="23"/>
        <v>250</v>
      </c>
      <c r="AD18" s="73">
        <f>ELEC!Q19</f>
        <v>9922.0000000022992</v>
      </c>
      <c r="AE18" s="73">
        <f t="shared" si="28"/>
        <v>496.10000000011496</v>
      </c>
      <c r="AF18" s="387">
        <f t="shared" si="29"/>
        <v>0.31006250000007185</v>
      </c>
      <c r="AG18" s="387">
        <f t="shared" si="29"/>
        <v>1.9378906250004492E-4</v>
      </c>
      <c r="AH18" s="388">
        <f t="shared" si="24"/>
        <v>249.99980621093749</v>
      </c>
      <c r="AI18" s="73">
        <f t="shared" si="31"/>
        <v>2553.7637130807607</v>
      </c>
      <c r="AJ18" s="278">
        <f t="shared" si="7"/>
        <v>0.25738396624472576</v>
      </c>
      <c r="AK18" s="278">
        <f t="shared" si="8"/>
        <v>127.68818565403804</v>
      </c>
      <c r="AL18">
        <f t="shared" si="25"/>
        <v>1</v>
      </c>
    </row>
    <row r="19" spans="1:38" ht="16.5" thickBot="1">
      <c r="A19" s="4">
        <f>ELEC!C20</f>
        <v>44547</v>
      </c>
      <c r="B19" s="502">
        <f t="shared" si="26"/>
        <v>11265</v>
      </c>
      <c r="C19" s="276">
        <f t="shared" si="9"/>
        <v>0</v>
      </c>
      <c r="D19" s="503">
        <f t="shared" si="10"/>
        <v>579266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11265</v>
      </c>
      <c r="C20" s="276">
        <f>B20-B19</f>
        <v>0</v>
      </c>
      <c r="D20" s="503">
        <f t="shared" si="10"/>
        <v>579266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11265</v>
      </c>
      <c r="C21" s="276">
        <f>B21-B20</f>
        <v>0</v>
      </c>
      <c r="D21" s="503">
        <f t="shared" si="10"/>
        <v>579266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13377</v>
      </c>
      <c r="S21" s="276">
        <f t="shared" si="4"/>
        <v>0</v>
      </c>
      <c r="T21" s="503">
        <f t="shared" si="18"/>
        <v>283746</v>
      </c>
      <c r="U21" s="276">
        <f t="shared" si="19"/>
        <v>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11265</v>
      </c>
      <c r="C22" s="276">
        <f t="shared" si="9"/>
        <v>0</v>
      </c>
      <c r="D22" s="503">
        <f t="shared" si="10"/>
        <v>579266</v>
      </c>
      <c r="E22" s="276">
        <f>150*C22</f>
        <v>0</v>
      </c>
      <c r="F22" s="276">
        <f t="shared" si="0"/>
        <v>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13377</v>
      </c>
      <c r="S22" s="276">
        <f t="shared" si="4"/>
        <v>0</v>
      </c>
      <c r="T22" s="503">
        <f t="shared" si="18"/>
        <v>283746</v>
      </c>
      <c r="U22" s="276">
        <f t="shared" si="19"/>
        <v>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11265</v>
      </c>
      <c r="C23" s="276">
        <f t="shared" si="9"/>
        <v>0</v>
      </c>
      <c r="D23" s="503">
        <f t="shared" si="10"/>
        <v>579266</v>
      </c>
      <c r="E23" s="276">
        <f>150*C23</f>
        <v>0</v>
      </c>
      <c r="F23" s="276">
        <f t="shared" si="0"/>
        <v>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13377</v>
      </c>
      <c r="S23" s="276">
        <f>R23-R22</f>
        <v>0</v>
      </c>
      <c r="T23" s="503">
        <f t="shared" si="18"/>
        <v>283746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11265</v>
      </c>
      <c r="C24" s="276">
        <f t="shared" si="9"/>
        <v>0</v>
      </c>
      <c r="D24" s="503">
        <f t="shared" si="10"/>
        <v>579266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13377</v>
      </c>
      <c r="S24" s="276">
        <f t="shared" si="4"/>
        <v>0</v>
      </c>
      <c r="T24" s="503">
        <f t="shared" si="18"/>
        <v>283746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11265</v>
      </c>
      <c r="C25" s="276">
        <f t="shared" si="9"/>
        <v>0</v>
      </c>
      <c r="D25" s="503">
        <f t="shared" si="10"/>
        <v>579266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13377</v>
      </c>
      <c r="S25" s="276">
        <f t="shared" si="4"/>
        <v>0</v>
      </c>
      <c r="T25" s="503">
        <f t="shared" si="18"/>
        <v>283746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11265</v>
      </c>
      <c r="C26" s="276">
        <f>B26-B25</f>
        <v>0</v>
      </c>
      <c r="D26" s="503">
        <f t="shared" si="10"/>
        <v>579266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13377</v>
      </c>
      <c r="S26" s="276">
        <f t="shared" ref="S26" si="35">R26-R25</f>
        <v>0</v>
      </c>
      <c r="T26" s="503">
        <f t="shared" si="18"/>
        <v>283746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11265</v>
      </c>
      <c r="C27" s="276">
        <f>B27-B26</f>
        <v>0</v>
      </c>
      <c r="D27" s="503">
        <f t="shared" si="10"/>
        <v>579266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13377</v>
      </c>
      <c r="S27" s="276">
        <f t="shared" si="4"/>
        <v>0</v>
      </c>
      <c r="T27" s="503">
        <f t="shared" si="18"/>
        <v>283746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11265</v>
      </c>
      <c r="C28" s="276">
        <f t="shared" si="9"/>
        <v>0</v>
      </c>
      <c r="D28" s="503">
        <f t="shared" si="10"/>
        <v>579266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13377</v>
      </c>
      <c r="S28" s="276">
        <f t="shared" si="4"/>
        <v>0</v>
      </c>
      <c r="T28" s="503">
        <f t="shared" si="18"/>
        <v>283746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11265</v>
      </c>
      <c r="C29" s="276">
        <f t="shared" si="9"/>
        <v>0</v>
      </c>
      <c r="D29" s="503">
        <f t="shared" si="10"/>
        <v>579266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13377</v>
      </c>
      <c r="S29" s="276">
        <f t="shared" si="4"/>
        <v>0</v>
      </c>
      <c r="T29" s="503">
        <f>T28+U29</f>
        <v>283746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11265</v>
      </c>
      <c r="C30" s="276">
        <f t="shared" si="9"/>
        <v>0</v>
      </c>
      <c r="D30" s="503">
        <f t="shared" si="10"/>
        <v>579266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13377</v>
      </c>
      <c r="S30" s="276">
        <f t="shared" si="4"/>
        <v>0</v>
      </c>
      <c r="T30" s="503">
        <f t="shared" si="18"/>
        <v>283746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11265</v>
      </c>
      <c r="C31" s="276">
        <f>B31-B30</f>
        <v>0</v>
      </c>
      <c r="D31" s="503">
        <f t="shared" si="10"/>
        <v>579266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13377</v>
      </c>
      <c r="S31" s="276">
        <f>R31-R30</f>
        <v>0</v>
      </c>
      <c r="T31" s="503">
        <f t="shared" si="18"/>
        <v>283746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11265</v>
      </c>
      <c r="C32" s="276">
        <f>B32-B31</f>
        <v>0</v>
      </c>
      <c r="D32" s="503">
        <f t="shared" si="10"/>
        <v>579266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13377</v>
      </c>
      <c r="S32" s="276">
        <f>R32-R31</f>
        <v>0</v>
      </c>
      <c r="T32" s="503">
        <f t="shared" si="18"/>
        <v>283746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11265</v>
      </c>
      <c r="C33" s="276">
        <f>B33-B32</f>
        <v>0</v>
      </c>
      <c r="D33" s="503">
        <f t="shared" si="10"/>
        <v>579266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13377</v>
      </c>
      <c r="S33" s="276">
        <f>R33-R32</f>
        <v>0</v>
      </c>
      <c r="T33" s="503">
        <f t="shared" si="18"/>
        <v>283746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132</v>
      </c>
      <c r="V34" s="40"/>
      <c r="X34">
        <v>341</v>
      </c>
      <c r="Z34" s="404">
        <f>SUM(Z3:Z33)</f>
        <v>132</v>
      </c>
      <c r="AF34" s="387">
        <f t="shared" si="38"/>
        <v>0</v>
      </c>
      <c r="AL34">
        <f>SUM(AL3:AL33)</f>
        <v>12</v>
      </c>
    </row>
    <row r="35" spans="1:38">
      <c r="C35" s="40">
        <f>SUM(C3:C33)</f>
        <v>67</v>
      </c>
      <c r="K35" s="40">
        <f>SUM(K3:K33)</f>
        <v>0</v>
      </c>
      <c r="S35" s="40">
        <f>SUM(S3:S33)</f>
        <v>65</v>
      </c>
      <c r="U35" s="40"/>
      <c r="V35" s="40"/>
      <c r="X35" s="40"/>
    </row>
  </sheetData>
  <conditionalFormatting sqref="K3:K33 Z3:Z33 C3:C33 S3:S33">
    <cfRule type="cellIs" dxfId="6" priority="11" stopIfTrue="1" operator="equal">
      <formula>0</formula>
    </cfRule>
  </conditionalFormatting>
  <conditionalFormatting sqref="AA3:AB33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10" zoomScale="85" zoomScaleNormal="85" workbookViewId="0">
      <pane xSplit="1" topLeftCell="AQ1" activePane="topRight" state="frozen"/>
      <selection pane="topRight" activeCell="AW21" sqref="AW21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7" t="s">
        <v>108</v>
      </c>
      <c r="AS3" s="647" t="s">
        <v>231</v>
      </c>
      <c r="AT3" s="645" t="s">
        <v>299</v>
      </c>
      <c r="AU3" s="646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8"/>
      <c r="AS4" s="648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2553.7637130807607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211</v>
      </c>
      <c r="C21" s="203">
        <f t="shared" si="18"/>
        <v>4539.9032258064517</v>
      </c>
      <c r="D21">
        <f t="shared" si="19"/>
        <v>211</v>
      </c>
      <c r="E21" s="203">
        <f t="shared" si="18"/>
        <v>4539.9032258064517</v>
      </c>
      <c r="F21">
        <f t="shared" si="20"/>
        <v>211</v>
      </c>
      <c r="G21" s="203">
        <f t="shared" si="1"/>
        <v>4539.9032258064517</v>
      </c>
      <c r="H21" s="203">
        <f t="shared" si="21"/>
        <v>211</v>
      </c>
      <c r="I21" s="203">
        <f t="shared" si="2"/>
        <v>4539.9032258064517</v>
      </c>
      <c r="J21" s="203">
        <f t="shared" si="22"/>
        <v>211</v>
      </c>
      <c r="K21" s="203">
        <f t="shared" si="3"/>
        <v>4539.9032258064517</v>
      </c>
      <c r="L21" s="203">
        <f t="shared" si="23"/>
        <v>211</v>
      </c>
      <c r="M21" s="203">
        <f t="shared" si="4"/>
        <v>4539.9032258064517</v>
      </c>
      <c r="N21" s="203">
        <f t="shared" si="24"/>
        <v>211</v>
      </c>
      <c r="O21" s="203">
        <f t="shared" si="5"/>
        <v>4539.9032258064517</v>
      </c>
      <c r="P21" s="203">
        <f t="shared" si="25"/>
        <v>211</v>
      </c>
      <c r="Q21" s="203">
        <f t="shared" si="6"/>
        <v>4539.9032258064517</v>
      </c>
      <c r="R21" s="203">
        <f t="shared" si="26"/>
        <v>211</v>
      </c>
      <c r="S21" s="203">
        <f t="shared" si="7"/>
        <v>4539.9032258064517</v>
      </c>
      <c r="T21" s="203">
        <f t="shared" si="27"/>
        <v>211</v>
      </c>
      <c r="U21" s="203">
        <f t="shared" si="8"/>
        <v>4539.9032258064517</v>
      </c>
      <c r="V21" s="203">
        <f t="shared" si="28"/>
        <v>211</v>
      </c>
      <c r="W21" s="203">
        <f t="shared" si="9"/>
        <v>4539.9032258064517</v>
      </c>
      <c r="X21" s="35">
        <f t="shared" si="10"/>
        <v>0.68064516129032271</v>
      </c>
      <c r="Y21" s="36">
        <f t="shared" si="29"/>
        <v>49938.935483870977</v>
      </c>
      <c r="Z21" s="203">
        <f>'B5'!C20</f>
        <v>218</v>
      </c>
      <c r="AA21" s="203">
        <f t="shared" si="30"/>
        <v>2180</v>
      </c>
      <c r="AB21" s="203">
        <f t="shared" si="31"/>
        <v>218</v>
      </c>
      <c r="AC21" s="203">
        <f t="shared" si="30"/>
        <v>2180</v>
      </c>
      <c r="AD21" s="203">
        <f t="shared" si="32"/>
        <v>218</v>
      </c>
      <c r="AE21" s="203">
        <f t="shared" si="11"/>
        <v>2180</v>
      </c>
      <c r="AF21" s="203">
        <f t="shared" si="33"/>
        <v>218</v>
      </c>
      <c r="AG21" s="203">
        <f t="shared" si="12"/>
        <v>2180</v>
      </c>
      <c r="AH21" s="203">
        <f t="shared" si="34"/>
        <v>218</v>
      </c>
      <c r="AI21" s="203">
        <f t="shared" si="13"/>
        <v>2180</v>
      </c>
      <c r="AJ21" s="203">
        <f t="shared" si="35"/>
        <v>218</v>
      </c>
      <c r="AK21" s="203">
        <f t="shared" si="14"/>
        <v>2180</v>
      </c>
      <c r="AL21" s="203">
        <f t="shared" si="36"/>
        <v>218</v>
      </c>
      <c r="AM21" s="203">
        <f t="shared" si="15"/>
        <v>2180</v>
      </c>
      <c r="AN21" s="35">
        <f t="shared" si="16"/>
        <v>0.77857142857142858</v>
      </c>
      <c r="AO21" s="36">
        <f t="shared" si="41"/>
        <v>15260</v>
      </c>
      <c r="AQ21" s="223">
        <f t="shared" si="37"/>
        <v>0.70129004500237691</v>
      </c>
      <c r="AR21" s="38">
        <f t="shared" si="38"/>
        <v>65198.935483870977</v>
      </c>
      <c r="AS21" s="197">
        <f t="shared" si="47"/>
        <v>-2523.4193548386902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-2523.4193548386902</v>
      </c>
      <c r="AY21" s="37">
        <f t="shared" si="39"/>
        <v>-2523.4193548386902</v>
      </c>
      <c r="AZ21" s="100">
        <f>ELEC!A19</f>
        <v>0</v>
      </c>
      <c r="BA21" s="118">
        <f>'General information '!D20</f>
        <v>15.5</v>
      </c>
      <c r="BB21" s="378">
        <f>SUM('General information '!E20)</f>
        <v>0.72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-315.42741935483627</v>
      </c>
      <c r="BK21" s="538">
        <f>GEN!AF18</f>
        <v>0.31006250000007185</v>
      </c>
    </row>
    <row r="22" spans="1:64">
      <c r="A22" s="425">
        <f>ELEC!C20</f>
        <v>44547</v>
      </c>
      <c r="B22">
        <f>'B5'!B21</f>
        <v>211</v>
      </c>
      <c r="C22" s="203">
        <f t="shared" si="18"/>
        <v>4539.9032258064517</v>
      </c>
      <c r="D22">
        <f t="shared" si="19"/>
        <v>211</v>
      </c>
      <c r="E22" s="203">
        <f t="shared" si="18"/>
        <v>4539.9032258064517</v>
      </c>
      <c r="F22">
        <f t="shared" si="20"/>
        <v>211</v>
      </c>
      <c r="G22" s="203">
        <f t="shared" si="1"/>
        <v>4539.9032258064517</v>
      </c>
      <c r="H22" s="203">
        <f t="shared" si="21"/>
        <v>211</v>
      </c>
      <c r="I22" s="203">
        <f t="shared" si="2"/>
        <v>4539.9032258064517</v>
      </c>
      <c r="J22" s="203">
        <f t="shared" si="22"/>
        <v>211</v>
      </c>
      <c r="K22" s="203">
        <f t="shared" si="3"/>
        <v>4539.9032258064517</v>
      </c>
      <c r="L22" s="203">
        <f t="shared" si="23"/>
        <v>211</v>
      </c>
      <c r="M22" s="203">
        <f t="shared" si="4"/>
        <v>4539.9032258064517</v>
      </c>
      <c r="N22" s="203">
        <f t="shared" si="24"/>
        <v>211</v>
      </c>
      <c r="O22" s="203">
        <f t="shared" si="5"/>
        <v>4539.9032258064517</v>
      </c>
      <c r="P22" s="203">
        <f t="shared" si="25"/>
        <v>211</v>
      </c>
      <c r="Q22" s="203">
        <f t="shared" si="6"/>
        <v>4539.9032258064517</v>
      </c>
      <c r="R22" s="203">
        <f t="shared" si="26"/>
        <v>211</v>
      </c>
      <c r="S22" s="203">
        <f t="shared" si="7"/>
        <v>4539.9032258064517</v>
      </c>
      <c r="T22" s="203">
        <f t="shared" si="27"/>
        <v>211</v>
      </c>
      <c r="U22" s="203">
        <f t="shared" si="8"/>
        <v>4539.9032258064517</v>
      </c>
      <c r="V22" s="203">
        <f t="shared" si="28"/>
        <v>211</v>
      </c>
      <c r="W22" s="203">
        <f t="shared" si="9"/>
        <v>4539.9032258064517</v>
      </c>
      <c r="X22" s="35">
        <f t="shared" si="10"/>
        <v>0.68064516129032271</v>
      </c>
      <c r="Y22" s="36">
        <f t="shared" si="29"/>
        <v>49938.935483870977</v>
      </c>
      <c r="Z22" s="203">
        <f>'B5'!C21</f>
        <v>218</v>
      </c>
      <c r="AA22" s="203">
        <f t="shared" si="30"/>
        <v>2180</v>
      </c>
      <c r="AB22" s="203">
        <f t="shared" si="31"/>
        <v>218</v>
      </c>
      <c r="AC22" s="203">
        <f t="shared" si="30"/>
        <v>2180</v>
      </c>
      <c r="AD22" s="203">
        <f t="shared" si="32"/>
        <v>218</v>
      </c>
      <c r="AE22" s="203">
        <f t="shared" si="11"/>
        <v>2180</v>
      </c>
      <c r="AF22" s="203">
        <f t="shared" si="33"/>
        <v>218</v>
      </c>
      <c r="AG22" s="203">
        <f t="shared" si="12"/>
        <v>2180</v>
      </c>
      <c r="AH22" s="203">
        <f t="shared" si="34"/>
        <v>218</v>
      </c>
      <c r="AI22" s="203">
        <f t="shared" si="13"/>
        <v>2180</v>
      </c>
      <c r="AJ22" s="203">
        <f t="shared" si="35"/>
        <v>218</v>
      </c>
      <c r="AK22" s="203">
        <f t="shared" si="14"/>
        <v>2180</v>
      </c>
      <c r="AL22" s="203">
        <f t="shared" si="36"/>
        <v>218</v>
      </c>
      <c r="AM22" s="203">
        <f t="shared" si="15"/>
        <v>2180</v>
      </c>
      <c r="AN22" s="35">
        <f t="shared" si="16"/>
        <v>0.77857142857142858</v>
      </c>
      <c r="AO22" s="36">
        <f t="shared" si="41"/>
        <v>15260</v>
      </c>
      <c r="AQ22" s="223">
        <f t="shared" si="37"/>
        <v>0.70129004500237691</v>
      </c>
      <c r="AR22" s="38">
        <f t="shared" si="38"/>
        <v>65198.935483870977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211</v>
      </c>
      <c r="C23" s="203">
        <f t="shared" si="18"/>
        <v>4539.9032258064517</v>
      </c>
      <c r="D23">
        <f t="shared" si="19"/>
        <v>211</v>
      </c>
      <c r="E23" s="203">
        <f t="shared" si="18"/>
        <v>4539.9032258064517</v>
      </c>
      <c r="F23">
        <f t="shared" si="20"/>
        <v>211</v>
      </c>
      <c r="G23" s="203">
        <f t="shared" si="1"/>
        <v>4539.9032258064517</v>
      </c>
      <c r="H23" s="203">
        <f t="shared" si="21"/>
        <v>211</v>
      </c>
      <c r="I23" s="203">
        <f t="shared" si="2"/>
        <v>4539.9032258064517</v>
      </c>
      <c r="J23" s="203">
        <f t="shared" si="22"/>
        <v>211</v>
      </c>
      <c r="K23" s="203">
        <f t="shared" si="3"/>
        <v>4539.9032258064517</v>
      </c>
      <c r="L23" s="203">
        <f t="shared" si="23"/>
        <v>211</v>
      </c>
      <c r="M23" s="203">
        <f t="shared" si="4"/>
        <v>4539.9032258064517</v>
      </c>
      <c r="N23" s="203">
        <f t="shared" si="24"/>
        <v>211</v>
      </c>
      <c r="O23" s="203">
        <f t="shared" si="5"/>
        <v>4539.9032258064517</v>
      </c>
      <c r="P23" s="203">
        <f t="shared" si="25"/>
        <v>211</v>
      </c>
      <c r="Q23" s="203">
        <f t="shared" si="6"/>
        <v>4539.9032258064517</v>
      </c>
      <c r="R23" s="203">
        <f t="shared" si="26"/>
        <v>211</v>
      </c>
      <c r="S23" s="203">
        <f t="shared" si="7"/>
        <v>4539.9032258064517</v>
      </c>
      <c r="T23" s="203">
        <f t="shared" si="27"/>
        <v>211</v>
      </c>
      <c r="U23" s="203">
        <f t="shared" si="8"/>
        <v>4539.9032258064517</v>
      </c>
      <c r="V23" s="203">
        <f t="shared" si="28"/>
        <v>211</v>
      </c>
      <c r="W23" s="203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3">
        <f>'B5'!C22</f>
        <v>218</v>
      </c>
      <c r="AA23" s="203">
        <f t="shared" si="30"/>
        <v>2180</v>
      </c>
      <c r="AB23" s="203">
        <f t="shared" si="31"/>
        <v>218</v>
      </c>
      <c r="AC23" s="203">
        <f t="shared" si="30"/>
        <v>2180</v>
      </c>
      <c r="AD23" s="203">
        <f t="shared" si="32"/>
        <v>218</v>
      </c>
      <c r="AE23" s="203">
        <f t="shared" si="11"/>
        <v>2180</v>
      </c>
      <c r="AF23" s="203">
        <f t="shared" si="33"/>
        <v>218</v>
      </c>
      <c r="AG23" s="203">
        <f t="shared" si="12"/>
        <v>2180</v>
      </c>
      <c r="AH23" s="203">
        <f t="shared" si="34"/>
        <v>218</v>
      </c>
      <c r="AI23" s="203">
        <f t="shared" si="13"/>
        <v>2180</v>
      </c>
      <c r="AJ23" s="203">
        <f t="shared" si="35"/>
        <v>218</v>
      </c>
      <c r="AK23" s="203">
        <f t="shared" si="14"/>
        <v>2180</v>
      </c>
      <c r="AL23" s="203">
        <f t="shared" si="36"/>
        <v>218</v>
      </c>
      <c r="AM23" s="203">
        <f t="shared" si="15"/>
        <v>2180</v>
      </c>
      <c r="AN23" s="35">
        <f t="shared" si="16"/>
        <v>0.77857142857142858</v>
      </c>
      <c r="AO23" s="36">
        <f t="shared" si="41"/>
        <v>15260</v>
      </c>
      <c r="AQ23" s="223">
        <f t="shared" si="37"/>
        <v>0.70129004500237691</v>
      </c>
      <c r="AR23" s="38">
        <f t="shared" si="38"/>
        <v>65198.935483870977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211</v>
      </c>
      <c r="C24" s="203">
        <f t="shared" si="18"/>
        <v>4539.9032258064517</v>
      </c>
      <c r="D24">
        <f t="shared" si="19"/>
        <v>211</v>
      </c>
      <c r="E24" s="203">
        <f t="shared" si="18"/>
        <v>4539.9032258064517</v>
      </c>
      <c r="F24">
        <f t="shared" si="20"/>
        <v>211</v>
      </c>
      <c r="G24" s="203">
        <f t="shared" si="1"/>
        <v>4539.9032258064517</v>
      </c>
      <c r="H24" s="203">
        <f t="shared" si="21"/>
        <v>211</v>
      </c>
      <c r="I24" s="203">
        <f t="shared" si="2"/>
        <v>4539.9032258064517</v>
      </c>
      <c r="J24" s="203">
        <f t="shared" si="22"/>
        <v>211</v>
      </c>
      <c r="K24" s="203">
        <f t="shared" si="3"/>
        <v>4539.9032258064517</v>
      </c>
      <c r="L24" s="203">
        <f t="shared" si="23"/>
        <v>211</v>
      </c>
      <c r="M24" s="203">
        <f t="shared" si="4"/>
        <v>4539.9032258064517</v>
      </c>
      <c r="N24" s="203">
        <f t="shared" si="24"/>
        <v>211</v>
      </c>
      <c r="O24" s="203">
        <f t="shared" si="5"/>
        <v>4539.9032258064517</v>
      </c>
      <c r="P24" s="203">
        <f t="shared" si="25"/>
        <v>211</v>
      </c>
      <c r="Q24" s="203">
        <f t="shared" si="6"/>
        <v>4539.9032258064517</v>
      </c>
      <c r="R24" s="203">
        <f t="shared" si="26"/>
        <v>211</v>
      </c>
      <c r="S24" s="203">
        <f t="shared" si="7"/>
        <v>4539.9032258064517</v>
      </c>
      <c r="T24" s="203">
        <f t="shared" si="27"/>
        <v>211</v>
      </c>
      <c r="U24" s="203">
        <f t="shared" si="8"/>
        <v>4539.9032258064517</v>
      </c>
      <c r="V24" s="203">
        <f t="shared" si="28"/>
        <v>211</v>
      </c>
      <c r="W24" s="203">
        <f t="shared" si="9"/>
        <v>4539.9032258064517</v>
      </c>
      <c r="X24" s="35">
        <f t="shared" si="10"/>
        <v>0.68064516129032271</v>
      </c>
      <c r="Y24" s="36">
        <f t="shared" si="29"/>
        <v>49938.935483870977</v>
      </c>
      <c r="Z24" s="203">
        <f>'B5'!C23</f>
        <v>218</v>
      </c>
      <c r="AA24" s="203">
        <f t="shared" si="30"/>
        <v>2180</v>
      </c>
      <c r="AB24" s="203">
        <f t="shared" si="31"/>
        <v>218</v>
      </c>
      <c r="AC24" s="203">
        <f t="shared" si="30"/>
        <v>2180</v>
      </c>
      <c r="AD24" s="203">
        <f t="shared" si="32"/>
        <v>218</v>
      </c>
      <c r="AE24" s="203">
        <f t="shared" si="11"/>
        <v>2180</v>
      </c>
      <c r="AF24" s="203">
        <f t="shared" si="33"/>
        <v>218</v>
      </c>
      <c r="AG24" s="203">
        <f t="shared" si="12"/>
        <v>2180</v>
      </c>
      <c r="AH24" s="203">
        <f t="shared" si="34"/>
        <v>218</v>
      </c>
      <c r="AI24" s="203">
        <f t="shared" si="13"/>
        <v>2180</v>
      </c>
      <c r="AJ24" s="203">
        <f t="shared" si="35"/>
        <v>218</v>
      </c>
      <c r="AK24" s="203">
        <f t="shared" si="14"/>
        <v>2180</v>
      </c>
      <c r="AL24" s="203">
        <f t="shared" si="36"/>
        <v>218</v>
      </c>
      <c r="AM24" s="203">
        <f t="shared" si="15"/>
        <v>2180</v>
      </c>
      <c r="AN24" s="35">
        <f t="shared" si="16"/>
        <v>0.77857142857142858</v>
      </c>
      <c r="AO24" s="36">
        <f t="shared" si="41"/>
        <v>15260</v>
      </c>
      <c r="AQ24" s="223">
        <f t="shared" si="37"/>
        <v>0.70129004500237691</v>
      </c>
      <c r="AR24" s="38">
        <f t="shared" si="38"/>
        <v>65198.935483870977</v>
      </c>
      <c r="AS24" s="197">
        <f t="shared" si="47"/>
        <v>0</v>
      </c>
      <c r="AT24" s="340"/>
      <c r="AU24" s="549"/>
      <c r="AV24" s="485">
        <f t="shared" si="43"/>
        <v>0.60699999999999998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211</v>
      </c>
      <c r="C25" s="203">
        <f t="shared" si="18"/>
        <v>4539.9032258064517</v>
      </c>
      <c r="D25">
        <f t="shared" si="19"/>
        <v>211</v>
      </c>
      <c r="E25" s="203">
        <f t="shared" si="18"/>
        <v>4539.9032258064517</v>
      </c>
      <c r="F25">
        <f t="shared" si="20"/>
        <v>211</v>
      </c>
      <c r="G25" s="203">
        <f t="shared" si="1"/>
        <v>4539.9032258064517</v>
      </c>
      <c r="H25" s="203">
        <f t="shared" si="21"/>
        <v>211</v>
      </c>
      <c r="I25" s="203">
        <f t="shared" si="2"/>
        <v>4539.9032258064517</v>
      </c>
      <c r="J25" s="203">
        <f t="shared" si="22"/>
        <v>211</v>
      </c>
      <c r="K25" s="203">
        <f t="shared" si="3"/>
        <v>4539.9032258064517</v>
      </c>
      <c r="L25" s="203">
        <f t="shared" si="23"/>
        <v>211</v>
      </c>
      <c r="M25" s="203">
        <f t="shared" si="4"/>
        <v>4539.9032258064517</v>
      </c>
      <c r="N25" s="203">
        <f t="shared" si="24"/>
        <v>211</v>
      </c>
      <c r="O25" s="203">
        <f t="shared" si="5"/>
        <v>4539.9032258064517</v>
      </c>
      <c r="P25" s="203">
        <f t="shared" si="25"/>
        <v>211</v>
      </c>
      <c r="Q25" s="203">
        <f t="shared" si="6"/>
        <v>4539.9032258064517</v>
      </c>
      <c r="R25" s="203">
        <f t="shared" si="26"/>
        <v>211</v>
      </c>
      <c r="S25" s="203">
        <f t="shared" si="7"/>
        <v>4539.9032258064517</v>
      </c>
      <c r="T25" s="203">
        <f t="shared" si="27"/>
        <v>211</v>
      </c>
      <c r="U25" s="203">
        <f t="shared" si="8"/>
        <v>4539.9032258064517</v>
      </c>
      <c r="V25" s="203">
        <f t="shared" si="28"/>
        <v>211</v>
      </c>
      <c r="W25" s="203">
        <f t="shared" si="9"/>
        <v>4539.9032258064517</v>
      </c>
      <c r="X25" s="35">
        <f t="shared" si="10"/>
        <v>0.68064516129032271</v>
      </c>
      <c r="Y25" s="36">
        <f t="shared" si="29"/>
        <v>49938.935483870977</v>
      </c>
      <c r="Z25" s="203">
        <f>'B5'!C24</f>
        <v>218</v>
      </c>
      <c r="AA25" s="203">
        <f t="shared" si="30"/>
        <v>2180</v>
      </c>
      <c r="AB25" s="203">
        <f t="shared" si="31"/>
        <v>218</v>
      </c>
      <c r="AC25" s="203">
        <f t="shared" si="30"/>
        <v>2180</v>
      </c>
      <c r="AD25" s="203">
        <f t="shared" si="32"/>
        <v>218</v>
      </c>
      <c r="AE25" s="203">
        <f t="shared" si="11"/>
        <v>2180</v>
      </c>
      <c r="AF25" s="203">
        <f t="shared" si="33"/>
        <v>218</v>
      </c>
      <c r="AG25" s="203">
        <f t="shared" si="12"/>
        <v>2180</v>
      </c>
      <c r="AH25" s="203">
        <f t="shared" si="34"/>
        <v>218</v>
      </c>
      <c r="AI25" s="203">
        <f t="shared" si="13"/>
        <v>2180</v>
      </c>
      <c r="AJ25" s="203">
        <f t="shared" si="35"/>
        <v>218</v>
      </c>
      <c r="AK25" s="203">
        <f t="shared" si="14"/>
        <v>2180</v>
      </c>
      <c r="AL25" s="203">
        <f t="shared" si="36"/>
        <v>218</v>
      </c>
      <c r="AM25" s="203">
        <f t="shared" si="15"/>
        <v>2180</v>
      </c>
      <c r="AN25" s="35">
        <f t="shared" si="16"/>
        <v>0.77857142857142858</v>
      </c>
      <c r="AO25" s="36">
        <f t="shared" si="41"/>
        <v>15260</v>
      </c>
      <c r="AQ25" s="223">
        <f t="shared" si="37"/>
        <v>0.70129004500237691</v>
      </c>
      <c r="AR25" s="38">
        <f t="shared" si="38"/>
        <v>65198.935483870977</v>
      </c>
      <c r="AS25" s="197">
        <f t="shared" si="47"/>
        <v>0</v>
      </c>
      <c r="AT25" s="340"/>
      <c r="AU25" s="550"/>
      <c r="AV25" s="485">
        <f t="shared" si="43"/>
        <v>0.60699999999999998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211</v>
      </c>
      <c r="C26" s="203">
        <f t="shared" si="18"/>
        <v>4539.9032258064517</v>
      </c>
      <c r="D26">
        <f t="shared" si="19"/>
        <v>211</v>
      </c>
      <c r="E26" s="203">
        <f t="shared" si="18"/>
        <v>4539.9032258064517</v>
      </c>
      <c r="F26">
        <f t="shared" si="20"/>
        <v>211</v>
      </c>
      <c r="G26" s="203">
        <f t="shared" si="1"/>
        <v>4539.9032258064517</v>
      </c>
      <c r="H26" s="203">
        <f t="shared" si="21"/>
        <v>211</v>
      </c>
      <c r="I26" s="203">
        <f t="shared" si="2"/>
        <v>4539.9032258064517</v>
      </c>
      <c r="J26" s="203">
        <f t="shared" si="22"/>
        <v>211</v>
      </c>
      <c r="K26" s="203">
        <f t="shared" si="3"/>
        <v>4539.9032258064517</v>
      </c>
      <c r="L26" s="203">
        <f t="shared" si="23"/>
        <v>211</v>
      </c>
      <c r="M26" s="203">
        <f t="shared" si="4"/>
        <v>4539.9032258064517</v>
      </c>
      <c r="N26" s="203">
        <f t="shared" si="24"/>
        <v>211</v>
      </c>
      <c r="O26" s="203">
        <f t="shared" si="5"/>
        <v>4539.9032258064517</v>
      </c>
      <c r="P26" s="203">
        <f t="shared" si="25"/>
        <v>211</v>
      </c>
      <c r="Q26" s="203">
        <f t="shared" si="6"/>
        <v>4539.9032258064517</v>
      </c>
      <c r="R26" s="203">
        <f t="shared" si="26"/>
        <v>211</v>
      </c>
      <c r="S26" s="203">
        <f t="shared" si="7"/>
        <v>4539.9032258064517</v>
      </c>
      <c r="T26" s="203">
        <f t="shared" si="27"/>
        <v>211</v>
      </c>
      <c r="U26" s="203">
        <f t="shared" si="8"/>
        <v>4539.9032258064517</v>
      </c>
      <c r="V26" s="203">
        <f t="shared" si="28"/>
        <v>211</v>
      </c>
      <c r="W26" s="203">
        <f t="shared" si="9"/>
        <v>4539.9032258064517</v>
      </c>
      <c r="X26" s="35">
        <f t="shared" si="10"/>
        <v>0.68064516129032271</v>
      </c>
      <c r="Y26" s="36">
        <f t="shared" si="29"/>
        <v>49938.935483870977</v>
      </c>
      <c r="Z26" s="203">
        <f>'B5'!C25</f>
        <v>218</v>
      </c>
      <c r="AA26" s="203">
        <f t="shared" si="30"/>
        <v>2180</v>
      </c>
      <c r="AB26" s="203">
        <f t="shared" si="31"/>
        <v>218</v>
      </c>
      <c r="AC26" s="203">
        <f t="shared" si="30"/>
        <v>2180</v>
      </c>
      <c r="AD26" s="203">
        <f t="shared" si="32"/>
        <v>218</v>
      </c>
      <c r="AE26" s="203">
        <f t="shared" si="11"/>
        <v>2180</v>
      </c>
      <c r="AF26" s="203">
        <f t="shared" si="33"/>
        <v>218</v>
      </c>
      <c r="AG26" s="203">
        <f t="shared" si="12"/>
        <v>2180</v>
      </c>
      <c r="AH26" s="203">
        <f t="shared" si="34"/>
        <v>218</v>
      </c>
      <c r="AI26" s="203">
        <f t="shared" si="13"/>
        <v>2180</v>
      </c>
      <c r="AJ26" s="203">
        <f t="shared" si="35"/>
        <v>218</v>
      </c>
      <c r="AK26" s="203">
        <f t="shared" si="14"/>
        <v>2180</v>
      </c>
      <c r="AL26" s="203">
        <f t="shared" si="36"/>
        <v>218</v>
      </c>
      <c r="AM26" s="203">
        <f t="shared" si="15"/>
        <v>2180</v>
      </c>
      <c r="AN26" s="35">
        <f t="shared" si="16"/>
        <v>0.77857142857142858</v>
      </c>
      <c r="AO26" s="36">
        <f t="shared" si="41"/>
        <v>15260</v>
      </c>
      <c r="AQ26" s="223">
        <f t="shared" si="37"/>
        <v>0.70129004500237691</v>
      </c>
      <c r="AR26" s="38">
        <f t="shared" si="38"/>
        <v>65198.935483870977</v>
      </c>
      <c r="AS26" s="197">
        <f t="shared" si="47"/>
        <v>0</v>
      </c>
      <c r="AT26" s="340"/>
      <c r="AU26" s="549"/>
      <c r="AV26" s="485">
        <f t="shared" si="43"/>
        <v>0.60699999999999998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211</v>
      </c>
      <c r="C27" s="203">
        <f t="shared" si="18"/>
        <v>4539.9032258064517</v>
      </c>
      <c r="D27">
        <f t="shared" si="19"/>
        <v>211</v>
      </c>
      <c r="E27" s="203">
        <f t="shared" si="18"/>
        <v>4539.9032258064517</v>
      </c>
      <c r="F27">
        <f t="shared" si="20"/>
        <v>211</v>
      </c>
      <c r="G27" s="203">
        <f t="shared" si="1"/>
        <v>4539.9032258064517</v>
      </c>
      <c r="H27" s="203">
        <f t="shared" si="21"/>
        <v>211</v>
      </c>
      <c r="I27" s="203">
        <f t="shared" si="2"/>
        <v>4539.9032258064517</v>
      </c>
      <c r="J27" s="203">
        <f t="shared" si="22"/>
        <v>211</v>
      </c>
      <c r="K27" s="203">
        <f t="shared" si="3"/>
        <v>4539.9032258064517</v>
      </c>
      <c r="L27" s="203">
        <f t="shared" si="23"/>
        <v>211</v>
      </c>
      <c r="M27" s="203">
        <f t="shared" si="4"/>
        <v>4539.9032258064517</v>
      </c>
      <c r="N27" s="203">
        <f t="shared" si="24"/>
        <v>211</v>
      </c>
      <c r="O27" s="203">
        <f t="shared" si="5"/>
        <v>4539.9032258064517</v>
      </c>
      <c r="P27" s="203">
        <f t="shared" si="25"/>
        <v>211</v>
      </c>
      <c r="Q27" s="203">
        <f t="shared" si="6"/>
        <v>4539.9032258064517</v>
      </c>
      <c r="R27" s="203">
        <f t="shared" si="26"/>
        <v>211</v>
      </c>
      <c r="S27" s="203">
        <f t="shared" si="7"/>
        <v>4539.9032258064517</v>
      </c>
      <c r="T27" s="203">
        <f t="shared" si="27"/>
        <v>211</v>
      </c>
      <c r="U27" s="203">
        <f t="shared" si="8"/>
        <v>4539.9032258064517</v>
      </c>
      <c r="V27" s="203">
        <f t="shared" si="28"/>
        <v>211</v>
      </c>
      <c r="W27" s="203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3">
        <f>'B5'!C26</f>
        <v>218</v>
      </c>
      <c r="AA27" s="203">
        <f t="shared" si="30"/>
        <v>2180</v>
      </c>
      <c r="AB27" s="203">
        <f t="shared" si="31"/>
        <v>218</v>
      </c>
      <c r="AC27" s="203">
        <f t="shared" si="30"/>
        <v>2180</v>
      </c>
      <c r="AD27" s="203">
        <f t="shared" si="32"/>
        <v>218</v>
      </c>
      <c r="AE27" s="203">
        <f t="shared" si="11"/>
        <v>2180</v>
      </c>
      <c r="AF27" s="203">
        <f t="shared" si="33"/>
        <v>218</v>
      </c>
      <c r="AG27" s="203">
        <f t="shared" si="12"/>
        <v>2180</v>
      </c>
      <c r="AH27" s="203">
        <f t="shared" si="34"/>
        <v>218</v>
      </c>
      <c r="AI27" s="203">
        <f t="shared" si="13"/>
        <v>2180</v>
      </c>
      <c r="AJ27" s="203">
        <f t="shared" si="35"/>
        <v>218</v>
      </c>
      <c r="AK27" s="203">
        <f t="shared" si="14"/>
        <v>2180</v>
      </c>
      <c r="AL27" s="203">
        <f t="shared" si="36"/>
        <v>218</v>
      </c>
      <c r="AM27" s="203">
        <f t="shared" si="15"/>
        <v>2180</v>
      </c>
      <c r="AN27" s="35">
        <f t="shared" si="16"/>
        <v>0.77857142857142858</v>
      </c>
      <c r="AO27" s="36">
        <f t="shared" si="41"/>
        <v>15260</v>
      </c>
      <c r="AQ27" s="223">
        <f t="shared" si="37"/>
        <v>0.70129004500237691</v>
      </c>
      <c r="AR27" s="38">
        <f t="shared" si="38"/>
        <v>65198.935483870977</v>
      </c>
      <c r="AS27" s="197">
        <f t="shared" si="47"/>
        <v>0</v>
      </c>
      <c r="AT27" s="340"/>
      <c r="AU27" s="549"/>
      <c r="AV27" s="485">
        <f t="shared" si="43"/>
        <v>0.60699999999999998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211</v>
      </c>
      <c r="C28" s="203">
        <f t="shared" si="18"/>
        <v>4539.9032258064517</v>
      </c>
      <c r="D28">
        <f t="shared" si="19"/>
        <v>211</v>
      </c>
      <c r="E28" s="203">
        <f t="shared" si="18"/>
        <v>4539.9032258064517</v>
      </c>
      <c r="F28">
        <f t="shared" si="20"/>
        <v>211</v>
      </c>
      <c r="G28" s="203">
        <f t="shared" si="1"/>
        <v>4539.9032258064517</v>
      </c>
      <c r="H28" s="203">
        <f t="shared" si="21"/>
        <v>211</v>
      </c>
      <c r="I28" s="203">
        <f t="shared" si="2"/>
        <v>4539.9032258064517</v>
      </c>
      <c r="J28" s="203">
        <f t="shared" si="22"/>
        <v>211</v>
      </c>
      <c r="K28" s="203">
        <f t="shared" si="3"/>
        <v>4539.9032258064517</v>
      </c>
      <c r="L28" s="203">
        <f t="shared" si="23"/>
        <v>211</v>
      </c>
      <c r="M28" s="203">
        <f t="shared" si="4"/>
        <v>4539.9032258064517</v>
      </c>
      <c r="N28" s="203">
        <f t="shared" si="24"/>
        <v>211</v>
      </c>
      <c r="O28" s="203">
        <f t="shared" si="5"/>
        <v>4539.9032258064517</v>
      </c>
      <c r="P28" s="203">
        <f t="shared" si="25"/>
        <v>211</v>
      </c>
      <c r="Q28" s="203">
        <f t="shared" si="6"/>
        <v>4539.9032258064517</v>
      </c>
      <c r="R28" s="203">
        <f t="shared" si="26"/>
        <v>211</v>
      </c>
      <c r="S28" s="203">
        <f t="shared" si="7"/>
        <v>4539.9032258064517</v>
      </c>
      <c r="T28" s="203">
        <f t="shared" si="27"/>
        <v>211</v>
      </c>
      <c r="U28" s="203">
        <f t="shared" si="8"/>
        <v>4539.9032258064517</v>
      </c>
      <c r="V28" s="203">
        <f t="shared" si="28"/>
        <v>211</v>
      </c>
      <c r="W28" s="203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3">
        <f>'B5'!C27</f>
        <v>218</v>
      </c>
      <c r="AA28" s="203">
        <f t="shared" si="30"/>
        <v>2180</v>
      </c>
      <c r="AB28" s="203">
        <f t="shared" si="31"/>
        <v>218</v>
      </c>
      <c r="AC28" s="203">
        <f t="shared" si="30"/>
        <v>2180</v>
      </c>
      <c r="AD28" s="203">
        <f t="shared" si="32"/>
        <v>218</v>
      </c>
      <c r="AE28" s="203">
        <f t="shared" si="11"/>
        <v>2180</v>
      </c>
      <c r="AF28" s="203">
        <f t="shared" si="33"/>
        <v>218</v>
      </c>
      <c r="AG28" s="203">
        <f t="shared" si="12"/>
        <v>2180</v>
      </c>
      <c r="AH28" s="203">
        <f t="shared" si="34"/>
        <v>218</v>
      </c>
      <c r="AI28" s="203">
        <f t="shared" si="13"/>
        <v>2180</v>
      </c>
      <c r="AJ28" s="203">
        <f t="shared" si="35"/>
        <v>218</v>
      </c>
      <c r="AK28" s="203">
        <f t="shared" si="14"/>
        <v>2180</v>
      </c>
      <c r="AL28" s="203">
        <f t="shared" si="36"/>
        <v>218</v>
      </c>
      <c r="AM28" s="203">
        <f t="shared" si="15"/>
        <v>2180</v>
      </c>
      <c r="AN28" s="35">
        <f t="shared" si="16"/>
        <v>0.77857142857142858</v>
      </c>
      <c r="AO28" s="36">
        <f t="shared" si="41"/>
        <v>15260</v>
      </c>
      <c r="AQ28" s="223">
        <f t="shared" si="37"/>
        <v>0.70129004500237691</v>
      </c>
      <c r="AR28" s="38">
        <f t="shared" si="38"/>
        <v>65198.935483870977</v>
      </c>
      <c r="AS28" s="197">
        <f t="shared" si="47"/>
        <v>0</v>
      </c>
      <c r="AT28" s="340"/>
      <c r="AU28" s="550"/>
      <c r="AV28" s="485">
        <f t="shared" si="43"/>
        <v>0.60699999999999998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211</v>
      </c>
      <c r="C29" s="203">
        <f t="shared" si="18"/>
        <v>4539.9032258064517</v>
      </c>
      <c r="D29">
        <f t="shared" si="19"/>
        <v>211</v>
      </c>
      <c r="E29" s="203">
        <f t="shared" si="18"/>
        <v>4539.9032258064517</v>
      </c>
      <c r="F29">
        <f t="shared" si="20"/>
        <v>211</v>
      </c>
      <c r="G29" s="203">
        <f t="shared" si="1"/>
        <v>4539.9032258064517</v>
      </c>
      <c r="H29" s="203">
        <f t="shared" si="21"/>
        <v>211</v>
      </c>
      <c r="I29" s="203">
        <f t="shared" si="2"/>
        <v>4539.9032258064517</v>
      </c>
      <c r="J29" s="203">
        <f t="shared" si="22"/>
        <v>211</v>
      </c>
      <c r="K29" s="203">
        <f t="shared" si="3"/>
        <v>4539.9032258064517</v>
      </c>
      <c r="L29" s="203">
        <f t="shared" si="23"/>
        <v>211</v>
      </c>
      <c r="M29" s="203">
        <f t="shared" si="4"/>
        <v>4539.9032258064517</v>
      </c>
      <c r="N29" s="203">
        <f t="shared" si="24"/>
        <v>211</v>
      </c>
      <c r="O29" s="203">
        <f t="shared" si="5"/>
        <v>4539.9032258064517</v>
      </c>
      <c r="P29" s="203">
        <f t="shared" si="25"/>
        <v>211</v>
      </c>
      <c r="Q29" s="203">
        <f t="shared" si="6"/>
        <v>4539.9032258064517</v>
      </c>
      <c r="R29" s="203">
        <f t="shared" si="26"/>
        <v>211</v>
      </c>
      <c r="S29" s="203">
        <f t="shared" si="7"/>
        <v>4539.9032258064517</v>
      </c>
      <c r="T29" s="203">
        <f t="shared" si="27"/>
        <v>211</v>
      </c>
      <c r="U29" s="203">
        <f t="shared" si="8"/>
        <v>4539.9032258064517</v>
      </c>
      <c r="V29" s="203">
        <f t="shared" si="28"/>
        <v>211</v>
      </c>
      <c r="W29" s="203">
        <f t="shared" si="9"/>
        <v>4539.9032258064517</v>
      </c>
      <c r="X29" s="35">
        <f t="shared" si="10"/>
        <v>0.68064516129032271</v>
      </c>
      <c r="Y29" s="36">
        <f t="shared" si="29"/>
        <v>49938.935483870977</v>
      </c>
      <c r="Z29" s="203">
        <f>'B5'!C28</f>
        <v>218</v>
      </c>
      <c r="AA29" s="203">
        <f t="shared" si="30"/>
        <v>2180</v>
      </c>
      <c r="AB29" s="203">
        <f t="shared" si="31"/>
        <v>218</v>
      </c>
      <c r="AC29" s="203">
        <f t="shared" si="30"/>
        <v>2180</v>
      </c>
      <c r="AD29" s="203">
        <f t="shared" si="32"/>
        <v>218</v>
      </c>
      <c r="AE29" s="203">
        <f t="shared" si="11"/>
        <v>2180</v>
      </c>
      <c r="AF29" s="203">
        <f t="shared" si="33"/>
        <v>218</v>
      </c>
      <c r="AG29" s="203">
        <f t="shared" si="12"/>
        <v>2180</v>
      </c>
      <c r="AH29" s="203">
        <f t="shared" si="34"/>
        <v>218</v>
      </c>
      <c r="AI29" s="203">
        <f t="shared" si="13"/>
        <v>2180</v>
      </c>
      <c r="AJ29" s="203">
        <f t="shared" si="35"/>
        <v>218</v>
      </c>
      <c r="AK29" s="203">
        <f t="shared" si="14"/>
        <v>2180</v>
      </c>
      <c r="AL29" s="203">
        <f t="shared" si="36"/>
        <v>218</v>
      </c>
      <c r="AM29" s="203">
        <f t="shared" si="15"/>
        <v>2180</v>
      </c>
      <c r="AN29" s="35">
        <f t="shared" si="16"/>
        <v>0.77857142857142858</v>
      </c>
      <c r="AO29" s="36">
        <f t="shared" si="41"/>
        <v>15260</v>
      </c>
      <c r="AQ29" s="223">
        <f t="shared" si="37"/>
        <v>0.70129004500237691</v>
      </c>
      <c r="AR29" s="38">
        <f t="shared" si="38"/>
        <v>65198.935483870977</v>
      </c>
      <c r="AS29" s="197">
        <f>SUM(AR29-AR28-AT29)</f>
        <v>0</v>
      </c>
      <c r="AT29" s="340"/>
      <c r="AU29" s="550"/>
      <c r="AV29" s="485">
        <f t="shared" si="43"/>
        <v>0.60699999999999998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211</v>
      </c>
      <c r="C30" s="203">
        <f t="shared" si="18"/>
        <v>4539.9032258064517</v>
      </c>
      <c r="D30">
        <f t="shared" ref="D30:D35" si="48">SUM(B30)</f>
        <v>211</v>
      </c>
      <c r="E30" s="203">
        <f t="shared" si="18"/>
        <v>4539.9032258064517</v>
      </c>
      <c r="F30">
        <f t="shared" ref="F30:F35" si="49">SUM(D30)</f>
        <v>211</v>
      </c>
      <c r="G30" s="203">
        <f t="shared" si="1"/>
        <v>4539.9032258064517</v>
      </c>
      <c r="H30" s="203">
        <f t="shared" ref="H30:H35" si="50">SUM(F30)</f>
        <v>211</v>
      </c>
      <c r="I30" s="203">
        <f t="shared" si="2"/>
        <v>4539.9032258064517</v>
      </c>
      <c r="J30" s="203">
        <f t="shared" ref="J30:J35" si="51">SUM(H30)</f>
        <v>211</v>
      </c>
      <c r="K30" s="203">
        <f t="shared" si="3"/>
        <v>4539.9032258064517</v>
      </c>
      <c r="L30" s="203">
        <f t="shared" ref="L30:L35" si="52">SUM(J30)</f>
        <v>211</v>
      </c>
      <c r="M30" s="203">
        <f t="shared" si="4"/>
        <v>4539.9032258064517</v>
      </c>
      <c r="N30" s="203">
        <f t="shared" ref="N30:N35" si="53">SUM(L30)</f>
        <v>211</v>
      </c>
      <c r="O30" s="203">
        <f t="shared" si="5"/>
        <v>4539.9032258064517</v>
      </c>
      <c r="P30" s="203">
        <f t="shared" ref="P30:P35" si="54">SUM(N30)</f>
        <v>211</v>
      </c>
      <c r="Q30" s="203">
        <f t="shared" si="6"/>
        <v>4539.9032258064517</v>
      </c>
      <c r="R30" s="203">
        <f t="shared" ref="R30:R35" si="55">SUM(P30)</f>
        <v>211</v>
      </c>
      <c r="S30" s="203">
        <f t="shared" si="7"/>
        <v>4539.9032258064517</v>
      </c>
      <c r="T30" s="203">
        <f t="shared" ref="T30:T35" si="56">SUM(R30)</f>
        <v>211</v>
      </c>
      <c r="U30" s="203">
        <f t="shared" si="8"/>
        <v>4539.9032258064517</v>
      </c>
      <c r="V30" s="203">
        <f t="shared" ref="V30:V35" si="57">SUM(T30)</f>
        <v>211</v>
      </c>
      <c r="W30" s="203">
        <f t="shared" si="9"/>
        <v>4539.9032258064517</v>
      </c>
      <c r="X30" s="35">
        <f t="shared" ref="X30:X35" si="58">SUM(Y30/73370)</f>
        <v>0.68064516129032271</v>
      </c>
      <c r="Y30" s="36">
        <f t="shared" ref="Y30:Y35" si="59">SUM(C30+E30+G30+I30+K30+M30+O30+Q30+S30+U30+W30)</f>
        <v>49938.935483870977</v>
      </c>
      <c r="Z30" s="203">
        <f>'B5'!C29</f>
        <v>218</v>
      </c>
      <c r="AA30" s="203">
        <f t="shared" si="30"/>
        <v>2180</v>
      </c>
      <c r="AB30" s="203">
        <f t="shared" ref="AB30:AB35" si="60">SUM(Z30)</f>
        <v>218</v>
      </c>
      <c r="AC30" s="203">
        <f t="shared" si="30"/>
        <v>2180</v>
      </c>
      <c r="AD30" s="203">
        <f t="shared" ref="AD30:AD35" si="61">SUM(AB30)</f>
        <v>218</v>
      </c>
      <c r="AE30" s="203">
        <f t="shared" si="11"/>
        <v>2180</v>
      </c>
      <c r="AF30" s="203">
        <f t="shared" ref="AF30:AF35" si="62">SUM(AD30)</f>
        <v>218</v>
      </c>
      <c r="AG30" s="203">
        <f t="shared" si="12"/>
        <v>2180</v>
      </c>
      <c r="AH30" s="203">
        <f t="shared" ref="AH30:AH35" si="63">SUM(AF30)</f>
        <v>218</v>
      </c>
      <c r="AI30" s="203">
        <f t="shared" si="13"/>
        <v>2180</v>
      </c>
      <c r="AJ30" s="203">
        <f t="shared" ref="AJ30:AJ35" si="64">SUM(AH30)</f>
        <v>218</v>
      </c>
      <c r="AK30" s="203">
        <f t="shared" si="14"/>
        <v>2180</v>
      </c>
      <c r="AL30" s="203">
        <f t="shared" ref="AL30:AL35" si="65">SUM(AJ30)</f>
        <v>218</v>
      </c>
      <c r="AM30" s="203">
        <f t="shared" si="15"/>
        <v>2180</v>
      </c>
      <c r="AN30" s="35">
        <f t="shared" ref="AN30:AN35" si="66">SUM(AO30/19600)</f>
        <v>0.77857142857142858</v>
      </c>
      <c r="AO30" s="36">
        <f t="shared" ref="AO30:AO35" si="67">SUM(AA30+AC30+AE30+AG30+AI30+AK30+AM30)</f>
        <v>15260</v>
      </c>
      <c r="AQ30" s="223">
        <f t="shared" si="37"/>
        <v>0.70129004500237691</v>
      </c>
      <c r="AR30" s="38">
        <f t="shared" si="38"/>
        <v>65198.935483870977</v>
      </c>
      <c r="AS30" s="197">
        <f>SUM(AR30-AR29-AT30)</f>
        <v>0</v>
      </c>
      <c r="AT30" s="340"/>
      <c r="AU30" s="550"/>
      <c r="AV30" s="485">
        <f t="shared" si="43"/>
        <v>0.60699999999999998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211</v>
      </c>
      <c r="C31" s="203">
        <f t="shared" si="18"/>
        <v>4539.9032258064517</v>
      </c>
      <c r="D31">
        <f t="shared" si="48"/>
        <v>211</v>
      </c>
      <c r="E31" s="203">
        <f t="shared" si="18"/>
        <v>4539.9032258064517</v>
      </c>
      <c r="F31">
        <f t="shared" si="49"/>
        <v>211</v>
      </c>
      <c r="G31" s="203">
        <f t="shared" si="1"/>
        <v>4539.9032258064517</v>
      </c>
      <c r="H31" s="203">
        <f t="shared" si="50"/>
        <v>211</v>
      </c>
      <c r="I31" s="203">
        <f t="shared" si="2"/>
        <v>4539.9032258064517</v>
      </c>
      <c r="J31" s="203">
        <f t="shared" si="51"/>
        <v>211</v>
      </c>
      <c r="K31" s="203">
        <f t="shared" si="3"/>
        <v>4539.9032258064517</v>
      </c>
      <c r="L31" s="203">
        <f t="shared" si="52"/>
        <v>211</v>
      </c>
      <c r="M31" s="203">
        <f t="shared" si="4"/>
        <v>4539.9032258064517</v>
      </c>
      <c r="N31" s="203">
        <f t="shared" si="53"/>
        <v>211</v>
      </c>
      <c r="O31" s="203">
        <f t="shared" si="5"/>
        <v>4539.9032258064517</v>
      </c>
      <c r="P31" s="203">
        <f t="shared" si="54"/>
        <v>211</v>
      </c>
      <c r="Q31" s="203">
        <f t="shared" si="6"/>
        <v>4539.9032258064517</v>
      </c>
      <c r="R31" s="203">
        <f t="shared" si="55"/>
        <v>211</v>
      </c>
      <c r="S31" s="203">
        <f t="shared" si="7"/>
        <v>4539.9032258064517</v>
      </c>
      <c r="T31" s="203">
        <f t="shared" si="56"/>
        <v>211</v>
      </c>
      <c r="U31" s="203">
        <f t="shared" si="8"/>
        <v>4539.9032258064517</v>
      </c>
      <c r="V31" s="203">
        <f t="shared" si="57"/>
        <v>211</v>
      </c>
      <c r="W31" s="203">
        <f t="shared" si="9"/>
        <v>4539.9032258064517</v>
      </c>
      <c r="X31" s="35">
        <f t="shared" si="58"/>
        <v>0.68064516129032271</v>
      </c>
      <c r="Y31" s="36">
        <f t="shared" si="59"/>
        <v>49938.935483870977</v>
      </c>
      <c r="Z31" s="203">
        <f>'B5'!C30</f>
        <v>218</v>
      </c>
      <c r="AA31" s="203">
        <f t="shared" si="30"/>
        <v>2180</v>
      </c>
      <c r="AB31" s="203">
        <f t="shared" si="60"/>
        <v>218</v>
      </c>
      <c r="AC31" s="203">
        <f t="shared" si="30"/>
        <v>2180</v>
      </c>
      <c r="AD31" s="203">
        <f t="shared" si="61"/>
        <v>218</v>
      </c>
      <c r="AE31" s="203">
        <f t="shared" si="11"/>
        <v>2180</v>
      </c>
      <c r="AF31" s="203">
        <f t="shared" si="62"/>
        <v>218</v>
      </c>
      <c r="AG31" s="203">
        <f t="shared" si="12"/>
        <v>2180</v>
      </c>
      <c r="AH31" s="203">
        <f t="shared" si="63"/>
        <v>218</v>
      </c>
      <c r="AI31" s="203">
        <f t="shared" si="13"/>
        <v>2180</v>
      </c>
      <c r="AJ31" s="203">
        <f t="shared" si="64"/>
        <v>218</v>
      </c>
      <c r="AK31" s="203">
        <f t="shared" si="14"/>
        <v>2180</v>
      </c>
      <c r="AL31" s="203">
        <f t="shared" si="65"/>
        <v>218</v>
      </c>
      <c r="AM31" s="203">
        <f t="shared" si="15"/>
        <v>2180</v>
      </c>
      <c r="AN31" s="35">
        <f t="shared" si="66"/>
        <v>0.77857142857142858</v>
      </c>
      <c r="AO31" s="36">
        <f t="shared" si="67"/>
        <v>15260</v>
      </c>
      <c r="AQ31" s="223">
        <f t="shared" si="37"/>
        <v>0.70129004500237691</v>
      </c>
      <c r="AR31" s="38">
        <f t="shared" si="38"/>
        <v>65198.935483870977</v>
      </c>
      <c r="AS31" s="197">
        <f t="shared" si="47"/>
        <v>0</v>
      </c>
      <c r="AT31" s="340"/>
      <c r="AU31" s="575"/>
      <c r="AV31" s="485">
        <f t="shared" si="43"/>
        <v>0.60699999999999998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211</v>
      </c>
      <c r="C32" s="203">
        <f t="shared" si="18"/>
        <v>4539.9032258064517</v>
      </c>
      <c r="D32">
        <f t="shared" si="48"/>
        <v>211</v>
      </c>
      <c r="E32" s="203">
        <f t="shared" si="18"/>
        <v>4539.9032258064517</v>
      </c>
      <c r="F32">
        <f t="shared" si="49"/>
        <v>211</v>
      </c>
      <c r="G32" s="203">
        <f t="shared" si="1"/>
        <v>4539.9032258064517</v>
      </c>
      <c r="H32" s="203">
        <f t="shared" si="50"/>
        <v>211</v>
      </c>
      <c r="I32" s="203">
        <f t="shared" si="2"/>
        <v>4539.9032258064517</v>
      </c>
      <c r="J32" s="203">
        <f t="shared" si="51"/>
        <v>211</v>
      </c>
      <c r="K32" s="203">
        <f t="shared" si="3"/>
        <v>4539.9032258064517</v>
      </c>
      <c r="L32" s="203">
        <f t="shared" si="52"/>
        <v>211</v>
      </c>
      <c r="M32" s="203">
        <f t="shared" si="4"/>
        <v>4539.9032258064517</v>
      </c>
      <c r="N32" s="203">
        <f t="shared" si="53"/>
        <v>211</v>
      </c>
      <c r="O32" s="203">
        <f t="shared" si="5"/>
        <v>4539.9032258064517</v>
      </c>
      <c r="P32" s="203">
        <f t="shared" si="54"/>
        <v>211</v>
      </c>
      <c r="Q32" s="203">
        <f t="shared" si="6"/>
        <v>4539.9032258064517</v>
      </c>
      <c r="R32" s="203">
        <f t="shared" si="55"/>
        <v>211</v>
      </c>
      <c r="S32" s="203">
        <f t="shared" si="7"/>
        <v>4539.9032258064517</v>
      </c>
      <c r="T32" s="203">
        <f t="shared" si="56"/>
        <v>211</v>
      </c>
      <c r="U32" s="203">
        <f t="shared" si="8"/>
        <v>4539.9032258064517</v>
      </c>
      <c r="V32" s="203">
        <f t="shared" si="57"/>
        <v>211</v>
      </c>
      <c r="W32" s="203">
        <f t="shared" si="9"/>
        <v>4539.9032258064517</v>
      </c>
      <c r="X32" s="35">
        <f t="shared" si="58"/>
        <v>0.68064516129032271</v>
      </c>
      <c r="Y32" s="36">
        <f t="shared" si="59"/>
        <v>49938.935483870977</v>
      </c>
      <c r="Z32" s="203">
        <f>'B5'!C31</f>
        <v>218</v>
      </c>
      <c r="AA32" s="203">
        <f t="shared" si="30"/>
        <v>2180</v>
      </c>
      <c r="AB32" s="203">
        <f t="shared" si="60"/>
        <v>218</v>
      </c>
      <c r="AC32" s="203">
        <f t="shared" si="30"/>
        <v>2180</v>
      </c>
      <c r="AD32" s="203">
        <f t="shared" si="61"/>
        <v>218</v>
      </c>
      <c r="AE32" s="203">
        <f t="shared" si="11"/>
        <v>2180</v>
      </c>
      <c r="AF32" s="203">
        <f t="shared" si="62"/>
        <v>218</v>
      </c>
      <c r="AG32" s="203">
        <f t="shared" si="12"/>
        <v>2180</v>
      </c>
      <c r="AH32" s="203">
        <f t="shared" si="63"/>
        <v>218</v>
      </c>
      <c r="AI32" s="203">
        <f t="shared" si="13"/>
        <v>2180</v>
      </c>
      <c r="AJ32" s="203">
        <f t="shared" si="64"/>
        <v>218</v>
      </c>
      <c r="AK32" s="203">
        <f t="shared" si="14"/>
        <v>2180</v>
      </c>
      <c r="AL32" s="203">
        <f t="shared" si="65"/>
        <v>218</v>
      </c>
      <c r="AM32" s="203">
        <f t="shared" si="15"/>
        <v>2180</v>
      </c>
      <c r="AN32" s="35">
        <f t="shared" si="66"/>
        <v>0.77857142857142858</v>
      </c>
      <c r="AO32" s="36">
        <f t="shared" si="67"/>
        <v>15260</v>
      </c>
      <c r="AQ32" s="223">
        <f t="shared" si="37"/>
        <v>0.70129004500237691</v>
      </c>
      <c r="AR32" s="38">
        <f t="shared" si="38"/>
        <v>65198.935483870977</v>
      </c>
      <c r="AS32" s="197">
        <f t="shared" si="47"/>
        <v>0</v>
      </c>
      <c r="AT32" s="340"/>
      <c r="AU32" s="549"/>
      <c r="AV32" s="485">
        <f>IF(AT32&gt;0,AU32,AV31)</f>
        <v>0.60699999999999998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211</v>
      </c>
      <c r="C33" s="203">
        <f t="shared" si="18"/>
        <v>4539.9032258064517</v>
      </c>
      <c r="D33">
        <f t="shared" si="48"/>
        <v>211</v>
      </c>
      <c r="E33" s="203">
        <f t="shared" si="18"/>
        <v>4539.9032258064517</v>
      </c>
      <c r="F33">
        <f t="shared" si="49"/>
        <v>211</v>
      </c>
      <c r="G33" s="203">
        <f t="shared" si="1"/>
        <v>4539.9032258064517</v>
      </c>
      <c r="H33" s="203">
        <f t="shared" si="50"/>
        <v>211</v>
      </c>
      <c r="I33" s="203">
        <f t="shared" si="2"/>
        <v>4539.9032258064517</v>
      </c>
      <c r="J33" s="203">
        <f t="shared" si="51"/>
        <v>211</v>
      </c>
      <c r="K33" s="203">
        <f t="shared" si="3"/>
        <v>4539.9032258064517</v>
      </c>
      <c r="L33" s="203">
        <f t="shared" si="52"/>
        <v>211</v>
      </c>
      <c r="M33" s="203">
        <f t="shared" si="4"/>
        <v>4539.9032258064517</v>
      </c>
      <c r="N33" s="203">
        <f t="shared" si="53"/>
        <v>211</v>
      </c>
      <c r="O33" s="203">
        <f t="shared" si="5"/>
        <v>4539.9032258064517</v>
      </c>
      <c r="P33" s="203">
        <f t="shared" si="54"/>
        <v>211</v>
      </c>
      <c r="Q33" s="203">
        <f t="shared" si="6"/>
        <v>4539.9032258064517</v>
      </c>
      <c r="R33" s="203">
        <f t="shared" si="55"/>
        <v>211</v>
      </c>
      <c r="S33" s="203">
        <f t="shared" si="7"/>
        <v>4539.9032258064517</v>
      </c>
      <c r="T33" s="203">
        <f t="shared" si="56"/>
        <v>211</v>
      </c>
      <c r="U33" s="203">
        <f t="shared" si="8"/>
        <v>4539.9032258064517</v>
      </c>
      <c r="V33" s="203">
        <f t="shared" si="57"/>
        <v>211</v>
      </c>
      <c r="W33" s="203">
        <f t="shared" si="9"/>
        <v>4539.9032258064517</v>
      </c>
      <c r="X33" s="35">
        <f t="shared" si="58"/>
        <v>0.68064516129032271</v>
      </c>
      <c r="Y33" s="36">
        <f t="shared" si="59"/>
        <v>49938.935483870977</v>
      </c>
      <c r="Z33" s="203">
        <f>'B5'!C32</f>
        <v>218</v>
      </c>
      <c r="AA33" s="203">
        <f t="shared" si="30"/>
        <v>2180</v>
      </c>
      <c r="AB33" s="203">
        <f t="shared" si="60"/>
        <v>218</v>
      </c>
      <c r="AC33" s="203">
        <f t="shared" si="30"/>
        <v>2180</v>
      </c>
      <c r="AD33" s="203">
        <f t="shared" si="61"/>
        <v>218</v>
      </c>
      <c r="AE33" s="203">
        <f t="shared" si="11"/>
        <v>2180</v>
      </c>
      <c r="AF33" s="203">
        <f t="shared" si="62"/>
        <v>218</v>
      </c>
      <c r="AG33" s="203">
        <f t="shared" si="12"/>
        <v>2180</v>
      </c>
      <c r="AH33" s="203">
        <f t="shared" si="63"/>
        <v>218</v>
      </c>
      <c r="AI33" s="203">
        <f t="shared" si="13"/>
        <v>2180</v>
      </c>
      <c r="AJ33" s="203">
        <f t="shared" si="64"/>
        <v>218</v>
      </c>
      <c r="AK33" s="203">
        <f t="shared" si="14"/>
        <v>2180</v>
      </c>
      <c r="AL33" s="203">
        <f t="shared" si="65"/>
        <v>218</v>
      </c>
      <c r="AM33" s="203">
        <f t="shared" si="15"/>
        <v>2180</v>
      </c>
      <c r="AN33" s="35">
        <f t="shared" si="66"/>
        <v>0.77857142857142858</v>
      </c>
      <c r="AO33" s="36">
        <f t="shared" si="67"/>
        <v>15260</v>
      </c>
      <c r="AQ33" s="223">
        <f t="shared" si="37"/>
        <v>0.70129004500237691</v>
      </c>
      <c r="AR33" s="38">
        <f t="shared" si="38"/>
        <v>65198.935483870977</v>
      </c>
      <c r="AS33" s="197">
        <f>SUM(AR33-AR32-AT33)</f>
        <v>0</v>
      </c>
      <c r="AT33" s="340"/>
      <c r="AU33" s="549"/>
      <c r="AV33" s="485">
        <f>IF(AT33&gt;0,AU33,AV32)</f>
        <v>0.60699999999999998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211</v>
      </c>
      <c r="C34" s="203">
        <f>B34*$B$4</f>
        <v>4539.9032258064517</v>
      </c>
      <c r="D34">
        <f t="shared" si="48"/>
        <v>211</v>
      </c>
      <c r="E34" s="203">
        <f>D34*$B$4</f>
        <v>4539.9032258064517</v>
      </c>
      <c r="F34">
        <f t="shared" si="49"/>
        <v>211</v>
      </c>
      <c r="G34" s="203">
        <f>F34*$B$4</f>
        <v>4539.9032258064517</v>
      </c>
      <c r="H34" s="203">
        <f t="shared" si="50"/>
        <v>211</v>
      </c>
      <c r="I34" s="203">
        <f>H34*$B$4</f>
        <v>4539.9032258064517</v>
      </c>
      <c r="J34" s="203">
        <f t="shared" si="51"/>
        <v>211</v>
      </c>
      <c r="K34" s="203">
        <f>J34*$B$4</f>
        <v>4539.9032258064517</v>
      </c>
      <c r="L34" s="203">
        <f t="shared" si="52"/>
        <v>211</v>
      </c>
      <c r="M34" s="203">
        <f>L34*$B$4</f>
        <v>4539.9032258064517</v>
      </c>
      <c r="N34" s="203">
        <f t="shared" si="53"/>
        <v>211</v>
      </c>
      <c r="O34" s="203">
        <f>N34*$B$4</f>
        <v>4539.9032258064517</v>
      </c>
      <c r="P34" s="203">
        <f t="shared" si="54"/>
        <v>211</v>
      </c>
      <c r="Q34" s="203">
        <f>P34*$B$4</f>
        <v>4539.9032258064517</v>
      </c>
      <c r="R34" s="203">
        <f t="shared" si="55"/>
        <v>211</v>
      </c>
      <c r="S34" s="203">
        <f>R34*$B$4</f>
        <v>4539.9032258064517</v>
      </c>
      <c r="T34" s="203">
        <f t="shared" si="56"/>
        <v>211</v>
      </c>
      <c r="U34" s="203">
        <f>T34*$B$4</f>
        <v>4539.9032258064517</v>
      </c>
      <c r="V34" s="203">
        <f t="shared" si="57"/>
        <v>211</v>
      </c>
      <c r="W34" s="203">
        <f>V34*$B$4</f>
        <v>4539.9032258064517</v>
      </c>
      <c r="X34" s="35">
        <f t="shared" si="58"/>
        <v>0.68064516129032271</v>
      </c>
      <c r="Y34" s="36">
        <f t="shared" si="59"/>
        <v>49938.935483870977</v>
      </c>
      <c r="Z34" s="203">
        <f>'B5'!C33</f>
        <v>218</v>
      </c>
      <c r="AA34" s="203">
        <f>SUM(Z34*$Z$4)</f>
        <v>2180</v>
      </c>
      <c r="AB34" s="203">
        <f t="shared" si="60"/>
        <v>218</v>
      </c>
      <c r="AC34" s="203">
        <f>SUM(AB34*$Z$4)</f>
        <v>2180</v>
      </c>
      <c r="AD34" s="203">
        <f t="shared" si="61"/>
        <v>218</v>
      </c>
      <c r="AE34" s="203">
        <f>SUM(AD34*$Z$4)</f>
        <v>2180</v>
      </c>
      <c r="AF34" s="203">
        <f t="shared" si="62"/>
        <v>218</v>
      </c>
      <c r="AG34" s="203">
        <f>SUM(AF34*$Z$4)</f>
        <v>2180</v>
      </c>
      <c r="AH34" s="203">
        <f t="shared" si="63"/>
        <v>218</v>
      </c>
      <c r="AI34" s="203">
        <f>SUM(AH34*$Z$4)</f>
        <v>2180</v>
      </c>
      <c r="AJ34" s="203">
        <f t="shared" si="64"/>
        <v>218</v>
      </c>
      <c r="AK34" s="203">
        <f>SUM(AJ34*$Z$4)</f>
        <v>2180</v>
      </c>
      <c r="AL34" s="203">
        <f t="shared" si="65"/>
        <v>218</v>
      </c>
      <c r="AM34" s="203">
        <f>SUM(AL34*$Z$4)</f>
        <v>2180</v>
      </c>
      <c r="AN34" s="35">
        <f t="shared" si="66"/>
        <v>0.77857142857142858</v>
      </c>
      <c r="AO34" s="36">
        <f t="shared" si="67"/>
        <v>15260</v>
      </c>
      <c r="AQ34" s="223">
        <f>SUM(AR34/92970)</f>
        <v>0.70129004500237691</v>
      </c>
      <c r="AR34" s="38">
        <f t="shared" si="38"/>
        <v>65198.935483870977</v>
      </c>
      <c r="AS34" s="197">
        <f t="shared" si="47"/>
        <v>0</v>
      </c>
      <c r="AT34" s="340"/>
      <c r="AU34" s="549"/>
      <c r="AV34" s="485">
        <f>IF(AT34&gt;0,AU34,AV33)</f>
        <v>0.60699999999999998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211</v>
      </c>
      <c r="C35" s="203">
        <f>B35*$B$4</f>
        <v>4539.9032258064517</v>
      </c>
      <c r="D35">
        <f t="shared" si="48"/>
        <v>211</v>
      </c>
      <c r="E35" s="203">
        <f>D35*$B$4</f>
        <v>4539.9032258064517</v>
      </c>
      <c r="F35">
        <f t="shared" si="49"/>
        <v>211</v>
      </c>
      <c r="G35" s="203">
        <f>F35*$B$4</f>
        <v>4539.9032258064517</v>
      </c>
      <c r="H35" s="203">
        <f t="shared" si="50"/>
        <v>211</v>
      </c>
      <c r="I35" s="203">
        <f>H35*$B$4</f>
        <v>4539.9032258064517</v>
      </c>
      <c r="J35" s="203">
        <f t="shared" si="51"/>
        <v>211</v>
      </c>
      <c r="K35" s="203">
        <f>J35*$B$4</f>
        <v>4539.9032258064517</v>
      </c>
      <c r="L35" s="203">
        <f t="shared" si="52"/>
        <v>211</v>
      </c>
      <c r="M35" s="203">
        <f>L35*$B$4</f>
        <v>4539.9032258064517</v>
      </c>
      <c r="N35" s="203">
        <f t="shared" si="53"/>
        <v>211</v>
      </c>
      <c r="O35" s="203">
        <f>N35*$B$4</f>
        <v>4539.9032258064517</v>
      </c>
      <c r="P35" s="203">
        <f t="shared" si="54"/>
        <v>211</v>
      </c>
      <c r="Q35" s="203">
        <f>P35*$B$4</f>
        <v>4539.9032258064517</v>
      </c>
      <c r="R35" s="203">
        <f t="shared" si="55"/>
        <v>211</v>
      </c>
      <c r="S35" s="203">
        <f>R35*$B$4</f>
        <v>4539.9032258064517</v>
      </c>
      <c r="T35" s="203">
        <f t="shared" si="56"/>
        <v>211</v>
      </c>
      <c r="U35" s="203">
        <f>T35*$B$4</f>
        <v>4539.9032258064517</v>
      </c>
      <c r="V35" s="203">
        <f t="shared" si="57"/>
        <v>211</v>
      </c>
      <c r="W35" s="203">
        <f>V35*$B$4</f>
        <v>4539.9032258064517</v>
      </c>
      <c r="X35" s="35">
        <f t="shared" si="58"/>
        <v>0.68064516129032271</v>
      </c>
      <c r="Y35" s="36">
        <f t="shared" si="59"/>
        <v>49938.935483870977</v>
      </c>
      <c r="Z35" s="203">
        <f>'B5'!C34</f>
        <v>218</v>
      </c>
      <c r="AA35" s="203">
        <f>SUM(Z35*$Z$4)</f>
        <v>2180</v>
      </c>
      <c r="AB35" s="203">
        <f t="shared" si="60"/>
        <v>218</v>
      </c>
      <c r="AC35" s="203">
        <f>SUM(AB35*$Z$4)</f>
        <v>2180</v>
      </c>
      <c r="AD35" s="203">
        <f t="shared" si="61"/>
        <v>218</v>
      </c>
      <c r="AE35" s="203">
        <f>SUM(AD35*$Z$4)</f>
        <v>2180</v>
      </c>
      <c r="AF35" s="203">
        <f t="shared" si="62"/>
        <v>218</v>
      </c>
      <c r="AG35" s="203">
        <f>SUM(AF35*$Z$4)</f>
        <v>2180</v>
      </c>
      <c r="AH35" s="203">
        <f t="shared" si="63"/>
        <v>218</v>
      </c>
      <c r="AI35" s="203">
        <f>SUM(AH35*$Z$4)</f>
        <v>2180</v>
      </c>
      <c r="AJ35" s="203">
        <f t="shared" si="64"/>
        <v>218</v>
      </c>
      <c r="AK35" s="203">
        <f>SUM(AJ35*$Z$4)</f>
        <v>2180</v>
      </c>
      <c r="AL35" s="203">
        <f t="shared" si="65"/>
        <v>218</v>
      </c>
      <c r="AM35" s="203">
        <f>SUM(AL35*$Z$4)</f>
        <v>2180</v>
      </c>
      <c r="AN35" s="35">
        <f t="shared" si="66"/>
        <v>0.77857142857142858</v>
      </c>
      <c r="AO35" s="36">
        <f t="shared" si="67"/>
        <v>15260</v>
      </c>
      <c r="AQ35" s="223">
        <f>SUM(AR35/92970)</f>
        <v>0.70129004500237691</v>
      </c>
      <c r="AR35" s="38">
        <f t="shared" si="38"/>
        <v>65198.935483870977</v>
      </c>
      <c r="AS35" s="197">
        <f t="shared" si="47"/>
        <v>0</v>
      </c>
      <c r="AT35" s="340"/>
      <c r="AU35" s="549"/>
      <c r="AV35" s="539">
        <f>IF(AT35&gt;0,AU35,AV34)</f>
        <v>0.60699999999999998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211</v>
      </c>
      <c r="C36" s="203">
        <f>B36*$B$4</f>
        <v>4539.9032258064517</v>
      </c>
      <c r="D36">
        <f t="shared" ref="D36" si="68">SUM(B36)</f>
        <v>211</v>
      </c>
      <c r="E36" s="203">
        <f>D36*$B$4</f>
        <v>4539.9032258064517</v>
      </c>
      <c r="F36">
        <f t="shared" ref="F36" si="69">SUM(D36)</f>
        <v>211</v>
      </c>
      <c r="G36" s="203">
        <f>F36*$B$4</f>
        <v>4539.9032258064517</v>
      </c>
      <c r="H36" s="203">
        <f t="shared" ref="H36" si="70">SUM(F36)</f>
        <v>211</v>
      </c>
      <c r="I36" s="203">
        <f>H36*$B$4</f>
        <v>4539.9032258064517</v>
      </c>
      <c r="J36" s="203">
        <f t="shared" ref="J36" si="71">SUM(H36)</f>
        <v>211</v>
      </c>
      <c r="K36" s="203">
        <f>J36*$B$4</f>
        <v>4539.9032258064517</v>
      </c>
      <c r="L36" s="203">
        <f t="shared" ref="L36" si="72">SUM(J36)</f>
        <v>211</v>
      </c>
      <c r="M36" s="203">
        <f>L36*$B$4</f>
        <v>4539.9032258064517</v>
      </c>
      <c r="N36" s="203">
        <f t="shared" ref="N36" si="73">SUM(L36)</f>
        <v>211</v>
      </c>
      <c r="O36" s="203">
        <f>N36*$B$4</f>
        <v>4539.9032258064517</v>
      </c>
      <c r="P36" s="203">
        <f t="shared" ref="P36" si="74">SUM(N36)</f>
        <v>211</v>
      </c>
      <c r="Q36" s="203">
        <f>P36*$B$4</f>
        <v>4539.9032258064517</v>
      </c>
      <c r="R36" s="203">
        <f t="shared" ref="R36" si="75">SUM(P36)</f>
        <v>211</v>
      </c>
      <c r="S36" s="203">
        <f>R36*$B$4</f>
        <v>4539.9032258064517</v>
      </c>
      <c r="T36" s="203">
        <f t="shared" ref="T36" si="76">SUM(R36)</f>
        <v>211</v>
      </c>
      <c r="U36" s="203">
        <f>T36*$B$4</f>
        <v>4539.9032258064517</v>
      </c>
      <c r="V36" s="203">
        <f t="shared" ref="V36" si="77">SUM(T36)</f>
        <v>211</v>
      </c>
      <c r="W36" s="203">
        <f>V36*$B$4</f>
        <v>4539.9032258064517</v>
      </c>
      <c r="X36" s="35">
        <f t="shared" ref="X36" si="78">SUM(Y36/73370)</f>
        <v>0.68064516129032271</v>
      </c>
      <c r="Y36" s="36">
        <f t="shared" ref="Y36" si="79">SUM(C36+E36+G36+I36+K36+M36+O36+Q36+S36+U36+W36)</f>
        <v>49938.935483870977</v>
      </c>
      <c r="Z36" s="203">
        <f>'B5'!C35</f>
        <v>218</v>
      </c>
      <c r="AA36" s="203">
        <f>SUM(Z36*$Z$4)</f>
        <v>2180</v>
      </c>
      <c r="AB36" s="203">
        <f t="shared" ref="AB36" si="80">SUM(Z36)</f>
        <v>218</v>
      </c>
      <c r="AC36" s="203">
        <f>SUM(AB36*$Z$4)</f>
        <v>2180</v>
      </c>
      <c r="AD36" s="203">
        <f t="shared" ref="AD36" si="81">SUM(AB36)</f>
        <v>218</v>
      </c>
      <c r="AE36" s="203">
        <f>SUM(AD36*$Z$4)</f>
        <v>2180</v>
      </c>
      <c r="AF36" s="203">
        <f t="shared" ref="AF36" si="82">SUM(AD36)</f>
        <v>218</v>
      </c>
      <c r="AG36" s="203">
        <f>SUM(AF36*$Z$4)</f>
        <v>2180</v>
      </c>
      <c r="AH36" s="203">
        <f t="shared" ref="AH36" si="83">SUM(AF36)</f>
        <v>218</v>
      </c>
      <c r="AI36" s="203">
        <f>SUM(AH36*$Z$4)</f>
        <v>2180</v>
      </c>
      <c r="AJ36" s="203">
        <f t="shared" ref="AJ36" si="84">SUM(AH36)</f>
        <v>218</v>
      </c>
      <c r="AK36" s="203">
        <f>SUM(AJ36*$Z$4)</f>
        <v>2180</v>
      </c>
      <c r="AL36" s="203">
        <f t="shared" ref="AL36" si="85">SUM(AJ36)</f>
        <v>218</v>
      </c>
      <c r="AM36" s="203">
        <f>SUM(AL36*$Z$4)</f>
        <v>2180</v>
      </c>
      <c r="AN36" s="35">
        <f t="shared" ref="AN36" si="86">SUM(AO36/19600)</f>
        <v>0.77857142857142858</v>
      </c>
      <c r="AO36" s="36">
        <f t="shared" ref="AO36" si="87">SUM(AA36+AC36+AE36+AG36+AI36+AK36+AM36)</f>
        <v>15260</v>
      </c>
      <c r="AQ36" s="223">
        <f>SUM(AR36/92970)</f>
        <v>0.70129004500237691</v>
      </c>
      <c r="AR36" s="38">
        <f t="shared" si="38"/>
        <v>65198.935483870977</v>
      </c>
      <c r="AS36" s="197">
        <f t="shared" si="47"/>
        <v>0</v>
      </c>
      <c r="AT36" s="340"/>
      <c r="AU36" s="549"/>
      <c r="AV36" s="539">
        <f>IF(AT36&gt;0,AU36,AV35)</f>
        <v>0.60699999999999998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20000</v>
      </c>
      <c r="AU37" s="545">
        <f>SUM(AU6:AU36)/AS37</f>
        <v>0.62050000000000005</v>
      </c>
      <c r="AX37" s="203">
        <f>SUM(AX6:AX36)</f>
        <v>-21138.741935483857</v>
      </c>
      <c r="AY37" s="203">
        <f>SUM(AY6:AY36)</f>
        <v>-22076.741935483857</v>
      </c>
    </row>
    <row r="38" spans="1:63">
      <c r="AS38" s="206"/>
      <c r="AT38" s="82">
        <f>+AT37*AU37</f>
        <v>12410.000000000002</v>
      </c>
    </row>
    <row r="40" spans="1:63">
      <c r="AS40" s="165">
        <f>SUM(AS6:AS36)/'EDl log'!A35</f>
        <v>-3153.8202764976936</v>
      </c>
      <c r="AT40" s="203"/>
    </row>
    <row r="41" spans="1:63">
      <c r="AX41">
        <v>43309</v>
      </c>
    </row>
    <row r="42" spans="1:63">
      <c r="AR42" s="203">
        <f>AR36-22000</f>
        <v>43198.935483870977</v>
      </c>
      <c r="AU42" s="203"/>
      <c r="AX42">
        <f>AX37/AX41</f>
        <v>-0.48809120357163305</v>
      </c>
    </row>
    <row r="43" spans="1:63">
      <c r="AR43">
        <f>AR42/5500</f>
        <v>7.8543519061583593</v>
      </c>
    </row>
    <row r="44" spans="1:63">
      <c r="AR44">
        <f>AR43*2</f>
        <v>15.708703812316719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4" priority="8" stopIfTrue="1" operator="greaterThan">
      <formula>0</formula>
    </cfRule>
  </conditionalFormatting>
  <conditionalFormatting sqref="AT18:AU36 AT6:AU16">
    <cfRule type="cellIs" dxfId="3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abSelected="1" topLeftCell="A16" zoomScale="70" zoomScaleNormal="70" workbookViewId="0">
      <selection activeCell="B21" sqref="B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1435.4767096774119</v>
      </c>
      <c r="R4" s="285">
        <f>SUM(P4:Q4)</f>
        <v>1590.2797482479998</v>
      </c>
      <c r="S4" s="287">
        <f>SUM(ELEC!N4)</f>
        <v>6332</v>
      </c>
      <c r="T4" s="321">
        <f>IF(S4&gt;0,R4/S4,0)</f>
        <v>0.25114967597094123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1185.1950322580724</v>
      </c>
      <c r="R5" s="285">
        <f t="shared" ref="R5:R30" si="13">SUM(P5:Q5)</f>
        <v>1339.9980708286603</v>
      </c>
      <c r="S5" s="287">
        <f>SUM(ELEC!N5)</f>
        <v>5540</v>
      </c>
      <c r="T5" s="321">
        <f>IF(S5&gt;0,R5/S5,0)</f>
        <v>0.24187690809181595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82.726661290325794</v>
      </c>
      <c r="R8" s="285">
        <f t="shared" si="13"/>
        <v>237.52969986091369</v>
      </c>
      <c r="S8" s="287">
        <f>SUM(ELEC!N8)</f>
        <v>6729</v>
      </c>
      <c r="T8" s="321">
        <f>IF(S8&gt;0,R8/S8,0)</f>
        <v>3.5299405537362716E-2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1046.6233709677285</v>
      </c>
      <c r="R9" s="285">
        <f>SUM(P9:Q9)</f>
        <v>1286.1229269512519</v>
      </c>
      <c r="S9" s="287">
        <f>SUM(ELEC!N9)</f>
        <v>4979</v>
      </c>
      <c r="T9" s="321">
        <f t="shared" si="16"/>
        <v>0.25830948522820885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1665.682209677439</v>
      </c>
      <c r="R10" s="285">
        <f t="shared" si="13"/>
        <v>1828.4348336543287</v>
      </c>
      <c r="S10" s="287">
        <f>SUM(ELEC!N10)</f>
        <v>5333</v>
      </c>
      <c r="T10" s="321">
        <f t="shared" si="16"/>
        <v>0.34285295962016288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1245.1833709677287</v>
      </c>
      <c r="R11" s="285">
        <f t="shared" si="13"/>
        <v>1424.6417992563929</v>
      </c>
      <c r="S11" s="287">
        <f>SUM(ELEC!N11)</f>
        <v>5724</v>
      </c>
      <c r="T11" s="321">
        <f t="shared" si="16"/>
        <v>0.24888920322438729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1332.0533709677468</v>
      </c>
      <c r="R12" s="285">
        <f t="shared" si="13"/>
        <v>1494.8802901353497</v>
      </c>
      <c r="S12" s="287">
        <f>SUM(ELEC!N12)</f>
        <v>4995</v>
      </c>
      <c r="T12" s="321">
        <f t="shared" si="16"/>
        <v>0.29927533336043038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921.68269354838469</v>
      </c>
      <c r="R15" s="285">
        <f>SUM(P15:Q15)</f>
        <v>1076.4857321189727</v>
      </c>
      <c r="S15" s="287">
        <f>SUM(ELEC!N15)</f>
        <v>6833</v>
      </c>
      <c r="T15" s="321">
        <f>IF(S15&gt;0,R15/S15,0)</f>
        <v>0.15754218236777004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1183.7538709677331</v>
      </c>
      <c r="R16" s="285">
        <f>SUM(P16:Q16)</f>
        <v>1338.556909538321</v>
      </c>
      <c r="S16" s="287">
        <f>SUM(ELEC!N16)</f>
        <v>5512.2000000001863</v>
      </c>
      <c r="T16" s="321">
        <f>IF(S16&gt;0,R16/S16,0)</f>
        <v>0.24283533063718221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233.30800000000002</v>
      </c>
      <c r="R17" s="285">
        <f>SUM(P17:Q17)</f>
        <v>441.03044155566261</v>
      </c>
      <c r="S17" s="287">
        <f>SUM(ELEC!N17)</f>
        <v>5313.7999999998137</v>
      </c>
      <c r="T17" s="321">
        <f>IF(S17&gt;0,R17/S17,0)</f>
        <v>8.2997184981685054E-2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1219.1223709677556</v>
      </c>
      <c r="R18" s="285">
        <f t="shared" si="13"/>
        <v>1373.9254095383435</v>
      </c>
      <c r="S18" s="287">
        <f>SUM(ELEC!N18)</f>
        <v>5643</v>
      </c>
      <c r="T18" s="321">
        <f t="shared" si="16"/>
        <v>0.24347428841721486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v>1105583</v>
      </c>
      <c r="C19" s="254">
        <f t="shared" si="0"/>
        <v>597</v>
      </c>
      <c r="D19" s="295">
        <f t="shared" si="14"/>
        <v>594</v>
      </c>
      <c r="E19" s="295">
        <f t="shared" si="15"/>
        <v>1105580</v>
      </c>
      <c r="F19" s="607">
        <v>160089</v>
      </c>
      <c r="G19" s="160">
        <f t="shared" si="1"/>
        <v>0</v>
      </c>
      <c r="H19" s="607">
        <v>545420</v>
      </c>
      <c r="I19" s="161">
        <f t="shared" si="2"/>
        <v>232</v>
      </c>
      <c r="J19" s="607">
        <v>400069</v>
      </c>
      <c r="K19" s="162">
        <f t="shared" si="11"/>
        <v>362</v>
      </c>
      <c r="L19" s="284">
        <f t="shared" si="17"/>
        <v>0</v>
      </c>
      <c r="M19" s="284">
        <f t="shared" si="18"/>
        <v>17.23648424543947</v>
      </c>
      <c r="N19" s="284">
        <f t="shared" si="19"/>
        <v>19.210613598673302</v>
      </c>
      <c r="O19" s="284">
        <f t="shared" si="6"/>
        <v>154.80303857058792</v>
      </c>
      <c r="P19" s="285">
        <f t="shared" si="12"/>
        <v>191.25013641470071</v>
      </c>
      <c r="Q19" s="285">
        <f>SUM(-tanks!AX21*tanks!$AU$37)</f>
        <v>1565.7817096774074</v>
      </c>
      <c r="R19" s="285">
        <f t="shared" si="13"/>
        <v>1757.031846092108</v>
      </c>
      <c r="S19" s="287">
        <f>SUM(ELEC!N19)</f>
        <v>10445</v>
      </c>
      <c r="T19" s="321">
        <f t="shared" si="16"/>
        <v>0.16821750560958429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>B19</f>
        <v>1105583</v>
      </c>
      <c r="C20" s="254">
        <f t="shared" si="0"/>
        <v>0</v>
      </c>
      <c r="D20" s="295">
        <f>SUM(G20+I20+K20)</f>
        <v>9</v>
      </c>
      <c r="E20" s="295">
        <f>B19+D20</f>
        <v>1105592</v>
      </c>
      <c r="F20" s="607">
        <f t="shared" si="8"/>
        <v>160089</v>
      </c>
      <c r="G20" s="160">
        <f t="shared" si="1"/>
        <v>0</v>
      </c>
      <c r="H20" s="607">
        <v>545429</v>
      </c>
      <c r="I20" s="161">
        <f t="shared" si="2"/>
        <v>9</v>
      </c>
      <c r="J20" s="624">
        <f>J19</f>
        <v>400069</v>
      </c>
      <c r="K20" s="162">
        <f t="shared" si="11"/>
        <v>0</v>
      </c>
      <c r="L20" s="284">
        <f t="shared" si="17"/>
        <v>0</v>
      </c>
      <c r="M20" s="284">
        <f t="shared" si="18"/>
        <v>0.66865671641791047</v>
      </c>
      <c r="N20" s="284">
        <f t="shared" si="19"/>
        <v>0</v>
      </c>
      <c r="O20" s="284">
        <f t="shared" si="6"/>
        <v>154.80303857058792</v>
      </c>
      <c r="P20" s="285">
        <f t="shared" si="12"/>
        <v>155.47169528700582</v>
      </c>
      <c r="Q20" s="285">
        <f>SUM(-tanks!AX22*tanks!$AU$37)</f>
        <v>0</v>
      </c>
      <c r="R20" s="285">
        <f t="shared" si="13"/>
        <v>155.47169528700582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1105583</v>
      </c>
      <c r="C21" s="254">
        <f t="shared" si="0"/>
        <v>0</v>
      </c>
      <c r="D21" s="295">
        <f t="shared" ref="D21:D34" si="20">SUM(G21+I21+K21)</f>
        <v>0</v>
      </c>
      <c r="E21" s="295">
        <f t="shared" ref="E21:E34" si="21">B20+D21</f>
        <v>1105583</v>
      </c>
      <c r="F21" s="607">
        <f t="shared" si="8"/>
        <v>160089</v>
      </c>
      <c r="G21" s="160">
        <f t="shared" si="1"/>
        <v>0</v>
      </c>
      <c r="H21" s="607">
        <f t="shared" si="9"/>
        <v>545429</v>
      </c>
      <c r="I21" s="161">
        <f t="shared" si="2"/>
        <v>0</v>
      </c>
      <c r="J21" s="607">
        <f t="shared" si="10"/>
        <v>400069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44549</v>
      </c>
      <c r="B22" s="607">
        <f t="shared" si="7"/>
        <v>1105583</v>
      </c>
      <c r="C22" s="254">
        <f t="shared" si="0"/>
        <v>0</v>
      </c>
      <c r="D22" s="295">
        <f t="shared" si="20"/>
        <v>0</v>
      </c>
      <c r="E22" s="295">
        <f t="shared" si="21"/>
        <v>1105583</v>
      </c>
      <c r="F22" s="607">
        <f t="shared" si="8"/>
        <v>160089</v>
      </c>
      <c r="G22" s="160">
        <f t="shared" si="1"/>
        <v>0</v>
      </c>
      <c r="H22" s="607">
        <f t="shared" si="9"/>
        <v>545429</v>
      </c>
      <c r="I22" s="161">
        <f t="shared" si="2"/>
        <v>0</v>
      </c>
      <c r="J22" s="607">
        <f t="shared" si="10"/>
        <v>400069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44550</v>
      </c>
      <c r="B23" s="607">
        <f t="shared" si="7"/>
        <v>1105583</v>
      </c>
      <c r="C23" s="254">
        <f t="shared" si="0"/>
        <v>0</v>
      </c>
      <c r="D23" s="295">
        <f t="shared" si="20"/>
        <v>0</v>
      </c>
      <c r="E23" s="295">
        <f t="shared" si="21"/>
        <v>1105583</v>
      </c>
      <c r="F23" s="607">
        <f t="shared" si="8"/>
        <v>160089</v>
      </c>
      <c r="G23" s="160">
        <f t="shared" si="1"/>
        <v>0</v>
      </c>
      <c r="H23" s="607">
        <f t="shared" si="9"/>
        <v>545429</v>
      </c>
      <c r="I23" s="161">
        <f t="shared" si="2"/>
        <v>0</v>
      </c>
      <c r="J23" s="607">
        <f t="shared" si="10"/>
        <v>400069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44551</v>
      </c>
      <c r="B24" s="607">
        <f t="shared" si="7"/>
        <v>1105583</v>
      </c>
      <c r="C24" s="254">
        <f t="shared" si="0"/>
        <v>0</v>
      </c>
      <c r="D24" s="295">
        <f t="shared" si="20"/>
        <v>0</v>
      </c>
      <c r="E24" s="295">
        <f t="shared" si="21"/>
        <v>1105583</v>
      </c>
      <c r="F24" s="607">
        <f t="shared" si="8"/>
        <v>160089</v>
      </c>
      <c r="G24" s="160">
        <f t="shared" si="1"/>
        <v>0</v>
      </c>
      <c r="H24" s="607">
        <f t="shared" si="9"/>
        <v>545429</v>
      </c>
      <c r="I24" s="161">
        <f t="shared" si="2"/>
        <v>0</v>
      </c>
      <c r="J24" s="607">
        <f t="shared" si="10"/>
        <v>400069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44552</v>
      </c>
      <c r="B25" s="607">
        <f t="shared" si="7"/>
        <v>1105583</v>
      </c>
      <c r="C25" s="254">
        <f t="shared" si="0"/>
        <v>0</v>
      </c>
      <c r="D25" s="295">
        <f t="shared" si="20"/>
        <v>0</v>
      </c>
      <c r="E25" s="295">
        <f t="shared" si="21"/>
        <v>1105583</v>
      </c>
      <c r="F25" s="607">
        <f t="shared" si="8"/>
        <v>160089</v>
      </c>
      <c r="G25" s="160">
        <f t="shared" si="1"/>
        <v>0</v>
      </c>
      <c r="H25" s="607">
        <f t="shared" si="9"/>
        <v>545429</v>
      </c>
      <c r="I25" s="161">
        <f t="shared" si="2"/>
        <v>0</v>
      </c>
      <c r="J25" s="607">
        <f t="shared" si="10"/>
        <v>400069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1105583</v>
      </c>
      <c r="C26" s="254">
        <f t="shared" si="0"/>
        <v>0</v>
      </c>
      <c r="D26" s="295">
        <f t="shared" si="20"/>
        <v>0</v>
      </c>
      <c r="E26" s="295">
        <f t="shared" si="21"/>
        <v>1105583</v>
      </c>
      <c r="F26" s="607">
        <f t="shared" si="8"/>
        <v>160089</v>
      </c>
      <c r="G26" s="160">
        <f t="shared" si="1"/>
        <v>0</v>
      </c>
      <c r="H26" s="607">
        <f t="shared" si="9"/>
        <v>545429</v>
      </c>
      <c r="I26" s="161">
        <f t="shared" si="2"/>
        <v>0</v>
      </c>
      <c r="J26" s="607">
        <f t="shared" si="10"/>
        <v>400069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400069</v>
      </c>
      <c r="X26" s="172" t="s">
        <v>199</v>
      </c>
      <c r="Y26" s="172">
        <v>80</v>
      </c>
      <c r="Z26" s="172">
        <v>1</v>
      </c>
      <c r="AA26" s="323">
        <f>(W26-V26)*Z26</f>
        <v>453</v>
      </c>
      <c r="AB26" s="323">
        <f>AA26*Y26</f>
        <v>36240</v>
      </c>
      <c r="AC26" s="244">
        <f>AC9</f>
        <v>1033333</v>
      </c>
      <c r="AD26" s="476">
        <f>SUM(K36)</f>
        <v>0.17263719512195122</v>
      </c>
    </row>
    <row r="27" spans="1:32" ht="20.100000000000001" customHeight="1">
      <c r="A27" s="163">
        <f>ELEC!C27</f>
        <v>44554</v>
      </c>
      <c r="B27" s="607">
        <f t="shared" si="7"/>
        <v>1105583</v>
      </c>
      <c r="C27" s="254">
        <f t="shared" si="0"/>
        <v>0</v>
      </c>
      <c r="D27" s="295">
        <f t="shared" si="20"/>
        <v>0</v>
      </c>
      <c r="E27" s="295">
        <f t="shared" si="21"/>
        <v>1105583</v>
      </c>
      <c r="F27" s="607">
        <f t="shared" si="8"/>
        <v>160089</v>
      </c>
      <c r="G27" s="160">
        <f t="shared" si="1"/>
        <v>0</v>
      </c>
      <c r="H27" s="607">
        <f t="shared" si="9"/>
        <v>545429</v>
      </c>
      <c r="I27" s="161">
        <f t="shared" si="2"/>
        <v>0</v>
      </c>
      <c r="J27" s="607">
        <f t="shared" si="10"/>
        <v>400069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545429</v>
      </c>
      <c r="X27" s="172" t="s">
        <v>212</v>
      </c>
      <c r="Y27" s="172">
        <v>112</v>
      </c>
      <c r="Z27" s="172">
        <v>1</v>
      </c>
      <c r="AA27" s="323">
        <f>(W27-V27)*Z27</f>
        <v>1958</v>
      </c>
      <c r="AB27" s="323">
        <f>SUM(AA27*Y27)</f>
        <v>219296</v>
      </c>
      <c r="AC27" s="244">
        <f>AC10</f>
        <v>6200000</v>
      </c>
      <c r="AD27" s="476">
        <f>SUM(I36)</f>
        <v>0.74618902439024393</v>
      </c>
    </row>
    <row r="28" spans="1:32" ht="20.100000000000001" customHeight="1">
      <c r="A28" s="163">
        <f>ELEC!C28</f>
        <v>44555</v>
      </c>
      <c r="B28" s="607">
        <f t="shared" si="7"/>
        <v>1105583</v>
      </c>
      <c r="C28" s="254">
        <f t="shared" si="0"/>
        <v>0</v>
      </c>
      <c r="D28" s="295">
        <f t="shared" si="20"/>
        <v>0</v>
      </c>
      <c r="E28" s="295">
        <f t="shared" si="21"/>
        <v>1105583</v>
      </c>
      <c r="F28" s="607">
        <f t="shared" si="8"/>
        <v>160089</v>
      </c>
      <c r="G28" s="160">
        <f t="shared" si="1"/>
        <v>0</v>
      </c>
      <c r="H28" s="607">
        <f t="shared" si="9"/>
        <v>545429</v>
      </c>
      <c r="I28" s="161">
        <f t="shared" si="2"/>
        <v>0</v>
      </c>
      <c r="J28" s="607">
        <f t="shared" si="10"/>
        <v>400069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8.2317073170731711E-2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1105583</v>
      </c>
      <c r="C29" s="254">
        <f t="shared" si="0"/>
        <v>0</v>
      </c>
      <c r="D29" s="295">
        <f t="shared" si="20"/>
        <v>0</v>
      </c>
      <c r="E29" s="295">
        <f t="shared" si="21"/>
        <v>1105583</v>
      </c>
      <c r="F29" s="607">
        <f t="shared" si="8"/>
        <v>160089</v>
      </c>
      <c r="G29" s="160">
        <f t="shared" si="1"/>
        <v>0</v>
      </c>
      <c r="H29" s="607">
        <f t="shared" si="9"/>
        <v>545429</v>
      </c>
      <c r="I29" s="161">
        <f t="shared" si="2"/>
        <v>0</v>
      </c>
      <c r="J29" s="607">
        <f t="shared" si="10"/>
        <v>400069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2627</v>
      </c>
      <c r="AB29" s="323">
        <f>SUM(AB26:AB28)</f>
        <v>324656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1105583</v>
      </c>
      <c r="C30" s="254">
        <f t="shared" si="0"/>
        <v>0</v>
      </c>
      <c r="D30" s="295">
        <f t="shared" si="20"/>
        <v>0</v>
      </c>
      <c r="E30" s="295">
        <f t="shared" si="21"/>
        <v>1105583</v>
      </c>
      <c r="F30" s="607">
        <f t="shared" si="8"/>
        <v>160089</v>
      </c>
      <c r="G30" s="160">
        <f t="shared" si="1"/>
        <v>0</v>
      </c>
      <c r="H30" s="607">
        <f t="shared" si="9"/>
        <v>545429</v>
      </c>
      <c r="I30" s="161">
        <f t="shared" si="2"/>
        <v>0</v>
      </c>
      <c r="J30" s="607">
        <f t="shared" si="10"/>
        <v>400069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7558989</v>
      </c>
      <c r="AC30" s="244"/>
    </row>
    <row r="31" spans="1:32" ht="20.100000000000001" customHeight="1">
      <c r="A31" s="163">
        <f>ELEC!C31</f>
        <v>44558</v>
      </c>
      <c r="B31" s="607">
        <f t="shared" si="7"/>
        <v>1105583</v>
      </c>
      <c r="C31" s="254">
        <f>SUM(B31-B30)</f>
        <v>0</v>
      </c>
      <c r="D31" s="295">
        <f t="shared" si="20"/>
        <v>0</v>
      </c>
      <c r="E31" s="295">
        <f t="shared" si="21"/>
        <v>1105583</v>
      </c>
      <c r="F31" s="607">
        <f t="shared" si="8"/>
        <v>160089</v>
      </c>
      <c r="G31" s="160">
        <f>F31-F30</f>
        <v>0</v>
      </c>
      <c r="H31" s="607">
        <f t="shared" si="9"/>
        <v>545429</v>
      </c>
      <c r="I31" s="161">
        <f>H31-H30</f>
        <v>0</v>
      </c>
      <c r="J31" s="607">
        <f t="shared" si="10"/>
        <v>400069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1105583</v>
      </c>
      <c r="C32" s="254">
        <f>SUM(B32-B31)</f>
        <v>0</v>
      </c>
      <c r="D32" s="295">
        <f t="shared" si="20"/>
        <v>0</v>
      </c>
      <c r="E32" s="295">
        <f t="shared" si="21"/>
        <v>1105583</v>
      </c>
      <c r="F32" s="607">
        <f t="shared" si="8"/>
        <v>160089</v>
      </c>
      <c r="G32" s="160">
        <f>F32-F31</f>
        <v>0</v>
      </c>
      <c r="H32" s="607">
        <f t="shared" si="9"/>
        <v>545429</v>
      </c>
      <c r="I32" s="161">
        <f>H32-H31</f>
        <v>0</v>
      </c>
      <c r="J32" s="607">
        <f t="shared" si="10"/>
        <v>400069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132</v>
      </c>
      <c r="X32" s="222">
        <f>SUM(W32/A35)</f>
        <v>18.857142857142858</v>
      </c>
      <c r="Y32" s="250">
        <f>SUM(X32/1)</f>
        <v>18.857142857142858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1105583</v>
      </c>
      <c r="C33" s="254">
        <f>SUM(B33-B32)</f>
        <v>0</v>
      </c>
      <c r="D33" s="295">
        <f t="shared" si="20"/>
        <v>0</v>
      </c>
      <c r="E33" s="295">
        <f t="shared" si="21"/>
        <v>1105583</v>
      </c>
      <c r="F33" s="607">
        <f t="shared" si="8"/>
        <v>160089</v>
      </c>
      <c r="G33" s="160">
        <f>F33-F32</f>
        <v>0</v>
      </c>
      <c r="H33" s="607">
        <f t="shared" si="9"/>
        <v>545429</v>
      </c>
      <c r="I33" s="161">
        <f>H33-H32</f>
        <v>0</v>
      </c>
      <c r="J33" s="607">
        <f t="shared" si="10"/>
        <v>400069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831488.79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1105583</v>
      </c>
      <c r="C34" s="254">
        <f>SUM(B34-B33)</f>
        <v>0</v>
      </c>
      <c r="D34" s="295">
        <f t="shared" si="20"/>
        <v>0</v>
      </c>
      <c r="E34" s="295">
        <f t="shared" si="21"/>
        <v>1105583</v>
      </c>
      <c r="F34" s="607">
        <f t="shared" si="8"/>
        <v>160089</v>
      </c>
      <c r="G34" s="160">
        <f>F34-F33</f>
        <v>0</v>
      </c>
      <c r="H34" s="607">
        <f t="shared" si="9"/>
        <v>545429</v>
      </c>
      <c r="I34" s="161">
        <f>H34-H33</f>
        <v>0</v>
      </c>
      <c r="J34" s="607">
        <f t="shared" si="10"/>
        <v>400069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8390477.7899999991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374.85714285714283</v>
      </c>
      <c r="D35" s="173"/>
      <c r="E35" s="173"/>
      <c r="F35" s="568"/>
      <c r="G35" s="568">
        <f>SUM(G4:G34)/A35</f>
        <v>30.857142857142858</v>
      </c>
      <c r="H35" s="173"/>
      <c r="I35" s="173">
        <f>SUM(I4:I34)/A35</f>
        <v>279.71428571428572</v>
      </c>
      <c r="K35" s="173">
        <f>SUM(K4:K34)/A35</f>
        <v>64.714285714285708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1.0011432926829269</v>
      </c>
      <c r="G36" s="225">
        <f>IF(C35&gt;0,G35/C35,0)</f>
        <v>8.2317073170731711E-2</v>
      </c>
      <c r="H36" s="212"/>
      <c r="I36" s="225">
        <f>SUM(I35/C35)</f>
        <v>0.74618902439024393</v>
      </c>
      <c r="J36" s="212"/>
      <c r="K36" s="225">
        <f>SUM(K35/C35)</f>
        <v>0.17263719512195122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5014.254726368159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5014.254726368159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9"/>
      <c r="AC45" s="649"/>
      <c r="AD45" s="543"/>
      <c r="AE45" s="17"/>
      <c r="AF45" s="17"/>
    </row>
    <row r="46" spans="1:32">
      <c r="V46" s="649"/>
      <c r="W46" s="649"/>
      <c r="X46" s="649"/>
      <c r="Y46" s="649"/>
      <c r="Z46" s="508"/>
      <c r="AA46" s="508"/>
      <c r="AB46" s="649"/>
      <c r="AC46" s="649"/>
      <c r="AD46" s="543"/>
      <c r="AE46" s="17"/>
      <c r="AF46" s="17"/>
    </row>
    <row r="47" spans="1:32">
      <c r="V47" s="649"/>
      <c r="W47" s="649"/>
      <c r="X47" s="649"/>
      <c r="Y47" s="649"/>
      <c r="Z47" s="649"/>
      <c r="AA47" s="649"/>
      <c r="AB47" s="649"/>
      <c r="AC47" s="649"/>
      <c r="AD47" s="543"/>
      <c r="AE47" s="17"/>
      <c r="AF47" s="17"/>
    </row>
    <row r="48" spans="1:32">
      <c r="V48" s="650"/>
      <c r="W48" s="650"/>
      <c r="X48" s="651"/>
      <c r="Y48" s="651"/>
      <c r="Z48" s="651"/>
      <c r="AA48" s="509"/>
      <c r="AB48" s="649"/>
      <c r="AC48" s="649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  <ignoredError sqref="E20" evalError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1" sqref="E21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1" t="s">
        <v>193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3"/>
    </row>
    <row r="2" spans="1:15" ht="15.75" customHeight="1" thickBot="1">
      <c r="A2" s="674"/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6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>
        <v>18</v>
      </c>
      <c r="C20" s="37">
        <v>13</v>
      </c>
      <c r="D20" s="26">
        <f>(C20+B20)/2</f>
        <v>15.5</v>
      </c>
      <c r="E20" s="325">
        <v>0.72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31.357142857142858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5643</v>
      </c>
      <c r="D16" s="3">
        <f t="shared" si="0"/>
        <v>469.00000000093132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10445</v>
      </c>
      <c r="D17" s="3">
        <f t="shared" si="0"/>
        <v>522.9999999977008</v>
      </c>
      <c r="E17" s="3">
        <f>ELEC!Q19</f>
        <v>9922.0000000022992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-2.1999999999999886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20</v>
      </c>
      <c r="G18" s="3">
        <f>WATER!C21+WATER!H21</f>
        <v>117</v>
      </c>
      <c r="H18" s="3">
        <f>WATER!L21</f>
        <v>0</v>
      </c>
      <c r="I18" s="15">
        <f>WATER!BC21+WATER!BD21+WATER!BE22-Sheet1!G18</f>
        <v>-114.10000000000002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0"/>
      <c r="B1" s="677" t="s">
        <v>119</v>
      </c>
      <c r="C1" s="677" t="s">
        <v>118</v>
      </c>
      <c r="D1" s="682" t="s">
        <v>113</v>
      </c>
      <c r="E1" s="682" t="s">
        <v>114</v>
      </c>
      <c r="F1" s="683" t="s">
        <v>120</v>
      </c>
      <c r="G1" s="684" t="s">
        <v>75</v>
      </c>
      <c r="H1" s="685" t="s">
        <v>115</v>
      </c>
      <c r="I1" s="686" t="s">
        <v>116</v>
      </c>
      <c r="J1" s="685" t="s">
        <v>117</v>
      </c>
      <c r="K1" s="679" t="s">
        <v>121</v>
      </c>
      <c r="L1" s="679" t="s">
        <v>122</v>
      </c>
      <c r="M1" s="679" t="s">
        <v>123</v>
      </c>
      <c r="N1" s="679" t="s">
        <v>124</v>
      </c>
    </row>
    <row r="2" spans="1:14">
      <c r="A2" s="681"/>
      <c r="B2" s="678"/>
      <c r="C2" s="678"/>
      <c r="D2" s="682"/>
      <c r="E2" s="682"/>
      <c r="F2" s="683"/>
      <c r="G2" s="684"/>
      <c r="H2" s="685"/>
      <c r="I2" s="687"/>
      <c r="J2" s="685"/>
      <c r="K2" s="679"/>
      <c r="L2" s="679"/>
      <c r="M2" s="679"/>
      <c r="N2" s="679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469.00000000093132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2553.7637130807607</v>
      </c>
      <c r="E20" s="239">
        <f t="shared" si="0"/>
        <v>2553.7637130807607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9922.0000000022992</v>
      </c>
      <c r="J20" s="79">
        <f>ELEC!R19</f>
        <v>522.9999999977008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2.8999999999999773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8" t="s">
        <v>151</v>
      </c>
      <c r="U3" s="688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D21" sqref="D21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316</v>
      </c>
      <c r="C1" s="702"/>
      <c r="D1" s="704"/>
      <c r="E1" s="701" t="s">
        <v>317</v>
      </c>
      <c r="F1" s="702"/>
      <c r="G1" s="703"/>
      <c r="H1" s="698" t="s">
        <v>321</v>
      </c>
      <c r="I1" s="695" t="s">
        <v>322</v>
      </c>
      <c r="J1" s="692" t="s">
        <v>43</v>
      </c>
    </row>
    <row r="2" spans="1:18" ht="38.25" thickBot="1">
      <c r="A2" s="690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9"/>
      <c r="I2" s="696"/>
      <c r="J2" s="693"/>
    </row>
    <row r="3" spans="1:18" ht="24" customHeight="1" thickBot="1">
      <c r="A3" s="691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0"/>
      <c r="I3" s="697"/>
      <c r="J3" s="694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>
        <v>2.5</v>
      </c>
      <c r="C21" s="608">
        <v>7.9</v>
      </c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/>
      <c r="C25" s="608"/>
      <c r="D25" s="608">
        <v>0</v>
      </c>
      <c r="E25" s="608">
        <v>0</v>
      </c>
      <c r="F25" s="608">
        <v>0</v>
      </c>
      <c r="G25" s="608">
        <v>0</v>
      </c>
      <c r="H25" s="604">
        <f t="shared" si="1"/>
        <v>6969</v>
      </c>
      <c r="I25" s="602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6969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6969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6969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6969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6969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6969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6969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6969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6969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6969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6969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404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18</v>
      </c>
      <c r="W63" s="261">
        <f>'General information '!C20</f>
        <v>13</v>
      </c>
      <c r="X63" s="119">
        <f t="shared" si="5"/>
        <v>-2.8000000000000007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-354.2000000000001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-1679.2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214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449</v>
      </c>
      <c r="C7" s="184">
        <v>8200</v>
      </c>
      <c r="D7" s="187">
        <f>SUM(C7)*D4</f>
        <v>12361500</v>
      </c>
      <c r="E7" s="185">
        <f>SUM(I7/G4)</f>
        <v>543.8125</v>
      </c>
      <c r="F7" s="185">
        <f>SUM(E7*F4)</f>
        <v>16858.1875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20000</v>
      </c>
      <c r="C8" s="466">
        <f>SUM(tanks!AU37)</f>
        <v>0.62050000000000005</v>
      </c>
      <c r="D8" s="191">
        <f>SUM(B8*C8)*D4</f>
        <v>18708075.000000004</v>
      </c>
      <c r="E8" s="192">
        <f>SUM(D8/D4/F4)</f>
        <v>400.32258064516134</v>
      </c>
      <c r="F8" s="192">
        <f>SUM(E8*F4)</f>
        <v>12410.000000000002</v>
      </c>
      <c r="G8" s="574">
        <f>E8*$G$4</f>
        <v>6405.1612903225814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2627</v>
      </c>
      <c r="C10" s="181"/>
      <c r="D10" s="183">
        <f>'EDl log'!AB30</f>
        <v>7558989</v>
      </c>
      <c r="E10" s="182">
        <f>SUM(D10/D4/F4)</f>
        <v>161.750152463489</v>
      </c>
      <c r="F10" s="182">
        <f>SUM(E10*F4)</f>
        <v>5014.254726368159</v>
      </c>
      <c r="G10" s="478">
        <f>E10*$G$4</f>
        <v>2588.002439415824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1105.8852331086503</v>
      </c>
      <c r="F12" s="180">
        <f>SUM(F6:F10)</f>
        <v>34282.442226368163</v>
      </c>
      <c r="G12" s="179">
        <f>SUM(G6:G10)</f>
        <v>17193.163729738404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-62935.736270261594</v>
      </c>
      <c r="I14" s="406">
        <f>SUM(G12-I12)</f>
        <v>-34050.755990691701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31.357142857142858</v>
      </c>
      <c r="C16" s="416">
        <f>'[17]Utility Cost '!B16</f>
        <v>16.903225806451612</v>
      </c>
      <c r="D16" s="415"/>
      <c r="E16" s="580">
        <f>B16-C16</f>
        <v>14.453917050691246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132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20</v>
      </c>
      <c r="F18" s="495">
        <f>B18-D18</f>
        <v>-70.666666666666657</v>
      </c>
    </row>
    <row r="19" spans="1:10">
      <c r="A19" s="489" t="s">
        <v>412</v>
      </c>
      <c r="B19" s="493">
        <f>GEN!AL34</f>
        <v>12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11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2" priority="2" stopIfTrue="1" operator="lessThan">
      <formula>0</formula>
    </cfRule>
  </conditionalFormatting>
  <conditionalFormatting sqref="F14:F19">
    <cfRule type="cellIs" dxfId="1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2021-12-17T08:18:57Z</dcterms:modified>
</cp:coreProperties>
</file>