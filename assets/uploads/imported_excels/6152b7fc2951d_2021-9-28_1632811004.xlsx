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<sst xmlns="http://schemas.openxmlformats.org/spreadsheetml/2006/main" count="128" uniqueCount="49">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</sst>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70200</v>
      </c>
      <c r="F22" s="11">
        <v>5.0000000000000001E-3</v>
      </c>
      <c r="G22" s="12">
        <f>Submetering!R22</f>
        <v>889.19280900000001</v>
      </c>
      <c r="H22" s="11">
        <v>0.52800000000000002</v>
      </c>
      <c r="I22" s="12">
        <f>Hotel!B27</f>
        <v>74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69140</v>
      </c>
      <c r="F23" s="11">
        <v>5.0000000000000001E-3</v>
      </c>
      <c r="G23" s="12">
        <f>Submetering!R23</f>
        <v>817.27001900000005</v>
      </c>
      <c r="H23" s="11">
        <v>0.52800000000000002</v>
      </c>
      <c r="I23" s="12">
        <f>Hotel!B28</f>
        <v>99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69660</v>
      </c>
      <c r="F24" s="11">
        <v>5.0000000000000001E-3</v>
      </c>
      <c r="G24" s="12">
        <f>Submetering!R24</f>
        <v>981.93535399999996</v>
      </c>
      <c r="H24" s="11">
        <v>0.52800000000000002</v>
      </c>
      <c r="I24" s="12">
        <f>Hotel!B29</f>
        <v>168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75190</v>
      </c>
      <c r="F25" s="11">
        <v>5.0000000000000001E-3</v>
      </c>
      <c r="G25" s="12">
        <f>Submetering!R25</f>
        <v>1056.1293899999998</v>
      </c>
      <c r="H25" s="11">
        <v>0.52800000000000002</v>
      </c>
      <c r="I25" s="12">
        <f>Hotel!B30</f>
        <v>188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65140</v>
      </c>
      <c r="F26" s="11">
        <v>5.0000000000000001E-3</v>
      </c>
      <c r="G26" s="12">
        <f>Submetering!R26</f>
        <v>843.38934800000004</v>
      </c>
      <c r="H26" s="11">
        <v>0.52800000000000002</v>
      </c>
      <c r="I26" s="12">
        <f>Hotel!B31</f>
        <v>93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69160</v>
      </c>
      <c r="F27" s="11">
        <v>5.0000000000000001E-3</v>
      </c>
      <c r="G27" s="12">
        <f>Submetering!R27</f>
        <v>910.012564</v>
      </c>
      <c r="H27" s="11">
        <v>0.52800000000000002</v>
      </c>
      <c r="I27" s="12">
        <f>Hotel!B32</f>
        <v>76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67490</v>
      </c>
      <c r="F28" s="11">
        <v>5.0000000000000001E-3</v>
      </c>
      <c r="G28" s="12">
        <f>Submetering!R28</f>
        <v>897.89925200000005</v>
      </c>
      <c r="H28" s="11">
        <v>0.52800000000000002</v>
      </c>
      <c r="I28" s="12">
        <f>Hotel!B33</f>
        <v>77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10160</v>
      </c>
      <c r="F22" s="4">
        <f>Hotel!R27</f>
        <v>13130</v>
      </c>
      <c r="G22" s="4">
        <f>Hotel!S27</f>
        <v>130</v>
      </c>
      <c r="H22" s="4">
        <f>Hotel!T27</f>
        <v>1650</v>
      </c>
      <c r="I22" s="4">
        <f>Hotel!U27</f>
        <v>3890</v>
      </c>
      <c r="J22" s="4">
        <f>Hotel!V27</f>
        <v>3810</v>
      </c>
      <c r="K22" s="4">
        <f>Hotel!W27</f>
        <v>2280</v>
      </c>
      <c r="L22" s="4">
        <f>Hotel!X27</f>
        <v>4910</v>
      </c>
      <c r="M22" s="4">
        <f>Hotel!Y27</f>
        <v>5700</v>
      </c>
      <c r="N22" s="4">
        <f>Hotel!Z27</f>
        <v>2400</v>
      </c>
      <c r="O22" s="4">
        <f>Hotel!AA27</f>
        <v>2940</v>
      </c>
      <c r="P22" s="4">
        <f>Hotel!AB27</f>
        <v>7260</v>
      </c>
      <c r="Q22" s="4">
        <f>Hotel!AC27</f>
        <v>11940</v>
      </c>
      <c r="R22" s="4">
        <f>Hotel!AV27*0.00378541*100</f>
        <v>889.19280900000001</v>
      </c>
      <c r="S22" s="4">
        <f>Hotel!B27</f>
        <v>74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9800</v>
      </c>
      <c r="F23" s="4">
        <f>Hotel!R28</f>
        <v>12680</v>
      </c>
      <c r="G23" s="4">
        <f>Hotel!S28</f>
        <v>120</v>
      </c>
      <c r="H23" s="4">
        <f>Hotel!T28</f>
        <v>1680</v>
      </c>
      <c r="I23" s="4">
        <f>Hotel!U28</f>
        <v>3950</v>
      </c>
      <c r="J23" s="4">
        <f>Hotel!V28</f>
        <v>3830</v>
      </c>
      <c r="K23" s="4">
        <f>Hotel!W28</f>
        <v>2230</v>
      </c>
      <c r="L23" s="4">
        <f>Hotel!X28</f>
        <v>4750</v>
      </c>
      <c r="M23" s="4">
        <f>Hotel!Y28</f>
        <v>5850</v>
      </c>
      <c r="N23" s="4">
        <f>Hotel!Z28</f>
        <v>2490</v>
      </c>
      <c r="O23" s="4">
        <f>Hotel!AA28</f>
        <v>2930</v>
      </c>
      <c r="P23" s="4">
        <f>Hotel!AB28</f>
        <v>7080</v>
      </c>
      <c r="Q23" s="4">
        <f>Hotel!AC28</f>
        <v>11750</v>
      </c>
      <c r="R23" s="4">
        <f>Hotel!AV28*0.00378541*100</f>
        <v>817.27001900000005</v>
      </c>
      <c r="S23" s="4">
        <f>Hotel!B28</f>
        <v>99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9900</v>
      </c>
      <c r="F24" s="4">
        <f>Hotel!R29</f>
        <v>12850</v>
      </c>
      <c r="G24" s="4">
        <f>Hotel!S29</f>
        <v>110</v>
      </c>
      <c r="H24" s="4">
        <f>Hotel!T29</f>
        <v>1710</v>
      </c>
      <c r="I24" s="4">
        <f>Hotel!U29</f>
        <v>4340</v>
      </c>
      <c r="J24" s="4">
        <f>Hotel!V29</f>
        <v>4110</v>
      </c>
      <c r="K24" s="4">
        <f>Hotel!W29</f>
        <v>2290</v>
      </c>
      <c r="L24" s="4">
        <f>Hotel!X29</f>
        <v>4940</v>
      </c>
      <c r="M24" s="4">
        <f>Hotel!Y29</f>
        <v>6160</v>
      </c>
      <c r="N24" s="4">
        <f>Hotel!Z29</f>
        <v>2760</v>
      </c>
      <c r="O24" s="4">
        <f>Hotel!AA29</f>
        <v>3260</v>
      </c>
      <c r="P24" s="4">
        <f>Hotel!AB29</f>
        <v>7370</v>
      </c>
      <c r="Q24" s="4">
        <f>Hotel!AC29</f>
        <v>9860</v>
      </c>
      <c r="R24" s="4">
        <f>Hotel!AV29*0.00378541*100</f>
        <v>981.93535399999996</v>
      </c>
      <c r="S24" s="4">
        <f>Hotel!B29</f>
        <v>168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10860</v>
      </c>
      <c r="F25" s="4">
        <f>Hotel!R30</f>
        <v>14030</v>
      </c>
      <c r="G25" s="4">
        <f>Hotel!S30</f>
        <v>140</v>
      </c>
      <c r="H25" s="4">
        <f>Hotel!T30</f>
        <v>1830</v>
      </c>
      <c r="I25" s="4">
        <f>Hotel!U30</f>
        <v>5040</v>
      </c>
      <c r="J25" s="4">
        <f>Hotel!V30</f>
        <v>4400</v>
      </c>
      <c r="K25" s="4">
        <f>Hotel!W30</f>
        <v>2450</v>
      </c>
      <c r="L25" s="4">
        <f>Hotel!X30</f>
        <v>5280</v>
      </c>
      <c r="M25" s="4">
        <f>Hotel!Y30</f>
        <v>6630</v>
      </c>
      <c r="N25" s="4">
        <f>Hotel!Z30</f>
        <v>3150</v>
      </c>
      <c r="O25" s="4">
        <f>Hotel!AA30</f>
        <v>3710</v>
      </c>
      <c r="P25" s="4">
        <f>Hotel!AB30</f>
        <v>8070</v>
      </c>
      <c r="Q25" s="4">
        <f>Hotel!AC30</f>
        <v>9600</v>
      </c>
      <c r="R25" s="4">
        <f>Hotel!AV30*0.00378541*100</f>
        <v>1056.1293899999998</v>
      </c>
      <c r="S25" s="4">
        <f>Hotel!B30</f>
        <v>188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9410</v>
      </c>
      <c r="F26" s="4">
        <f>Hotel!R31</f>
        <v>12070</v>
      </c>
      <c r="G26" s="4">
        <f>Hotel!S31</f>
        <v>120</v>
      </c>
      <c r="H26" s="4">
        <f>Hotel!T31</f>
        <v>1580</v>
      </c>
      <c r="I26" s="4">
        <f>Hotel!U31</f>
        <v>4140</v>
      </c>
      <c r="J26" s="4">
        <f>Hotel!V31</f>
        <v>3660</v>
      </c>
      <c r="K26" s="4">
        <f>Hotel!W31</f>
        <v>2090</v>
      </c>
      <c r="L26" s="4">
        <f>Hotel!X31</f>
        <v>4650</v>
      </c>
      <c r="M26" s="4">
        <f>Hotel!Y31</f>
        <v>5410</v>
      </c>
      <c r="N26" s="4">
        <f>Hotel!Z31</f>
        <v>2520</v>
      </c>
      <c r="O26" s="4">
        <f>Hotel!AA31</f>
        <v>3080</v>
      </c>
      <c r="P26" s="4">
        <f>Hotel!AB31</f>
        <v>6820</v>
      </c>
      <c r="Q26" s="4">
        <f>Hotel!AC31</f>
        <v>9590</v>
      </c>
      <c r="R26" s="4">
        <f>Hotel!AV31*0.00378541*100</f>
        <v>843.38934800000004</v>
      </c>
      <c r="S26" s="4">
        <f>Hotel!B31</f>
        <v>93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9570</v>
      </c>
      <c r="F27" s="4">
        <f>Hotel!R32</f>
        <v>12530</v>
      </c>
      <c r="G27" s="4">
        <f>Hotel!S32</f>
        <v>110</v>
      </c>
      <c r="H27" s="4">
        <f>Hotel!T32</f>
        <v>1670</v>
      </c>
      <c r="I27" s="4">
        <f>Hotel!U32</f>
        <v>4320</v>
      </c>
      <c r="J27" s="4">
        <f>Hotel!V32</f>
        <v>3830</v>
      </c>
      <c r="K27" s="4">
        <f>Hotel!W32</f>
        <v>2250</v>
      </c>
      <c r="L27" s="4">
        <f>Hotel!X32</f>
        <v>4620</v>
      </c>
      <c r="M27" s="4">
        <f>Hotel!Y32</f>
        <v>5530</v>
      </c>
      <c r="N27" s="4">
        <f>Hotel!Z32</f>
        <v>2540</v>
      </c>
      <c r="O27" s="4">
        <f>Hotel!AA32</f>
        <v>3300</v>
      </c>
      <c r="P27" s="4">
        <f>Hotel!AB32</f>
        <v>7320</v>
      </c>
      <c r="Q27" s="4">
        <f>Hotel!AC32</f>
        <v>11570</v>
      </c>
      <c r="R27" s="4">
        <f>Hotel!AV32*0.00378541*100</f>
        <v>910.012564</v>
      </c>
      <c r="S27" s="4">
        <f>Hotel!B32</f>
        <v>76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9180</v>
      </c>
      <c r="F28" s="4">
        <f>Hotel!R33</f>
        <v>12160</v>
      </c>
      <c r="G28" s="4">
        <f>Hotel!S33</f>
        <v>90</v>
      </c>
      <c r="H28" s="4">
        <f>Hotel!T33</f>
        <v>1690</v>
      </c>
      <c r="I28" s="4">
        <f>Hotel!U33</f>
        <v>4250</v>
      </c>
      <c r="J28" s="4">
        <f>Hotel!V33</f>
        <v>3900</v>
      </c>
      <c r="K28" s="4">
        <f>Hotel!W33</f>
        <v>2270</v>
      </c>
      <c r="L28" s="4">
        <f>Hotel!X33</f>
        <v>4330</v>
      </c>
      <c r="M28" s="4">
        <f>Hotel!Y33</f>
        <v>5740</v>
      </c>
      <c r="N28" s="4">
        <f>Hotel!Z33</f>
        <v>2490</v>
      </c>
      <c r="O28" s="4">
        <f>Hotel!AA33</f>
        <v>3030</v>
      </c>
      <c r="P28" s="4">
        <f>Hotel!AB33</f>
        <v>7130</v>
      </c>
      <c r="Q28" s="4">
        <f>Hotel!AC33</f>
        <v>11230</v>
      </c>
      <c r="R28" s="4">
        <f>Hotel!AV33*0.00378541*100</f>
        <v>897.89925200000005</v>
      </c>
      <c r="S28" s="4">
        <f>Hotel!B33</f>
        <v>77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 t="str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M18" sqref="AM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>
        <v>74</v>
      </c>
      <c r="C27" s="24">
        <v>6997450</v>
      </c>
      <c r="D27" s="24">
        <v>17074850</v>
      </c>
      <c r="E27" s="24">
        <v>3055950</v>
      </c>
      <c r="F27" s="24">
        <v>3661740</v>
      </c>
      <c r="G27" s="24">
        <v>10823570</v>
      </c>
      <c r="H27" s="24">
        <v>5877500</v>
      </c>
      <c r="I27" s="24">
        <v>5325520</v>
      </c>
      <c r="J27" s="24">
        <v>6348440</v>
      </c>
      <c r="K27" s="24">
        <v>9734730</v>
      </c>
      <c r="L27" s="24">
        <v>4101880</v>
      </c>
      <c r="M27" s="24">
        <v>8221120</v>
      </c>
      <c r="N27" s="24">
        <v>12781650</v>
      </c>
      <c r="O27" s="24">
        <v>17612880</v>
      </c>
      <c r="Q27" s="37">
        <f t="shared" si="33"/>
        <v>10160</v>
      </c>
      <c r="R27" s="37">
        <f t="shared" si="33"/>
        <v>13130</v>
      </c>
      <c r="S27" s="37">
        <f t="shared" si="33"/>
        <v>130</v>
      </c>
      <c r="T27" s="37">
        <f t="shared" si="33"/>
        <v>1650</v>
      </c>
      <c r="U27" s="37">
        <f t="shared" si="33"/>
        <v>3890</v>
      </c>
      <c r="V27" s="37">
        <f t="shared" si="33"/>
        <v>3810</v>
      </c>
      <c r="W27" s="37">
        <f t="shared" si="33"/>
        <v>2280</v>
      </c>
      <c r="X27" s="37">
        <f t="shared" si="33"/>
        <v>4910</v>
      </c>
      <c r="Y27" s="37">
        <f t="shared" si="33"/>
        <v>5700</v>
      </c>
      <c r="Z27" s="37">
        <f t="shared" si="33"/>
        <v>2400</v>
      </c>
      <c r="AA27" s="37">
        <f t="shared" si="33"/>
        <v>2940</v>
      </c>
      <c r="AB27" s="37">
        <f t="shared" si="33"/>
        <v>7260</v>
      </c>
      <c r="AC27" s="37">
        <f t="shared" si="33"/>
        <v>11940</v>
      </c>
      <c r="AD27" s="35">
        <f t="shared" si="29"/>
        <v>70200</v>
      </c>
      <c r="AF27" s="20">
        <f t="shared" si="1"/>
        <v>50.800000000000004</v>
      </c>
      <c r="AG27" s="20">
        <f t="shared" si="2"/>
        <v>65.650000000000006</v>
      </c>
      <c r="AH27" s="20">
        <f t="shared" si="3"/>
        <v>0.65</v>
      </c>
      <c r="AI27" s="20">
        <f t="shared" si="4"/>
        <v>8.25</v>
      </c>
      <c r="AJ27" s="20">
        <f t="shared" si="5"/>
        <v>19.45</v>
      </c>
      <c r="AK27" s="20">
        <f t="shared" si="6"/>
        <v>19.05</v>
      </c>
      <c r="AL27" s="20">
        <f t="shared" si="7"/>
        <v>11.4</v>
      </c>
      <c r="AM27" s="20">
        <f t="shared" si="8"/>
        <v>24.55</v>
      </c>
      <c r="AN27" s="20">
        <f t="shared" si="9"/>
        <v>28.5</v>
      </c>
      <c r="AO27" s="20">
        <f t="shared" si="10"/>
        <v>12</v>
      </c>
      <c r="AP27" s="20">
        <f t="shared" si="11"/>
        <v>14.700000000000001</v>
      </c>
      <c r="AQ27" s="20">
        <f t="shared" si="12"/>
        <v>36.300000000000004</v>
      </c>
      <c r="AR27" s="20">
        <f t="shared" si="13"/>
        <v>59.7</v>
      </c>
      <c r="AS27" s="35">
        <f t="shared" si="30"/>
        <v>351</v>
      </c>
      <c r="AU27" s="47">
        <v>246661</v>
      </c>
      <c r="AV27" s="37">
        <f>IF((AU27-AU26&lt;0),"0",AU27-AU26)</f>
        <v>2349</v>
      </c>
      <c r="AW27" s="35">
        <f t="shared" si="14"/>
        <v>4.6980000000000004</v>
      </c>
    </row>
    <row r="28" spans="1:49" x14ac:dyDescent="0.25">
      <c r="A28" s="23">
        <v>44461</v>
      </c>
      <c r="B28" s="40">
        <v>99</v>
      </c>
      <c r="C28" s="24">
        <v>7007250</v>
      </c>
      <c r="D28" s="24">
        <v>17087530</v>
      </c>
      <c r="E28" s="24">
        <v>3056070</v>
      </c>
      <c r="F28" s="24">
        <v>3663420</v>
      </c>
      <c r="G28" s="24">
        <v>10827520</v>
      </c>
      <c r="H28" s="24">
        <v>5881330</v>
      </c>
      <c r="I28" s="24">
        <v>5327750</v>
      </c>
      <c r="J28" s="24">
        <v>6353190</v>
      </c>
      <c r="K28" s="24">
        <v>9740580</v>
      </c>
      <c r="L28" s="24">
        <v>4104370</v>
      </c>
      <c r="M28" s="24">
        <v>8224050</v>
      </c>
      <c r="N28" s="24">
        <v>12788730</v>
      </c>
      <c r="O28" s="24">
        <v>17624630</v>
      </c>
      <c r="Q28" s="37">
        <f t="shared" si="17"/>
        <v>9800</v>
      </c>
      <c r="R28" s="37">
        <f t="shared" si="18"/>
        <v>12680</v>
      </c>
      <c r="S28" s="37">
        <f t="shared" si="16"/>
        <v>120</v>
      </c>
      <c r="T28" s="37">
        <f t="shared" si="19"/>
        <v>1680</v>
      </c>
      <c r="U28" s="37">
        <f t="shared" si="20"/>
        <v>3950</v>
      </c>
      <c r="V28" s="37">
        <f t="shared" si="21"/>
        <v>3830</v>
      </c>
      <c r="W28" s="37">
        <f t="shared" si="22"/>
        <v>2230</v>
      </c>
      <c r="X28" s="37">
        <f t="shared" si="23"/>
        <v>4750</v>
      </c>
      <c r="Y28" s="37">
        <f t="shared" si="24"/>
        <v>5850</v>
      </c>
      <c r="Z28" s="37">
        <f t="shared" si="25"/>
        <v>2490</v>
      </c>
      <c r="AA28" s="37">
        <f t="shared" si="26"/>
        <v>2930</v>
      </c>
      <c r="AB28" s="37">
        <f t="shared" si="27"/>
        <v>7080</v>
      </c>
      <c r="AC28" s="37">
        <f t="shared" si="28"/>
        <v>11750</v>
      </c>
      <c r="AD28" s="35">
        <f t="shared" si="29"/>
        <v>69140</v>
      </c>
      <c r="AF28" s="20">
        <f t="shared" si="1"/>
        <v>49</v>
      </c>
      <c r="AG28" s="20">
        <f t="shared" si="2"/>
        <v>63.4</v>
      </c>
      <c r="AH28" s="20">
        <f t="shared" si="3"/>
        <v>0.6</v>
      </c>
      <c r="AI28" s="20">
        <f t="shared" si="4"/>
        <v>8.4</v>
      </c>
      <c r="AJ28" s="20">
        <f t="shared" si="5"/>
        <v>19.75</v>
      </c>
      <c r="AK28" s="20">
        <f t="shared" si="6"/>
        <v>19.150000000000002</v>
      </c>
      <c r="AL28" s="20">
        <f t="shared" si="7"/>
        <v>11.15</v>
      </c>
      <c r="AM28" s="20">
        <f t="shared" si="8"/>
        <v>23.75</v>
      </c>
      <c r="AN28" s="20">
        <f t="shared" si="9"/>
        <v>29.25</v>
      </c>
      <c r="AO28" s="20">
        <f t="shared" si="10"/>
        <v>12.450000000000001</v>
      </c>
      <c r="AP28" s="20">
        <f t="shared" si="11"/>
        <v>14.65</v>
      </c>
      <c r="AQ28" s="20">
        <f t="shared" si="12"/>
        <v>35.4</v>
      </c>
      <c r="AR28" s="20">
        <f t="shared" si="13"/>
        <v>58.75</v>
      </c>
      <c r="AS28" s="35">
        <f t="shared" si="30"/>
        <v>345.7</v>
      </c>
      <c r="AU28" s="47">
        <v>248820</v>
      </c>
      <c r="AV28" s="37">
        <f>IF((AU28-AU27&lt;0),"0",AU28-AU27)</f>
        <v>2159</v>
      </c>
      <c r="AW28" s="35">
        <f t="shared" si="14"/>
        <v>4.3180000000000005</v>
      </c>
    </row>
    <row r="29" spans="1:49" x14ac:dyDescent="0.25">
      <c r="A29" s="23">
        <v>44462</v>
      </c>
      <c r="B29" s="40">
        <v>168</v>
      </c>
      <c r="C29" s="24">
        <v>7017150</v>
      </c>
      <c r="D29" s="24">
        <v>17100380</v>
      </c>
      <c r="E29" s="24">
        <v>3056180</v>
      </c>
      <c r="F29" s="24">
        <v>3665130</v>
      </c>
      <c r="G29" s="24">
        <v>10831860</v>
      </c>
      <c r="H29" s="24">
        <v>5885440</v>
      </c>
      <c r="I29" s="24">
        <v>5330040</v>
      </c>
      <c r="J29" s="24">
        <v>6358130</v>
      </c>
      <c r="K29" s="24">
        <v>9746740</v>
      </c>
      <c r="L29" s="24">
        <v>4107130</v>
      </c>
      <c r="M29" s="24">
        <v>8227310</v>
      </c>
      <c r="N29" s="24">
        <v>12796100</v>
      </c>
      <c r="O29" s="24">
        <v>17634490</v>
      </c>
      <c r="Q29" s="37">
        <f t="shared" si="17"/>
        <v>9900</v>
      </c>
      <c r="R29" s="37">
        <f t="shared" si="18"/>
        <v>12850</v>
      </c>
      <c r="S29" s="37">
        <f t="shared" si="16"/>
        <v>110</v>
      </c>
      <c r="T29" s="37">
        <f t="shared" si="19"/>
        <v>1710</v>
      </c>
      <c r="U29" s="37">
        <f t="shared" si="20"/>
        <v>4340</v>
      </c>
      <c r="V29" s="37">
        <f t="shared" si="21"/>
        <v>4110</v>
      </c>
      <c r="W29" s="37">
        <f t="shared" si="22"/>
        <v>2290</v>
      </c>
      <c r="X29" s="37">
        <f t="shared" si="23"/>
        <v>4940</v>
      </c>
      <c r="Y29" s="37">
        <f t="shared" si="24"/>
        <v>6160</v>
      </c>
      <c r="Z29" s="37">
        <f t="shared" si="25"/>
        <v>2760</v>
      </c>
      <c r="AA29" s="37">
        <f t="shared" si="26"/>
        <v>3260</v>
      </c>
      <c r="AB29" s="37">
        <f t="shared" si="27"/>
        <v>7370</v>
      </c>
      <c r="AC29" s="37">
        <f t="shared" si="28"/>
        <v>9860</v>
      </c>
      <c r="AD29" s="35">
        <f t="shared" si="29"/>
        <v>69660</v>
      </c>
      <c r="AF29" s="20">
        <f t="shared" si="1"/>
        <v>49.5</v>
      </c>
      <c r="AG29" s="20">
        <f t="shared" si="2"/>
        <v>64.25</v>
      </c>
      <c r="AH29" s="20">
        <f t="shared" si="3"/>
        <v>0.55000000000000004</v>
      </c>
      <c r="AI29" s="20">
        <f t="shared" si="4"/>
        <v>8.5500000000000007</v>
      </c>
      <c r="AJ29" s="20">
        <f t="shared" si="5"/>
        <v>21.7</v>
      </c>
      <c r="AK29" s="20">
        <f t="shared" si="6"/>
        <v>20.55</v>
      </c>
      <c r="AL29" s="20">
        <f t="shared" si="7"/>
        <v>11.450000000000001</v>
      </c>
      <c r="AM29" s="20">
        <f t="shared" si="8"/>
        <v>24.7</v>
      </c>
      <c r="AN29" s="20">
        <f t="shared" si="9"/>
        <v>30.8</v>
      </c>
      <c r="AO29" s="20">
        <f t="shared" si="10"/>
        <v>13.8</v>
      </c>
      <c r="AP29" s="20">
        <f t="shared" si="11"/>
        <v>16.3</v>
      </c>
      <c r="AQ29" s="20">
        <f t="shared" si="12"/>
        <v>36.85</v>
      </c>
      <c r="AR29" s="20">
        <f t="shared" si="13"/>
        <v>49.300000000000004</v>
      </c>
      <c r="AS29" s="35">
        <f t="shared" si="30"/>
        <v>348.3</v>
      </c>
      <c r="AU29" s="47">
        <v>251414</v>
      </c>
      <c r="AV29" s="37">
        <f t="shared" ref="AV29:AV35" si="34">IF((AU29-AU28&lt;0),"0",AU29-AU28)</f>
        <v>2594</v>
      </c>
      <c r="AW29" s="35">
        <f t="shared" si="14"/>
        <v>5.1879999999999997</v>
      </c>
    </row>
    <row r="30" spans="1:49" x14ac:dyDescent="0.25">
      <c r="A30" s="23">
        <v>44463</v>
      </c>
      <c r="B30" s="40">
        <v>188</v>
      </c>
      <c r="C30" s="24">
        <v>7028010</v>
      </c>
      <c r="D30" s="24">
        <v>17114410</v>
      </c>
      <c r="E30" s="24">
        <v>3056320</v>
      </c>
      <c r="F30" s="24">
        <v>3666960</v>
      </c>
      <c r="G30" s="24">
        <v>10836900</v>
      </c>
      <c r="H30" s="24">
        <v>5889840</v>
      </c>
      <c r="I30" s="24">
        <v>5332490</v>
      </c>
      <c r="J30" s="24">
        <v>6363410</v>
      </c>
      <c r="K30" s="24">
        <v>9753370</v>
      </c>
      <c r="L30" s="24">
        <v>4110280</v>
      </c>
      <c r="M30" s="24">
        <v>8231020</v>
      </c>
      <c r="N30" s="24">
        <v>12804170</v>
      </c>
      <c r="O30" s="24">
        <v>17644090</v>
      </c>
      <c r="Q30" s="37">
        <f t="shared" si="17"/>
        <v>10860</v>
      </c>
      <c r="R30" s="37">
        <f t="shared" si="18"/>
        <v>14030</v>
      </c>
      <c r="S30" s="37">
        <f t="shared" si="16"/>
        <v>140</v>
      </c>
      <c r="T30" s="37">
        <f t="shared" si="19"/>
        <v>1830</v>
      </c>
      <c r="U30" s="37">
        <f t="shared" si="20"/>
        <v>5040</v>
      </c>
      <c r="V30" s="37">
        <f t="shared" si="21"/>
        <v>4400</v>
      </c>
      <c r="W30" s="37">
        <f t="shared" si="22"/>
        <v>2450</v>
      </c>
      <c r="X30" s="37">
        <f t="shared" si="23"/>
        <v>5280</v>
      </c>
      <c r="Y30" s="37">
        <f t="shared" si="24"/>
        <v>6630</v>
      </c>
      <c r="Z30" s="37">
        <f t="shared" si="25"/>
        <v>3150</v>
      </c>
      <c r="AA30" s="37">
        <f t="shared" si="26"/>
        <v>3710</v>
      </c>
      <c r="AB30" s="37">
        <f t="shared" si="27"/>
        <v>8070</v>
      </c>
      <c r="AC30" s="37">
        <f t="shared" si="28"/>
        <v>9600</v>
      </c>
      <c r="AD30" s="35">
        <f t="shared" si="29"/>
        <v>75190</v>
      </c>
      <c r="AF30" s="20">
        <f t="shared" si="1"/>
        <v>54.300000000000004</v>
      </c>
      <c r="AG30" s="20">
        <f t="shared" si="2"/>
        <v>70.150000000000006</v>
      </c>
      <c r="AH30" s="20">
        <f t="shared" si="3"/>
        <v>0.70000000000000007</v>
      </c>
      <c r="AI30" s="20">
        <f t="shared" si="4"/>
        <v>9.15</v>
      </c>
      <c r="AJ30" s="20">
        <f t="shared" si="5"/>
        <v>25.2</v>
      </c>
      <c r="AK30" s="20">
        <f t="shared" si="6"/>
        <v>22</v>
      </c>
      <c r="AL30" s="20">
        <f t="shared" si="7"/>
        <v>12.25</v>
      </c>
      <c r="AM30" s="20">
        <f t="shared" si="8"/>
        <v>26.400000000000002</v>
      </c>
      <c r="AN30" s="20">
        <f t="shared" si="9"/>
        <v>33.15</v>
      </c>
      <c r="AO30" s="20">
        <f t="shared" si="10"/>
        <v>15.75</v>
      </c>
      <c r="AP30" s="20">
        <f t="shared" si="11"/>
        <v>18.55</v>
      </c>
      <c r="AQ30" s="20">
        <f t="shared" si="12"/>
        <v>40.35</v>
      </c>
      <c r="AR30" s="20">
        <f t="shared" si="13"/>
        <v>48</v>
      </c>
      <c r="AS30" s="35">
        <f t="shared" si="30"/>
        <v>375.95000000000005</v>
      </c>
      <c r="AU30" s="47">
        <v>254204</v>
      </c>
      <c r="AV30" s="37">
        <f t="shared" si="34"/>
        <v>2790</v>
      </c>
      <c r="AW30" s="35">
        <f t="shared" si="14"/>
        <v>5.58</v>
      </c>
    </row>
    <row r="31" spans="1:49" x14ac:dyDescent="0.25">
      <c r="A31" s="23">
        <v>44464</v>
      </c>
      <c r="B31" s="40">
        <v>93</v>
      </c>
      <c r="C31" s="24">
        <v>7037420</v>
      </c>
      <c r="D31" s="24">
        <v>17126480</v>
      </c>
      <c r="E31" s="24">
        <v>3056440</v>
      </c>
      <c r="F31" s="24">
        <v>3668540</v>
      </c>
      <c r="G31" s="24">
        <v>10841040</v>
      </c>
      <c r="H31" s="24">
        <v>5893500</v>
      </c>
      <c r="I31" s="24">
        <v>5334580</v>
      </c>
      <c r="J31" s="24">
        <v>6368060</v>
      </c>
      <c r="K31" s="24">
        <v>9758780</v>
      </c>
      <c r="L31" s="24">
        <v>4112800</v>
      </c>
      <c r="M31" s="24">
        <v>8234100</v>
      </c>
      <c r="N31" s="24">
        <v>12810990</v>
      </c>
      <c r="O31" s="24">
        <v>17653680</v>
      </c>
      <c r="Q31" s="37">
        <f>IF((C31-C30&lt;0), "0",C31-C30)</f>
        <v>9410</v>
      </c>
      <c r="R31" s="37">
        <f t="shared" si="18"/>
        <v>12070</v>
      </c>
      <c r="S31" s="37">
        <f t="shared" si="16"/>
        <v>120</v>
      </c>
      <c r="T31" s="37">
        <f t="shared" si="19"/>
        <v>1580</v>
      </c>
      <c r="U31" s="37">
        <f t="shared" si="20"/>
        <v>4140</v>
      </c>
      <c r="V31" s="37">
        <f t="shared" si="21"/>
        <v>3660</v>
      </c>
      <c r="W31" s="37">
        <f t="shared" si="22"/>
        <v>2090</v>
      </c>
      <c r="X31" s="37">
        <f t="shared" si="23"/>
        <v>4650</v>
      </c>
      <c r="Y31" s="37">
        <f t="shared" si="24"/>
        <v>5410</v>
      </c>
      <c r="Z31" s="37">
        <f t="shared" si="25"/>
        <v>2520</v>
      </c>
      <c r="AA31" s="37">
        <f t="shared" si="26"/>
        <v>3080</v>
      </c>
      <c r="AB31" s="37">
        <f t="shared" si="27"/>
        <v>6820</v>
      </c>
      <c r="AC31" s="37">
        <f t="shared" si="28"/>
        <v>9590</v>
      </c>
      <c r="AD31" s="35">
        <f t="shared" si="29"/>
        <v>65140</v>
      </c>
      <c r="AF31" s="20">
        <f t="shared" si="1"/>
        <v>47.050000000000004</v>
      </c>
      <c r="AG31" s="20">
        <f t="shared" si="2"/>
        <v>60.35</v>
      </c>
      <c r="AH31" s="20">
        <f t="shared" si="3"/>
        <v>0.6</v>
      </c>
      <c r="AI31" s="20">
        <f t="shared" si="4"/>
        <v>7.9</v>
      </c>
      <c r="AJ31" s="20">
        <f t="shared" si="5"/>
        <v>20.7</v>
      </c>
      <c r="AK31" s="20">
        <f t="shared" si="6"/>
        <v>18.3</v>
      </c>
      <c r="AL31" s="20">
        <f t="shared" si="7"/>
        <v>10.450000000000001</v>
      </c>
      <c r="AM31" s="20">
        <f t="shared" si="8"/>
        <v>23.25</v>
      </c>
      <c r="AN31" s="20">
        <f t="shared" si="9"/>
        <v>27.05</v>
      </c>
      <c r="AO31" s="20">
        <f t="shared" si="10"/>
        <v>12.6</v>
      </c>
      <c r="AP31" s="20">
        <f t="shared" si="11"/>
        <v>15.4</v>
      </c>
      <c r="AQ31" s="20">
        <f t="shared" si="12"/>
        <v>34.1</v>
      </c>
      <c r="AR31" s="20">
        <f t="shared" si="13"/>
        <v>47.95</v>
      </c>
      <c r="AS31" s="35">
        <f t="shared" si="30"/>
        <v>325.7</v>
      </c>
      <c r="AU31" s="47">
        <v>256432</v>
      </c>
      <c r="AV31" s="37">
        <f t="shared" si="34"/>
        <v>2228</v>
      </c>
      <c r="AW31" s="35">
        <f t="shared" si="14"/>
        <v>4.4560000000000004</v>
      </c>
    </row>
    <row r="32" spans="1:49" x14ac:dyDescent="0.25">
      <c r="A32" s="23">
        <v>44465</v>
      </c>
      <c r="B32" s="40">
        <v>76</v>
      </c>
      <c r="C32" s="24">
        <v>7046990</v>
      </c>
      <c r="D32" s="24">
        <v>17139010</v>
      </c>
      <c r="E32" s="24">
        <v>3056550</v>
      </c>
      <c r="F32" s="24">
        <v>3670210</v>
      </c>
      <c r="G32" s="24">
        <v>10845360</v>
      </c>
      <c r="H32" s="24">
        <v>5897330</v>
      </c>
      <c r="I32" s="24">
        <v>5336830</v>
      </c>
      <c r="J32" s="24">
        <v>6372680</v>
      </c>
      <c r="K32" s="24">
        <v>9764310</v>
      </c>
      <c r="L32" s="24">
        <v>4115340</v>
      </c>
      <c r="M32" s="24">
        <v>8237400</v>
      </c>
      <c r="N32" s="24">
        <v>12818310</v>
      </c>
      <c r="O32" s="24">
        <v>17665250</v>
      </c>
      <c r="Q32" s="37">
        <f>IF((C32-C31&lt;0), "0",C32-C31)</f>
        <v>9570</v>
      </c>
      <c r="R32" s="37">
        <f t="shared" si="18"/>
        <v>12530</v>
      </c>
      <c r="S32" s="37">
        <f t="shared" si="16"/>
        <v>110</v>
      </c>
      <c r="T32" s="37">
        <f t="shared" si="19"/>
        <v>1670</v>
      </c>
      <c r="U32" s="37">
        <f t="shared" si="20"/>
        <v>4320</v>
      </c>
      <c r="V32" s="37">
        <f t="shared" si="21"/>
        <v>3830</v>
      </c>
      <c r="W32" s="37">
        <f t="shared" si="22"/>
        <v>2250</v>
      </c>
      <c r="X32" s="37">
        <f t="shared" si="23"/>
        <v>4620</v>
      </c>
      <c r="Y32" s="37">
        <f t="shared" si="24"/>
        <v>5530</v>
      </c>
      <c r="Z32" s="37">
        <f t="shared" si="25"/>
        <v>2540</v>
      </c>
      <c r="AA32" s="37">
        <f t="shared" si="26"/>
        <v>3300</v>
      </c>
      <c r="AB32" s="37">
        <f t="shared" si="27"/>
        <v>7320</v>
      </c>
      <c r="AC32" s="37">
        <f t="shared" si="28"/>
        <v>11570</v>
      </c>
      <c r="AD32" s="35">
        <f t="shared" si="29"/>
        <v>69160</v>
      </c>
      <c r="AF32" s="20">
        <f t="shared" si="1"/>
        <v>47.85</v>
      </c>
      <c r="AG32" s="20">
        <f t="shared" si="2"/>
        <v>62.65</v>
      </c>
      <c r="AH32" s="20">
        <f t="shared" si="3"/>
        <v>0.55000000000000004</v>
      </c>
      <c r="AI32" s="20">
        <f t="shared" si="4"/>
        <v>8.35</v>
      </c>
      <c r="AJ32" s="20">
        <f t="shared" si="5"/>
        <v>21.6</v>
      </c>
      <c r="AK32" s="20">
        <f t="shared" si="6"/>
        <v>19.150000000000002</v>
      </c>
      <c r="AL32" s="20">
        <f t="shared" si="7"/>
        <v>11.25</v>
      </c>
      <c r="AM32" s="20">
        <f t="shared" si="8"/>
        <v>23.1</v>
      </c>
      <c r="AN32" s="20">
        <f t="shared" si="9"/>
        <v>27.650000000000002</v>
      </c>
      <c r="AO32" s="20">
        <f t="shared" si="10"/>
        <v>12.700000000000001</v>
      </c>
      <c r="AP32" s="20">
        <f t="shared" si="11"/>
        <v>16.5</v>
      </c>
      <c r="AQ32" s="20">
        <f t="shared" si="12"/>
        <v>36.6</v>
      </c>
      <c r="AR32" s="20">
        <f t="shared" si="13"/>
        <v>57.85</v>
      </c>
      <c r="AS32" s="35">
        <f t="shared" si="30"/>
        <v>345.8</v>
      </c>
      <c r="AU32" s="47">
        <v>258836</v>
      </c>
      <c r="AV32" s="37">
        <f t="shared" si="34"/>
        <v>2404</v>
      </c>
      <c r="AW32" s="35">
        <f t="shared" si="14"/>
        <v>4.8079999999999998</v>
      </c>
    </row>
    <row r="33" spans="1:49" x14ac:dyDescent="0.25">
      <c r="A33" s="23">
        <v>44466</v>
      </c>
      <c r="B33" s="40">
        <v>77</v>
      </c>
      <c r="C33" s="24">
        <v>7056170</v>
      </c>
      <c r="D33" s="24">
        <v>17151170</v>
      </c>
      <c r="E33" s="24">
        <v>3056640</v>
      </c>
      <c r="F33" s="24">
        <v>3671900</v>
      </c>
      <c r="G33" s="24">
        <v>10849610</v>
      </c>
      <c r="H33" s="24">
        <v>5901230</v>
      </c>
      <c r="I33" s="24">
        <v>5339100</v>
      </c>
      <c r="J33" s="24">
        <v>6377010</v>
      </c>
      <c r="K33" s="24">
        <v>9770050</v>
      </c>
      <c r="L33" s="24">
        <v>4117830</v>
      </c>
      <c r="M33" s="24">
        <v>8240430</v>
      </c>
      <c r="N33" s="24">
        <v>12825440</v>
      </c>
      <c r="O33" s="24">
        <v>17676480</v>
      </c>
      <c r="Q33" s="37">
        <f>IF((C33-C32&lt;0), "0",C33-C32)</f>
        <v>9180</v>
      </c>
      <c r="R33" s="37">
        <f t="shared" si="18"/>
        <v>12160</v>
      </c>
      <c r="S33" s="37">
        <f t="shared" si="16"/>
        <v>90</v>
      </c>
      <c r="T33" s="37">
        <f t="shared" si="19"/>
        <v>1690</v>
      </c>
      <c r="U33" s="37">
        <f t="shared" si="20"/>
        <v>4250</v>
      </c>
      <c r="V33" s="37">
        <f t="shared" si="21"/>
        <v>3900</v>
      </c>
      <c r="W33" s="37">
        <f t="shared" si="22"/>
        <v>2270</v>
      </c>
      <c r="X33" s="37">
        <f t="shared" si="23"/>
        <v>4330</v>
      </c>
      <c r="Y33" s="37">
        <f t="shared" si="24"/>
        <v>5740</v>
      </c>
      <c r="Z33" s="37">
        <f t="shared" si="25"/>
        <v>2490</v>
      </c>
      <c r="AA33" s="37">
        <f t="shared" si="26"/>
        <v>3030</v>
      </c>
      <c r="AB33" s="37">
        <f t="shared" si="27"/>
        <v>7130</v>
      </c>
      <c r="AC33" s="37">
        <f t="shared" si="28"/>
        <v>11230</v>
      </c>
      <c r="AD33" s="35">
        <f t="shared" si="29"/>
        <v>67490</v>
      </c>
      <c r="AF33" s="20">
        <f t="shared" si="1"/>
        <v>45.9</v>
      </c>
      <c r="AG33" s="20">
        <f t="shared" si="2"/>
        <v>60.800000000000004</v>
      </c>
      <c r="AH33" s="20">
        <f t="shared" si="3"/>
        <v>0.45</v>
      </c>
      <c r="AI33" s="20">
        <f t="shared" si="4"/>
        <v>8.4499999999999993</v>
      </c>
      <c r="AJ33" s="20">
        <f t="shared" si="5"/>
        <v>21.25</v>
      </c>
      <c r="AK33" s="20">
        <f t="shared" si="6"/>
        <v>19.5</v>
      </c>
      <c r="AL33" s="20">
        <f t="shared" si="7"/>
        <v>11.35</v>
      </c>
      <c r="AM33" s="20">
        <f t="shared" si="8"/>
        <v>21.650000000000002</v>
      </c>
      <c r="AN33" s="20">
        <f t="shared" si="9"/>
        <v>28.7</v>
      </c>
      <c r="AO33" s="20">
        <f t="shared" si="10"/>
        <v>12.450000000000001</v>
      </c>
      <c r="AP33" s="20">
        <f t="shared" si="11"/>
        <v>15.15</v>
      </c>
      <c r="AQ33" s="20">
        <f t="shared" si="12"/>
        <v>35.65</v>
      </c>
      <c r="AR33" s="20">
        <f t="shared" si="13"/>
        <v>56.15</v>
      </c>
      <c r="AS33" s="35">
        <f t="shared" si="30"/>
        <v>337.45</v>
      </c>
      <c r="AU33" s="47">
        <v>261208</v>
      </c>
      <c r="AV33" s="37">
        <f t="shared" si="34"/>
        <v>2372</v>
      </c>
      <c r="AW33" s="35">
        <f t="shared" si="14"/>
        <v>4.7439999999999998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 t="str">
        <f t="shared" si="27"/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276390</v>
      </c>
      <c r="R38" s="38">
        <f t="shared" ref="R38:AD38" si="62">SUM(R7:R37)</f>
        <v>357100</v>
      </c>
      <c r="S38" s="38">
        <f t="shared" si="62"/>
        <v>12670</v>
      </c>
      <c r="T38" s="38">
        <f t="shared" si="62"/>
        <v>45780</v>
      </c>
      <c r="U38" s="38">
        <f t="shared" si="62"/>
        <v>110340</v>
      </c>
      <c r="V38" s="38">
        <f t="shared" si="62"/>
        <v>100660</v>
      </c>
      <c r="W38" s="38">
        <f t="shared" si="62"/>
        <v>61660</v>
      </c>
      <c r="X38" s="38">
        <f t="shared" si="62"/>
        <v>126180</v>
      </c>
      <c r="Y38" s="38">
        <f t="shared" si="62"/>
        <v>151870</v>
      </c>
      <c r="Z38" s="38">
        <f t="shared" si="62"/>
        <v>70580</v>
      </c>
      <c r="AA38" s="38">
        <f t="shared" si="62"/>
        <v>83030</v>
      </c>
      <c r="AB38" s="38">
        <f t="shared" si="62"/>
        <v>195310</v>
      </c>
      <c r="AC38" s="38">
        <f t="shared" si="62"/>
        <v>274440</v>
      </c>
      <c r="AD38" s="38">
        <f t="shared" si="62"/>
        <v>1866010</v>
      </c>
      <c r="AF38" s="35">
        <f>SUM(AF7:AF37)</f>
        <v>1381.9499999999998</v>
      </c>
      <c r="AG38" s="35">
        <f t="shared" ref="AG38:AS38" si="63">SUM(AG7:AG37)</f>
        <v>1785.5000000000002</v>
      </c>
      <c r="AH38" s="35">
        <f t="shared" si="63"/>
        <v>63.350000000000009</v>
      </c>
      <c r="AI38" s="35">
        <f t="shared" si="63"/>
        <v>228.90000000000006</v>
      </c>
      <c r="AJ38" s="35">
        <f t="shared" si="63"/>
        <v>551.69999999999993</v>
      </c>
      <c r="AK38" s="35">
        <f t="shared" si="63"/>
        <v>503.30000000000007</v>
      </c>
      <c r="AL38" s="35">
        <f t="shared" si="63"/>
        <v>308.3</v>
      </c>
      <c r="AM38" s="35">
        <f t="shared" si="63"/>
        <v>630.9</v>
      </c>
      <c r="AN38" s="35">
        <f t="shared" si="63"/>
        <v>759.3499999999998</v>
      </c>
      <c r="AO38" s="35">
        <f t="shared" si="63"/>
        <v>352.9</v>
      </c>
      <c r="AP38" s="35">
        <f t="shared" si="63"/>
        <v>415.15</v>
      </c>
      <c r="AQ38" s="35">
        <f t="shared" si="63"/>
        <v>976.55</v>
      </c>
      <c r="AR38" s="35">
        <f t="shared" si="63"/>
        <v>1372.2</v>
      </c>
      <c r="AS38" s="35">
        <f t="shared" si="63"/>
        <v>9330.0500000000011</v>
      </c>
      <c r="AU38" s="48"/>
      <c r="AV38" s="34">
        <f>SUM(AV7:AV37)</f>
        <v>66306</v>
      </c>
      <c r="AW38" s="35">
        <f>SUM(AW7:AW37)</f>
        <v>132.61199999999997</v>
      </c>
    </row>
    <row r="39" spans="1:49" x14ac:dyDescent="0.25">
      <c r="D39">
        <v>5.0000000000000001E-3</v>
      </c>
      <c r="AV39" s="36">
        <f>AV38*0.00378541*1000</f>
        <v>250995.39546</v>
      </c>
    </row>
    <row r="40" spans="1:49" x14ac:dyDescent="0.25">
      <c r="D40">
        <v>2E-3</v>
      </c>
      <c r="AV40">
        <f>AV39/31</f>
        <v>8096.6256599999997</v>
      </c>
    </row>
    <row r="41" spans="1:49" x14ac:dyDescent="0.25">
      <c r="AV41">
        <f>AV38*0.00378541</f>
        <v>250.99539546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2021-09-28T06:34:11Z</dcterms:modified>
</cp:coreProperties>
</file>