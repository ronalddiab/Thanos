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I26" i="2" l="1"/>
  <c r="AH26" i="2"/>
  <c r="AG26" i="2"/>
  <c r="AF26" i="2"/>
  <c r="AC26" i="2"/>
  <c r="W26" i="2"/>
  <c r="V26" i="2"/>
  <c r="Q26" i="2"/>
  <c r="P26" i="2"/>
  <c r="O26" i="2"/>
  <c r="N26" i="2"/>
  <c r="M26" i="2"/>
  <c r="J26" i="2" l="1"/>
  <c r="I26" i="2"/>
  <c r="H26" i="2"/>
  <c r="G26" i="2"/>
  <c r="F26" i="2"/>
  <c r="E26" i="2"/>
  <c r="D26" i="2"/>
  <c r="C26" i="2"/>
  <c r="B26" i="2"/>
  <c r="AH25" i="2" l="1"/>
  <c r="AG25" i="2"/>
  <c r="AF25" i="2"/>
  <c r="W25" i="2"/>
  <c r="V25" i="2"/>
  <c r="Q25" i="2"/>
  <c r="P25" i="2"/>
  <c r="O25" i="2"/>
  <c r="N25" i="2"/>
  <c r="M25" i="2"/>
  <c r="J25" i="2" l="1"/>
  <c r="I25" i="2"/>
  <c r="H25" i="2"/>
  <c r="G25" i="2"/>
  <c r="F25" i="2"/>
  <c r="E25" i="2"/>
  <c r="D25" i="2"/>
  <c r="C25" i="2"/>
  <c r="B25" i="2"/>
  <c r="AI24" i="2" l="1"/>
  <c r="AI25" i="2"/>
  <c r="AI23" i="2"/>
  <c r="AH24" i="2"/>
  <c r="AG24" i="2"/>
  <c r="AF24" i="2"/>
  <c r="AH23" i="2"/>
  <c r="AG23" i="2"/>
  <c r="AF23" i="2"/>
  <c r="AC24" i="2"/>
  <c r="AC25" i="2"/>
  <c r="AC23" i="2"/>
  <c r="V24" i="2"/>
  <c r="V23" i="2"/>
  <c r="Q24" i="2" l="1"/>
  <c r="P24" i="2"/>
  <c r="Q23" i="2"/>
  <c r="P23" i="2"/>
  <c r="O24" i="2"/>
  <c r="N24" i="2"/>
  <c r="M24" i="2"/>
  <c r="O23" i="2"/>
  <c r="N23" i="2"/>
  <c r="M23" i="2"/>
  <c r="J24" i="2" l="1"/>
  <c r="I24" i="2"/>
  <c r="H24" i="2"/>
  <c r="G24" i="2"/>
  <c r="F24" i="2"/>
  <c r="E24" i="2"/>
  <c r="D24" i="2"/>
  <c r="C24" i="2"/>
  <c r="B24" i="2"/>
  <c r="J23" i="2"/>
  <c r="I23" i="2"/>
  <c r="H23" i="2"/>
  <c r="G23" i="2"/>
  <c r="F23" i="2"/>
  <c r="E23" i="2"/>
  <c r="D23" i="2"/>
  <c r="C23" i="2"/>
  <c r="B23" i="2"/>
  <c r="AI22" i="2" l="1"/>
  <c r="AH22" i="2"/>
  <c r="AG22" i="2"/>
  <c r="AF22" i="2"/>
  <c r="AC22" i="2"/>
  <c r="V22" i="2"/>
  <c r="Q22" i="2"/>
  <c r="P22" i="2"/>
  <c r="O22" i="2"/>
  <c r="N22" i="2"/>
  <c r="M22" i="2"/>
  <c r="J22" i="2" l="1"/>
  <c r="I22" i="2"/>
  <c r="H22" i="2"/>
  <c r="G22" i="2"/>
  <c r="F22" i="2"/>
  <c r="E22" i="2"/>
  <c r="D22" i="2"/>
  <c r="C22" i="2"/>
  <c r="B22" i="2"/>
  <c r="AI21" i="2" l="1"/>
  <c r="AH21" i="2"/>
  <c r="AG21" i="2"/>
  <c r="AF21" i="2"/>
  <c r="AC21" i="2"/>
  <c r="V21" i="2"/>
  <c r="Q21" i="2"/>
  <c r="P21" i="2"/>
  <c r="O21" i="2"/>
  <c r="N21" i="2"/>
  <c r="M21" i="2"/>
  <c r="J21" i="2" l="1"/>
  <c r="I21" i="2"/>
  <c r="H21" i="2"/>
  <c r="G21" i="2"/>
  <c r="F21" i="2"/>
  <c r="E21" i="2"/>
  <c r="D21" i="2"/>
  <c r="C21" i="2"/>
  <c r="B21" i="2"/>
  <c r="AI20" i="2" l="1"/>
  <c r="AH20" i="2"/>
  <c r="AG20" i="2"/>
  <c r="AF20" i="2"/>
  <c r="AC20" i="2"/>
  <c r="V20" i="2"/>
  <c r="Q20" i="2"/>
  <c r="P20" i="2"/>
  <c r="O20" i="2"/>
  <c r="N20" i="2"/>
  <c r="M20" i="2"/>
  <c r="J20" i="2" l="1"/>
  <c r="I20" i="2"/>
  <c r="H20" i="2"/>
  <c r="G20" i="2"/>
  <c r="F20" i="2"/>
  <c r="E20" i="2"/>
  <c r="D20" i="2"/>
  <c r="C20" i="2"/>
  <c r="B20" i="2"/>
  <c r="AI19" i="2" l="1"/>
  <c r="AH19" i="2"/>
  <c r="AG19" i="2"/>
  <c r="AF19" i="2"/>
  <c r="AC19" i="2"/>
  <c r="V19" i="2"/>
  <c r="Q19" i="2"/>
  <c r="P19" i="2"/>
  <c r="O19" i="2"/>
  <c r="N19" i="2"/>
  <c r="M19" i="2"/>
  <c r="J19" i="2"/>
  <c r="I19" i="2"/>
  <c r="H19" i="2"/>
  <c r="G19" i="2"/>
  <c r="F19" i="2"/>
  <c r="E19" i="2"/>
  <c r="D19" i="2"/>
  <c r="C19" i="2"/>
  <c r="B19" i="2"/>
  <c r="AI18" i="2" l="1"/>
  <c r="AH18" i="2"/>
  <c r="AG18" i="2"/>
  <c r="AF18" i="2"/>
  <c r="AC18" i="2"/>
  <c r="V18" i="2" l="1"/>
  <c r="Q18" i="2"/>
  <c r="P18" i="2"/>
  <c r="O18" i="2"/>
  <c r="N18" i="2"/>
  <c r="M18" i="2"/>
  <c r="J18" i="2" l="1"/>
  <c r="I18" i="2"/>
  <c r="H18" i="2"/>
  <c r="G18" i="2"/>
  <c r="F18" i="2"/>
  <c r="E18" i="2"/>
  <c r="D18" i="2"/>
  <c r="C18" i="2"/>
  <c r="B18" i="2"/>
  <c r="AI17" i="2" l="1"/>
  <c r="AI16" i="2"/>
  <c r="AH17" i="2"/>
  <c r="AG17" i="2"/>
  <c r="AF17" i="2"/>
  <c r="AH16" i="2"/>
  <c r="AG16" i="2"/>
  <c r="AF16" i="2"/>
  <c r="AC17" i="2"/>
  <c r="AC16" i="2"/>
  <c r="W17" i="2"/>
  <c r="V17" i="2"/>
  <c r="W16" i="2"/>
  <c r="V16" i="2"/>
  <c r="Q17" i="2" l="1"/>
  <c r="P17" i="2"/>
  <c r="Q16" i="2"/>
  <c r="P16" i="2"/>
  <c r="O17" i="2"/>
  <c r="N17" i="2"/>
  <c r="M17" i="2"/>
  <c r="O16" i="2"/>
  <c r="N16" i="2"/>
  <c r="M16" i="2"/>
  <c r="J17" i="2"/>
  <c r="I17" i="2"/>
  <c r="H17" i="2"/>
  <c r="G17" i="2"/>
  <c r="F17" i="2"/>
  <c r="E17" i="2"/>
  <c r="D17" i="2"/>
  <c r="C17" i="2"/>
  <c r="B17" i="2"/>
  <c r="J16" i="2"/>
  <c r="I16" i="2"/>
  <c r="H16" i="2"/>
  <c r="G16" i="2"/>
  <c r="F16" i="2"/>
  <c r="E16" i="2"/>
  <c r="D16" i="2"/>
  <c r="C16" i="2"/>
  <c r="B16" i="2"/>
  <c r="AI15" i="2" l="1"/>
  <c r="AH15" i="2"/>
  <c r="AG15" i="2"/>
  <c r="AF15" i="2"/>
  <c r="AC15" i="2"/>
  <c r="W15" i="2"/>
  <c r="V15" i="2"/>
  <c r="Q15" i="2"/>
  <c r="P15" i="2"/>
  <c r="O15" i="2"/>
  <c r="N15" i="2"/>
  <c r="M15" i="2"/>
  <c r="J15" i="2" l="1"/>
  <c r="I15" i="2"/>
  <c r="H15" i="2"/>
  <c r="G15" i="2"/>
  <c r="F15" i="2"/>
  <c r="E15" i="2"/>
  <c r="D15" i="2"/>
  <c r="C15" i="2"/>
  <c r="B15" i="2"/>
  <c r="AH12" i="2" l="1"/>
  <c r="AG12" i="2"/>
  <c r="AF12" i="2"/>
  <c r="AH11" i="2"/>
  <c r="AG11" i="2"/>
  <c r="AF11" i="2"/>
  <c r="AH10" i="2"/>
  <c r="AG10" i="2"/>
  <c r="AF10" i="2"/>
  <c r="AH9" i="2"/>
  <c r="AG9" i="2"/>
  <c r="AF9" i="2"/>
  <c r="AH8" i="2"/>
  <c r="AG8" i="2"/>
  <c r="AF8" i="2"/>
  <c r="AH7" i="2"/>
  <c r="AG7" i="2"/>
  <c r="AF7" i="2"/>
  <c r="AI14" i="2"/>
  <c r="AI13" i="2"/>
  <c r="AI12" i="2"/>
  <c r="AI11" i="2"/>
  <c r="AI10" i="2"/>
  <c r="AI9" i="2"/>
  <c r="AI8" i="2"/>
  <c r="AI7" i="2"/>
  <c r="AH6" i="2" l="1"/>
  <c r="AG6" i="2"/>
  <c r="AF6" i="2"/>
  <c r="AH14" i="2"/>
  <c r="AG14" i="2"/>
  <c r="AF14" i="2"/>
  <c r="AH13" i="2"/>
  <c r="AG13" i="2"/>
  <c r="AF13" i="2"/>
  <c r="AC14" i="2"/>
  <c r="AC13" i="2"/>
  <c r="AC12" i="2"/>
  <c r="AC11" i="2"/>
  <c r="AC10" i="2"/>
  <c r="AC9" i="2"/>
  <c r="AC8" i="2"/>
  <c r="AC7" i="2"/>
  <c r="AC6" i="2"/>
  <c r="W33" i="2"/>
  <c r="W32" i="2"/>
  <c r="W31" i="2"/>
  <c r="W30" i="2"/>
  <c r="W29" i="2"/>
  <c r="W28" i="2"/>
  <c r="W27" i="2"/>
  <c r="W24" i="2"/>
  <c r="W23" i="2"/>
  <c r="W22" i="2"/>
  <c r="W21" i="2"/>
  <c r="W20" i="2"/>
  <c r="W19" i="2"/>
  <c r="W18" i="2"/>
  <c r="W14" i="2"/>
  <c r="V14" i="2"/>
  <c r="W13" i="2"/>
  <c r="V13" i="2"/>
  <c r="W12" i="2"/>
  <c r="V12" i="2"/>
  <c r="W11" i="2"/>
  <c r="V11" i="2"/>
  <c r="W10" i="2"/>
  <c r="V10" i="2"/>
  <c r="W9" i="2"/>
  <c r="V9" i="2"/>
  <c r="W8" i="2"/>
  <c r="V8" i="2"/>
  <c r="W7" i="2"/>
  <c r="V7" i="2"/>
  <c r="W6" i="2"/>
  <c r="V6" i="2"/>
  <c r="Q14" i="2"/>
  <c r="P14" i="2"/>
  <c r="Q13" i="2"/>
  <c r="P13" i="2"/>
  <c r="Q12" i="2"/>
  <c r="P12" i="2"/>
  <c r="Q11" i="2"/>
  <c r="P11" i="2"/>
  <c r="Q10" i="2"/>
  <c r="P10" i="2"/>
  <c r="Q9" i="2"/>
  <c r="P9" i="2"/>
  <c r="Q8" i="2"/>
  <c r="P8" i="2"/>
  <c r="Q7" i="2"/>
  <c r="P7" i="2"/>
  <c r="Q6" i="2"/>
  <c r="P6" i="2"/>
  <c r="O14" i="2"/>
  <c r="N14" i="2"/>
  <c r="M14" i="2"/>
  <c r="O13" i="2"/>
  <c r="N13" i="2"/>
  <c r="M13" i="2"/>
  <c r="O12" i="2"/>
  <c r="N12" i="2"/>
  <c r="M12" i="2"/>
  <c r="O11" i="2"/>
  <c r="N11" i="2"/>
  <c r="M11" i="2"/>
  <c r="O10" i="2"/>
  <c r="N10" i="2"/>
  <c r="M10" i="2"/>
  <c r="O9" i="2"/>
  <c r="N9" i="2"/>
  <c r="M9" i="2"/>
  <c r="O8" i="2"/>
  <c r="N8" i="2"/>
  <c r="M8" i="2"/>
  <c r="O7" i="2"/>
  <c r="N7" i="2"/>
  <c r="M7" i="2"/>
  <c r="O6" i="2"/>
  <c r="N6" i="2"/>
  <c r="M6" i="2"/>
  <c r="J14" i="2"/>
  <c r="I14" i="2"/>
  <c r="H14" i="2"/>
  <c r="G14" i="2"/>
  <c r="F14" i="2"/>
  <c r="E14" i="2"/>
  <c r="D14" i="2"/>
  <c r="C14" i="2"/>
  <c r="B14" i="2"/>
  <c r="J13" i="2"/>
  <c r="I13" i="2"/>
  <c r="H13" i="2"/>
  <c r="G13" i="2"/>
  <c r="F13" i="2"/>
  <c r="E13" i="2"/>
  <c r="D13" i="2"/>
  <c r="C13" i="2"/>
  <c r="B13" i="2"/>
  <c r="J12" i="2"/>
  <c r="I12" i="2"/>
  <c r="H12" i="2"/>
  <c r="G12" i="2"/>
  <c r="F12" i="2"/>
  <c r="E12" i="2"/>
  <c r="D12" i="2"/>
  <c r="C12" i="2"/>
  <c r="B12" i="2"/>
  <c r="J11" i="2"/>
  <c r="I11" i="2"/>
  <c r="H11" i="2"/>
  <c r="G11" i="2"/>
  <c r="F11" i="2"/>
  <c r="E11" i="2"/>
  <c r="D11" i="2"/>
  <c r="C11" i="2"/>
  <c r="B11" i="2"/>
  <c r="P29" i="3" l="1"/>
  <c r="AN34" i="2" l="1"/>
  <c r="AH34" i="2"/>
  <c r="AG34" i="2"/>
  <c r="AF34" i="2"/>
  <c r="J34" i="2"/>
  <c r="I34" i="2"/>
  <c r="H34" i="2"/>
  <c r="G34" i="2"/>
  <c r="D34" i="2"/>
  <c r="Z30" i="3"/>
  <c r="Z7" i="2"/>
  <c r="K6" i="2" l="1"/>
  <c r="L6" i="2" l="1"/>
  <c r="M4" i="1"/>
  <c r="M5" i="1"/>
  <c r="M6" i="1"/>
  <c r="M8" i="1"/>
  <c r="M9" i="1"/>
  <c r="M10" i="1"/>
  <c r="M12" i="1"/>
  <c r="M13" i="1"/>
  <c r="M14" i="1"/>
  <c r="M16" i="1"/>
  <c r="M17" i="1"/>
  <c r="M18" i="1"/>
  <c r="M20" i="1"/>
  <c r="M21" i="1"/>
  <c r="Y22" i="3"/>
  <c r="M22" i="1" s="1"/>
  <c r="Y23" i="3"/>
  <c r="Y24" i="3"/>
  <c r="M24" i="1" s="1"/>
  <c r="Y25" i="3"/>
  <c r="M25" i="1" s="1"/>
  <c r="Y26" i="3"/>
  <c r="M26" i="1" s="1"/>
  <c r="Y27" i="3"/>
  <c r="Y28" i="3"/>
  <c r="M28" i="1" s="1"/>
  <c r="Y29" i="3"/>
  <c r="M29" i="1" s="1"/>
  <c r="M3" i="1"/>
  <c r="N4" i="1"/>
  <c r="N5" i="1"/>
  <c r="N6" i="1"/>
  <c r="N7" i="1"/>
  <c r="N8" i="1"/>
  <c r="N9" i="1"/>
  <c r="N10" i="1"/>
  <c r="N11" i="1"/>
  <c r="N12" i="1"/>
  <c r="N13" i="1"/>
  <c r="N14" i="1"/>
  <c r="N15" i="1"/>
  <c r="N16" i="1"/>
  <c r="N17" i="1"/>
  <c r="N18" i="1"/>
  <c r="N19" i="1"/>
  <c r="N20" i="1"/>
  <c r="N21" i="1"/>
  <c r="N22" i="1"/>
  <c r="N23" i="1"/>
  <c r="N24" i="1"/>
  <c r="N25" i="1"/>
  <c r="N26" i="1"/>
  <c r="N27" i="1"/>
  <c r="N28" i="1"/>
  <c r="N29" i="1"/>
  <c r="N3" i="1"/>
  <c r="N2" i="1"/>
  <c r="M7" i="1"/>
  <c r="M11" i="1"/>
  <c r="M15" i="1"/>
  <c r="M19" i="1"/>
  <c r="M23" i="1"/>
  <c r="M27" i="1"/>
  <c r="N30" i="1" l="1"/>
  <c r="Z9" i="2"/>
  <c r="P5" i="3" s="1"/>
  <c r="Z10" i="2"/>
  <c r="AA10" i="2" s="1"/>
  <c r="Z11" i="2"/>
  <c r="AA11" i="2" s="1"/>
  <c r="Z12" i="2"/>
  <c r="Z13" i="2"/>
  <c r="AA13" i="2" s="1"/>
  <c r="Z14" i="2"/>
  <c r="AA14" i="2" s="1"/>
  <c r="Z15" i="2"/>
  <c r="AA15" i="2" s="1"/>
  <c r="Z16" i="2"/>
  <c r="AA16" i="2" s="1"/>
  <c r="AD17" i="2"/>
  <c r="T13" i="3" s="1"/>
  <c r="R15" i="2"/>
  <c r="O11" i="3" s="1"/>
  <c r="R16" i="2"/>
  <c r="O12" i="3" s="1"/>
  <c r="R17" i="2"/>
  <c r="O13" i="3" s="1"/>
  <c r="R18" i="2"/>
  <c r="R19" i="2"/>
  <c r="O15" i="3" s="1"/>
  <c r="R20" i="2"/>
  <c r="O16" i="3" s="1"/>
  <c r="R21" i="2"/>
  <c r="O17" i="3" s="1"/>
  <c r="R22" i="2"/>
  <c r="O18" i="3" s="1"/>
  <c r="R23" i="2"/>
  <c r="O19" i="3" s="1"/>
  <c r="R24" i="2"/>
  <c r="O20" i="3" s="1"/>
  <c r="R25" i="2"/>
  <c r="O21" i="3" s="1"/>
  <c r="R26" i="2"/>
  <c r="R27" i="2"/>
  <c r="O23" i="3" s="1"/>
  <c r="R28" i="2"/>
  <c r="O24" i="3" s="1"/>
  <c r="R29" i="2"/>
  <c r="O25" i="3" s="1"/>
  <c r="R30" i="2"/>
  <c r="O26" i="3" s="1"/>
  <c r="R31" i="2"/>
  <c r="O27" i="3" s="1"/>
  <c r="R32" i="2"/>
  <c r="O28" i="3" s="1"/>
  <c r="R33" i="2"/>
  <c r="R6" i="2"/>
  <c r="R7" i="2"/>
  <c r="R8" i="2"/>
  <c r="O4" i="3" s="1"/>
  <c r="R9" i="2"/>
  <c r="O5" i="3" s="1"/>
  <c r="R10" i="2"/>
  <c r="O6" i="3" s="1"/>
  <c r="R11" i="2"/>
  <c r="O7" i="3" s="1"/>
  <c r="R12" i="2"/>
  <c r="O8" i="3" s="1"/>
  <c r="R13" i="2"/>
  <c r="R14" i="2"/>
  <c r="O10" i="3" s="1"/>
  <c r="AK11" i="2"/>
  <c r="X7" i="3" s="1"/>
  <c r="AK12" i="2"/>
  <c r="X8" i="3" s="1"/>
  <c r="AK15" i="2"/>
  <c r="AK16" i="2"/>
  <c r="AL16" i="2" s="1"/>
  <c r="AM16" i="2" s="1"/>
  <c r="AK20" i="2"/>
  <c r="AK24" i="2"/>
  <c r="X20" i="3" s="1"/>
  <c r="AK28" i="2"/>
  <c r="AK31" i="2"/>
  <c r="AL31" i="2" s="1"/>
  <c r="AM31" i="2" s="1"/>
  <c r="AK32" i="2"/>
  <c r="AD10" i="2"/>
  <c r="AE10" i="2" s="1"/>
  <c r="AD13" i="2"/>
  <c r="AD14" i="2"/>
  <c r="AD19" i="2"/>
  <c r="AD22" i="2"/>
  <c r="AD26" i="2"/>
  <c r="AE26" i="2" s="1"/>
  <c r="AD27" i="2"/>
  <c r="AE27" i="2" s="1"/>
  <c r="AD28" i="2"/>
  <c r="AE28" i="2" s="1"/>
  <c r="AD29" i="2"/>
  <c r="AE29" i="2" s="1"/>
  <c r="AD31" i="2"/>
  <c r="AE31" i="2" s="1"/>
  <c r="AD33" i="2"/>
  <c r="AE33" i="2" s="1"/>
  <c r="AK7" i="2"/>
  <c r="AL7" i="2" s="1"/>
  <c r="AM7" i="2" s="1"/>
  <c r="AD8" i="2"/>
  <c r="AD7" i="2"/>
  <c r="AE7" i="2" s="1"/>
  <c r="AD6" i="2"/>
  <c r="T8" i="2"/>
  <c r="N4" i="3" s="1"/>
  <c r="T7" i="2"/>
  <c r="U7" i="2" s="1"/>
  <c r="S8" i="2"/>
  <c r="S7" i="2"/>
  <c r="O3" i="3"/>
  <c r="K8" i="2"/>
  <c r="L8" i="2" s="1"/>
  <c r="K7" i="2"/>
  <c r="Z6" i="2"/>
  <c r="AK8" i="2"/>
  <c r="AL8" i="2" s="1"/>
  <c r="AM8" i="2" s="1"/>
  <c r="AK9" i="2"/>
  <c r="X5" i="3" s="1"/>
  <c r="AK10" i="2"/>
  <c r="AL10" i="2" s="1"/>
  <c r="AM10" i="2" s="1"/>
  <c r="AD9" i="2"/>
  <c r="AE9" i="2" s="1"/>
  <c r="AD11" i="2"/>
  <c r="AE11" i="2" s="1"/>
  <c r="AD12" i="2"/>
  <c r="AE12" i="2" s="1"/>
  <c r="AD15" i="2"/>
  <c r="AE15" i="2" s="1"/>
  <c r="AD16" i="2"/>
  <c r="T12" i="3" s="1"/>
  <c r="AE16" i="2"/>
  <c r="AD18" i="2"/>
  <c r="AE18" i="2" s="1"/>
  <c r="AD20" i="2"/>
  <c r="AE20" i="2" s="1"/>
  <c r="AD21" i="2"/>
  <c r="AE21" i="2" s="1"/>
  <c r="AD23" i="2"/>
  <c r="AE23" i="2" s="1"/>
  <c r="AD24" i="2"/>
  <c r="AE24" i="2" s="1"/>
  <c r="AD25" i="2"/>
  <c r="AD30" i="2"/>
  <c r="AE30" i="2" s="1"/>
  <c r="AD32" i="2"/>
  <c r="T28" i="3" s="1"/>
  <c r="AD39" i="2"/>
  <c r="D35" i="2"/>
  <c r="D36" i="2" s="1"/>
  <c r="D37"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P28" i="3"/>
  <c r="G28" i="1" s="1"/>
  <c r="Z33" i="2"/>
  <c r="AA33" i="2" s="1"/>
  <c r="P3" i="3"/>
  <c r="Z8" i="2"/>
  <c r="AA8" i="2" s="1"/>
  <c r="G5" i="1"/>
  <c r="P9" i="3"/>
  <c r="G9" i="1"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O9" i="3"/>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R2" i="3"/>
  <c r="Q2" i="3"/>
  <c r="G2" i="3"/>
  <c r="H2" i="3"/>
  <c r="I2" i="3"/>
  <c r="J2" i="3"/>
  <c r="K2" i="3"/>
  <c r="L2" i="3"/>
  <c r="M2" i="3"/>
  <c r="F2" i="3"/>
  <c r="E2" i="3"/>
  <c r="S33" i="2"/>
  <c r="O29" i="3"/>
  <c r="S32" i="2"/>
  <c r="S31" i="2"/>
  <c r="S30" i="2"/>
  <c r="S29" i="2"/>
  <c r="S28" i="2"/>
  <c r="S27" i="2"/>
  <c r="S26" i="2"/>
  <c r="O22" i="3"/>
  <c r="S25" i="2"/>
  <c r="S24" i="2"/>
  <c r="S23" i="2"/>
  <c r="S22" i="2"/>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AK18" i="2"/>
  <c r="X14" i="3" s="1"/>
  <c r="T21" i="3"/>
  <c r="AE25" i="2"/>
  <c r="P19" i="3"/>
  <c r="G19" i="1" s="1"/>
  <c r="T27" i="3"/>
  <c r="X18" i="3"/>
  <c r="U15" i="2"/>
  <c r="X27" i="3"/>
  <c r="T5" i="3"/>
  <c r="P24" i="3"/>
  <c r="G24" i="1" s="1"/>
  <c r="N29" i="3"/>
  <c r="P27" i="3"/>
  <c r="S27" i="3" s="1"/>
  <c r="X10" i="3"/>
  <c r="T20" i="3"/>
  <c r="T3" i="3"/>
  <c r="T7" i="3"/>
  <c r="N24" i="3"/>
  <c r="U19" i="2"/>
  <c r="N19" i="3"/>
  <c r="T23" i="3"/>
  <c r="T22" i="3" l="1"/>
  <c r="K30" i="3"/>
  <c r="T17" i="3"/>
  <c r="U16" i="2"/>
  <c r="AL11" i="2"/>
  <c r="AM11" i="2" s="1"/>
  <c r="Z34" i="2"/>
  <c r="S29" i="3"/>
  <c r="U8" i="2"/>
  <c r="U9" i="2"/>
  <c r="P15" i="3"/>
  <c r="G15" i="1" s="1"/>
  <c r="U30" i="2"/>
  <c r="J30" i="3"/>
  <c r="Q30" i="3"/>
  <c r="W30" i="3"/>
  <c r="N3" i="3"/>
  <c r="K3" i="1" s="1"/>
  <c r="P17" i="3"/>
  <c r="G17" i="1" s="1"/>
  <c r="AL25" i="2"/>
  <c r="AM25" i="2" s="1"/>
  <c r="P11" i="3"/>
  <c r="G11" i="1" s="1"/>
  <c r="G36" i="2"/>
  <c r="U17" i="2"/>
  <c r="M30" i="3"/>
  <c r="I30" i="3"/>
  <c r="R30" i="3"/>
  <c r="V30" i="3"/>
  <c r="AA6" i="2"/>
  <c r="AE6" i="2"/>
  <c r="AD34" i="2"/>
  <c r="AE34" i="2" s="1"/>
  <c r="K28" i="1"/>
  <c r="P4" i="3"/>
  <c r="G4" i="1" s="1"/>
  <c r="X9" i="3"/>
  <c r="N10" i="3"/>
  <c r="K10" i="1" s="1"/>
  <c r="U11" i="2"/>
  <c r="AO11" i="2" s="1"/>
  <c r="P26" i="3"/>
  <c r="G26" i="1" s="1"/>
  <c r="U32" i="2"/>
  <c r="L30" i="3"/>
  <c r="X2" i="3"/>
  <c r="AK34" i="2"/>
  <c r="U30" i="3"/>
  <c r="T34" i="2"/>
  <c r="U34" i="2" s="1"/>
  <c r="AE32" i="2"/>
  <c r="L7" i="2"/>
  <c r="L34" i="2" s="1"/>
  <c r="K34" i="2"/>
  <c r="O2" i="3"/>
  <c r="O30" i="3" s="1"/>
  <c r="R34" i="2"/>
  <c r="R36" i="2" s="1"/>
  <c r="S5" i="3"/>
  <c r="E17" i="1"/>
  <c r="N2" i="3"/>
  <c r="U6" i="2"/>
  <c r="AL6" i="2"/>
  <c r="G3" i="1"/>
  <c r="S3" i="3"/>
  <c r="P2" i="3"/>
  <c r="AA7" i="2"/>
  <c r="U25" i="2"/>
  <c r="I21" i="1"/>
  <c r="N18" i="3"/>
  <c r="K18" i="1" s="1"/>
  <c r="S23" i="3"/>
  <c r="K24" i="1"/>
  <c r="E29" i="1"/>
  <c r="K7" i="1"/>
  <c r="X26" i="3"/>
  <c r="X13" i="3"/>
  <c r="I13" i="1" s="1"/>
  <c r="AL21" i="2"/>
  <c r="AM21" i="2" s="1"/>
  <c r="T25" i="3"/>
  <c r="I25" i="1" s="1"/>
  <c r="I5" i="1"/>
  <c r="I7" i="1"/>
  <c r="T11" i="3"/>
  <c r="T16" i="3"/>
  <c r="I17" i="1"/>
  <c r="S19" i="3"/>
  <c r="AA17" i="2"/>
  <c r="K15" i="1"/>
  <c r="K11" i="1"/>
  <c r="K8" i="1"/>
  <c r="K4" i="1"/>
  <c r="K25" i="1"/>
  <c r="K29" i="1"/>
  <c r="E24" i="1"/>
  <c r="E13" i="1"/>
  <c r="E6" i="1"/>
  <c r="I27" i="1"/>
  <c r="AL24" i="2"/>
  <c r="AM24" i="2" s="1"/>
  <c r="AL9" i="2"/>
  <c r="AM9" i="2" s="1"/>
  <c r="X4" i="3"/>
  <c r="X19" i="3"/>
  <c r="AE17" i="2"/>
  <c r="I20" i="1"/>
  <c r="T8" i="3"/>
  <c r="I8" i="1" s="1"/>
  <c r="T24" i="3"/>
  <c r="I22" i="1"/>
  <c r="G13" i="1"/>
  <c r="S13" i="3"/>
  <c r="AO33" i="2"/>
  <c r="S14" i="3"/>
  <c r="AA9" i="2"/>
  <c r="P10" i="3"/>
  <c r="P25" i="3"/>
  <c r="G25" i="1" s="1"/>
  <c r="N9" i="3"/>
  <c r="K9" i="1" s="1"/>
  <c r="N16" i="3"/>
  <c r="K16" i="1" s="1"/>
  <c r="AO15" i="2"/>
  <c r="N27" i="3"/>
  <c r="K27" i="1" s="1"/>
  <c r="K26" i="1"/>
  <c r="K13" i="1"/>
  <c r="N23" i="3"/>
  <c r="K23" i="1" s="1"/>
  <c r="K19" i="1"/>
  <c r="AO28" i="2"/>
  <c r="K5" i="1"/>
  <c r="K20" i="1"/>
  <c r="K12" i="1"/>
  <c r="N20" i="3"/>
  <c r="AO31" i="2"/>
  <c r="AO17" i="2"/>
  <c r="K21" i="1"/>
  <c r="U12" i="2"/>
  <c r="K6" i="1"/>
  <c r="AO20" i="2"/>
  <c r="E12" i="1"/>
  <c r="E9" i="1"/>
  <c r="E7" i="1"/>
  <c r="E4" i="1"/>
  <c r="E3" i="1"/>
  <c r="AO32" i="2"/>
  <c r="E23" i="1"/>
  <c r="E18" i="1"/>
  <c r="E16" i="1"/>
  <c r="E15" i="1"/>
  <c r="E14" i="1"/>
  <c r="E25" i="1"/>
  <c r="AO21" i="2"/>
  <c r="AO16" i="2"/>
  <c r="E28" i="1"/>
  <c r="E27" i="1"/>
  <c r="E26" i="1"/>
  <c r="E22" i="1"/>
  <c r="E21" i="1"/>
  <c r="E20" i="1"/>
  <c r="E19" i="1"/>
  <c r="E11" i="1"/>
  <c r="E10" i="1"/>
  <c r="E8" i="1"/>
  <c r="E5" i="1"/>
  <c r="E2" i="1"/>
  <c r="AO30" i="2"/>
  <c r="T4" i="3"/>
  <c r="AE8" i="2"/>
  <c r="AO8" i="2" s="1"/>
  <c r="AE19" i="2"/>
  <c r="AO19" i="2" s="1"/>
  <c r="T15" i="3"/>
  <c r="AE13" i="2"/>
  <c r="AO13" i="2" s="1"/>
  <c r="T9" i="3"/>
  <c r="I9" i="1" s="1"/>
  <c r="AL15" i="2"/>
  <c r="AM15" i="2" s="1"/>
  <c r="X11" i="3"/>
  <c r="T18" i="3"/>
  <c r="I18" i="1" s="1"/>
  <c r="AE22" i="2"/>
  <c r="AO22" i="2" s="1"/>
  <c r="S22" i="3"/>
  <c r="S21" i="3"/>
  <c r="G21" i="1"/>
  <c r="AO23" i="2"/>
  <c r="T10" i="3"/>
  <c r="I10" i="1" s="1"/>
  <c r="AE14" i="2"/>
  <c r="AO14" i="2" s="1"/>
  <c r="AL32" i="2"/>
  <c r="AM32" i="2" s="1"/>
  <c r="X28" i="3"/>
  <c r="I28" i="1" s="1"/>
  <c r="AL28" i="2"/>
  <c r="AM28" i="2" s="1"/>
  <c r="X24" i="3"/>
  <c r="X16" i="3"/>
  <c r="AL20" i="2"/>
  <c r="AM20" i="2" s="1"/>
  <c r="T6" i="3"/>
  <c r="X3" i="3"/>
  <c r="I3" i="1" s="1"/>
  <c r="S24" i="3"/>
  <c r="X12" i="3"/>
  <c r="I12" i="1" s="1"/>
  <c r="AA26" i="2"/>
  <c r="AO26" i="2" s="1"/>
  <c r="N22" i="3"/>
  <c r="K22" i="1" s="1"/>
  <c r="N17" i="3"/>
  <c r="K17" i="1" s="1"/>
  <c r="T19" i="3"/>
  <c r="P18" i="3"/>
  <c r="P7" i="3"/>
  <c r="AA25" i="2"/>
  <c r="AO25" i="2" s="1"/>
  <c r="P12" i="3"/>
  <c r="S9" i="3"/>
  <c r="T26" i="3"/>
  <c r="AL26" i="2"/>
  <c r="AM26" i="2" s="1"/>
  <c r="S28" i="3"/>
  <c r="T29" i="3"/>
  <c r="I29" i="1" s="1"/>
  <c r="AL29" i="2"/>
  <c r="AM29" i="2" s="1"/>
  <c r="AA24" i="2"/>
  <c r="AO24" i="2" s="1"/>
  <c r="P20" i="3"/>
  <c r="AA18" i="2"/>
  <c r="AO18" i="2" s="1"/>
  <c r="AA12" i="2"/>
  <c r="P8" i="3"/>
  <c r="AL33" i="2"/>
  <c r="AM33" i="2" s="1"/>
  <c r="AL12" i="2"/>
  <c r="AM12" i="2" s="1"/>
  <c r="T2" i="3"/>
  <c r="G27" i="1"/>
  <c r="N14" i="3"/>
  <c r="K14" i="1" s="1"/>
  <c r="X23" i="3"/>
  <c r="I23" i="1" s="1"/>
  <c r="T14" i="3"/>
  <c r="I14" i="1" s="1"/>
  <c r="U29" i="2"/>
  <c r="AO29" i="2" s="1"/>
  <c r="X6" i="3"/>
  <c r="X15" i="3"/>
  <c r="U10" i="2"/>
  <c r="AO10" i="2" s="1"/>
  <c r="AL18" i="2"/>
  <c r="AM18" i="2" s="1"/>
  <c r="P6" i="3"/>
  <c r="P16" i="3"/>
  <c r="AA27" i="2"/>
  <c r="AO27" i="2" s="1"/>
  <c r="S11" i="3" l="1"/>
  <c r="AO9" i="2"/>
  <c r="S17" i="3"/>
  <c r="S26" i="3"/>
  <c r="K2" i="1"/>
  <c r="N30" i="3"/>
  <c r="S15" i="3"/>
  <c r="AA34" i="2"/>
  <c r="AO6" i="2"/>
  <c r="AO7" i="2"/>
  <c r="AM6" i="2"/>
  <c r="AM34" i="2" s="1"/>
  <c r="AL34" i="2"/>
  <c r="T30" i="3"/>
  <c r="I24" i="1"/>
  <c r="S4" i="3"/>
  <c r="G2" i="1"/>
  <c r="P30" i="3"/>
  <c r="S25" i="3"/>
  <c r="I16" i="1"/>
  <c r="S2" i="3"/>
  <c r="I4" i="1"/>
  <c r="I26" i="1"/>
  <c r="I19" i="1"/>
  <c r="I11" i="1"/>
  <c r="G29" i="1"/>
  <c r="G10" i="1"/>
  <c r="S10" i="3"/>
  <c r="U35" i="2"/>
  <c r="X30" i="3" s="1"/>
  <c r="AO12" i="2"/>
  <c r="G20" i="1"/>
  <c r="S20" i="3"/>
  <c r="G18" i="1"/>
  <c r="S18" i="3"/>
  <c r="S12" i="3"/>
  <c r="G12" i="1"/>
  <c r="S16" i="3"/>
  <c r="G16" i="1"/>
  <c r="I2" i="1"/>
  <c r="S8" i="3"/>
  <c r="G8" i="1"/>
  <c r="I15" i="1"/>
  <c r="G6" i="1"/>
  <c r="S6" i="3"/>
  <c r="S7" i="3"/>
  <c r="G7" i="1"/>
  <c r="I6" i="1"/>
  <c r="AO34" i="2" l="1"/>
  <c r="S30" i="3"/>
  <c r="U36" i="2"/>
  <c r="M2" i="1" l="1"/>
  <c r="M30" i="1" s="1"/>
  <c r="Y30"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<sst xmlns="http://schemas.openxmlformats.org/spreadsheetml/2006/main" count="211" uniqueCount="103">
  <si>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</si>
  <si>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</si>
  <si>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</si>
  <si>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</si>
  <si>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</si>
  <si>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</si>
  <si>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</si>
  <si>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</si>
  <si>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</si>
  <si>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</si>
  <si>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</si>
  <si>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</si>
  <si>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</si>
  <si>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</si>
  <si>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</si>
  <si>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</si>
  <si>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</si>
  <si>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</si>
  <si>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</si>
  <si>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</si>
  <si>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</si>
  <si>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</si>
  <si>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</si>
  <si>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</si>
  <si>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</si>
  <si>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</si>
  <si>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</si>
  <si>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</si>
  <si>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</si>
  <si>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</si>
  <si>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</si>
  <si>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</si>
  <si>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</si>
  <si>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</si>
  <si>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</si>
  <si>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</si>
  <si>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</si>
  <si>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</si>
  <si>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</si>
  <si>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</si>
  <si>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</si>
  <si>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</si>
  <si>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</si>
  <si>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</si>
  <si>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</si>
  <si>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</si>
  <si>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</si>
  <si>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</si>
  <si>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</si>
  <si>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</si>
  <si>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</si>
  <si>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</si>
  <si>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</si>
  <si>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</si>
  <si>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</si>
  <si>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</si>
  <si>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</si>
  <si>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</si>
  <si>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</si>
  <si>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</si>
  <si>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</si>
  <si>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</si>
  <si>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</si>
  <si>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</si>
  <si>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</si>
  <si>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</si>
  <si>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</si>
  <si>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</si>
  <si>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</si>
  <si>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</si>
  <si>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</si>
  <si>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</si>
  <si>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</si>
  <si>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</si>
  <si>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</si>
  <si>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</si>
  <si>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</si>
  <si>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</si>
  <si>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</si>
  <si>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</si>
  <si>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</si>
  <si>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</si>
  <si>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</si>
  <si>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</si>
  <si>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</si>
  <si>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</si>
  <si>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</si>
  <si>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</si>
  <si>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</si>
  <si>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</si>
  <si>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</si>
  <si>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</si>
  <si>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</si>
  <si>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</si>
  <si>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</si>
  <si>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</si>
  <si>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</si>
  <si>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</si>
  <si>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</si>
  <si>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</si>
  <si>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0.333415/Ton</t>
  </si>
  <si>
    <t>(AED. 6.47/m3 + AED. 0.00 Service)</t>
  </si>
  <si>
    <t>Natural GAS (AED)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</si>
</sst>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s>
  <cellStyleXfs count="2">
    <xf numFmtId="0" fontId="0" fillId="0" borderId="0"/>
    <xf numFmtId="0" fontId="16" fillId="0" borderId="0"/>
  </cellStyleXfs>
  <cellXfs count="141">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165" fontId="9" fillId="0" borderId="19" xfId="0" applyNumberFormat="1" applyFont="1" applyBorder="1" applyAlignment="1">
      <alignment horizontal="center" vertical="center"/>
    </xf>
    <xf numFmtId="0" fontId="0" fillId="0" borderId="20" xfId="0"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1"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1"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0" fontId="5" fillId="0" borderId="2" xfId="0" applyFon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4" fontId="0" fillId="0" borderId="13" xfId="0" applyNumberFormat="1" applyBorder="1" applyAlignment="1">
      <alignment horizontal="center" vertical="center"/>
    </xf>
    <xf numFmtId="164" fontId="0" fillId="0" borderId="20" xfId="0" applyNumberFormat="1" applyBorder="1" applyAlignment="1">
      <alignment horizontal="center" vertical="center"/>
    </xf>
    <xf numFmtId="1" fontId="0" fillId="0" borderId="16" xfId="0" applyNumberFormat="1" applyBorder="1" applyAlignment="1">
      <alignment horizontal="center" vertical="center"/>
    </xf>
    <xf numFmtId="1" fontId="0" fillId="0" borderId="17" xfId="0" applyNumberForma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0"/>
  <sheetViews>
    <sheetView workbookViewId="0">
      <selection activeCell="M2" sqref="M2:N29"/>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6" t="s">
        <v>0</v>
      </c>
      <c r="B1" s="117" t="s">
        <v>1</v>
      </c>
      <c r="C1" s="118" t="s">
        <v>2</v>
      </c>
      <c r="D1" s="117" t="s">
        <v>3</v>
      </c>
      <c r="E1" s="119" t="s">
        <v>4</v>
      </c>
      <c r="F1" s="120" t="s">
        <v>5</v>
      </c>
      <c r="G1" s="119" t="s">
        <v>10</v>
      </c>
      <c r="H1" s="120" t="s">
        <v>11</v>
      </c>
      <c r="I1" s="121" t="s">
        <v>82</v>
      </c>
      <c r="J1" s="122" t="s">
        <v>83</v>
      </c>
      <c r="K1" s="119" t="s">
        <v>6</v>
      </c>
      <c r="L1" s="123" t="s">
        <v>7</v>
      </c>
      <c r="M1" s="119" t="s">
        <v>8</v>
      </c>
      <c r="N1" s="124" t="s">
        <v>9</v>
      </c>
    </row>
    <row r="2" spans="1:15" x14ac:dyDescent="0.25">
      <c r="A2" s="111" t="s">
        <v>80</v>
      </c>
      <c r="B2" s="112">
        <v>1</v>
      </c>
      <c r="C2" s="113">
        <v>2</v>
      </c>
      <c r="D2" s="112">
        <v>2021</v>
      </c>
      <c r="E2" s="109">
        <f>Submetering!E2+Submetering!F2+Submetering!G2+Submetering!H2+Submetering!I2+Submetering!J2+Submetering!K2</f>
        <v>28451</v>
      </c>
      <c r="F2" s="114">
        <v>0.2</v>
      </c>
      <c r="G2" s="109">
        <f>Submetering!P2</f>
        <v>440</v>
      </c>
      <c r="H2" s="114">
        <v>6.47</v>
      </c>
      <c r="I2" s="109">
        <f>Submetering!T2-Submetering!T2*15%-Submetering!X2</f>
        <v>14230.358919999166</v>
      </c>
      <c r="J2" s="108">
        <v>0.21</v>
      </c>
      <c r="K2" s="109">
        <f>Submetering!N2-Submetering!O2</f>
        <v>38.910000000003492</v>
      </c>
      <c r="L2" s="114">
        <v>7.84</v>
      </c>
      <c r="M2" s="41">
        <f>Submetering!Y2</f>
        <v>79</v>
      </c>
      <c r="N2" s="128">
        <f>Submetering!Z2</f>
        <v>116</v>
      </c>
    </row>
    <row r="3" spans="1:15" x14ac:dyDescent="0.25">
      <c r="A3" s="115" t="s">
        <v>80</v>
      </c>
      <c r="B3" s="72">
        <f>B2+1</f>
        <v>2</v>
      </c>
      <c r="C3" s="73">
        <v>2</v>
      </c>
      <c r="D3" s="72">
        <v>2021</v>
      </c>
      <c r="E3" s="71">
        <f>Submetering!E3+Submetering!F3+Submetering!G3+Submetering!H3+Submetering!I3+Submetering!J3+Submetering!K3</f>
        <v>27722</v>
      </c>
      <c r="F3" s="74">
        <v>0.2</v>
      </c>
      <c r="G3" s="71">
        <f>Submetering!P3</f>
        <v>470</v>
      </c>
      <c r="H3" s="74">
        <v>6.47</v>
      </c>
      <c r="I3" s="71">
        <f>Submetering!T3-Submetering!T3*15%-Submetering!X3</f>
        <v>15802.953020000557</v>
      </c>
      <c r="J3" s="70">
        <v>0.21</v>
      </c>
      <c r="K3" s="71">
        <f>Submetering!N3-Submetering!O3</f>
        <v>59.838999999995394</v>
      </c>
      <c r="L3" s="74">
        <v>7.84</v>
      </c>
      <c r="M3" s="5">
        <f>Submetering!Y3</f>
        <v>75</v>
      </c>
      <c r="N3" s="129">
        <f>Submetering!Z3</f>
        <v>112</v>
      </c>
    </row>
    <row r="4" spans="1:15" x14ac:dyDescent="0.25">
      <c r="A4" s="115" t="s">
        <v>80</v>
      </c>
      <c r="B4" s="72">
        <f t="shared" ref="B4:B29" si="0">B3+1</f>
        <v>3</v>
      </c>
      <c r="C4" s="73">
        <v>2</v>
      </c>
      <c r="D4" s="72">
        <v>2021</v>
      </c>
      <c r="E4" s="71">
        <f>Submetering!E4+Submetering!F4+Submetering!G4+Submetering!H4+Submetering!I4+Submetering!J4+Submetering!K4</f>
        <v>26050</v>
      </c>
      <c r="F4" s="74">
        <v>0.2</v>
      </c>
      <c r="G4" s="71">
        <f>Submetering!P4</f>
        <v>485</v>
      </c>
      <c r="H4" s="74">
        <v>6.47</v>
      </c>
      <c r="I4" s="71">
        <f>Submetering!T4-Submetering!T4*15%-Submetering!X4</f>
        <v>15787.335200002912</v>
      </c>
      <c r="J4" s="70">
        <v>0.21</v>
      </c>
      <c r="K4" s="71">
        <f>Submetering!N4-Submetering!O4</f>
        <v>58.506000000003496</v>
      </c>
      <c r="L4" s="74">
        <v>7.84</v>
      </c>
      <c r="M4" s="5">
        <f>Submetering!Y4</f>
        <v>81</v>
      </c>
      <c r="N4" s="129">
        <f>Submetering!Z4</f>
        <v>127</v>
      </c>
    </row>
    <row r="5" spans="1:15" x14ac:dyDescent="0.25">
      <c r="A5" s="115" t="s">
        <v>80</v>
      </c>
      <c r="B5" s="72">
        <f t="shared" si="0"/>
        <v>4</v>
      </c>
      <c r="C5" s="73">
        <v>2</v>
      </c>
      <c r="D5" s="72">
        <v>2021</v>
      </c>
      <c r="E5" s="71">
        <f>Submetering!E5+Submetering!F5+Submetering!G5+Submetering!H5+Submetering!I5+Submetering!J5+Submetering!K5</f>
        <v>25334</v>
      </c>
      <c r="F5" s="74">
        <v>0.2</v>
      </c>
      <c r="G5" s="71">
        <f>Submetering!P5</f>
        <v>495</v>
      </c>
      <c r="H5" s="74">
        <v>6.47</v>
      </c>
      <c r="I5" s="71">
        <f>Submetering!T5-Submetering!T5*15%-Submetering!X5</f>
        <v>16803.38209999854</v>
      </c>
      <c r="J5" s="70">
        <v>0.21</v>
      </c>
      <c r="K5" s="80">
        <f>Submetering!N5-Submetering!O5</f>
        <v>68.54499999999598</v>
      </c>
      <c r="L5" s="74">
        <v>7.84</v>
      </c>
      <c r="M5" s="5">
        <f>Submetering!Y5</f>
        <v>66</v>
      </c>
      <c r="N5" s="129">
        <f>Submetering!Z5</f>
        <v>106</v>
      </c>
    </row>
    <row r="6" spans="1:15" x14ac:dyDescent="0.25">
      <c r="A6" s="115" t="s">
        <v>80</v>
      </c>
      <c r="B6" s="72">
        <f t="shared" si="0"/>
        <v>5</v>
      </c>
      <c r="C6" s="73">
        <v>2</v>
      </c>
      <c r="D6" s="72">
        <v>2021</v>
      </c>
      <c r="E6" s="71">
        <f>Submetering!E6+Submetering!F6+Submetering!G6+Submetering!H6+Submetering!I6+Submetering!J6+Submetering!K6</f>
        <v>26655</v>
      </c>
      <c r="F6" s="74">
        <v>0.2</v>
      </c>
      <c r="G6" s="71">
        <f>Submetering!P6</f>
        <v>485</v>
      </c>
      <c r="H6" s="74">
        <v>6.47</v>
      </c>
      <c r="I6" s="71">
        <f>Submetering!T6-Submetering!T6*15%-Submetering!X6</f>
        <v>17165.593199998544</v>
      </c>
      <c r="J6" s="70">
        <v>0.21</v>
      </c>
      <c r="K6" s="71">
        <f>Submetering!N6-Submetering!O6</f>
        <v>45.616999999997915</v>
      </c>
      <c r="L6" s="74">
        <v>7.84</v>
      </c>
      <c r="M6" s="5">
        <f>Submetering!Y6</f>
        <v>71</v>
      </c>
      <c r="N6" s="129">
        <f>Submetering!Z6</f>
        <v>123</v>
      </c>
    </row>
    <row r="7" spans="1:15" x14ac:dyDescent="0.25">
      <c r="A7" s="115" t="s">
        <v>80</v>
      </c>
      <c r="B7" s="72">
        <f t="shared" si="0"/>
        <v>6</v>
      </c>
      <c r="C7" s="73">
        <v>2</v>
      </c>
      <c r="D7" s="72">
        <v>2021</v>
      </c>
      <c r="E7" s="71">
        <f>Submetering!E7+Submetering!F7+Submetering!G7+Submetering!H7+Submetering!I7+Submetering!J7+Submetering!K7</f>
        <v>26459</v>
      </c>
      <c r="F7" s="74">
        <v>0.2</v>
      </c>
      <c r="G7" s="71">
        <f>Submetering!P7</f>
        <v>444</v>
      </c>
      <c r="H7" s="74">
        <v>6.47</v>
      </c>
      <c r="I7" s="71">
        <f>Submetering!T7-Submetering!T7*15%-Submetering!X7</f>
        <v>16855.494620000554</v>
      </c>
      <c r="J7" s="70">
        <v>0.21</v>
      </c>
      <c r="K7" s="71">
        <f>Submetering!N7-Submetering!O7</f>
        <v>33.142000000005282</v>
      </c>
      <c r="L7" s="74">
        <v>7.84</v>
      </c>
      <c r="M7" s="5">
        <f>Submetering!Y7</f>
        <v>57</v>
      </c>
      <c r="N7" s="129">
        <f>Submetering!Z7</f>
        <v>79</v>
      </c>
    </row>
    <row r="8" spans="1:15" x14ac:dyDescent="0.25">
      <c r="A8" s="115" t="s">
        <v>80</v>
      </c>
      <c r="B8" s="72">
        <f t="shared" si="0"/>
        <v>7</v>
      </c>
      <c r="C8" s="73">
        <v>2</v>
      </c>
      <c r="D8" s="72">
        <v>2021</v>
      </c>
      <c r="E8" s="71">
        <f>Submetering!E8+Submetering!F8+Submetering!G8+Submetering!H8+Submetering!I8+Submetering!J8+Submetering!K8</f>
        <v>26064</v>
      </c>
      <c r="F8" s="74">
        <v>0.2</v>
      </c>
      <c r="G8" s="71">
        <f>Submetering!P8</f>
        <v>441</v>
      </c>
      <c r="H8" s="74">
        <v>6.47</v>
      </c>
      <c r="I8" s="71">
        <f>Submetering!T8-Submetering!T8*15%-Submetering!X8</f>
        <v>16192.408600004368</v>
      </c>
      <c r="J8" s="70">
        <v>0.21</v>
      </c>
      <c r="K8" s="71">
        <f>Submetering!N8-Submetering!O8</f>
        <v>63.974999999995362</v>
      </c>
      <c r="L8" s="74">
        <v>7.84</v>
      </c>
      <c r="M8" s="5">
        <f>Submetering!Y8</f>
        <v>87</v>
      </c>
      <c r="N8" s="129">
        <f>Submetering!Z8</f>
        <v>126</v>
      </c>
    </row>
    <row r="9" spans="1:15" x14ac:dyDescent="0.25">
      <c r="A9" s="115" t="s">
        <v>80</v>
      </c>
      <c r="B9" s="72">
        <f t="shared" si="0"/>
        <v>8</v>
      </c>
      <c r="C9" s="73">
        <v>2</v>
      </c>
      <c r="D9" s="72">
        <v>2021</v>
      </c>
      <c r="E9" s="71">
        <f>Submetering!E9+Submetering!F9+Submetering!G9+Submetering!H9+Submetering!I9+Submetering!J9+Submetering!K9</f>
        <v>24518</v>
      </c>
      <c r="F9" s="74">
        <v>0.2</v>
      </c>
      <c r="G9" s="71">
        <f>Submetering!P9</f>
        <v>539</v>
      </c>
      <c r="H9" s="74">
        <v>6.47</v>
      </c>
      <c r="I9" s="71">
        <f>Submetering!T9-Submetering!T9*15%-Submetering!X9</f>
        <v>16938.153519997712</v>
      </c>
      <c r="J9" s="70">
        <v>0.21</v>
      </c>
      <c r="K9" s="71">
        <f>Submetering!N9-Submetering!O9</f>
        <v>33.795000000011896</v>
      </c>
      <c r="L9" s="74">
        <v>7.84</v>
      </c>
      <c r="M9" s="5">
        <f>Submetering!Y9</f>
        <v>100</v>
      </c>
      <c r="N9" s="129">
        <f>Submetering!Z9</f>
        <v>133</v>
      </c>
      <c r="O9" s="1" t="s">
        <v>12</v>
      </c>
    </row>
    <row r="10" spans="1:15" x14ac:dyDescent="0.25">
      <c r="A10" s="115" t="s">
        <v>80</v>
      </c>
      <c r="B10" s="72">
        <f t="shared" si="0"/>
        <v>9</v>
      </c>
      <c r="C10" s="73">
        <v>2</v>
      </c>
      <c r="D10" s="72">
        <v>2021</v>
      </c>
      <c r="E10" s="71">
        <f>Submetering!E10+Submetering!F10+Submetering!G10+Submetering!H10+Submetering!I10+Submetering!J10+Submetering!K10</f>
        <v>25749</v>
      </c>
      <c r="F10" s="74">
        <v>0.2</v>
      </c>
      <c r="G10" s="71">
        <f>Submetering!P10</f>
        <v>587</v>
      </c>
      <c r="H10" s="74">
        <v>6.47</v>
      </c>
      <c r="I10" s="71">
        <f>Submetering!T10-Submetering!T10*15%-Submetering!X10</f>
        <v>19185.706039999728</v>
      </c>
      <c r="J10" s="70">
        <v>0.21</v>
      </c>
      <c r="K10" s="71">
        <f>Submetering!N10-Submetering!O10</f>
        <v>48.113999999992757</v>
      </c>
      <c r="L10" s="74">
        <v>7.84</v>
      </c>
      <c r="M10" s="5">
        <f>Submetering!Y10</f>
        <v>88</v>
      </c>
      <c r="N10" s="129">
        <f>Submetering!Z10</f>
        <v>133</v>
      </c>
    </row>
    <row r="11" spans="1:15" x14ac:dyDescent="0.25">
      <c r="A11" s="115" t="s">
        <v>80</v>
      </c>
      <c r="B11" s="72">
        <f t="shared" si="0"/>
        <v>10</v>
      </c>
      <c r="C11" s="73">
        <v>2</v>
      </c>
      <c r="D11" s="72">
        <v>2021</v>
      </c>
      <c r="E11" s="71">
        <f>Submetering!E11+Submetering!F11+Submetering!G11+Submetering!H11+Submetering!I11+Submetering!J11+Submetering!K11</f>
        <v>24828</v>
      </c>
      <c r="F11" s="74">
        <v>0.2</v>
      </c>
      <c r="G11" s="71">
        <f>Submetering!P11</f>
        <v>590</v>
      </c>
      <c r="H11" s="74">
        <v>6.47</v>
      </c>
      <c r="I11" s="71">
        <f>Submetering!T11-Submetering!T11*15%-Submetering!X11</f>
        <v>19984.522720000561</v>
      </c>
      <c r="J11" s="70">
        <v>0.21</v>
      </c>
      <c r="K11" s="71">
        <f>Submetering!N11-Submetering!O11</f>
        <v>35.367999999996755</v>
      </c>
      <c r="L11" s="74">
        <v>7.84</v>
      </c>
      <c r="M11" s="5">
        <f>Submetering!Y11</f>
        <v>70</v>
      </c>
      <c r="N11" s="129">
        <f>Submetering!Z11</f>
        <v>118</v>
      </c>
    </row>
    <row r="12" spans="1:15" x14ac:dyDescent="0.25">
      <c r="A12" s="115" t="s">
        <v>80</v>
      </c>
      <c r="B12" s="72">
        <f t="shared" si="0"/>
        <v>11</v>
      </c>
      <c r="C12" s="73">
        <v>2</v>
      </c>
      <c r="D12" s="72">
        <v>2021</v>
      </c>
      <c r="E12" s="71">
        <f>Submetering!E12+Submetering!F12+Submetering!G12+Submetering!H12+Submetering!I12+Submetering!J12+Submetering!K12</f>
        <v>23330</v>
      </c>
      <c r="F12" s="74">
        <v>0.2</v>
      </c>
      <c r="G12" s="71">
        <f>Submetering!P12</f>
        <v>582</v>
      </c>
      <c r="H12" s="74">
        <v>6.47</v>
      </c>
      <c r="I12" s="71">
        <f>Submetering!T12-Submetering!T12*15%-Submetering!X12</f>
        <v>17630.048199995639</v>
      </c>
      <c r="J12" s="70">
        <v>0.21</v>
      </c>
      <c r="K12" s="71">
        <f>Submetering!N12-Submetering!O12</f>
        <v>52.687000000004446</v>
      </c>
      <c r="L12" s="74">
        <v>7.84</v>
      </c>
      <c r="M12" s="5">
        <f>Submetering!Y12</f>
        <v>77</v>
      </c>
      <c r="N12" s="129">
        <f>Submetering!Z12</f>
        <v>132</v>
      </c>
    </row>
    <row r="13" spans="1:15" x14ac:dyDescent="0.25">
      <c r="A13" s="115" t="s">
        <v>80</v>
      </c>
      <c r="B13" s="72">
        <f t="shared" si="0"/>
        <v>12</v>
      </c>
      <c r="C13" s="73">
        <v>2</v>
      </c>
      <c r="D13" s="72">
        <v>2021</v>
      </c>
      <c r="E13" s="71">
        <f>Submetering!E13+Submetering!F13+Submetering!G13+Submetering!H13+Submetering!I13+Submetering!J13+Submetering!K13</f>
        <v>25597</v>
      </c>
      <c r="F13" s="74">
        <v>0.2</v>
      </c>
      <c r="G13" s="71">
        <f>Submetering!P13</f>
        <v>672</v>
      </c>
      <c r="H13" s="74">
        <v>6.47</v>
      </c>
      <c r="I13" s="71">
        <f>Submetering!T13-Submetering!T13*15%-Submetering!X13</f>
        <v>17575.190500004363</v>
      </c>
      <c r="J13" s="70">
        <v>0.21</v>
      </c>
      <c r="K13" s="71">
        <f>Submetering!N13-Submetering!O13</f>
        <v>56.653000000003431</v>
      </c>
      <c r="L13" s="74">
        <v>7.84</v>
      </c>
      <c r="M13" s="5">
        <f>Submetering!Y13</f>
        <v>106</v>
      </c>
      <c r="N13" s="129">
        <f>Submetering!Z13</f>
        <v>185</v>
      </c>
    </row>
    <row r="14" spans="1:15" x14ac:dyDescent="0.25">
      <c r="A14" s="115" t="s">
        <v>80</v>
      </c>
      <c r="B14" s="72">
        <f t="shared" si="0"/>
        <v>13</v>
      </c>
      <c r="C14" s="73">
        <v>2</v>
      </c>
      <c r="D14" s="72">
        <v>2021</v>
      </c>
      <c r="E14" s="71">
        <f>Submetering!E14+Submetering!F14+Submetering!G14+Submetering!H14+Submetering!I14+Submetering!J14+Submetering!K14</f>
        <v>25068</v>
      </c>
      <c r="F14" s="74">
        <v>0.2</v>
      </c>
      <c r="G14" s="71">
        <f>Submetering!P14</f>
        <v>613</v>
      </c>
      <c r="H14" s="74">
        <v>6.47</v>
      </c>
      <c r="I14" s="71">
        <f>Submetering!T14-Submetering!T14*15%-Submetering!X14</f>
        <v>16430.257839996812</v>
      </c>
      <c r="J14" s="70">
        <v>0.21</v>
      </c>
      <c r="K14" s="71">
        <f>Submetering!N14-Submetering!O14</f>
        <v>59.007999999996173</v>
      </c>
      <c r="L14" s="74">
        <v>7.84</v>
      </c>
      <c r="M14" s="5">
        <f>Submetering!Y14</f>
        <v>109</v>
      </c>
      <c r="N14" s="129">
        <f>Submetering!Z14</f>
        <v>175</v>
      </c>
    </row>
    <row r="15" spans="1:15" x14ac:dyDescent="0.25">
      <c r="A15" s="115" t="s">
        <v>80</v>
      </c>
      <c r="B15" s="72">
        <f t="shared" si="0"/>
        <v>14</v>
      </c>
      <c r="C15" s="73">
        <v>2</v>
      </c>
      <c r="D15" s="72">
        <v>2021</v>
      </c>
      <c r="E15" s="71">
        <f>Submetering!E15+Submetering!F15+Submetering!G15+Submetering!H15+Submetering!I15+Submetering!J15+Submetering!K15</f>
        <v>25120</v>
      </c>
      <c r="F15" s="74">
        <v>0.2</v>
      </c>
      <c r="G15" s="71">
        <f>Submetering!P15</f>
        <v>625</v>
      </c>
      <c r="H15" s="74">
        <v>6.47</v>
      </c>
      <c r="I15" s="71">
        <f>Submetering!T15-Submetering!T15*15%-Submetering!X15</f>
        <v>17717.87203999827</v>
      </c>
      <c r="J15" s="70">
        <v>0.21</v>
      </c>
      <c r="K15" s="80">
        <f>Submetering!N15-Submetering!O15</f>
        <v>76.037999999997737</v>
      </c>
      <c r="L15" s="74">
        <v>7.84</v>
      </c>
      <c r="M15" s="5">
        <f>Submetering!Y15</f>
        <v>99</v>
      </c>
      <c r="N15" s="129">
        <f>Submetering!Z15</f>
        <v>162</v>
      </c>
    </row>
    <row r="16" spans="1:15" x14ac:dyDescent="0.25">
      <c r="A16" s="115" t="s">
        <v>80</v>
      </c>
      <c r="B16" s="72">
        <f t="shared" si="0"/>
        <v>15</v>
      </c>
      <c r="C16" s="73">
        <v>2</v>
      </c>
      <c r="D16" s="72">
        <v>2021</v>
      </c>
      <c r="E16" s="71">
        <f>Submetering!E16+Submetering!F16+Submetering!G16+Submetering!H16+Submetering!I16+Submetering!J16+Submetering!K16</f>
        <v>24586</v>
      </c>
      <c r="F16" s="74">
        <v>0.2</v>
      </c>
      <c r="G16" s="71">
        <f>Submetering!P16</f>
        <v>579</v>
      </c>
      <c r="H16" s="74">
        <v>6.47</v>
      </c>
      <c r="I16" s="71">
        <f>Submetering!T16-Submetering!T16*15%-Submetering!X16</f>
        <v>16726.261780006658</v>
      </c>
      <c r="J16" s="70">
        <v>0.21</v>
      </c>
      <c r="K16" s="71">
        <f>Submetering!N16-Submetering!O16</f>
        <v>57.967999999992571</v>
      </c>
      <c r="L16" s="74">
        <v>7.84</v>
      </c>
      <c r="M16" s="5">
        <f>Submetering!Y16</f>
        <v>103</v>
      </c>
      <c r="N16" s="129">
        <f>Submetering!Z16</f>
        <v>172</v>
      </c>
    </row>
    <row r="17" spans="1:14" x14ac:dyDescent="0.25">
      <c r="A17" s="115" t="s">
        <v>80</v>
      </c>
      <c r="B17" s="72">
        <f t="shared" si="0"/>
        <v>16</v>
      </c>
      <c r="C17" s="73">
        <v>2</v>
      </c>
      <c r="D17" s="72">
        <v>2021</v>
      </c>
      <c r="E17" s="71">
        <f>Submetering!E17+Submetering!F17+Submetering!G17+Submetering!H17+Submetering!I17+Submetering!J17+Submetering!K17</f>
        <v>25526</v>
      </c>
      <c r="F17" s="74">
        <v>0.2</v>
      </c>
      <c r="G17" s="71">
        <f>Submetering!P17</f>
        <v>607</v>
      </c>
      <c r="H17" s="74">
        <v>6.47</v>
      </c>
      <c r="I17" s="71">
        <f>Submetering!T17-Submetering!T17*15%-Submetering!X17</f>
        <v>17557.140799995635</v>
      </c>
      <c r="J17" s="70">
        <v>0.21</v>
      </c>
      <c r="K17" s="71">
        <f>Submetering!N17-Submetering!O17</f>
        <v>80.913999999999305</v>
      </c>
      <c r="L17" s="74">
        <v>7.84</v>
      </c>
      <c r="M17" s="5">
        <f>Submetering!Y17</f>
        <v>108</v>
      </c>
      <c r="N17" s="129">
        <f>Submetering!Z17</f>
        <v>181</v>
      </c>
    </row>
    <row r="18" spans="1:14" x14ac:dyDescent="0.25">
      <c r="A18" s="115" t="s">
        <v>80</v>
      </c>
      <c r="B18" s="72">
        <f t="shared" si="0"/>
        <v>17</v>
      </c>
      <c r="C18" s="73">
        <v>2</v>
      </c>
      <c r="D18" s="72">
        <v>2021</v>
      </c>
      <c r="E18" s="71">
        <f>Submetering!E18+Submetering!F18+Submetering!G18+Submetering!H18+Submetering!I18+Submetering!J18+Submetering!K18</f>
        <v>25565</v>
      </c>
      <c r="F18" s="74">
        <v>0.2</v>
      </c>
      <c r="G18" s="71">
        <f>Submetering!P18</f>
        <v>588</v>
      </c>
      <c r="H18" s="74">
        <v>6.47</v>
      </c>
      <c r="I18" s="71">
        <f>Submetering!T18-Submetering!T18*15%-Submetering!X18</f>
        <v>20563.24822000062</v>
      </c>
      <c r="J18" s="70">
        <v>0.21</v>
      </c>
      <c r="K18" s="71">
        <f>Submetering!N18-Submetering!O18</f>
        <v>74.207000000011249</v>
      </c>
      <c r="L18" s="74">
        <v>7.84</v>
      </c>
      <c r="M18" s="5">
        <f>Submetering!Y18</f>
        <v>101</v>
      </c>
      <c r="N18" s="129">
        <f>Submetering!Z18</f>
        <v>161</v>
      </c>
    </row>
    <row r="19" spans="1:14" x14ac:dyDescent="0.25">
      <c r="A19" s="115" t="s">
        <v>80</v>
      </c>
      <c r="B19" s="72">
        <f t="shared" si="0"/>
        <v>18</v>
      </c>
      <c r="C19" s="73">
        <v>2</v>
      </c>
      <c r="D19" s="72">
        <v>2021</v>
      </c>
      <c r="E19" s="71">
        <f>Submetering!E19+Submetering!F19+Submetering!G19+Submetering!H19+Submetering!I19+Submetering!J19+Submetering!K19</f>
        <v>26405</v>
      </c>
      <c r="F19" s="74">
        <v>0.2</v>
      </c>
      <c r="G19" s="71">
        <f>Submetering!P19</f>
        <v>614</v>
      </c>
      <c r="H19" s="74">
        <v>6.47</v>
      </c>
      <c r="I19" s="71">
        <f>Submetering!T19-Submetering!T19*15%-Submetering!X19</f>
        <v>19738.867020000558</v>
      </c>
      <c r="J19" s="70">
        <v>0.21</v>
      </c>
      <c r="K19" s="71">
        <f>Submetering!N19-Submetering!O19</f>
        <v>61.5049999999992</v>
      </c>
      <c r="L19" s="74">
        <v>7.84</v>
      </c>
      <c r="M19" s="5">
        <f>Submetering!Y19</f>
        <v>106</v>
      </c>
      <c r="N19" s="129">
        <f>Submetering!Z19</f>
        <v>172</v>
      </c>
    </row>
    <row r="20" spans="1:14" x14ac:dyDescent="0.25">
      <c r="A20" s="115" t="s">
        <v>80</v>
      </c>
      <c r="B20" s="72">
        <f t="shared" si="0"/>
        <v>19</v>
      </c>
      <c r="C20" s="73">
        <v>2</v>
      </c>
      <c r="D20" s="72">
        <v>2021</v>
      </c>
      <c r="E20" s="71">
        <f>Submetering!E20+Submetering!F20+Submetering!G20+Submetering!H20+Submetering!I20+Submetering!J20+Submetering!K20</f>
        <v>25707</v>
      </c>
      <c r="F20" s="74">
        <v>0.2</v>
      </c>
      <c r="G20" s="71">
        <f>Submetering!P20</f>
        <v>690</v>
      </c>
      <c r="H20" s="74">
        <v>6.47</v>
      </c>
      <c r="I20" s="71">
        <f>Submetering!T20-Submetering!T20*15%-Submetering!X20</f>
        <v>20753.058099998547</v>
      </c>
      <c r="J20" s="70">
        <v>0.21</v>
      </c>
      <c r="K20" s="71">
        <f>Submetering!N20-Submetering!O20</f>
        <v>80.525000000005093</v>
      </c>
      <c r="L20" s="74">
        <v>7.84</v>
      </c>
      <c r="M20" s="5">
        <f>Submetering!Y20</f>
        <v>87</v>
      </c>
      <c r="N20" s="129">
        <f>Submetering!Z20</f>
        <v>122</v>
      </c>
    </row>
    <row r="21" spans="1:14" x14ac:dyDescent="0.25">
      <c r="A21" s="115" t="s">
        <v>80</v>
      </c>
      <c r="B21" s="72">
        <f t="shared" si="0"/>
        <v>20</v>
      </c>
      <c r="C21" s="73">
        <v>2</v>
      </c>
      <c r="D21" s="72">
        <v>2021</v>
      </c>
      <c r="E21" s="71">
        <f>Submetering!E21+Submetering!F21+Submetering!G21+Submetering!H21+Submetering!I21+Submetering!J21+Submetering!K21</f>
        <v>26241</v>
      </c>
      <c r="F21" s="74">
        <v>0.2</v>
      </c>
      <c r="G21" s="71">
        <f>Submetering!P21</f>
        <v>656</v>
      </c>
      <c r="H21" s="74">
        <v>6.47</v>
      </c>
      <c r="I21" s="71">
        <f>Submetering!T21-Submetering!T21*15%-Submetering!X21</f>
        <v>19538.199419999102</v>
      </c>
      <c r="J21" s="70">
        <v>0.21</v>
      </c>
      <c r="K21" s="71">
        <f>Submetering!N21-Submetering!O21</f>
        <v>55.350999999991018</v>
      </c>
      <c r="L21" s="74">
        <v>7.84</v>
      </c>
      <c r="M21" s="5">
        <f>Submetering!Y21</f>
        <v>109</v>
      </c>
      <c r="N21" s="129">
        <f>Submetering!Z21</f>
        <v>139</v>
      </c>
    </row>
    <row r="22" spans="1:14" x14ac:dyDescent="0.25">
      <c r="A22" s="115" t="s">
        <v>80</v>
      </c>
      <c r="B22" s="72">
        <f t="shared" si="0"/>
        <v>21</v>
      </c>
      <c r="C22" s="73">
        <v>2</v>
      </c>
      <c r="D22" s="72">
        <v>2021</v>
      </c>
      <c r="E22" s="71">
        <f>Submetering!E22+Submetering!F22+Submetering!G22+Submetering!H22+Submetering!I22+Submetering!J22+Submetering!K22</f>
        <v>25957</v>
      </c>
      <c r="F22" s="74">
        <v>0.2</v>
      </c>
      <c r="G22" s="71">
        <f>Submetering!P22</f>
        <v>656</v>
      </c>
      <c r="H22" s="74">
        <v>6.47</v>
      </c>
      <c r="I22" s="71">
        <f>Submetering!T22-Submetering!T22*15%-Submetering!X22</f>
        <v>20298.749900001458</v>
      </c>
      <c r="J22" s="70">
        <v>0.21</v>
      </c>
      <c r="K22" s="71">
        <f>Submetering!N22-Submetering!O22</f>
        <v>68.074999999989359</v>
      </c>
      <c r="L22" s="74">
        <v>7.84</v>
      </c>
      <c r="M22" s="5">
        <f>Submetering!Y22</f>
        <v>0</v>
      </c>
      <c r="N22" s="129">
        <f>Submetering!Z22</f>
        <v>0</v>
      </c>
    </row>
    <row r="23" spans="1:14" x14ac:dyDescent="0.25">
      <c r="A23" s="115" t="s">
        <v>80</v>
      </c>
      <c r="B23" s="72">
        <f t="shared" si="0"/>
        <v>22</v>
      </c>
      <c r="C23" s="73">
        <v>2</v>
      </c>
      <c r="D23" s="72">
        <v>2021</v>
      </c>
      <c r="E23" s="71">
        <f>Submetering!E23+Submetering!F23+Submetering!G23+Submetering!H23+Submetering!I23+Submetering!J23+Submetering!K23</f>
        <v>0</v>
      </c>
      <c r="F23" s="74">
        <v>0.2</v>
      </c>
      <c r="G23" s="71" t="str">
        <f>Submetering!P23</f>
        <v>0</v>
      </c>
      <c r="H23" s="74">
        <v>6.47</v>
      </c>
      <c r="I23" s="71">
        <f>Submetering!T23-Submetering!T23*15%-Submetering!X23</f>
        <v>0</v>
      </c>
      <c r="J23" s="70">
        <v>0.21</v>
      </c>
      <c r="K23" s="71">
        <f>Submetering!N23-Submetering!O23</f>
        <v>0</v>
      </c>
      <c r="L23" s="74">
        <v>7.84</v>
      </c>
      <c r="M23" s="5">
        <f>Submetering!Y23</f>
        <v>0</v>
      </c>
      <c r="N23" s="129">
        <f>Submetering!Z23</f>
        <v>0</v>
      </c>
    </row>
    <row r="24" spans="1:14" x14ac:dyDescent="0.25">
      <c r="A24" s="115" t="s">
        <v>80</v>
      </c>
      <c r="B24" s="72">
        <f t="shared" si="0"/>
        <v>23</v>
      </c>
      <c r="C24" s="73">
        <v>2</v>
      </c>
      <c r="D24" s="72">
        <v>2021</v>
      </c>
      <c r="E24" s="71">
        <f>Submetering!E24+Submetering!F24+Submetering!G24+Submetering!H24+Submetering!I24+Submetering!J24+Submetering!K24</f>
        <v>0</v>
      </c>
      <c r="F24" s="74">
        <v>0.2</v>
      </c>
      <c r="G24" s="71">
        <f>Submetering!P24</f>
        <v>0</v>
      </c>
      <c r="H24" s="74">
        <v>6.47</v>
      </c>
      <c r="I24" s="71">
        <f>Submetering!T24-Submetering!T24*15%-Submetering!X24</f>
        <v>0</v>
      </c>
      <c r="J24" s="70">
        <v>0.21</v>
      </c>
      <c r="K24" s="71">
        <f>Submetering!N24-Submetering!O24</f>
        <v>0</v>
      </c>
      <c r="L24" s="74">
        <v>7.84</v>
      </c>
      <c r="M24" s="5">
        <f>Submetering!Y24</f>
        <v>0</v>
      </c>
      <c r="N24" s="129">
        <f>Submetering!Z24</f>
        <v>0</v>
      </c>
    </row>
    <row r="25" spans="1:14" x14ac:dyDescent="0.25">
      <c r="A25" s="115" t="s">
        <v>80</v>
      </c>
      <c r="B25" s="72">
        <f t="shared" si="0"/>
        <v>24</v>
      </c>
      <c r="C25" s="73">
        <v>2</v>
      </c>
      <c r="D25" s="72">
        <v>2021</v>
      </c>
      <c r="E25" s="71">
        <f>Submetering!E25+Submetering!F25+Submetering!G25+Submetering!H25+Submetering!I25+Submetering!J25+Submetering!K25</f>
        <v>0</v>
      </c>
      <c r="F25" s="74">
        <v>0.2</v>
      </c>
      <c r="G25" s="71">
        <f>Submetering!P25</f>
        <v>0</v>
      </c>
      <c r="H25" s="74">
        <v>6.47</v>
      </c>
      <c r="I25" s="71">
        <f>Submetering!T25-Submetering!T25*15%-Submetering!X25</f>
        <v>0</v>
      </c>
      <c r="J25" s="70">
        <v>0.21</v>
      </c>
      <c r="K25" s="71">
        <f>Submetering!N25-Submetering!O25</f>
        <v>0</v>
      </c>
      <c r="L25" s="74">
        <v>7.84</v>
      </c>
      <c r="M25" s="5">
        <f>Submetering!Y25</f>
        <v>0</v>
      </c>
      <c r="N25" s="129">
        <f>Submetering!Z25</f>
        <v>0</v>
      </c>
    </row>
    <row r="26" spans="1:14" x14ac:dyDescent="0.25">
      <c r="A26" s="115" t="s">
        <v>80</v>
      </c>
      <c r="B26" s="72">
        <f>B25+1</f>
        <v>25</v>
      </c>
      <c r="C26" s="73">
        <v>2</v>
      </c>
      <c r="D26" s="72">
        <v>2021</v>
      </c>
      <c r="E26" s="71">
        <f>Submetering!E26+Submetering!F26+Submetering!G26+Submetering!H26+Submetering!I26+Submetering!J26+Submetering!K26</f>
        <v>0</v>
      </c>
      <c r="F26" s="74">
        <v>0.2</v>
      </c>
      <c r="G26" s="71">
        <f>Submetering!P26</f>
        <v>0</v>
      </c>
      <c r="H26" s="74">
        <v>6.47</v>
      </c>
      <c r="I26" s="71">
        <f>Submetering!T26-Submetering!T26*15%-Submetering!X26</f>
        <v>0</v>
      </c>
      <c r="J26" s="70">
        <v>0.21</v>
      </c>
      <c r="K26" s="71">
        <f>Submetering!N26-Submetering!O26</f>
        <v>0</v>
      </c>
      <c r="L26" s="74">
        <v>7.84</v>
      </c>
      <c r="M26" s="5">
        <f>Submetering!Y26</f>
        <v>0</v>
      </c>
      <c r="N26" s="129">
        <f>Submetering!Z26</f>
        <v>0</v>
      </c>
    </row>
    <row r="27" spans="1:14" x14ac:dyDescent="0.25">
      <c r="A27" s="115" t="s">
        <v>80</v>
      </c>
      <c r="B27" s="72">
        <f t="shared" si="0"/>
        <v>26</v>
      </c>
      <c r="C27" s="73">
        <v>2</v>
      </c>
      <c r="D27" s="72">
        <v>2021</v>
      </c>
      <c r="E27" s="71">
        <f>Submetering!E27+Submetering!F27+Submetering!G27+Submetering!H27+Submetering!I27+Submetering!J27+Submetering!K27</f>
        <v>0</v>
      </c>
      <c r="F27" s="74">
        <v>0.2</v>
      </c>
      <c r="G27" s="71">
        <f>Submetering!P27</f>
        <v>0</v>
      </c>
      <c r="H27" s="74">
        <v>6.47</v>
      </c>
      <c r="I27" s="71">
        <f>Submetering!T27-Submetering!T27*15%-Submetering!X27</f>
        <v>0</v>
      </c>
      <c r="J27" s="70">
        <v>0.21</v>
      </c>
      <c r="K27" s="71">
        <f>Submetering!N27-Submetering!O27</f>
        <v>0</v>
      </c>
      <c r="L27" s="74">
        <v>7.84</v>
      </c>
      <c r="M27" s="5">
        <f>Submetering!Y27</f>
        <v>0</v>
      </c>
      <c r="N27" s="129">
        <f>Submetering!Z27</f>
        <v>0</v>
      </c>
    </row>
    <row r="28" spans="1:14" x14ac:dyDescent="0.25">
      <c r="A28" s="115" t="s">
        <v>80</v>
      </c>
      <c r="B28" s="72">
        <f t="shared" si="0"/>
        <v>27</v>
      </c>
      <c r="C28" s="73">
        <v>2</v>
      </c>
      <c r="D28" s="72">
        <v>2021</v>
      </c>
      <c r="E28" s="71">
        <f>Submetering!E28+Submetering!F28+Submetering!G28+Submetering!H28+Submetering!I28+Submetering!J28+Submetering!K28</f>
        <v>0</v>
      </c>
      <c r="F28" s="74">
        <v>0.2</v>
      </c>
      <c r="G28" s="71">
        <f>Submetering!P28</f>
        <v>0</v>
      </c>
      <c r="H28" s="74">
        <v>6.47</v>
      </c>
      <c r="I28" s="71">
        <f>Submetering!T28-Submetering!T28*15%-Submetering!X28</f>
        <v>0</v>
      </c>
      <c r="J28" s="70">
        <v>0.21</v>
      </c>
      <c r="K28" s="71">
        <f>Submetering!N28-Submetering!O28</f>
        <v>0</v>
      </c>
      <c r="L28" s="74">
        <v>7.84</v>
      </c>
      <c r="M28" s="5">
        <f>Submetering!Y28</f>
        <v>0</v>
      </c>
      <c r="N28" s="129">
        <f>Submetering!Z28</f>
        <v>0</v>
      </c>
    </row>
    <row r="29" spans="1:14" x14ac:dyDescent="0.25">
      <c r="A29" s="115" t="s">
        <v>80</v>
      </c>
      <c r="B29" s="72">
        <f t="shared" si="0"/>
        <v>28</v>
      </c>
      <c r="C29" s="73">
        <v>2</v>
      </c>
      <c r="D29" s="72">
        <v>2021</v>
      </c>
      <c r="E29" s="71">
        <f>Submetering!E29+Submetering!F29+Submetering!G29+Submetering!H29+Submetering!I29+Submetering!J29+Submetering!K29</f>
        <v>0</v>
      </c>
      <c r="F29" s="74">
        <v>0.2</v>
      </c>
      <c r="G29" s="71">
        <f>Submetering!P29</f>
        <v>0</v>
      </c>
      <c r="H29" s="74">
        <v>6.47</v>
      </c>
      <c r="I29" s="71">
        <f>Submetering!T29-Submetering!T29*15%-Submetering!X29</f>
        <v>0</v>
      </c>
      <c r="J29" s="70">
        <v>0.21</v>
      </c>
      <c r="K29" s="71">
        <f>Submetering!N29-Submetering!O29</f>
        <v>0</v>
      </c>
      <c r="L29" s="74">
        <v>7.84</v>
      </c>
      <c r="M29" s="5">
        <f>Submetering!Y29</f>
        <v>0</v>
      </c>
      <c r="N29" s="129">
        <f>Submetering!Z29</f>
        <v>0</v>
      </c>
    </row>
    <row r="30" spans="1:14" x14ac:dyDescent="0.25">
      <c r="M30" s="4">
        <f>SUM(M2:M29)</f>
        <v>1779</v>
      </c>
      <c r="N30" s="4">
        <f>SUM(N2:N29)</f>
        <v>2774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1"/>
  <sheetViews>
    <sheetView workbookViewId="0">
      <pane xSplit="2" ySplit="1" topLeftCell="K2" activePane="bottomRight" state="frozen"/>
      <selection pane="topRight" activeCell="C1" sqref="C1"/>
      <selection pane="bottomLeft" activeCell="A2" sqref="A2"/>
      <selection pane="bottomRight" activeCell="Y12" sqref="Y12:Y21"/>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100" t="s">
        <v>0</v>
      </c>
      <c r="B1" s="101" t="s">
        <v>1</v>
      </c>
      <c r="C1" s="102" t="s">
        <v>2</v>
      </c>
      <c r="D1" s="101" t="s">
        <v>3</v>
      </c>
      <c r="E1" s="103" t="s">
        <v>64</v>
      </c>
      <c r="F1" s="103" t="s">
        <v>81</v>
      </c>
      <c r="G1" s="103" t="s">
        <v>84</v>
      </c>
      <c r="H1" s="103" t="s">
        <v>65</v>
      </c>
      <c r="I1" s="103" t="s">
        <v>66</v>
      </c>
      <c r="J1" s="103" t="s">
        <v>67</v>
      </c>
      <c r="K1" s="103" t="s">
        <v>68</v>
      </c>
      <c r="L1" s="104" t="s">
        <v>69</v>
      </c>
      <c r="M1" s="104" t="s">
        <v>70</v>
      </c>
      <c r="N1" s="104" t="s">
        <v>71</v>
      </c>
      <c r="O1" s="104" t="s">
        <v>72</v>
      </c>
      <c r="P1" s="104" t="s">
        <v>73</v>
      </c>
      <c r="Q1" s="104" t="s">
        <v>74</v>
      </c>
      <c r="R1" s="104" t="s">
        <v>75</v>
      </c>
      <c r="S1" s="104" t="s">
        <v>91</v>
      </c>
      <c r="T1" s="104" t="s">
        <v>86</v>
      </c>
      <c r="U1" s="104" t="s">
        <v>87</v>
      </c>
      <c r="V1" s="104" t="s">
        <v>88</v>
      </c>
      <c r="W1" s="104" t="s">
        <v>89</v>
      </c>
      <c r="X1" s="104" t="s">
        <v>90</v>
      </c>
      <c r="Y1" s="105" t="s">
        <v>8</v>
      </c>
      <c r="Z1" s="104" t="s">
        <v>9</v>
      </c>
    </row>
    <row r="2" spans="1:26" x14ac:dyDescent="0.25">
      <c r="A2" s="106" t="s">
        <v>80</v>
      </c>
      <c r="B2" s="107">
        <v>1</v>
      </c>
      <c r="C2" s="108">
        <v>2</v>
      </c>
      <c r="D2" s="107">
        <v>2021</v>
      </c>
      <c r="E2" s="109">
        <f>'FS-AD Daily '!B6</f>
        <v>6659</v>
      </c>
      <c r="F2" s="109">
        <f>'FS-AD Daily '!C6</f>
        <v>3423</v>
      </c>
      <c r="G2" s="109">
        <f>'FS-AD Daily '!D6</f>
        <v>885</v>
      </c>
      <c r="H2" s="109">
        <f>'FS-AD Daily '!E6</f>
        <v>5697</v>
      </c>
      <c r="I2" s="109">
        <f>'FS-AD Daily '!F6</f>
        <v>5618</v>
      </c>
      <c r="J2" s="109">
        <f>'FS-AD Daily '!G6</f>
        <v>2586</v>
      </c>
      <c r="K2" s="109">
        <f>'FS-AD Daily '!H6</f>
        <v>3583</v>
      </c>
      <c r="L2" s="109">
        <f>'FS-AD Daily '!I6</f>
        <v>2358</v>
      </c>
      <c r="M2" s="109">
        <f>'FS-AD Daily '!J6</f>
        <v>6759</v>
      </c>
      <c r="N2" s="109">
        <f>'FS-AD Daily '!T6</f>
        <v>98.178999999996449</v>
      </c>
      <c r="O2" s="109">
        <f>'FS-AD Daily '!R6</f>
        <v>59.268999999992957</v>
      </c>
      <c r="P2" s="109">
        <f>'FS-AD Daily '!Z6</f>
        <v>440</v>
      </c>
      <c r="Q2" s="109">
        <f>'FS-AD Daily '!V6</f>
        <v>148.39999999996508</v>
      </c>
      <c r="R2" s="109">
        <f>'FS-AD Daily '!W6</f>
        <v>0</v>
      </c>
      <c r="S2" s="109">
        <f>P2-Q2-R2</f>
        <v>291.60000000003492</v>
      </c>
      <c r="T2" s="109">
        <f>'FS-AD Daily '!AD6*3.516</f>
        <v>29682.775199999018</v>
      </c>
      <c r="U2" s="109">
        <f>('FS-AD Daily '!AF6)*1000</f>
        <v>15500</v>
      </c>
      <c r="V2" s="109">
        <f>('FS-AD Daily '!AG6)*1000</f>
        <v>5200.0000000043656</v>
      </c>
      <c r="W2" s="109">
        <f>'FS-AD Daily '!AH6*1000</f>
        <v>6000</v>
      </c>
      <c r="X2" s="109">
        <f>('FS-AD Daily '!AK6)*1000</f>
        <v>11000</v>
      </c>
      <c r="Y2" s="41">
        <v>79</v>
      </c>
      <c r="Z2" s="128">
        <v>116</v>
      </c>
    </row>
    <row r="3" spans="1:26" x14ac:dyDescent="0.25">
      <c r="A3" s="110" t="s">
        <v>80</v>
      </c>
      <c r="B3" s="69">
        <f>B2+1</f>
        <v>2</v>
      </c>
      <c r="C3" s="70">
        <v>2</v>
      </c>
      <c r="D3" s="69">
        <v>2021</v>
      </c>
      <c r="E3" s="71">
        <f>'FS-AD Daily '!B7</f>
        <v>6222</v>
      </c>
      <c r="F3" s="71">
        <f>'FS-AD Daily '!C7</f>
        <v>3466</v>
      </c>
      <c r="G3" s="71">
        <f>'FS-AD Daily '!D7</f>
        <v>854</v>
      </c>
      <c r="H3" s="71">
        <f>'FS-AD Daily '!E7</f>
        <v>5677</v>
      </c>
      <c r="I3" s="71">
        <f>'FS-AD Daily '!F7</f>
        <v>5514</v>
      </c>
      <c r="J3" s="71">
        <f>'FS-AD Daily '!G7</f>
        <v>2480</v>
      </c>
      <c r="K3" s="71">
        <f>'FS-AD Daily '!H7</f>
        <v>3509</v>
      </c>
      <c r="L3" s="71">
        <f>'FS-AD Daily '!I7</f>
        <v>2264</v>
      </c>
      <c r="M3" s="71">
        <f>'FS-AD Daily '!J7</f>
        <v>6541</v>
      </c>
      <c r="N3" s="71">
        <f>'FS-AD Daily '!T7</f>
        <v>121.7980000000025</v>
      </c>
      <c r="O3" s="71">
        <f>'FS-AD Daily '!R7</f>
        <v>61.959000000007109</v>
      </c>
      <c r="P3" s="71">
        <f>'FS-AD Daily '!Z7</f>
        <v>470</v>
      </c>
      <c r="Q3" s="71">
        <f>'FS-AD Daily '!V7</f>
        <v>154</v>
      </c>
      <c r="R3" s="71">
        <f>'FS-AD Daily '!W7</f>
        <v>0</v>
      </c>
      <c r="S3" s="71">
        <f t="shared" ref="S3:S28" si="0">P3-Q3-R3</f>
        <v>316</v>
      </c>
      <c r="T3" s="71">
        <f>'FS-AD Daily '!AD7*3.516</f>
        <v>32121.121200000656</v>
      </c>
      <c r="U3" s="71">
        <f>('FS-AD Daily '!AF7)*1000</f>
        <v>17400.000000008731</v>
      </c>
      <c r="V3" s="71">
        <f>('FS-AD Daily '!AG7)*1000</f>
        <v>5599.9999999985448</v>
      </c>
      <c r="W3" s="71">
        <f>'FS-AD Daily '!AH7*1000</f>
        <v>5900.0000000014552</v>
      </c>
      <c r="X3" s="71">
        <f>('FS-AD Daily '!AK7)*1000</f>
        <v>11500</v>
      </c>
      <c r="Y3" s="5">
        <v>75</v>
      </c>
      <c r="Z3" s="129">
        <v>112</v>
      </c>
    </row>
    <row r="4" spans="1:26" x14ac:dyDescent="0.25">
      <c r="A4" s="110" t="s">
        <v>80</v>
      </c>
      <c r="B4" s="69">
        <f t="shared" ref="B4:B29" si="1">B3+1</f>
        <v>3</v>
      </c>
      <c r="C4" s="70">
        <v>2</v>
      </c>
      <c r="D4" s="69">
        <v>2021</v>
      </c>
      <c r="E4" s="71">
        <f>'FS-AD Daily '!B8</f>
        <v>4956</v>
      </c>
      <c r="F4" s="71">
        <f>'FS-AD Daily '!C8</f>
        <v>2571</v>
      </c>
      <c r="G4" s="71">
        <f>'FS-AD Daily '!D8</f>
        <v>895</v>
      </c>
      <c r="H4" s="71">
        <f>'FS-AD Daily '!E8</f>
        <v>5818</v>
      </c>
      <c r="I4" s="71">
        <f>'FS-AD Daily '!F8</f>
        <v>5709</v>
      </c>
      <c r="J4" s="71">
        <f>'FS-AD Daily '!G8</f>
        <v>2600</v>
      </c>
      <c r="K4" s="71">
        <f>'FS-AD Daily '!H8</f>
        <v>3501</v>
      </c>
      <c r="L4" s="71">
        <f>'FS-AD Daily '!I8</f>
        <v>2377</v>
      </c>
      <c r="M4" s="71">
        <f>'FS-AD Daily '!J8</f>
        <v>6810</v>
      </c>
      <c r="N4" s="71">
        <f>'FS-AD Daily '!T8</f>
        <v>129.38699999999881</v>
      </c>
      <c r="O4" s="71">
        <f>'FS-AD Daily '!R8</f>
        <v>70.880999999995311</v>
      </c>
      <c r="P4" s="71">
        <f>'FS-AD Daily '!Z8</f>
        <v>485</v>
      </c>
      <c r="Q4" s="71">
        <f>'FS-AD Daily '!V8</f>
        <v>160.30000000004657</v>
      </c>
      <c r="R4" s="71">
        <f>'FS-AD Daily '!W8</f>
        <v>0</v>
      </c>
      <c r="S4" s="71">
        <f t="shared" si="0"/>
        <v>324.69999999995343</v>
      </c>
      <c r="T4" s="71">
        <f>'FS-AD Daily '!AD8*3.516</f>
        <v>33514.512000000002</v>
      </c>
      <c r="U4" s="71">
        <f>('FS-AD Daily '!AF8)*1000</f>
        <v>17699.99999999709</v>
      </c>
      <c r="V4" s="71">
        <f>('FS-AD Daily '!AG8)*1000</f>
        <v>5799.9999999956344</v>
      </c>
      <c r="W4" s="71">
        <f>'FS-AD Daily '!AH8*1000</f>
        <v>6199.9999999970896</v>
      </c>
      <c r="X4" s="71">
        <f>('FS-AD Daily '!AK8)*1000</f>
        <v>12699.99999999709</v>
      </c>
      <c r="Y4" s="5">
        <v>81</v>
      </c>
      <c r="Z4" s="129">
        <v>127</v>
      </c>
    </row>
    <row r="5" spans="1:26" x14ac:dyDescent="0.25">
      <c r="A5" s="110" t="s">
        <v>80</v>
      </c>
      <c r="B5" s="69">
        <f t="shared" si="1"/>
        <v>4</v>
      </c>
      <c r="C5" s="70">
        <v>2</v>
      </c>
      <c r="D5" s="69">
        <v>2021</v>
      </c>
      <c r="E5" s="71">
        <f>'FS-AD Daily '!B9</f>
        <v>4545</v>
      </c>
      <c r="F5" s="71">
        <f>'FS-AD Daily '!C9</f>
        <v>2246</v>
      </c>
      <c r="G5" s="71">
        <f>'FS-AD Daily '!D9</f>
        <v>927</v>
      </c>
      <c r="H5" s="71">
        <f>'FS-AD Daily '!E9</f>
        <v>5895</v>
      </c>
      <c r="I5" s="71">
        <f>'FS-AD Daily '!F9</f>
        <v>5606</v>
      </c>
      <c r="J5" s="71">
        <f>'FS-AD Daily '!G9</f>
        <v>2541</v>
      </c>
      <c r="K5" s="71">
        <f>'FS-AD Daily '!H9</f>
        <v>3574</v>
      </c>
      <c r="L5" s="71">
        <f>'FS-AD Daily '!I9</f>
        <v>2358</v>
      </c>
      <c r="M5" s="71">
        <f>'FS-AD Daily '!J9</f>
        <v>7025</v>
      </c>
      <c r="N5" s="71">
        <f>'FS-AD Daily '!T9</f>
        <v>141.83099999999831</v>
      </c>
      <c r="O5" s="71">
        <f>'FS-AD Daily '!R9</f>
        <v>73.286000000002332</v>
      </c>
      <c r="P5" s="71">
        <f>'FS-AD Daily '!Z9</f>
        <v>495</v>
      </c>
      <c r="Q5" s="71">
        <f>'FS-AD Daily '!V9</f>
        <v>142.89999999996508</v>
      </c>
      <c r="R5" s="71">
        <f>'FS-AD Daily '!W9</f>
        <v>0</v>
      </c>
      <c r="S5" s="71">
        <f t="shared" si="0"/>
        <v>352.10000000003492</v>
      </c>
      <c r="T5" s="71">
        <f>'FS-AD Daily '!AD9*3.516</f>
        <v>36121.625999999997</v>
      </c>
      <c r="U5" s="71">
        <f>('FS-AD Daily '!AF9)*1000</f>
        <v>19300.00000000291</v>
      </c>
      <c r="V5" s="71">
        <f>('FS-AD Daily '!AG9)*1000</f>
        <v>6100.0000000058208</v>
      </c>
      <c r="W5" s="71">
        <f>'FS-AD Daily '!AH9*1000</f>
        <v>6500</v>
      </c>
      <c r="X5" s="71">
        <f>('FS-AD Daily '!AK9)*1000</f>
        <v>13900.000000001455</v>
      </c>
      <c r="Y5" s="5">
        <v>66</v>
      </c>
      <c r="Z5" s="129">
        <v>106</v>
      </c>
    </row>
    <row r="6" spans="1:26" x14ac:dyDescent="0.25">
      <c r="A6" s="110" t="s">
        <v>80</v>
      </c>
      <c r="B6" s="69">
        <f t="shared" si="1"/>
        <v>5</v>
      </c>
      <c r="C6" s="70">
        <v>2</v>
      </c>
      <c r="D6" s="69">
        <v>2021</v>
      </c>
      <c r="E6" s="71">
        <f>'FS-AD Daily '!B10</f>
        <v>5248</v>
      </c>
      <c r="F6" s="71">
        <f>'FS-AD Daily '!C10</f>
        <v>2392</v>
      </c>
      <c r="G6" s="71">
        <f>'FS-AD Daily '!D10</f>
        <v>912</v>
      </c>
      <c r="H6" s="71">
        <f>'FS-AD Daily '!E10</f>
        <v>6134</v>
      </c>
      <c r="I6" s="71">
        <f>'FS-AD Daily '!F10</f>
        <v>5863</v>
      </c>
      <c r="J6" s="71">
        <f>'FS-AD Daily '!G10</f>
        <v>2557</v>
      </c>
      <c r="K6" s="71">
        <f>'FS-AD Daily '!H10</f>
        <v>3549</v>
      </c>
      <c r="L6" s="71">
        <f>'FS-AD Daily '!I10</f>
        <v>2336</v>
      </c>
      <c r="M6" s="71">
        <f>'FS-AD Daily '!J10</f>
        <v>7006</v>
      </c>
      <c r="N6" s="71">
        <f>'FS-AD Daily '!T10</f>
        <v>134.8240000000078</v>
      </c>
      <c r="O6" s="71">
        <f>'FS-AD Daily '!R10</f>
        <v>89.207000000009884</v>
      </c>
      <c r="P6" s="71">
        <f>'FS-AD Daily '!Z10</f>
        <v>485</v>
      </c>
      <c r="Q6" s="71">
        <f>'FS-AD Daily '!V10</f>
        <v>155.79999999998836</v>
      </c>
      <c r="R6" s="71">
        <f>'FS-AD Daily '!W10</f>
        <v>0</v>
      </c>
      <c r="S6" s="71">
        <f t="shared" si="0"/>
        <v>329.20000000001164</v>
      </c>
      <c r="T6" s="71">
        <f>'FS-AD Daily '!AD10*3.516</f>
        <v>37135.991999999998</v>
      </c>
      <c r="U6" s="71">
        <f>('FS-AD Daily '!AF10)*1000</f>
        <v>19899.999999994179</v>
      </c>
      <c r="V6" s="71">
        <f>('FS-AD Daily '!AG10)*1000</f>
        <v>6199.9999999970896</v>
      </c>
      <c r="W6" s="71">
        <f>'FS-AD Daily '!AH10*1000</f>
        <v>6800.0000000029104</v>
      </c>
      <c r="X6" s="71">
        <f>('FS-AD Daily '!AK10)*1000</f>
        <v>14400.000000001455</v>
      </c>
      <c r="Y6" s="5">
        <v>71</v>
      </c>
      <c r="Z6" s="129">
        <v>123</v>
      </c>
    </row>
    <row r="7" spans="1:26" x14ac:dyDescent="0.25">
      <c r="A7" s="110" t="s">
        <v>80</v>
      </c>
      <c r="B7" s="69">
        <f t="shared" si="1"/>
        <v>6</v>
      </c>
      <c r="C7" s="70">
        <v>2</v>
      </c>
      <c r="D7" s="69">
        <v>2021</v>
      </c>
      <c r="E7" s="71">
        <f>'FS-AD Daily '!B11</f>
        <v>5086</v>
      </c>
      <c r="F7" s="71">
        <f>'FS-AD Daily '!C11</f>
        <v>2349</v>
      </c>
      <c r="G7" s="71">
        <f>'FS-AD Daily '!D11</f>
        <v>965</v>
      </c>
      <c r="H7" s="71">
        <f>'FS-AD Daily '!E11</f>
        <v>6101</v>
      </c>
      <c r="I7" s="71">
        <f>'FS-AD Daily '!F11</f>
        <v>5676</v>
      </c>
      <c r="J7" s="71">
        <f>'FS-AD Daily '!G11</f>
        <v>2684</v>
      </c>
      <c r="K7" s="71">
        <f>'FS-AD Daily '!H11</f>
        <v>3598</v>
      </c>
      <c r="L7" s="71">
        <f>'FS-AD Daily '!I11</f>
        <v>2424</v>
      </c>
      <c r="M7" s="71">
        <f>'FS-AD Daily '!J11</f>
        <v>7198</v>
      </c>
      <c r="N7" s="71">
        <f>'FS-AD Daily '!T11</f>
        <v>119.70599999999831</v>
      </c>
      <c r="O7" s="71">
        <f>'FS-AD Daily '!R11</f>
        <v>86.56399999999303</v>
      </c>
      <c r="P7" s="71">
        <f>'FS-AD Daily '!Z11</f>
        <v>444</v>
      </c>
      <c r="Q7" s="71">
        <f>'FS-AD Daily '!V11</f>
        <v>154.20000000001164</v>
      </c>
      <c r="R7" s="71">
        <f>'FS-AD Daily '!W11</f>
        <v>0</v>
      </c>
      <c r="S7" s="71">
        <f t="shared" si="0"/>
        <v>289.79999999998836</v>
      </c>
      <c r="T7" s="71">
        <f>'FS-AD Daily '!AD11*3.516</f>
        <v>36888.817200000653</v>
      </c>
      <c r="U7" s="71">
        <f>('FS-AD Daily '!AF11)*1000</f>
        <v>19400.000000008731</v>
      </c>
      <c r="V7" s="71">
        <f>('FS-AD Daily '!AG11)*1000</f>
        <v>6699.9999999970896</v>
      </c>
      <c r="W7" s="71">
        <f>'FS-AD Daily '!AH11*1000</f>
        <v>7000</v>
      </c>
      <c r="X7" s="71">
        <f>('FS-AD Daily '!AK11)*1000</f>
        <v>14500</v>
      </c>
      <c r="Y7" s="5">
        <v>57</v>
      </c>
      <c r="Z7" s="129">
        <v>79</v>
      </c>
    </row>
    <row r="8" spans="1:26" x14ac:dyDescent="0.25">
      <c r="A8" s="110" t="s">
        <v>80</v>
      </c>
      <c r="B8" s="69">
        <f t="shared" si="1"/>
        <v>7</v>
      </c>
      <c r="C8" s="70">
        <v>2</v>
      </c>
      <c r="D8" s="69">
        <v>2021</v>
      </c>
      <c r="E8" s="71">
        <f>'FS-AD Daily '!B12</f>
        <v>5221</v>
      </c>
      <c r="F8" s="71">
        <f>'FS-AD Daily '!C12</f>
        <v>2143</v>
      </c>
      <c r="G8" s="71">
        <f>'FS-AD Daily '!D12</f>
        <v>846</v>
      </c>
      <c r="H8" s="71">
        <f>'FS-AD Daily '!E12</f>
        <v>6117</v>
      </c>
      <c r="I8" s="71">
        <f>'FS-AD Daily '!F12</f>
        <v>5551</v>
      </c>
      <c r="J8" s="71">
        <f>'FS-AD Daily '!G12</f>
        <v>2706</v>
      </c>
      <c r="K8" s="71">
        <f>'FS-AD Daily '!H12</f>
        <v>3480</v>
      </c>
      <c r="L8" s="71">
        <f>'FS-AD Daily '!I12</f>
        <v>2410</v>
      </c>
      <c r="M8" s="71">
        <f>'FS-AD Daily '!J12</f>
        <v>6898</v>
      </c>
      <c r="N8" s="71">
        <f>'FS-AD Daily '!T12</f>
        <v>127.74799999999595</v>
      </c>
      <c r="O8" s="71">
        <f>'FS-AD Daily '!R12</f>
        <v>63.773000000000593</v>
      </c>
      <c r="P8" s="71">
        <f>'FS-AD Daily '!Z12</f>
        <v>441</v>
      </c>
      <c r="Q8" s="71">
        <f>'FS-AD Daily '!V12</f>
        <v>140.5</v>
      </c>
      <c r="R8" s="71">
        <f>'FS-AD Daily '!W12</f>
        <v>0</v>
      </c>
      <c r="S8" s="71">
        <f t="shared" si="0"/>
        <v>300.5</v>
      </c>
      <c r="T8" s="71">
        <f>'FS-AD Daily '!AD12*3.516</f>
        <v>34108.716</v>
      </c>
      <c r="U8" s="71">
        <f>('FS-AD Daily '!AF12)*1000</f>
        <v>18000</v>
      </c>
      <c r="V8" s="71">
        <f>('FS-AD Daily '!AG12)*1000</f>
        <v>5800.0000000029104</v>
      </c>
      <c r="W8" s="71">
        <f>'FS-AD Daily '!AH12*1000</f>
        <v>6299.9999999992724</v>
      </c>
      <c r="X8" s="71">
        <f>('FS-AD Daily '!AK12)*1000</f>
        <v>12799.999999995634</v>
      </c>
      <c r="Y8" s="5">
        <v>87</v>
      </c>
      <c r="Z8" s="129">
        <v>126</v>
      </c>
    </row>
    <row r="9" spans="1:26" x14ac:dyDescent="0.25">
      <c r="A9" s="110" t="s">
        <v>80</v>
      </c>
      <c r="B9" s="69">
        <f t="shared" si="1"/>
        <v>8</v>
      </c>
      <c r="C9" s="70">
        <v>2</v>
      </c>
      <c r="D9" s="69">
        <v>2021</v>
      </c>
      <c r="E9" s="71">
        <f>'FS-AD Daily '!B13</f>
        <v>4663</v>
      </c>
      <c r="F9" s="71">
        <f>'FS-AD Daily '!C13</f>
        <v>2235</v>
      </c>
      <c r="G9" s="71">
        <f>'FS-AD Daily '!D13</f>
        <v>959</v>
      </c>
      <c r="H9" s="71">
        <f>'FS-AD Daily '!E13</f>
        <v>5113</v>
      </c>
      <c r="I9" s="71">
        <f>'FS-AD Daily '!F13</f>
        <v>5508</v>
      </c>
      <c r="J9" s="71">
        <f>'FS-AD Daily '!G13</f>
        <v>2557</v>
      </c>
      <c r="K9" s="71">
        <f>'FS-AD Daily '!H13</f>
        <v>3483</v>
      </c>
      <c r="L9" s="71">
        <f>'FS-AD Daily '!I13</f>
        <v>2385</v>
      </c>
      <c r="M9" s="71">
        <f>'FS-AD Daily '!J13</f>
        <v>6948</v>
      </c>
      <c r="N9" s="71">
        <f>'FS-AD Daily '!T13</f>
        <v>107.10600000000341</v>
      </c>
      <c r="O9" s="71">
        <f>'FS-AD Daily '!R13</f>
        <v>73.310999999991509</v>
      </c>
      <c r="P9" s="71">
        <f>'FS-AD Daily '!Z13</f>
        <v>539</v>
      </c>
      <c r="Q9" s="71">
        <f>'FS-AD Daily '!V13</f>
        <v>255</v>
      </c>
      <c r="R9" s="71">
        <f>'FS-AD Daily '!W13</f>
        <v>0</v>
      </c>
      <c r="S9" s="71">
        <f t="shared" si="0"/>
        <v>284</v>
      </c>
      <c r="T9" s="71">
        <f>'FS-AD Daily '!AD13*3.516</f>
        <v>37456.651199999018</v>
      </c>
      <c r="U9" s="71">
        <f>('FS-AD Daily '!AF13)*1000</f>
        <v>18899.999999994179</v>
      </c>
      <c r="V9" s="71">
        <f>('FS-AD Daily '!AG13)*1000</f>
        <v>7500</v>
      </c>
      <c r="W9" s="71">
        <f>'FS-AD Daily '!AH13*1000</f>
        <v>6599.9999999985448</v>
      </c>
      <c r="X9" s="71">
        <f>('FS-AD Daily '!AK13)*1000</f>
        <v>14900.000000001455</v>
      </c>
      <c r="Y9" s="5">
        <v>100</v>
      </c>
      <c r="Z9" s="129">
        <v>133</v>
      </c>
    </row>
    <row r="10" spans="1:26" x14ac:dyDescent="0.25">
      <c r="A10" s="110" t="s">
        <v>80</v>
      </c>
      <c r="B10" s="69">
        <f t="shared" si="1"/>
        <v>9</v>
      </c>
      <c r="C10" s="70">
        <v>2</v>
      </c>
      <c r="D10" s="69">
        <v>2021</v>
      </c>
      <c r="E10" s="71">
        <f>'FS-AD Daily '!B14</f>
        <v>5882</v>
      </c>
      <c r="F10" s="71">
        <f>'FS-AD Daily '!C14</f>
        <v>2553</v>
      </c>
      <c r="G10" s="71">
        <f>'FS-AD Daily '!D14</f>
        <v>956</v>
      </c>
      <c r="H10" s="71">
        <f>'FS-AD Daily '!E14</f>
        <v>4493</v>
      </c>
      <c r="I10" s="71">
        <f>'FS-AD Daily '!F14</f>
        <v>5659</v>
      </c>
      <c r="J10" s="71">
        <f>'FS-AD Daily '!G14</f>
        <v>2629</v>
      </c>
      <c r="K10" s="71">
        <f>'FS-AD Daily '!H14</f>
        <v>3577</v>
      </c>
      <c r="L10" s="71">
        <f>'FS-AD Daily '!I14</f>
        <v>2360</v>
      </c>
      <c r="M10" s="71">
        <f>'FS-AD Daily '!J14</f>
        <v>7085</v>
      </c>
      <c r="N10" s="71">
        <f>'FS-AD Daily '!T14</f>
        <v>117.66399999999703</v>
      </c>
      <c r="O10" s="71">
        <f>'FS-AD Daily '!R14</f>
        <v>69.550000000004275</v>
      </c>
      <c r="P10" s="71">
        <f>'FS-AD Daily '!Z14</f>
        <v>587</v>
      </c>
      <c r="Q10" s="71">
        <f>'FS-AD Daily '!V14</f>
        <v>301.90000000002328</v>
      </c>
      <c r="R10" s="71">
        <f>'FS-AD Daily '!W14</f>
        <v>0</v>
      </c>
      <c r="S10" s="71">
        <f t="shared" si="0"/>
        <v>285.09999999997672</v>
      </c>
      <c r="T10" s="71">
        <f>'FS-AD Daily '!AD14*3.516</f>
        <v>39630.242399999675</v>
      </c>
      <c r="U10" s="71">
        <f>('FS-AD Daily '!AF14)*1000</f>
        <v>20400.000000008731</v>
      </c>
      <c r="V10" s="71">
        <f>('FS-AD Daily '!AG14)*1000</f>
        <v>9099.9999999985448</v>
      </c>
      <c r="W10" s="71">
        <f>'FS-AD Daily '!AH14*1000</f>
        <v>6299.9999999992724</v>
      </c>
      <c r="X10" s="71">
        <f>('FS-AD Daily '!AK14)*1000</f>
        <v>14500</v>
      </c>
      <c r="Y10" s="5">
        <v>88</v>
      </c>
      <c r="Z10" s="129">
        <v>133</v>
      </c>
    </row>
    <row r="11" spans="1:26" x14ac:dyDescent="0.25">
      <c r="A11" s="110" t="s">
        <v>80</v>
      </c>
      <c r="B11" s="69">
        <f t="shared" si="1"/>
        <v>10</v>
      </c>
      <c r="C11" s="70">
        <v>2</v>
      </c>
      <c r="D11" s="69">
        <v>2021</v>
      </c>
      <c r="E11" s="71">
        <f>'FS-AD Daily '!B15</f>
        <v>4872</v>
      </c>
      <c r="F11" s="71">
        <f>'FS-AD Daily '!C15</f>
        <v>2462</v>
      </c>
      <c r="G11" s="71">
        <f>'FS-AD Daily '!D15</f>
        <v>880</v>
      </c>
      <c r="H11" s="71">
        <f>'FS-AD Daily '!E15</f>
        <v>4535</v>
      </c>
      <c r="I11" s="71">
        <f>'FS-AD Daily '!F15</f>
        <v>5834</v>
      </c>
      <c r="J11" s="71">
        <f>'FS-AD Daily '!G15</f>
        <v>2631</v>
      </c>
      <c r="K11" s="71">
        <f>'FS-AD Daily '!H15</f>
        <v>3614</v>
      </c>
      <c r="L11" s="71">
        <f>'FS-AD Daily '!I15</f>
        <v>2435</v>
      </c>
      <c r="M11" s="71">
        <f>'FS-AD Daily '!J15</f>
        <v>7173</v>
      </c>
      <c r="N11" s="71">
        <f>'FS-AD Daily '!T15</f>
        <v>107.01600000000326</v>
      </c>
      <c r="O11" s="71">
        <f>'FS-AD Daily '!R15</f>
        <v>71.648000000006505</v>
      </c>
      <c r="P11" s="71">
        <f>'FS-AD Daily '!Z15</f>
        <v>590</v>
      </c>
      <c r="Q11" s="71">
        <f>'FS-AD Daily '!V15</f>
        <v>289.89999999996508</v>
      </c>
      <c r="R11" s="71">
        <f>'FS-AD Daily '!W15</f>
        <v>0</v>
      </c>
      <c r="S11" s="71">
        <f t="shared" si="0"/>
        <v>300.10000000003492</v>
      </c>
      <c r="T11" s="71">
        <f>'FS-AD Daily '!AD15*3.516</f>
        <v>43511.203200000658</v>
      </c>
      <c r="U11" s="71">
        <f>('FS-AD Daily '!AF15)*1000</f>
        <v>21899.999999994179</v>
      </c>
      <c r="V11" s="71">
        <f>('FS-AD Daily '!AG15)*1000</f>
        <v>8200.0000000043656</v>
      </c>
      <c r="W11" s="71">
        <f>'FS-AD Daily '!AH15*1000</f>
        <v>7100.0000000021828</v>
      </c>
      <c r="X11" s="71">
        <f>('FS-AD Daily '!AK15)*1000</f>
        <v>17000</v>
      </c>
      <c r="Y11" s="5">
        <v>70</v>
      </c>
      <c r="Z11" s="129">
        <v>118</v>
      </c>
    </row>
    <row r="12" spans="1:26" x14ac:dyDescent="0.25">
      <c r="A12" s="110" t="s">
        <v>80</v>
      </c>
      <c r="B12" s="69">
        <f t="shared" si="1"/>
        <v>11</v>
      </c>
      <c r="C12" s="70">
        <v>2</v>
      </c>
      <c r="D12" s="69">
        <v>2021</v>
      </c>
      <c r="E12" s="71">
        <f>'FS-AD Daily '!B16</f>
        <v>4672</v>
      </c>
      <c r="F12" s="71">
        <f>'FS-AD Daily '!C16</f>
        <v>2341</v>
      </c>
      <c r="G12" s="71">
        <f>'FS-AD Daily '!D16</f>
        <v>921</v>
      </c>
      <c r="H12" s="71">
        <f>'FS-AD Daily '!E16</f>
        <v>4539</v>
      </c>
      <c r="I12" s="71">
        <f>'FS-AD Daily '!F16</f>
        <v>5756</v>
      </c>
      <c r="J12" s="71">
        <f>'FS-AD Daily '!G16</f>
        <v>2567</v>
      </c>
      <c r="K12" s="71">
        <f>'FS-AD Daily '!H16</f>
        <v>2534</v>
      </c>
      <c r="L12" s="71">
        <f>'FS-AD Daily '!I16</f>
        <v>2427</v>
      </c>
      <c r="M12" s="71">
        <f>'FS-AD Daily '!J16</f>
        <v>7053</v>
      </c>
      <c r="N12" s="71">
        <f>'FS-AD Daily '!T16</f>
        <v>122.63900000000285</v>
      </c>
      <c r="O12" s="71">
        <f>'FS-AD Daily '!R16</f>
        <v>69.951999999998407</v>
      </c>
      <c r="P12" s="71">
        <f>'FS-AD Daily '!Z16</f>
        <v>582</v>
      </c>
      <c r="Q12" s="71">
        <f>'FS-AD Daily '!V16</f>
        <v>284.90000000002328</v>
      </c>
      <c r="R12" s="71">
        <f>'FS-AD Daily '!W16</f>
        <v>0</v>
      </c>
      <c r="S12" s="71">
        <f t="shared" si="0"/>
        <v>297.09999999997672</v>
      </c>
      <c r="T12" s="71">
        <f>'FS-AD Daily '!AD16*3.516</f>
        <v>40388.292000000001</v>
      </c>
      <c r="U12" s="71">
        <f>('FS-AD Daily '!AF16)*1000</f>
        <v>20199.99999999709</v>
      </c>
      <c r="V12" s="71">
        <f>('FS-AD Daily '!AG16)*1000</f>
        <v>7099.9999999985448</v>
      </c>
      <c r="W12" s="71">
        <f>'FS-AD Daily '!AH16*1000</f>
        <v>7000</v>
      </c>
      <c r="X12" s="71">
        <f>('FS-AD Daily '!AK16)*1000</f>
        <v>16700.000000004366</v>
      </c>
      <c r="Y12" s="5">
        <v>77</v>
      </c>
      <c r="Z12" s="129">
        <v>132</v>
      </c>
    </row>
    <row r="13" spans="1:26" x14ac:dyDescent="0.25">
      <c r="A13" s="110" t="s">
        <v>80</v>
      </c>
      <c r="B13" s="69">
        <f t="shared" si="1"/>
        <v>12</v>
      </c>
      <c r="C13" s="70">
        <v>2</v>
      </c>
      <c r="D13" s="69">
        <v>2021</v>
      </c>
      <c r="E13" s="71">
        <f>'FS-AD Daily '!B17</f>
        <v>4681</v>
      </c>
      <c r="F13" s="71">
        <f>'FS-AD Daily '!C17</f>
        <v>2345</v>
      </c>
      <c r="G13" s="71">
        <f>'FS-AD Daily '!D17</f>
        <v>917</v>
      </c>
      <c r="H13" s="71">
        <f>'FS-AD Daily '!E17</f>
        <v>4582</v>
      </c>
      <c r="I13" s="71">
        <f>'FS-AD Daily '!F17</f>
        <v>5918</v>
      </c>
      <c r="J13" s="71">
        <f>'FS-AD Daily '!G17</f>
        <v>2626</v>
      </c>
      <c r="K13" s="71">
        <f>'FS-AD Daily '!H17</f>
        <v>4528</v>
      </c>
      <c r="L13" s="71">
        <f>'FS-AD Daily '!I17</f>
        <v>2302</v>
      </c>
      <c r="M13" s="71">
        <f>'FS-AD Daily '!J17</f>
        <v>7281</v>
      </c>
      <c r="N13" s="71">
        <f>'FS-AD Daily '!T17</f>
        <v>137.72599999999875</v>
      </c>
      <c r="O13" s="71">
        <f>'FS-AD Daily '!R17</f>
        <v>81.072999999995318</v>
      </c>
      <c r="P13" s="71">
        <f>'FS-AD Daily '!Z17</f>
        <v>672</v>
      </c>
      <c r="Q13" s="71">
        <f>'FS-AD Daily '!V17</f>
        <v>311.79999999998836</v>
      </c>
      <c r="R13" s="71">
        <f>'FS-AD Daily '!W17</f>
        <v>0</v>
      </c>
      <c r="S13" s="71">
        <f t="shared" si="0"/>
        <v>360.20000000001164</v>
      </c>
      <c r="T13" s="71">
        <f>'FS-AD Daily '!AD17*3.516</f>
        <v>39264.93</v>
      </c>
      <c r="U13" s="71">
        <f>('FS-AD Daily '!AF17)*1000</f>
        <v>20100.000000005821</v>
      </c>
      <c r="V13" s="71">
        <f>('FS-AD Daily '!AG17)*1000</f>
        <v>7000</v>
      </c>
      <c r="W13" s="71">
        <f>'FS-AD Daily '!AH17*1000</f>
        <v>6599.9999999985448</v>
      </c>
      <c r="X13" s="71">
        <f>('FS-AD Daily '!AK17)*1000</f>
        <v>15799.999999995634</v>
      </c>
      <c r="Y13" s="5">
        <v>106</v>
      </c>
      <c r="Z13" s="129">
        <v>185</v>
      </c>
    </row>
    <row r="14" spans="1:26" x14ac:dyDescent="0.25">
      <c r="A14" s="110" t="s">
        <v>80</v>
      </c>
      <c r="B14" s="69">
        <f t="shared" si="1"/>
        <v>13</v>
      </c>
      <c r="C14" s="70">
        <v>2</v>
      </c>
      <c r="D14" s="69">
        <v>2021</v>
      </c>
      <c r="E14" s="71">
        <f>'FS-AD Daily '!B18</f>
        <v>4759</v>
      </c>
      <c r="F14" s="71">
        <f>'FS-AD Daily '!C18</f>
        <v>2522</v>
      </c>
      <c r="G14" s="71">
        <f>'FS-AD Daily '!D18</f>
        <v>897</v>
      </c>
      <c r="H14" s="71">
        <f>'FS-AD Daily '!E18</f>
        <v>4707</v>
      </c>
      <c r="I14" s="71">
        <f>'FS-AD Daily '!F18</f>
        <v>5824</v>
      </c>
      <c r="J14" s="71">
        <f>'FS-AD Daily '!G18</f>
        <v>2750</v>
      </c>
      <c r="K14" s="71">
        <f>'FS-AD Daily '!H18</f>
        <v>3609</v>
      </c>
      <c r="L14" s="71">
        <f>'FS-AD Daily '!I18</f>
        <v>2424</v>
      </c>
      <c r="M14" s="71">
        <f>'FS-AD Daily '!J18</f>
        <v>7022</v>
      </c>
      <c r="N14" s="71">
        <f>'FS-AD Daily '!T18</f>
        <v>134.62799999999334</v>
      </c>
      <c r="O14" s="71">
        <f>'FS-AD Daily '!R18</f>
        <v>75.619999999997162</v>
      </c>
      <c r="P14" s="71">
        <f>'FS-AD Daily '!Z18</f>
        <v>613</v>
      </c>
      <c r="Q14" s="71">
        <f>'FS-AD Daily '!V18</f>
        <v>305.40000000002328</v>
      </c>
      <c r="R14" s="71">
        <f>'FS-AD Daily '!W18</f>
        <v>0</v>
      </c>
      <c r="S14" s="71">
        <f t="shared" si="0"/>
        <v>307.59999999997672</v>
      </c>
      <c r="T14" s="71">
        <f>'FS-AD Daily '!AD18*3.516</f>
        <v>37917.950399999674</v>
      </c>
      <c r="U14" s="71">
        <f>('FS-AD Daily '!AF18)*1000</f>
        <v>19599.999999991269</v>
      </c>
      <c r="V14" s="71">
        <f>('FS-AD Daily '!AG18)*1000</f>
        <v>6799.9999999956344</v>
      </c>
      <c r="W14" s="71">
        <f>'FS-AD Daily '!AH18*1000</f>
        <v>6200.0000000007276</v>
      </c>
      <c r="X14" s="71">
        <f>('FS-AD Daily '!AK18)*1000</f>
        <v>15800.00000000291</v>
      </c>
      <c r="Y14" s="5">
        <v>109</v>
      </c>
      <c r="Z14" s="129">
        <v>175</v>
      </c>
    </row>
    <row r="15" spans="1:26" x14ac:dyDescent="0.25">
      <c r="A15" s="110" t="s">
        <v>80</v>
      </c>
      <c r="B15" s="69">
        <f t="shared" si="1"/>
        <v>14</v>
      </c>
      <c r="C15" s="70">
        <v>2</v>
      </c>
      <c r="D15" s="69">
        <v>2021</v>
      </c>
      <c r="E15" s="71">
        <f>'FS-AD Daily '!B19</f>
        <v>4948</v>
      </c>
      <c r="F15" s="71">
        <f>'FS-AD Daily '!C19</f>
        <v>2570</v>
      </c>
      <c r="G15" s="71">
        <f>'FS-AD Daily '!D19</f>
        <v>949</v>
      </c>
      <c r="H15" s="71">
        <f>'FS-AD Daily '!E19</f>
        <v>4540</v>
      </c>
      <c r="I15" s="71">
        <f>'FS-AD Daily '!F19</f>
        <v>5784</v>
      </c>
      <c r="J15" s="71">
        <f>'FS-AD Daily '!G19</f>
        <v>2746</v>
      </c>
      <c r="K15" s="71">
        <f>'FS-AD Daily '!H19</f>
        <v>3583</v>
      </c>
      <c r="L15" s="71">
        <f>'FS-AD Daily '!I19</f>
        <v>2444</v>
      </c>
      <c r="M15" s="71">
        <f>'FS-AD Daily '!J19</f>
        <v>7208</v>
      </c>
      <c r="N15" s="71">
        <f>'FS-AD Daily '!T19</f>
        <v>148.36800000000221</v>
      </c>
      <c r="O15" s="71">
        <f>'FS-AD Daily '!R19</f>
        <v>72.330000000004475</v>
      </c>
      <c r="P15" s="71">
        <f>'FS-AD Daily '!Z19</f>
        <v>625</v>
      </c>
      <c r="Q15" s="71">
        <f>'FS-AD Daily '!V19</f>
        <v>312.20000000001164</v>
      </c>
      <c r="R15" s="71">
        <f>'FS-AD Daily '!W19</f>
        <v>0</v>
      </c>
      <c r="S15" s="71">
        <f t="shared" si="0"/>
        <v>312.79999999998836</v>
      </c>
      <c r="T15" s="71">
        <f>'FS-AD Daily '!AD19*3.516</f>
        <v>38962.202399999675</v>
      </c>
      <c r="U15" s="71">
        <f>('FS-AD Daily '!AF19)*1000</f>
        <v>20100.000000005821</v>
      </c>
      <c r="V15" s="71">
        <f>('FS-AD Daily '!AG19)*1000</f>
        <v>7300.0000000029104</v>
      </c>
      <c r="W15" s="71">
        <f>'FS-AD Daily '!AH19*1000</f>
        <v>6500</v>
      </c>
      <c r="X15" s="71">
        <f>('FS-AD Daily '!AK19)*1000</f>
        <v>15400.000000001455</v>
      </c>
      <c r="Y15" s="5">
        <v>99</v>
      </c>
      <c r="Z15" s="129">
        <v>162</v>
      </c>
    </row>
    <row r="16" spans="1:26" x14ac:dyDescent="0.25">
      <c r="A16" s="110" t="s">
        <v>80</v>
      </c>
      <c r="B16" s="69">
        <f t="shared" si="1"/>
        <v>15</v>
      </c>
      <c r="C16" s="70">
        <v>2</v>
      </c>
      <c r="D16" s="69">
        <v>2021</v>
      </c>
      <c r="E16" s="71">
        <f>'FS-AD Daily '!B20</f>
        <v>4775</v>
      </c>
      <c r="F16" s="71">
        <f>'FS-AD Daily '!C20</f>
        <v>2316</v>
      </c>
      <c r="G16" s="71">
        <f>'FS-AD Daily '!D20</f>
        <v>879</v>
      </c>
      <c r="H16" s="71">
        <f>'FS-AD Daily '!E20</f>
        <v>4658</v>
      </c>
      <c r="I16" s="71">
        <f>'FS-AD Daily '!F20</f>
        <v>5707</v>
      </c>
      <c r="J16" s="71">
        <f>'FS-AD Daily '!G20</f>
        <v>2697</v>
      </c>
      <c r="K16" s="71">
        <f>'FS-AD Daily '!H20</f>
        <v>3554</v>
      </c>
      <c r="L16" s="71">
        <f>'FS-AD Daily '!I20</f>
        <v>2440</v>
      </c>
      <c r="M16" s="71">
        <f>'FS-AD Daily '!J20</f>
        <v>6969</v>
      </c>
      <c r="N16" s="71">
        <f>'FS-AD Daily '!T20</f>
        <v>124.65799999999945</v>
      </c>
      <c r="O16" s="71">
        <f>'FS-AD Daily '!R20</f>
        <v>66.690000000006876</v>
      </c>
      <c r="P16" s="71">
        <f>'FS-AD Daily '!Z20</f>
        <v>579</v>
      </c>
      <c r="Q16" s="71">
        <f>'FS-AD Daily '!V20</f>
        <v>287.59999999997672</v>
      </c>
      <c r="R16" s="71">
        <f>'FS-AD Daily '!W20</f>
        <v>0</v>
      </c>
      <c r="S16" s="71">
        <f t="shared" si="0"/>
        <v>291.40000000002328</v>
      </c>
      <c r="T16" s="71">
        <f>'FS-AD Daily '!AD20*3.516</f>
        <v>37207.366800000986</v>
      </c>
      <c r="U16" s="71">
        <f>('FS-AD Daily '!AF20)*1000</f>
        <v>19000</v>
      </c>
      <c r="V16" s="71">
        <f>('FS-AD Daily '!AG20)*1000</f>
        <v>6900.0000000014552</v>
      </c>
      <c r="W16" s="71">
        <f>'FS-AD Daily '!AH20*1000</f>
        <v>14899.999999994179</v>
      </c>
      <c r="X16" s="71">
        <f>('FS-AD Daily '!AK20)*1000</f>
        <v>14899.999999994179</v>
      </c>
      <c r="Y16" s="5">
        <v>103</v>
      </c>
      <c r="Z16" s="129">
        <v>172</v>
      </c>
    </row>
    <row r="17" spans="1:26" x14ac:dyDescent="0.25">
      <c r="A17" s="110" t="s">
        <v>80</v>
      </c>
      <c r="B17" s="69">
        <f t="shared" si="1"/>
        <v>16</v>
      </c>
      <c r="C17" s="70">
        <v>2</v>
      </c>
      <c r="D17" s="69">
        <v>2021</v>
      </c>
      <c r="E17" s="71">
        <f>'FS-AD Daily '!B21</f>
        <v>4716</v>
      </c>
      <c r="F17" s="71">
        <f>'FS-AD Daily '!C21</f>
        <v>3038</v>
      </c>
      <c r="G17" s="71">
        <f>'FS-AD Daily '!D21</f>
        <v>917</v>
      </c>
      <c r="H17" s="71">
        <f>'FS-AD Daily '!E21</f>
        <v>4655</v>
      </c>
      <c r="I17" s="71">
        <f>'FS-AD Daily '!F21</f>
        <v>5806</v>
      </c>
      <c r="J17" s="71">
        <f>'FS-AD Daily '!G21</f>
        <v>2814</v>
      </c>
      <c r="K17" s="71">
        <f>'FS-AD Daily '!H21</f>
        <v>3580</v>
      </c>
      <c r="L17" s="71">
        <f>'FS-AD Daily '!I21</f>
        <v>2465</v>
      </c>
      <c r="M17" s="71">
        <f>'FS-AD Daily '!J21</f>
        <v>7098</v>
      </c>
      <c r="N17" s="71">
        <f>'FS-AD Daily '!T21</f>
        <v>147.93199999999706</v>
      </c>
      <c r="O17" s="71">
        <f>'FS-AD Daily '!R21</f>
        <v>67.017999999997755</v>
      </c>
      <c r="P17" s="71">
        <f>'FS-AD Daily '!Z21</f>
        <v>607</v>
      </c>
      <c r="Q17" s="71">
        <f>'FS-AD Daily '!V21</f>
        <v>306.79999999998836</v>
      </c>
      <c r="R17" s="71">
        <f>'FS-AD Daily '!W21</f>
        <v>0</v>
      </c>
      <c r="S17" s="71">
        <f t="shared" si="0"/>
        <v>300.20000000001164</v>
      </c>
      <c r="T17" s="71">
        <f>'FS-AD Daily '!AD21*3.516</f>
        <v>39126.048000000003</v>
      </c>
      <c r="U17" s="71">
        <f>('FS-AD Daily '!AF21)*1000</f>
        <v>20199.99999999709</v>
      </c>
      <c r="V17" s="71">
        <f>('FS-AD Daily '!AG21)*1000</f>
        <v>7900.0000000014552</v>
      </c>
      <c r="W17" s="71">
        <f>'FS-AD Daily '!AH21*1000</f>
        <v>6599.9999999985448</v>
      </c>
      <c r="X17" s="71">
        <f>('FS-AD Daily '!AK21)*1000</f>
        <v>15700.000000004366</v>
      </c>
      <c r="Y17" s="5">
        <v>108</v>
      </c>
      <c r="Z17" s="129">
        <v>181</v>
      </c>
    </row>
    <row r="18" spans="1:26" x14ac:dyDescent="0.25">
      <c r="A18" s="110" t="s">
        <v>80</v>
      </c>
      <c r="B18" s="69">
        <f t="shared" si="1"/>
        <v>17</v>
      </c>
      <c r="C18" s="70">
        <v>2</v>
      </c>
      <c r="D18" s="69">
        <v>2021</v>
      </c>
      <c r="E18" s="71">
        <f>'FS-AD Daily '!B22</f>
        <v>4654</v>
      </c>
      <c r="F18" s="71">
        <f>'FS-AD Daily '!C22</f>
        <v>3063</v>
      </c>
      <c r="G18" s="71">
        <f>'FS-AD Daily '!D22</f>
        <v>891</v>
      </c>
      <c r="H18" s="71">
        <f>'FS-AD Daily '!E22</f>
        <v>4791</v>
      </c>
      <c r="I18" s="71">
        <f>'FS-AD Daily '!F22</f>
        <v>5811</v>
      </c>
      <c r="J18" s="71">
        <f>'FS-AD Daily '!G22</f>
        <v>2778</v>
      </c>
      <c r="K18" s="71">
        <f>'FS-AD Daily '!H22</f>
        <v>3577</v>
      </c>
      <c r="L18" s="71">
        <f>'FS-AD Daily '!I22</f>
        <v>2490</v>
      </c>
      <c r="M18" s="71">
        <f>'FS-AD Daily '!J22</f>
        <v>7004</v>
      </c>
      <c r="N18" s="71">
        <f>'FS-AD Daily '!T22</f>
        <v>146.70600000000195</v>
      </c>
      <c r="O18" s="71">
        <f>'FS-AD Daily '!R22</f>
        <v>72.498999999990701</v>
      </c>
      <c r="P18" s="71">
        <f>'FS-AD Daily '!Z22</f>
        <v>588</v>
      </c>
      <c r="Q18" s="71">
        <f>'FS-AD Daily '!V22</f>
        <v>307.10000000003492</v>
      </c>
      <c r="R18" s="71">
        <f>'FS-AD Daily '!W22</f>
        <v>0</v>
      </c>
      <c r="S18" s="71">
        <f t="shared" si="0"/>
        <v>280.89999999996508</v>
      </c>
      <c r="T18" s="71">
        <f>'FS-AD Daily '!AD22*3.516</f>
        <v>43133.23319999902</v>
      </c>
      <c r="U18" s="71">
        <f>('FS-AD Daily '!AF22)*1000</f>
        <v>22100.000000005821</v>
      </c>
      <c r="V18" s="71">
        <f>('FS-AD Daily '!AG22)*1000</f>
        <v>9000</v>
      </c>
      <c r="W18" s="71">
        <f>'FS-AD Daily '!AH22*1000</f>
        <v>7200.0000000007276</v>
      </c>
      <c r="X18" s="71">
        <f>('FS-AD Daily '!AK22)*1000</f>
        <v>16099.999999998545</v>
      </c>
      <c r="Y18" s="5">
        <v>101</v>
      </c>
      <c r="Z18" s="129">
        <v>161</v>
      </c>
    </row>
    <row r="19" spans="1:26" x14ac:dyDescent="0.25">
      <c r="A19" s="110" t="s">
        <v>80</v>
      </c>
      <c r="B19" s="69">
        <f t="shared" si="1"/>
        <v>18</v>
      </c>
      <c r="C19" s="70">
        <v>2</v>
      </c>
      <c r="D19" s="69">
        <v>2021</v>
      </c>
      <c r="E19" s="71">
        <f>'FS-AD Daily '!B23</f>
        <v>5161</v>
      </c>
      <c r="F19" s="71">
        <f>'FS-AD Daily '!C23</f>
        <v>3101</v>
      </c>
      <c r="G19" s="71">
        <f>'FS-AD Daily '!D23</f>
        <v>905</v>
      </c>
      <c r="H19" s="71">
        <f>'FS-AD Daily '!E23</f>
        <v>4681</v>
      </c>
      <c r="I19" s="71">
        <f>'FS-AD Daily '!F23</f>
        <v>6114</v>
      </c>
      <c r="J19" s="71">
        <f>'FS-AD Daily '!G23</f>
        <v>2797</v>
      </c>
      <c r="K19" s="71">
        <f>'FS-AD Daily '!H23</f>
        <v>3646</v>
      </c>
      <c r="L19" s="71">
        <f>'FS-AD Daily '!I23</f>
        <v>2535</v>
      </c>
      <c r="M19" s="71">
        <f>'FS-AD Daily '!J23</f>
        <v>7106</v>
      </c>
      <c r="N19" s="71">
        <f>'FS-AD Daily '!T23</f>
        <v>135.95100000000093</v>
      </c>
      <c r="O19" s="71">
        <f>'FS-AD Daily '!R23</f>
        <v>74.446000000001732</v>
      </c>
      <c r="P19" s="71">
        <f>'FS-AD Daily '!Z23</f>
        <v>614</v>
      </c>
      <c r="Q19" s="71">
        <f>'FS-AD Daily '!V23</f>
        <v>288.39999999996508</v>
      </c>
      <c r="R19" s="71">
        <f>'FS-AD Daily '!W23</f>
        <v>0</v>
      </c>
      <c r="S19" s="71">
        <f t="shared" si="0"/>
        <v>325.60000000003492</v>
      </c>
      <c r="T19" s="71">
        <f>'FS-AD Daily '!AD23*3.516</f>
        <v>42633.961200000653</v>
      </c>
      <c r="U19" s="71">
        <f>('FS-AD Daily '!AF23)*1000</f>
        <v>21500</v>
      </c>
      <c r="V19" s="71">
        <f>('FS-AD Daily '!AG23)*1000</f>
        <v>9000</v>
      </c>
      <c r="W19" s="71">
        <f>'FS-AD Daily '!AH23*1000</f>
        <v>7299.9999999992724</v>
      </c>
      <c r="X19" s="71">
        <f>('FS-AD Daily '!AK23)*1000</f>
        <v>16500</v>
      </c>
      <c r="Y19" s="5">
        <v>106</v>
      </c>
      <c r="Z19" s="129">
        <v>172</v>
      </c>
    </row>
    <row r="20" spans="1:26" x14ac:dyDescent="0.25">
      <c r="A20" s="110" t="s">
        <v>80</v>
      </c>
      <c r="B20" s="69">
        <f t="shared" si="1"/>
        <v>19</v>
      </c>
      <c r="C20" s="70">
        <v>2</v>
      </c>
      <c r="D20" s="69">
        <v>2021</v>
      </c>
      <c r="E20" s="71">
        <f>'FS-AD Daily '!B24</f>
        <v>4816</v>
      </c>
      <c r="F20" s="71">
        <f>'FS-AD Daily '!C24</f>
        <v>2799</v>
      </c>
      <c r="G20" s="71">
        <f>'FS-AD Daily '!D24</f>
        <v>912</v>
      </c>
      <c r="H20" s="71">
        <f>'FS-AD Daily '!E24</f>
        <v>4709</v>
      </c>
      <c r="I20" s="71">
        <f>'FS-AD Daily '!F24</f>
        <v>6157</v>
      </c>
      <c r="J20" s="71">
        <f>'FS-AD Daily '!G24</f>
        <v>2765</v>
      </c>
      <c r="K20" s="71">
        <f>'FS-AD Daily '!H24</f>
        <v>3549</v>
      </c>
      <c r="L20" s="71">
        <f>'FS-AD Daily '!I24</f>
        <v>2428</v>
      </c>
      <c r="M20" s="71">
        <f>'FS-AD Daily '!J24</f>
        <v>7330</v>
      </c>
      <c r="N20" s="71">
        <f>'FS-AD Daily '!T24</f>
        <v>163.55600000000413</v>
      </c>
      <c r="O20" s="71">
        <f>'FS-AD Daily '!R24</f>
        <v>83.03099999999904</v>
      </c>
      <c r="P20" s="71">
        <f>'FS-AD Daily '!Z24</f>
        <v>690</v>
      </c>
      <c r="Q20" s="71">
        <f>'FS-AD Daily '!V24</f>
        <v>316.90000000002328</v>
      </c>
      <c r="R20" s="71">
        <f>'FS-AD Daily '!W24</f>
        <v>0</v>
      </c>
      <c r="S20" s="71">
        <f t="shared" si="0"/>
        <v>373.09999999997672</v>
      </c>
      <c r="T20" s="71">
        <f>'FS-AD Daily '!AD24*3.516</f>
        <v>45474.186000000002</v>
      </c>
      <c r="U20" s="71">
        <f>('FS-AD Daily '!AF24)*1000</f>
        <v>23899.999999994179</v>
      </c>
      <c r="V20" s="71">
        <f>('FS-AD Daily '!AG24)*1000</f>
        <v>8500</v>
      </c>
      <c r="W20" s="71">
        <f>'FS-AD Daily '!AH24*1000</f>
        <v>7400.0000000014552</v>
      </c>
      <c r="X20" s="71">
        <f>('FS-AD Daily '!AK24)*1000</f>
        <v>17900.000000001455</v>
      </c>
      <c r="Y20" s="5">
        <v>87</v>
      </c>
      <c r="Z20" s="129">
        <v>122</v>
      </c>
    </row>
    <row r="21" spans="1:26" x14ac:dyDescent="0.25">
      <c r="A21" s="110" t="s">
        <v>80</v>
      </c>
      <c r="B21" s="69">
        <f t="shared" si="1"/>
        <v>20</v>
      </c>
      <c r="C21" s="70">
        <v>2</v>
      </c>
      <c r="D21" s="69">
        <v>2021</v>
      </c>
      <c r="E21" s="71">
        <f>'FS-AD Daily '!B25</f>
        <v>4909</v>
      </c>
      <c r="F21" s="71">
        <f>'FS-AD Daily '!C25</f>
        <v>2782</v>
      </c>
      <c r="G21" s="71">
        <f>'FS-AD Daily '!D25</f>
        <v>956</v>
      </c>
      <c r="H21" s="71">
        <f>'FS-AD Daily '!E25</f>
        <v>5048</v>
      </c>
      <c r="I21" s="71">
        <f>'FS-AD Daily '!F25</f>
        <v>6086</v>
      </c>
      <c r="J21" s="71">
        <f>'FS-AD Daily '!G25</f>
        <v>2782</v>
      </c>
      <c r="K21" s="71">
        <f>'FS-AD Daily '!H25</f>
        <v>3678</v>
      </c>
      <c r="L21" s="71">
        <f>'FS-AD Daily '!I25</f>
        <v>2487</v>
      </c>
      <c r="M21" s="71">
        <f>'FS-AD Daily '!J25</f>
        <v>6947</v>
      </c>
      <c r="N21" s="71">
        <f>'FS-AD Daily '!T25</f>
        <v>125.88899999999558</v>
      </c>
      <c r="O21" s="71">
        <f>'FS-AD Daily '!R25</f>
        <v>70.538000000004558</v>
      </c>
      <c r="P21" s="71">
        <f>'FS-AD Daily '!Z25</f>
        <v>656</v>
      </c>
      <c r="Q21" s="71">
        <f>'FS-AD Daily '!V25</f>
        <v>298.59999999997672</v>
      </c>
      <c r="R21" s="71">
        <f>'FS-AD Daily '!W25</f>
        <v>52.879999999990105</v>
      </c>
      <c r="S21" s="71">
        <f t="shared" si="0"/>
        <v>304.52000000003318</v>
      </c>
      <c r="T21" s="71">
        <f>'FS-AD Daily '!AD25*3.516</f>
        <v>43456.705200000652</v>
      </c>
      <c r="U21" s="71">
        <f>('FS-AD Daily '!AF25)*1000</f>
        <v>22600.000000005821</v>
      </c>
      <c r="V21" s="71">
        <f>('FS-AD Daily '!AG25)*1000</f>
        <v>8000</v>
      </c>
      <c r="W21" s="71">
        <f>'FS-AD Daily '!AH25*1000</f>
        <v>7399.9999999978172</v>
      </c>
      <c r="X21" s="71">
        <f>('FS-AD Daily '!AK25)*1000</f>
        <v>17400.000000001455</v>
      </c>
      <c r="Y21" s="5">
        <v>109</v>
      </c>
      <c r="Z21" s="129">
        <v>139</v>
      </c>
    </row>
    <row r="22" spans="1:26" x14ac:dyDescent="0.25">
      <c r="A22" s="110" t="s">
        <v>80</v>
      </c>
      <c r="B22" s="69">
        <f t="shared" si="1"/>
        <v>21</v>
      </c>
      <c r="C22" s="70">
        <v>2</v>
      </c>
      <c r="D22" s="69">
        <v>2021</v>
      </c>
      <c r="E22" s="71">
        <f>'FS-AD Daily '!B26</f>
        <v>5065</v>
      </c>
      <c r="F22" s="71">
        <f>'FS-AD Daily '!C26</f>
        <v>2746</v>
      </c>
      <c r="G22" s="71">
        <f>'FS-AD Daily '!D26</f>
        <v>947</v>
      </c>
      <c r="H22" s="71">
        <f>'FS-AD Daily '!E26</f>
        <v>5022</v>
      </c>
      <c r="I22" s="71">
        <f>'FS-AD Daily '!F26</f>
        <v>5747</v>
      </c>
      <c r="J22" s="71">
        <f>'FS-AD Daily '!G26</f>
        <v>2765</v>
      </c>
      <c r="K22" s="71">
        <f>'FS-AD Daily '!H26</f>
        <v>3665</v>
      </c>
      <c r="L22" s="71">
        <f>'FS-AD Daily '!I26</f>
        <v>2449</v>
      </c>
      <c r="M22" s="71">
        <f>'FS-AD Daily '!J26</f>
        <v>6897</v>
      </c>
      <c r="N22" s="71">
        <f>'FS-AD Daily '!T26</f>
        <v>141.08999999999651</v>
      </c>
      <c r="O22" s="71">
        <f>'FS-AD Daily '!R26</f>
        <v>73.015000000007149</v>
      </c>
      <c r="P22" s="71">
        <f>'FS-AD Daily '!Z26</f>
        <v>656</v>
      </c>
      <c r="Q22" s="71">
        <f>'FS-AD Daily '!V26</f>
        <v>294.70000000001164</v>
      </c>
      <c r="R22" s="71">
        <f>'FS-AD Daily '!W26</f>
        <v>58.360000000000582</v>
      </c>
      <c r="S22" s="71">
        <f t="shared" si="0"/>
        <v>302.93999999998778</v>
      </c>
      <c r="T22" s="71">
        <f>'FS-AD Daily '!AD26*3.516</f>
        <v>43410.294000000002</v>
      </c>
      <c r="U22" s="71">
        <f>('FS-AD Daily '!AF26)*1000</f>
        <v>23599.999999991269</v>
      </c>
      <c r="V22" s="71">
        <f>('FS-AD Daily '!AG26)*1000</f>
        <v>7799.9999999956344</v>
      </c>
      <c r="W22" s="71">
        <f>'FS-AD Daily '!AH26*1000</f>
        <v>7100.0000000021828</v>
      </c>
      <c r="X22" s="71">
        <f>('FS-AD Daily '!AK26)*1000</f>
        <v>16599.999999998545</v>
      </c>
      <c r="Y22" s="5">
        <f>'FS-AD Daily '!AN26</f>
        <v>0</v>
      </c>
      <c r="Z22" s="129"/>
    </row>
    <row r="23" spans="1:26" x14ac:dyDescent="0.25">
      <c r="A23" s="110" t="s">
        <v>80</v>
      </c>
      <c r="B23" s="69">
        <f t="shared" si="1"/>
        <v>22</v>
      </c>
      <c r="C23" s="70">
        <v>2</v>
      </c>
      <c r="D23" s="69">
        <v>2021</v>
      </c>
      <c r="E23" s="71">
        <f>'FS-AD Daily '!B27</f>
        <v>0</v>
      </c>
      <c r="F23" s="71">
        <f>'FS-AD Daily '!C27</f>
        <v>0</v>
      </c>
      <c r="G23" s="71">
        <f>'FS-AD Daily '!D27</f>
        <v>0</v>
      </c>
      <c r="H23" s="71">
        <f>'FS-AD Daily '!E27</f>
        <v>0</v>
      </c>
      <c r="I23" s="71">
        <f>'FS-AD Daily '!F27</f>
        <v>0</v>
      </c>
      <c r="J23" s="71">
        <f>'FS-AD Daily '!G27</f>
        <v>0</v>
      </c>
      <c r="K23" s="71">
        <f>'FS-AD Daily '!H27</f>
        <v>0</v>
      </c>
      <c r="L23" s="71">
        <f>'FS-AD Daily '!I27</f>
        <v>0</v>
      </c>
      <c r="M23" s="71">
        <f>'FS-AD Daily '!J27</f>
        <v>0</v>
      </c>
      <c r="N23" s="71">
        <f>'FS-AD Daily '!T27</f>
        <v>0</v>
      </c>
      <c r="O23" s="71">
        <f>'FS-AD Daily '!R27</f>
        <v>0</v>
      </c>
      <c r="P23" s="71" t="str">
        <f>'FS-AD Daily '!Z27</f>
        <v>0</v>
      </c>
      <c r="Q23" s="71">
        <f>'FS-AD Daily '!V27</f>
        <v>0</v>
      </c>
      <c r="R23" s="71">
        <f>'FS-AD Daily '!W27</f>
        <v>0</v>
      </c>
      <c r="S23" s="71">
        <f t="shared" si="0"/>
        <v>0</v>
      </c>
      <c r="T23" s="71">
        <f>'FS-AD Daily '!AD27*3.516</f>
        <v>0</v>
      </c>
      <c r="U23" s="71">
        <f>('FS-AD Daily '!AF27)*1000</f>
        <v>0</v>
      </c>
      <c r="V23" s="71">
        <f>('FS-AD Daily '!AG27)*1000</f>
        <v>0</v>
      </c>
      <c r="W23" s="71">
        <f>'FS-AD Daily '!AH27*1000</f>
        <v>0</v>
      </c>
      <c r="X23" s="71">
        <f>('FS-AD Daily '!AK27)*1000</f>
        <v>0</v>
      </c>
      <c r="Y23" s="5">
        <f>'FS-AD Daily '!AN27</f>
        <v>0</v>
      </c>
      <c r="Z23" s="129"/>
    </row>
    <row r="24" spans="1:26" x14ac:dyDescent="0.25">
      <c r="A24" s="110" t="s">
        <v>80</v>
      </c>
      <c r="B24" s="69">
        <f t="shared" si="1"/>
        <v>23</v>
      </c>
      <c r="C24" s="70">
        <v>2</v>
      </c>
      <c r="D24" s="69">
        <v>2021</v>
      </c>
      <c r="E24" s="71">
        <f>'FS-AD Daily '!B28</f>
        <v>0</v>
      </c>
      <c r="F24" s="71">
        <f>'FS-AD Daily '!C28</f>
        <v>0</v>
      </c>
      <c r="G24" s="71">
        <f>'FS-AD Daily '!D28</f>
        <v>0</v>
      </c>
      <c r="H24" s="71">
        <f>'FS-AD Daily '!E28</f>
        <v>0</v>
      </c>
      <c r="I24" s="71">
        <f>'FS-AD Daily '!F28</f>
        <v>0</v>
      </c>
      <c r="J24" s="71">
        <f>'FS-AD Daily '!G28</f>
        <v>0</v>
      </c>
      <c r="K24" s="71">
        <f>'FS-AD Daily '!H28</f>
        <v>0</v>
      </c>
      <c r="L24" s="71">
        <f>'FS-AD Daily '!I28</f>
        <v>0</v>
      </c>
      <c r="M24" s="71">
        <f>'FS-AD Daily '!J28</f>
        <v>0</v>
      </c>
      <c r="N24" s="71">
        <f>'FS-AD Daily '!T28</f>
        <v>0</v>
      </c>
      <c r="O24" s="71">
        <f>'FS-AD Daily '!R28</f>
        <v>0</v>
      </c>
      <c r="P24" s="71">
        <f>'FS-AD Daily '!Z28</f>
        <v>0</v>
      </c>
      <c r="Q24" s="71">
        <f>'FS-AD Daily '!V28</f>
        <v>0</v>
      </c>
      <c r="R24" s="71">
        <f>'FS-AD Daily '!W28</f>
        <v>0</v>
      </c>
      <c r="S24" s="71">
        <f t="shared" si="0"/>
        <v>0</v>
      </c>
      <c r="T24" s="71">
        <f>'FS-AD Daily '!AD28*3.516</f>
        <v>0</v>
      </c>
      <c r="U24" s="71">
        <f>('FS-AD Daily '!AF28)*1000</f>
        <v>0</v>
      </c>
      <c r="V24" s="71">
        <f>('FS-AD Daily '!AG28)*1000</f>
        <v>0</v>
      </c>
      <c r="W24" s="71">
        <f>'FS-AD Daily '!AH28*1000</f>
        <v>0</v>
      </c>
      <c r="X24" s="71">
        <f>('FS-AD Daily '!AK28)*1000</f>
        <v>0</v>
      </c>
      <c r="Y24" s="5">
        <f>'FS-AD Daily '!AN28</f>
        <v>0</v>
      </c>
      <c r="Z24" s="129"/>
    </row>
    <row r="25" spans="1:26" x14ac:dyDescent="0.25">
      <c r="A25" s="110" t="s">
        <v>80</v>
      </c>
      <c r="B25" s="69">
        <f t="shared" si="1"/>
        <v>24</v>
      </c>
      <c r="C25" s="70">
        <v>2</v>
      </c>
      <c r="D25" s="69">
        <v>2021</v>
      </c>
      <c r="E25" s="71">
        <f>'FS-AD Daily '!B29</f>
        <v>0</v>
      </c>
      <c r="F25" s="71">
        <f>'FS-AD Daily '!C29</f>
        <v>0</v>
      </c>
      <c r="G25" s="71">
        <f>'FS-AD Daily '!D29</f>
        <v>0</v>
      </c>
      <c r="H25" s="71">
        <f>'FS-AD Daily '!E29</f>
        <v>0</v>
      </c>
      <c r="I25" s="71">
        <f>'FS-AD Daily '!F29</f>
        <v>0</v>
      </c>
      <c r="J25" s="71">
        <f>'FS-AD Daily '!G29</f>
        <v>0</v>
      </c>
      <c r="K25" s="71">
        <f>'FS-AD Daily '!H29</f>
        <v>0</v>
      </c>
      <c r="L25" s="71">
        <f>'FS-AD Daily '!I29</f>
        <v>0</v>
      </c>
      <c r="M25" s="71">
        <f>'FS-AD Daily '!J29</f>
        <v>0</v>
      </c>
      <c r="N25" s="71">
        <f>'FS-AD Daily '!T29</f>
        <v>0</v>
      </c>
      <c r="O25" s="71">
        <f>'FS-AD Daily '!R29</f>
        <v>0</v>
      </c>
      <c r="P25" s="71">
        <f>'FS-AD Daily '!Z29</f>
        <v>0</v>
      </c>
      <c r="Q25" s="71">
        <f>'FS-AD Daily '!V29</f>
        <v>0</v>
      </c>
      <c r="R25" s="71">
        <f>'FS-AD Daily '!W29</f>
        <v>0</v>
      </c>
      <c r="S25" s="71">
        <f t="shared" si="0"/>
        <v>0</v>
      </c>
      <c r="T25" s="71">
        <f>'FS-AD Daily '!AD29*3.516</f>
        <v>0</v>
      </c>
      <c r="U25" s="71">
        <f>('FS-AD Daily '!AF29)*1000</f>
        <v>0</v>
      </c>
      <c r="V25" s="71">
        <f>('FS-AD Daily '!AG29)*1000</f>
        <v>0</v>
      </c>
      <c r="W25" s="71">
        <f>'FS-AD Daily '!AH29*1000</f>
        <v>0</v>
      </c>
      <c r="X25" s="71">
        <f>('FS-AD Daily '!AK29)*1000</f>
        <v>0</v>
      </c>
      <c r="Y25" s="5">
        <f>'FS-AD Daily '!AN29</f>
        <v>0</v>
      </c>
      <c r="Z25" s="129"/>
    </row>
    <row r="26" spans="1:26" x14ac:dyDescent="0.25">
      <c r="A26" s="110" t="s">
        <v>80</v>
      </c>
      <c r="B26" s="69">
        <f>B25+1</f>
        <v>25</v>
      </c>
      <c r="C26" s="70">
        <v>2</v>
      </c>
      <c r="D26" s="69">
        <v>2021</v>
      </c>
      <c r="E26" s="71">
        <f>'FS-AD Daily '!B30</f>
        <v>0</v>
      </c>
      <c r="F26" s="71">
        <f>'FS-AD Daily '!C30</f>
        <v>0</v>
      </c>
      <c r="G26" s="71">
        <f>'FS-AD Daily '!D30</f>
        <v>0</v>
      </c>
      <c r="H26" s="71">
        <f>'FS-AD Daily '!E30</f>
        <v>0</v>
      </c>
      <c r="I26" s="71">
        <f>'FS-AD Daily '!F30</f>
        <v>0</v>
      </c>
      <c r="J26" s="71">
        <f>'FS-AD Daily '!G30</f>
        <v>0</v>
      </c>
      <c r="K26" s="71">
        <f>'FS-AD Daily '!H30</f>
        <v>0</v>
      </c>
      <c r="L26" s="71">
        <f>'FS-AD Daily '!I30</f>
        <v>0</v>
      </c>
      <c r="M26" s="71">
        <f>'FS-AD Daily '!J30</f>
        <v>0</v>
      </c>
      <c r="N26" s="71">
        <f>'FS-AD Daily '!T30</f>
        <v>0</v>
      </c>
      <c r="O26" s="71">
        <f>'FS-AD Daily '!R30</f>
        <v>0</v>
      </c>
      <c r="P26" s="71">
        <f>'FS-AD Daily '!Z30</f>
        <v>0</v>
      </c>
      <c r="Q26" s="71">
        <f>'FS-AD Daily '!V30</f>
        <v>0</v>
      </c>
      <c r="R26" s="71">
        <f>'FS-AD Daily '!W30</f>
        <v>0</v>
      </c>
      <c r="S26" s="71">
        <f t="shared" si="0"/>
        <v>0</v>
      </c>
      <c r="T26" s="71">
        <f>'FS-AD Daily '!AD30*3.516</f>
        <v>0</v>
      </c>
      <c r="U26" s="71">
        <f>('FS-AD Daily '!AF30)*1000</f>
        <v>0</v>
      </c>
      <c r="V26" s="71">
        <f>('FS-AD Daily '!AG30)*1000</f>
        <v>0</v>
      </c>
      <c r="W26" s="71">
        <f>'FS-AD Daily '!AH30*1000</f>
        <v>0</v>
      </c>
      <c r="X26" s="71">
        <f>('FS-AD Daily '!AK30)*1000</f>
        <v>0</v>
      </c>
      <c r="Y26" s="5">
        <f>'FS-AD Daily '!AN30</f>
        <v>0</v>
      </c>
      <c r="Z26" s="129"/>
    </row>
    <row r="27" spans="1:26" x14ac:dyDescent="0.25">
      <c r="A27" s="110" t="s">
        <v>80</v>
      </c>
      <c r="B27" s="69">
        <f t="shared" si="1"/>
        <v>26</v>
      </c>
      <c r="C27" s="70">
        <v>2</v>
      </c>
      <c r="D27" s="69">
        <v>2021</v>
      </c>
      <c r="E27" s="71">
        <f>'FS-AD Daily '!B31</f>
        <v>0</v>
      </c>
      <c r="F27" s="71">
        <f>'FS-AD Daily '!C31</f>
        <v>0</v>
      </c>
      <c r="G27" s="71">
        <f>'FS-AD Daily '!D31</f>
        <v>0</v>
      </c>
      <c r="H27" s="71">
        <f>'FS-AD Daily '!E31</f>
        <v>0</v>
      </c>
      <c r="I27" s="71">
        <f>'FS-AD Daily '!F31</f>
        <v>0</v>
      </c>
      <c r="J27" s="71">
        <f>'FS-AD Daily '!G31</f>
        <v>0</v>
      </c>
      <c r="K27" s="71">
        <f>'FS-AD Daily '!H31</f>
        <v>0</v>
      </c>
      <c r="L27" s="71">
        <f>'FS-AD Daily '!I31</f>
        <v>0</v>
      </c>
      <c r="M27" s="71">
        <f>'FS-AD Daily '!J31</f>
        <v>0</v>
      </c>
      <c r="N27" s="71">
        <f>'FS-AD Daily '!T31</f>
        <v>0</v>
      </c>
      <c r="O27" s="71">
        <f>'FS-AD Daily '!R31</f>
        <v>0</v>
      </c>
      <c r="P27" s="71">
        <f>'FS-AD Daily '!Z31</f>
        <v>0</v>
      </c>
      <c r="Q27" s="71">
        <f>'FS-AD Daily '!V31</f>
        <v>0</v>
      </c>
      <c r="R27" s="71">
        <f>'FS-AD Daily '!W31</f>
        <v>0</v>
      </c>
      <c r="S27" s="71">
        <f t="shared" si="0"/>
        <v>0</v>
      </c>
      <c r="T27" s="71">
        <f>'FS-AD Daily '!AD31*3.516</f>
        <v>0</v>
      </c>
      <c r="U27" s="71">
        <f>('FS-AD Daily '!AF31)*1000</f>
        <v>0</v>
      </c>
      <c r="V27" s="71">
        <f>('FS-AD Daily '!AG31)*1000</f>
        <v>0</v>
      </c>
      <c r="W27" s="71">
        <f>'FS-AD Daily '!AH31*1000</f>
        <v>0</v>
      </c>
      <c r="X27" s="71">
        <f>('FS-AD Daily '!AK31)*1000</f>
        <v>0</v>
      </c>
      <c r="Y27" s="5">
        <f>'FS-AD Daily '!AN31</f>
        <v>0</v>
      </c>
      <c r="Z27" s="129"/>
    </row>
    <row r="28" spans="1:26" x14ac:dyDescent="0.25">
      <c r="A28" s="110" t="s">
        <v>80</v>
      </c>
      <c r="B28" s="69">
        <f t="shared" si="1"/>
        <v>27</v>
      </c>
      <c r="C28" s="70">
        <v>2</v>
      </c>
      <c r="D28" s="69">
        <v>2021</v>
      </c>
      <c r="E28" s="71">
        <f>'FS-AD Daily '!B32</f>
        <v>0</v>
      </c>
      <c r="F28" s="71">
        <f>'FS-AD Daily '!C32</f>
        <v>0</v>
      </c>
      <c r="G28" s="71">
        <f>'FS-AD Daily '!D32</f>
        <v>0</v>
      </c>
      <c r="H28" s="71">
        <f>'FS-AD Daily '!E32</f>
        <v>0</v>
      </c>
      <c r="I28" s="71">
        <f>'FS-AD Daily '!F32</f>
        <v>0</v>
      </c>
      <c r="J28" s="71">
        <f>'FS-AD Daily '!G32</f>
        <v>0</v>
      </c>
      <c r="K28" s="71">
        <f>'FS-AD Daily '!H32</f>
        <v>0</v>
      </c>
      <c r="L28" s="71">
        <f>'FS-AD Daily '!I32</f>
        <v>0</v>
      </c>
      <c r="M28" s="71">
        <f>'FS-AD Daily '!J32</f>
        <v>0</v>
      </c>
      <c r="N28" s="71">
        <f>'FS-AD Daily '!T32</f>
        <v>0</v>
      </c>
      <c r="O28" s="71">
        <f>'FS-AD Daily '!R32</f>
        <v>0</v>
      </c>
      <c r="P28" s="71">
        <f>'FS-AD Daily '!Z32</f>
        <v>0</v>
      </c>
      <c r="Q28" s="71">
        <f>'FS-AD Daily '!V32</f>
        <v>0</v>
      </c>
      <c r="R28" s="71">
        <f>'FS-AD Daily '!W32</f>
        <v>0</v>
      </c>
      <c r="S28" s="71">
        <f t="shared" si="0"/>
        <v>0</v>
      </c>
      <c r="T28" s="71">
        <f>'FS-AD Daily '!AD32*3.516</f>
        <v>0</v>
      </c>
      <c r="U28" s="71">
        <f>('FS-AD Daily '!AF32)*1000</f>
        <v>0</v>
      </c>
      <c r="V28" s="71">
        <f>('FS-AD Daily '!AG32)*1000</f>
        <v>0</v>
      </c>
      <c r="W28" s="71">
        <f>'FS-AD Daily '!AH32*1000</f>
        <v>0</v>
      </c>
      <c r="X28" s="71">
        <f>('FS-AD Daily '!AK32)*1000</f>
        <v>0</v>
      </c>
      <c r="Y28" s="5">
        <f>'FS-AD Daily '!AN32</f>
        <v>0</v>
      </c>
      <c r="Z28" s="129"/>
    </row>
    <row r="29" spans="1:26" x14ac:dyDescent="0.25">
      <c r="A29" s="110" t="s">
        <v>80</v>
      </c>
      <c r="B29" s="69">
        <f t="shared" si="1"/>
        <v>28</v>
      </c>
      <c r="C29" s="70">
        <v>2</v>
      </c>
      <c r="D29" s="69">
        <v>2021</v>
      </c>
      <c r="E29" s="71">
        <f>'FS-AD Daily '!B33</f>
        <v>0</v>
      </c>
      <c r="F29" s="71">
        <f>'FS-AD Daily '!C33</f>
        <v>0</v>
      </c>
      <c r="G29" s="71">
        <f>'FS-AD Daily '!D33</f>
        <v>0</v>
      </c>
      <c r="H29" s="71">
        <f>'FS-AD Daily '!E33</f>
        <v>0</v>
      </c>
      <c r="I29" s="71">
        <f>'FS-AD Daily '!F33</f>
        <v>0</v>
      </c>
      <c r="J29" s="71">
        <f>'FS-AD Daily '!G33</f>
        <v>0</v>
      </c>
      <c r="K29" s="71">
        <f>'FS-AD Daily '!H33</f>
        <v>0</v>
      </c>
      <c r="L29" s="71">
        <f>'FS-AD Daily '!I33</f>
        <v>0</v>
      </c>
      <c r="M29" s="71">
        <f>'FS-AD Daily '!J33</f>
        <v>0</v>
      </c>
      <c r="N29" s="71">
        <f>'FS-AD Daily '!T33</f>
        <v>0</v>
      </c>
      <c r="O29" s="71">
        <f>'FS-AD Daily '!R33</f>
        <v>0</v>
      </c>
      <c r="P29" s="71">
        <f>'FS-AD Daily '!Z33</f>
        <v>0</v>
      </c>
      <c r="Q29" s="71">
        <f>'FS-AD Daily '!V33</f>
        <v>0</v>
      </c>
      <c r="R29" s="71">
        <f>'FS-AD Daily '!W33</f>
        <v>0</v>
      </c>
      <c r="S29" s="71">
        <f>P29-Q29-R29</f>
        <v>0</v>
      </c>
      <c r="T29" s="71">
        <f>'FS-AD Daily '!AD33*3.516</f>
        <v>0</v>
      </c>
      <c r="U29" s="71">
        <f>('FS-AD Daily '!AF33)*1000</f>
        <v>0</v>
      </c>
      <c r="V29" s="71">
        <f>('FS-AD Daily '!AG33)*1000</f>
        <v>0</v>
      </c>
      <c r="W29" s="71">
        <f>'FS-AD Daily '!AH33*1000</f>
        <v>0</v>
      </c>
      <c r="X29" s="71">
        <f>('FS-AD Daily '!AK33)*1000</f>
        <v>0</v>
      </c>
      <c r="Y29" s="5">
        <f>'FS-AD Daily '!AN33</f>
        <v>0</v>
      </c>
      <c r="Z29" s="129"/>
    </row>
    <row r="30" spans="1:26" x14ac:dyDescent="0.25">
      <c r="I30" s="4">
        <f t="shared" ref="I30:W30" si="2">SUM(I2:I29)</f>
        <v>121248</v>
      </c>
      <c r="J30" s="4">
        <f t="shared" si="2"/>
        <v>56058</v>
      </c>
      <c r="K30" s="4">
        <f t="shared" si="2"/>
        <v>74971</v>
      </c>
      <c r="L30" s="4">
        <f t="shared" si="2"/>
        <v>50598</v>
      </c>
      <c r="M30" s="4">
        <f t="shared" si="2"/>
        <v>147358</v>
      </c>
      <c r="N30" s="4">
        <f t="shared" si="2"/>
        <v>2734.4019999999946</v>
      </c>
      <c r="O30" s="4">
        <f t="shared" si="2"/>
        <v>1525.6600000000067</v>
      </c>
      <c r="P30" s="4">
        <f t="shared" si="2"/>
        <v>11858</v>
      </c>
      <c r="Q30" s="4">
        <f t="shared" si="2"/>
        <v>5217.2999999999884</v>
      </c>
      <c r="R30" s="4">
        <f t="shared" si="2"/>
        <v>111.23999999999069</v>
      </c>
      <c r="S30" s="4">
        <f t="shared" si="2"/>
        <v>6529.460000000021</v>
      </c>
      <c r="T30" s="4">
        <f t="shared" si="2"/>
        <v>811146.82560000021</v>
      </c>
      <c r="U30" s="4">
        <f t="shared" si="2"/>
        <v>421300.00000000291</v>
      </c>
      <c r="V30" s="4">
        <f t="shared" si="2"/>
        <v>151500</v>
      </c>
      <c r="W30" s="4">
        <f t="shared" si="2"/>
        <v>148899.99999999418</v>
      </c>
      <c r="X30" s="4">
        <f>'FS-AD Daily '!U35</f>
        <v>9476.5372799999041</v>
      </c>
      <c r="Y30" s="4">
        <f>SUM(Y2:Y29)</f>
        <v>1779</v>
      </c>
      <c r="Z30" s="4">
        <f>SUM(Z2:Z29)</f>
        <v>2774</v>
      </c>
    </row>
    <row r="31" spans="1:26" x14ac:dyDescent="0.25">
      <c r="Y31"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39"/>
  <sheetViews>
    <sheetView tabSelected="1" zoomScaleNormal="100" workbookViewId="0">
      <pane xSplit="7" ySplit="4" topLeftCell="AK14" activePane="bottomRight" state="frozen"/>
      <selection pane="topRight" activeCell="H1" sqref="H1"/>
      <selection pane="bottomLeft" activeCell="A5" sqref="A5"/>
      <selection pane="bottomRight" activeCell="AR19" sqref="AR19"/>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30" t="s">
        <v>14</v>
      </c>
      <c r="C1" s="130"/>
      <c r="D1" s="130"/>
      <c r="E1" s="130"/>
      <c r="F1" s="130"/>
      <c r="G1" s="130"/>
      <c r="H1" s="130"/>
      <c r="I1" s="130"/>
      <c r="J1" s="130"/>
      <c r="K1" s="25" t="s">
        <v>15</v>
      </c>
      <c r="L1" s="26" t="s">
        <v>16</v>
      </c>
      <c r="M1" s="27" t="s">
        <v>17</v>
      </c>
      <c r="N1" s="28" t="s">
        <v>18</v>
      </c>
      <c r="O1" s="28" t="s">
        <v>19</v>
      </c>
      <c r="P1" s="65" t="s">
        <v>20</v>
      </c>
      <c r="Q1" s="30" t="s">
        <v>21</v>
      </c>
      <c r="R1" s="31" t="s">
        <v>22</v>
      </c>
      <c r="S1" s="29" t="s">
        <v>23</v>
      </c>
      <c r="T1" s="32" t="s">
        <v>24</v>
      </c>
      <c r="U1" s="33" t="s">
        <v>25</v>
      </c>
      <c r="V1" s="32" t="s">
        <v>26</v>
      </c>
      <c r="W1" s="32" t="s">
        <v>27</v>
      </c>
      <c r="X1" s="131" t="s">
        <v>28</v>
      </c>
      <c r="Y1" s="131"/>
      <c r="Z1" s="34" t="s">
        <v>29</v>
      </c>
      <c r="AA1" s="35" t="s">
        <v>102</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32" t="s">
        <v>41</v>
      </c>
      <c r="L2" s="134" t="s">
        <v>42</v>
      </c>
      <c r="M2" s="10"/>
      <c r="N2" s="10"/>
      <c r="O2" s="10"/>
      <c r="P2" s="10"/>
      <c r="Q2" s="10"/>
      <c r="R2" s="10"/>
      <c r="S2" s="136"/>
      <c r="T2" s="47"/>
      <c r="U2" s="137"/>
      <c r="V2" s="45"/>
      <c r="W2" s="45"/>
      <c r="X2" s="22">
        <v>1</v>
      </c>
      <c r="Y2" s="22">
        <v>2</v>
      </c>
      <c r="Z2" s="23"/>
      <c r="AA2" s="134" t="s">
        <v>101</v>
      </c>
      <c r="AB2" s="43"/>
      <c r="AC2" s="132" t="s">
        <v>43</v>
      </c>
      <c r="AD2" s="139"/>
      <c r="AE2" s="137" t="s">
        <v>100</v>
      </c>
      <c r="AF2" s="45"/>
      <c r="AG2" s="45"/>
      <c r="AH2" s="45"/>
      <c r="AI2" s="44"/>
      <c r="AJ2" s="44"/>
      <c r="AK2" s="44"/>
      <c r="AL2" s="44"/>
      <c r="AM2" s="137" t="s">
        <v>100</v>
      </c>
      <c r="AN2" s="140"/>
      <c r="AO2" s="138"/>
    </row>
    <row r="3" spans="1:44" ht="15" customHeight="1" x14ac:dyDescent="0.25">
      <c r="A3" s="9"/>
      <c r="B3" s="11" t="s">
        <v>44</v>
      </c>
      <c r="C3" s="11" t="s">
        <v>45</v>
      </c>
      <c r="D3" s="11" t="s">
        <v>46</v>
      </c>
      <c r="E3" s="11" t="s">
        <v>47</v>
      </c>
      <c r="F3" s="11" t="s">
        <v>48</v>
      </c>
      <c r="G3" s="11" t="s">
        <v>49</v>
      </c>
      <c r="H3" s="11" t="s">
        <v>50</v>
      </c>
      <c r="I3" s="11" t="s">
        <v>51</v>
      </c>
      <c r="J3" s="11" t="s">
        <v>52</v>
      </c>
      <c r="K3" s="133"/>
      <c r="L3" s="135"/>
      <c r="M3" s="10"/>
      <c r="N3" s="10"/>
      <c r="O3" s="10"/>
      <c r="P3" s="10"/>
      <c r="Q3" s="10"/>
      <c r="R3" s="10"/>
      <c r="S3" s="136"/>
      <c r="T3" s="47"/>
      <c r="U3" s="137"/>
      <c r="V3" s="45"/>
      <c r="W3" s="45"/>
      <c r="X3" s="11"/>
      <c r="Y3" s="11"/>
      <c r="Z3" s="12"/>
      <c r="AA3" s="134"/>
      <c r="AB3" s="43"/>
      <c r="AC3" s="132"/>
      <c r="AD3" s="139"/>
      <c r="AE3" s="137"/>
      <c r="AF3" s="45"/>
      <c r="AG3" s="45"/>
      <c r="AH3" s="45"/>
      <c r="AI3" s="13"/>
      <c r="AJ3" s="44"/>
      <c r="AK3" s="44"/>
      <c r="AL3" s="44"/>
      <c r="AM3" s="137"/>
      <c r="AN3" s="140"/>
      <c r="AO3" s="138"/>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36"/>
      <c r="T4" s="47"/>
      <c r="U4" s="137"/>
      <c r="V4" s="45"/>
      <c r="W4" s="45"/>
      <c r="X4" s="52"/>
      <c r="Y4" s="86">
        <v>775512</v>
      </c>
      <c r="Z4" s="12"/>
      <c r="AA4" s="134"/>
      <c r="AB4" s="85">
        <v>2675901.6</v>
      </c>
      <c r="AC4" s="132"/>
      <c r="AD4" s="139"/>
      <c r="AE4" s="137"/>
      <c r="AF4" s="45"/>
      <c r="AG4" s="45"/>
      <c r="AH4" s="45"/>
      <c r="AI4" s="43">
        <v>40473.9</v>
      </c>
      <c r="AJ4" s="43"/>
      <c r="AK4" s="43"/>
      <c r="AL4" s="43"/>
      <c r="AM4" s="137"/>
      <c r="AN4" s="140"/>
      <c r="AO4" s="138"/>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9" t="e">
        <f>SUM(#REF!)</f>
        <v>#REF!</v>
      </c>
    </row>
    <row r="6" spans="1:44" x14ac:dyDescent="0.25">
      <c r="A6" s="79">
        <v>44228</v>
      </c>
      <c r="B6" s="9">
        <v>6659</v>
      </c>
      <c r="C6" s="85">
        <v>3423</v>
      </c>
      <c r="D6" s="85">
        <v>885</v>
      </c>
      <c r="E6" s="85">
        <v>5697</v>
      </c>
      <c r="F6" s="85">
        <v>5618</v>
      </c>
      <c r="G6" s="85">
        <v>2586</v>
      </c>
      <c r="H6" s="85">
        <v>3583</v>
      </c>
      <c r="I6" s="85">
        <v>2358</v>
      </c>
      <c r="J6" s="85">
        <v>6759</v>
      </c>
      <c r="K6" s="63">
        <f>SUM(B6:H6)</f>
        <v>28451</v>
      </c>
      <c r="L6" s="40">
        <f>K6*0.2</f>
        <v>5690.2000000000007</v>
      </c>
      <c r="M6" s="82">
        <f>59008.164-58913.457</f>
        <v>94.706999999994878</v>
      </c>
      <c r="N6" s="82">
        <f>3979.628-3978.387</f>
        <v>1.2409999999999854</v>
      </c>
      <c r="O6" s="82">
        <f>9268.662-9268.079</f>
        <v>0.58300000000053842</v>
      </c>
      <c r="P6" s="81">
        <f>79997.161-79939.716</f>
        <v>57.444999999992433</v>
      </c>
      <c r="Q6" s="82">
        <f>22309.41-22305.938</f>
        <v>3.4720000000015716</v>
      </c>
      <c r="R6" s="83">
        <f t="shared" ref="R6:R33" si="0">N6+O6+P6</f>
        <v>59.268999999992957</v>
      </c>
      <c r="S6" s="83">
        <f t="shared" ref="S6:S33" si="1">(N6+O6+P6)*7.84</f>
        <v>464.66895999994478</v>
      </c>
      <c r="T6" s="64">
        <f t="shared" ref="T6:T33" si="2">M6+Q6</f>
        <v>98.178999999996449</v>
      </c>
      <c r="U6" s="83">
        <f>T6*7.84</f>
        <v>769.7233599999721</v>
      </c>
      <c r="V6" s="82">
        <f>320133.1-319984.7</f>
        <v>148.39999999996508</v>
      </c>
      <c r="W6" s="82">
        <f t="shared" ref="W6" si="3">129287.44-129287.44</f>
        <v>0</v>
      </c>
      <c r="X6" s="84" t="s">
        <v>63</v>
      </c>
      <c r="Y6" s="5">
        <v>775952</v>
      </c>
      <c r="Z6" s="61">
        <f>IF((Y6-Y5&lt;0), "0",Y6-Y4)</f>
        <v>440</v>
      </c>
      <c r="AA6" s="89">
        <f>Z6*6.47</f>
        <v>2846.7999999999997</v>
      </c>
      <c r="AB6" s="85">
        <v>2684343.7999999998</v>
      </c>
      <c r="AC6" s="85">
        <f>AB4</f>
        <v>2675901.6</v>
      </c>
      <c r="AD6" s="41">
        <f t="shared" ref="AD6:AD33" si="4">IF((AB6-AC6&lt;0), "0",AB6-AC6)</f>
        <v>8442.1999999997206</v>
      </c>
      <c r="AE6" s="83">
        <f>AD6*0.333415</f>
        <v>2814.7561129999071</v>
      </c>
      <c r="AF6" s="83">
        <f>82281.2-82265.7</f>
        <v>15.5</v>
      </c>
      <c r="AG6" s="83">
        <f>42923.8-42918.6</f>
        <v>5.2000000000043656</v>
      </c>
      <c r="AH6" s="83">
        <f>25858-25852</f>
        <v>6</v>
      </c>
      <c r="AI6" s="86">
        <v>40473.9</v>
      </c>
      <c r="AJ6" s="86">
        <v>40484.9</v>
      </c>
      <c r="AK6" s="59">
        <f>IF((AJ6-AI6)&lt;0, "0",AJ6-AI6)</f>
        <v>11</v>
      </c>
      <c r="AL6" s="125">
        <f t="shared" ref="AL6:AL33" si="5">AK6*(284.34513609)</f>
        <v>3127.7964969899999</v>
      </c>
      <c r="AM6" s="83">
        <f>AL6*0.333415</f>
        <v>1042.8542690439208</v>
      </c>
      <c r="AN6" s="41">
        <v>79</v>
      </c>
      <c r="AO6" s="76">
        <f t="shared" ref="AO6:AO33" si="6">L6+U6+AA6+AE6</f>
        <v>12121.479472999879</v>
      </c>
    </row>
    <row r="7" spans="1:44" x14ac:dyDescent="0.25">
      <c r="A7" s="78">
        <v>44229</v>
      </c>
      <c r="B7" s="9">
        <v>6222</v>
      </c>
      <c r="C7" s="85">
        <v>3466</v>
      </c>
      <c r="D7" s="85">
        <v>854</v>
      </c>
      <c r="E7" s="85">
        <v>5677</v>
      </c>
      <c r="F7" s="85">
        <v>5514</v>
      </c>
      <c r="G7" s="85">
        <v>2480</v>
      </c>
      <c r="H7" s="85">
        <v>3509</v>
      </c>
      <c r="I7" s="85">
        <v>2264</v>
      </c>
      <c r="J7" s="85">
        <v>6541</v>
      </c>
      <c r="K7" s="85">
        <f>SUM(B7:H7)</f>
        <v>27722</v>
      </c>
      <c r="L7" s="14">
        <f>K7*0.2</f>
        <v>5544.4000000000005</v>
      </c>
      <c r="M7" s="82">
        <f>59123.007-59008.164</f>
        <v>114.84300000000076</v>
      </c>
      <c r="N7" s="82">
        <f>3980.793-3979.628</f>
        <v>1.1649999999999636</v>
      </c>
      <c r="O7" s="82">
        <f>9269.295-9268.662</f>
        <v>0.63299999999981083</v>
      </c>
      <c r="P7" s="81">
        <f>80057.322-79997.161</f>
        <v>60.161000000007334</v>
      </c>
      <c r="Q7" s="82">
        <f>22316.365-22309.41</f>
        <v>6.9550000000017462</v>
      </c>
      <c r="R7" s="82">
        <f t="shared" si="0"/>
        <v>61.959000000007109</v>
      </c>
      <c r="S7" s="82">
        <f>(N7+O7+P7)*7.84</f>
        <v>485.7585600000557</v>
      </c>
      <c r="T7" s="82">
        <f>M7+Q7</f>
        <v>121.7980000000025</v>
      </c>
      <c r="U7" s="82">
        <f>T7*7.84</f>
        <v>954.89632000001961</v>
      </c>
      <c r="V7" s="82">
        <f>320287.1-320133.1</f>
        <v>154</v>
      </c>
      <c r="W7" s="82">
        <f>129298.74-129298.74</f>
        <v>0</v>
      </c>
      <c r="X7" s="85" t="s">
        <v>63</v>
      </c>
      <c r="Y7" s="5">
        <v>776422</v>
      </c>
      <c r="Z7" s="5">
        <f>IF((Y7-Y6&lt;0), "0",Y7-Y6)</f>
        <v>470</v>
      </c>
      <c r="AA7" s="14">
        <f t="shared" ref="AA7:AA33" si="7">Z7*6.47</f>
        <v>3040.9</v>
      </c>
      <c r="AB7" s="85">
        <v>2693479.5</v>
      </c>
      <c r="AC7" s="85">
        <f>AB6</f>
        <v>2684343.7999999998</v>
      </c>
      <c r="AD7" s="5">
        <f t="shared" si="4"/>
        <v>9135.7000000001863</v>
      </c>
      <c r="AE7" s="82">
        <f>AD7*0.333415</f>
        <v>3045.9794155000623</v>
      </c>
      <c r="AF7" s="82">
        <f>82298.6-82281.2</f>
        <v>17.400000000008731</v>
      </c>
      <c r="AG7" s="82">
        <f>42929.4-42923.8</f>
        <v>5.5999999999985448</v>
      </c>
      <c r="AH7" s="82">
        <f>25863.9-25858</f>
        <v>5.9000000000014552</v>
      </c>
      <c r="AI7" s="86">
        <f>AJ6</f>
        <v>40484.9</v>
      </c>
      <c r="AJ7" s="86">
        <v>40496.400000000001</v>
      </c>
      <c r="AK7" s="48">
        <f t="shared" ref="AK7:AK33" si="8">IF((AJ7-AI7)&lt;0, "0",AJ7-AI7)</f>
        <v>11.5</v>
      </c>
      <c r="AL7" s="88">
        <f t="shared" si="5"/>
        <v>3269.9690650349999</v>
      </c>
      <c r="AM7" s="82">
        <f>AL7*0.333415</f>
        <v>1090.2567358186445</v>
      </c>
      <c r="AN7" s="5">
        <v>75</v>
      </c>
      <c r="AO7" s="77">
        <f t="shared" si="6"/>
        <v>12586.175735500083</v>
      </c>
    </row>
    <row r="8" spans="1:44" x14ac:dyDescent="0.25">
      <c r="A8" s="78">
        <v>44230</v>
      </c>
      <c r="B8" s="9">
        <v>4956</v>
      </c>
      <c r="C8" s="85">
        <v>2571</v>
      </c>
      <c r="D8" s="85">
        <v>895</v>
      </c>
      <c r="E8" s="85">
        <v>5818</v>
      </c>
      <c r="F8" s="85">
        <v>5709</v>
      </c>
      <c r="G8" s="85">
        <v>2600</v>
      </c>
      <c r="H8" s="85">
        <v>3501</v>
      </c>
      <c r="I8" s="85">
        <v>2377</v>
      </c>
      <c r="J8" s="85">
        <v>6810</v>
      </c>
      <c r="K8" s="85">
        <f>SUM(B8:H8)</f>
        <v>26050</v>
      </c>
      <c r="L8" s="14">
        <f t="shared" ref="L8:L33" si="9">K8*0.2</f>
        <v>5210</v>
      </c>
      <c r="M8" s="82">
        <f>59245.062-59123.007</f>
        <v>122.05500000000029</v>
      </c>
      <c r="N8" s="82">
        <f>3982.152-3980.793</f>
        <v>1.3589999999999236</v>
      </c>
      <c r="O8" s="82">
        <f>9270.11-9269.295</f>
        <v>0.81500000000050932</v>
      </c>
      <c r="P8" s="81">
        <f>80126.029-80057.322</f>
        <v>68.706999999994878</v>
      </c>
      <c r="Q8" s="82">
        <f>22323.697-22316.365</f>
        <v>7.3319999999985157</v>
      </c>
      <c r="R8" s="82">
        <f t="shared" si="0"/>
        <v>70.880999999995311</v>
      </c>
      <c r="S8" s="82">
        <f>(N8+O8+P8)*7.84</f>
        <v>555.70703999996317</v>
      </c>
      <c r="T8" s="82">
        <f>M8+Q8</f>
        <v>129.38699999999881</v>
      </c>
      <c r="U8" s="82">
        <f>T8*7.84</f>
        <v>1014.3940799999906</v>
      </c>
      <c r="V8" s="82">
        <f>320447.4-320287.1</f>
        <v>160.30000000004657</v>
      </c>
      <c r="W8" s="82">
        <f>129298.74-129298.74</f>
        <v>0</v>
      </c>
      <c r="X8" s="85" t="s">
        <v>63</v>
      </c>
      <c r="Y8" s="5">
        <v>776907</v>
      </c>
      <c r="Z8" s="5">
        <f t="shared" ref="Z8:Z33" si="10">IF((Y8-Y7&lt;0), "0",Y8-Y7)</f>
        <v>485</v>
      </c>
      <c r="AA8" s="14">
        <f t="shared" si="7"/>
        <v>3137.95</v>
      </c>
      <c r="AB8" s="85">
        <v>2703011.5</v>
      </c>
      <c r="AC8" s="85">
        <f t="shared" ref="AC8:AC14" si="11">AB7</f>
        <v>2693479.5</v>
      </c>
      <c r="AD8" s="5">
        <f t="shared" si="4"/>
        <v>9532</v>
      </c>
      <c r="AE8" s="82">
        <f t="shared" ref="AE8:AE33" si="12">AD8*0.333415</f>
        <v>3178.1117800000002</v>
      </c>
      <c r="AF8" s="82">
        <f>82316.3-82298.6</f>
        <v>17.69999999999709</v>
      </c>
      <c r="AG8" s="82">
        <f>42935.2-42929.4</f>
        <v>5.7999999999956344</v>
      </c>
      <c r="AH8" s="82">
        <f>25870.1-25863.9</f>
        <v>6.1999999999970896</v>
      </c>
      <c r="AI8" s="86">
        <f t="shared" ref="AI8:AI14" si="13">AJ7</f>
        <v>40496.400000000001</v>
      </c>
      <c r="AJ8" s="86">
        <v>40509.1</v>
      </c>
      <c r="AK8" s="48">
        <f t="shared" si="8"/>
        <v>12.69999999999709</v>
      </c>
      <c r="AL8" s="88">
        <f t="shared" si="5"/>
        <v>3611.1832283421722</v>
      </c>
      <c r="AM8" s="82">
        <f t="shared" ref="AM8:AM33" si="14">AL8*0.333415</f>
        <v>1204.0226560777055</v>
      </c>
      <c r="AN8" s="5">
        <v>81</v>
      </c>
      <c r="AO8" s="77">
        <f t="shared" si="6"/>
        <v>12540.455859999991</v>
      </c>
    </row>
    <row r="9" spans="1:44" x14ac:dyDescent="0.25">
      <c r="A9" s="78">
        <v>44231</v>
      </c>
      <c r="B9" s="9">
        <v>4545</v>
      </c>
      <c r="C9" s="85">
        <v>2246</v>
      </c>
      <c r="D9" s="85">
        <v>927</v>
      </c>
      <c r="E9" s="85">
        <v>5895</v>
      </c>
      <c r="F9" s="85">
        <v>5606</v>
      </c>
      <c r="G9" s="85">
        <v>2541</v>
      </c>
      <c r="H9" s="85">
        <v>3574</v>
      </c>
      <c r="I9" s="85">
        <v>2358</v>
      </c>
      <c r="J9" s="85">
        <v>7025</v>
      </c>
      <c r="K9" s="85">
        <f t="shared" ref="K9:K33" si="15">SUM(B9:H9)</f>
        <v>25334</v>
      </c>
      <c r="L9" s="14">
        <f t="shared" si="9"/>
        <v>5066.8</v>
      </c>
      <c r="M9" s="82">
        <f>59378.145-59245.062</f>
        <v>133.08299999999872</v>
      </c>
      <c r="N9" s="82">
        <f>3983.445-3982.152</f>
        <v>1.2930000000001201</v>
      </c>
      <c r="O9" s="82">
        <f>9270.712-9270.11</f>
        <v>0.60199999999895226</v>
      </c>
      <c r="P9" s="81">
        <f>90197.42-90126.029</f>
        <v>71.39100000000326</v>
      </c>
      <c r="Q9" s="82">
        <f>22332.445-22323.697</f>
        <v>8.7479999999995925</v>
      </c>
      <c r="R9" s="82">
        <f t="shared" si="0"/>
        <v>73.286000000002332</v>
      </c>
      <c r="S9" s="82">
        <f t="shared" si="1"/>
        <v>574.56224000001828</v>
      </c>
      <c r="T9" s="82">
        <f t="shared" si="2"/>
        <v>141.83099999999831</v>
      </c>
      <c r="U9" s="82">
        <f t="shared" ref="U9:U34" si="16">T9*7.84</f>
        <v>1111.9550399999866</v>
      </c>
      <c r="V9" s="82">
        <f>320590.3-320447.4</f>
        <v>142.89999999996508</v>
      </c>
      <c r="W9" s="82">
        <f t="shared" ref="W9:W11" si="17">129298.74-129298.74</f>
        <v>0</v>
      </c>
      <c r="X9" s="85" t="s">
        <v>63</v>
      </c>
      <c r="Y9" s="5">
        <v>777402</v>
      </c>
      <c r="Z9" s="5">
        <f t="shared" si="10"/>
        <v>495</v>
      </c>
      <c r="AA9" s="14">
        <f t="shared" si="7"/>
        <v>3202.65</v>
      </c>
      <c r="AB9" s="86">
        <v>2713285</v>
      </c>
      <c r="AC9" s="85">
        <f t="shared" si="11"/>
        <v>2703011.5</v>
      </c>
      <c r="AD9" s="5">
        <f t="shared" si="4"/>
        <v>10273.5</v>
      </c>
      <c r="AE9" s="82">
        <f t="shared" si="12"/>
        <v>3425.3390025000003</v>
      </c>
      <c r="AF9" s="82">
        <f>82335.5-82316.2</f>
        <v>19.30000000000291</v>
      </c>
      <c r="AG9" s="82">
        <f>42941.3-42935.2</f>
        <v>6.1000000000058208</v>
      </c>
      <c r="AH9" s="82">
        <f>25876.6-25870.1</f>
        <v>6.5</v>
      </c>
      <c r="AI9" s="86">
        <f t="shared" si="13"/>
        <v>40509.1</v>
      </c>
      <c r="AJ9" s="86">
        <v>40523</v>
      </c>
      <c r="AK9" s="48">
        <f t="shared" si="8"/>
        <v>13.900000000001455</v>
      </c>
      <c r="AL9" s="88">
        <f t="shared" si="5"/>
        <v>3952.3973916514137</v>
      </c>
      <c r="AM9" s="82">
        <f t="shared" si="14"/>
        <v>1317.7885763374561</v>
      </c>
      <c r="AN9" s="5">
        <v>66</v>
      </c>
      <c r="AO9" s="77">
        <f t="shared" si="6"/>
        <v>12806.744042499988</v>
      </c>
    </row>
    <row r="10" spans="1:44" x14ac:dyDescent="0.25">
      <c r="A10" s="78">
        <v>44232</v>
      </c>
      <c r="B10" s="9">
        <v>5248</v>
      </c>
      <c r="C10" s="85">
        <v>2392</v>
      </c>
      <c r="D10" s="85">
        <v>912</v>
      </c>
      <c r="E10" s="85">
        <v>6134</v>
      </c>
      <c r="F10" s="85">
        <v>5863</v>
      </c>
      <c r="G10" s="85">
        <v>2557</v>
      </c>
      <c r="H10" s="85">
        <v>3549</v>
      </c>
      <c r="I10" s="85">
        <v>2336</v>
      </c>
      <c r="J10" s="85">
        <v>7006</v>
      </c>
      <c r="K10" s="85">
        <f t="shared" si="15"/>
        <v>26655</v>
      </c>
      <c r="L10" s="14">
        <f t="shared" si="9"/>
        <v>5331</v>
      </c>
      <c r="M10" s="82">
        <f>59507.819-59378.145</f>
        <v>129.67400000000634</v>
      </c>
      <c r="N10" s="82">
        <f>3984.093-3983.445</f>
        <v>0.6479999999996835</v>
      </c>
      <c r="O10" s="82">
        <f>9271.174-9270.712</f>
        <v>0.46200000000135333</v>
      </c>
      <c r="P10" s="81">
        <f>80285.517-80197.42</f>
        <v>88.097000000008848</v>
      </c>
      <c r="Q10" s="82">
        <f>22337.595-22332.445</f>
        <v>5.1500000000014552</v>
      </c>
      <c r="R10" s="82">
        <f t="shared" si="0"/>
        <v>89.207000000009884</v>
      </c>
      <c r="S10" s="82">
        <f t="shared" si="1"/>
        <v>699.38288000007753</v>
      </c>
      <c r="T10" s="82">
        <f t="shared" si="2"/>
        <v>134.8240000000078</v>
      </c>
      <c r="U10" s="82">
        <f t="shared" si="16"/>
        <v>1057.0201600000612</v>
      </c>
      <c r="V10" s="82">
        <f>320746.1-320590.3</f>
        <v>155.79999999998836</v>
      </c>
      <c r="W10" s="82">
        <f t="shared" si="17"/>
        <v>0</v>
      </c>
      <c r="X10" s="85" t="s">
        <v>63</v>
      </c>
      <c r="Y10" s="5">
        <v>777887</v>
      </c>
      <c r="Z10" s="5">
        <f t="shared" si="10"/>
        <v>485</v>
      </c>
      <c r="AA10" s="14">
        <f t="shared" si="7"/>
        <v>3137.95</v>
      </c>
      <c r="AB10" s="86">
        <v>2723847</v>
      </c>
      <c r="AC10" s="85">
        <f t="shared" si="11"/>
        <v>2713285</v>
      </c>
      <c r="AD10" s="5">
        <f t="shared" si="4"/>
        <v>10562</v>
      </c>
      <c r="AE10" s="82">
        <f t="shared" si="12"/>
        <v>3521.5292300000001</v>
      </c>
      <c r="AF10" s="82">
        <f>82355.4-82335.5</f>
        <v>19.899999999994179</v>
      </c>
      <c r="AG10" s="82">
        <f>42947.5-42941.3</f>
        <v>6.1999999999970896</v>
      </c>
      <c r="AH10" s="82">
        <f>25883.4-25876.6</f>
        <v>6.8000000000029104</v>
      </c>
      <c r="AI10" s="86">
        <f t="shared" si="13"/>
        <v>40523</v>
      </c>
      <c r="AJ10" s="86">
        <v>40537.4</v>
      </c>
      <c r="AK10" s="48">
        <f t="shared" si="8"/>
        <v>14.400000000001455</v>
      </c>
      <c r="AL10" s="88">
        <f t="shared" si="5"/>
        <v>4094.5699596964137</v>
      </c>
      <c r="AM10" s="82">
        <f t="shared" si="14"/>
        <v>1365.1910431121798</v>
      </c>
      <c r="AN10" s="5">
        <v>71</v>
      </c>
      <c r="AO10" s="77">
        <f t="shared" si="6"/>
        <v>13047.499390000061</v>
      </c>
    </row>
    <row r="11" spans="1:44" x14ac:dyDescent="0.25">
      <c r="A11" s="78">
        <v>44233</v>
      </c>
      <c r="B11" s="9">
        <f>11336030-11330944</f>
        <v>5086</v>
      </c>
      <c r="C11" s="85">
        <f>7258167-7255818</f>
        <v>2349</v>
      </c>
      <c r="D11" s="85">
        <f>1386926-1385961</f>
        <v>965</v>
      </c>
      <c r="E11" s="85">
        <f>10750078-10743977</f>
        <v>6101</v>
      </c>
      <c r="F11" s="85">
        <f>10574949-10569273</f>
        <v>5676</v>
      </c>
      <c r="G11" s="85">
        <f>7856187-7853503</f>
        <v>2684</v>
      </c>
      <c r="H11" s="85">
        <f>7730666-7727068</f>
        <v>3598</v>
      </c>
      <c r="I11" s="85">
        <f>4825370-4822946</f>
        <v>2424</v>
      </c>
      <c r="J11" s="85">
        <f>10467784-10460586</f>
        <v>7198</v>
      </c>
      <c r="K11" s="85">
        <f t="shared" si="15"/>
        <v>26459</v>
      </c>
      <c r="L11" s="14">
        <f t="shared" si="9"/>
        <v>5291.8</v>
      </c>
      <c r="M11" s="82">
        <f>59620.328-59507.819</f>
        <v>112.5089999999982</v>
      </c>
      <c r="N11" s="82">
        <f>3985.567-3984.093</f>
        <v>1.4740000000001601</v>
      </c>
      <c r="O11" s="82">
        <f>9272.095-9271.174</f>
        <v>0.9209999999984575</v>
      </c>
      <c r="P11" s="81">
        <f>80369.686-80285.517</f>
        <v>84.168999999994412</v>
      </c>
      <c r="Q11" s="82">
        <f>22344.792-22337.595</f>
        <v>7.1970000000001164</v>
      </c>
      <c r="R11" s="82">
        <f t="shared" si="0"/>
        <v>86.56399999999303</v>
      </c>
      <c r="S11" s="82">
        <f t="shared" si="1"/>
        <v>678.66175999994539</v>
      </c>
      <c r="T11" s="82">
        <f t="shared" si="2"/>
        <v>119.70599999999831</v>
      </c>
      <c r="U11" s="82">
        <f t="shared" si="16"/>
        <v>938.49503999998672</v>
      </c>
      <c r="V11" s="82">
        <f>320900.3-320746.1</f>
        <v>154.20000000001164</v>
      </c>
      <c r="W11" s="82">
        <f t="shared" si="17"/>
        <v>0</v>
      </c>
      <c r="X11" s="85" t="s">
        <v>63</v>
      </c>
      <c r="Y11" s="5">
        <v>778331</v>
      </c>
      <c r="Z11" s="5">
        <f t="shared" si="10"/>
        <v>444</v>
      </c>
      <c r="AA11" s="14">
        <f t="shared" si="7"/>
        <v>2872.68</v>
      </c>
      <c r="AB11" s="86">
        <v>2734338.7</v>
      </c>
      <c r="AC11" s="85">
        <f t="shared" si="11"/>
        <v>2723847</v>
      </c>
      <c r="AD11" s="5">
        <f t="shared" si="4"/>
        <v>10491.700000000186</v>
      </c>
      <c r="AE11" s="82">
        <f t="shared" si="12"/>
        <v>3498.0901555000623</v>
      </c>
      <c r="AF11" s="82">
        <f>82374.8-82355.4</f>
        <v>19.400000000008731</v>
      </c>
      <c r="AG11" s="82">
        <f>42954.2-42947.5</f>
        <v>6.6999999999970896</v>
      </c>
      <c r="AH11" s="82">
        <f>25890.4-25883.4</f>
        <v>7</v>
      </c>
      <c r="AI11" s="86">
        <f t="shared" si="13"/>
        <v>40537.4</v>
      </c>
      <c r="AJ11" s="86">
        <v>40551.9</v>
      </c>
      <c r="AK11" s="48">
        <f t="shared" si="8"/>
        <v>14.5</v>
      </c>
      <c r="AL11" s="88">
        <f t="shared" si="5"/>
        <v>4123.0044733049999</v>
      </c>
      <c r="AM11" s="82">
        <f t="shared" si="14"/>
        <v>1374.6715364669867</v>
      </c>
      <c r="AN11" s="5">
        <v>57</v>
      </c>
      <c r="AO11" s="77">
        <f t="shared" si="6"/>
        <v>12601.065195500049</v>
      </c>
    </row>
    <row r="12" spans="1:44" x14ac:dyDescent="0.25">
      <c r="A12" s="78">
        <v>44234</v>
      </c>
      <c r="B12" s="9">
        <f>11341251-11336030</f>
        <v>5221</v>
      </c>
      <c r="C12" s="85">
        <f>7260310-7258167</f>
        <v>2143</v>
      </c>
      <c r="D12" s="85">
        <f>1387772-1386926</f>
        <v>846</v>
      </c>
      <c r="E12" s="85">
        <f>10756195-10750078</f>
        <v>6117</v>
      </c>
      <c r="F12" s="85">
        <f>10580500-10574949</f>
        <v>5551</v>
      </c>
      <c r="G12" s="85">
        <f>7858893-7856187</f>
        <v>2706</v>
      </c>
      <c r="H12" s="85">
        <f>7734146-7730666</f>
        <v>3480</v>
      </c>
      <c r="I12" s="85">
        <f>4827780-4825370</f>
        <v>2410</v>
      </c>
      <c r="J12" s="85">
        <f>10474682-10467784</f>
        <v>6898</v>
      </c>
      <c r="K12" s="85">
        <f t="shared" si="15"/>
        <v>26064</v>
      </c>
      <c r="L12" s="14">
        <f t="shared" si="9"/>
        <v>5212.8</v>
      </c>
      <c r="M12" s="82">
        <f>59739.689-59620.328</f>
        <v>119.36099999999715</v>
      </c>
      <c r="N12" s="82">
        <f>3986.534-3985.567</f>
        <v>0.96700000000009823</v>
      </c>
      <c r="O12" s="82">
        <f>9272.814-9272.095</f>
        <v>0.71900000000096043</v>
      </c>
      <c r="P12" s="81">
        <f>80431.773-80369.686</f>
        <v>62.086999999999534</v>
      </c>
      <c r="Q12" s="82">
        <f>22353.179-22344.792</f>
        <v>8.3869999999988067</v>
      </c>
      <c r="R12" s="82">
        <f t="shared" si="0"/>
        <v>63.773000000000593</v>
      </c>
      <c r="S12" s="82">
        <f t="shared" si="1"/>
        <v>499.98032000000467</v>
      </c>
      <c r="T12" s="82">
        <f t="shared" si="2"/>
        <v>127.74799999999595</v>
      </c>
      <c r="U12" s="82">
        <f t="shared" si="16"/>
        <v>1001.5443199999683</v>
      </c>
      <c r="V12" s="82">
        <f>321040.8-320900.3</f>
        <v>140.5</v>
      </c>
      <c r="W12" s="82">
        <f>129298.74-129298.74</f>
        <v>0</v>
      </c>
      <c r="X12" s="85" t="s">
        <v>63</v>
      </c>
      <c r="Y12" s="5">
        <v>778772</v>
      </c>
      <c r="Z12" s="5">
        <f t="shared" si="10"/>
        <v>441</v>
      </c>
      <c r="AA12" s="14">
        <f t="shared" si="7"/>
        <v>2853.27</v>
      </c>
      <c r="AB12" s="86">
        <v>2744039.7</v>
      </c>
      <c r="AC12" s="85">
        <f t="shared" si="11"/>
        <v>2734338.7</v>
      </c>
      <c r="AD12" s="5">
        <f t="shared" si="4"/>
        <v>9701</v>
      </c>
      <c r="AE12" s="82">
        <f t="shared" si="12"/>
        <v>3234.4589150000002</v>
      </c>
      <c r="AF12" s="126">
        <f>82392.8-82374.8</f>
        <v>18</v>
      </c>
      <c r="AG12" s="126">
        <f>42960-42954.2</f>
        <v>5.8000000000029104</v>
      </c>
      <c r="AH12" s="126">
        <f>25896.7-25890.4</f>
        <v>6.2999999999992724</v>
      </c>
      <c r="AI12" s="86">
        <f t="shared" si="13"/>
        <v>40551.9</v>
      </c>
      <c r="AJ12" s="86">
        <v>40564.699999999997</v>
      </c>
      <c r="AK12" s="48">
        <f t="shared" si="8"/>
        <v>12.799999999995634</v>
      </c>
      <c r="AL12" s="88">
        <f t="shared" si="5"/>
        <v>3639.6177419507585</v>
      </c>
      <c r="AM12" s="82">
        <f t="shared" si="14"/>
        <v>1213.5031494325121</v>
      </c>
      <c r="AN12" s="5">
        <v>87</v>
      </c>
      <c r="AO12" s="77">
        <f t="shared" si="6"/>
        <v>12302.073234999967</v>
      </c>
    </row>
    <row r="13" spans="1:44" x14ac:dyDescent="0.25">
      <c r="A13" s="78">
        <v>44235</v>
      </c>
      <c r="B13" s="9">
        <f>11345914-11341251</f>
        <v>4663</v>
      </c>
      <c r="C13" s="85">
        <f>7262545-7260310</f>
        <v>2235</v>
      </c>
      <c r="D13" s="85">
        <f>1388731-1387772</f>
        <v>959</v>
      </c>
      <c r="E13" s="85">
        <f>10761308-10756195</f>
        <v>5113</v>
      </c>
      <c r="F13" s="85">
        <f>10586008-10580500</f>
        <v>5508</v>
      </c>
      <c r="G13" s="85">
        <f>7861450-7858893</f>
        <v>2557</v>
      </c>
      <c r="H13" s="85">
        <f>7737629-7734146</f>
        <v>3483</v>
      </c>
      <c r="I13" s="85">
        <f>4830165-4827780</f>
        <v>2385</v>
      </c>
      <c r="J13" s="85">
        <f>10481630-10474682</f>
        <v>6948</v>
      </c>
      <c r="K13" s="85">
        <f t="shared" si="15"/>
        <v>24518</v>
      </c>
      <c r="L13" s="14">
        <f t="shared" si="9"/>
        <v>4903.6000000000004</v>
      </c>
      <c r="M13" s="82">
        <f>59836.557-59739.689</f>
        <v>96.868000000002212</v>
      </c>
      <c r="N13" s="82">
        <f>3988.619-3986.534</f>
        <v>2.0850000000000364</v>
      </c>
      <c r="O13" s="82">
        <f>9274.167-9272.814</f>
        <v>1.352999999999156</v>
      </c>
      <c r="P13" s="81">
        <f>80501.646-80431.773</f>
        <v>69.872999999992317</v>
      </c>
      <c r="Q13" s="82">
        <f>22363.417-22353.179</f>
        <v>10.238000000001193</v>
      </c>
      <c r="R13" s="82">
        <f t="shared" si="0"/>
        <v>73.310999999991509</v>
      </c>
      <c r="S13" s="82">
        <f t="shared" si="1"/>
        <v>574.75823999993338</v>
      </c>
      <c r="T13" s="82">
        <f t="shared" si="2"/>
        <v>107.10600000000341</v>
      </c>
      <c r="U13" s="82">
        <f t="shared" si="16"/>
        <v>839.71104000002663</v>
      </c>
      <c r="V13" s="82">
        <f>321295.8-321040.8</f>
        <v>255</v>
      </c>
      <c r="W13" s="82">
        <f>129298.74-129298.74</f>
        <v>0</v>
      </c>
      <c r="X13" s="85" t="s">
        <v>63</v>
      </c>
      <c r="Y13" s="5">
        <v>779311</v>
      </c>
      <c r="Z13" s="5">
        <f t="shared" si="10"/>
        <v>539</v>
      </c>
      <c r="AA13" s="14">
        <f t="shared" si="7"/>
        <v>3487.33</v>
      </c>
      <c r="AB13" s="85">
        <v>2754692.9</v>
      </c>
      <c r="AC13" s="85">
        <f t="shared" si="11"/>
        <v>2744039.7</v>
      </c>
      <c r="AD13" s="5">
        <f t="shared" si="4"/>
        <v>10653.199999999721</v>
      </c>
      <c r="AE13" s="82">
        <f t="shared" si="12"/>
        <v>3551.9366779999068</v>
      </c>
      <c r="AF13" s="82">
        <f>82411.7-82392.8</f>
        <v>18.899999999994179</v>
      </c>
      <c r="AG13" s="82">
        <f>42967.5-42960</f>
        <v>7.5</v>
      </c>
      <c r="AH13" s="82">
        <f>25903.3-25896.7</f>
        <v>6.5999999999985448</v>
      </c>
      <c r="AI13" s="86">
        <f t="shared" si="13"/>
        <v>40564.699999999997</v>
      </c>
      <c r="AJ13" s="86">
        <v>40579.599999999999</v>
      </c>
      <c r="AK13" s="48">
        <f t="shared" si="8"/>
        <v>14.900000000001455</v>
      </c>
      <c r="AL13" s="88">
        <f t="shared" si="5"/>
        <v>4236.7425277414131</v>
      </c>
      <c r="AM13" s="82">
        <f t="shared" si="14"/>
        <v>1412.5935098869033</v>
      </c>
      <c r="AN13" s="5">
        <v>100</v>
      </c>
      <c r="AO13" s="77">
        <f t="shared" si="6"/>
        <v>12782.577717999935</v>
      </c>
    </row>
    <row r="14" spans="1:44" x14ac:dyDescent="0.25">
      <c r="A14" s="78">
        <v>44236</v>
      </c>
      <c r="B14" s="9">
        <f>11351796-11345914</f>
        <v>5882</v>
      </c>
      <c r="C14" s="85">
        <f>7265098-7262545</f>
        <v>2553</v>
      </c>
      <c r="D14" s="85">
        <f>1389687-1388731</f>
        <v>956</v>
      </c>
      <c r="E14" s="85">
        <f>10765801-10761308</f>
        <v>4493</v>
      </c>
      <c r="F14" s="85">
        <f>10591667-10586008</f>
        <v>5659</v>
      </c>
      <c r="G14" s="85">
        <f>7864079-7861450</f>
        <v>2629</v>
      </c>
      <c r="H14" s="85">
        <f>7741206-7737629</f>
        <v>3577</v>
      </c>
      <c r="I14" s="85">
        <f>4832525-4830165</f>
        <v>2360</v>
      </c>
      <c r="J14" s="85">
        <f>10488715-10481630</f>
        <v>7085</v>
      </c>
      <c r="K14" s="85">
        <f t="shared" si="15"/>
        <v>25749</v>
      </c>
      <c r="L14" s="14">
        <f t="shared" si="9"/>
        <v>5149.8</v>
      </c>
      <c r="M14" s="82">
        <f>59954.221-59836.557</f>
        <v>117.66399999999703</v>
      </c>
      <c r="N14" s="82">
        <f>3990.13-3988.619</f>
        <v>1.5109999999999673</v>
      </c>
      <c r="O14" s="82">
        <f>9275.152-9274.167</f>
        <v>0.98500000000058208</v>
      </c>
      <c r="P14" s="81">
        <f>80568.7-80501.646</f>
        <v>67.054000000003725</v>
      </c>
      <c r="Q14" s="82">
        <f>22363.417-22363.417</f>
        <v>0</v>
      </c>
      <c r="R14" s="82">
        <f>N14+O14+P14</f>
        <v>69.550000000004275</v>
      </c>
      <c r="S14" s="82">
        <f t="shared" si="1"/>
        <v>545.27200000003347</v>
      </c>
      <c r="T14" s="82">
        <f t="shared" si="2"/>
        <v>117.66399999999703</v>
      </c>
      <c r="U14" s="82">
        <f t="shared" si="16"/>
        <v>922.48575999997672</v>
      </c>
      <c r="V14" s="82">
        <f>321597.7-321295.8</f>
        <v>301.90000000002328</v>
      </c>
      <c r="W14" s="82">
        <f>129298.74-129298.74</f>
        <v>0</v>
      </c>
      <c r="X14" s="85" t="s">
        <v>63</v>
      </c>
      <c r="Y14" s="5">
        <v>779898</v>
      </c>
      <c r="Z14" s="5">
        <f>IF((Y14-Y13&lt;0), "0",Y14-Y13)</f>
        <v>587</v>
      </c>
      <c r="AA14" s="14">
        <f t="shared" si="7"/>
        <v>3797.89</v>
      </c>
      <c r="AB14" s="85">
        <v>2765964.3</v>
      </c>
      <c r="AC14" s="85">
        <f t="shared" si="11"/>
        <v>2754692.9</v>
      </c>
      <c r="AD14" s="5">
        <f t="shared" si="4"/>
        <v>11271.399999999907</v>
      </c>
      <c r="AE14" s="82">
        <f t="shared" si="12"/>
        <v>3758.0538309999693</v>
      </c>
      <c r="AF14" s="82">
        <f>82432.1-82411.7</f>
        <v>20.400000000008731</v>
      </c>
      <c r="AG14" s="82">
        <f>42976.6-42967.5</f>
        <v>9.0999999999985448</v>
      </c>
      <c r="AH14" s="82">
        <f>25909.6-25903.3</f>
        <v>6.2999999999992724</v>
      </c>
      <c r="AI14" s="86">
        <f t="shared" si="13"/>
        <v>40579.599999999999</v>
      </c>
      <c r="AJ14" s="86">
        <v>40594.1</v>
      </c>
      <c r="AK14" s="48">
        <f t="shared" si="8"/>
        <v>14.5</v>
      </c>
      <c r="AL14" s="88">
        <f t="shared" si="5"/>
        <v>4123.0044733049999</v>
      </c>
      <c r="AM14" s="82">
        <f t="shared" si="14"/>
        <v>1374.6715364669867</v>
      </c>
      <c r="AN14" s="5">
        <v>88</v>
      </c>
      <c r="AO14" s="77">
        <f t="shared" si="6"/>
        <v>13628.229590999945</v>
      </c>
    </row>
    <row r="15" spans="1:44" x14ac:dyDescent="0.25">
      <c r="A15" s="78">
        <v>44237</v>
      </c>
      <c r="B15" s="9">
        <f>11356668-11351796</f>
        <v>4872</v>
      </c>
      <c r="C15" s="85">
        <f>7267560-7265098</f>
        <v>2462</v>
      </c>
      <c r="D15" s="85">
        <f>1390567-1389687</f>
        <v>880</v>
      </c>
      <c r="E15" s="85">
        <f>10770336-10765801</f>
        <v>4535</v>
      </c>
      <c r="F15" s="85">
        <f>10597501-10591667</f>
        <v>5834</v>
      </c>
      <c r="G15" s="85">
        <f>7866710-7864079</f>
        <v>2631</v>
      </c>
      <c r="H15" s="85">
        <f>7744820-7741206</f>
        <v>3614</v>
      </c>
      <c r="I15" s="85">
        <f>4834960-4832525</f>
        <v>2435</v>
      </c>
      <c r="J15" s="85">
        <f>10495888-10488715</f>
        <v>7173</v>
      </c>
      <c r="K15" s="85">
        <f t="shared" si="15"/>
        <v>24828</v>
      </c>
      <c r="L15" s="14">
        <f t="shared" si="9"/>
        <v>4965.6000000000004</v>
      </c>
      <c r="M15" s="82">
        <f>60061.237-59954.221</f>
        <v>107.01600000000326</v>
      </c>
      <c r="N15" s="82">
        <f>3991.318-3990.13</f>
        <v>1.1880000000001019</v>
      </c>
      <c r="O15" s="82">
        <f>9275.951-9275.152</f>
        <v>0.79899999999906868</v>
      </c>
      <c r="P15" s="81">
        <f>80638.361-80568.7</f>
        <v>69.661000000007334</v>
      </c>
      <c r="Q15" s="82">
        <f>22363.417-22363.417</f>
        <v>0</v>
      </c>
      <c r="R15" s="82">
        <f t="shared" si="0"/>
        <v>71.648000000006505</v>
      </c>
      <c r="S15" s="82">
        <f t="shared" si="1"/>
        <v>561.72032000005095</v>
      </c>
      <c r="T15" s="82">
        <f t="shared" si="2"/>
        <v>107.01600000000326</v>
      </c>
      <c r="U15" s="82">
        <f t="shared" si="16"/>
        <v>839.00544000002549</v>
      </c>
      <c r="V15" s="82">
        <f>321887.6-321597.7</f>
        <v>289.89999999996508</v>
      </c>
      <c r="W15" s="82">
        <f>129298.74-129298.74</f>
        <v>0</v>
      </c>
      <c r="X15" s="85" t="s">
        <v>63</v>
      </c>
      <c r="Y15" s="5">
        <v>780488</v>
      </c>
      <c r="Z15" s="5">
        <f t="shared" si="10"/>
        <v>590</v>
      </c>
      <c r="AA15" s="14">
        <f t="shared" si="7"/>
        <v>3817.2999999999997</v>
      </c>
      <c r="AB15" s="85">
        <v>2778339.5</v>
      </c>
      <c r="AC15" s="85">
        <f t="shared" ref="AC15:AC20" si="18">AB14</f>
        <v>2765964.3</v>
      </c>
      <c r="AD15" s="5">
        <f t="shared" si="4"/>
        <v>12375.200000000186</v>
      </c>
      <c r="AE15" s="82">
        <f t="shared" si="12"/>
        <v>4126.0773080000627</v>
      </c>
      <c r="AF15" s="82">
        <f>82454-82432.1</f>
        <v>21.899999999994179</v>
      </c>
      <c r="AG15" s="82">
        <f>42984.8-42976.6</f>
        <v>8.2000000000043656</v>
      </c>
      <c r="AH15" s="82">
        <f>25916.7-25909.6</f>
        <v>7.1000000000021828</v>
      </c>
      <c r="AI15" s="86">
        <f t="shared" ref="AI15:AI20" si="19">AJ14</f>
        <v>40594.1</v>
      </c>
      <c r="AJ15" s="86">
        <v>40611.1</v>
      </c>
      <c r="AK15" s="48">
        <f t="shared" si="8"/>
        <v>17</v>
      </c>
      <c r="AL15" s="88">
        <f t="shared" si="5"/>
        <v>4833.8673135299996</v>
      </c>
      <c r="AM15" s="82">
        <f t="shared" si="14"/>
        <v>1611.6838703406049</v>
      </c>
      <c r="AN15" s="5">
        <v>70</v>
      </c>
      <c r="AO15" s="87">
        <f t="shared" si="6"/>
        <v>13747.982748000089</v>
      </c>
    </row>
    <row r="16" spans="1:44" x14ac:dyDescent="0.25">
      <c r="A16" s="78">
        <v>44238</v>
      </c>
      <c r="B16" s="9">
        <f>11361340-11356668</f>
        <v>4672</v>
      </c>
      <c r="C16" s="85">
        <f>7269901-7267560</f>
        <v>2341</v>
      </c>
      <c r="D16" s="85">
        <f>1391488-1390567</f>
        <v>921</v>
      </c>
      <c r="E16" s="85">
        <f>10774875-10770336</f>
        <v>4539</v>
      </c>
      <c r="F16" s="85">
        <f>10603257-10597501</f>
        <v>5756</v>
      </c>
      <c r="G16" s="85">
        <f>7869277-7866710</f>
        <v>2567</v>
      </c>
      <c r="H16" s="85">
        <f>7747354-7744820</f>
        <v>2534</v>
      </c>
      <c r="I16" s="85">
        <f>4837387-4834960</f>
        <v>2427</v>
      </c>
      <c r="J16" s="85">
        <f>10502941-10495888</f>
        <v>7053</v>
      </c>
      <c r="K16" s="85">
        <f t="shared" si="15"/>
        <v>23330</v>
      </c>
      <c r="L16" s="14">
        <f t="shared" si="9"/>
        <v>4666</v>
      </c>
      <c r="M16" s="82">
        <f>60176.588-60061.237</f>
        <v>115.35100000000239</v>
      </c>
      <c r="N16" s="82">
        <f>3992.581-3991.318</f>
        <v>1.26299999999992</v>
      </c>
      <c r="O16" s="82">
        <f>9276.58-9275.951</f>
        <v>0.62900000000081491</v>
      </c>
      <c r="P16" s="81">
        <f>80706.421-80638.361</f>
        <v>68.059999999997672</v>
      </c>
      <c r="Q16" s="82">
        <f>22370.705-22363.417</f>
        <v>7.2880000000004657</v>
      </c>
      <c r="R16" s="82">
        <f t="shared" si="0"/>
        <v>69.951999999998407</v>
      </c>
      <c r="S16" s="82">
        <f t="shared" si="1"/>
        <v>548.42367999998748</v>
      </c>
      <c r="T16" s="82">
        <f t="shared" si="2"/>
        <v>122.63900000000285</v>
      </c>
      <c r="U16" s="82">
        <f t="shared" si="16"/>
        <v>961.48976000002233</v>
      </c>
      <c r="V16" s="82">
        <f>322172.5-321887.6</f>
        <v>284.90000000002328</v>
      </c>
      <c r="W16" s="82">
        <f t="shared" ref="W16:W17" si="20">129298.74-129298.74</f>
        <v>0</v>
      </c>
      <c r="X16" s="85" t="s">
        <v>63</v>
      </c>
      <c r="Y16" s="5">
        <v>781070</v>
      </c>
      <c r="Z16" s="5">
        <f t="shared" si="10"/>
        <v>582</v>
      </c>
      <c r="AA16" s="14">
        <f t="shared" si="7"/>
        <v>3765.54</v>
      </c>
      <c r="AB16" s="85">
        <v>2789826.5</v>
      </c>
      <c r="AC16" s="85">
        <f t="shared" si="18"/>
        <v>2778339.5</v>
      </c>
      <c r="AD16" s="5">
        <f t="shared" si="4"/>
        <v>11487</v>
      </c>
      <c r="AE16" s="82">
        <f t="shared" si="12"/>
        <v>3829.9381050000002</v>
      </c>
      <c r="AF16" s="82">
        <f>82474.2-82454</f>
        <v>20.19999999999709</v>
      </c>
      <c r="AG16" s="82">
        <f>42991.9-42984.8</f>
        <v>7.0999999999985448</v>
      </c>
      <c r="AH16" s="82">
        <f>25923.7-25916.7</f>
        <v>7</v>
      </c>
      <c r="AI16" s="86">
        <f t="shared" si="19"/>
        <v>40611.1</v>
      </c>
      <c r="AJ16" s="86">
        <v>40627.800000000003</v>
      </c>
      <c r="AK16" s="48">
        <f t="shared" si="8"/>
        <v>16.700000000004366</v>
      </c>
      <c r="AL16" s="88">
        <f t="shared" si="5"/>
        <v>4748.5637727042413</v>
      </c>
      <c r="AM16" s="82">
        <f t="shared" si="14"/>
        <v>1583.2423902761848</v>
      </c>
      <c r="AN16" s="5">
        <v>77</v>
      </c>
      <c r="AO16" s="77">
        <f t="shared" si="6"/>
        <v>13222.967865000024</v>
      </c>
    </row>
    <row r="17" spans="1:41" x14ac:dyDescent="0.25">
      <c r="A17" s="78">
        <v>44239</v>
      </c>
      <c r="B17" s="9">
        <f>11366021-11361340</f>
        <v>4681</v>
      </c>
      <c r="C17" s="85">
        <f>7272246-7269901</f>
        <v>2345</v>
      </c>
      <c r="D17" s="85">
        <f>1392405-1391488</f>
        <v>917</v>
      </c>
      <c r="E17" s="85">
        <f>10779457-10774875</f>
        <v>4582</v>
      </c>
      <c r="F17" s="85">
        <f>10609175-10603257</f>
        <v>5918</v>
      </c>
      <c r="G17" s="85">
        <f>7871903-7869277</f>
        <v>2626</v>
      </c>
      <c r="H17" s="85">
        <f>7751882-7747354</f>
        <v>4528</v>
      </c>
      <c r="I17" s="85">
        <f>4839689-4837387</f>
        <v>2302</v>
      </c>
      <c r="J17" s="85">
        <f>10510222-10502941</f>
        <v>7281</v>
      </c>
      <c r="K17" s="85">
        <f t="shared" si="15"/>
        <v>25597</v>
      </c>
      <c r="L17" s="14">
        <f t="shared" si="9"/>
        <v>5119.4000000000005</v>
      </c>
      <c r="M17" s="82">
        <f>60305.711-60176.588</f>
        <v>129.12299999999959</v>
      </c>
      <c r="N17" s="82">
        <f>3993.354-3992.581</f>
        <v>0.7729999999996835</v>
      </c>
      <c r="O17" s="82">
        <f>9277.154-9276.58</f>
        <v>0.57400000000052387</v>
      </c>
      <c r="P17" s="81">
        <f>80786.147-80706.421</f>
        <v>79.725999999995111</v>
      </c>
      <c r="Q17" s="82">
        <f>22379.308-22370.705</f>
        <v>8.602999999999156</v>
      </c>
      <c r="R17" s="82">
        <f t="shared" si="0"/>
        <v>81.072999999995318</v>
      </c>
      <c r="S17" s="82">
        <f t="shared" si="1"/>
        <v>635.61231999996323</v>
      </c>
      <c r="T17" s="82">
        <f t="shared" si="2"/>
        <v>137.72599999999875</v>
      </c>
      <c r="U17" s="82">
        <f t="shared" si="16"/>
        <v>1079.7718399999901</v>
      </c>
      <c r="V17" s="82">
        <f>322484.3-322172.5</f>
        <v>311.79999999998836</v>
      </c>
      <c r="W17" s="82">
        <f t="shared" si="20"/>
        <v>0</v>
      </c>
      <c r="X17" s="85" t="s">
        <v>63</v>
      </c>
      <c r="Y17" s="5">
        <v>781742</v>
      </c>
      <c r="Z17" s="5">
        <f t="shared" si="10"/>
        <v>672</v>
      </c>
      <c r="AA17" s="14">
        <f t="shared" si="7"/>
        <v>4347.84</v>
      </c>
      <c r="AB17" s="86">
        <v>2800994</v>
      </c>
      <c r="AC17" s="85">
        <f t="shared" si="18"/>
        <v>2789826.5</v>
      </c>
      <c r="AD17" s="5">
        <f t="shared" si="4"/>
        <v>11167.5</v>
      </c>
      <c r="AE17" s="82">
        <f t="shared" si="12"/>
        <v>3723.4120125000004</v>
      </c>
      <c r="AF17" s="82">
        <f>82494.3-82474.2</f>
        <v>20.100000000005821</v>
      </c>
      <c r="AG17" s="82">
        <f>42998.9-42991.9</f>
        <v>7</v>
      </c>
      <c r="AH17" s="82">
        <f>25930.3-25923.7</f>
        <v>6.5999999999985448</v>
      </c>
      <c r="AI17" s="86">
        <f t="shared" si="19"/>
        <v>40627.800000000003</v>
      </c>
      <c r="AJ17" s="86">
        <v>40643.599999999999</v>
      </c>
      <c r="AK17" s="48">
        <f t="shared" si="8"/>
        <v>15.799999999995634</v>
      </c>
      <c r="AL17" s="88">
        <f t="shared" si="5"/>
        <v>4492.6531502207581</v>
      </c>
      <c r="AM17" s="82">
        <f t="shared" si="14"/>
        <v>1497.9179500808541</v>
      </c>
      <c r="AN17" s="5">
        <v>106</v>
      </c>
      <c r="AO17" s="77">
        <f t="shared" si="6"/>
        <v>14270.423852499993</v>
      </c>
    </row>
    <row r="18" spans="1:41" x14ac:dyDescent="0.25">
      <c r="A18" s="78">
        <v>44240</v>
      </c>
      <c r="B18" s="9">
        <f>11370780-11366021</f>
        <v>4759</v>
      </c>
      <c r="C18" s="85">
        <f>7274768-7272246</f>
        <v>2522</v>
      </c>
      <c r="D18" s="85">
        <f>1393302-1392405</f>
        <v>897</v>
      </c>
      <c r="E18" s="85">
        <f>10784164-10779457</f>
        <v>4707</v>
      </c>
      <c r="F18" s="85">
        <f>10614999-10609175</f>
        <v>5824</v>
      </c>
      <c r="G18" s="85">
        <f>7874653-7871903</f>
        <v>2750</v>
      </c>
      <c r="H18" s="85">
        <f>7755491-7751882</f>
        <v>3609</v>
      </c>
      <c r="I18" s="85">
        <f>4842113-4839689</f>
        <v>2424</v>
      </c>
      <c r="J18" s="85">
        <f>10517244-10510222</f>
        <v>7022</v>
      </c>
      <c r="K18" s="85">
        <f t="shared" si="15"/>
        <v>25068</v>
      </c>
      <c r="L18" s="14">
        <f t="shared" si="9"/>
        <v>5013.6000000000004</v>
      </c>
      <c r="M18" s="82">
        <f>60429.954-60305.711</f>
        <v>124.24299999999494</v>
      </c>
      <c r="N18" s="82">
        <f>3994.622-3993.354</f>
        <v>1.2680000000000291</v>
      </c>
      <c r="O18" s="82">
        <f>9277.73-9277.154</f>
        <v>0.57599999999911233</v>
      </c>
      <c r="P18" s="81">
        <f>80859.923-80786.147</f>
        <v>73.775999999998021</v>
      </c>
      <c r="Q18" s="82">
        <f>22389.693-22379.308</f>
        <v>10.384999999998399</v>
      </c>
      <c r="R18" s="82">
        <f t="shared" si="0"/>
        <v>75.619999999997162</v>
      </c>
      <c r="S18" s="82">
        <f t="shared" si="1"/>
        <v>592.86079999997776</v>
      </c>
      <c r="T18" s="82">
        <f t="shared" si="2"/>
        <v>134.62799999999334</v>
      </c>
      <c r="U18" s="82">
        <f t="shared" si="16"/>
        <v>1055.4835199999477</v>
      </c>
      <c r="V18" s="82">
        <f>322789.7-322484.3</f>
        <v>305.40000000002328</v>
      </c>
      <c r="W18" s="82">
        <f t="shared" ref="W18:W33" si="21">129298.74-129298.74</f>
        <v>0</v>
      </c>
      <c r="X18" s="85" t="s">
        <v>63</v>
      </c>
      <c r="Y18" s="5">
        <v>782355</v>
      </c>
      <c r="Z18" s="5">
        <f t="shared" si="10"/>
        <v>613</v>
      </c>
      <c r="AA18" s="14">
        <f t="shared" si="7"/>
        <v>3966.1099999999997</v>
      </c>
      <c r="AB18" s="85">
        <v>2811778.4</v>
      </c>
      <c r="AC18" s="85">
        <f t="shared" si="18"/>
        <v>2800994</v>
      </c>
      <c r="AD18" s="5">
        <f t="shared" si="4"/>
        <v>10784.399999999907</v>
      </c>
      <c r="AE18" s="82">
        <f t="shared" si="12"/>
        <v>3595.6807259999691</v>
      </c>
      <c r="AF18" s="81">
        <f>82513.9-82494.3</f>
        <v>19.599999999991269</v>
      </c>
      <c r="AG18" s="81">
        <f>43005.7-42998.9</f>
        <v>6.7999999999956344</v>
      </c>
      <c r="AH18" s="81">
        <f>25936.5-25930.3</f>
        <v>6.2000000000007276</v>
      </c>
      <c r="AI18" s="86">
        <f t="shared" si="19"/>
        <v>40643.599999999999</v>
      </c>
      <c r="AJ18" s="86">
        <v>40659.4</v>
      </c>
      <c r="AK18" s="48">
        <f t="shared" si="8"/>
        <v>15.80000000000291</v>
      </c>
      <c r="AL18" s="88">
        <f t="shared" si="5"/>
        <v>4492.6531502228272</v>
      </c>
      <c r="AM18" s="82">
        <f t="shared" si="14"/>
        <v>1497.9179500815439</v>
      </c>
      <c r="AN18" s="5">
        <v>109</v>
      </c>
      <c r="AO18" s="77">
        <f t="shared" si="6"/>
        <v>13630.874245999918</v>
      </c>
    </row>
    <row r="19" spans="1:41" x14ac:dyDescent="0.25">
      <c r="A19" s="78">
        <v>44241</v>
      </c>
      <c r="B19" s="9">
        <f>11375728-11370780</f>
        <v>4948</v>
      </c>
      <c r="C19" s="85">
        <f>7277338-7274768</f>
        <v>2570</v>
      </c>
      <c r="D19" s="85">
        <f>1394251-1393302</f>
        <v>949</v>
      </c>
      <c r="E19" s="85">
        <f>10788704-10784164</f>
        <v>4540</v>
      </c>
      <c r="F19" s="85">
        <f>10620783-10614999</f>
        <v>5784</v>
      </c>
      <c r="G19" s="85">
        <f>7877399-7874653</f>
        <v>2746</v>
      </c>
      <c r="H19" s="85">
        <f>7759074-7755491</f>
        <v>3583</v>
      </c>
      <c r="I19" s="85">
        <f>4844557-4842113</f>
        <v>2444</v>
      </c>
      <c r="J19" s="85">
        <f>10524452-10517244</f>
        <v>7208</v>
      </c>
      <c r="K19" s="85">
        <f t="shared" si="15"/>
        <v>25120</v>
      </c>
      <c r="L19" s="14">
        <f t="shared" si="9"/>
        <v>5024</v>
      </c>
      <c r="M19" s="82">
        <f>60568.015-60429.954</f>
        <v>138.06100000000151</v>
      </c>
      <c r="N19" s="82">
        <f>3995.519-3994.622</f>
        <v>0.89699999999993452</v>
      </c>
      <c r="O19" s="82">
        <f>9278.306-9277.73</f>
        <v>0.57600000000093132</v>
      </c>
      <c r="P19" s="81">
        <f>80930.78-80859.923</f>
        <v>70.857000000003609</v>
      </c>
      <c r="Q19" s="82">
        <f>22400-22389.693</f>
        <v>10.307000000000698</v>
      </c>
      <c r="R19" s="82">
        <f t="shared" si="0"/>
        <v>72.330000000004475</v>
      </c>
      <c r="S19" s="82">
        <f t="shared" si="1"/>
        <v>567.06720000003509</v>
      </c>
      <c r="T19" s="82">
        <f t="shared" si="2"/>
        <v>148.36800000000221</v>
      </c>
      <c r="U19" s="82">
        <f t="shared" si="16"/>
        <v>1163.2051200000174</v>
      </c>
      <c r="V19" s="82">
        <f>323101.9-322789.7</f>
        <v>312.20000000001164</v>
      </c>
      <c r="W19" s="82">
        <f t="shared" si="21"/>
        <v>0</v>
      </c>
      <c r="X19" s="85" t="s">
        <v>63</v>
      </c>
      <c r="Y19" s="5">
        <v>782980</v>
      </c>
      <c r="Z19" s="5">
        <f t="shared" si="10"/>
        <v>625</v>
      </c>
      <c r="AA19" s="14">
        <f t="shared" si="7"/>
        <v>4043.75</v>
      </c>
      <c r="AB19" s="85">
        <v>2822859.8</v>
      </c>
      <c r="AC19" s="85">
        <f t="shared" si="18"/>
        <v>2811778.4</v>
      </c>
      <c r="AD19" s="5">
        <f t="shared" si="4"/>
        <v>11081.399999999907</v>
      </c>
      <c r="AE19" s="82">
        <f t="shared" si="12"/>
        <v>3694.7049809999689</v>
      </c>
      <c r="AF19" s="82">
        <f>82534-82513.9</f>
        <v>20.100000000005821</v>
      </c>
      <c r="AG19" s="82">
        <f>43013-43005.7</f>
        <v>7.3000000000029104</v>
      </c>
      <c r="AH19" s="82">
        <f>25943-25936.5</f>
        <v>6.5</v>
      </c>
      <c r="AI19" s="86">
        <f t="shared" si="19"/>
        <v>40659.4</v>
      </c>
      <c r="AJ19" s="86">
        <v>40674.800000000003</v>
      </c>
      <c r="AK19" s="48">
        <f t="shared" si="8"/>
        <v>15.400000000001455</v>
      </c>
      <c r="AL19" s="88">
        <f t="shared" si="5"/>
        <v>4378.9150957864131</v>
      </c>
      <c r="AM19" s="82">
        <f t="shared" si="14"/>
        <v>1459.9959766616271</v>
      </c>
      <c r="AN19" s="5">
        <v>99</v>
      </c>
      <c r="AO19" s="77">
        <f t="shared" si="6"/>
        <v>13925.660100999987</v>
      </c>
    </row>
    <row r="20" spans="1:41" x14ac:dyDescent="0.25">
      <c r="A20" s="78">
        <v>44242</v>
      </c>
      <c r="B20" s="9">
        <f>11380503-11375728</f>
        <v>4775</v>
      </c>
      <c r="C20" s="85">
        <f>7279654-7277338</f>
        <v>2316</v>
      </c>
      <c r="D20" s="85">
        <f>1395130-1394251</f>
        <v>879</v>
      </c>
      <c r="E20" s="85">
        <f>10793362-10788704</f>
        <v>4658</v>
      </c>
      <c r="F20" s="85">
        <f>10626490-10620783</f>
        <v>5707</v>
      </c>
      <c r="G20" s="85">
        <f>7880096-7877399</f>
        <v>2697</v>
      </c>
      <c r="H20" s="85">
        <f>7762628-7759074</f>
        <v>3554</v>
      </c>
      <c r="I20" s="85">
        <f>4846997-4844557</f>
        <v>2440</v>
      </c>
      <c r="J20" s="85">
        <f>10531421-10524452</f>
        <v>6969</v>
      </c>
      <c r="K20" s="85">
        <f t="shared" si="15"/>
        <v>24586</v>
      </c>
      <c r="L20" s="14">
        <f t="shared" si="9"/>
        <v>4917.2000000000007</v>
      </c>
      <c r="M20" s="82">
        <f>60682.575-60568.015</f>
        <v>114.55999999999767</v>
      </c>
      <c r="N20" s="82">
        <f>3996.872-3995.519</f>
        <v>1.3530000000000655</v>
      </c>
      <c r="O20" s="82">
        <f>9278.925-9278.306</f>
        <v>0.61899999999877764</v>
      </c>
      <c r="P20" s="81">
        <f>80995.498-80930.78</f>
        <v>64.718000000008033</v>
      </c>
      <c r="Q20" s="82">
        <f>22410.098-22400</f>
        <v>10.098000000001775</v>
      </c>
      <c r="R20" s="82">
        <f t="shared" si="0"/>
        <v>66.690000000006876</v>
      </c>
      <c r="S20" s="82">
        <f t="shared" si="1"/>
        <v>522.8496000000539</v>
      </c>
      <c r="T20" s="82">
        <f t="shared" si="2"/>
        <v>124.65799999999945</v>
      </c>
      <c r="U20" s="82">
        <f t="shared" si="16"/>
        <v>977.31871999999566</v>
      </c>
      <c r="V20" s="82">
        <f>323389.5-323101.9</f>
        <v>287.59999999997672</v>
      </c>
      <c r="W20" s="82">
        <f t="shared" si="21"/>
        <v>0</v>
      </c>
      <c r="X20" s="85" t="s">
        <v>63</v>
      </c>
      <c r="Y20" s="5">
        <v>783559</v>
      </c>
      <c r="Z20" s="5">
        <f t="shared" si="10"/>
        <v>579</v>
      </c>
      <c r="AA20" s="14">
        <f t="shared" si="7"/>
        <v>3746.1299999999997</v>
      </c>
      <c r="AB20" s="85">
        <v>2833442.1</v>
      </c>
      <c r="AC20" s="85">
        <f t="shared" si="18"/>
        <v>2822859.8</v>
      </c>
      <c r="AD20" s="5">
        <f t="shared" si="4"/>
        <v>10582.300000000279</v>
      </c>
      <c r="AE20" s="82">
        <f t="shared" si="12"/>
        <v>3528.2975545000932</v>
      </c>
      <c r="AF20" s="82">
        <f>82553-82534</f>
        <v>19</v>
      </c>
      <c r="AG20" s="82">
        <f>43019.9-43013</f>
        <v>6.9000000000014552</v>
      </c>
      <c r="AH20" s="82">
        <f>40689.7-40674.8</f>
        <v>14.899999999994179</v>
      </c>
      <c r="AI20" s="86">
        <f t="shared" si="19"/>
        <v>40674.800000000003</v>
      </c>
      <c r="AJ20" s="86">
        <v>40689.699999999997</v>
      </c>
      <c r="AK20" s="48">
        <f t="shared" si="8"/>
        <v>14.899999999994179</v>
      </c>
      <c r="AL20" s="88">
        <f t="shared" si="5"/>
        <v>4236.742527739345</v>
      </c>
      <c r="AM20" s="82">
        <f t="shared" si="14"/>
        <v>1412.5935098862137</v>
      </c>
      <c r="AN20" s="5">
        <v>103</v>
      </c>
      <c r="AO20" s="77">
        <f t="shared" si="6"/>
        <v>13168.946274500089</v>
      </c>
    </row>
    <row r="21" spans="1:41" x14ac:dyDescent="0.25">
      <c r="A21" s="78">
        <v>44243</v>
      </c>
      <c r="B21" s="9">
        <f>11385219-11380503</f>
        <v>4716</v>
      </c>
      <c r="C21" s="85">
        <f>7282692-7279654</f>
        <v>3038</v>
      </c>
      <c r="D21" s="85">
        <f>1396047-1395130</f>
        <v>917</v>
      </c>
      <c r="E21" s="85">
        <f>10798017-10793362</f>
        <v>4655</v>
      </c>
      <c r="F21" s="85">
        <f>10632296-10626490</f>
        <v>5806</v>
      </c>
      <c r="G21" s="85">
        <f>7882910-7880096</f>
        <v>2814</v>
      </c>
      <c r="H21" s="85">
        <f>7766208-7762628</f>
        <v>3580</v>
      </c>
      <c r="I21" s="85">
        <f>4849462-4846997</f>
        <v>2465</v>
      </c>
      <c r="J21" s="85">
        <f>10538519-10531421</f>
        <v>7098</v>
      </c>
      <c r="K21" s="85">
        <f t="shared" si="15"/>
        <v>25526</v>
      </c>
      <c r="L21" s="14">
        <f t="shared" si="9"/>
        <v>5105.2000000000007</v>
      </c>
      <c r="M21" s="82">
        <f>60820.219-60682.575</f>
        <v>137.64400000000023</v>
      </c>
      <c r="N21" s="82">
        <f>3997.75-3996.872</f>
        <v>0.87800000000015643</v>
      </c>
      <c r="O21" s="82">
        <f>9279.388-9278.925</f>
        <v>0.46300000000155705</v>
      </c>
      <c r="P21" s="81">
        <f>81061.175-80995.498</f>
        <v>65.676999999996042</v>
      </c>
      <c r="Q21" s="82">
        <f>22420.386-22410.098</f>
        <v>10.287999999996828</v>
      </c>
      <c r="R21" s="82">
        <f t="shared" si="0"/>
        <v>67.017999999997755</v>
      </c>
      <c r="S21" s="82">
        <f t="shared" si="1"/>
        <v>525.42111999998235</v>
      </c>
      <c r="T21" s="82">
        <f t="shared" si="2"/>
        <v>147.93199999999706</v>
      </c>
      <c r="U21" s="82">
        <f t="shared" si="16"/>
        <v>1159.7868799999769</v>
      </c>
      <c r="V21" s="82">
        <f>323696.3-323389.5</f>
        <v>306.79999999998836</v>
      </c>
      <c r="W21" s="82">
        <f t="shared" si="21"/>
        <v>0</v>
      </c>
      <c r="X21" s="85" t="s">
        <v>63</v>
      </c>
      <c r="Y21" s="5">
        <v>784166</v>
      </c>
      <c r="Z21" s="5">
        <f t="shared" si="10"/>
        <v>607</v>
      </c>
      <c r="AA21" s="14">
        <f t="shared" si="7"/>
        <v>3927.29</v>
      </c>
      <c r="AB21" s="85">
        <v>2844570.1</v>
      </c>
      <c r="AC21" s="85">
        <f>AB20</f>
        <v>2833442.1</v>
      </c>
      <c r="AD21" s="5">
        <f t="shared" si="4"/>
        <v>11128</v>
      </c>
      <c r="AE21" s="82">
        <f t="shared" si="12"/>
        <v>3710.2421200000003</v>
      </c>
      <c r="AF21" s="82">
        <f>82573.2-82553</f>
        <v>20.19999999999709</v>
      </c>
      <c r="AG21" s="82">
        <f>43027.8-43019.9</f>
        <v>7.9000000000014552</v>
      </c>
      <c r="AH21" s="82">
        <f>25956.3-25949.7</f>
        <v>6.5999999999985448</v>
      </c>
      <c r="AI21" s="86">
        <f>AJ20</f>
        <v>40689.699999999997</v>
      </c>
      <c r="AJ21" s="86">
        <v>40705.4</v>
      </c>
      <c r="AK21" s="48">
        <f t="shared" si="8"/>
        <v>15.700000000004366</v>
      </c>
      <c r="AL21" s="88">
        <f t="shared" si="5"/>
        <v>4464.2186366142414</v>
      </c>
      <c r="AM21" s="82">
        <f t="shared" si="14"/>
        <v>1488.4374567267373</v>
      </c>
      <c r="AN21" s="5">
        <v>108</v>
      </c>
      <c r="AO21" s="77">
        <f t="shared" si="6"/>
        <v>13902.518999999978</v>
      </c>
    </row>
    <row r="22" spans="1:41" x14ac:dyDescent="0.25">
      <c r="A22" s="78">
        <v>44244</v>
      </c>
      <c r="B22" s="9">
        <f>11389873-11385219</f>
        <v>4654</v>
      </c>
      <c r="C22" s="85">
        <f>7285755-7282692</f>
        <v>3063</v>
      </c>
      <c r="D22" s="85">
        <f>1396938-1396047</f>
        <v>891</v>
      </c>
      <c r="E22" s="85">
        <f>10802808-10798017</f>
        <v>4791</v>
      </c>
      <c r="F22" s="85">
        <f>10638107-10632296</f>
        <v>5811</v>
      </c>
      <c r="G22" s="85">
        <f>7885688-7882910</f>
        <v>2778</v>
      </c>
      <c r="H22" s="85">
        <f>7769785-7766208</f>
        <v>3577</v>
      </c>
      <c r="I22" s="85">
        <f>4851952-4849462</f>
        <v>2490</v>
      </c>
      <c r="J22" s="85">
        <f>10545523-10538519</f>
        <v>7004</v>
      </c>
      <c r="K22" s="85">
        <f t="shared" si="15"/>
        <v>25565</v>
      </c>
      <c r="L22" s="14">
        <f t="shared" si="9"/>
        <v>5113</v>
      </c>
      <c r="M22" s="82">
        <f>60956.689-60820.219</f>
        <v>136.47000000000116</v>
      </c>
      <c r="N22" s="82">
        <f>3998.697-3997.75</f>
        <v>0.94700000000011642</v>
      </c>
      <c r="O22" s="82">
        <f>9279.912-9279.388</f>
        <v>0.52399999999943248</v>
      </c>
      <c r="P22" s="81">
        <f>81132.203-81061.175</f>
        <v>71.027999999991152</v>
      </c>
      <c r="Q22" s="82">
        <f>22430.622-22420.386</f>
        <v>10.236000000000786</v>
      </c>
      <c r="R22" s="82">
        <f t="shared" si="0"/>
        <v>72.498999999990701</v>
      </c>
      <c r="S22" s="82">
        <f t="shared" si="1"/>
        <v>568.39215999992712</v>
      </c>
      <c r="T22" s="82">
        <f t="shared" si="2"/>
        <v>146.70600000000195</v>
      </c>
      <c r="U22" s="82">
        <f t="shared" si="16"/>
        <v>1150.1750400000153</v>
      </c>
      <c r="V22" s="82">
        <f>324003.4-323696.3</f>
        <v>307.10000000003492</v>
      </c>
      <c r="W22" s="82">
        <f t="shared" si="21"/>
        <v>0</v>
      </c>
      <c r="X22" s="85" t="s">
        <v>63</v>
      </c>
      <c r="Y22" s="5">
        <v>784754</v>
      </c>
      <c r="Z22" s="5">
        <f t="shared" si="10"/>
        <v>588</v>
      </c>
      <c r="AA22" s="14">
        <f t="shared" si="7"/>
        <v>3804.3599999999997</v>
      </c>
      <c r="AB22" s="85">
        <v>2856837.8</v>
      </c>
      <c r="AC22" s="85">
        <f>AB21</f>
        <v>2844570.1</v>
      </c>
      <c r="AD22" s="5">
        <f t="shared" si="4"/>
        <v>12267.699999999721</v>
      </c>
      <c r="AE22" s="82">
        <f t="shared" si="12"/>
        <v>4090.2351954999071</v>
      </c>
      <c r="AF22" s="82">
        <f>82595.3-82573.2</f>
        <v>22.100000000005821</v>
      </c>
      <c r="AG22" s="82">
        <f>43036.8-43027.8</f>
        <v>9</v>
      </c>
      <c r="AH22" s="82">
        <f>25963.5-25956.3</f>
        <v>7.2000000000007276</v>
      </c>
      <c r="AI22" s="86">
        <f>AJ21</f>
        <v>40705.4</v>
      </c>
      <c r="AJ22" s="86">
        <v>40721.5</v>
      </c>
      <c r="AK22" s="48">
        <f t="shared" si="8"/>
        <v>16.099999999998545</v>
      </c>
      <c r="AL22" s="88">
        <f t="shared" si="5"/>
        <v>4577.9566910485855</v>
      </c>
      <c r="AM22" s="82">
        <f t="shared" si="14"/>
        <v>1526.3594301459643</v>
      </c>
      <c r="AN22" s="5">
        <v>101</v>
      </c>
      <c r="AO22" s="77">
        <f t="shared" si="6"/>
        <v>14157.770235499922</v>
      </c>
    </row>
    <row r="23" spans="1:41" x14ac:dyDescent="0.25">
      <c r="A23" s="78">
        <v>44245</v>
      </c>
      <c r="B23" s="9">
        <f>11395034-11389873</f>
        <v>5161</v>
      </c>
      <c r="C23" s="85">
        <f>7288856-7285755</f>
        <v>3101</v>
      </c>
      <c r="D23" s="85">
        <f>1397843-1396938</f>
        <v>905</v>
      </c>
      <c r="E23" s="85">
        <f>10807489-10802808</f>
        <v>4681</v>
      </c>
      <c r="F23" s="85">
        <f>10644221-10638107</f>
        <v>6114</v>
      </c>
      <c r="G23" s="85">
        <f>7888485-7885688</f>
        <v>2797</v>
      </c>
      <c r="H23" s="85">
        <f>7773431-7769785</f>
        <v>3646</v>
      </c>
      <c r="I23" s="85">
        <f>4854487-4851952</f>
        <v>2535</v>
      </c>
      <c r="J23" s="85">
        <f>10552629-10545523</f>
        <v>7106</v>
      </c>
      <c r="K23" s="85">
        <f t="shared" si="15"/>
        <v>26405</v>
      </c>
      <c r="L23" s="14">
        <f t="shared" si="9"/>
        <v>5281</v>
      </c>
      <c r="M23" s="82">
        <f>61081.522-60956.689</f>
        <v>124.83299999999872</v>
      </c>
      <c r="N23" s="82">
        <f>3999.892-3998.697</f>
        <v>1.194999999999709</v>
      </c>
      <c r="O23" s="82">
        <f>9280.526-9279.912</f>
        <v>0.61399999999957799</v>
      </c>
      <c r="P23" s="81">
        <f>81204.84-81132.203</f>
        <v>72.637000000002445</v>
      </c>
      <c r="Q23" s="82">
        <f>22441.74-22430.622</f>
        <v>11.118000000002212</v>
      </c>
      <c r="R23" s="82">
        <f t="shared" si="0"/>
        <v>74.446000000001732</v>
      </c>
      <c r="S23" s="82">
        <f t="shared" si="1"/>
        <v>583.65664000001357</v>
      </c>
      <c r="T23" s="82">
        <f t="shared" si="2"/>
        <v>135.95100000000093</v>
      </c>
      <c r="U23" s="82">
        <f t="shared" si="16"/>
        <v>1065.8558400000072</v>
      </c>
      <c r="V23" s="82">
        <f>324291.8-324003.4</f>
        <v>288.39999999996508</v>
      </c>
      <c r="W23" s="82">
        <f t="shared" si="21"/>
        <v>0</v>
      </c>
      <c r="X23" s="85" t="s">
        <v>63</v>
      </c>
      <c r="Y23" s="5">
        <v>785368</v>
      </c>
      <c r="Z23" s="5">
        <f t="shared" si="10"/>
        <v>614</v>
      </c>
      <c r="AA23" s="14">
        <f t="shared" si="7"/>
        <v>3972.58</v>
      </c>
      <c r="AB23" s="85">
        <v>2868963.5</v>
      </c>
      <c r="AC23" s="85">
        <f>AB22</f>
        <v>2856837.8</v>
      </c>
      <c r="AD23" s="5">
        <f t="shared" si="4"/>
        <v>12125.700000000186</v>
      </c>
      <c r="AE23" s="82">
        <f t="shared" si="12"/>
        <v>4042.8902655000625</v>
      </c>
      <c r="AF23" s="82">
        <f>82616.8-82595.3</f>
        <v>21.5</v>
      </c>
      <c r="AG23" s="82">
        <f>43045.8-43036.8</f>
        <v>9</v>
      </c>
      <c r="AH23" s="82">
        <f>25970.8-25963.5</f>
        <v>7.2999999999992724</v>
      </c>
      <c r="AI23" s="86">
        <f>AJ22</f>
        <v>40721.5</v>
      </c>
      <c r="AJ23" s="86">
        <v>40738</v>
      </c>
      <c r="AK23" s="48">
        <f t="shared" si="8"/>
        <v>16.5</v>
      </c>
      <c r="AL23" s="88">
        <f t="shared" si="5"/>
        <v>4691.6947454849997</v>
      </c>
      <c r="AM23" s="82">
        <f t="shared" si="14"/>
        <v>1564.2814035658812</v>
      </c>
      <c r="AN23" s="5">
        <v>106</v>
      </c>
      <c r="AO23" s="77">
        <f t="shared" si="6"/>
        <v>14362.326105500069</v>
      </c>
    </row>
    <row r="24" spans="1:41" x14ac:dyDescent="0.25">
      <c r="A24" s="78">
        <v>44246</v>
      </c>
      <c r="B24" s="9">
        <f>11399850-11395034</f>
        <v>4816</v>
      </c>
      <c r="C24" s="85">
        <f>7291655-7288856</f>
        <v>2799</v>
      </c>
      <c r="D24" s="85">
        <f>1398755-1397843</f>
        <v>912</v>
      </c>
      <c r="E24" s="85">
        <f>10812198-10807489</f>
        <v>4709</v>
      </c>
      <c r="F24" s="85">
        <f>10650378-10644221</f>
        <v>6157</v>
      </c>
      <c r="G24" s="85">
        <f>7891250-7888485</f>
        <v>2765</v>
      </c>
      <c r="H24" s="85">
        <f>7776980-7773431</f>
        <v>3549</v>
      </c>
      <c r="I24" s="85">
        <f>4856915-4854487</f>
        <v>2428</v>
      </c>
      <c r="J24" s="85">
        <f>10559959-10552629</f>
        <v>7330</v>
      </c>
      <c r="K24" s="85">
        <f t="shared" si="15"/>
        <v>25707</v>
      </c>
      <c r="L24" s="14">
        <f t="shared" si="9"/>
        <v>5141.4000000000005</v>
      </c>
      <c r="M24" s="82">
        <f>61236.703-61081.522</f>
        <v>155.18100000000413</v>
      </c>
      <c r="N24" s="82">
        <f>4001.018-3999.892</f>
        <v>1.1260000000002037</v>
      </c>
      <c r="O24" s="82">
        <f>9281.17-9280.526</f>
        <v>0.64400000000023283</v>
      </c>
      <c r="P24" s="81">
        <f>81286.101-81204.84</f>
        <v>81.260999999998603</v>
      </c>
      <c r="Q24" s="82">
        <f>22450.115-22441.74</f>
        <v>8.375</v>
      </c>
      <c r="R24" s="82">
        <f t="shared" si="0"/>
        <v>83.03099999999904</v>
      </c>
      <c r="S24" s="82">
        <f t="shared" si="1"/>
        <v>650.96303999999247</v>
      </c>
      <c r="T24" s="82">
        <f t="shared" si="2"/>
        <v>163.55600000000413</v>
      </c>
      <c r="U24" s="82">
        <f t="shared" si="16"/>
        <v>1282.2790400000324</v>
      </c>
      <c r="V24" s="82">
        <f>324608.7-324291.8</f>
        <v>316.90000000002328</v>
      </c>
      <c r="W24" s="82">
        <f t="shared" si="21"/>
        <v>0</v>
      </c>
      <c r="X24" s="85" t="s">
        <v>63</v>
      </c>
      <c r="Y24" s="5">
        <v>786058</v>
      </c>
      <c r="Z24" s="5">
        <f t="shared" si="10"/>
        <v>690</v>
      </c>
      <c r="AA24" s="14">
        <f t="shared" si="7"/>
        <v>4464.3</v>
      </c>
      <c r="AB24" s="86">
        <v>2881897</v>
      </c>
      <c r="AC24" s="85">
        <f t="shared" ref="AC24:AC25" si="22">AB23</f>
        <v>2868963.5</v>
      </c>
      <c r="AD24" s="5">
        <f t="shared" si="4"/>
        <v>12933.5</v>
      </c>
      <c r="AE24" s="82">
        <f t="shared" si="12"/>
        <v>4312.2229025000006</v>
      </c>
      <c r="AF24" s="82">
        <f>82640.7-82616.8</f>
        <v>23.899999999994179</v>
      </c>
      <c r="AG24" s="82">
        <f>43054.3-43045.8</f>
        <v>8.5</v>
      </c>
      <c r="AH24" s="82">
        <f>25978.2-25970.8</f>
        <v>7.4000000000014552</v>
      </c>
      <c r="AI24" s="86">
        <f t="shared" ref="AI24:AI25" si="23">AJ23</f>
        <v>40738</v>
      </c>
      <c r="AJ24" s="86">
        <v>40755.9</v>
      </c>
      <c r="AK24" s="48">
        <f t="shared" si="8"/>
        <v>17.900000000001455</v>
      </c>
      <c r="AL24" s="88">
        <f t="shared" si="5"/>
        <v>5089.7779360114137</v>
      </c>
      <c r="AM24" s="82">
        <f t="shared" si="14"/>
        <v>1697.0083105352455</v>
      </c>
      <c r="AN24" s="5">
        <v>87</v>
      </c>
      <c r="AO24" s="77">
        <f t="shared" si="6"/>
        <v>15200.201942500033</v>
      </c>
    </row>
    <row r="25" spans="1:41" x14ac:dyDescent="0.25">
      <c r="A25" s="78">
        <v>44247</v>
      </c>
      <c r="B25" s="9">
        <f>11404759-11399850</f>
        <v>4909</v>
      </c>
      <c r="C25" s="85">
        <f>7294437-7291655</f>
        <v>2782</v>
      </c>
      <c r="D25" s="85">
        <f>1399711-1398755</f>
        <v>956</v>
      </c>
      <c r="E25" s="85">
        <f>10817246-10812198</f>
        <v>5048</v>
      </c>
      <c r="F25" s="85">
        <f>10656464-10650378</f>
        <v>6086</v>
      </c>
      <c r="G25" s="85">
        <f>7894032-7891250</f>
        <v>2782</v>
      </c>
      <c r="H25" s="85">
        <f>7780658-7776980</f>
        <v>3678</v>
      </c>
      <c r="I25" s="85">
        <f>4859402-4856915</f>
        <v>2487</v>
      </c>
      <c r="J25" s="85">
        <f>10566906-10559959</f>
        <v>6947</v>
      </c>
      <c r="K25" s="85">
        <f t="shared" si="15"/>
        <v>26241</v>
      </c>
      <c r="L25" s="14">
        <f t="shared" si="9"/>
        <v>5248.2000000000007</v>
      </c>
      <c r="M25" s="82">
        <f>61353.193-61236.703</f>
        <v>116.48999999999796</v>
      </c>
      <c r="N25" s="82">
        <f>4002.213-4001.018</f>
        <v>1.1950000000001637</v>
      </c>
      <c r="O25" s="82">
        <f>9281.883-9281.17</f>
        <v>0.71299999999973807</v>
      </c>
      <c r="P25" s="81">
        <f>81354.731-81286.101</f>
        <v>68.630000000004657</v>
      </c>
      <c r="Q25" s="82">
        <f>22459.514-22450.115</f>
        <v>9.3989999999976135</v>
      </c>
      <c r="R25" s="82">
        <f t="shared" si="0"/>
        <v>70.538000000004558</v>
      </c>
      <c r="S25" s="82">
        <f t="shared" si="1"/>
        <v>553.0179200000357</v>
      </c>
      <c r="T25" s="82">
        <f t="shared" si="2"/>
        <v>125.88899999999558</v>
      </c>
      <c r="U25" s="82">
        <f t="shared" si="16"/>
        <v>986.96975999996528</v>
      </c>
      <c r="V25" s="82">
        <f>324907.3-324608.7</f>
        <v>298.59999999997672</v>
      </c>
      <c r="W25" s="82">
        <f>129351.62-129298.74</f>
        <v>52.879999999990105</v>
      </c>
      <c r="X25" s="85" t="s">
        <v>63</v>
      </c>
      <c r="Y25" s="5">
        <v>786714</v>
      </c>
      <c r="Z25" s="5">
        <f t="shared" si="10"/>
        <v>656</v>
      </c>
      <c r="AA25" s="14">
        <f t="shared" si="7"/>
        <v>4244.32</v>
      </c>
      <c r="AB25" s="85">
        <v>2894256.7</v>
      </c>
      <c r="AC25" s="85">
        <f t="shared" si="22"/>
        <v>2881897</v>
      </c>
      <c r="AD25" s="5">
        <f t="shared" si="4"/>
        <v>12359.700000000186</v>
      </c>
      <c r="AE25" s="82">
        <f t="shared" si="12"/>
        <v>4120.9093755000622</v>
      </c>
      <c r="AF25" s="82">
        <f>82663.3-82640.7</f>
        <v>22.600000000005821</v>
      </c>
      <c r="AG25" s="82">
        <f>43062.3-43054.3</f>
        <v>8</v>
      </c>
      <c r="AH25" s="82">
        <f>25985.6-25978.2</f>
        <v>7.3999999999978172</v>
      </c>
      <c r="AI25" s="86">
        <f t="shared" si="23"/>
        <v>40755.9</v>
      </c>
      <c r="AJ25" s="86">
        <v>40773.300000000003</v>
      </c>
      <c r="AK25" s="48">
        <f t="shared" si="8"/>
        <v>17.400000000001455</v>
      </c>
      <c r="AL25" s="88">
        <f t="shared" si="5"/>
        <v>4947.6053679664137</v>
      </c>
      <c r="AM25" s="82">
        <f t="shared" si="14"/>
        <v>1649.605843760522</v>
      </c>
      <c r="AN25" s="5">
        <v>109</v>
      </c>
      <c r="AO25" s="77">
        <f t="shared" si="6"/>
        <v>14600.399135500029</v>
      </c>
    </row>
    <row r="26" spans="1:41" x14ac:dyDescent="0.25">
      <c r="A26" s="78">
        <v>44248</v>
      </c>
      <c r="B26" s="9">
        <f>11409824-11404759</f>
        <v>5065</v>
      </c>
      <c r="C26" s="85">
        <f>7297183-7294437</f>
        <v>2746</v>
      </c>
      <c r="D26" s="85">
        <f>1400658-1399711</f>
        <v>947</v>
      </c>
      <c r="E26" s="85">
        <f>10822268-10817246</f>
        <v>5022</v>
      </c>
      <c r="F26" s="85">
        <f>10662211-10656464</f>
        <v>5747</v>
      </c>
      <c r="G26" s="85">
        <f>7896797-7894032</f>
        <v>2765</v>
      </c>
      <c r="H26" s="85">
        <f>7784323-7780658</f>
        <v>3665</v>
      </c>
      <c r="I26" s="85">
        <f>4861851-4859402</f>
        <v>2449</v>
      </c>
      <c r="J26" s="85">
        <f>10573803-10566906</f>
        <v>6897</v>
      </c>
      <c r="K26" s="85">
        <f t="shared" si="15"/>
        <v>25957</v>
      </c>
      <c r="L26" s="14">
        <f t="shared" si="9"/>
        <v>5191.4000000000005</v>
      </c>
      <c r="M26" s="82">
        <f>61484.88-61353.193</f>
        <v>131.68699999999808</v>
      </c>
      <c r="N26" s="82">
        <f>4003.62-4002.213</f>
        <v>1.406999999999698</v>
      </c>
      <c r="O26" s="82">
        <f>9282.618-9281.883</f>
        <v>0.73500000000058208</v>
      </c>
      <c r="P26" s="81">
        <f>81425.604-81354.731</f>
        <v>70.873000000006869</v>
      </c>
      <c r="Q26" s="82">
        <f>22468.943-22459.54</f>
        <v>9.4029999999984284</v>
      </c>
      <c r="R26" s="82">
        <f t="shared" si="0"/>
        <v>73.015000000007149</v>
      </c>
      <c r="S26" s="82">
        <f t="shared" si="1"/>
        <v>572.43760000005602</v>
      </c>
      <c r="T26" s="82">
        <f t="shared" si="2"/>
        <v>141.08999999999651</v>
      </c>
      <c r="U26" s="82">
        <f t="shared" si="16"/>
        <v>1106.1455999999725</v>
      </c>
      <c r="V26" s="82">
        <f>325202-324907.3</f>
        <v>294.70000000001164</v>
      </c>
      <c r="W26" s="82">
        <f>129409.98-129351.62</f>
        <v>58.360000000000582</v>
      </c>
      <c r="X26" s="85" t="s">
        <v>63</v>
      </c>
      <c r="Y26" s="5">
        <v>787370</v>
      </c>
      <c r="Z26" s="5">
        <f t="shared" si="10"/>
        <v>656</v>
      </c>
      <c r="AA26" s="14">
        <f t="shared" si="7"/>
        <v>4244.32</v>
      </c>
      <c r="AB26" s="85">
        <v>2906603.2</v>
      </c>
      <c r="AC26" s="85">
        <f>AB25</f>
        <v>2894256.7</v>
      </c>
      <c r="AD26" s="5">
        <f t="shared" si="4"/>
        <v>12346.5</v>
      </c>
      <c r="AE26" s="82">
        <f t="shared" si="12"/>
        <v>4116.5082975000005</v>
      </c>
      <c r="AF26" s="82">
        <f>82686.9-82663.3</f>
        <v>23.599999999991269</v>
      </c>
      <c r="AG26" s="82">
        <f>43070.1-43062.3</f>
        <v>7.7999999999956344</v>
      </c>
      <c r="AH26" s="82">
        <f>25992.7-25985.6</f>
        <v>7.1000000000021828</v>
      </c>
      <c r="AI26" s="86">
        <f>AJ25</f>
        <v>40773.300000000003</v>
      </c>
      <c r="AJ26" s="86">
        <v>40789.9</v>
      </c>
      <c r="AK26" s="48">
        <f t="shared" si="8"/>
        <v>16.599999999998545</v>
      </c>
      <c r="AL26" s="88">
        <f t="shared" si="5"/>
        <v>4720.1292590935864</v>
      </c>
      <c r="AM26" s="82">
        <f t="shared" si="14"/>
        <v>1573.7618969206883</v>
      </c>
      <c r="AN26" s="5"/>
      <c r="AO26" s="77">
        <f t="shared" si="6"/>
        <v>14658.373897499972</v>
      </c>
    </row>
    <row r="27" spans="1:41" x14ac:dyDescent="0.25">
      <c r="A27" s="78">
        <v>44249</v>
      </c>
      <c r="B27" s="85"/>
      <c r="C27" s="85"/>
      <c r="D27" s="85"/>
      <c r="E27" s="85"/>
      <c r="F27" s="85"/>
      <c r="G27" s="85"/>
      <c r="H27" s="85"/>
      <c r="I27" s="85"/>
      <c r="J27" s="85"/>
      <c r="K27" s="85">
        <f t="shared" si="15"/>
        <v>0</v>
      </c>
      <c r="L27" s="14">
        <f t="shared" si="9"/>
        <v>0</v>
      </c>
      <c r="M27" s="82"/>
      <c r="N27" s="82"/>
      <c r="O27" s="82"/>
      <c r="P27" s="81"/>
      <c r="Q27" s="82"/>
      <c r="R27" s="82">
        <f t="shared" si="0"/>
        <v>0</v>
      </c>
      <c r="S27" s="82">
        <f t="shared" si="1"/>
        <v>0</v>
      </c>
      <c r="T27" s="82">
        <f t="shared" si="2"/>
        <v>0</v>
      </c>
      <c r="U27" s="82">
        <f t="shared" si="16"/>
        <v>0</v>
      </c>
      <c r="V27" s="82"/>
      <c r="W27" s="82">
        <f t="shared" si="21"/>
        <v>0</v>
      </c>
      <c r="X27" s="85" t="s">
        <v>63</v>
      </c>
      <c r="Y27" s="5"/>
      <c r="Z27" s="5" t="str">
        <f t="shared" si="10"/>
        <v>0</v>
      </c>
      <c r="AA27" s="14">
        <f t="shared" si="7"/>
        <v>0</v>
      </c>
      <c r="AB27" s="85"/>
      <c r="AC27" s="85"/>
      <c r="AD27" s="5">
        <f t="shared" si="4"/>
        <v>0</v>
      </c>
      <c r="AE27" s="82">
        <f t="shared" si="12"/>
        <v>0</v>
      </c>
      <c r="AF27" s="82"/>
      <c r="AG27" s="82"/>
      <c r="AH27" s="82"/>
      <c r="AI27" s="86"/>
      <c r="AJ27" s="86"/>
      <c r="AK27" s="48">
        <f t="shared" si="8"/>
        <v>0</v>
      </c>
      <c r="AL27" s="88">
        <f t="shared" si="5"/>
        <v>0</v>
      </c>
      <c r="AM27" s="82">
        <f t="shared" si="14"/>
        <v>0</v>
      </c>
      <c r="AN27" s="5"/>
      <c r="AO27" s="77">
        <f t="shared" si="6"/>
        <v>0</v>
      </c>
    </row>
    <row r="28" spans="1:41" x14ac:dyDescent="0.25">
      <c r="A28" s="78">
        <v>44250</v>
      </c>
      <c r="B28" s="85"/>
      <c r="C28" s="85"/>
      <c r="D28" s="85"/>
      <c r="E28" s="85"/>
      <c r="F28" s="85"/>
      <c r="G28" s="85"/>
      <c r="H28" s="85"/>
      <c r="I28" s="85"/>
      <c r="J28" s="85"/>
      <c r="K28" s="85">
        <f t="shared" si="15"/>
        <v>0</v>
      </c>
      <c r="L28" s="14">
        <f t="shared" si="9"/>
        <v>0</v>
      </c>
      <c r="M28" s="82"/>
      <c r="N28" s="82"/>
      <c r="O28" s="82"/>
      <c r="P28" s="81"/>
      <c r="Q28" s="82"/>
      <c r="R28" s="82">
        <f t="shared" si="0"/>
        <v>0</v>
      </c>
      <c r="S28" s="82">
        <f t="shared" si="1"/>
        <v>0</v>
      </c>
      <c r="T28" s="82">
        <f t="shared" si="2"/>
        <v>0</v>
      </c>
      <c r="U28" s="82">
        <f t="shared" si="16"/>
        <v>0</v>
      </c>
      <c r="V28" s="82"/>
      <c r="W28" s="82">
        <f t="shared" si="21"/>
        <v>0</v>
      </c>
      <c r="X28" s="85" t="s">
        <v>63</v>
      </c>
      <c r="Y28" s="5"/>
      <c r="Z28" s="5">
        <f t="shared" si="10"/>
        <v>0</v>
      </c>
      <c r="AA28" s="14">
        <f t="shared" si="7"/>
        <v>0</v>
      </c>
      <c r="AB28" s="85"/>
      <c r="AC28" s="85"/>
      <c r="AD28" s="5">
        <f t="shared" si="4"/>
        <v>0</v>
      </c>
      <c r="AE28" s="82">
        <f t="shared" si="12"/>
        <v>0</v>
      </c>
      <c r="AF28" s="82"/>
      <c r="AG28" s="82"/>
      <c r="AH28" s="82"/>
      <c r="AI28" s="86"/>
      <c r="AJ28" s="86"/>
      <c r="AK28" s="48">
        <f t="shared" si="8"/>
        <v>0</v>
      </c>
      <c r="AL28" s="88">
        <f t="shared" si="5"/>
        <v>0</v>
      </c>
      <c r="AM28" s="82">
        <f t="shared" si="14"/>
        <v>0</v>
      </c>
      <c r="AN28" s="5"/>
      <c r="AO28" s="77">
        <f t="shared" si="6"/>
        <v>0</v>
      </c>
    </row>
    <row r="29" spans="1:41" x14ac:dyDescent="0.25">
      <c r="A29" s="78">
        <v>44251</v>
      </c>
      <c r="B29" s="85"/>
      <c r="C29" s="85"/>
      <c r="D29" s="85"/>
      <c r="E29" s="85"/>
      <c r="F29" s="85"/>
      <c r="G29" s="85"/>
      <c r="H29" s="85"/>
      <c r="I29" s="85"/>
      <c r="J29" s="85"/>
      <c r="K29" s="85">
        <f t="shared" si="15"/>
        <v>0</v>
      </c>
      <c r="L29" s="14">
        <f t="shared" si="9"/>
        <v>0</v>
      </c>
      <c r="M29" s="82"/>
      <c r="N29" s="82"/>
      <c r="O29" s="82"/>
      <c r="P29" s="81"/>
      <c r="Q29" s="82"/>
      <c r="R29" s="82">
        <f t="shared" si="0"/>
        <v>0</v>
      </c>
      <c r="S29" s="82">
        <f t="shared" si="1"/>
        <v>0</v>
      </c>
      <c r="T29" s="82">
        <f t="shared" si="2"/>
        <v>0</v>
      </c>
      <c r="U29" s="82">
        <f t="shared" si="16"/>
        <v>0</v>
      </c>
      <c r="V29" s="82"/>
      <c r="W29" s="82">
        <f t="shared" si="21"/>
        <v>0</v>
      </c>
      <c r="X29" s="85" t="s">
        <v>63</v>
      </c>
      <c r="Y29" s="5"/>
      <c r="Z29" s="5">
        <f t="shared" si="10"/>
        <v>0</v>
      </c>
      <c r="AA29" s="14">
        <f t="shared" si="7"/>
        <v>0</v>
      </c>
      <c r="AB29" s="85"/>
      <c r="AC29" s="85"/>
      <c r="AD29" s="5">
        <f t="shared" si="4"/>
        <v>0</v>
      </c>
      <c r="AE29" s="82">
        <f t="shared" si="12"/>
        <v>0</v>
      </c>
      <c r="AF29" s="82"/>
      <c r="AG29" s="82"/>
      <c r="AH29" s="82"/>
      <c r="AI29" s="86"/>
      <c r="AJ29" s="86"/>
      <c r="AK29" s="48">
        <f t="shared" si="8"/>
        <v>0</v>
      </c>
      <c r="AL29" s="88">
        <f t="shared" si="5"/>
        <v>0</v>
      </c>
      <c r="AM29" s="82">
        <f t="shared" si="14"/>
        <v>0</v>
      </c>
      <c r="AN29" s="5"/>
      <c r="AO29" s="77">
        <f t="shared" si="6"/>
        <v>0</v>
      </c>
    </row>
    <row r="30" spans="1:41" x14ac:dyDescent="0.25">
      <c r="A30" s="78">
        <v>44252</v>
      </c>
      <c r="B30" s="85"/>
      <c r="C30" s="85"/>
      <c r="D30" s="85"/>
      <c r="E30" s="85"/>
      <c r="F30" s="85"/>
      <c r="G30" s="85"/>
      <c r="H30" s="85"/>
      <c r="I30" s="85"/>
      <c r="J30" s="85"/>
      <c r="K30" s="85">
        <f t="shared" si="15"/>
        <v>0</v>
      </c>
      <c r="L30" s="14">
        <f t="shared" si="9"/>
        <v>0</v>
      </c>
      <c r="M30" s="82"/>
      <c r="N30" s="82"/>
      <c r="O30" s="82"/>
      <c r="P30" s="81"/>
      <c r="Q30" s="82"/>
      <c r="R30" s="82">
        <f t="shared" si="0"/>
        <v>0</v>
      </c>
      <c r="S30" s="82">
        <f t="shared" si="1"/>
        <v>0</v>
      </c>
      <c r="T30" s="82">
        <f t="shared" si="2"/>
        <v>0</v>
      </c>
      <c r="U30" s="82">
        <f t="shared" si="16"/>
        <v>0</v>
      </c>
      <c r="V30" s="82"/>
      <c r="W30" s="82">
        <f t="shared" si="21"/>
        <v>0</v>
      </c>
      <c r="X30" s="85" t="s">
        <v>63</v>
      </c>
      <c r="Y30" s="5"/>
      <c r="Z30" s="5">
        <f t="shared" si="10"/>
        <v>0</v>
      </c>
      <c r="AA30" s="14">
        <f t="shared" si="7"/>
        <v>0</v>
      </c>
      <c r="AB30" s="85"/>
      <c r="AC30" s="85"/>
      <c r="AD30" s="5">
        <f t="shared" si="4"/>
        <v>0</v>
      </c>
      <c r="AE30" s="82">
        <f t="shared" si="12"/>
        <v>0</v>
      </c>
      <c r="AF30" s="82"/>
      <c r="AG30" s="82"/>
      <c r="AH30" s="82"/>
      <c r="AI30" s="86"/>
      <c r="AJ30" s="86"/>
      <c r="AK30" s="48">
        <f t="shared" si="8"/>
        <v>0</v>
      </c>
      <c r="AL30" s="88">
        <f t="shared" si="5"/>
        <v>0</v>
      </c>
      <c r="AM30" s="82">
        <f t="shared" si="14"/>
        <v>0</v>
      </c>
      <c r="AN30" s="5"/>
      <c r="AO30" s="77">
        <f t="shared" si="6"/>
        <v>0</v>
      </c>
    </row>
    <row r="31" spans="1:41" x14ac:dyDescent="0.25">
      <c r="A31" s="78">
        <v>44253</v>
      </c>
      <c r="B31" s="85"/>
      <c r="C31" s="85"/>
      <c r="D31" s="85"/>
      <c r="E31" s="85"/>
      <c r="F31" s="85"/>
      <c r="G31" s="85"/>
      <c r="H31" s="85"/>
      <c r="I31" s="85"/>
      <c r="J31" s="85"/>
      <c r="K31" s="85">
        <f t="shared" si="15"/>
        <v>0</v>
      </c>
      <c r="L31" s="14">
        <f t="shared" si="9"/>
        <v>0</v>
      </c>
      <c r="M31" s="82"/>
      <c r="N31" s="82"/>
      <c r="O31" s="82"/>
      <c r="P31" s="81"/>
      <c r="Q31" s="82"/>
      <c r="R31" s="82">
        <f t="shared" si="0"/>
        <v>0</v>
      </c>
      <c r="S31" s="82">
        <f t="shared" si="1"/>
        <v>0</v>
      </c>
      <c r="T31" s="82">
        <f t="shared" si="2"/>
        <v>0</v>
      </c>
      <c r="U31" s="82">
        <f t="shared" si="16"/>
        <v>0</v>
      </c>
      <c r="V31" s="82"/>
      <c r="W31" s="82">
        <f t="shared" si="21"/>
        <v>0</v>
      </c>
      <c r="X31" s="85" t="s">
        <v>63</v>
      </c>
      <c r="Y31" s="5"/>
      <c r="Z31" s="5">
        <f t="shared" si="10"/>
        <v>0</v>
      </c>
      <c r="AA31" s="14">
        <f t="shared" si="7"/>
        <v>0</v>
      </c>
      <c r="AB31" s="85"/>
      <c r="AC31" s="85"/>
      <c r="AD31" s="5">
        <f t="shared" si="4"/>
        <v>0</v>
      </c>
      <c r="AE31" s="82">
        <f t="shared" si="12"/>
        <v>0</v>
      </c>
      <c r="AF31" s="82"/>
      <c r="AG31" s="82"/>
      <c r="AH31" s="82"/>
      <c r="AI31" s="86"/>
      <c r="AJ31" s="86"/>
      <c r="AK31" s="48">
        <f t="shared" si="8"/>
        <v>0</v>
      </c>
      <c r="AL31" s="88">
        <f t="shared" si="5"/>
        <v>0</v>
      </c>
      <c r="AM31" s="82">
        <f t="shared" si="14"/>
        <v>0</v>
      </c>
      <c r="AN31" s="5"/>
      <c r="AO31" s="77">
        <f t="shared" si="6"/>
        <v>0</v>
      </c>
    </row>
    <row r="32" spans="1:41" x14ac:dyDescent="0.25">
      <c r="A32" s="78">
        <v>44254</v>
      </c>
      <c r="B32" s="85"/>
      <c r="C32" s="85"/>
      <c r="D32" s="85"/>
      <c r="E32" s="85"/>
      <c r="F32" s="85"/>
      <c r="G32" s="85"/>
      <c r="H32" s="85"/>
      <c r="I32" s="85"/>
      <c r="J32" s="85"/>
      <c r="K32" s="85">
        <f t="shared" si="15"/>
        <v>0</v>
      </c>
      <c r="L32" s="14">
        <f t="shared" si="9"/>
        <v>0</v>
      </c>
      <c r="M32" s="82"/>
      <c r="N32" s="82"/>
      <c r="O32" s="82"/>
      <c r="P32" s="81"/>
      <c r="Q32" s="82"/>
      <c r="R32" s="82">
        <f t="shared" si="0"/>
        <v>0</v>
      </c>
      <c r="S32" s="82">
        <f t="shared" si="1"/>
        <v>0</v>
      </c>
      <c r="T32" s="82">
        <f t="shared" si="2"/>
        <v>0</v>
      </c>
      <c r="U32" s="82">
        <f t="shared" si="16"/>
        <v>0</v>
      </c>
      <c r="V32" s="82"/>
      <c r="W32" s="82">
        <f t="shared" si="21"/>
        <v>0</v>
      </c>
      <c r="X32" s="85" t="s">
        <v>63</v>
      </c>
      <c r="Y32" s="5"/>
      <c r="Z32" s="5">
        <f t="shared" si="10"/>
        <v>0</v>
      </c>
      <c r="AA32" s="14">
        <f t="shared" si="7"/>
        <v>0</v>
      </c>
      <c r="AB32" s="85"/>
      <c r="AC32" s="85"/>
      <c r="AD32" s="5">
        <f t="shared" si="4"/>
        <v>0</v>
      </c>
      <c r="AE32" s="82">
        <f t="shared" si="12"/>
        <v>0</v>
      </c>
      <c r="AF32" s="82"/>
      <c r="AG32" s="82"/>
      <c r="AH32" s="82"/>
      <c r="AI32" s="86"/>
      <c r="AJ32" s="86"/>
      <c r="AK32" s="48">
        <f t="shared" si="8"/>
        <v>0</v>
      </c>
      <c r="AL32" s="88">
        <f t="shared" si="5"/>
        <v>0</v>
      </c>
      <c r="AM32" s="82">
        <f t="shared" si="14"/>
        <v>0</v>
      </c>
      <c r="AN32" s="5"/>
      <c r="AO32" s="77">
        <f t="shared" si="6"/>
        <v>0</v>
      </c>
    </row>
    <row r="33" spans="1:41" ht="21.75" thickBot="1" x14ac:dyDescent="0.3">
      <c r="A33" s="90">
        <v>44255</v>
      </c>
      <c r="B33" s="91"/>
      <c r="C33" s="91"/>
      <c r="D33" s="91"/>
      <c r="E33" s="91"/>
      <c r="F33" s="91"/>
      <c r="G33" s="91"/>
      <c r="H33" s="91"/>
      <c r="I33" s="91"/>
      <c r="J33" s="91"/>
      <c r="K33" s="91">
        <f t="shared" si="15"/>
        <v>0</v>
      </c>
      <c r="L33" s="92">
        <f t="shared" si="9"/>
        <v>0</v>
      </c>
      <c r="M33" s="93"/>
      <c r="N33" s="93"/>
      <c r="O33" s="93"/>
      <c r="P33" s="94"/>
      <c r="Q33" s="93"/>
      <c r="R33" s="93">
        <f t="shared" si="0"/>
        <v>0</v>
      </c>
      <c r="S33" s="93">
        <f t="shared" si="1"/>
        <v>0</v>
      </c>
      <c r="T33" s="93">
        <f t="shared" si="2"/>
        <v>0</v>
      </c>
      <c r="U33" s="93">
        <f t="shared" si="16"/>
        <v>0</v>
      </c>
      <c r="V33" s="93"/>
      <c r="W33" s="93">
        <f t="shared" si="21"/>
        <v>0</v>
      </c>
      <c r="X33" s="91" t="s">
        <v>63</v>
      </c>
      <c r="Y33" s="95"/>
      <c r="Z33" s="95">
        <f t="shared" si="10"/>
        <v>0</v>
      </c>
      <c r="AA33" s="92">
        <f t="shared" si="7"/>
        <v>0</v>
      </c>
      <c r="AB33" s="91"/>
      <c r="AC33" s="91"/>
      <c r="AD33" s="95">
        <f t="shared" si="4"/>
        <v>0</v>
      </c>
      <c r="AE33" s="93">
        <f t="shared" si="12"/>
        <v>0</v>
      </c>
      <c r="AF33" s="93"/>
      <c r="AG33" s="93"/>
      <c r="AH33" s="93"/>
      <c r="AI33" s="127"/>
      <c r="AJ33" s="127"/>
      <c r="AK33" s="96">
        <f t="shared" si="8"/>
        <v>0</v>
      </c>
      <c r="AL33" s="97">
        <f t="shared" si="5"/>
        <v>0</v>
      </c>
      <c r="AM33" s="93">
        <f t="shared" si="14"/>
        <v>0</v>
      </c>
      <c r="AN33" s="95"/>
      <c r="AO33" s="98">
        <f t="shared" si="6"/>
        <v>0</v>
      </c>
    </row>
    <row r="34" spans="1:41" x14ac:dyDescent="0.25">
      <c r="A34" s="75"/>
      <c r="D34" s="6">
        <f>SUM(D6:D33)</f>
        <v>19170</v>
      </c>
      <c r="E34" s="6" t="s">
        <v>93</v>
      </c>
      <c r="G34" s="6">
        <f t="shared" ref="G34:L34" si="24">SUM(G6:G33)</f>
        <v>56058</v>
      </c>
      <c r="H34" s="6">
        <f t="shared" si="24"/>
        <v>74971</v>
      </c>
      <c r="I34" s="6">
        <f t="shared" si="24"/>
        <v>50598</v>
      </c>
      <c r="J34" s="6">
        <f t="shared" si="24"/>
        <v>147358</v>
      </c>
      <c r="K34" s="6">
        <f t="shared" si="24"/>
        <v>540932</v>
      </c>
      <c r="L34" s="15">
        <f t="shared" si="24"/>
        <v>108186.39999999998</v>
      </c>
      <c r="R34" s="16">
        <f>SUM(R6:R33)</f>
        <v>1525.6600000000067</v>
      </c>
      <c r="T34" s="16">
        <f>SUM(T6:T33)</f>
        <v>2734.4019999999946</v>
      </c>
      <c r="U34" s="16">
        <f t="shared" si="16"/>
        <v>21437.711679999957</v>
      </c>
      <c r="Z34" s="17">
        <f>SUM(Z6:Z33)</f>
        <v>11858</v>
      </c>
      <c r="AA34" s="17">
        <f>SUM(AA6:AA33)</f>
        <v>76721.260000000009</v>
      </c>
      <c r="AD34" s="17">
        <f>SUM(AD6:AD33)</f>
        <v>230701.60000000009</v>
      </c>
      <c r="AE34" s="16">
        <f>AD34*0.334569</f>
        <v>77185.603610400038</v>
      </c>
      <c r="AF34" s="16">
        <f>SUM(AF6:AF33)</f>
        <v>421.30000000000291</v>
      </c>
      <c r="AG34" s="16">
        <f>SUM(AG6:AG33)</f>
        <v>151.5</v>
      </c>
      <c r="AH34" s="16">
        <f>SUM(AH6:AH33)</f>
        <v>148.89999999999418</v>
      </c>
      <c r="AK34" s="42">
        <f>SUM(AK6:AK33)</f>
        <v>316</v>
      </c>
      <c r="AL34" s="42">
        <f>SUM(AL6:AL33)</f>
        <v>89853.063004440002</v>
      </c>
      <c r="AM34" s="42">
        <f>SUM(AM6:AM33)</f>
        <v>29958.359001625358</v>
      </c>
      <c r="AN34" s="42">
        <f>SUM(AN6:AN33)</f>
        <v>1779</v>
      </c>
      <c r="AO34" s="42">
        <f>SUM(AO6:AO33)</f>
        <v>283264.74564399995</v>
      </c>
    </row>
    <row r="35" spans="1:41" x14ac:dyDescent="0.25">
      <c r="D35" s="6" t="e">
        <f>#REF!*24</f>
        <v>#REF!</v>
      </c>
      <c r="E35" s="6" t="s">
        <v>1</v>
      </c>
      <c r="R35" s="16">
        <v>7.84</v>
      </c>
      <c r="T35" s="16" t="s">
        <v>99</v>
      </c>
      <c r="U35" s="16">
        <f>U34-R36</f>
        <v>9476.5372799999041</v>
      </c>
    </row>
    <row r="36" spans="1:41" x14ac:dyDescent="0.25">
      <c r="D36" s="6" t="e">
        <f>D35*31</f>
        <v>#REF!</v>
      </c>
      <c r="E36" s="6" t="s">
        <v>2</v>
      </c>
      <c r="F36" s="6" t="s">
        <v>94</v>
      </c>
      <c r="G36" s="6" t="e">
        <f>D36*0.2</f>
        <v>#REF!</v>
      </c>
      <c r="R36" s="16">
        <f>R34*R35</f>
        <v>11961.174400000053</v>
      </c>
      <c r="U36" s="16">
        <f>U35/R35</f>
        <v>1208.7419999999877</v>
      </c>
    </row>
    <row r="37" spans="1:41" x14ac:dyDescent="0.25">
      <c r="D37" s="15" t="e">
        <f>D36*0.2</f>
        <v>#REF!</v>
      </c>
    </row>
    <row r="38" spans="1:41" x14ac:dyDescent="0.25">
      <c r="E38" s="68" t="s">
        <v>98</v>
      </c>
    </row>
    <row r="39" spans="1:41" x14ac:dyDescent="0.25">
      <c r="AD39" s="6">
        <f>G39*0.2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2021-02-22T10:28:00Z</dcterms:modified>
</cp:coreProperties>
</file>