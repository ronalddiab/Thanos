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AV9" i="7"/>
  <c r="AV10" i="7"/>
  <c r="AV11" i="7"/>
  <c r="AV12" i="7"/>
  <c r="AV13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<sst xmlns="http://schemas.openxmlformats.org/spreadsheetml/2006/main" count="128" uniqueCount="49">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</sst>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3"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623.078486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Submetering!R4</f>
        <v>505.35223499999995</v>
      </c>
      <c r="H4" s="11">
        <v>0.52800000000000002</v>
      </c>
      <c r="I4" s="12">
        <f>Hotel!B9</f>
        <v>74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48540</v>
      </c>
      <c r="F5" s="11">
        <v>5.0000000000000001E-3</v>
      </c>
      <c r="G5" s="12">
        <f>Submetering!R5</f>
        <v>638.59866699999998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48290</v>
      </c>
      <c r="F6" s="11">
        <v>5.0000000000000001E-3</v>
      </c>
      <c r="G6" s="12">
        <f>Submetering!R6</f>
        <v>850.20308599999998</v>
      </c>
      <c r="H6" s="11">
        <v>0.52800000000000002</v>
      </c>
      <c r="I6" s="12">
        <f>Hotel!B11</f>
        <v>70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51520</v>
      </c>
      <c r="F7" s="11">
        <v>5.0000000000000001E-3</v>
      </c>
      <c r="G7" s="12">
        <f>Submetering!R7</f>
        <v>424.34446100000002</v>
      </c>
      <c r="H7" s="11">
        <v>0.52800000000000002</v>
      </c>
      <c r="I7" s="12">
        <f>Hotel!B12</f>
        <v>66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52996</v>
      </c>
      <c r="F8" s="11">
        <v>5.0000000000000001E-3</v>
      </c>
      <c r="G8" s="12">
        <f>Submetering!R8</f>
        <v>697.27252199999998</v>
      </c>
      <c r="H8" s="11">
        <v>0.52800000000000002</v>
      </c>
      <c r="I8" s="12">
        <f>Hotel!B13</f>
        <v>114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57744</v>
      </c>
      <c r="F9" s="11">
        <v>5.0000000000000001E-3</v>
      </c>
      <c r="G9" s="12">
        <f>Submetering!R9</f>
        <v>595.44499299999995</v>
      </c>
      <c r="H9" s="11">
        <v>0.52800000000000002</v>
      </c>
      <c r="I9" s="12">
        <f>Hotel!B14</f>
        <v>133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44940</v>
      </c>
      <c r="F10" s="11">
        <v>5.0000000000000001E-3</v>
      </c>
      <c r="G10" s="12">
        <f>Submetering!R10</f>
        <v>865.34472600000004</v>
      </c>
      <c r="H10" s="11">
        <v>0.52800000000000002</v>
      </c>
      <c r="I10" s="12">
        <f>Hotel!B15</f>
        <v>80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F19" sqref="F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623.078486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Hotel!AV9*0.00378541*100</f>
        <v>505.35223499999995</v>
      </c>
      <c r="S4" s="4">
        <f>Hotel!B9</f>
        <v>74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>
        <f>Hotel!Q10</f>
        <v>520</v>
      </c>
      <c r="F5" s="4">
        <f>Hotel!R10</f>
        <v>1820</v>
      </c>
      <c r="G5" s="4">
        <f>Hotel!S10</f>
        <v>2570</v>
      </c>
      <c r="H5" s="4">
        <f>Hotel!T10</f>
        <v>1410</v>
      </c>
      <c r="I5" s="4">
        <f>Hotel!U10</f>
        <v>5150</v>
      </c>
      <c r="J5" s="4">
        <f>Hotel!V10</f>
        <v>3250</v>
      </c>
      <c r="K5" s="4">
        <f>Hotel!W10</f>
        <v>2280</v>
      </c>
      <c r="L5" s="4">
        <f>Hotel!X10</f>
        <v>3480</v>
      </c>
      <c r="M5" s="4">
        <f>Hotel!Y10</f>
        <v>4940</v>
      </c>
      <c r="N5" s="4">
        <f>Hotel!Z10</f>
        <v>2390</v>
      </c>
      <c r="O5" s="4">
        <f>Hotel!AA10</f>
        <v>3390</v>
      </c>
      <c r="P5" s="4">
        <f>Hotel!AB10</f>
        <v>6540</v>
      </c>
      <c r="Q5" s="4">
        <f>Hotel!AC10</f>
        <v>10800</v>
      </c>
      <c r="R5" s="4">
        <f>Hotel!AV10*0.00378541*100</f>
        <v>638.59866699999998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>
        <f>Hotel!Q11</f>
        <v>510</v>
      </c>
      <c r="F6" s="4">
        <f>Hotel!R11</f>
        <v>1800</v>
      </c>
      <c r="G6" s="4">
        <f>Hotel!S11</f>
        <v>2500</v>
      </c>
      <c r="H6" s="4">
        <f>Hotel!T11</f>
        <v>1390</v>
      </c>
      <c r="I6" s="4">
        <f>Hotel!U11</f>
        <v>4830</v>
      </c>
      <c r="J6" s="4">
        <f>Hotel!V11</f>
        <v>3230</v>
      </c>
      <c r="K6" s="4">
        <f>Hotel!W11</f>
        <v>2270</v>
      </c>
      <c r="L6" s="4">
        <f>Hotel!X11</f>
        <v>3750</v>
      </c>
      <c r="M6" s="4">
        <f>Hotel!Y11</f>
        <v>5480</v>
      </c>
      <c r="N6" s="4">
        <f>Hotel!Z11</f>
        <v>2330</v>
      </c>
      <c r="O6" s="4">
        <f>Hotel!AA11</f>
        <v>3150</v>
      </c>
      <c r="P6" s="4">
        <f>Hotel!AB11</f>
        <v>6250</v>
      </c>
      <c r="Q6" s="4">
        <f>Hotel!AC11</f>
        <v>10800</v>
      </c>
      <c r="R6" s="4">
        <f>Hotel!AV11*0.00378541*100</f>
        <v>850.20308599999998</v>
      </c>
      <c r="S6" s="4">
        <f>Hotel!B11</f>
        <v>70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550</v>
      </c>
      <c r="F7" s="4">
        <f>Hotel!R12</f>
        <v>1930</v>
      </c>
      <c r="G7" s="4">
        <f>Hotel!S12</f>
        <v>2670</v>
      </c>
      <c r="H7" s="4">
        <f>Hotel!T12</f>
        <v>1480</v>
      </c>
      <c r="I7" s="4">
        <f>Hotel!U12</f>
        <v>5600</v>
      </c>
      <c r="J7" s="4">
        <f>Hotel!V12</f>
        <v>3430</v>
      </c>
      <c r="K7" s="4">
        <f>Hotel!W12</f>
        <v>2410</v>
      </c>
      <c r="L7" s="4">
        <f>Hotel!X12</f>
        <v>3880</v>
      </c>
      <c r="M7" s="4">
        <f>Hotel!Y12</f>
        <v>5760</v>
      </c>
      <c r="N7" s="4">
        <f>Hotel!Z12</f>
        <v>2600</v>
      </c>
      <c r="O7" s="4">
        <f>Hotel!AA12</f>
        <v>3390</v>
      </c>
      <c r="P7" s="4">
        <f>Hotel!AB12</f>
        <v>6710</v>
      </c>
      <c r="Q7" s="4">
        <f>Hotel!AC12</f>
        <v>11110</v>
      </c>
      <c r="R7" s="4">
        <f>Hotel!AV12*0.00378541*100</f>
        <v>424.34446100000002</v>
      </c>
      <c r="S7" s="4">
        <f>Hotel!B12</f>
        <v>66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>
        <f>Hotel!Q13</f>
        <v>200</v>
      </c>
      <c r="F8" s="4">
        <f>Hotel!R13</f>
        <v>2711</v>
      </c>
      <c r="G8" s="4">
        <f>Hotel!S13</f>
        <v>3200</v>
      </c>
      <c r="H8" s="4">
        <f>Hotel!T13</f>
        <v>912</v>
      </c>
      <c r="I8" s="4">
        <f>Hotel!U13</f>
        <v>5891</v>
      </c>
      <c r="J8" s="4">
        <f>Hotel!V13</f>
        <v>3980</v>
      </c>
      <c r="K8" s="4">
        <f>Hotel!W13</f>
        <v>2031</v>
      </c>
      <c r="L8" s="4">
        <f>Hotel!X13</f>
        <v>2292</v>
      </c>
      <c r="M8" s="4">
        <f>Hotel!Y13</f>
        <v>9322</v>
      </c>
      <c r="N8" s="4">
        <f>Hotel!Z13</f>
        <v>1201</v>
      </c>
      <c r="O8" s="4">
        <f>Hotel!AA13</f>
        <v>4582</v>
      </c>
      <c r="P8" s="4">
        <f>Hotel!AB13</f>
        <v>3953</v>
      </c>
      <c r="Q8" s="4">
        <f>Hotel!AC13</f>
        <v>12721</v>
      </c>
      <c r="R8" s="4">
        <f>Hotel!AV13*0.00378541*100</f>
        <v>697.27252199999998</v>
      </c>
      <c r="S8" s="4">
        <f>Hotel!B13</f>
        <v>114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920</v>
      </c>
      <c r="F9" s="4">
        <f>Hotel!R14</f>
        <v>1119</v>
      </c>
      <c r="G9" s="4">
        <f>Hotel!S14</f>
        <v>2040</v>
      </c>
      <c r="H9" s="4">
        <f>Hotel!T14</f>
        <v>2068</v>
      </c>
      <c r="I9" s="4">
        <f>Hotel!U14</f>
        <v>10439</v>
      </c>
      <c r="J9" s="4">
        <f>Hotel!V14</f>
        <v>3080</v>
      </c>
      <c r="K9" s="4">
        <f>Hotel!W14</f>
        <v>2769</v>
      </c>
      <c r="L9" s="4">
        <f>Hotel!X14</f>
        <v>5858</v>
      </c>
      <c r="M9" s="4">
        <f>Hotel!Y14</f>
        <v>2368</v>
      </c>
      <c r="N9" s="4">
        <f>Hotel!Z14</f>
        <v>4179</v>
      </c>
      <c r="O9" s="4">
        <f>Hotel!AA14</f>
        <v>2698</v>
      </c>
      <c r="P9" s="4">
        <f>Hotel!AB14</f>
        <v>9707</v>
      </c>
      <c r="Q9" s="4">
        <f>Hotel!AC14</f>
        <v>10499</v>
      </c>
      <c r="R9" s="4">
        <f>Hotel!AV14*0.00378541*100</f>
        <v>595.44499299999995</v>
      </c>
      <c r="S9" s="4">
        <f>Hotel!B14</f>
        <v>133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520</v>
      </c>
      <c r="F10" s="4">
        <f>Hotel!R15</f>
        <v>1830</v>
      </c>
      <c r="G10" s="4">
        <f>Hotel!S15</f>
        <v>2440</v>
      </c>
      <c r="H10" s="4">
        <f>Hotel!T15</f>
        <v>1400</v>
      </c>
      <c r="I10" s="4">
        <f>Hotel!U15</f>
        <v>500</v>
      </c>
      <c r="J10" s="4">
        <f>Hotel!V15</f>
        <v>3470</v>
      </c>
      <c r="K10" s="4">
        <f>Hotel!W15</f>
        <v>2260</v>
      </c>
      <c r="L10" s="4">
        <f>Hotel!X15</f>
        <v>3710</v>
      </c>
      <c r="M10" s="4">
        <f>Hotel!Y15</f>
        <v>5550</v>
      </c>
      <c r="N10" s="4">
        <f>Hotel!Z15</f>
        <v>2470</v>
      </c>
      <c r="O10" s="4">
        <f>Hotel!AA15</f>
        <v>3480</v>
      </c>
      <c r="P10" s="4">
        <f>Hotel!AB15</f>
        <v>6460</v>
      </c>
      <c r="Q10" s="4">
        <f>Hotel!AC15</f>
        <v>10850</v>
      </c>
      <c r="R10" s="4">
        <f>Hotel!AV15*0.00378541*100</f>
        <v>865.34472600000004</v>
      </c>
      <c r="S10" s="4">
        <f>Hotel!B15</f>
        <v>80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H19" sqref="H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382813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382813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1646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16">IF((C9-C8&lt;0), "0",C9-C8)</f>
        <v>600</v>
      </c>
      <c r="R9" s="37">
        <f t="shared" ref="R9:R35" si="17">IF((D9-D8&lt;0), "0",D9-D8)</f>
        <v>1990</v>
      </c>
      <c r="S9" s="37">
        <f t="shared" si="15"/>
        <v>2870</v>
      </c>
      <c r="T9" s="37">
        <f t="shared" ref="T9:T35" si="18">IF((F9-F8&lt;0), "0",F9-F8)</f>
        <v>1530</v>
      </c>
      <c r="U9" s="37">
        <f t="shared" ref="U9:U35" si="19">IF((G9-G8&lt;0), "0",G9-G8)</f>
        <v>6000</v>
      </c>
      <c r="V9" s="37">
        <f t="shared" ref="V9:V35" si="20">IF((H9-H8&lt;0), "0",H9-H8)</f>
        <v>3500</v>
      </c>
      <c r="W9" s="37">
        <f t="shared" ref="W9:W35" si="21">IF((I9-I8&lt;0), "0",I9-I8)</f>
        <v>2450</v>
      </c>
      <c r="X9" s="37">
        <f t="shared" ref="X9:X35" si="22">IF((J9-J8&lt;0), "0",J9-J8)</f>
        <v>3360</v>
      </c>
      <c r="Y9" s="37">
        <f t="shared" ref="Y9:Y35" si="23">IF((K9-K8&lt;0), "0",K9-K8)</f>
        <v>5380</v>
      </c>
      <c r="Z9" s="37">
        <f t="shared" ref="Z9:Z35" si="24">IF((L9-L8&lt;0), "0",L9-L8)</f>
        <v>2760</v>
      </c>
      <c r="AA9" s="37">
        <f t="shared" ref="AA9:AA35" si="25">IF((M9-M8&lt;0), "0",M9-M8)</f>
        <v>3900</v>
      </c>
      <c r="AB9" s="37">
        <f t="shared" ref="AB9:AB37" si="26">IF((N9-N8&lt;0), "0",N9-N8)</f>
        <v>7100</v>
      </c>
      <c r="AC9" s="37">
        <f t="shared" ref="AC9:AC37" si="27">IF((O9-O8&lt;0), "0",O9-O8)</f>
        <v>11760</v>
      </c>
      <c r="AD9" s="35">
        <f t="shared" ref="AD9:AD37" si="28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29">SUM(AF9:AR9)</f>
        <v>266</v>
      </c>
      <c r="AU9" s="47">
        <v>388227</v>
      </c>
      <c r="AV9" s="37">
        <f>IF((AU9-AU8&lt;0),"0",AU9-AU8)</f>
        <v>1335</v>
      </c>
      <c r="AW9" s="35">
        <f t="shared" ref="AW9:AW35" si="30">AV9*$D$40</f>
        <v>2.67</v>
      </c>
    </row>
    <row r="10" spans="1:49" x14ac:dyDescent="0.25">
      <c r="A10" s="23">
        <v>44200</v>
      </c>
      <c r="B10" s="40">
        <v>65</v>
      </c>
      <c r="C10" s="24">
        <v>6509670</v>
      </c>
      <c r="D10" s="24">
        <v>15042380</v>
      </c>
      <c r="E10" s="24">
        <v>2278170</v>
      </c>
      <c r="F10" s="24">
        <v>3232060</v>
      </c>
      <c r="G10" s="24">
        <v>9722240</v>
      </c>
      <c r="H10" s="24">
        <v>5031480</v>
      </c>
      <c r="I10" s="24">
        <v>4720210</v>
      </c>
      <c r="J10" s="24">
        <v>5399610</v>
      </c>
      <c r="K10" s="24">
        <v>8459270</v>
      </c>
      <c r="L10" s="24">
        <v>3453280</v>
      </c>
      <c r="M10" s="24">
        <v>7394660</v>
      </c>
      <c r="N10" s="24">
        <v>10992610</v>
      </c>
      <c r="O10" s="24">
        <v>15038890</v>
      </c>
      <c r="Q10" s="37">
        <f t="shared" si="16"/>
        <v>520</v>
      </c>
      <c r="R10" s="37">
        <f t="shared" si="17"/>
        <v>1820</v>
      </c>
      <c r="S10" s="37">
        <f t="shared" si="15"/>
        <v>2570</v>
      </c>
      <c r="T10" s="37">
        <f t="shared" si="18"/>
        <v>1410</v>
      </c>
      <c r="U10" s="37">
        <f t="shared" si="19"/>
        <v>5150</v>
      </c>
      <c r="V10" s="37">
        <f t="shared" si="20"/>
        <v>3250</v>
      </c>
      <c r="W10" s="37">
        <f t="shared" si="21"/>
        <v>2280</v>
      </c>
      <c r="X10" s="37">
        <f t="shared" si="22"/>
        <v>3480</v>
      </c>
      <c r="Y10" s="37">
        <f t="shared" si="23"/>
        <v>4940</v>
      </c>
      <c r="Z10" s="37">
        <f t="shared" si="24"/>
        <v>2390</v>
      </c>
      <c r="AA10" s="37">
        <f t="shared" si="25"/>
        <v>3390</v>
      </c>
      <c r="AB10" s="37">
        <f t="shared" si="26"/>
        <v>6540</v>
      </c>
      <c r="AC10" s="37">
        <f t="shared" si="27"/>
        <v>10800</v>
      </c>
      <c r="AD10" s="35">
        <f t="shared" si="28"/>
        <v>48540</v>
      </c>
      <c r="AF10" s="20">
        <f t="shared" si="1"/>
        <v>2.6</v>
      </c>
      <c r="AG10" s="20">
        <f t="shared" si="2"/>
        <v>9.1</v>
      </c>
      <c r="AH10" s="20">
        <f t="shared" si="3"/>
        <v>12.85</v>
      </c>
      <c r="AI10" s="20">
        <f t="shared" si="4"/>
        <v>7.05</v>
      </c>
      <c r="AJ10" s="20">
        <f t="shared" si="5"/>
        <v>25.75</v>
      </c>
      <c r="AK10" s="20">
        <f t="shared" si="6"/>
        <v>16.25</v>
      </c>
      <c r="AL10" s="20">
        <f t="shared" si="7"/>
        <v>11.4</v>
      </c>
      <c r="AM10" s="20">
        <f t="shared" si="8"/>
        <v>17.400000000000002</v>
      </c>
      <c r="AN10" s="20">
        <f t="shared" si="9"/>
        <v>24.7</v>
      </c>
      <c r="AO10" s="20">
        <f t="shared" si="10"/>
        <v>11.950000000000001</v>
      </c>
      <c r="AP10" s="20">
        <f t="shared" si="11"/>
        <v>16.95</v>
      </c>
      <c r="AQ10" s="20">
        <f t="shared" si="12"/>
        <v>32.700000000000003</v>
      </c>
      <c r="AR10" s="20">
        <f t="shared" si="13"/>
        <v>54</v>
      </c>
      <c r="AS10" s="35">
        <f t="shared" si="29"/>
        <v>242.7</v>
      </c>
      <c r="AU10" s="47">
        <v>389914</v>
      </c>
      <c r="AV10" s="37">
        <f t="shared" ref="AV10:AV26" si="31">IF((AU10-AU9&lt;0),"0",AU10-AU9)</f>
        <v>1687</v>
      </c>
      <c r="AW10" s="35">
        <f t="shared" si="30"/>
        <v>3.3740000000000001</v>
      </c>
    </row>
    <row r="11" spans="1:49" x14ac:dyDescent="0.25">
      <c r="A11" s="23">
        <v>44201</v>
      </c>
      <c r="B11" s="40">
        <v>70</v>
      </c>
      <c r="C11" s="24">
        <v>6510180</v>
      </c>
      <c r="D11" s="24">
        <v>15044180</v>
      </c>
      <c r="E11" s="24">
        <v>2280670</v>
      </c>
      <c r="F11" s="24">
        <v>3233450</v>
      </c>
      <c r="G11" s="24">
        <v>9727070</v>
      </c>
      <c r="H11" s="24">
        <v>5034710</v>
      </c>
      <c r="I11" s="24">
        <v>4722480</v>
      </c>
      <c r="J11" s="24">
        <v>5403360</v>
      </c>
      <c r="K11" s="24">
        <v>8464750</v>
      </c>
      <c r="L11" s="24">
        <v>3455610</v>
      </c>
      <c r="M11" s="24">
        <v>7397810</v>
      </c>
      <c r="N11" s="24">
        <v>10998860</v>
      </c>
      <c r="O11" s="24">
        <v>15049690</v>
      </c>
      <c r="Q11" s="37">
        <f t="shared" si="16"/>
        <v>510</v>
      </c>
      <c r="R11" s="37">
        <f t="shared" si="17"/>
        <v>1800</v>
      </c>
      <c r="S11" s="37">
        <f t="shared" si="15"/>
        <v>2500</v>
      </c>
      <c r="T11" s="37">
        <f t="shared" si="18"/>
        <v>1390</v>
      </c>
      <c r="U11" s="37">
        <f t="shared" si="19"/>
        <v>4830</v>
      </c>
      <c r="V11" s="37">
        <f t="shared" si="20"/>
        <v>3230</v>
      </c>
      <c r="W11" s="37">
        <f t="shared" si="21"/>
        <v>2270</v>
      </c>
      <c r="X11" s="37">
        <f t="shared" si="22"/>
        <v>3750</v>
      </c>
      <c r="Y11" s="37">
        <f t="shared" si="23"/>
        <v>5480</v>
      </c>
      <c r="Z11" s="37">
        <f t="shared" si="24"/>
        <v>2330</v>
      </c>
      <c r="AA11" s="37">
        <f t="shared" si="25"/>
        <v>3150</v>
      </c>
      <c r="AB11" s="37">
        <f t="shared" si="26"/>
        <v>6250</v>
      </c>
      <c r="AC11" s="37">
        <f t="shared" si="27"/>
        <v>10800</v>
      </c>
      <c r="AD11" s="35">
        <f t="shared" si="28"/>
        <v>48290</v>
      </c>
      <c r="AF11" s="20">
        <f t="shared" si="1"/>
        <v>2.5500000000000003</v>
      </c>
      <c r="AG11" s="20">
        <f t="shared" si="2"/>
        <v>9</v>
      </c>
      <c r="AH11" s="20">
        <f t="shared" si="3"/>
        <v>12.5</v>
      </c>
      <c r="AI11" s="20">
        <f t="shared" si="4"/>
        <v>6.95</v>
      </c>
      <c r="AJ11" s="20">
        <f t="shared" si="5"/>
        <v>24.150000000000002</v>
      </c>
      <c r="AK11" s="20">
        <f t="shared" si="6"/>
        <v>16.149999999999999</v>
      </c>
      <c r="AL11" s="20">
        <f t="shared" si="7"/>
        <v>11.35</v>
      </c>
      <c r="AM11" s="20">
        <f t="shared" si="8"/>
        <v>18.75</v>
      </c>
      <c r="AN11" s="20">
        <f t="shared" si="9"/>
        <v>27.400000000000002</v>
      </c>
      <c r="AO11" s="20">
        <f t="shared" si="10"/>
        <v>11.65</v>
      </c>
      <c r="AP11" s="20">
        <f t="shared" si="11"/>
        <v>15.75</v>
      </c>
      <c r="AQ11" s="20">
        <f t="shared" si="12"/>
        <v>31.25</v>
      </c>
      <c r="AR11" s="20">
        <f t="shared" si="13"/>
        <v>54</v>
      </c>
      <c r="AS11" s="35">
        <f t="shared" si="29"/>
        <v>241.45000000000002</v>
      </c>
      <c r="AU11" s="47">
        <v>392160</v>
      </c>
      <c r="AV11" s="37">
        <f t="shared" si="31"/>
        <v>2246</v>
      </c>
      <c r="AW11" s="35">
        <f t="shared" si="30"/>
        <v>4.492</v>
      </c>
    </row>
    <row r="12" spans="1:49" x14ac:dyDescent="0.25">
      <c r="A12" s="23">
        <v>44202</v>
      </c>
      <c r="B12" s="40">
        <v>66</v>
      </c>
      <c r="C12" s="49">
        <v>6510730</v>
      </c>
      <c r="D12" s="24">
        <v>15046110</v>
      </c>
      <c r="E12" s="24">
        <v>2283340</v>
      </c>
      <c r="F12" s="24">
        <v>3234930</v>
      </c>
      <c r="G12" s="24">
        <v>9732670</v>
      </c>
      <c r="H12" s="24">
        <v>5038140</v>
      </c>
      <c r="I12" s="24">
        <v>4724890</v>
      </c>
      <c r="J12" s="24">
        <v>5407240</v>
      </c>
      <c r="K12" s="24">
        <v>8470510</v>
      </c>
      <c r="L12" s="24">
        <v>3458210</v>
      </c>
      <c r="M12" s="24">
        <v>7401200</v>
      </c>
      <c r="N12" s="24">
        <v>11005570</v>
      </c>
      <c r="O12" s="24">
        <v>15060800</v>
      </c>
      <c r="Q12" s="37">
        <f t="shared" si="16"/>
        <v>550</v>
      </c>
      <c r="R12" s="37">
        <f t="shared" si="17"/>
        <v>1930</v>
      </c>
      <c r="S12" s="37">
        <f t="shared" si="15"/>
        <v>2670</v>
      </c>
      <c r="T12" s="37">
        <f t="shared" ref="T12:W14" si="32">IF((F12-F11&lt;0), "0",F12-F11)</f>
        <v>1480</v>
      </c>
      <c r="U12" s="37">
        <f t="shared" si="32"/>
        <v>5600</v>
      </c>
      <c r="V12" s="37">
        <f t="shared" si="32"/>
        <v>3430</v>
      </c>
      <c r="W12" s="37">
        <f t="shared" si="32"/>
        <v>2410</v>
      </c>
      <c r="X12" s="37">
        <f t="shared" si="22"/>
        <v>3880</v>
      </c>
      <c r="Y12" s="37">
        <f t="shared" si="23"/>
        <v>5760</v>
      </c>
      <c r="Z12" s="37">
        <f>IF((L12-L11&lt;0), "0",L12-L11)</f>
        <v>2600</v>
      </c>
      <c r="AA12" s="37">
        <f t="shared" si="25"/>
        <v>3390</v>
      </c>
      <c r="AB12" s="37">
        <f t="shared" si="26"/>
        <v>6710</v>
      </c>
      <c r="AC12" s="37">
        <f t="shared" si="27"/>
        <v>11110</v>
      </c>
      <c r="AD12" s="35">
        <f t="shared" si="28"/>
        <v>51520</v>
      </c>
      <c r="AF12" s="20">
        <f t="shared" si="1"/>
        <v>2.75</v>
      </c>
      <c r="AG12" s="20">
        <f t="shared" si="2"/>
        <v>9.65</v>
      </c>
      <c r="AH12" s="20">
        <f t="shared" si="3"/>
        <v>13.35</v>
      </c>
      <c r="AI12" s="20">
        <f t="shared" si="4"/>
        <v>7.4</v>
      </c>
      <c r="AJ12" s="20">
        <f t="shared" si="5"/>
        <v>28</v>
      </c>
      <c r="AK12" s="20">
        <f t="shared" si="6"/>
        <v>17.150000000000002</v>
      </c>
      <c r="AL12" s="20">
        <f t="shared" si="7"/>
        <v>12.05</v>
      </c>
      <c r="AM12" s="20">
        <f t="shared" si="8"/>
        <v>19.400000000000002</v>
      </c>
      <c r="AN12" s="20">
        <f t="shared" si="9"/>
        <v>28.8</v>
      </c>
      <c r="AO12" s="20">
        <f t="shared" si="10"/>
        <v>13</v>
      </c>
      <c r="AP12" s="20">
        <f t="shared" si="11"/>
        <v>16.95</v>
      </c>
      <c r="AQ12" s="20">
        <f t="shared" si="12"/>
        <v>33.549999999999997</v>
      </c>
      <c r="AR12" s="20">
        <f t="shared" si="13"/>
        <v>55.550000000000004</v>
      </c>
      <c r="AS12" s="35">
        <f t="shared" si="29"/>
        <v>257.60000000000002</v>
      </c>
      <c r="AU12" s="47">
        <v>393281</v>
      </c>
      <c r="AV12" s="37">
        <f t="shared" si="31"/>
        <v>1121</v>
      </c>
      <c r="AW12" s="35">
        <f t="shared" si="30"/>
        <v>2.242</v>
      </c>
    </row>
    <row r="13" spans="1:49" x14ac:dyDescent="0.25">
      <c r="A13" s="23">
        <v>44203</v>
      </c>
      <c r="B13" s="40">
        <v>114</v>
      </c>
      <c r="C13" s="24">
        <v>6510930</v>
      </c>
      <c r="D13" s="24">
        <v>15048821</v>
      </c>
      <c r="E13" s="24">
        <v>2286540</v>
      </c>
      <c r="F13" s="24">
        <v>3235842</v>
      </c>
      <c r="G13" s="24">
        <v>9738561</v>
      </c>
      <c r="H13" s="24">
        <v>5042120</v>
      </c>
      <c r="I13" s="24">
        <v>4726921</v>
      </c>
      <c r="J13" s="24">
        <v>5409532</v>
      </c>
      <c r="K13" s="24">
        <v>8479832</v>
      </c>
      <c r="L13" s="24">
        <v>3459411</v>
      </c>
      <c r="M13" s="24">
        <v>7405782</v>
      </c>
      <c r="N13" s="24">
        <v>11009523</v>
      </c>
      <c r="O13" s="24">
        <v>15073521</v>
      </c>
      <c r="Q13" s="37">
        <f t="shared" si="16"/>
        <v>200</v>
      </c>
      <c r="R13" s="37">
        <f t="shared" si="17"/>
        <v>2711</v>
      </c>
      <c r="S13" s="37">
        <f t="shared" si="15"/>
        <v>3200</v>
      </c>
      <c r="T13" s="37">
        <f t="shared" si="32"/>
        <v>912</v>
      </c>
      <c r="U13" s="37">
        <f t="shared" si="32"/>
        <v>5891</v>
      </c>
      <c r="V13" s="37">
        <f t="shared" si="32"/>
        <v>3980</v>
      </c>
      <c r="W13" s="37">
        <f t="shared" si="32"/>
        <v>2031</v>
      </c>
      <c r="X13" s="37">
        <f t="shared" si="22"/>
        <v>2292</v>
      </c>
      <c r="Y13" s="37">
        <f t="shared" si="23"/>
        <v>9322</v>
      </c>
      <c r="Z13" s="37">
        <f>IF((L13-L12&lt;0), "0",L13-L12)</f>
        <v>1201</v>
      </c>
      <c r="AA13" s="37">
        <f t="shared" si="25"/>
        <v>4582</v>
      </c>
      <c r="AB13" s="37">
        <f t="shared" si="26"/>
        <v>3953</v>
      </c>
      <c r="AC13" s="37">
        <f t="shared" si="27"/>
        <v>12721</v>
      </c>
      <c r="AD13" s="35">
        <f t="shared" si="28"/>
        <v>52996</v>
      </c>
      <c r="AF13" s="20">
        <f t="shared" si="1"/>
        <v>1</v>
      </c>
      <c r="AG13" s="20">
        <f t="shared" si="2"/>
        <v>13.555</v>
      </c>
      <c r="AH13" s="20">
        <f t="shared" si="3"/>
        <v>16</v>
      </c>
      <c r="AI13" s="20">
        <f t="shared" si="4"/>
        <v>4.5600000000000005</v>
      </c>
      <c r="AJ13" s="20">
        <f t="shared" si="5"/>
        <v>29.455000000000002</v>
      </c>
      <c r="AK13" s="20">
        <f t="shared" si="6"/>
        <v>19.900000000000002</v>
      </c>
      <c r="AL13" s="20">
        <f t="shared" si="7"/>
        <v>10.154999999999999</v>
      </c>
      <c r="AM13" s="20">
        <f t="shared" si="8"/>
        <v>11.46</v>
      </c>
      <c r="AN13" s="20">
        <f t="shared" si="9"/>
        <v>46.61</v>
      </c>
      <c r="AO13" s="20">
        <f t="shared" si="10"/>
        <v>6.0049999999999999</v>
      </c>
      <c r="AP13" s="20">
        <f t="shared" si="11"/>
        <v>22.91</v>
      </c>
      <c r="AQ13" s="20">
        <f t="shared" si="12"/>
        <v>19.765000000000001</v>
      </c>
      <c r="AR13" s="20">
        <f t="shared" si="13"/>
        <v>63.605000000000004</v>
      </c>
      <c r="AS13" s="35">
        <f t="shared" si="29"/>
        <v>264.98</v>
      </c>
      <c r="AU13" s="47">
        <v>395123</v>
      </c>
      <c r="AV13" s="37">
        <f t="shared" si="31"/>
        <v>1842</v>
      </c>
      <c r="AW13" s="35">
        <f t="shared" si="30"/>
        <v>3.6840000000000002</v>
      </c>
    </row>
    <row r="14" spans="1:49" x14ac:dyDescent="0.25">
      <c r="A14" s="23">
        <v>44204</v>
      </c>
      <c r="B14" s="40">
        <v>133</v>
      </c>
      <c r="C14" s="24">
        <v>6511850</v>
      </c>
      <c r="D14" s="24">
        <v>15049940</v>
      </c>
      <c r="E14" s="24">
        <v>2288580</v>
      </c>
      <c r="F14" s="24">
        <v>3237910</v>
      </c>
      <c r="G14" s="24">
        <v>9749000</v>
      </c>
      <c r="H14" s="24">
        <v>5045200</v>
      </c>
      <c r="I14" s="24">
        <v>4729690</v>
      </c>
      <c r="J14" s="24">
        <v>5415390</v>
      </c>
      <c r="K14" s="24">
        <v>8482200</v>
      </c>
      <c r="L14" s="24">
        <v>3463590</v>
      </c>
      <c r="M14" s="24">
        <v>7408480</v>
      </c>
      <c r="N14" s="24">
        <v>11019230</v>
      </c>
      <c r="O14" s="24">
        <v>15084020</v>
      </c>
      <c r="P14" s="54"/>
      <c r="Q14" s="37">
        <f t="shared" si="16"/>
        <v>920</v>
      </c>
      <c r="R14" s="37">
        <f t="shared" si="17"/>
        <v>1119</v>
      </c>
      <c r="S14" s="37">
        <f t="shared" si="15"/>
        <v>2040</v>
      </c>
      <c r="T14" s="37">
        <f t="shared" si="32"/>
        <v>2068</v>
      </c>
      <c r="U14" s="37">
        <f t="shared" si="32"/>
        <v>10439</v>
      </c>
      <c r="V14" s="37">
        <f t="shared" si="32"/>
        <v>3080</v>
      </c>
      <c r="W14" s="37">
        <f t="shared" si="32"/>
        <v>2769</v>
      </c>
      <c r="X14" s="37">
        <f t="shared" si="22"/>
        <v>5858</v>
      </c>
      <c r="Y14" s="37">
        <f t="shared" si="23"/>
        <v>2368</v>
      </c>
      <c r="Z14" s="37">
        <f>IF((L14-L13&lt;0), "0",L14-L13)</f>
        <v>4179</v>
      </c>
      <c r="AA14" s="37">
        <f t="shared" si="25"/>
        <v>2698</v>
      </c>
      <c r="AB14" s="37">
        <f t="shared" si="26"/>
        <v>9707</v>
      </c>
      <c r="AC14" s="37">
        <f t="shared" si="27"/>
        <v>10499</v>
      </c>
      <c r="AD14" s="35">
        <f t="shared" si="28"/>
        <v>57744</v>
      </c>
      <c r="AF14" s="20">
        <f t="shared" si="1"/>
        <v>4.6000000000000005</v>
      </c>
      <c r="AG14" s="20">
        <f t="shared" si="2"/>
        <v>5.5949999999999998</v>
      </c>
      <c r="AH14" s="20">
        <f t="shared" si="3"/>
        <v>10.200000000000001</v>
      </c>
      <c r="AI14" s="20">
        <f t="shared" si="4"/>
        <v>10.34</v>
      </c>
      <c r="AJ14" s="20">
        <f t="shared" si="5"/>
        <v>52.195</v>
      </c>
      <c r="AK14" s="20">
        <f t="shared" si="6"/>
        <v>15.4</v>
      </c>
      <c r="AL14" s="20">
        <f t="shared" si="7"/>
        <v>13.845000000000001</v>
      </c>
      <c r="AM14" s="20">
        <f t="shared" si="8"/>
        <v>29.29</v>
      </c>
      <c r="AN14" s="20">
        <f t="shared" si="9"/>
        <v>11.84</v>
      </c>
      <c r="AO14" s="20">
        <f t="shared" si="10"/>
        <v>20.895</v>
      </c>
      <c r="AP14" s="20">
        <f t="shared" si="11"/>
        <v>13.49</v>
      </c>
      <c r="AQ14" s="20">
        <f t="shared" si="12"/>
        <v>48.535000000000004</v>
      </c>
      <c r="AR14" s="20">
        <f t="shared" si="13"/>
        <v>52.495000000000005</v>
      </c>
      <c r="AS14" s="35">
        <f t="shared" si="29"/>
        <v>288.72000000000003</v>
      </c>
      <c r="AU14" s="47">
        <v>396696</v>
      </c>
      <c r="AV14" s="37">
        <f t="shared" si="31"/>
        <v>1573</v>
      </c>
      <c r="AW14" s="35">
        <f t="shared" si="30"/>
        <v>3.1459999999999999</v>
      </c>
    </row>
    <row r="15" spans="1:49" x14ac:dyDescent="0.25">
      <c r="A15" s="23">
        <v>44205</v>
      </c>
      <c r="B15" s="40">
        <v>80</v>
      </c>
      <c r="C15" s="24">
        <v>6512370</v>
      </c>
      <c r="D15" s="24">
        <v>15051770</v>
      </c>
      <c r="E15" s="24">
        <v>2291020</v>
      </c>
      <c r="F15" s="24">
        <v>3239310</v>
      </c>
      <c r="G15" s="24">
        <v>9749500</v>
      </c>
      <c r="H15" s="24">
        <v>5048670</v>
      </c>
      <c r="I15" s="24">
        <v>4731950</v>
      </c>
      <c r="J15" s="24">
        <v>5419100</v>
      </c>
      <c r="K15" s="24">
        <v>8487750</v>
      </c>
      <c r="L15" s="24">
        <v>3466060</v>
      </c>
      <c r="M15" s="24">
        <v>7411960</v>
      </c>
      <c r="N15" s="24">
        <v>11025690</v>
      </c>
      <c r="O15" s="24">
        <v>15094870</v>
      </c>
      <c r="Q15" s="37">
        <f t="shared" si="16"/>
        <v>520</v>
      </c>
      <c r="R15" s="37">
        <f t="shared" si="17"/>
        <v>1830</v>
      </c>
      <c r="S15" s="37">
        <f t="shared" si="15"/>
        <v>2440</v>
      </c>
      <c r="T15" s="37">
        <f t="shared" si="18"/>
        <v>1400</v>
      </c>
      <c r="U15" s="37">
        <f t="shared" si="19"/>
        <v>500</v>
      </c>
      <c r="V15" s="37">
        <f t="shared" si="20"/>
        <v>3470</v>
      </c>
      <c r="W15" s="37">
        <f t="shared" si="21"/>
        <v>2260</v>
      </c>
      <c r="X15" s="37">
        <f t="shared" si="22"/>
        <v>3710</v>
      </c>
      <c r="Y15" s="37">
        <f t="shared" si="23"/>
        <v>5550</v>
      </c>
      <c r="Z15" s="37">
        <f t="shared" si="24"/>
        <v>2470</v>
      </c>
      <c r="AA15" s="37">
        <f t="shared" si="25"/>
        <v>3480</v>
      </c>
      <c r="AB15" s="37">
        <f t="shared" si="26"/>
        <v>6460</v>
      </c>
      <c r="AC15" s="37">
        <f t="shared" si="27"/>
        <v>10850</v>
      </c>
      <c r="AD15" s="35">
        <f t="shared" si="28"/>
        <v>44940</v>
      </c>
      <c r="AF15" s="20">
        <f t="shared" si="1"/>
        <v>2.6</v>
      </c>
      <c r="AG15" s="20">
        <f t="shared" si="2"/>
        <v>9.15</v>
      </c>
      <c r="AH15" s="20">
        <f t="shared" si="3"/>
        <v>12.200000000000001</v>
      </c>
      <c r="AI15" s="20">
        <f t="shared" si="4"/>
        <v>7</v>
      </c>
      <c r="AJ15" s="20">
        <f t="shared" si="5"/>
        <v>2.5</v>
      </c>
      <c r="AK15" s="20">
        <f t="shared" si="6"/>
        <v>17.350000000000001</v>
      </c>
      <c r="AL15" s="20">
        <f t="shared" si="7"/>
        <v>11.3</v>
      </c>
      <c r="AM15" s="20">
        <f t="shared" si="8"/>
        <v>18.55</v>
      </c>
      <c r="AN15" s="20">
        <f t="shared" si="9"/>
        <v>27.75</v>
      </c>
      <c r="AO15" s="20">
        <f t="shared" si="10"/>
        <v>12.35</v>
      </c>
      <c r="AP15" s="20">
        <f t="shared" si="11"/>
        <v>17.400000000000002</v>
      </c>
      <c r="AQ15" s="20">
        <f t="shared" si="12"/>
        <v>32.299999999999997</v>
      </c>
      <c r="AR15" s="20">
        <f t="shared" si="13"/>
        <v>54.25</v>
      </c>
      <c r="AS15" s="35">
        <f t="shared" si="29"/>
        <v>224.7</v>
      </c>
      <c r="AU15" s="47">
        <v>398982</v>
      </c>
      <c r="AV15" s="37">
        <f t="shared" si="31"/>
        <v>2286</v>
      </c>
      <c r="AW15" s="35">
        <f t="shared" si="30"/>
        <v>4.5720000000000001</v>
      </c>
    </row>
    <row r="16" spans="1:49" x14ac:dyDescent="0.25">
      <c r="A16" s="23">
        <v>44206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6"/>
        <v>0</v>
      </c>
      <c r="R16" s="37" t="str">
        <f t="shared" si="17"/>
        <v>0</v>
      </c>
      <c r="S16" s="37" t="str">
        <f t="shared" si="15"/>
        <v>0</v>
      </c>
      <c r="T16" s="37" t="str">
        <f t="shared" si="18"/>
        <v>0</v>
      </c>
      <c r="U16" s="37" t="str">
        <f t="shared" si="19"/>
        <v>0</v>
      </c>
      <c r="V16" s="37" t="str">
        <f t="shared" si="20"/>
        <v>0</v>
      </c>
      <c r="W16" s="37" t="str">
        <f t="shared" si="21"/>
        <v>0</v>
      </c>
      <c r="X16" s="37" t="str">
        <f t="shared" si="22"/>
        <v>0</v>
      </c>
      <c r="Y16" s="37" t="str">
        <f t="shared" si="23"/>
        <v>0</v>
      </c>
      <c r="Z16" s="37" t="str">
        <f t="shared" si="24"/>
        <v>0</v>
      </c>
      <c r="AA16" s="37" t="str">
        <f t="shared" si="25"/>
        <v>0</v>
      </c>
      <c r="AB16" s="37" t="str">
        <f t="shared" si="26"/>
        <v>0</v>
      </c>
      <c r="AC16" s="37" t="str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 t="str">
        <f t="shared" si="31"/>
        <v>0</v>
      </c>
      <c r="AW16" s="35">
        <f t="shared" si="30"/>
        <v>0</v>
      </c>
    </row>
    <row r="17" spans="1:49" x14ac:dyDescent="0.25">
      <c r="A17" s="23">
        <v>44207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44208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44209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44210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44211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44212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44213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44214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44215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44216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44217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44218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44219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44220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44221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44222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44223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44224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44225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44226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44227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4960</v>
      </c>
      <c r="R38" s="30">
        <f t="shared" si="62"/>
        <v>16820</v>
      </c>
      <c r="S38" s="30">
        <f t="shared" si="62"/>
        <v>23690</v>
      </c>
      <c r="T38" s="30">
        <f t="shared" si="62"/>
        <v>13000</v>
      </c>
      <c r="U38" s="30">
        <f t="shared" si="62"/>
        <v>51780</v>
      </c>
      <c r="V38" s="30">
        <f t="shared" si="62"/>
        <v>30970</v>
      </c>
      <c r="W38" s="30">
        <f t="shared" si="62"/>
        <v>21060</v>
      </c>
      <c r="X38" s="30">
        <f t="shared" si="62"/>
        <v>34360</v>
      </c>
      <c r="Y38" s="30">
        <f t="shared" si="62"/>
        <v>50230</v>
      </c>
      <c r="Z38" s="30">
        <f t="shared" si="62"/>
        <v>23720</v>
      </c>
      <c r="AA38" s="30">
        <f t="shared" si="62"/>
        <v>32820</v>
      </c>
      <c r="AB38" s="30">
        <f t="shared" si="62"/>
        <v>60400</v>
      </c>
      <c r="AC38" s="30">
        <f t="shared" si="62"/>
        <v>99710</v>
      </c>
      <c r="AD38" s="35">
        <f t="shared" si="62"/>
        <v>463520</v>
      </c>
      <c r="AF38" s="35">
        <f t="shared" ref="AF38:AS38" si="63">SUM(AF7:AF34)</f>
        <v>24.800000000000004</v>
      </c>
      <c r="AG38" s="35">
        <f t="shared" si="63"/>
        <v>84.100000000000009</v>
      </c>
      <c r="AH38" s="35">
        <f t="shared" si="63"/>
        <v>118.45</v>
      </c>
      <c r="AI38" s="35">
        <f t="shared" si="63"/>
        <v>65</v>
      </c>
      <c r="AJ38" s="35">
        <f t="shared" si="63"/>
        <v>258.90000000000003</v>
      </c>
      <c r="AK38" s="35">
        <f t="shared" si="63"/>
        <v>154.85000000000002</v>
      </c>
      <c r="AL38" s="35">
        <f t="shared" si="63"/>
        <v>105.3</v>
      </c>
      <c r="AM38" s="35">
        <f t="shared" si="63"/>
        <v>171.8</v>
      </c>
      <c r="AN38" s="35">
        <f t="shared" si="63"/>
        <v>251.15</v>
      </c>
      <c r="AO38" s="35">
        <f t="shared" si="63"/>
        <v>118.6</v>
      </c>
      <c r="AP38" s="35">
        <f t="shared" si="63"/>
        <v>164.10000000000002</v>
      </c>
      <c r="AQ38" s="35">
        <f t="shared" si="63"/>
        <v>302.00000000000006</v>
      </c>
      <c r="AR38" s="35">
        <f t="shared" si="63"/>
        <v>498.55</v>
      </c>
      <c r="AS38" s="35">
        <f t="shared" si="63"/>
        <v>2317.6000000000004</v>
      </c>
      <c r="AU38" s="48"/>
      <c r="AV38" s="35">
        <f>SUM(AV7:AV34)</f>
        <v>16169</v>
      </c>
      <c r="AW38" s="35">
        <f>SUM(AW7:AW34)</f>
        <v>24.180000000000003</v>
      </c>
    </row>
    <row r="39" spans="1:49" x14ac:dyDescent="0.25">
      <c r="D39">
        <v>5.0000000000000001E-3</v>
      </c>
      <c r="AV39" s="36">
        <f>AV38*0.00378541*1000</f>
        <v>61206.294289999998</v>
      </c>
    </row>
    <row r="40" spans="1:49" x14ac:dyDescent="0.25">
      <c r="D40">
        <v>2E-3</v>
      </c>
      <c r="AV40">
        <f>AV39/31</f>
        <v>1974.3965899999998</v>
      </c>
    </row>
    <row r="41" spans="1:49" x14ac:dyDescent="0.25">
      <c r="AV41">
        <f>AV38*0.00378541</f>
        <v>61.206294289999995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2021-01-10T06:07:20Z</dcterms:modified>
</cp:coreProperties>
</file>