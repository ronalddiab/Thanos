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32" i="3" l="1"/>
  <c r="L32" i="1"/>
  <c r="K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<sst xmlns="http://schemas.openxmlformats.org/spreadsheetml/2006/main" count="108" uniqueCount="33">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</sst>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E29" sqref="E29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91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v>2021</v>
      </c>
      <c r="E4" s="20">
        <f>Submetering!E4</f>
        <v>7620.15</v>
      </c>
      <c r="F4" s="16">
        <v>0.12</v>
      </c>
      <c r="G4" s="20">
        <f>Submetering!F4+Submetering!G4</f>
        <v>785.62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2021</v>
      </c>
      <c r="E5" s="20">
        <f>Submetering!E5</f>
        <v>7669.09</v>
      </c>
      <c r="F5" s="16">
        <v>0.12</v>
      </c>
      <c r="G5" s="20">
        <f>Submetering!F5+Submetering!G5</f>
        <v>704.49</v>
      </c>
      <c r="H5" s="16">
        <v>0.71</v>
      </c>
      <c r="I5" s="20">
        <f>Submetering!J5+Submetering!I5+Submetering!H5</f>
        <v>99.87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2021</v>
      </c>
      <c r="E6" s="20">
        <f>Submetering!E6</f>
        <v>7244.1</v>
      </c>
      <c r="F6" s="16">
        <v>0.12</v>
      </c>
      <c r="G6" s="20">
        <f>Submetering!F6+Submetering!G6</f>
        <v>797.45</v>
      </c>
      <c r="H6" s="16">
        <v>0.71</v>
      </c>
      <c r="I6" s="20">
        <f>Submetering!J6+Submetering!I6+Submetering!H6</f>
        <v>86.37</v>
      </c>
      <c r="J6" s="16">
        <v>2.3196172978505634</v>
      </c>
      <c r="K6" s="20">
        <f>Submetering!K6</f>
        <v>87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2021</v>
      </c>
      <c r="E7" s="20">
        <f>Submetering!E7</f>
        <v>6930.38</v>
      </c>
      <c r="F7" s="16">
        <v>0.12</v>
      </c>
      <c r="G7" s="20">
        <f>Submetering!F7+Submetering!G7</f>
        <v>806.81</v>
      </c>
      <c r="H7" s="16">
        <v>0.71</v>
      </c>
      <c r="I7" s="20">
        <f>Submetering!J7+Submetering!I7+Submetering!H7</f>
        <v>90.46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2021</v>
      </c>
      <c r="E8" s="20">
        <f>Submetering!E8</f>
        <v>7250.21</v>
      </c>
      <c r="F8" s="16">
        <v>0.12</v>
      </c>
      <c r="G8" s="20">
        <f>Submetering!F8+Submetering!G8</f>
        <v>773.34</v>
      </c>
      <c r="H8" s="16">
        <v>0.71</v>
      </c>
      <c r="I8" s="20">
        <f>Submetering!J8+Submetering!I8+Submetering!H8</f>
        <v>91.6</v>
      </c>
      <c r="J8" s="16">
        <v>2.3196172978505634</v>
      </c>
      <c r="K8" s="20">
        <f>Submetering!K8</f>
        <v>80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2021</v>
      </c>
      <c r="E9" s="20">
        <f>Submetering!E9</f>
        <v>7354.01</v>
      </c>
      <c r="F9" s="16">
        <v>0.12</v>
      </c>
      <c r="G9" s="20">
        <f>Submetering!F9+Submetering!G9</f>
        <v>778.18</v>
      </c>
      <c r="H9" s="16">
        <v>0.71</v>
      </c>
      <c r="I9" s="20">
        <f>Submetering!J9+Submetering!I9+Submetering!H9</f>
        <v>92.13</v>
      </c>
      <c r="J9" s="16">
        <v>2.3196172978505634</v>
      </c>
      <c r="K9" s="20">
        <f>Submetering!K9</f>
        <v>79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2021</v>
      </c>
      <c r="E10" s="20">
        <f>Submetering!E10</f>
        <v>7264.28</v>
      </c>
      <c r="F10" s="16">
        <v>0.12</v>
      </c>
      <c r="G10" s="20">
        <f>Submetering!F10+Submetering!G10</f>
        <v>739.03000000000009</v>
      </c>
      <c r="H10" s="16">
        <v>0.71</v>
      </c>
      <c r="I10" s="20">
        <f>Submetering!J10+Submetering!I10+Submetering!H10</f>
        <v>81</v>
      </c>
      <c r="J10" s="16">
        <v>2.3196172978505634</v>
      </c>
      <c r="K10" s="20">
        <f>Submetering!K10</f>
        <v>83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2021</v>
      </c>
      <c r="E11" s="20">
        <f>Submetering!E11</f>
        <v>7511.81</v>
      </c>
      <c r="F11" s="16">
        <v>0.12</v>
      </c>
      <c r="G11" s="20">
        <f>Submetering!F11+Submetering!G11</f>
        <v>804.95999999999992</v>
      </c>
      <c r="H11" s="16">
        <v>0.71</v>
      </c>
      <c r="I11" s="20">
        <f>Submetering!J11+Submetering!I11+Submetering!H11</f>
        <v>93.53</v>
      </c>
      <c r="J11" s="16">
        <v>2.3196172978505634</v>
      </c>
      <c r="K11" s="20">
        <f>Submetering!K11</f>
        <v>67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2021</v>
      </c>
      <c r="E12" s="20">
        <f>Submetering!E12</f>
        <v>7444.61</v>
      </c>
      <c r="F12" s="16">
        <v>0.12</v>
      </c>
      <c r="G12" s="20">
        <f>Submetering!F12+Submetering!G12</f>
        <v>763.74</v>
      </c>
      <c r="H12" s="16">
        <v>0.71</v>
      </c>
      <c r="I12" s="20">
        <f>Submetering!J12+Submetering!I12+Submetering!H12</f>
        <v>96.46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2021</v>
      </c>
      <c r="E13" s="20">
        <f>Submetering!E13</f>
        <v>7016.29</v>
      </c>
      <c r="F13" s="16">
        <v>0.12</v>
      </c>
      <c r="G13" s="20">
        <f>Submetering!F13+Submetering!G13</f>
        <v>779.6</v>
      </c>
      <c r="H13" s="16">
        <v>0.71</v>
      </c>
      <c r="I13" s="20">
        <f>Submetering!J13+Submetering!I13+Submetering!H13</f>
        <v>70.94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2021</v>
      </c>
      <c r="E14" s="20">
        <f>Submetering!E14</f>
        <v>7131.41</v>
      </c>
      <c r="F14" s="16">
        <v>0.12</v>
      </c>
      <c r="G14" s="20">
        <f>Submetering!F14+Submetering!G14</f>
        <v>799.56000000000006</v>
      </c>
      <c r="H14" s="16">
        <v>0.71</v>
      </c>
      <c r="I14" s="20">
        <f>Submetering!J14+Submetering!I14+Submetering!H14</f>
        <v>89.23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2021</v>
      </c>
      <c r="E15" s="20">
        <f>Submetering!E15</f>
        <v>6869.48</v>
      </c>
      <c r="F15" s="16">
        <v>0.12</v>
      </c>
      <c r="G15" s="20">
        <f>Submetering!F15+Submetering!G15</f>
        <v>823.71</v>
      </c>
      <c r="H15" s="16">
        <v>0.71</v>
      </c>
      <c r="I15" s="20">
        <f>Submetering!J15+Submetering!I15+Submetering!H15</f>
        <v>73.36</v>
      </c>
      <c r="J15" s="16">
        <v>2.3196172978505634</v>
      </c>
      <c r="K15" s="20">
        <f>Submetering!K15</f>
        <v>74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2021</v>
      </c>
      <c r="E16" s="20">
        <f>Submetering!E16</f>
        <v>6671.51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78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 s="6">
        <v>66</v>
      </c>
    </row>
    <row r="3" spans="1:12" x14ac:dyDescent="0.25">
      <c r="A3" s="17" t="s">
        <v>32</v>
      </c>
      <c r="B3" s="6">
        <f>B2+1</f>
        <v>2</v>
      </c>
      <c r="C3" s="6">
        <f>C2</f>
        <v>12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6">
        <v>91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6">
        <v>2021</v>
      </c>
      <c r="E4" s="20">
        <v>7620.15</v>
      </c>
      <c r="F4" s="36">
        <v>773.25</v>
      </c>
      <c r="G4" s="36">
        <v>12.37</v>
      </c>
      <c r="H4" s="35">
        <v>2.02</v>
      </c>
      <c r="I4" s="35">
        <v>36</v>
      </c>
      <c r="J4" s="35">
        <v>53</v>
      </c>
      <c r="K4" s="6">
        <v>101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12</v>
      </c>
      <c r="D5" s="6">
        <v>2021</v>
      </c>
      <c r="E5" s="20">
        <v>7669.09</v>
      </c>
      <c r="F5" s="36">
        <v>689.38</v>
      </c>
      <c r="G5" s="36">
        <v>15.11</v>
      </c>
      <c r="H5" s="35">
        <v>1.87</v>
      </c>
      <c r="I5" s="35">
        <v>36</v>
      </c>
      <c r="J5" s="35">
        <v>62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12</v>
      </c>
      <c r="D6" s="6">
        <v>2021</v>
      </c>
      <c r="E6" s="20">
        <v>7244.1</v>
      </c>
      <c r="F6" s="36">
        <v>781.85</v>
      </c>
      <c r="G6" s="36">
        <v>15.6</v>
      </c>
      <c r="H6" s="35">
        <v>1.87</v>
      </c>
      <c r="I6" s="35">
        <v>30</v>
      </c>
      <c r="J6" s="35">
        <v>54.5</v>
      </c>
      <c r="K6" s="6">
        <v>87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12</v>
      </c>
      <c r="D7" s="6">
        <v>2021</v>
      </c>
      <c r="E7" s="20">
        <v>6930.38</v>
      </c>
      <c r="F7" s="36">
        <v>784.9</v>
      </c>
      <c r="G7" s="36">
        <v>21.91</v>
      </c>
      <c r="H7" s="35">
        <v>5.96</v>
      </c>
      <c r="I7" s="35">
        <v>32.5</v>
      </c>
      <c r="J7" s="35">
        <v>52</v>
      </c>
      <c r="K7" s="6">
        <v>91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12</v>
      </c>
      <c r="D8" s="6">
        <v>2021</v>
      </c>
      <c r="E8" s="20">
        <v>7250.21</v>
      </c>
      <c r="F8" s="36">
        <v>758.4</v>
      </c>
      <c r="G8" s="36">
        <v>14.94</v>
      </c>
      <c r="H8" s="35">
        <v>5.0999999999999996</v>
      </c>
      <c r="I8" s="35">
        <v>31.5</v>
      </c>
      <c r="J8" s="35">
        <v>55</v>
      </c>
      <c r="K8" s="6">
        <v>80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12</v>
      </c>
      <c r="D9" s="6">
        <v>2021</v>
      </c>
      <c r="E9" s="20">
        <v>7354.01</v>
      </c>
      <c r="F9" s="36">
        <v>752.78</v>
      </c>
      <c r="G9" s="36">
        <v>25.4</v>
      </c>
      <c r="H9" s="35">
        <v>1.63</v>
      </c>
      <c r="I9" s="35">
        <v>34</v>
      </c>
      <c r="J9" s="35">
        <v>56.5</v>
      </c>
      <c r="K9" s="6">
        <v>79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12</v>
      </c>
      <c r="D10" s="6">
        <v>2021</v>
      </c>
      <c r="E10" s="20">
        <v>7264.28</v>
      </c>
      <c r="F10" s="35">
        <v>724.09</v>
      </c>
      <c r="G10" s="35">
        <v>14.94</v>
      </c>
      <c r="H10" s="35">
        <v>1.5</v>
      </c>
      <c r="I10" s="35">
        <v>31</v>
      </c>
      <c r="J10" s="35">
        <v>48.5</v>
      </c>
      <c r="K10" s="6">
        <v>83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12</v>
      </c>
      <c r="D11" s="6">
        <v>2021</v>
      </c>
      <c r="E11" s="20">
        <v>7511.81</v>
      </c>
      <c r="F11" s="35">
        <v>782.55</v>
      </c>
      <c r="G11" s="35">
        <v>22.41</v>
      </c>
      <c r="H11" s="35">
        <v>1.47</v>
      </c>
      <c r="I11" s="35">
        <v>36.06</v>
      </c>
      <c r="J11" s="35">
        <v>56</v>
      </c>
      <c r="K11" s="6">
        <v>67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12</v>
      </c>
      <c r="D12" s="6">
        <v>2021</v>
      </c>
      <c r="E12" s="20">
        <v>7444.61</v>
      </c>
      <c r="F12" s="35">
        <v>742.32</v>
      </c>
      <c r="G12" s="35">
        <v>21.42</v>
      </c>
      <c r="H12" s="35">
        <v>1.52</v>
      </c>
      <c r="I12" s="35">
        <v>36.94</v>
      </c>
      <c r="J12" s="35">
        <v>58</v>
      </c>
      <c r="K12" s="6">
        <v>67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12</v>
      </c>
      <c r="D13" s="6">
        <v>2021</v>
      </c>
      <c r="E13" s="35">
        <v>7016.29</v>
      </c>
      <c r="F13" s="35">
        <v>765.82</v>
      </c>
      <c r="G13" s="35">
        <v>13.78</v>
      </c>
      <c r="H13" s="35">
        <v>1.44</v>
      </c>
      <c r="I13" s="35">
        <v>29.5</v>
      </c>
      <c r="J13" s="35">
        <v>40</v>
      </c>
      <c r="K13" s="6">
        <v>92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12</v>
      </c>
      <c r="D14" s="6">
        <v>2021</v>
      </c>
      <c r="E14" s="35">
        <v>7131.41</v>
      </c>
      <c r="F14" s="35">
        <v>785.45</v>
      </c>
      <c r="G14" s="35">
        <v>14.11</v>
      </c>
      <c r="H14" s="35">
        <v>5.73</v>
      </c>
      <c r="I14" s="35">
        <v>35.5</v>
      </c>
      <c r="J14" s="35">
        <v>48</v>
      </c>
      <c r="K14" s="6">
        <v>86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12</v>
      </c>
      <c r="D15" s="6">
        <v>2021</v>
      </c>
      <c r="E15" s="35">
        <v>6869.48</v>
      </c>
      <c r="F15" s="35">
        <v>817.07</v>
      </c>
      <c r="G15" s="35">
        <v>6.64</v>
      </c>
      <c r="H15" s="35">
        <v>4.3600000000000003</v>
      </c>
      <c r="I15" s="35">
        <v>33.5</v>
      </c>
      <c r="J15" s="35">
        <v>35.5</v>
      </c>
      <c r="K15" s="6">
        <v>74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12</v>
      </c>
      <c r="D16" s="6">
        <v>2021</v>
      </c>
      <c r="E16" s="35">
        <v>6671.51</v>
      </c>
      <c r="F16" s="35"/>
      <c r="G16" s="35"/>
      <c r="H16" s="35"/>
      <c r="I16" s="35"/>
      <c r="J16" s="35"/>
      <c r="K16" s="6">
        <v>78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12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12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12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12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12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12</v>
      </c>
      <c r="D22" s="6">
        <v>2021</v>
      </c>
      <c r="E22" s="35"/>
      <c r="F22" s="35"/>
      <c r="G22" s="35"/>
      <c r="H22" s="35"/>
      <c r="I22" s="35"/>
      <c r="J22" s="35"/>
      <c r="K22" s="6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12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12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12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12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v>2021</v>
      </c>
      <c r="E28" s="35"/>
      <c r="F28" s="35"/>
      <c r="G28" s="35"/>
      <c r="H28" s="35"/>
      <c r="I28" s="35"/>
      <c r="J28" s="35"/>
      <c r="K28" s="6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7"/>
      <c r="C1" s="1"/>
      <c r="D1" s="11"/>
      <c r="E1" s="1"/>
      <c r="F1" s="14"/>
      <c r="G1" s="1"/>
      <c r="H1" s="1"/>
      <c r="I1" s="38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37"/>
      <c r="C2" s="47" t="s">
        <v>22</v>
      </c>
      <c r="D2" s="48"/>
      <c r="E2" s="41" t="s">
        <v>23</v>
      </c>
      <c r="F2" s="41"/>
      <c r="G2" s="41" t="s">
        <v>24</v>
      </c>
      <c r="H2" s="41"/>
      <c r="I2" s="39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37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9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7"/>
      <c r="C4" s="18">
        <v>22342913</v>
      </c>
      <c r="D4" s="42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2">
        <f>IF((G5-G4&lt;0), "",G5-G4)</f>
        <v>3477</v>
      </c>
      <c r="I4" s="39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7"/>
      <c r="C5" s="18">
        <v>22350888</v>
      </c>
      <c r="D5" s="42"/>
      <c r="E5" s="18">
        <v>23843311</v>
      </c>
      <c r="F5" s="51"/>
      <c r="G5" s="18">
        <v>9979293</v>
      </c>
      <c r="H5" s="42"/>
      <c r="I5" s="39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">
      <c r="A6" s="7">
        <v>43557</v>
      </c>
      <c r="B6" s="37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0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7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9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7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9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7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9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7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9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7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9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7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9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7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9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7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9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7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9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7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9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7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9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7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9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7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9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7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9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7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9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7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9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7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9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7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9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7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9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7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9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7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9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7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9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7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9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7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0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7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0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7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0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2021-12-16T10:32:12Z</dcterms:modified>
</cp:coreProperties>
</file>