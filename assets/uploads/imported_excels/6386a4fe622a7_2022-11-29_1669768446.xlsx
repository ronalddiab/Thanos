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27" i="2" s="1"/>
  <c r="T32" i="2" s="1"/>
  <c r="P32" i="2"/>
  <c r="L32" i="2"/>
  <c r="F32" i="2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3" i="2" s="1"/>
  <c r="R24" i="2" s="1"/>
  <c r="R25" i="2" s="1"/>
  <c r="R26" i="2" s="1"/>
  <c r="R27" i="2" s="1"/>
  <c r="R28" i="2" s="1"/>
  <c r="R29" i="2" s="1"/>
  <c r="R32" i="2" s="1"/>
  <c r="N32" i="2"/>
  <c r="J32" i="2"/>
  <c r="H32" i="2"/>
  <c r="D32" i="2"/>
  <c r="B32" i="2"/>
  <c r="I2" i="4"/>
  <c r="X2" i="4"/>
  <c r="Y2" i="4" s="1"/>
  <c r="Z2" i="4"/>
  <c r="P32" i="4"/>
  <c r="L32" i="4"/>
  <c r="AF32" i="1"/>
  <c r="AD32" i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24" i="1" s="1"/>
  <c r="AB32" i="1" s="1"/>
  <c r="Z32" i="1"/>
  <c r="X32" i="1"/>
  <c r="Q32" i="1"/>
  <c r="N32" i="1"/>
  <c r="K32" i="1"/>
  <c r="H32" i="1"/>
  <c r="E32" i="1"/>
  <c r="B32" i="1"/>
  <c r="S2" i="1"/>
  <c r="P2" i="1"/>
  <c r="M2" i="1"/>
  <c r="J2" i="1"/>
  <c r="G2" i="1"/>
  <c r="D2" i="1"/>
  <c r="B32" i="5"/>
  <c r="H32" i="3"/>
  <c r="F32" i="3"/>
  <c r="D32" i="3"/>
  <c r="B32" i="3"/>
  <c r="J2" i="3"/>
  <c r="K2" i="3" s="1"/>
  <c r="V32" i="4"/>
  <c r="R32" i="4"/>
  <c r="N32" i="4"/>
  <c r="J32" i="4"/>
  <c r="C32" i="4"/>
  <c r="E32" i="4" l="1"/>
  <c r="G32" i="4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<sst xmlns="http://schemas.openxmlformats.org/spreadsheetml/2006/main" count="511" uniqueCount="151">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</sst>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30" sqref="E30:K3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49288.049976000002</v>
      </c>
      <c r="F18" s="126">
        <v>1.27</v>
      </c>
      <c r="G18" s="36">
        <f>Gas!C19*0.9147</f>
        <v>1479.0699</v>
      </c>
      <c r="H18" s="127">
        <v>3.65</v>
      </c>
      <c r="I18" s="129">
        <f>Submetering!H18+Submetering!AD18+Submetering!AE18</f>
        <v>516</v>
      </c>
      <c r="J18" s="129">
        <v>10.029999999999999</v>
      </c>
      <c r="K18" s="36">
        <f>ELECT.!B19</f>
        <v>187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62755.603259999996</v>
      </c>
      <c r="F19" s="126">
        <v>1.27</v>
      </c>
      <c r="G19" s="36">
        <f>Gas!C20*0.9147</f>
        <v>1490.0463</v>
      </c>
      <c r="H19" s="127">
        <v>3.65</v>
      </c>
      <c r="I19" s="129">
        <f>Submetering!H19+Submetering!AD19+Submetering!AE19</f>
        <v>545.99999999999989</v>
      </c>
      <c r="J19" s="129">
        <v>10.029999999999999</v>
      </c>
      <c r="K19" s="36">
        <f>ELECT.!B20</f>
        <v>184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56069.098044000006</v>
      </c>
      <c r="F20" s="126">
        <v>1.27</v>
      </c>
      <c r="G20" s="36">
        <f>Gas!C21*0.9147</f>
        <v>1436.9937</v>
      </c>
      <c r="H20" s="127">
        <v>3.65</v>
      </c>
      <c r="I20" s="129">
        <f>Submetering!H20+Submetering!AD20+Submetering!AE20</f>
        <v>606</v>
      </c>
      <c r="J20" s="129">
        <v>10.029999999999999</v>
      </c>
      <c r="K20" s="36">
        <f>ELECT.!B21</f>
        <v>273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65345.259619999997</v>
      </c>
      <c r="F21" s="126">
        <v>1.27</v>
      </c>
      <c r="G21" s="36">
        <f>Gas!C22*0.9147</f>
        <v>1849.5233999999998</v>
      </c>
      <c r="H21" s="127">
        <v>3.65</v>
      </c>
      <c r="I21" s="129">
        <f>Submetering!H21+Submetering!AD21+Submetering!AE21</f>
        <v>596</v>
      </c>
      <c r="J21" s="129">
        <v>10.029999999999999</v>
      </c>
      <c r="K21" s="36">
        <f>ELECT.!B22</f>
        <v>274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38149.887263999997</v>
      </c>
      <c r="F22" s="126">
        <v>1.27</v>
      </c>
      <c r="G22" s="36">
        <f>Gas!C23*0.9147</f>
        <v>1517.4873</v>
      </c>
      <c r="H22" s="127">
        <v>3.65</v>
      </c>
      <c r="I22" s="129">
        <f>Submetering!H22+Submetering!AD22+Submetering!AE22</f>
        <v>666</v>
      </c>
      <c r="J22" s="129">
        <v>10.029999999999999</v>
      </c>
      <c r="K22" s="36">
        <f>ELECT.!B23</f>
        <v>266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76399.518087999997</v>
      </c>
      <c r="F23" s="126">
        <v>1.27</v>
      </c>
      <c r="G23" s="36">
        <f>Gas!C24*0.9147</f>
        <v>1600.7249999999999</v>
      </c>
      <c r="H23" s="127">
        <v>3.65</v>
      </c>
      <c r="I23" s="129">
        <f>Submetering!H23+Submetering!AD23+Submetering!AE23</f>
        <v>556</v>
      </c>
      <c r="J23" s="129">
        <v>10.029999999999999</v>
      </c>
      <c r="K23" s="36">
        <f>ELECT.!B24</f>
        <v>268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49251.892516</v>
      </c>
      <c r="F24" s="126">
        <v>1.27</v>
      </c>
      <c r="G24" s="36">
        <f>Gas!C25*0.9147</f>
        <v>1620.8483999999999</v>
      </c>
      <c r="H24" s="127">
        <v>3.65</v>
      </c>
      <c r="I24" s="129">
        <f>Submetering!H24+Submetering!AD24+Submetering!AE24</f>
        <v>566</v>
      </c>
      <c r="J24" s="129">
        <v>10.029999999999999</v>
      </c>
      <c r="K24" s="36">
        <f>ELECT.!B25</f>
        <v>219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68648.968916000013</v>
      </c>
      <c r="F25" s="126">
        <v>1.27</v>
      </c>
      <c r="G25" s="36">
        <f>Gas!C26*0.9147</f>
        <v>1483.6433999999999</v>
      </c>
      <c r="H25" s="127">
        <v>3.65</v>
      </c>
      <c r="I25" s="129">
        <f>Submetering!H25+Submetering!AD25+Submetering!AE25</f>
        <v>556</v>
      </c>
      <c r="J25" s="129">
        <v>10.029999999999999</v>
      </c>
      <c r="K25" s="36">
        <f>ELECT.!B26</f>
        <v>228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50558.946932000006</v>
      </c>
      <c r="F26" s="126">
        <v>1.27</v>
      </c>
      <c r="G26" s="36">
        <f>Gas!C27*0.9147</f>
        <v>1814.7647999999999</v>
      </c>
      <c r="H26" s="127">
        <v>3.65</v>
      </c>
      <c r="I26" s="129">
        <f>Submetering!H26+Submetering!AD26+Submetering!AE26</f>
        <v>606</v>
      </c>
      <c r="J26" s="129">
        <v>10.029999999999999</v>
      </c>
      <c r="K26" s="36">
        <f>ELECT.!B27</f>
        <v>230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43059.097164000006</v>
      </c>
      <c r="F27" s="126">
        <v>1.27</v>
      </c>
      <c r="G27" s="36">
        <f>Gas!C28*0.9147</f>
        <v>1793.7266999999999</v>
      </c>
      <c r="H27" s="127">
        <v>3.65</v>
      </c>
      <c r="I27" s="129">
        <f>Submetering!H27+Submetering!AD27+Submetering!AE27</f>
        <v>566</v>
      </c>
      <c r="J27" s="129">
        <v>10.029999999999999</v>
      </c>
      <c r="K27" s="36">
        <f>ELECT.!B28</f>
        <v>220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74886.213223999992</v>
      </c>
      <c r="F28" s="126">
        <v>1.27</v>
      </c>
      <c r="G28" s="36">
        <f>Gas!C29*0.9147</f>
        <v>1707.7448999999999</v>
      </c>
      <c r="H28" s="127">
        <v>3.65</v>
      </c>
      <c r="I28" s="129">
        <f>Submetering!H28+Submetering!AD28+Submetering!AE28</f>
        <v>556.00000000000011</v>
      </c>
      <c r="J28" s="129">
        <v>10.029999999999999</v>
      </c>
      <c r="K28" s="36">
        <f>ELECT.!B29</f>
        <v>185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45660.419871999999</v>
      </c>
      <c r="F29" s="127">
        <v>1.27</v>
      </c>
      <c r="G29" s="36">
        <f>Gas!C30*0.9147</f>
        <v>1715.9771999999998</v>
      </c>
      <c r="H29" s="127">
        <v>3.65</v>
      </c>
      <c r="I29" s="129">
        <f>Submetering!H29+Submetering!AD29+Submetering!AE29</f>
        <v>596.00000000000011</v>
      </c>
      <c r="J29" s="129">
        <v>10.029999999999999</v>
      </c>
      <c r="K29" s="36">
        <f>ELECT.!B30</f>
        <v>249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64336.938204000005</v>
      </c>
      <c r="F30" s="127">
        <v>1.27</v>
      </c>
      <c r="G30" s="36">
        <f>Gas!C31*0.9147</f>
        <v>1561.3928999999998</v>
      </c>
      <c r="H30" s="127">
        <v>3.65</v>
      </c>
      <c r="I30" s="129">
        <f>Submetering!H30+Submetering!AD30+Submetering!AE30</f>
        <v>596</v>
      </c>
      <c r="J30" s="129">
        <v>10.029999999999999</v>
      </c>
      <c r="K30" s="36">
        <f>ELECT.!B31</f>
        <v>299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E1" zoomScale="85" zoomScaleNormal="85" workbookViewId="0">
      <selection activeCell="L53" sqref="L5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710</v>
      </c>
      <c r="F18" s="36">
        <f>Water!E19</f>
        <v>390</v>
      </c>
      <c r="G18" s="36">
        <f>Water!G19</f>
        <v>315.89999999999998</v>
      </c>
      <c r="H18" s="36">
        <f>Water!I19</f>
        <v>5.2379999999999995</v>
      </c>
      <c r="I18" s="36">
        <f>ELECT.!F19</f>
        <v>6940</v>
      </c>
      <c r="J18" s="36">
        <f>ELECT.!H19</f>
        <v>44496</v>
      </c>
      <c r="K18" s="36">
        <f>ELECT.!K19</f>
        <v>11980</v>
      </c>
      <c r="L18" s="36">
        <f>ELECT.!M19</f>
        <v>5348</v>
      </c>
      <c r="M18" s="36">
        <f>ELECT.!O19</f>
        <v>2240</v>
      </c>
      <c r="N18" s="36">
        <f>ELECT.!Q19</f>
        <v>9420</v>
      </c>
      <c r="O18" s="36">
        <f>ELECT.!S19</f>
        <v>9208</v>
      </c>
      <c r="P18" s="36">
        <f>ELECT.!W19*2</f>
        <v>15706</v>
      </c>
      <c r="Q18" s="36">
        <f>ELECT.!D19</f>
        <v>480</v>
      </c>
      <c r="R18" s="129">
        <f>BTU!C19</f>
        <v>3.9340000000011059</v>
      </c>
      <c r="S18" s="129">
        <f>BTU!F19</f>
        <v>1.2269999999998618</v>
      </c>
      <c r="T18" s="129">
        <f>BTU!I19</f>
        <v>3</v>
      </c>
      <c r="U18" s="129">
        <f>BTU!O19</f>
        <v>1.8360000000002401</v>
      </c>
      <c r="V18" s="129">
        <f>BTU!L19</f>
        <v>0.51000000000021828</v>
      </c>
      <c r="W18" s="129">
        <f>BTU!R19</f>
        <v>1.3400000000001455</v>
      </c>
      <c r="X18" s="34">
        <f>ELECT.!B19</f>
        <v>187</v>
      </c>
      <c r="Y18" s="34">
        <f t="shared" si="0"/>
        <v>-2466</v>
      </c>
      <c r="Z18">
        <f>'Mall, Citadel, Rotana'!C19+'Mall, Citadel, Rotana'!E19+'Mall, Citadel, Rotana'!G19+'Mall, Citadel, Rotana'!I19</f>
        <v>1206</v>
      </c>
      <c r="AA18">
        <f>'Mall, Citadel, Rotana'!K19+'Mall, Citadel, Rotana'!M19</f>
        <v>362</v>
      </c>
      <c r="AB18">
        <f>'Mall, Citadel, Rotana'!O19</f>
        <v>5</v>
      </c>
      <c r="AC18">
        <f>'Mall, Citadel, Rotana'!Q19+'Mall, Citadel, Rotana'!S19</f>
        <v>119</v>
      </c>
      <c r="AD18" s="34">
        <f t="shared" si="1"/>
        <v>67.318431599999997</v>
      </c>
      <c r="AE18" s="34">
        <f t="shared" si="2"/>
        <v>443.4435684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740</v>
      </c>
      <c r="F19" s="36">
        <f>Water!E20</f>
        <v>340</v>
      </c>
      <c r="G19" s="36">
        <f>Water!G20</f>
        <v>351</v>
      </c>
      <c r="H19" s="36">
        <f>Water!I20</f>
        <v>4.8600000000000003</v>
      </c>
      <c r="I19" s="36">
        <f>ELECT.!F20</f>
        <v>9735</v>
      </c>
      <c r="J19" s="36">
        <f>ELECT.!H20</f>
        <v>55373</v>
      </c>
      <c r="K19" s="36">
        <f>ELECT.!K20</f>
        <v>12624</v>
      </c>
      <c r="L19" s="36">
        <f>ELECT.!M20</f>
        <v>6678</v>
      </c>
      <c r="M19" s="36">
        <f>ELECT.!O20</f>
        <v>2870</v>
      </c>
      <c r="N19" s="36">
        <f>ELECT.!Q20</f>
        <v>11942</v>
      </c>
      <c r="O19" s="36">
        <f>ELECT.!S20</f>
        <v>11789</v>
      </c>
      <c r="P19" s="36">
        <f>ELECT.!W20*2</f>
        <v>28276</v>
      </c>
      <c r="Q19" s="36">
        <f>ELECT.!D20</f>
        <v>480</v>
      </c>
      <c r="R19" s="129">
        <f>BTU!C20</f>
        <v>6.3379999999997381</v>
      </c>
      <c r="S19" s="129">
        <f>BTU!F20</f>
        <v>1.1410000000005311</v>
      </c>
      <c r="T19" s="129">
        <f>BTU!I20</f>
        <v>5</v>
      </c>
      <c r="U19" s="129">
        <f>BTU!O20</f>
        <v>3.2409999999999854</v>
      </c>
      <c r="V19" s="129">
        <f>BTU!L20</f>
        <v>1.0200000000004366</v>
      </c>
      <c r="W19" s="129">
        <f>BTU!R20</f>
        <v>1.9899999999997817</v>
      </c>
      <c r="X19" s="34">
        <f>ELECT.!B20</f>
        <v>184</v>
      </c>
      <c r="Y19" s="34">
        <f t="shared" si="0"/>
        <v>-9071</v>
      </c>
      <c r="Z19">
        <f>'Mall, Citadel, Rotana'!C20+'Mall, Citadel, Rotana'!E20+'Mall, Citadel, Rotana'!G20+'Mall, Citadel, Rotana'!I20</f>
        <v>1511</v>
      </c>
      <c r="AA19">
        <f>'Mall, Citadel, Rotana'!K20+'Mall, Citadel, Rotana'!M20</f>
        <v>243</v>
      </c>
      <c r="AB19">
        <f>'Mall, Citadel, Rotana'!O20</f>
        <v>2</v>
      </c>
      <c r="AC19">
        <f>'Mall, Citadel, Rotana'!Q20+'Mall, Citadel, Rotana'!S20</f>
        <v>120</v>
      </c>
      <c r="AD19" s="34">
        <f t="shared" si="1"/>
        <v>71.322251999999992</v>
      </c>
      <c r="AE19" s="34">
        <f t="shared" si="2"/>
        <v>469.81774799999994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800</v>
      </c>
      <c r="F20" s="36">
        <f>Water!E21</f>
        <v>370</v>
      </c>
      <c r="G20" s="36">
        <f>Water!G21</f>
        <v>415.8</v>
      </c>
      <c r="H20" s="36">
        <f>Water!I21</f>
        <v>5.4809999999999999</v>
      </c>
      <c r="I20" s="36">
        <f>ELECT.!F21</f>
        <v>8374</v>
      </c>
      <c r="J20" s="36">
        <f>ELECT.!H21</f>
        <v>49544</v>
      </c>
      <c r="K20" s="36">
        <f>ELECT.!K21</f>
        <v>11336</v>
      </c>
      <c r="L20" s="36">
        <f>ELECT.!M21</f>
        <v>5788</v>
      </c>
      <c r="M20" s="36">
        <f>ELECT.!O21</f>
        <v>2458</v>
      </c>
      <c r="N20" s="36">
        <f>ELECT.!Q21</f>
        <v>11118</v>
      </c>
      <c r="O20" s="36">
        <f>ELECT.!S21</f>
        <v>10527</v>
      </c>
      <c r="P20" s="36">
        <f>ELECT.!W21*2</f>
        <v>21314</v>
      </c>
      <c r="Q20" s="36">
        <f>ELECT.!D21</f>
        <v>640</v>
      </c>
      <c r="R20" s="129">
        <f>BTU!C21</f>
        <v>3.0410000000010768</v>
      </c>
      <c r="S20" s="129">
        <f>BTU!F21</f>
        <v>0.72899999999935972</v>
      </c>
      <c r="T20" s="129">
        <f>BTU!I21</f>
        <v>2</v>
      </c>
      <c r="U20" s="129">
        <f>BTU!O21</f>
        <v>1.387000000000171</v>
      </c>
      <c r="V20" s="129">
        <f>BTU!L21</f>
        <v>0.34999999999854481</v>
      </c>
      <c r="W20" s="129">
        <f>BTU!R21</f>
        <v>1.5900000000001455</v>
      </c>
      <c r="X20" s="34">
        <f>ELECT.!B21</f>
        <v>273</v>
      </c>
      <c r="Y20" s="34">
        <f t="shared" si="0"/>
        <v>-4623</v>
      </c>
      <c r="Z20">
        <f>'Mall, Citadel, Rotana'!C21+'Mall, Citadel, Rotana'!E21+'Mall, Citadel, Rotana'!G21+'Mall, Citadel, Rotana'!I21</f>
        <v>1057</v>
      </c>
      <c r="AA20">
        <f>'Mall, Citadel, Rotana'!K21+'Mall, Citadel, Rotana'!M21</f>
        <v>250</v>
      </c>
      <c r="AB20">
        <f>'Mall, Citadel, Rotana'!O21</f>
        <v>3</v>
      </c>
      <c r="AC20">
        <f>'Mall, Citadel, Rotana'!Q21+'Mall, Citadel, Rotana'!S21</f>
        <v>53</v>
      </c>
      <c r="AD20" s="34">
        <f t="shared" si="1"/>
        <v>79.148404200000002</v>
      </c>
      <c r="AE20" s="34">
        <f t="shared" si="2"/>
        <v>521.37059580000005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790</v>
      </c>
      <c r="F21" s="36">
        <f>Water!E22</f>
        <v>380</v>
      </c>
      <c r="G21" s="36">
        <f>Water!G22</f>
        <v>405</v>
      </c>
      <c r="H21" s="36">
        <f>Water!I22</f>
        <v>5.4539999999999997</v>
      </c>
      <c r="I21" s="36">
        <f>ELECT.!F22</f>
        <v>9803</v>
      </c>
      <c r="J21" s="36">
        <f>ELECT.!H22</f>
        <v>57878</v>
      </c>
      <c r="K21" s="36">
        <f>ELECT.!K22</f>
        <v>13020</v>
      </c>
      <c r="L21" s="36">
        <f>ELECT.!M22</f>
        <v>6749</v>
      </c>
      <c r="M21" s="36">
        <f>ELECT.!O22</f>
        <v>2942</v>
      </c>
      <c r="N21" s="36">
        <f>ELECT.!Q22</f>
        <v>14132</v>
      </c>
      <c r="O21" s="36">
        <f>ELECT.!S22</f>
        <v>12035</v>
      </c>
      <c r="P21" s="36">
        <f>ELECT.!W22*2</f>
        <v>24620</v>
      </c>
      <c r="Q21" s="36">
        <f>ELECT.!D22</f>
        <v>160</v>
      </c>
      <c r="R21" s="129">
        <f>BTU!C22</f>
        <v>5.7999999999992724</v>
      </c>
      <c r="S21" s="129">
        <f>BTU!F22</f>
        <v>1.8590000000003783</v>
      </c>
      <c r="T21" s="129">
        <f>BTU!I22</f>
        <v>4</v>
      </c>
      <c r="U21" s="129">
        <f>BTU!O22</f>
        <v>2.7329999999997199</v>
      </c>
      <c r="V21" s="129">
        <f>BTU!L22</f>
        <v>1.070000000001528</v>
      </c>
      <c r="W21" s="129">
        <f>BTU!R22</f>
        <v>0.15999999999985448</v>
      </c>
      <c r="X21" s="34">
        <f>ELECT.!B22</f>
        <v>274</v>
      </c>
      <c r="Y21" s="34">
        <f t="shared" si="0"/>
        <v>-5817</v>
      </c>
      <c r="Z21">
        <f>'Mall, Citadel, Rotana'!C22+'Mall, Citadel, Rotana'!E22+'Mall, Citadel, Rotana'!G22+'Mall, Citadel, Rotana'!I22</f>
        <v>1051</v>
      </c>
      <c r="AA21">
        <f>'Mall, Citadel, Rotana'!K22+'Mall, Citadel, Rotana'!M22</f>
        <v>407</v>
      </c>
      <c r="AB21">
        <f>'Mall, Citadel, Rotana'!O22</f>
        <v>4</v>
      </c>
      <c r="AC21">
        <f>'Mall, Citadel, Rotana'!Q22+'Mall, Citadel, Rotana'!S22</f>
        <v>197</v>
      </c>
      <c r="AD21" s="34">
        <f t="shared" si="1"/>
        <v>77.833962800000009</v>
      </c>
      <c r="AE21" s="34">
        <f t="shared" si="2"/>
        <v>512.71203720000005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860</v>
      </c>
      <c r="F22" s="36">
        <f>Water!E23</f>
        <v>370</v>
      </c>
      <c r="G22" s="36">
        <f>Water!G23</f>
        <v>402.3</v>
      </c>
      <c r="H22" s="36">
        <f>Water!I23</f>
        <v>5.157</v>
      </c>
      <c r="I22" s="36">
        <f>ELECT.!F23</f>
        <v>3381</v>
      </c>
      <c r="J22" s="36">
        <f>ELECT.!H23</f>
        <v>36730</v>
      </c>
      <c r="K22" s="36">
        <f>ELECT.!K23</f>
        <v>8648</v>
      </c>
      <c r="L22" s="36">
        <f>ELECT.!M23</f>
        <v>4463</v>
      </c>
      <c r="M22" s="36">
        <f>ELECT.!O23</f>
        <v>1682</v>
      </c>
      <c r="N22" s="36">
        <f>ELECT.!Q23</f>
        <v>7550</v>
      </c>
      <c r="O22" s="36">
        <f>ELECT.!S23</f>
        <v>7632</v>
      </c>
      <c r="P22" s="36">
        <f>ELECT.!W23*2</f>
        <v>15464</v>
      </c>
      <c r="Q22" s="36">
        <f>ELECT.!D23</f>
        <v>480</v>
      </c>
      <c r="R22" s="129">
        <f>BTU!C23</f>
        <v>4.9219999999986612</v>
      </c>
      <c r="S22" s="129">
        <f>BTU!F23</f>
        <v>1.4939999999996871</v>
      </c>
      <c r="T22" s="129">
        <f>BTU!I23</f>
        <v>4</v>
      </c>
      <c r="U22" s="129">
        <f>BTU!O23</f>
        <v>2.3079999999999927</v>
      </c>
      <c r="V22" s="129">
        <f>BTU!L23</f>
        <v>0.76000000000021828</v>
      </c>
      <c r="W22" s="129">
        <f>BTU!R23</f>
        <v>1.1700000000000728</v>
      </c>
      <c r="X22" s="34">
        <f>ELECT.!B23</f>
        <v>266</v>
      </c>
      <c r="Y22" s="34">
        <f t="shared" si="0"/>
        <v>-5328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347</v>
      </c>
      <c r="AB22">
        <f>'Mall, Citadel, Rotana'!O23</f>
        <v>2</v>
      </c>
      <c r="AC22">
        <f>'Mall, Citadel, Rotana'!Q23+'Mall, Citadel, Rotana'!S23</f>
        <v>116</v>
      </c>
      <c r="AD22" s="34">
        <f t="shared" si="1"/>
        <v>87.099107399999994</v>
      </c>
      <c r="AE22" s="34">
        <f t="shared" si="2"/>
        <v>573.74389259999998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750</v>
      </c>
      <c r="F23" s="36">
        <f>Water!E24</f>
        <v>370</v>
      </c>
      <c r="G23" s="36">
        <f>Water!G24</f>
        <v>340.2</v>
      </c>
      <c r="H23" s="36">
        <f>Water!I24</f>
        <v>5.2110000000000003</v>
      </c>
      <c r="I23" s="36">
        <f>ELECT.!F24</f>
        <v>15488</v>
      </c>
      <c r="J23" s="36">
        <f>ELECT.!H24</f>
        <v>63653</v>
      </c>
      <c r="K23" s="36">
        <f>ELECT.!K24</f>
        <v>14822</v>
      </c>
      <c r="L23" s="36">
        <f>ELECT.!M24</f>
        <v>7494</v>
      </c>
      <c r="M23" s="36">
        <f>ELECT.!O24</f>
        <v>4792</v>
      </c>
      <c r="N23" s="36">
        <f>ELECT.!Q24</f>
        <v>14317</v>
      </c>
      <c r="O23" s="36">
        <f>ELECT.!S24</f>
        <v>13674</v>
      </c>
      <c r="P23" s="36">
        <f>ELECT.!W24*2</f>
        <v>27608</v>
      </c>
      <c r="Q23" s="36">
        <f>ELECT.!D24</f>
        <v>320</v>
      </c>
      <c r="R23" s="129">
        <f>BTU!C24</f>
        <v>5.2510000000002037</v>
      </c>
      <c r="S23" s="129">
        <f>BTU!F24</f>
        <v>1.5889999999999418</v>
      </c>
      <c r="T23" s="129">
        <f>BTU!I24</f>
        <v>4</v>
      </c>
      <c r="U23" s="129">
        <f>BTU!O24</f>
        <v>2.4039999999999964</v>
      </c>
      <c r="V23" s="129">
        <f>BTU!L24</f>
        <v>0.8999999999996362</v>
      </c>
      <c r="W23" s="129">
        <f>BTU!R24</f>
        <v>1.3600000000005821</v>
      </c>
      <c r="X23" s="34">
        <f>ELECT.!B24</f>
        <v>268</v>
      </c>
      <c r="Y23" s="34">
        <f t="shared" si="0"/>
        <v>-3566</v>
      </c>
      <c r="Z23">
        <f>'Mall, Citadel, Rotana'!C24+'Mall, Citadel, Rotana'!E24+'Mall, Citadel, Rotana'!G24+'Mall, Citadel, Rotana'!I24</f>
        <v>1374</v>
      </c>
      <c r="AA23">
        <f>'Mall, Citadel, Rotana'!K24+'Mall, Citadel, Rotana'!M24</f>
        <v>406</v>
      </c>
      <c r="AB23">
        <f>'Mall, Citadel, Rotana'!O24</f>
        <v>4</v>
      </c>
      <c r="AC23">
        <f>'Mall, Citadel, Rotana'!Q24+'Mall, Citadel, Rotana'!S24</f>
        <v>121</v>
      </c>
      <c r="AD23" s="34">
        <f t="shared" si="1"/>
        <v>72.593990199999993</v>
      </c>
      <c r="AE23" s="34">
        <f t="shared" si="2"/>
        <v>478.19500979999998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760</v>
      </c>
      <c r="F24" s="36">
        <f>Water!E25</f>
        <v>370</v>
      </c>
      <c r="G24" s="36">
        <f>Water!G25</f>
        <v>380.7</v>
      </c>
      <c r="H24" s="36">
        <f>Water!I25</f>
        <v>5.319</v>
      </c>
      <c r="I24" s="36">
        <f>ELECT.!F25</f>
        <v>8081</v>
      </c>
      <c r="J24" s="36">
        <f>ELECT.!H25</f>
        <v>43503</v>
      </c>
      <c r="K24" s="36">
        <f>ELECT.!K25</f>
        <v>10094</v>
      </c>
      <c r="L24" s="36">
        <f>ELECT.!M25</f>
        <v>5138</v>
      </c>
      <c r="M24" s="36">
        <f>ELECT.!O25</f>
        <v>2790</v>
      </c>
      <c r="N24" s="36">
        <f>ELECT.!Q25</f>
        <v>9358</v>
      </c>
      <c r="O24" s="36">
        <f>ELECT.!S25</f>
        <v>9123</v>
      </c>
      <c r="P24" s="36">
        <f>ELECT.!W25*2</f>
        <v>19676</v>
      </c>
      <c r="Q24" s="36">
        <f>ELECT.!D25</f>
        <v>480</v>
      </c>
      <c r="R24" s="129">
        <f>BTU!C25</f>
        <v>5.1320000000014261</v>
      </c>
      <c r="S24" s="129">
        <f>BTU!F25</f>
        <v>1.6280000000006112</v>
      </c>
      <c r="T24" s="129">
        <f>BTU!I25</f>
        <v>5</v>
      </c>
      <c r="U24" s="129">
        <f>BTU!O25</f>
        <v>2.5</v>
      </c>
      <c r="V24" s="129">
        <f>BTU!L25</f>
        <v>1.0299999999988358</v>
      </c>
      <c r="W24" s="129">
        <f>BTU!R25</f>
        <v>1.25</v>
      </c>
      <c r="X24" s="34">
        <f>ELECT.!B25</f>
        <v>219</v>
      </c>
      <c r="Y24" s="34">
        <f t="shared" si="0"/>
        <v>-4595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392</v>
      </c>
      <c r="AB24">
        <f>'Mall, Citadel, Rotana'!O25</f>
        <v>3</v>
      </c>
      <c r="AC24">
        <f>'Mall, Citadel, Rotana'!Q25+'Mall, Citadel, Rotana'!S25</f>
        <v>121</v>
      </c>
      <c r="AD24" s="34">
        <f t="shared" si="1"/>
        <v>73.897755799999999</v>
      </c>
      <c r="AE24" s="34">
        <f t="shared" si="2"/>
        <v>486.78324420000001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750</v>
      </c>
      <c r="F25" s="36">
        <f>Water!E26</f>
        <v>330</v>
      </c>
      <c r="G25" s="36">
        <f>Water!G26</f>
        <v>418.5</v>
      </c>
      <c r="H25" s="36">
        <f>Water!I26</f>
        <v>5.7240000000000002</v>
      </c>
      <c r="I25" s="36">
        <f>ELECT.!F26</f>
        <v>14899</v>
      </c>
      <c r="J25" s="36">
        <f>ELECT.!H26</f>
        <v>56165</v>
      </c>
      <c r="K25" s="36">
        <f>ELECT.!K26</f>
        <v>14558</v>
      </c>
      <c r="L25" s="36">
        <f>ELECT.!M26</f>
        <v>6997</v>
      </c>
      <c r="M25" s="36">
        <f>ELECT.!O26</f>
        <v>7700</v>
      </c>
      <c r="N25" s="36">
        <f>ELECT.!Q26</f>
        <v>8145</v>
      </c>
      <c r="O25" s="36">
        <f>ELECT.!S26</f>
        <v>12701</v>
      </c>
      <c r="P25" s="36">
        <f>ELECT.!W26*2</f>
        <v>26298</v>
      </c>
      <c r="Q25" s="36">
        <f>ELECT.!D26</f>
        <v>320</v>
      </c>
      <c r="R25" s="129">
        <f>BTU!C26</f>
        <v>4.0509999999994761</v>
      </c>
      <c r="S25" s="129">
        <f>BTU!F26</f>
        <v>1.225999999999658</v>
      </c>
      <c r="T25" s="129">
        <f>BTU!I26</f>
        <v>4</v>
      </c>
      <c r="U25" s="129">
        <f>BTU!O26</f>
        <v>2.1449999999999818</v>
      </c>
      <c r="V25" s="129">
        <f>BTU!L26</f>
        <v>0.67000000000007276</v>
      </c>
      <c r="W25" s="129">
        <f>BTU!R26</f>
        <v>1.0099999999993088</v>
      </c>
      <c r="X25" s="34">
        <f>ELECT.!B26</f>
        <v>228</v>
      </c>
      <c r="Y25" s="34">
        <f t="shared" si="0"/>
        <v>-5335</v>
      </c>
      <c r="Z25">
        <f>'Mall, Citadel, Rotana'!C26+'Mall, Citadel, Rotana'!E26+'Mall, Citadel, Rotana'!G26+'Mall, Citadel, Rotana'!I26</f>
        <v>1192</v>
      </c>
      <c r="AA25">
        <f>'Mall, Citadel, Rotana'!K26+'Mall, Citadel, Rotana'!M26</f>
        <v>386</v>
      </c>
      <c r="AB25">
        <f>'Mall, Citadel, Rotana'!O26</f>
        <v>3</v>
      </c>
      <c r="AC25">
        <f>'Mall, Citadel, Rotana'!Q26+'Mall, Citadel, Rotana'!S26</f>
        <v>185</v>
      </c>
      <c r="AD25" s="34">
        <f t="shared" si="1"/>
        <v>72.526376799999994</v>
      </c>
      <c r="AE25" s="34">
        <f t="shared" si="2"/>
        <v>477.74962319999997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800</v>
      </c>
      <c r="F26" s="36">
        <f>Water!E27</f>
        <v>310</v>
      </c>
      <c r="G26" s="36">
        <f>Water!G27</f>
        <v>488.7</v>
      </c>
      <c r="H26" s="36">
        <f>Water!I27</f>
        <v>4.9139999999999997</v>
      </c>
      <c r="I26" s="36">
        <f>ELECT.!F27</f>
        <v>14012</v>
      </c>
      <c r="J26" s="36">
        <f>ELECT.!H27</f>
        <v>38573</v>
      </c>
      <c r="K26" s="36">
        <f>ELECT.!K27</f>
        <v>10738</v>
      </c>
      <c r="L26" s="36">
        <f>ELECT.!M27</f>
        <v>5264</v>
      </c>
      <c r="M26" s="36">
        <f>ELECT.!O27</f>
        <v>8554</v>
      </c>
      <c r="N26" s="36">
        <f>ELECT.!Q27</f>
        <v>2405</v>
      </c>
      <c r="O26" s="36">
        <f>ELECT.!S27</f>
        <v>9693</v>
      </c>
      <c r="P26" s="36">
        <f>ELECT.!W27*2</f>
        <v>20330</v>
      </c>
      <c r="Q26" s="36">
        <f>ELECT.!D27</f>
        <v>480</v>
      </c>
      <c r="R26" s="129">
        <f>BTU!C27</f>
        <v>4.1749999999992724</v>
      </c>
      <c r="S26" s="129">
        <f>BTU!F27</f>
        <v>0.75500000000010914</v>
      </c>
      <c r="T26" s="129">
        <f>BTU!I27</f>
        <v>4</v>
      </c>
      <c r="U26" s="129">
        <f>BTU!O27</f>
        <v>2.4610000000002401</v>
      </c>
      <c r="V26" s="129">
        <f>BTU!L27</f>
        <v>1.180000000000291</v>
      </c>
      <c r="W26" s="129">
        <f>BTU!R27</f>
        <v>0</v>
      </c>
      <c r="X26" s="34">
        <f>ELECT.!B27</f>
        <v>230</v>
      </c>
      <c r="Y26" s="34">
        <f t="shared" si="0"/>
        <v>-4399</v>
      </c>
      <c r="Z26">
        <f>'Mall, Citadel, Rotana'!C27+'Mall, Citadel, Rotana'!E27+'Mall, Citadel, Rotana'!G27+'Mall, Citadel, Rotana'!I27</f>
        <v>1220</v>
      </c>
      <c r="AA26">
        <f>'Mall, Citadel, Rotana'!K27+'Mall, Citadel, Rotana'!M27</f>
        <v>244</v>
      </c>
      <c r="AB26">
        <f>'Mall, Citadel, Rotana'!O27</f>
        <v>3</v>
      </c>
      <c r="AC26">
        <f>'Mall, Citadel, Rotana'!Q27+'Mall, Citadel, Rotana'!S27</f>
        <v>145</v>
      </c>
      <c r="AD26" s="34">
        <f t="shared" si="1"/>
        <v>79.223134799999997</v>
      </c>
      <c r="AE26" s="34">
        <f t="shared" si="2"/>
        <v>521.86286519999999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760</v>
      </c>
      <c r="F27" s="36">
        <f>Water!E28</f>
        <v>330</v>
      </c>
      <c r="G27" s="36">
        <f>Water!G28</f>
        <v>413.1</v>
      </c>
      <c r="H27" s="36">
        <f>Water!I28</f>
        <v>5.5889999999999995</v>
      </c>
      <c r="I27" s="36">
        <f>ELECT.!F28</f>
        <v>11619</v>
      </c>
      <c r="J27" s="36">
        <f>ELECT.!H28</f>
        <v>33246</v>
      </c>
      <c r="K27" s="36">
        <f>ELECT.!K28</f>
        <v>9308</v>
      </c>
      <c r="L27" s="36">
        <f>ELECT.!M28</f>
        <v>4324</v>
      </c>
      <c r="M27" s="36">
        <f>ELECT.!O28</f>
        <v>7142</v>
      </c>
      <c r="N27" s="36">
        <f>ELECT.!Q28</f>
        <v>2081</v>
      </c>
      <c r="O27" s="36">
        <f>ELECT.!S28</f>
        <v>8557</v>
      </c>
      <c r="P27" s="36">
        <f>ELECT.!W28*2</f>
        <v>17164</v>
      </c>
      <c r="Q27" s="36">
        <f>ELECT.!D28</f>
        <v>480</v>
      </c>
      <c r="R27" s="129">
        <f>BTU!C28</f>
        <v>4.9320000000006985</v>
      </c>
      <c r="S27" s="129">
        <f>BTU!F28</f>
        <v>0.94700000000011642</v>
      </c>
      <c r="T27" s="129">
        <f>BTU!I28</f>
        <v>4</v>
      </c>
      <c r="U27" s="129">
        <f>BTU!O28</f>
        <v>2.9499999999998181</v>
      </c>
      <c r="V27" s="129">
        <f>BTU!L28</f>
        <v>1.5599999999994907</v>
      </c>
      <c r="W27" s="129">
        <f>BTU!R28</f>
        <v>1.9600000000000364</v>
      </c>
      <c r="X27" s="34">
        <f>ELECT.!B28</f>
        <v>220</v>
      </c>
      <c r="Y27" s="34">
        <f t="shared" si="0"/>
        <v>-3711</v>
      </c>
      <c r="Z27">
        <f>'Mall, Citadel, Rotana'!C28+'Mall, Citadel, Rotana'!E28+'Mall, Citadel, Rotana'!G28+'Mall, Citadel, Rotana'!I28</f>
        <v>1062</v>
      </c>
      <c r="AA27">
        <f>'Mall, Citadel, Rotana'!K28+'Mall, Citadel, Rotana'!M28</f>
        <v>259</v>
      </c>
      <c r="AB27">
        <f>'Mall, Citadel, Rotana'!O28</f>
        <v>4</v>
      </c>
      <c r="AC27">
        <f>'Mall, Citadel, Rotana'!Q28+'Mall, Citadel, Rotana'!S28</f>
        <v>140</v>
      </c>
      <c r="AD27" s="34">
        <f t="shared" si="1"/>
        <v>73.86216979999999</v>
      </c>
      <c r="AE27" s="34">
        <f t="shared" si="2"/>
        <v>486.5488302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750</v>
      </c>
      <c r="F28" s="36">
        <f>Water!E29</f>
        <v>310</v>
      </c>
      <c r="G28" s="36">
        <f>Water!G29</f>
        <v>445.5</v>
      </c>
      <c r="H28" s="36">
        <f>Water!I29</f>
        <v>5.7510000000000003</v>
      </c>
      <c r="I28" s="36">
        <f>ELECT.!F29</f>
        <v>20316</v>
      </c>
      <c r="J28" s="36">
        <f>ELECT.!H29</f>
        <v>56922</v>
      </c>
      <c r="K28" s="36">
        <f>ELECT.!K29</f>
        <v>16306</v>
      </c>
      <c r="L28" s="36">
        <f>ELECT.!M29</f>
        <v>7896</v>
      </c>
      <c r="M28" s="36">
        <f>ELECT.!O29</f>
        <v>12184</v>
      </c>
      <c r="N28" s="36">
        <f>ELECT.!Q29</f>
        <v>3542</v>
      </c>
      <c r="O28" s="36">
        <f>ELECT.!S29</f>
        <v>14286</v>
      </c>
      <c r="P28" s="36">
        <f>ELECT.!W29*2</f>
        <v>29800</v>
      </c>
      <c r="Q28" s="36">
        <f>ELECT.!D29</f>
        <v>480</v>
      </c>
      <c r="R28" s="129">
        <f>BTU!C29</f>
        <v>3.4720000000015716</v>
      </c>
      <c r="S28" s="129">
        <f>BTU!F29</f>
        <v>1.23700000000008</v>
      </c>
      <c r="T28" s="129">
        <f>BTU!I29</f>
        <v>3</v>
      </c>
      <c r="U28" s="129">
        <f>BTU!O29</f>
        <v>2.0380000000000109</v>
      </c>
      <c r="V28" s="129">
        <f>BTU!L29</f>
        <v>0.82999999999992724</v>
      </c>
      <c r="W28" s="129">
        <f>BTU!R29</f>
        <v>1.1999999999998181</v>
      </c>
      <c r="X28" s="34">
        <f>ELECT.!B29</f>
        <v>185</v>
      </c>
      <c r="Y28" s="34">
        <f t="shared" si="0"/>
        <v>-6776</v>
      </c>
      <c r="Z28">
        <f>'Mall, Citadel, Rotana'!C29+'Mall, Citadel, Rotana'!E29+'Mall, Citadel, Rotana'!G29+'Mall, Citadel, Rotana'!I29</f>
        <v>1210</v>
      </c>
      <c r="AA28">
        <f>'Mall, Citadel, Rotana'!K29+'Mall, Citadel, Rotana'!M29</f>
        <v>409</v>
      </c>
      <c r="AB28">
        <f>'Mall, Citadel, Rotana'!O29</f>
        <v>3</v>
      </c>
      <c r="AC28">
        <f>'Mall, Citadel, Rotana'!Q29+'Mall, Citadel, Rotana'!S29</f>
        <v>111</v>
      </c>
      <c r="AD28" s="34">
        <f t="shared" si="1"/>
        <v>72.522818200000003</v>
      </c>
      <c r="AE28" s="34">
        <f t="shared" si="2"/>
        <v>477.72618180000006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790</v>
      </c>
      <c r="F29" s="36">
        <f>Water!E30</f>
        <v>410</v>
      </c>
      <c r="G29" s="36">
        <f>Water!G30</f>
        <v>256.5</v>
      </c>
      <c r="H29" s="36">
        <f>Water!I30</f>
        <v>6.3179999999999996</v>
      </c>
      <c r="I29" s="36">
        <f>ELECT.!F30</f>
        <v>13050</v>
      </c>
      <c r="J29" s="36">
        <f>ELECT.!H30</f>
        <v>34894</v>
      </c>
      <c r="K29" s="36">
        <f>ELECT.!K30</f>
        <v>10550</v>
      </c>
      <c r="L29" s="36">
        <f>ELECT.!M30</f>
        <v>5040</v>
      </c>
      <c r="M29" s="36">
        <f>ELECT.!O30</f>
        <v>7770</v>
      </c>
      <c r="N29" s="36">
        <f>ELECT.!Q30</f>
        <v>2288</v>
      </c>
      <c r="O29" s="36">
        <f>ELECT.!S30</f>
        <v>8618</v>
      </c>
      <c r="P29" s="36">
        <f>ELECT.!W30*2</f>
        <v>17990</v>
      </c>
      <c r="Q29" s="36">
        <f>ELECT.!D30</f>
        <v>480</v>
      </c>
      <c r="R29" s="129">
        <f>BTU!C30</f>
        <v>4.1999999999970896</v>
      </c>
      <c r="S29" s="129">
        <f>BTU!F30</f>
        <v>0.79199999999946158</v>
      </c>
      <c r="T29" s="129">
        <f>BTU!I30</f>
        <v>4</v>
      </c>
      <c r="U29" s="129">
        <f>BTU!O30</f>
        <v>2.6330000000002656</v>
      </c>
      <c r="V29" s="129">
        <f>BTU!L30</f>
        <v>1.2900000000008731</v>
      </c>
      <c r="W29" s="129" t="str">
        <f>BTU!R30</f>
        <v>0</v>
      </c>
      <c r="X29" s="34">
        <f>ELECT.!B30</f>
        <v>249</v>
      </c>
      <c r="Y29" s="34">
        <f t="shared" si="0"/>
        <v>-4312</v>
      </c>
      <c r="Z29">
        <f>'Mall, Citadel, Rotana'!C30+'Mall, Citadel, Rotana'!E30+'Mall, Citadel, Rotana'!G30+'Mall, Citadel, Rotana'!I30</f>
        <v>1370</v>
      </c>
      <c r="AA29">
        <f>'Mall, Citadel, Rotana'!K30+'Mall, Citadel, Rotana'!M30</f>
        <v>414</v>
      </c>
      <c r="AB29">
        <f>'Mall, Citadel, Rotana'!O30</f>
        <v>3</v>
      </c>
      <c r="AC29">
        <f>'Mall, Citadel, Rotana'!Q30+'Mall, Citadel, Rotana'!S30</f>
        <v>140</v>
      </c>
      <c r="AD29" s="34">
        <f t="shared" si="1"/>
        <v>77.720087599999999</v>
      </c>
      <c r="AE29" s="34">
        <f t="shared" si="2"/>
        <v>511.96191240000007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790</v>
      </c>
      <c r="F30" s="36">
        <f>Water!E31</f>
        <v>360</v>
      </c>
      <c r="G30" s="36">
        <f>Water!G31</f>
        <v>664.2</v>
      </c>
      <c r="H30" s="36">
        <f>Water!I31</f>
        <v>6.048</v>
      </c>
      <c r="I30" s="36">
        <f>ELECT.!F31</f>
        <v>17735</v>
      </c>
      <c r="J30" s="36">
        <f>ELECT.!H31</f>
        <v>48907</v>
      </c>
      <c r="K30" s="36">
        <f>ELECT.!K31</f>
        <v>14144</v>
      </c>
      <c r="L30" s="36">
        <f>ELECT.!M31</f>
        <v>6871</v>
      </c>
      <c r="M30" s="36">
        <f>ELECT.!O31</f>
        <v>10728</v>
      </c>
      <c r="N30" s="36">
        <f>ELECT.!Q31</f>
        <v>2856</v>
      </c>
      <c r="O30" s="36">
        <f>ELECT.!S31</f>
        <v>12193</v>
      </c>
      <c r="P30" s="36">
        <f>ELECT.!W31*2</f>
        <v>25788</v>
      </c>
      <c r="Q30" s="36">
        <f>ELECT.!D31</f>
        <v>480</v>
      </c>
      <c r="R30" s="129">
        <f>BTU!C31</f>
        <v>3.1620000000002619</v>
      </c>
      <c r="S30" s="129">
        <f>BTU!F31</f>
        <v>1.6109999999998763</v>
      </c>
      <c r="T30" s="129">
        <f>BTU!I31</f>
        <v>3</v>
      </c>
      <c r="U30" s="129">
        <f>BTU!O31</f>
        <v>2.0729999999998654</v>
      </c>
      <c r="V30" s="129">
        <f>BTU!L31</f>
        <v>0.87000000000080036</v>
      </c>
      <c r="W30" s="129">
        <f>BTU!R31</f>
        <v>0</v>
      </c>
      <c r="X30" s="34">
        <f>ELECT.!B31</f>
        <v>299</v>
      </c>
      <c r="Y30" s="34">
        <f t="shared" si="0"/>
        <v>-5938</v>
      </c>
      <c r="Z30">
        <f>'Mall, Citadel, Rotana'!C31+'Mall, Citadel, Rotana'!E31+'Mall, Citadel, Rotana'!G31+'Mall, Citadel, Rotana'!I31</f>
        <v>1220</v>
      </c>
      <c r="AA30">
        <f>'Mall, Citadel, Rotana'!K31+'Mall, Citadel, Rotana'!M31</f>
        <v>415</v>
      </c>
      <c r="AB30">
        <f>'Mall, Citadel, Rotana'!O31</f>
        <v>4</v>
      </c>
      <c r="AC30">
        <f>'Mall, Citadel, Rotana'!Q31+'Mall, Citadel, Rotana'!S31</f>
        <v>145</v>
      </c>
      <c r="AD30" s="34">
        <f t="shared" si="1"/>
        <v>77.755673599999994</v>
      </c>
      <c r="AE30" s="34">
        <f t="shared" si="2"/>
        <v>512.19632639999998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V31" sqref="V3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v>47867</v>
      </c>
      <c r="C19" s="14">
        <f t="shared" si="3"/>
        <v>640</v>
      </c>
      <c r="D19" s="32">
        <v>41150</v>
      </c>
      <c r="E19" s="14">
        <f t="shared" si="4"/>
        <v>480</v>
      </c>
      <c r="F19" s="32">
        <v>22293</v>
      </c>
      <c r="G19" s="14">
        <f t="shared" si="5"/>
        <v>60</v>
      </c>
      <c r="H19" s="32">
        <v>260271</v>
      </c>
      <c r="I19" s="14">
        <f t="shared" si="6"/>
        <v>26</v>
      </c>
      <c r="J19" s="32">
        <v>343067</v>
      </c>
      <c r="K19" s="14">
        <f t="shared" si="7"/>
        <v>182</v>
      </c>
      <c r="L19" s="32">
        <v>26690</v>
      </c>
      <c r="M19" s="14">
        <f t="shared" si="8"/>
        <v>180</v>
      </c>
      <c r="N19" s="32">
        <v>226581</v>
      </c>
      <c r="O19" s="14">
        <f t="shared" si="9"/>
        <v>5</v>
      </c>
      <c r="P19" s="32">
        <v>179222</v>
      </c>
      <c r="Q19" s="14">
        <f t="shared" si="2"/>
        <v>119</v>
      </c>
      <c r="R19" s="1">
        <f t="shared" si="11"/>
        <v>55047</v>
      </c>
      <c r="S19" s="14">
        <f t="shared" si="12"/>
        <v>0</v>
      </c>
      <c r="T19" s="32">
        <v>4096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44883</v>
      </c>
      <c r="B20" s="32">
        <v>47873</v>
      </c>
      <c r="C20" s="14">
        <f t="shared" si="3"/>
        <v>960</v>
      </c>
      <c r="D20" s="32">
        <v>41153</v>
      </c>
      <c r="E20" s="14">
        <f t="shared" si="4"/>
        <v>480</v>
      </c>
      <c r="F20" s="32">
        <v>22296</v>
      </c>
      <c r="G20" s="14">
        <f t="shared" si="5"/>
        <v>60</v>
      </c>
      <c r="H20" s="32">
        <v>260282</v>
      </c>
      <c r="I20" s="14">
        <f t="shared" si="6"/>
        <v>11</v>
      </c>
      <c r="J20" s="32">
        <v>343190</v>
      </c>
      <c r="K20" s="14">
        <f t="shared" si="7"/>
        <v>123</v>
      </c>
      <c r="L20" s="32">
        <v>26692</v>
      </c>
      <c r="M20" s="14">
        <f t="shared" si="8"/>
        <v>120</v>
      </c>
      <c r="N20" s="32">
        <v>226583</v>
      </c>
      <c r="O20" s="14">
        <f t="shared" si="9"/>
        <v>2</v>
      </c>
      <c r="P20" s="32">
        <v>179342</v>
      </c>
      <c r="Q20" s="14">
        <f t="shared" si="2"/>
        <v>120</v>
      </c>
      <c r="R20" s="1">
        <f t="shared" si="11"/>
        <v>55047</v>
      </c>
      <c r="S20" s="14">
        <f t="shared" si="12"/>
        <v>0</v>
      </c>
      <c r="T20" s="32">
        <v>4097</v>
      </c>
      <c r="U20" s="14">
        <f t="shared" si="10"/>
        <v>160</v>
      </c>
    </row>
    <row r="21" spans="1:23" ht="13.5" thickBot="1" x14ac:dyDescent="0.25">
      <c r="A21" s="9">
        <v>44884</v>
      </c>
      <c r="B21" s="32">
        <v>47876</v>
      </c>
      <c r="C21" s="14">
        <f t="shared" si="3"/>
        <v>480</v>
      </c>
      <c r="D21" s="32">
        <v>41156</v>
      </c>
      <c r="E21" s="14">
        <f t="shared" si="4"/>
        <v>480</v>
      </c>
      <c r="F21" s="32">
        <v>22300</v>
      </c>
      <c r="G21" s="14">
        <f t="shared" si="5"/>
        <v>80</v>
      </c>
      <c r="H21" s="32">
        <v>260299</v>
      </c>
      <c r="I21" s="14">
        <f t="shared" si="6"/>
        <v>17</v>
      </c>
      <c r="J21" s="32">
        <v>343320</v>
      </c>
      <c r="K21" s="14">
        <f t="shared" si="7"/>
        <v>130</v>
      </c>
      <c r="L21" s="32">
        <v>26694</v>
      </c>
      <c r="M21" s="14">
        <f t="shared" si="8"/>
        <v>120</v>
      </c>
      <c r="N21" s="32">
        <v>226586</v>
      </c>
      <c r="O21" s="14">
        <f t="shared" si="9"/>
        <v>3</v>
      </c>
      <c r="P21" s="32">
        <v>179395</v>
      </c>
      <c r="Q21" s="14">
        <f t="shared" si="2"/>
        <v>53</v>
      </c>
      <c r="R21" s="1">
        <f t="shared" si="11"/>
        <v>55047</v>
      </c>
      <c r="S21" s="14">
        <f t="shared" si="12"/>
        <v>0</v>
      </c>
      <c r="T21" s="32">
        <v>4097</v>
      </c>
      <c r="U21" s="14">
        <f t="shared" si="10"/>
        <v>0</v>
      </c>
    </row>
    <row r="22" spans="1:23" ht="13.5" thickBot="1" x14ac:dyDescent="0.25">
      <c r="A22" s="9">
        <v>44885</v>
      </c>
      <c r="B22" s="32">
        <v>47880</v>
      </c>
      <c r="C22" s="14">
        <f t="shared" si="3"/>
        <v>640</v>
      </c>
      <c r="D22" s="32">
        <v>41158</v>
      </c>
      <c r="E22" s="14">
        <f t="shared" si="4"/>
        <v>320</v>
      </c>
      <c r="F22" s="32">
        <v>22303</v>
      </c>
      <c r="G22" s="14">
        <f t="shared" si="5"/>
        <v>60</v>
      </c>
      <c r="H22" s="32">
        <v>260330</v>
      </c>
      <c r="I22" s="14">
        <f t="shared" si="6"/>
        <v>31</v>
      </c>
      <c r="J22" s="32">
        <v>343487</v>
      </c>
      <c r="K22" s="14">
        <f t="shared" si="7"/>
        <v>167</v>
      </c>
      <c r="L22" s="32">
        <v>26698</v>
      </c>
      <c r="M22" s="14">
        <f t="shared" si="8"/>
        <v>240</v>
      </c>
      <c r="N22" s="32">
        <v>226590</v>
      </c>
      <c r="O22" s="14">
        <f t="shared" si="9"/>
        <v>4</v>
      </c>
      <c r="P22" s="32">
        <v>179592</v>
      </c>
      <c r="Q22" s="14">
        <f t="shared" si="2"/>
        <v>197</v>
      </c>
      <c r="R22" s="1">
        <v>55047</v>
      </c>
      <c r="S22" s="14">
        <f t="shared" si="12"/>
        <v>0</v>
      </c>
      <c r="T22" s="32">
        <v>4098</v>
      </c>
      <c r="U22" s="14">
        <f t="shared" si="10"/>
        <v>160</v>
      </c>
    </row>
    <row r="23" spans="1:23" ht="13.5" thickBot="1" x14ac:dyDescent="0.25">
      <c r="A23" s="9">
        <v>44886</v>
      </c>
      <c r="B23" s="32">
        <v>47884</v>
      </c>
      <c r="C23" s="14">
        <f t="shared" si="3"/>
        <v>640</v>
      </c>
      <c r="D23" s="32">
        <v>41161</v>
      </c>
      <c r="E23" s="14">
        <f t="shared" si="4"/>
        <v>480</v>
      </c>
      <c r="F23" s="32">
        <v>22307</v>
      </c>
      <c r="G23" s="14">
        <f t="shared" si="5"/>
        <v>80</v>
      </c>
      <c r="H23" s="32">
        <v>260362</v>
      </c>
      <c r="I23" s="14">
        <f t="shared" si="6"/>
        <v>32</v>
      </c>
      <c r="J23" s="32">
        <v>343654</v>
      </c>
      <c r="K23" s="14">
        <f t="shared" si="7"/>
        <v>167</v>
      </c>
      <c r="L23" s="32">
        <v>26701</v>
      </c>
      <c r="M23" s="14">
        <f t="shared" si="8"/>
        <v>180</v>
      </c>
      <c r="N23" s="32">
        <v>226592</v>
      </c>
      <c r="O23" s="14">
        <f t="shared" si="9"/>
        <v>2</v>
      </c>
      <c r="P23" s="32">
        <v>179708</v>
      </c>
      <c r="Q23" s="14">
        <f t="shared" si="2"/>
        <v>116</v>
      </c>
      <c r="R23" s="1">
        <f t="shared" si="11"/>
        <v>55047</v>
      </c>
      <c r="S23" s="14">
        <f t="shared" si="12"/>
        <v>0</v>
      </c>
      <c r="T23" s="32">
        <v>4099</v>
      </c>
      <c r="U23" s="14">
        <f t="shared" si="10"/>
        <v>160</v>
      </c>
    </row>
    <row r="24" spans="1:23" s="119" customFormat="1" ht="13.5" thickBot="1" x14ac:dyDescent="0.25">
      <c r="A24" s="9">
        <v>44887</v>
      </c>
      <c r="B24" s="32">
        <v>47889</v>
      </c>
      <c r="C24" s="14">
        <f t="shared" si="3"/>
        <v>800</v>
      </c>
      <c r="D24" s="32">
        <v>41164</v>
      </c>
      <c r="E24" s="14">
        <f t="shared" si="4"/>
        <v>480</v>
      </c>
      <c r="F24" s="32">
        <v>22310</v>
      </c>
      <c r="G24" s="14">
        <f t="shared" si="5"/>
        <v>60</v>
      </c>
      <c r="H24" s="32">
        <v>260396</v>
      </c>
      <c r="I24" s="14">
        <f t="shared" si="6"/>
        <v>34</v>
      </c>
      <c r="J24" s="32">
        <v>343820</v>
      </c>
      <c r="K24" s="14">
        <f t="shared" si="7"/>
        <v>166</v>
      </c>
      <c r="L24" s="32">
        <v>26705</v>
      </c>
      <c r="M24" s="14">
        <f t="shared" si="8"/>
        <v>240</v>
      </c>
      <c r="N24" s="32">
        <v>226596</v>
      </c>
      <c r="O24" s="14">
        <f t="shared" si="9"/>
        <v>4</v>
      </c>
      <c r="P24" s="32">
        <v>179829</v>
      </c>
      <c r="Q24" s="14">
        <f t="shared" si="2"/>
        <v>121</v>
      </c>
      <c r="R24" s="1">
        <f t="shared" si="11"/>
        <v>55047</v>
      </c>
      <c r="S24" s="14">
        <f t="shared" si="12"/>
        <v>0</v>
      </c>
      <c r="T24" s="32">
        <v>4099</v>
      </c>
      <c r="U24" s="14">
        <f t="shared" si="10"/>
        <v>0</v>
      </c>
    </row>
    <row r="25" spans="1:23" ht="13.5" thickBot="1" x14ac:dyDescent="0.25">
      <c r="A25" s="9">
        <v>44888</v>
      </c>
      <c r="B25" s="32">
        <v>47894</v>
      </c>
      <c r="C25" s="14">
        <f t="shared" si="3"/>
        <v>800</v>
      </c>
      <c r="D25" s="32">
        <v>41167</v>
      </c>
      <c r="E25" s="14">
        <f t="shared" si="4"/>
        <v>480</v>
      </c>
      <c r="F25" s="32">
        <v>22313</v>
      </c>
      <c r="G25" s="14">
        <f t="shared" si="5"/>
        <v>60</v>
      </c>
      <c r="H25" s="32">
        <v>260436</v>
      </c>
      <c r="I25" s="14">
        <f t="shared" si="6"/>
        <v>40</v>
      </c>
      <c r="J25" s="32">
        <v>343972</v>
      </c>
      <c r="K25" s="14">
        <f t="shared" si="7"/>
        <v>152</v>
      </c>
      <c r="L25" s="32">
        <v>26709</v>
      </c>
      <c r="M25" s="14">
        <f t="shared" si="8"/>
        <v>240</v>
      </c>
      <c r="N25" s="32">
        <v>226599</v>
      </c>
      <c r="O25" s="14">
        <f t="shared" si="9"/>
        <v>3</v>
      </c>
      <c r="P25" s="32">
        <v>179950</v>
      </c>
      <c r="Q25" s="14">
        <f t="shared" si="2"/>
        <v>121</v>
      </c>
      <c r="R25" s="1">
        <f t="shared" si="11"/>
        <v>55047</v>
      </c>
      <c r="S25" s="14">
        <f t="shared" si="12"/>
        <v>0</v>
      </c>
      <c r="T25" s="32">
        <v>4100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44889</v>
      </c>
      <c r="B26" s="32">
        <v>47898</v>
      </c>
      <c r="C26" s="14">
        <f t="shared" si="3"/>
        <v>640</v>
      </c>
      <c r="D26" s="32">
        <v>41170</v>
      </c>
      <c r="E26" s="14">
        <f t="shared" si="4"/>
        <v>480</v>
      </c>
      <c r="F26" s="32">
        <v>22316</v>
      </c>
      <c r="G26" s="14">
        <f t="shared" si="5"/>
        <v>60</v>
      </c>
      <c r="H26" s="32">
        <v>260448</v>
      </c>
      <c r="I26" s="14">
        <f t="shared" si="6"/>
        <v>12</v>
      </c>
      <c r="J26" s="32">
        <v>344178</v>
      </c>
      <c r="K26" s="14">
        <f t="shared" si="7"/>
        <v>206</v>
      </c>
      <c r="L26" s="32">
        <v>26712</v>
      </c>
      <c r="M26" s="14">
        <f t="shared" si="8"/>
        <v>180</v>
      </c>
      <c r="N26" s="32">
        <v>226602</v>
      </c>
      <c r="O26" s="14">
        <f t="shared" si="9"/>
        <v>3</v>
      </c>
      <c r="P26" s="32">
        <v>180135</v>
      </c>
      <c r="Q26" s="14">
        <f t="shared" si="2"/>
        <v>185</v>
      </c>
      <c r="R26" s="1">
        <f t="shared" si="11"/>
        <v>55047</v>
      </c>
      <c r="S26" s="14">
        <f t="shared" si="12"/>
        <v>0</v>
      </c>
      <c r="T26" s="32">
        <v>4101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44890</v>
      </c>
      <c r="B27" s="32">
        <v>47902</v>
      </c>
      <c r="C27" s="14">
        <f t="shared" si="3"/>
        <v>640</v>
      </c>
      <c r="D27" s="32">
        <v>41173</v>
      </c>
      <c r="E27" s="14">
        <f t="shared" si="4"/>
        <v>480</v>
      </c>
      <c r="F27" s="32">
        <v>22320</v>
      </c>
      <c r="G27" s="14">
        <f t="shared" si="5"/>
        <v>80</v>
      </c>
      <c r="H27" s="32">
        <v>260468</v>
      </c>
      <c r="I27" s="14">
        <f t="shared" si="6"/>
        <v>20</v>
      </c>
      <c r="J27" s="32">
        <v>344302</v>
      </c>
      <c r="K27" s="14">
        <f t="shared" si="7"/>
        <v>124</v>
      </c>
      <c r="L27" s="32">
        <v>26714</v>
      </c>
      <c r="M27" s="14">
        <f t="shared" si="8"/>
        <v>120</v>
      </c>
      <c r="N27" s="32">
        <v>226605</v>
      </c>
      <c r="O27" s="14">
        <f t="shared" si="9"/>
        <v>3</v>
      </c>
      <c r="P27" s="32">
        <v>180280</v>
      </c>
      <c r="Q27" s="14">
        <f t="shared" si="2"/>
        <v>145</v>
      </c>
      <c r="R27" s="1">
        <f t="shared" si="11"/>
        <v>55047</v>
      </c>
      <c r="S27" s="14">
        <f t="shared" si="12"/>
        <v>0</v>
      </c>
      <c r="T27" s="32">
        <f t="shared" si="13"/>
        <v>4101</v>
      </c>
      <c r="U27" s="14">
        <f t="shared" si="10"/>
        <v>0</v>
      </c>
    </row>
    <row r="28" spans="1:23" ht="13.5" thickBot="1" x14ac:dyDescent="0.25">
      <c r="A28" s="9">
        <v>44891</v>
      </c>
      <c r="B28" s="32">
        <v>47906</v>
      </c>
      <c r="C28" s="14">
        <f t="shared" si="3"/>
        <v>640</v>
      </c>
      <c r="D28" s="32">
        <v>41175</v>
      </c>
      <c r="E28" s="14">
        <f t="shared" si="4"/>
        <v>320</v>
      </c>
      <c r="F28" s="32">
        <v>22324</v>
      </c>
      <c r="G28" s="14">
        <f t="shared" si="5"/>
        <v>80</v>
      </c>
      <c r="H28" s="32">
        <v>260490</v>
      </c>
      <c r="I28" s="14">
        <f t="shared" si="6"/>
        <v>22</v>
      </c>
      <c r="J28" s="32">
        <v>344441</v>
      </c>
      <c r="K28" s="14">
        <f t="shared" si="7"/>
        <v>139</v>
      </c>
      <c r="L28" s="32">
        <v>26716</v>
      </c>
      <c r="M28" s="14">
        <f t="shared" si="8"/>
        <v>120</v>
      </c>
      <c r="N28" s="32">
        <v>226609</v>
      </c>
      <c r="O28" s="14">
        <f t="shared" si="9"/>
        <v>4</v>
      </c>
      <c r="P28" s="32">
        <v>180420</v>
      </c>
      <c r="Q28" s="14">
        <f t="shared" si="2"/>
        <v>140</v>
      </c>
      <c r="R28" s="1">
        <f t="shared" si="11"/>
        <v>55047</v>
      </c>
      <c r="S28" s="15">
        <f t="shared" si="12"/>
        <v>0</v>
      </c>
      <c r="T28" s="32">
        <v>4102</v>
      </c>
      <c r="U28" s="14">
        <f t="shared" si="10"/>
        <v>160</v>
      </c>
    </row>
    <row r="29" spans="1:23" ht="13.5" thickBot="1" x14ac:dyDescent="0.25">
      <c r="A29" s="9">
        <v>44892</v>
      </c>
      <c r="B29" s="32">
        <v>47910</v>
      </c>
      <c r="C29" s="14">
        <f t="shared" si="3"/>
        <v>640</v>
      </c>
      <c r="D29" s="32">
        <v>41178</v>
      </c>
      <c r="E29" s="14">
        <f t="shared" si="4"/>
        <v>480</v>
      </c>
      <c r="F29" s="32">
        <v>22328</v>
      </c>
      <c r="G29" s="14">
        <f t="shared" si="5"/>
        <v>80</v>
      </c>
      <c r="H29" s="32">
        <v>260500</v>
      </c>
      <c r="I29" s="14">
        <f t="shared" si="6"/>
        <v>10</v>
      </c>
      <c r="J29" s="32">
        <v>344610</v>
      </c>
      <c r="K29" s="14">
        <f t="shared" si="7"/>
        <v>169</v>
      </c>
      <c r="L29" s="32">
        <v>26720</v>
      </c>
      <c r="M29" s="14">
        <f t="shared" si="8"/>
        <v>240</v>
      </c>
      <c r="N29" s="32">
        <v>226612</v>
      </c>
      <c r="O29" s="14">
        <f t="shared" si="9"/>
        <v>3</v>
      </c>
      <c r="P29" s="32">
        <v>180531</v>
      </c>
      <c r="Q29" s="14">
        <f t="shared" si="2"/>
        <v>111</v>
      </c>
      <c r="R29" s="1">
        <f t="shared" si="11"/>
        <v>55047</v>
      </c>
      <c r="S29" s="14">
        <f t="shared" si="12"/>
        <v>0</v>
      </c>
      <c r="T29" s="32">
        <v>4103</v>
      </c>
      <c r="U29" s="14">
        <f t="shared" si="10"/>
        <v>160</v>
      </c>
    </row>
    <row r="30" spans="1:23" ht="13.5" thickBot="1" x14ac:dyDescent="0.25">
      <c r="A30" s="9">
        <v>44893</v>
      </c>
      <c r="B30" s="32">
        <v>47915</v>
      </c>
      <c r="C30" s="14">
        <f t="shared" si="3"/>
        <v>800</v>
      </c>
      <c r="D30" s="32">
        <v>41181</v>
      </c>
      <c r="E30" s="14">
        <f t="shared" si="4"/>
        <v>480</v>
      </c>
      <c r="F30" s="32">
        <v>22331</v>
      </c>
      <c r="G30" s="14">
        <f t="shared" si="5"/>
        <v>60</v>
      </c>
      <c r="H30" s="32">
        <v>260530</v>
      </c>
      <c r="I30" s="14">
        <f t="shared" si="6"/>
        <v>30</v>
      </c>
      <c r="J30" s="32">
        <v>344784</v>
      </c>
      <c r="K30" s="14">
        <f t="shared" si="7"/>
        <v>174</v>
      </c>
      <c r="L30" s="32">
        <v>26724</v>
      </c>
      <c r="M30" s="14">
        <f t="shared" si="8"/>
        <v>240</v>
      </c>
      <c r="N30" s="32">
        <v>226615</v>
      </c>
      <c r="O30" s="14">
        <f t="shared" si="9"/>
        <v>3</v>
      </c>
      <c r="P30" s="32">
        <v>180671</v>
      </c>
      <c r="Q30" s="14">
        <f t="shared" si="2"/>
        <v>140</v>
      </c>
      <c r="R30" s="1">
        <v>55047</v>
      </c>
      <c r="S30" s="14">
        <f t="shared" si="12"/>
        <v>0</v>
      </c>
      <c r="T30" s="32">
        <v>4103</v>
      </c>
      <c r="U30" s="14">
        <f t="shared" si="10"/>
        <v>0</v>
      </c>
    </row>
    <row r="31" spans="1:23" ht="13.5" thickBot="1" x14ac:dyDescent="0.25">
      <c r="A31" s="9">
        <v>44894</v>
      </c>
      <c r="B31" s="32">
        <v>47919</v>
      </c>
      <c r="C31" s="14">
        <f t="shared" si="3"/>
        <v>640</v>
      </c>
      <c r="D31" s="32">
        <v>41184</v>
      </c>
      <c r="E31" s="14">
        <f t="shared" si="4"/>
        <v>480</v>
      </c>
      <c r="F31" s="32">
        <v>22335</v>
      </c>
      <c r="G31" s="14">
        <f t="shared" si="5"/>
        <v>80</v>
      </c>
      <c r="H31" s="32">
        <v>260550</v>
      </c>
      <c r="I31" s="14">
        <f t="shared" si="6"/>
        <v>20</v>
      </c>
      <c r="J31" s="32">
        <v>344959</v>
      </c>
      <c r="K31" s="14">
        <f t="shared" si="7"/>
        <v>175</v>
      </c>
      <c r="L31" s="32">
        <v>26728</v>
      </c>
      <c r="M31" s="14">
        <f t="shared" si="8"/>
        <v>240</v>
      </c>
      <c r="N31" s="32">
        <v>226619</v>
      </c>
      <c r="O31" s="14">
        <f t="shared" si="9"/>
        <v>4</v>
      </c>
      <c r="P31" s="32">
        <v>180816</v>
      </c>
      <c r="Q31" s="14">
        <f t="shared" si="2"/>
        <v>145</v>
      </c>
      <c r="R31" s="1">
        <v>55047</v>
      </c>
      <c r="S31" s="14">
        <v>0</v>
      </c>
      <c r="T31" s="32">
        <v>4104</v>
      </c>
      <c r="U31" s="14">
        <f t="shared" si="10"/>
        <v>160</v>
      </c>
    </row>
    <row r="32" spans="1:23" ht="13.5" thickBot="1" x14ac:dyDescent="0.25">
      <c r="A32" s="9">
        <v>44895</v>
      </c>
      <c r="B32" s="32">
        <f t="shared" ref="B31:B32" si="14">B31</f>
        <v>47919</v>
      </c>
      <c r="C32" s="14">
        <f t="shared" si="3"/>
        <v>0</v>
      </c>
      <c r="D32" s="32">
        <f t="shared" ref="D31:D32" si="15">D31</f>
        <v>41184</v>
      </c>
      <c r="E32" s="14">
        <f t="shared" si="4"/>
        <v>0</v>
      </c>
      <c r="F32" s="32">
        <f t="shared" ref="F31:F32" si="16">F31</f>
        <v>22335</v>
      </c>
      <c r="G32" s="14">
        <f t="shared" si="5"/>
        <v>0</v>
      </c>
      <c r="H32" s="32">
        <f t="shared" ref="H31:H32" si="17">H31</f>
        <v>260550</v>
      </c>
      <c r="I32" s="14">
        <f t="shared" si="6"/>
        <v>0</v>
      </c>
      <c r="J32" s="32">
        <f t="shared" ref="J31:J32" si="18">J31</f>
        <v>344959</v>
      </c>
      <c r="K32" s="14">
        <f t="shared" si="7"/>
        <v>0</v>
      </c>
      <c r="L32" s="32">
        <f t="shared" ref="L31:L32" si="19">L31</f>
        <v>26728</v>
      </c>
      <c r="M32" s="14">
        <f t="shared" si="8"/>
        <v>0</v>
      </c>
      <c r="N32" s="32">
        <f t="shared" ref="N31:N32" si="20">N31</f>
        <v>226619</v>
      </c>
      <c r="O32" s="14">
        <f t="shared" si="9"/>
        <v>0</v>
      </c>
      <c r="P32" s="32">
        <f t="shared" ref="P31:P32" si="21">P31</f>
        <v>180816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4104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20160</v>
      </c>
      <c r="D33" s="14"/>
      <c r="E33" s="14">
        <f>SUM(E3:E32)</f>
        <v>13280</v>
      </c>
      <c r="F33" s="14"/>
      <c r="G33" s="14">
        <f>SUM(G3:G32)</f>
        <v>1980</v>
      </c>
      <c r="H33" s="14"/>
      <c r="I33" s="14">
        <f>SUM(I3:I32)</f>
        <v>700</v>
      </c>
      <c r="J33" s="14"/>
      <c r="K33" s="14">
        <f>SUM(K3:K32)</f>
        <v>4650</v>
      </c>
      <c r="L33" s="14"/>
      <c r="M33" s="14">
        <f>SUM(M3:M32)</f>
        <v>5460</v>
      </c>
      <c r="N33" s="14"/>
      <c r="O33" s="14">
        <f>SUM(O3:O32)</f>
        <v>94</v>
      </c>
      <c r="P33" s="14"/>
      <c r="Q33" s="14">
        <f>SUM(Q3:Q32)</f>
        <v>3855</v>
      </c>
      <c r="R33" s="14"/>
      <c r="S33" s="14">
        <f>SUM(S3:S32)</f>
        <v>0</v>
      </c>
      <c r="T33" s="14"/>
      <c r="U33" s="14">
        <f>SUM(U3:U32)</f>
        <v>3200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opLeftCell="E1" zoomScaleNormal="100" zoomScaleSheetLayoutView="110" workbookViewId="0">
      <pane ySplit="1" topLeftCell="A2" activePane="bottomLeft" state="frozen"/>
      <selection pane="bottomLeft" activeCell="Z31" sqref="Z31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>
        <v>187</v>
      </c>
      <c r="C19" s="131">
        <v>20334</v>
      </c>
      <c r="D19" s="38">
        <f t="shared" si="4"/>
        <v>480</v>
      </c>
      <c r="E19" s="132">
        <v>34655195</v>
      </c>
      <c r="F19" s="38">
        <f t="shared" si="5"/>
        <v>6940</v>
      </c>
      <c r="G19" s="133">
        <v>8898615</v>
      </c>
      <c r="H19" s="38">
        <f t="shared" si="6"/>
        <v>44496</v>
      </c>
      <c r="I19" s="137">
        <f t="shared" si="7"/>
        <v>51436</v>
      </c>
      <c r="J19" s="132">
        <v>877360</v>
      </c>
      <c r="K19" s="117">
        <f t="shared" si="15"/>
        <v>11980</v>
      </c>
      <c r="L19" s="135">
        <v>1191696</v>
      </c>
      <c r="M19" s="117">
        <f t="shared" si="8"/>
        <v>5348</v>
      </c>
      <c r="N19" s="132">
        <v>7860564</v>
      </c>
      <c r="O19" s="117">
        <f t="shared" si="16"/>
        <v>2240</v>
      </c>
      <c r="P19" s="135">
        <v>8851436</v>
      </c>
      <c r="Q19" s="117">
        <f t="shared" si="9"/>
        <v>9420</v>
      </c>
      <c r="R19" s="132">
        <v>23087001</v>
      </c>
      <c r="S19" s="117">
        <f t="shared" si="10"/>
        <v>9208</v>
      </c>
      <c r="T19" s="138">
        <v>0</v>
      </c>
      <c r="U19" s="136"/>
      <c r="V19" s="132">
        <v>1166955</v>
      </c>
      <c r="W19" s="117">
        <f t="shared" si="11"/>
        <v>7853</v>
      </c>
      <c r="X19" s="19">
        <f t="shared" si="12"/>
        <v>46049</v>
      </c>
      <c r="Y19" s="138">
        <f t="shared" si="13"/>
        <v>5387</v>
      </c>
      <c r="Z19" s="139">
        <f t="shared" si="14"/>
        <v>5828.9589071999999</v>
      </c>
      <c r="AA19" s="3">
        <f>SUM(Z1:Z19)</f>
        <v>127369.20647359999</v>
      </c>
    </row>
    <row r="20" spans="1:27" s="118" customFormat="1" ht="16.5" thickBot="1" x14ac:dyDescent="0.3">
      <c r="A20" s="9">
        <v>44883</v>
      </c>
      <c r="B20" s="38">
        <v>184</v>
      </c>
      <c r="C20" s="131">
        <v>20337</v>
      </c>
      <c r="D20" s="38">
        <f t="shared" si="4"/>
        <v>480</v>
      </c>
      <c r="E20" s="132">
        <v>34664930</v>
      </c>
      <c r="F20" s="38">
        <f t="shared" si="5"/>
        <v>9735</v>
      </c>
      <c r="G20" s="133">
        <v>8953988</v>
      </c>
      <c r="H20" s="38">
        <f t="shared" si="6"/>
        <v>55373</v>
      </c>
      <c r="I20" s="137">
        <f t="shared" si="7"/>
        <v>65108</v>
      </c>
      <c r="J20" s="132">
        <v>883672</v>
      </c>
      <c r="K20" s="117">
        <f t="shared" si="15"/>
        <v>12624</v>
      </c>
      <c r="L20" s="135">
        <v>1198374</v>
      </c>
      <c r="M20" s="117">
        <f t="shared" si="8"/>
        <v>6678</v>
      </c>
      <c r="N20" s="132">
        <v>7861999</v>
      </c>
      <c r="O20" s="117">
        <f t="shared" si="16"/>
        <v>2870</v>
      </c>
      <c r="P20" s="135">
        <v>8863378</v>
      </c>
      <c r="Q20" s="117">
        <f t="shared" si="9"/>
        <v>11942</v>
      </c>
      <c r="R20" s="132">
        <v>23098790</v>
      </c>
      <c r="S20" s="117">
        <f t="shared" si="10"/>
        <v>11789</v>
      </c>
      <c r="T20" s="138">
        <v>0</v>
      </c>
      <c r="U20" s="136"/>
      <c r="V20" s="132">
        <v>1181093</v>
      </c>
      <c r="W20" s="117">
        <f t="shared" si="11"/>
        <v>14138</v>
      </c>
      <c r="X20" s="19">
        <f t="shared" si="12"/>
        <v>60041</v>
      </c>
      <c r="Y20" s="138">
        <f t="shared" si="13"/>
        <v>5067</v>
      </c>
      <c r="Z20" s="139">
        <f t="shared" si="14"/>
        <v>8437.1806064000011</v>
      </c>
      <c r="AA20" s="3">
        <f>SUM(Z1:Z20)</f>
        <v>135806.38707999999</v>
      </c>
    </row>
    <row r="21" spans="1:27" s="118" customFormat="1" ht="16.5" thickBot="1" x14ac:dyDescent="0.3">
      <c r="A21" s="9">
        <v>44884</v>
      </c>
      <c r="B21" s="38">
        <v>273</v>
      </c>
      <c r="C21" s="131">
        <v>20341</v>
      </c>
      <c r="D21" s="38">
        <f t="shared" si="4"/>
        <v>640</v>
      </c>
      <c r="E21" s="132">
        <v>34673304</v>
      </c>
      <c r="F21" s="38">
        <f t="shared" si="5"/>
        <v>8374</v>
      </c>
      <c r="G21" s="133">
        <v>9003532</v>
      </c>
      <c r="H21" s="38">
        <f t="shared" si="6"/>
        <v>49544</v>
      </c>
      <c r="I21" s="137">
        <f t="shared" si="7"/>
        <v>57918</v>
      </c>
      <c r="J21" s="132">
        <v>889340</v>
      </c>
      <c r="K21" s="117">
        <f t="shared" si="15"/>
        <v>11336</v>
      </c>
      <c r="L21" s="135">
        <v>1204162</v>
      </c>
      <c r="M21" s="117">
        <f t="shared" si="8"/>
        <v>5788</v>
      </c>
      <c r="N21" s="132">
        <v>7863228</v>
      </c>
      <c r="O21" s="117">
        <f t="shared" si="16"/>
        <v>2458</v>
      </c>
      <c r="P21" s="135">
        <v>8874496</v>
      </c>
      <c r="Q21" s="117">
        <f t="shared" si="9"/>
        <v>11118</v>
      </c>
      <c r="R21" s="132">
        <v>23109317</v>
      </c>
      <c r="S21" s="117">
        <f t="shared" si="10"/>
        <v>10527</v>
      </c>
      <c r="T21" s="138">
        <v>0</v>
      </c>
      <c r="U21" s="136"/>
      <c r="V21" s="132">
        <v>1191750</v>
      </c>
      <c r="W21" s="117">
        <f t="shared" si="11"/>
        <v>10657</v>
      </c>
      <c r="X21" s="19">
        <f t="shared" si="12"/>
        <v>51884</v>
      </c>
      <c r="Y21" s="138">
        <f t="shared" si="13"/>
        <v>6034</v>
      </c>
      <c r="Z21" s="139">
        <f t="shared" si="14"/>
        <v>7107.0491647999997</v>
      </c>
      <c r="AA21" s="3">
        <f>SUM(Z1:Z21)</f>
        <v>142913.43624479999</v>
      </c>
    </row>
    <row r="22" spans="1:27" ht="16.5" thickBot="1" x14ac:dyDescent="0.3">
      <c r="A22" s="9">
        <v>44885</v>
      </c>
      <c r="B22" s="38">
        <v>274</v>
      </c>
      <c r="C22" s="131">
        <v>20342</v>
      </c>
      <c r="D22" s="38">
        <f t="shared" si="4"/>
        <v>160</v>
      </c>
      <c r="E22" s="132">
        <v>34683107</v>
      </c>
      <c r="F22" s="38">
        <f t="shared" si="5"/>
        <v>9803</v>
      </c>
      <c r="G22" s="133">
        <v>9061410</v>
      </c>
      <c r="H22" s="38">
        <f t="shared" si="6"/>
        <v>57878</v>
      </c>
      <c r="I22" s="134">
        <f t="shared" si="7"/>
        <v>67681</v>
      </c>
      <c r="J22" s="132">
        <v>895850</v>
      </c>
      <c r="K22" s="117">
        <f t="shared" si="15"/>
        <v>13020</v>
      </c>
      <c r="L22" s="135">
        <v>1210911</v>
      </c>
      <c r="M22" s="38">
        <f t="shared" si="8"/>
        <v>6749</v>
      </c>
      <c r="N22" s="132">
        <v>7864699</v>
      </c>
      <c r="O22" s="38">
        <f t="shared" si="16"/>
        <v>2942</v>
      </c>
      <c r="P22" s="135">
        <v>8888628</v>
      </c>
      <c r="Q22" s="38">
        <f t="shared" si="9"/>
        <v>14132</v>
      </c>
      <c r="R22" s="132">
        <v>23121352</v>
      </c>
      <c r="S22" s="38">
        <f t="shared" si="10"/>
        <v>12035</v>
      </c>
      <c r="T22" s="132">
        <v>0</v>
      </c>
      <c r="U22" s="136"/>
      <c r="V22" s="132">
        <v>1204060</v>
      </c>
      <c r="W22" s="38">
        <f t="shared" si="11"/>
        <v>12310</v>
      </c>
      <c r="X22" s="19">
        <f t="shared" si="12"/>
        <v>61188</v>
      </c>
      <c r="Y22" s="151">
        <f t="shared" si="13"/>
        <v>6493</v>
      </c>
      <c r="Z22" s="3">
        <f t="shared" si="14"/>
        <v>8380.670376</v>
      </c>
      <c r="AA22" s="3">
        <f>SUM(Z1:Z22)</f>
        <v>151294.10662079998</v>
      </c>
    </row>
    <row r="23" spans="1:27" ht="16.5" thickBot="1" x14ac:dyDescent="0.3">
      <c r="A23" s="9">
        <v>44886</v>
      </c>
      <c r="B23" s="38">
        <v>266</v>
      </c>
      <c r="C23" s="131">
        <v>20345</v>
      </c>
      <c r="D23" s="38">
        <f t="shared" si="4"/>
        <v>480</v>
      </c>
      <c r="E23" s="132">
        <v>34686488</v>
      </c>
      <c r="F23" s="38">
        <f t="shared" si="5"/>
        <v>3381</v>
      </c>
      <c r="G23" s="133">
        <v>9098140</v>
      </c>
      <c r="H23" s="38">
        <f t="shared" si="6"/>
        <v>36730</v>
      </c>
      <c r="I23" s="134">
        <f t="shared" si="7"/>
        <v>40111</v>
      </c>
      <c r="J23" s="132">
        <v>900174</v>
      </c>
      <c r="K23" s="117">
        <f t="shared" si="15"/>
        <v>8648</v>
      </c>
      <c r="L23" s="135">
        <v>1215374</v>
      </c>
      <c r="M23" s="38">
        <f t="shared" si="8"/>
        <v>4463</v>
      </c>
      <c r="N23" s="132">
        <v>7865540</v>
      </c>
      <c r="O23" s="38">
        <f t="shared" si="16"/>
        <v>1682</v>
      </c>
      <c r="P23" s="135">
        <v>8896178</v>
      </c>
      <c r="Q23" s="38">
        <f t="shared" si="9"/>
        <v>7550</v>
      </c>
      <c r="R23" s="132">
        <v>23128984</v>
      </c>
      <c r="S23" s="38">
        <f t="shared" si="10"/>
        <v>7632</v>
      </c>
      <c r="T23" s="132">
        <v>0</v>
      </c>
      <c r="U23" s="136"/>
      <c r="V23" s="132">
        <v>1211792</v>
      </c>
      <c r="W23" s="38">
        <f t="shared" si="11"/>
        <v>7732</v>
      </c>
      <c r="X23" s="19">
        <f t="shared" si="12"/>
        <v>37707</v>
      </c>
      <c r="Y23" s="151">
        <f t="shared" si="13"/>
        <v>2404</v>
      </c>
      <c r="Z23" s="3">
        <f t="shared" si="14"/>
        <v>5065.5745088000012</v>
      </c>
      <c r="AA23" s="3">
        <f>SUM(Z1:Z23)</f>
        <v>156359.68112959998</v>
      </c>
    </row>
    <row r="24" spans="1:27" ht="16.5" thickBot="1" x14ac:dyDescent="0.3">
      <c r="A24" s="9">
        <v>44887</v>
      </c>
      <c r="B24" s="38">
        <v>268</v>
      </c>
      <c r="C24" s="131">
        <v>20347</v>
      </c>
      <c r="D24" s="38">
        <f t="shared" si="4"/>
        <v>320</v>
      </c>
      <c r="E24" s="132">
        <v>34701976</v>
      </c>
      <c r="F24" s="38">
        <f t="shared" si="5"/>
        <v>15488</v>
      </c>
      <c r="G24" s="133">
        <v>9161793</v>
      </c>
      <c r="H24" s="38">
        <f t="shared" si="6"/>
        <v>63653</v>
      </c>
      <c r="I24" s="134">
        <f t="shared" si="7"/>
        <v>79141</v>
      </c>
      <c r="J24" s="132">
        <v>907585</v>
      </c>
      <c r="K24" s="117">
        <f t="shared" si="15"/>
        <v>14822</v>
      </c>
      <c r="L24" s="135">
        <v>1222868</v>
      </c>
      <c r="M24" s="38">
        <f t="shared" si="8"/>
        <v>7494</v>
      </c>
      <c r="N24" s="132">
        <v>7867936</v>
      </c>
      <c r="O24" s="38">
        <f t="shared" si="16"/>
        <v>4792</v>
      </c>
      <c r="P24" s="135">
        <v>8910495</v>
      </c>
      <c r="Q24" s="38">
        <f t="shared" si="9"/>
        <v>14317</v>
      </c>
      <c r="R24" s="132">
        <v>23142658</v>
      </c>
      <c r="S24" s="38">
        <f t="shared" si="10"/>
        <v>13674</v>
      </c>
      <c r="T24" s="132">
        <v>0</v>
      </c>
      <c r="U24" s="136"/>
      <c r="V24" s="132">
        <v>1225596</v>
      </c>
      <c r="W24" s="38">
        <f t="shared" si="11"/>
        <v>13804</v>
      </c>
      <c r="X24" s="19">
        <f t="shared" si="12"/>
        <v>68903</v>
      </c>
      <c r="Y24" s="151">
        <f t="shared" si="13"/>
        <v>10238</v>
      </c>
      <c r="Z24" s="3">
        <f t="shared" si="14"/>
        <v>9435.6999776000011</v>
      </c>
      <c r="AA24" s="3">
        <f>SUM(Z1:Z24)</f>
        <v>165795.3811072</v>
      </c>
    </row>
    <row r="25" spans="1:27" ht="16.5" thickBot="1" x14ac:dyDescent="0.3">
      <c r="A25" s="9">
        <v>44888</v>
      </c>
      <c r="B25" s="38">
        <v>219</v>
      </c>
      <c r="C25" s="131">
        <v>20350</v>
      </c>
      <c r="D25" s="38">
        <f t="shared" si="4"/>
        <v>480</v>
      </c>
      <c r="E25" s="132">
        <v>34710057</v>
      </c>
      <c r="F25" s="38">
        <f t="shared" si="5"/>
        <v>8081</v>
      </c>
      <c r="G25" s="133">
        <v>9205296</v>
      </c>
      <c r="H25" s="38">
        <f t="shared" si="6"/>
        <v>43503</v>
      </c>
      <c r="I25" s="134">
        <f t="shared" si="7"/>
        <v>51584</v>
      </c>
      <c r="J25" s="132">
        <v>912632</v>
      </c>
      <c r="K25" s="117">
        <f t="shared" si="15"/>
        <v>10094</v>
      </c>
      <c r="L25" s="135">
        <v>1228006</v>
      </c>
      <c r="M25" s="38">
        <f t="shared" si="8"/>
        <v>5138</v>
      </c>
      <c r="N25" s="132">
        <v>7869331</v>
      </c>
      <c r="O25" s="38">
        <f t="shared" si="16"/>
        <v>2790</v>
      </c>
      <c r="P25" s="135">
        <v>8919853</v>
      </c>
      <c r="Q25" s="38">
        <f t="shared" si="9"/>
        <v>9358</v>
      </c>
      <c r="R25" s="132">
        <v>23151781</v>
      </c>
      <c r="S25" s="38">
        <f t="shared" si="10"/>
        <v>9123</v>
      </c>
      <c r="T25" s="132">
        <v>0</v>
      </c>
      <c r="U25" s="136"/>
      <c r="V25" s="132">
        <v>1235434</v>
      </c>
      <c r="W25" s="38">
        <f t="shared" si="11"/>
        <v>9838</v>
      </c>
      <c r="X25" s="19">
        <f t="shared" si="12"/>
        <v>46341</v>
      </c>
      <c r="Y25" s="151">
        <f t="shared" si="13"/>
        <v>5243</v>
      </c>
      <c r="Z25" s="3">
        <f t="shared" si="14"/>
        <v>6360.7645712000003</v>
      </c>
      <c r="AA25" s="3">
        <f>SUM(Z1:Z25)</f>
        <v>172156.1456784</v>
      </c>
    </row>
    <row r="26" spans="1:27" ht="16.5" thickBot="1" x14ac:dyDescent="0.3">
      <c r="A26" s="9">
        <v>44889</v>
      </c>
      <c r="B26" s="38">
        <v>228</v>
      </c>
      <c r="C26" s="131">
        <v>20352</v>
      </c>
      <c r="D26" s="38">
        <f t="shared" si="4"/>
        <v>320</v>
      </c>
      <c r="E26" s="132">
        <v>34724956</v>
      </c>
      <c r="F26" s="38">
        <f t="shared" si="5"/>
        <v>14899</v>
      </c>
      <c r="G26" s="133">
        <v>9261461</v>
      </c>
      <c r="H26" s="38">
        <f t="shared" si="6"/>
        <v>56165</v>
      </c>
      <c r="I26" s="134">
        <f t="shared" si="7"/>
        <v>71064</v>
      </c>
      <c r="J26" s="132">
        <v>919911</v>
      </c>
      <c r="K26" s="117">
        <f t="shared" si="15"/>
        <v>14558</v>
      </c>
      <c r="L26" s="135">
        <v>1235003</v>
      </c>
      <c r="M26" s="38">
        <f t="shared" si="8"/>
        <v>6997</v>
      </c>
      <c r="N26" s="132">
        <v>7873181</v>
      </c>
      <c r="O26" s="38">
        <f t="shared" si="16"/>
        <v>7700</v>
      </c>
      <c r="P26" s="135">
        <v>8927998</v>
      </c>
      <c r="Q26" s="38">
        <f t="shared" si="9"/>
        <v>8145</v>
      </c>
      <c r="R26" s="132">
        <v>23164482</v>
      </c>
      <c r="S26" s="38">
        <f t="shared" si="10"/>
        <v>12701</v>
      </c>
      <c r="T26" s="132">
        <v>0</v>
      </c>
      <c r="U26" s="136"/>
      <c r="V26" s="132">
        <v>1248583</v>
      </c>
      <c r="W26" s="38">
        <f t="shared" si="11"/>
        <v>13149</v>
      </c>
      <c r="X26" s="19">
        <f t="shared" si="12"/>
        <v>63250</v>
      </c>
      <c r="Y26" s="151">
        <f t="shared" si="13"/>
        <v>7814</v>
      </c>
      <c r="Z26" s="3">
        <f t="shared" si="14"/>
        <v>8568.0368799999997</v>
      </c>
      <c r="AA26" s="3">
        <f>SUM(Z1:Z26)</f>
        <v>180724.1825584</v>
      </c>
    </row>
    <row r="27" spans="1:27" ht="16.5" thickBot="1" x14ac:dyDescent="0.3">
      <c r="A27" s="9">
        <v>44890</v>
      </c>
      <c r="B27" s="38">
        <v>230</v>
      </c>
      <c r="C27" s="131">
        <v>20355</v>
      </c>
      <c r="D27" s="38">
        <f t="shared" si="4"/>
        <v>480</v>
      </c>
      <c r="E27" s="132">
        <v>34738968</v>
      </c>
      <c r="F27" s="38">
        <f t="shared" si="5"/>
        <v>14012</v>
      </c>
      <c r="G27" s="133">
        <v>9300034</v>
      </c>
      <c r="H27" s="38">
        <f t="shared" si="6"/>
        <v>38573</v>
      </c>
      <c r="I27" s="134">
        <f t="shared" si="7"/>
        <v>52585</v>
      </c>
      <c r="J27" s="132">
        <v>925280</v>
      </c>
      <c r="K27" s="117">
        <f t="shared" si="15"/>
        <v>10738</v>
      </c>
      <c r="L27" s="135">
        <v>1240267</v>
      </c>
      <c r="M27" s="38">
        <f t="shared" si="8"/>
        <v>5264</v>
      </c>
      <c r="N27" s="132">
        <v>7877458</v>
      </c>
      <c r="O27" s="38">
        <f t="shared" si="16"/>
        <v>8554</v>
      </c>
      <c r="P27" s="135">
        <v>8930403</v>
      </c>
      <c r="Q27" s="38">
        <f t="shared" si="9"/>
        <v>2405</v>
      </c>
      <c r="R27" s="132">
        <v>23174175</v>
      </c>
      <c r="S27" s="38">
        <f t="shared" si="10"/>
        <v>9693</v>
      </c>
      <c r="T27" s="132">
        <v>0</v>
      </c>
      <c r="U27" s="136"/>
      <c r="V27" s="132">
        <v>1258748</v>
      </c>
      <c r="W27" s="38">
        <f t="shared" si="11"/>
        <v>10165</v>
      </c>
      <c r="X27" s="19">
        <f t="shared" si="12"/>
        <v>46819</v>
      </c>
      <c r="Y27" s="151">
        <f t="shared" si="13"/>
        <v>5766</v>
      </c>
      <c r="Z27" s="3">
        <f t="shared" si="14"/>
        <v>6406.3509536000001</v>
      </c>
      <c r="AA27" s="3">
        <f>SUM(Z1:Z27)</f>
        <v>187130.53351199999</v>
      </c>
    </row>
    <row r="28" spans="1:27" ht="16.5" thickBot="1" x14ac:dyDescent="0.3">
      <c r="A28" s="9">
        <v>44891</v>
      </c>
      <c r="B28" s="38">
        <v>220</v>
      </c>
      <c r="C28" s="131">
        <v>20358</v>
      </c>
      <c r="D28" s="38">
        <f t="shared" si="4"/>
        <v>480</v>
      </c>
      <c r="E28" s="132">
        <v>34750587</v>
      </c>
      <c r="F28" s="38">
        <f t="shared" si="5"/>
        <v>11619</v>
      </c>
      <c r="G28" s="133">
        <v>9333280</v>
      </c>
      <c r="H28" s="38">
        <f t="shared" si="6"/>
        <v>33246</v>
      </c>
      <c r="I28" s="134">
        <f t="shared" si="7"/>
        <v>44865</v>
      </c>
      <c r="J28" s="132">
        <v>929934</v>
      </c>
      <c r="K28" s="117">
        <f t="shared" si="15"/>
        <v>9308</v>
      </c>
      <c r="L28" s="135">
        <v>1244591</v>
      </c>
      <c r="M28" s="38">
        <f t="shared" si="8"/>
        <v>4324</v>
      </c>
      <c r="N28" s="132">
        <v>7881029</v>
      </c>
      <c r="O28" s="38">
        <f t="shared" si="16"/>
        <v>7142</v>
      </c>
      <c r="P28" s="135">
        <v>8932484</v>
      </c>
      <c r="Q28" s="38">
        <f t="shared" si="9"/>
        <v>2081</v>
      </c>
      <c r="R28" s="132">
        <v>23182732</v>
      </c>
      <c r="S28" s="38">
        <f t="shared" si="10"/>
        <v>8557</v>
      </c>
      <c r="T28" s="132">
        <v>0</v>
      </c>
      <c r="U28" s="136"/>
      <c r="V28" s="132">
        <v>1267330</v>
      </c>
      <c r="W28" s="38">
        <f t="shared" si="11"/>
        <v>8582</v>
      </c>
      <c r="X28" s="19">
        <f t="shared" si="12"/>
        <v>39994</v>
      </c>
      <c r="Y28" s="151">
        <f t="shared" si="13"/>
        <v>4871</v>
      </c>
      <c r="Z28" s="3">
        <f t="shared" si="14"/>
        <v>5495.0910768000003</v>
      </c>
      <c r="AA28" s="3">
        <f>SUM(Z1:Z28)</f>
        <v>192625.62458879998</v>
      </c>
    </row>
    <row r="29" spans="1:27" ht="16.5" thickBot="1" x14ac:dyDescent="0.3">
      <c r="A29" s="9">
        <v>44892</v>
      </c>
      <c r="B29" s="38">
        <v>185</v>
      </c>
      <c r="C29" s="131">
        <v>20361</v>
      </c>
      <c r="D29" s="38">
        <f t="shared" si="4"/>
        <v>480</v>
      </c>
      <c r="E29" s="132">
        <v>34770903</v>
      </c>
      <c r="F29" s="38">
        <f t="shared" si="5"/>
        <v>20316</v>
      </c>
      <c r="G29" s="133">
        <v>9390202</v>
      </c>
      <c r="H29" s="38">
        <f t="shared" si="6"/>
        <v>56922</v>
      </c>
      <c r="I29" s="134">
        <f t="shared" si="7"/>
        <v>77238</v>
      </c>
      <c r="J29" s="132">
        <v>938087</v>
      </c>
      <c r="K29" s="117">
        <f t="shared" si="15"/>
        <v>16306</v>
      </c>
      <c r="L29" s="135">
        <v>1252487</v>
      </c>
      <c r="M29" s="38">
        <f t="shared" si="8"/>
        <v>7896</v>
      </c>
      <c r="N29" s="132">
        <v>7887121</v>
      </c>
      <c r="O29" s="38">
        <f t="shared" si="16"/>
        <v>12184</v>
      </c>
      <c r="P29" s="135">
        <v>8936026</v>
      </c>
      <c r="Q29" s="38">
        <f t="shared" si="9"/>
        <v>3542</v>
      </c>
      <c r="R29" s="132">
        <v>23197018</v>
      </c>
      <c r="S29" s="38">
        <f t="shared" si="10"/>
        <v>14286</v>
      </c>
      <c r="T29" s="132">
        <v>0</v>
      </c>
      <c r="U29" s="136"/>
      <c r="V29" s="132">
        <v>1282230</v>
      </c>
      <c r="W29" s="38">
        <f t="shared" si="11"/>
        <v>14900</v>
      </c>
      <c r="X29" s="19">
        <f t="shared" si="12"/>
        <v>69114</v>
      </c>
      <c r="Y29" s="151">
        <f t="shared" si="13"/>
        <v>8124</v>
      </c>
      <c r="Z29" s="3">
        <f t="shared" si="14"/>
        <v>9360.5073952000002</v>
      </c>
      <c r="AA29" s="3">
        <f>SUM(Z1:Z29)</f>
        <v>201986.13198399998</v>
      </c>
    </row>
    <row r="30" spans="1:27" ht="16.5" thickBot="1" x14ac:dyDescent="0.3">
      <c r="A30" s="9">
        <v>44893</v>
      </c>
      <c r="B30" s="38">
        <v>249</v>
      </c>
      <c r="C30" s="131">
        <v>20364</v>
      </c>
      <c r="D30" s="38">
        <f>IF((C30-C29)&lt;0,"0",(C30-C29))*160</f>
        <v>480</v>
      </c>
      <c r="E30" s="132">
        <v>34783953</v>
      </c>
      <c r="F30" s="38">
        <f>IF((E30-E29)&lt;0,"0",(E30-E29))</f>
        <v>13050</v>
      </c>
      <c r="G30" s="133">
        <v>9425096</v>
      </c>
      <c r="H30" s="38">
        <f t="shared" si="6"/>
        <v>34894</v>
      </c>
      <c r="I30" s="134">
        <f t="shared" si="7"/>
        <v>47944</v>
      </c>
      <c r="J30" s="132">
        <v>943362</v>
      </c>
      <c r="K30" s="117">
        <f t="shared" si="15"/>
        <v>10550</v>
      </c>
      <c r="L30" s="135">
        <v>1257527</v>
      </c>
      <c r="M30" s="38">
        <f>IF((L30-L29)&lt;0,"0",(L30-L29))</f>
        <v>5040</v>
      </c>
      <c r="N30" s="132">
        <v>7891006</v>
      </c>
      <c r="O30" s="38">
        <f>(IF((N30-N29)&lt;0,"0",(N30-N29)))*2</f>
        <v>7770</v>
      </c>
      <c r="P30" s="135">
        <v>8938314</v>
      </c>
      <c r="Q30" s="38">
        <f>IF((P30-P29)&lt;0,"0",(P30-P29))</f>
        <v>2288</v>
      </c>
      <c r="R30" s="132">
        <v>23205636</v>
      </c>
      <c r="S30" s="38">
        <f t="shared" si="10"/>
        <v>8618</v>
      </c>
      <c r="T30" s="132">
        <v>0</v>
      </c>
      <c r="U30" s="136"/>
      <c r="V30" s="132">
        <v>1291225</v>
      </c>
      <c r="W30" s="38">
        <f>IF((V30-V29)&lt;0,"0",(V30-V29))</f>
        <v>8995</v>
      </c>
      <c r="X30" s="19">
        <f t="shared" si="12"/>
        <v>43261</v>
      </c>
      <c r="Y30" s="151">
        <f t="shared" si="13"/>
        <v>4683</v>
      </c>
      <c r="Z30" s="3">
        <f t="shared" si="14"/>
        <v>5731.0193615999997</v>
      </c>
      <c r="AA30" s="3">
        <f>SUM(Z1:Z30)</f>
        <v>207717.15134559997</v>
      </c>
    </row>
    <row r="31" spans="1:27" ht="16.5" thickBot="1" x14ac:dyDescent="0.3">
      <c r="A31" s="9">
        <v>44894</v>
      </c>
      <c r="B31" s="38">
        <v>299</v>
      </c>
      <c r="C31" s="131">
        <v>20367</v>
      </c>
      <c r="D31" s="38">
        <f t="shared" ref="D31:D32" si="27">IF((C31-C30)&lt;0,"0",(C31-C30))*160</f>
        <v>480</v>
      </c>
      <c r="E31" s="132">
        <v>34801688</v>
      </c>
      <c r="F31" s="38">
        <f t="shared" ref="F31:F32" si="28">IF((E31-E30)&lt;0,"0",(E31-E30))</f>
        <v>17735</v>
      </c>
      <c r="G31" s="133">
        <v>9474003</v>
      </c>
      <c r="H31" s="38">
        <f t="shared" si="6"/>
        <v>48907</v>
      </c>
      <c r="I31" s="134">
        <f t="shared" ref="I31:I32" si="29">F31+H31</f>
        <v>66642</v>
      </c>
      <c r="J31" s="132">
        <v>950434</v>
      </c>
      <c r="K31" s="117">
        <f t="shared" si="15"/>
        <v>14144</v>
      </c>
      <c r="L31" s="135">
        <v>1264398</v>
      </c>
      <c r="M31" s="38">
        <f t="shared" ref="M31:M32" si="30">IF((L31-L30)&lt;0,"0",(L31-L30))</f>
        <v>6871</v>
      </c>
      <c r="N31" s="132">
        <v>7896370</v>
      </c>
      <c r="O31" s="38">
        <f t="shared" ref="O31:O32" si="31">(IF((N31-N30)&lt;0,"0",(N31-N30)))*2</f>
        <v>10728</v>
      </c>
      <c r="P31" s="135">
        <v>8941170</v>
      </c>
      <c r="Q31" s="38">
        <f t="shared" ref="Q31:Q32" si="32">IF((P31-P30)&lt;0,"0",(P31-P30))</f>
        <v>2856</v>
      </c>
      <c r="R31" s="132">
        <v>23217829</v>
      </c>
      <c r="S31" s="38">
        <f t="shared" ref="S31:S32" si="33">IF((R31-R30)&lt;0,"0",(R31-R30))</f>
        <v>12193</v>
      </c>
      <c r="T31" s="132">
        <v>0</v>
      </c>
      <c r="U31" s="136"/>
      <c r="V31" s="132">
        <v>1304119</v>
      </c>
      <c r="W31" s="38">
        <f t="shared" ref="W31:W32" si="34">IF((V31-V30)&lt;0,"0",(V31-V30))</f>
        <v>12894</v>
      </c>
      <c r="X31" s="19">
        <f t="shared" ref="X31:X32" si="35">K31+M31+O31+Q31+S31+U31+W31</f>
        <v>59686</v>
      </c>
      <c r="Y31" s="151">
        <f t="shared" ref="Y31:Y32" si="36">I31-X31</f>
        <v>6956</v>
      </c>
      <c r="Z31" s="3">
        <f t="shared" ref="Z31:Z32" si="37">(0.93352*(W31+S31)+0.5568*(Q31+O31))*0.26</f>
        <v>8055.5247343999999</v>
      </c>
      <c r="AA31" s="3">
        <f>SUM(Z1:Z31)</f>
        <v>215772.67607999998</v>
      </c>
    </row>
    <row r="32" spans="1:27" ht="16.5" thickBot="1" x14ac:dyDescent="0.3">
      <c r="A32" s="9">
        <v>44895</v>
      </c>
      <c r="B32" s="38"/>
      <c r="C32" s="131">
        <f t="shared" ref="C31:C32" si="38">C31</f>
        <v>20367</v>
      </c>
      <c r="D32" s="38">
        <f t="shared" si="27"/>
        <v>0</v>
      </c>
      <c r="E32" s="132">
        <f t="shared" ref="E31:E32" si="39">E31</f>
        <v>34801688</v>
      </c>
      <c r="F32" s="38">
        <f t="shared" si="28"/>
        <v>0</v>
      </c>
      <c r="G32" s="133">
        <f t="shared" ref="G31:G32" si="40">G31</f>
        <v>9474003</v>
      </c>
      <c r="H32" s="38">
        <f t="shared" si="6"/>
        <v>0</v>
      </c>
      <c r="I32" s="134">
        <f t="shared" si="29"/>
        <v>0</v>
      </c>
      <c r="J32" s="132">
        <f t="shared" ref="J31:J32" si="41">J31</f>
        <v>950434</v>
      </c>
      <c r="K32" s="117">
        <f t="shared" si="15"/>
        <v>0</v>
      </c>
      <c r="L32" s="135">
        <f t="shared" ref="L31:L32" si="42">L31</f>
        <v>1264398</v>
      </c>
      <c r="M32" s="38">
        <f t="shared" si="30"/>
        <v>0</v>
      </c>
      <c r="N32" s="132">
        <f t="shared" ref="N31:N32" si="43">N31</f>
        <v>7896370</v>
      </c>
      <c r="O32" s="38">
        <f t="shared" si="31"/>
        <v>0</v>
      </c>
      <c r="P32" s="135">
        <f t="shared" ref="P31:P32" si="44">P31</f>
        <v>8941170</v>
      </c>
      <c r="Q32" s="38">
        <f t="shared" si="32"/>
        <v>0</v>
      </c>
      <c r="R32" s="132">
        <f t="shared" ref="R31:R32" si="45">R31</f>
        <v>23217829</v>
      </c>
      <c r="S32" s="38">
        <f t="shared" si="33"/>
        <v>0</v>
      </c>
      <c r="T32" s="132">
        <v>0</v>
      </c>
      <c r="U32" s="136"/>
      <c r="V32" s="132">
        <f t="shared" ref="V31:V32" si="46">V31</f>
        <v>1304119</v>
      </c>
      <c r="W32" s="38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215772.67607999998</v>
      </c>
    </row>
    <row r="33" spans="1:27" ht="16.5" thickBot="1" x14ac:dyDescent="0.3">
      <c r="A33" s="124" t="s">
        <v>23</v>
      </c>
      <c r="B33" s="124">
        <f>SUM(B3:B32)</f>
        <v>7357</v>
      </c>
      <c r="C33" s="124">
        <v>0</v>
      </c>
      <c r="D33" s="124">
        <f>SUM(D3:D32)</f>
        <v>13440</v>
      </c>
      <c r="E33" s="55">
        <v>0</v>
      </c>
      <c r="F33" s="124">
        <f>SUM(F3:F32)</f>
        <v>311855</v>
      </c>
      <c r="G33" s="55">
        <v>0</v>
      </c>
      <c r="H33" s="124">
        <f>SUM(H3:H32)</f>
        <v>1453207</v>
      </c>
      <c r="I33" s="124">
        <f t="shared" ref="I33" si="47">F33+H33</f>
        <v>1765062</v>
      </c>
      <c r="J33" s="55">
        <v>0</v>
      </c>
      <c r="K33" s="124">
        <f>SUM(K3:K32)</f>
        <v>343180</v>
      </c>
      <c r="L33" s="55">
        <v>0</v>
      </c>
      <c r="M33" s="124">
        <f>SUM(M3:M32)</f>
        <v>173976</v>
      </c>
      <c r="N33" s="55">
        <v>0</v>
      </c>
      <c r="O33" s="124">
        <f>SUM(O3:O32)</f>
        <v>132878</v>
      </c>
      <c r="P33" s="55">
        <v>0</v>
      </c>
      <c r="Q33" s="124">
        <f>SUM(Q3:Q32)</f>
        <v>277759</v>
      </c>
      <c r="R33" s="55">
        <v>0</v>
      </c>
      <c r="S33" s="124">
        <f>SUM(S3:S32)</f>
        <v>313361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330709</v>
      </c>
      <c r="X33" s="124">
        <f>SUM(X3:X32)</f>
        <v>1571863</v>
      </c>
      <c r="Y33" s="124">
        <f>SUM(Y2:Y32)</f>
        <v>193199</v>
      </c>
      <c r="Z33" s="124">
        <f>SUM(Z2:Z32)</f>
        <v>215772.67607999998</v>
      </c>
      <c r="AA33" s="124">
        <f>SUM(AA2:AA32)</f>
        <v>3511570.284976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D38" sqref="D3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v>466815</v>
      </c>
      <c r="C19" s="38">
        <f t="shared" si="7"/>
        <v>710</v>
      </c>
      <c r="D19" s="3">
        <v>15842</v>
      </c>
      <c r="E19" s="38">
        <f t="shared" ref="E19:E32" si="8">(IF((D19-D18)&lt;0,"0",(D19-D18)))*10</f>
        <v>390</v>
      </c>
      <c r="F19" s="3">
        <v>12721700</v>
      </c>
      <c r="G19" s="38">
        <f t="shared" si="5"/>
        <v>315.89999999999998</v>
      </c>
      <c r="H19" s="3">
        <v>822210</v>
      </c>
      <c r="I19" s="43">
        <f t="shared" si="6"/>
        <v>5.2379999999999995</v>
      </c>
      <c r="J19" s="19">
        <f t="shared" si="3"/>
        <v>1421.1380000000001</v>
      </c>
      <c r="K19" s="20">
        <f t="shared" si="4"/>
        <v>8327.8686800000014</v>
      </c>
      <c r="Q19" t="s">
        <v>12</v>
      </c>
    </row>
    <row r="20" spans="1:25" ht="16.5" thickBot="1" x14ac:dyDescent="0.3">
      <c r="A20" s="9">
        <v>44883</v>
      </c>
      <c r="B20" s="3">
        <v>466889</v>
      </c>
      <c r="C20" s="38">
        <f t="shared" si="7"/>
        <v>740</v>
      </c>
      <c r="D20" s="3">
        <v>15876</v>
      </c>
      <c r="E20" s="38">
        <f t="shared" si="8"/>
        <v>340</v>
      </c>
      <c r="F20" s="3">
        <v>12734700</v>
      </c>
      <c r="G20" s="38">
        <f t="shared" si="5"/>
        <v>351</v>
      </c>
      <c r="H20" s="3">
        <v>822390</v>
      </c>
      <c r="I20" s="43">
        <f t="shared" si="6"/>
        <v>4.8600000000000003</v>
      </c>
      <c r="J20" s="19">
        <f t="shared" si="3"/>
        <v>1435.86</v>
      </c>
      <c r="K20" s="20">
        <f t="shared" si="4"/>
        <v>8414.1396000000004</v>
      </c>
    </row>
    <row r="21" spans="1:25" ht="16.5" thickBot="1" x14ac:dyDescent="0.3">
      <c r="A21" s="9">
        <v>44884</v>
      </c>
      <c r="B21" s="3">
        <v>466969</v>
      </c>
      <c r="C21" s="38">
        <f t="shared" si="7"/>
        <v>800</v>
      </c>
      <c r="D21" s="3">
        <v>15913</v>
      </c>
      <c r="E21" s="38">
        <f t="shared" si="8"/>
        <v>370</v>
      </c>
      <c r="F21" s="3">
        <v>12750100</v>
      </c>
      <c r="G21" s="38">
        <f t="shared" si="5"/>
        <v>415.8</v>
      </c>
      <c r="H21" s="3">
        <v>822593</v>
      </c>
      <c r="I21" s="43">
        <f t="shared" si="6"/>
        <v>5.4809999999999999</v>
      </c>
      <c r="J21" s="19">
        <f t="shared" si="3"/>
        <v>1591.2809999999999</v>
      </c>
      <c r="K21" s="20">
        <f t="shared" si="4"/>
        <v>9324.9066600000006</v>
      </c>
    </row>
    <row r="22" spans="1:25" ht="16.5" thickBot="1" x14ac:dyDescent="0.3">
      <c r="A22" s="9">
        <v>44885</v>
      </c>
      <c r="B22" s="3">
        <v>467048</v>
      </c>
      <c r="C22" s="38">
        <f t="shared" si="7"/>
        <v>790</v>
      </c>
      <c r="D22" s="3">
        <v>15951</v>
      </c>
      <c r="E22" s="38">
        <f t="shared" si="8"/>
        <v>380</v>
      </c>
      <c r="F22" s="3">
        <v>12765100</v>
      </c>
      <c r="G22" s="38">
        <f t="shared" si="5"/>
        <v>405</v>
      </c>
      <c r="H22" s="3">
        <v>822795</v>
      </c>
      <c r="I22" s="43">
        <f t="shared" si="6"/>
        <v>5.4539999999999997</v>
      </c>
      <c r="J22" s="19">
        <f t="shared" si="3"/>
        <v>1580.454</v>
      </c>
      <c r="K22" s="20">
        <f t="shared" si="4"/>
        <v>9261.4604400000007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v>467134</v>
      </c>
      <c r="C23" s="38">
        <f t="shared" si="7"/>
        <v>860</v>
      </c>
      <c r="D23" s="3">
        <v>15988</v>
      </c>
      <c r="E23" s="38">
        <f t="shared" si="8"/>
        <v>370</v>
      </c>
      <c r="F23" s="3">
        <v>12780000</v>
      </c>
      <c r="G23" s="38">
        <f t="shared" si="5"/>
        <v>402.3</v>
      </c>
      <c r="H23" s="3">
        <v>822986</v>
      </c>
      <c r="I23" s="43">
        <f t="shared" si="6"/>
        <v>5.157</v>
      </c>
      <c r="J23" s="19">
        <f t="shared" si="3"/>
        <v>1637.4569999999999</v>
      </c>
      <c r="K23" s="20">
        <f t="shared" si="4"/>
        <v>9595.4980199999991</v>
      </c>
      <c r="Q23" t="s">
        <v>12</v>
      </c>
    </row>
    <row r="24" spans="1:25" ht="16.5" thickBot="1" x14ac:dyDescent="0.3">
      <c r="A24" s="9">
        <v>44887</v>
      </c>
      <c r="B24" s="3">
        <v>467209</v>
      </c>
      <c r="C24" s="38">
        <f t="shared" si="7"/>
        <v>750</v>
      </c>
      <c r="D24" s="3">
        <v>16025</v>
      </c>
      <c r="E24" s="38">
        <f t="shared" si="8"/>
        <v>370</v>
      </c>
      <c r="F24" s="3">
        <v>12792600</v>
      </c>
      <c r="G24" s="38">
        <f t="shared" si="5"/>
        <v>340.2</v>
      </c>
      <c r="H24" s="3">
        <v>823179</v>
      </c>
      <c r="I24" s="43">
        <f t="shared" si="6"/>
        <v>5.2110000000000003</v>
      </c>
      <c r="J24" s="19">
        <f t="shared" si="3"/>
        <v>1465.4110000000001</v>
      </c>
      <c r="K24" s="20">
        <f t="shared" si="4"/>
        <v>8587.3084600000002</v>
      </c>
      <c r="N24" s="152"/>
    </row>
    <row r="25" spans="1:25" ht="17.25" customHeight="1" thickBot="1" x14ac:dyDescent="0.4">
      <c r="A25" s="9">
        <v>44888</v>
      </c>
      <c r="B25" s="3">
        <v>467285</v>
      </c>
      <c r="C25" s="38">
        <f t="shared" si="7"/>
        <v>760</v>
      </c>
      <c r="D25" s="3">
        <v>16062</v>
      </c>
      <c r="E25" s="38">
        <f t="shared" si="8"/>
        <v>370</v>
      </c>
      <c r="F25" s="3">
        <v>12806700</v>
      </c>
      <c r="G25" s="38">
        <f t="shared" si="5"/>
        <v>380.7</v>
      </c>
      <c r="H25" s="3">
        <v>823376</v>
      </c>
      <c r="I25" s="43">
        <f t="shared" si="6"/>
        <v>5.319</v>
      </c>
      <c r="J25" s="19">
        <f t="shared" si="3"/>
        <v>1516.019</v>
      </c>
      <c r="K25" s="20">
        <f t="shared" si="4"/>
        <v>8883.8713399999997</v>
      </c>
      <c r="Y25" s="54"/>
    </row>
    <row r="26" spans="1:25" ht="16.5" thickBot="1" x14ac:dyDescent="0.3">
      <c r="A26" s="9">
        <v>44889</v>
      </c>
      <c r="B26" s="3">
        <v>467360</v>
      </c>
      <c r="C26" s="38">
        <f t="shared" si="7"/>
        <v>750</v>
      </c>
      <c r="D26" s="3">
        <v>16095</v>
      </c>
      <c r="E26" s="38">
        <f t="shared" si="8"/>
        <v>330</v>
      </c>
      <c r="F26" s="3">
        <v>12822200</v>
      </c>
      <c r="G26" s="38">
        <f t="shared" si="5"/>
        <v>418.5</v>
      </c>
      <c r="H26" s="3">
        <v>823588</v>
      </c>
      <c r="I26" s="43">
        <f t="shared" si="6"/>
        <v>5.7240000000000002</v>
      </c>
      <c r="J26" s="19">
        <f t="shared" si="3"/>
        <v>1504.2239999999999</v>
      </c>
      <c r="K26" s="20">
        <f t="shared" si="4"/>
        <v>8814.7526400000006</v>
      </c>
      <c r="L26" t="s">
        <v>12</v>
      </c>
    </row>
    <row r="27" spans="1:25" ht="16.5" thickBot="1" x14ac:dyDescent="0.3">
      <c r="A27" s="9">
        <v>44890</v>
      </c>
      <c r="B27" s="3">
        <v>467440</v>
      </c>
      <c r="C27" s="38">
        <f t="shared" si="7"/>
        <v>800</v>
      </c>
      <c r="D27" s="3">
        <v>16126</v>
      </c>
      <c r="E27" s="38">
        <f t="shared" si="8"/>
        <v>310</v>
      </c>
      <c r="F27" s="3">
        <v>12840300</v>
      </c>
      <c r="G27" s="38">
        <f t="shared" si="5"/>
        <v>488.7</v>
      </c>
      <c r="H27" s="3">
        <v>823770</v>
      </c>
      <c r="I27" s="43">
        <f t="shared" si="6"/>
        <v>4.9139999999999997</v>
      </c>
      <c r="J27" s="19">
        <f t="shared" si="3"/>
        <v>1603.614</v>
      </c>
      <c r="K27" s="20">
        <f t="shared" si="4"/>
        <v>9397.1780400000007</v>
      </c>
      <c r="N27" s="34"/>
      <c r="O27" t="s">
        <v>12</v>
      </c>
    </row>
    <row r="28" spans="1:25" ht="16.5" thickBot="1" x14ac:dyDescent="0.3">
      <c r="A28" s="9">
        <v>44891</v>
      </c>
      <c r="B28" s="3">
        <v>467516</v>
      </c>
      <c r="C28" s="38">
        <f t="shared" si="7"/>
        <v>760</v>
      </c>
      <c r="D28" s="3">
        <v>16159</v>
      </c>
      <c r="E28" s="38">
        <f t="shared" si="8"/>
        <v>330</v>
      </c>
      <c r="F28" s="3">
        <v>12855600</v>
      </c>
      <c r="G28" s="38">
        <f t="shared" si="5"/>
        <v>413.1</v>
      </c>
      <c r="H28" s="3">
        <v>823977</v>
      </c>
      <c r="I28" s="43">
        <f t="shared" si="6"/>
        <v>5.5889999999999995</v>
      </c>
      <c r="J28" s="19">
        <f t="shared" si="3"/>
        <v>1508.6889999999999</v>
      </c>
      <c r="K28" s="20">
        <f t="shared" si="4"/>
        <v>8840.9175400000004</v>
      </c>
    </row>
    <row r="29" spans="1:25" ht="16.5" thickBot="1" x14ac:dyDescent="0.3">
      <c r="A29" s="9">
        <v>44892</v>
      </c>
      <c r="B29" s="3">
        <v>467591</v>
      </c>
      <c r="C29" s="38">
        <f t="shared" si="7"/>
        <v>750</v>
      </c>
      <c r="D29" s="3">
        <v>16190</v>
      </c>
      <c r="E29" s="38">
        <f t="shared" si="8"/>
        <v>310</v>
      </c>
      <c r="F29" s="3">
        <v>12872100</v>
      </c>
      <c r="G29" s="38">
        <f t="shared" si="5"/>
        <v>445.5</v>
      </c>
      <c r="H29" s="3">
        <v>824190</v>
      </c>
      <c r="I29" s="43">
        <f t="shared" si="6"/>
        <v>5.7510000000000003</v>
      </c>
      <c r="J29" s="19">
        <f t="shared" si="3"/>
        <v>1511.251</v>
      </c>
      <c r="K29" s="20">
        <f t="shared" si="4"/>
        <v>8855.9308600000004</v>
      </c>
    </row>
    <row r="30" spans="1:25" ht="16.5" thickBot="1" x14ac:dyDescent="0.3">
      <c r="A30" s="9">
        <v>44893</v>
      </c>
      <c r="B30" s="3">
        <v>467670</v>
      </c>
      <c r="C30" s="38">
        <f t="shared" si="7"/>
        <v>790</v>
      </c>
      <c r="D30" s="3">
        <v>16231</v>
      </c>
      <c r="E30" s="38">
        <f t="shared" si="8"/>
        <v>410</v>
      </c>
      <c r="F30" s="3">
        <v>12881600</v>
      </c>
      <c r="G30" s="38">
        <f t="shared" si="5"/>
        <v>256.5</v>
      </c>
      <c r="H30" s="3">
        <v>824424</v>
      </c>
      <c r="I30" s="43">
        <f t="shared" si="6"/>
        <v>6.3179999999999996</v>
      </c>
      <c r="J30" s="19">
        <f t="shared" si="3"/>
        <v>1462.818</v>
      </c>
      <c r="K30" s="20">
        <f t="shared" si="4"/>
        <v>8572.11348</v>
      </c>
    </row>
    <row r="31" spans="1:25" ht="16.5" thickBot="1" x14ac:dyDescent="0.3">
      <c r="A31" s="9">
        <v>44894</v>
      </c>
      <c r="B31" s="3">
        <v>467749</v>
      </c>
      <c r="C31" s="38">
        <f t="shared" si="7"/>
        <v>790</v>
      </c>
      <c r="D31" s="3">
        <v>16267</v>
      </c>
      <c r="E31" s="38">
        <f t="shared" si="8"/>
        <v>360</v>
      </c>
      <c r="F31" s="3">
        <v>12906200</v>
      </c>
      <c r="G31" s="38">
        <f t="shared" si="5"/>
        <v>664.2</v>
      </c>
      <c r="H31" s="3">
        <v>824648</v>
      </c>
      <c r="I31" s="43">
        <f t="shared" si="6"/>
        <v>6.048</v>
      </c>
      <c r="J31" s="19">
        <f t="shared" si="3"/>
        <v>1820.248</v>
      </c>
      <c r="K31" s="20">
        <f t="shared" si="4"/>
        <v>10666.65328</v>
      </c>
    </row>
    <row r="32" spans="1:25" ht="16.5" thickBot="1" x14ac:dyDescent="0.3">
      <c r="A32" s="9">
        <v>44895</v>
      </c>
      <c r="B32" s="3">
        <f t="shared" ref="B31:B32" si="9">B31</f>
        <v>467749</v>
      </c>
      <c r="C32" s="38">
        <f t="shared" si="7"/>
        <v>0</v>
      </c>
      <c r="D32" s="3">
        <f t="shared" ref="D31:D32" si="10">D31</f>
        <v>16267</v>
      </c>
      <c r="E32" s="38">
        <f t="shared" si="8"/>
        <v>0</v>
      </c>
      <c r="F32" s="3">
        <f t="shared" ref="F31:F32" si="11">F31</f>
        <v>12906200</v>
      </c>
      <c r="G32" s="38">
        <f t="shared" si="5"/>
        <v>0</v>
      </c>
      <c r="H32" s="3">
        <f t="shared" ref="H31:H32" si="12">H31</f>
        <v>824648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22490</v>
      </c>
      <c r="D33" s="55"/>
      <c r="E33" s="55">
        <f>SUM(E3:E32)</f>
        <v>10500</v>
      </c>
      <c r="F33" s="55"/>
      <c r="G33" s="55">
        <f>SUM(G3:G32)</f>
        <v>11712.600000000004</v>
      </c>
      <c r="H33" s="55"/>
      <c r="I33" s="55">
        <f>SUM(I3:I32)</f>
        <v>152.44199999999998</v>
      </c>
      <c r="J33" s="55">
        <v>0</v>
      </c>
      <c r="K33" s="55">
        <f>SUM(K4:K32)</f>
        <v>253449.69386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C32" sqref="C3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v>18579417</v>
      </c>
      <c r="C19" s="44">
        <f t="shared" si="0"/>
        <v>1617</v>
      </c>
    </row>
    <row r="20" spans="1:9" ht="24" thickBot="1" x14ac:dyDescent="0.4">
      <c r="A20" s="9">
        <v>44883</v>
      </c>
      <c r="B20" s="120">
        <v>18581046</v>
      </c>
      <c r="C20" s="44">
        <f t="shared" si="0"/>
        <v>1629</v>
      </c>
      <c r="I20" s="34"/>
    </row>
    <row r="21" spans="1:9" ht="24" thickBot="1" x14ac:dyDescent="0.4">
      <c r="A21" s="9">
        <v>44884</v>
      </c>
      <c r="B21" s="120">
        <v>18582617</v>
      </c>
      <c r="C21" s="44">
        <f t="shared" si="0"/>
        <v>1571</v>
      </c>
    </row>
    <row r="22" spans="1:9" ht="24" thickBot="1" x14ac:dyDescent="0.4">
      <c r="A22" s="9">
        <v>44885</v>
      </c>
      <c r="B22" s="120">
        <v>18584639</v>
      </c>
      <c r="C22" s="44">
        <f t="shared" si="0"/>
        <v>2022</v>
      </c>
    </row>
    <row r="23" spans="1:9" ht="24" thickBot="1" x14ac:dyDescent="0.4">
      <c r="A23" s="9">
        <v>44886</v>
      </c>
      <c r="B23" s="120">
        <v>18586298</v>
      </c>
      <c r="C23" s="44">
        <f t="shared" si="0"/>
        <v>1659</v>
      </c>
      <c r="F23" t="s">
        <v>12</v>
      </c>
    </row>
    <row r="24" spans="1:9" ht="24" thickBot="1" x14ac:dyDescent="0.4">
      <c r="A24" s="9">
        <v>44887</v>
      </c>
      <c r="B24" s="120">
        <v>18588048</v>
      </c>
      <c r="C24" s="44">
        <f t="shared" si="0"/>
        <v>1750</v>
      </c>
      <c r="E24" t="s">
        <v>12</v>
      </c>
    </row>
    <row r="25" spans="1:9" ht="24" thickBot="1" x14ac:dyDescent="0.4">
      <c r="A25" s="9">
        <v>44888</v>
      </c>
      <c r="B25" s="120">
        <v>18589820</v>
      </c>
      <c r="C25" s="44">
        <f t="shared" si="0"/>
        <v>1772</v>
      </c>
    </row>
    <row r="26" spans="1:9" ht="24" thickBot="1" x14ac:dyDescent="0.4">
      <c r="A26" s="9">
        <v>44889</v>
      </c>
      <c r="B26" s="120">
        <v>18591442</v>
      </c>
      <c r="C26" s="44">
        <f t="shared" si="0"/>
        <v>1622</v>
      </c>
    </row>
    <row r="27" spans="1:9" ht="24" thickBot="1" x14ac:dyDescent="0.4">
      <c r="A27" s="9">
        <v>44890</v>
      </c>
      <c r="B27" s="120">
        <v>18593426</v>
      </c>
      <c r="C27" s="44">
        <f t="shared" si="0"/>
        <v>1984</v>
      </c>
    </row>
    <row r="28" spans="1:9" ht="24" thickBot="1" x14ac:dyDescent="0.4">
      <c r="A28" s="9">
        <v>44891</v>
      </c>
      <c r="B28" s="120">
        <v>18595387</v>
      </c>
      <c r="C28" s="44">
        <f t="shared" si="0"/>
        <v>1961</v>
      </c>
      <c r="I28" t="s">
        <v>12</v>
      </c>
    </row>
    <row r="29" spans="1:9" ht="24" thickBot="1" x14ac:dyDescent="0.4">
      <c r="A29" s="9">
        <v>44892</v>
      </c>
      <c r="B29" s="120">
        <v>18597254</v>
      </c>
      <c r="C29" s="44">
        <f t="shared" si="0"/>
        <v>1867</v>
      </c>
    </row>
    <row r="30" spans="1:9" ht="24" thickBot="1" x14ac:dyDescent="0.4">
      <c r="A30" s="9">
        <v>44893</v>
      </c>
      <c r="B30" s="120">
        <v>18599130</v>
      </c>
      <c r="C30" s="44">
        <f t="shared" si="0"/>
        <v>1876</v>
      </c>
    </row>
    <row r="31" spans="1:9" ht="24" thickBot="1" x14ac:dyDescent="0.4">
      <c r="A31" s="9">
        <v>44894</v>
      </c>
      <c r="B31" s="120">
        <v>18600837</v>
      </c>
      <c r="C31" s="44">
        <f t="shared" si="0"/>
        <v>1707</v>
      </c>
    </row>
    <row r="32" spans="1:9" ht="24" thickBot="1" x14ac:dyDescent="0.4">
      <c r="A32" s="9">
        <v>44895</v>
      </c>
      <c r="B32" s="120">
        <f t="shared" ref="B31:B32" si="1">B31</f>
        <v>18600837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44617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M1" zoomScale="110" zoomScaleNormal="110" workbookViewId="0">
      <pane ySplit="1" topLeftCell="A2" activePane="bottomLeft" state="frozen"/>
      <selection pane="bottomLeft" activeCell="AH31" sqref="AH31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v>25438.572</v>
      </c>
      <c r="C19" s="43">
        <f t="shared" si="22"/>
        <v>3.9340000000011059</v>
      </c>
      <c r="D19" s="28">
        <f t="shared" si="23"/>
        <v>7474.6000000021013</v>
      </c>
      <c r="E19" s="1">
        <v>4663.6729999999998</v>
      </c>
      <c r="F19" s="43">
        <f t="shared" si="24"/>
        <v>1.2269999999998618</v>
      </c>
      <c r="G19" s="28">
        <f t="shared" si="25"/>
        <v>2331.2999999997373</v>
      </c>
      <c r="H19" s="1">
        <v>6511</v>
      </c>
      <c r="I19" s="43">
        <f t="shared" si="26"/>
        <v>3</v>
      </c>
      <c r="J19" s="28">
        <f t="shared" si="27"/>
        <v>5699.9999999999991</v>
      </c>
      <c r="K19" s="7">
        <v>14310.34</v>
      </c>
      <c r="L19" s="43">
        <f t="shared" si="28"/>
        <v>0.51000000000021828</v>
      </c>
      <c r="M19" s="28">
        <f t="shared" si="29"/>
        <v>969.00000000041462</v>
      </c>
      <c r="N19" s="7">
        <v>3891.21</v>
      </c>
      <c r="O19" s="43">
        <f t="shared" si="30"/>
        <v>1.8360000000002401</v>
      </c>
      <c r="P19" s="28">
        <f t="shared" si="31"/>
        <v>3488.4000000004562</v>
      </c>
      <c r="Q19" s="7">
        <v>5662.54</v>
      </c>
      <c r="R19" s="43">
        <f t="shared" si="32"/>
        <v>1.3400000000001455</v>
      </c>
      <c r="S19" s="28">
        <f t="shared" si="33"/>
        <v>2546.0000000002765</v>
      </c>
      <c r="T19" s="8">
        <f t="shared" si="36"/>
        <v>11.847000000001572</v>
      </c>
      <c r="U19" s="30">
        <f t="shared" si="34"/>
        <v>22509.300000002982</v>
      </c>
      <c r="W19" s="141">
        <v>44882</v>
      </c>
      <c r="X19" s="142">
        <v>222215</v>
      </c>
      <c r="Y19" s="147">
        <f t="shared" si="21"/>
        <v>127</v>
      </c>
      <c r="Z19" s="142">
        <v>10236</v>
      </c>
      <c r="AA19" s="147">
        <f t="shared" si="21"/>
        <v>1</v>
      </c>
      <c r="AB19" s="142">
        <v>44</v>
      </c>
      <c r="AC19" s="147">
        <f t="shared" si="21"/>
        <v>2.5</v>
      </c>
      <c r="AD19" s="142">
        <v>796</v>
      </c>
      <c r="AE19" s="147">
        <f t="shared" si="21"/>
        <v>2</v>
      </c>
      <c r="AF19" s="142">
        <v>9774</v>
      </c>
      <c r="AG19" s="147">
        <f t="shared" si="21"/>
        <v>10</v>
      </c>
    </row>
    <row r="20" spans="1:33" ht="16.5" thickBot="1" x14ac:dyDescent="0.25">
      <c r="A20" s="9">
        <v>44883</v>
      </c>
      <c r="B20" s="144">
        <v>25444.91</v>
      </c>
      <c r="C20" s="43">
        <f t="shared" si="22"/>
        <v>6.3379999999997381</v>
      </c>
      <c r="D20" s="28">
        <f t="shared" si="23"/>
        <v>12042.199999999502</v>
      </c>
      <c r="E20" s="1">
        <v>4664.8140000000003</v>
      </c>
      <c r="F20" s="43">
        <f t="shared" si="24"/>
        <v>1.1410000000005311</v>
      </c>
      <c r="G20" s="28">
        <f t="shared" si="25"/>
        <v>2167.9000000010087</v>
      </c>
      <c r="H20" s="1">
        <v>6516</v>
      </c>
      <c r="I20" s="43">
        <f t="shared" si="26"/>
        <v>5</v>
      </c>
      <c r="J20" s="28">
        <f t="shared" si="27"/>
        <v>9500</v>
      </c>
      <c r="K20" s="7">
        <v>14311.36</v>
      </c>
      <c r="L20" s="43">
        <f t="shared" si="28"/>
        <v>1.0200000000004366</v>
      </c>
      <c r="M20" s="28">
        <f t="shared" si="29"/>
        <v>1938.0000000008292</v>
      </c>
      <c r="N20" s="7">
        <v>3894.451</v>
      </c>
      <c r="O20" s="43">
        <f t="shared" si="30"/>
        <v>3.2409999999999854</v>
      </c>
      <c r="P20" s="28">
        <f t="shared" si="31"/>
        <v>6157.8999999999724</v>
      </c>
      <c r="Q20" s="7">
        <v>5664.53</v>
      </c>
      <c r="R20" s="43">
        <f t="shared" si="32"/>
        <v>1.9899999999997817</v>
      </c>
      <c r="S20" s="28">
        <f t="shared" si="33"/>
        <v>3780.9999999995848</v>
      </c>
      <c r="T20" s="8">
        <f t="shared" si="36"/>
        <v>18.730000000000473</v>
      </c>
      <c r="U20" s="30">
        <f t="shared" si="34"/>
        <v>35587.000000000902</v>
      </c>
      <c r="W20" s="141">
        <v>44883</v>
      </c>
      <c r="X20" s="142">
        <v>222368</v>
      </c>
      <c r="Y20" s="147">
        <f t="shared" si="21"/>
        <v>153</v>
      </c>
      <c r="Z20" s="142">
        <v>10239</v>
      </c>
      <c r="AA20" s="147">
        <f t="shared" si="21"/>
        <v>3</v>
      </c>
      <c r="AB20" s="142">
        <v>44</v>
      </c>
      <c r="AC20" s="147">
        <f t="shared" si="21"/>
        <v>0</v>
      </c>
      <c r="AD20" s="142">
        <v>798</v>
      </c>
      <c r="AE20" s="147">
        <f t="shared" si="21"/>
        <v>2</v>
      </c>
      <c r="AF20" s="142">
        <v>9783</v>
      </c>
      <c r="AG20" s="147">
        <f t="shared" si="21"/>
        <v>9</v>
      </c>
    </row>
    <row r="21" spans="1:33" ht="16.5" thickBot="1" x14ac:dyDescent="0.25">
      <c r="A21" s="9">
        <v>44884</v>
      </c>
      <c r="B21" s="144">
        <v>25447.951000000001</v>
      </c>
      <c r="C21" s="43">
        <f t="shared" si="22"/>
        <v>3.0410000000010768</v>
      </c>
      <c r="D21" s="28">
        <f t="shared" si="23"/>
        <v>5777.9000000020451</v>
      </c>
      <c r="E21" s="1">
        <v>4665.5429999999997</v>
      </c>
      <c r="F21" s="43">
        <f t="shared" si="24"/>
        <v>0.72899999999935972</v>
      </c>
      <c r="G21" s="28">
        <f t="shared" si="25"/>
        <v>1385.0999999987835</v>
      </c>
      <c r="H21" s="1">
        <v>6518</v>
      </c>
      <c r="I21" s="43">
        <f t="shared" si="26"/>
        <v>2</v>
      </c>
      <c r="J21" s="28">
        <f t="shared" si="27"/>
        <v>3800</v>
      </c>
      <c r="K21" s="7">
        <v>14311.71</v>
      </c>
      <c r="L21" s="43">
        <f t="shared" si="28"/>
        <v>0.34999999999854481</v>
      </c>
      <c r="M21" s="28">
        <f t="shared" si="29"/>
        <v>664.99999999723514</v>
      </c>
      <c r="N21" s="7">
        <v>3895.8380000000002</v>
      </c>
      <c r="O21" s="43">
        <f t="shared" si="30"/>
        <v>1.387000000000171</v>
      </c>
      <c r="P21" s="28">
        <f t="shared" si="31"/>
        <v>2635.3000000003244</v>
      </c>
      <c r="Q21" s="7">
        <v>5666.12</v>
      </c>
      <c r="R21" s="43">
        <f t="shared" si="32"/>
        <v>1.5900000000001455</v>
      </c>
      <c r="S21" s="28">
        <f t="shared" si="33"/>
        <v>3021.000000000276</v>
      </c>
      <c r="T21" s="8">
        <f t="shared" si="36"/>
        <v>9.0969999999992979</v>
      </c>
      <c r="U21" s="30">
        <f t="shared" si="34"/>
        <v>17284.299999998664</v>
      </c>
      <c r="W21" s="141">
        <v>44884</v>
      </c>
      <c r="X21" s="142">
        <v>222511</v>
      </c>
      <c r="Y21" s="147">
        <f t="shared" si="21"/>
        <v>143</v>
      </c>
      <c r="Z21" s="142">
        <v>10242</v>
      </c>
      <c r="AA21" s="147">
        <f t="shared" si="21"/>
        <v>3</v>
      </c>
      <c r="AB21" s="142">
        <v>44</v>
      </c>
      <c r="AC21" s="147">
        <f t="shared" si="21"/>
        <v>0</v>
      </c>
      <c r="AD21" s="142">
        <v>800</v>
      </c>
      <c r="AE21" s="147">
        <f t="shared" si="21"/>
        <v>2</v>
      </c>
      <c r="AF21" s="142">
        <v>9793</v>
      </c>
      <c r="AG21" s="147">
        <f t="shared" si="21"/>
        <v>10</v>
      </c>
    </row>
    <row r="22" spans="1:33" ht="16.5" thickBot="1" x14ac:dyDescent="0.25">
      <c r="A22" s="9">
        <v>44885</v>
      </c>
      <c r="B22" s="144">
        <v>25453.751</v>
      </c>
      <c r="C22" s="43">
        <f t="shared" si="22"/>
        <v>5.7999999999992724</v>
      </c>
      <c r="D22" s="28">
        <f t="shared" si="23"/>
        <v>11019.999999998618</v>
      </c>
      <c r="E22" s="1">
        <v>4667.402</v>
      </c>
      <c r="F22" s="43">
        <f t="shared" si="24"/>
        <v>1.8590000000003783</v>
      </c>
      <c r="G22" s="28">
        <f t="shared" si="25"/>
        <v>3532.1000000007189</v>
      </c>
      <c r="H22" s="1">
        <v>6522</v>
      </c>
      <c r="I22" s="43">
        <f t="shared" si="26"/>
        <v>4</v>
      </c>
      <c r="J22" s="28">
        <f t="shared" si="27"/>
        <v>7600</v>
      </c>
      <c r="K22" s="7">
        <v>14312.78</v>
      </c>
      <c r="L22" s="43">
        <f t="shared" si="28"/>
        <v>1.070000000001528</v>
      </c>
      <c r="M22" s="28">
        <f t="shared" si="29"/>
        <v>2033.0000000029029</v>
      </c>
      <c r="N22" s="7">
        <v>3898.5709999999999</v>
      </c>
      <c r="O22" s="43">
        <f t="shared" si="30"/>
        <v>2.7329999999997199</v>
      </c>
      <c r="P22" s="28">
        <f t="shared" si="31"/>
        <v>5192.6999999994678</v>
      </c>
      <c r="Q22" s="7">
        <v>5666.28</v>
      </c>
      <c r="R22" s="43">
        <f t="shared" si="32"/>
        <v>0.15999999999985448</v>
      </c>
      <c r="S22" s="28">
        <f t="shared" si="33"/>
        <v>303.99999999972351</v>
      </c>
      <c r="T22" s="8">
        <f t="shared" si="36"/>
        <v>15.622000000000753</v>
      </c>
      <c r="U22" s="30">
        <f t="shared" si="34"/>
        <v>29681.800000001429</v>
      </c>
      <c r="W22" s="141">
        <v>44885</v>
      </c>
      <c r="X22" s="142">
        <v>222594</v>
      </c>
      <c r="Y22" s="147">
        <f t="shared" si="21"/>
        <v>83</v>
      </c>
      <c r="Z22" s="142">
        <v>10250</v>
      </c>
      <c r="AA22" s="147">
        <f t="shared" si="21"/>
        <v>8</v>
      </c>
      <c r="AB22" s="142">
        <v>44</v>
      </c>
      <c r="AC22" s="147">
        <f t="shared" si="21"/>
        <v>0</v>
      </c>
      <c r="AD22" s="142">
        <v>802</v>
      </c>
      <c r="AE22" s="147">
        <f t="shared" si="21"/>
        <v>2</v>
      </c>
      <c r="AF22" s="142">
        <v>9798</v>
      </c>
      <c r="AG22" s="147">
        <f t="shared" si="21"/>
        <v>5</v>
      </c>
    </row>
    <row r="23" spans="1:33" ht="16.5" thickBot="1" x14ac:dyDescent="0.25">
      <c r="A23" s="9">
        <v>44886</v>
      </c>
      <c r="B23" s="144">
        <v>25458.672999999999</v>
      </c>
      <c r="C23" s="43">
        <f t="shared" si="22"/>
        <v>4.9219999999986612</v>
      </c>
      <c r="D23" s="28">
        <f t="shared" si="23"/>
        <v>9351.7999999974545</v>
      </c>
      <c r="E23" s="1">
        <v>4668.8959999999997</v>
      </c>
      <c r="F23" s="43">
        <f t="shared" si="24"/>
        <v>1.4939999999996871</v>
      </c>
      <c r="G23" s="28">
        <f t="shared" si="25"/>
        <v>2838.5999999994056</v>
      </c>
      <c r="H23" s="1">
        <v>6526</v>
      </c>
      <c r="I23" s="43">
        <f t="shared" si="26"/>
        <v>4</v>
      </c>
      <c r="J23" s="28">
        <f t="shared" si="27"/>
        <v>7600</v>
      </c>
      <c r="K23" s="7">
        <v>14313.54</v>
      </c>
      <c r="L23" s="43">
        <f t="shared" si="28"/>
        <v>0.76000000000021828</v>
      </c>
      <c r="M23" s="28">
        <f t="shared" si="29"/>
        <v>1444.0000000004147</v>
      </c>
      <c r="N23" s="7">
        <v>3900.8789999999999</v>
      </c>
      <c r="O23" s="43">
        <f t="shared" si="30"/>
        <v>2.3079999999999927</v>
      </c>
      <c r="P23" s="28">
        <f t="shared" si="31"/>
        <v>4385.1999999999862</v>
      </c>
      <c r="Q23" s="7">
        <v>5667.45</v>
      </c>
      <c r="R23" s="43">
        <f t="shared" si="32"/>
        <v>1.1700000000000728</v>
      </c>
      <c r="S23" s="28">
        <f t="shared" si="33"/>
        <v>2223.0000000001378</v>
      </c>
      <c r="T23" s="8">
        <f t="shared" si="36"/>
        <v>14.653999999998632</v>
      </c>
      <c r="U23" s="30">
        <f t="shared" si="34"/>
        <v>27842.599999997401</v>
      </c>
      <c r="W23" s="141">
        <v>44886</v>
      </c>
      <c r="X23" s="142">
        <v>222725</v>
      </c>
      <c r="Y23" s="147">
        <f t="shared" si="21"/>
        <v>131</v>
      </c>
      <c r="Z23" s="142">
        <v>10253</v>
      </c>
      <c r="AA23" s="147">
        <f t="shared" si="21"/>
        <v>3</v>
      </c>
      <c r="AB23" s="142">
        <v>44.5</v>
      </c>
      <c r="AC23" s="147">
        <f t="shared" si="21"/>
        <v>0.5</v>
      </c>
      <c r="AD23" s="142">
        <v>805</v>
      </c>
      <c r="AE23" s="147">
        <f t="shared" si="21"/>
        <v>3</v>
      </c>
      <c r="AF23" s="142">
        <v>9807</v>
      </c>
      <c r="AG23" s="147">
        <f t="shared" si="21"/>
        <v>9</v>
      </c>
    </row>
    <row r="24" spans="1:33" ht="16.5" thickBot="1" x14ac:dyDescent="0.25">
      <c r="A24" s="9">
        <v>44887</v>
      </c>
      <c r="B24" s="144">
        <v>25463.923999999999</v>
      </c>
      <c r="C24" s="43">
        <f t="shared" si="22"/>
        <v>5.2510000000002037</v>
      </c>
      <c r="D24" s="28">
        <f t="shared" si="23"/>
        <v>9976.9000000003853</v>
      </c>
      <c r="E24" s="1">
        <v>4670.4849999999997</v>
      </c>
      <c r="F24" s="43">
        <f t="shared" si="24"/>
        <v>1.5889999999999418</v>
      </c>
      <c r="G24" s="28">
        <f t="shared" si="25"/>
        <v>3019.0999999998894</v>
      </c>
      <c r="H24" s="1">
        <v>6530</v>
      </c>
      <c r="I24" s="43">
        <f t="shared" si="26"/>
        <v>4</v>
      </c>
      <c r="J24" s="28">
        <f t="shared" si="27"/>
        <v>7600</v>
      </c>
      <c r="K24" s="7">
        <v>14314.44</v>
      </c>
      <c r="L24" s="43">
        <f t="shared" si="28"/>
        <v>0.8999999999996362</v>
      </c>
      <c r="M24" s="28">
        <f t="shared" si="29"/>
        <v>1709.9999999993088</v>
      </c>
      <c r="N24" s="7">
        <v>3903.2829999999999</v>
      </c>
      <c r="O24" s="43">
        <f t="shared" si="30"/>
        <v>2.4039999999999964</v>
      </c>
      <c r="P24" s="28">
        <f t="shared" si="31"/>
        <v>4567.5999999999922</v>
      </c>
      <c r="Q24" s="7">
        <v>5668.81</v>
      </c>
      <c r="R24" s="43">
        <f t="shared" si="32"/>
        <v>1.3600000000005821</v>
      </c>
      <c r="S24" s="28">
        <f t="shared" si="33"/>
        <v>2584.0000000011059</v>
      </c>
      <c r="T24" s="8">
        <f t="shared" si="36"/>
        <v>15.50400000000036</v>
      </c>
      <c r="U24" s="30">
        <f t="shared" si="34"/>
        <v>29457.600000000682</v>
      </c>
      <c r="W24" s="141">
        <v>44887</v>
      </c>
      <c r="X24" s="142">
        <v>222786</v>
      </c>
      <c r="Y24" s="147">
        <f t="shared" si="21"/>
        <v>61</v>
      </c>
      <c r="Z24" s="142">
        <v>10256</v>
      </c>
      <c r="AA24" s="147">
        <f t="shared" si="21"/>
        <v>3</v>
      </c>
      <c r="AB24" s="142">
        <f t="shared" si="35"/>
        <v>44.5</v>
      </c>
      <c r="AC24" s="147">
        <f t="shared" si="21"/>
        <v>0</v>
      </c>
      <c r="AD24" s="142">
        <v>807</v>
      </c>
      <c r="AE24" s="147">
        <f t="shared" si="21"/>
        <v>2</v>
      </c>
      <c r="AF24" s="142">
        <v>9817</v>
      </c>
      <c r="AG24" s="147">
        <f t="shared" si="21"/>
        <v>10</v>
      </c>
    </row>
    <row r="25" spans="1:33" ht="16.5" thickBot="1" x14ac:dyDescent="0.25">
      <c r="A25" s="9">
        <v>44888</v>
      </c>
      <c r="B25" s="144">
        <v>25469.056</v>
      </c>
      <c r="C25" s="43">
        <f t="shared" si="22"/>
        <v>5.1320000000014261</v>
      </c>
      <c r="D25" s="28">
        <f t="shared" si="23"/>
        <v>9750.8000000027096</v>
      </c>
      <c r="E25" s="1">
        <v>4672.1130000000003</v>
      </c>
      <c r="F25" s="43">
        <f t="shared" si="24"/>
        <v>1.6280000000006112</v>
      </c>
      <c r="G25" s="28">
        <f t="shared" si="25"/>
        <v>3093.2000000011612</v>
      </c>
      <c r="H25" s="1">
        <v>6535</v>
      </c>
      <c r="I25" s="43">
        <f t="shared" si="26"/>
        <v>5</v>
      </c>
      <c r="J25" s="28">
        <f t="shared" si="27"/>
        <v>9500</v>
      </c>
      <c r="K25" s="7">
        <v>14315.47</v>
      </c>
      <c r="L25" s="43">
        <f t="shared" si="28"/>
        <v>1.0299999999988358</v>
      </c>
      <c r="M25" s="28">
        <f t="shared" si="29"/>
        <v>1956.9999999977881</v>
      </c>
      <c r="N25" s="7">
        <v>3905.7829999999999</v>
      </c>
      <c r="O25" s="43">
        <f t="shared" si="30"/>
        <v>2.5</v>
      </c>
      <c r="P25" s="28">
        <f t="shared" si="31"/>
        <v>4750</v>
      </c>
      <c r="Q25" s="7">
        <v>5670.06</v>
      </c>
      <c r="R25" s="43">
        <f t="shared" si="32"/>
        <v>1.25</v>
      </c>
      <c r="S25" s="28">
        <f t="shared" si="33"/>
        <v>2375</v>
      </c>
      <c r="T25" s="8">
        <f t="shared" si="36"/>
        <v>16.540000000000873</v>
      </c>
      <c r="U25" s="30">
        <f t="shared" si="34"/>
        <v>31426.000000001659</v>
      </c>
      <c r="W25" s="141">
        <v>44888</v>
      </c>
      <c r="X25" s="142">
        <v>222897</v>
      </c>
      <c r="Y25" s="147">
        <f t="shared" si="21"/>
        <v>111</v>
      </c>
      <c r="Z25" s="142">
        <v>10260</v>
      </c>
      <c r="AA25" s="147">
        <f t="shared" si="21"/>
        <v>4</v>
      </c>
      <c r="AB25" s="142">
        <v>48</v>
      </c>
      <c r="AC25" s="147">
        <f t="shared" si="21"/>
        <v>3.5</v>
      </c>
      <c r="AD25" s="142">
        <v>809</v>
      </c>
      <c r="AE25" s="147">
        <f t="shared" si="21"/>
        <v>2</v>
      </c>
      <c r="AF25" s="142">
        <v>9826</v>
      </c>
      <c r="AG25" s="147">
        <f t="shared" si="21"/>
        <v>9</v>
      </c>
    </row>
    <row r="26" spans="1:33" ht="16.5" thickBot="1" x14ac:dyDescent="0.25">
      <c r="A26" s="9">
        <v>44889</v>
      </c>
      <c r="B26" s="144">
        <v>25473.107</v>
      </c>
      <c r="C26" s="43">
        <f t="shared" si="22"/>
        <v>4.0509999999994761</v>
      </c>
      <c r="D26" s="28">
        <f t="shared" si="23"/>
        <v>7696.8999999990046</v>
      </c>
      <c r="E26" s="1">
        <v>4673.3389999999999</v>
      </c>
      <c r="F26" s="43">
        <f t="shared" si="24"/>
        <v>1.225999999999658</v>
      </c>
      <c r="G26" s="28">
        <f t="shared" si="25"/>
        <v>2329.3999999993498</v>
      </c>
      <c r="H26" s="1">
        <v>6539</v>
      </c>
      <c r="I26" s="43">
        <f t="shared" si="26"/>
        <v>4</v>
      </c>
      <c r="J26" s="28">
        <f t="shared" si="27"/>
        <v>7600</v>
      </c>
      <c r="K26" s="7">
        <v>14316.14</v>
      </c>
      <c r="L26" s="43">
        <f>IF((K26-K25)&lt;0,"0",(K26-K25))</f>
        <v>0.67000000000007276</v>
      </c>
      <c r="M26" s="28">
        <f t="shared" si="29"/>
        <v>1273.0000000001382</v>
      </c>
      <c r="N26" s="7">
        <v>3907.9279999999999</v>
      </c>
      <c r="O26" s="43">
        <f t="shared" si="30"/>
        <v>2.1449999999999818</v>
      </c>
      <c r="P26" s="28">
        <f t="shared" si="31"/>
        <v>4075.4999999999654</v>
      </c>
      <c r="Q26" s="7">
        <v>5671.07</v>
      </c>
      <c r="R26" s="43">
        <f t="shared" si="32"/>
        <v>1.0099999999993088</v>
      </c>
      <c r="S26" s="28">
        <f t="shared" si="33"/>
        <v>1918.9999999986867</v>
      </c>
      <c r="T26" s="8">
        <f t="shared" si="36"/>
        <v>13.101999999998498</v>
      </c>
      <c r="U26" s="30">
        <f t="shared" si="34"/>
        <v>24893.799999997143</v>
      </c>
      <c r="V26" t="s">
        <v>12</v>
      </c>
      <c r="W26" s="141">
        <v>44889</v>
      </c>
      <c r="X26" s="142">
        <v>222985</v>
      </c>
      <c r="Y26" s="147">
        <f t="shared" si="21"/>
        <v>88</v>
      </c>
      <c r="Z26" s="142">
        <v>10264</v>
      </c>
      <c r="AA26" s="147">
        <f t="shared" si="21"/>
        <v>4</v>
      </c>
      <c r="AB26" s="142">
        <v>51</v>
      </c>
      <c r="AC26" s="147">
        <f t="shared" si="21"/>
        <v>3</v>
      </c>
      <c r="AD26" s="142">
        <v>812</v>
      </c>
      <c r="AE26" s="147">
        <f t="shared" si="21"/>
        <v>3</v>
      </c>
      <c r="AF26" s="142">
        <v>9833</v>
      </c>
      <c r="AG26" s="147">
        <f t="shared" si="21"/>
        <v>7</v>
      </c>
    </row>
    <row r="27" spans="1:33" ht="16.5" thickBot="1" x14ac:dyDescent="0.25">
      <c r="A27" s="9">
        <v>44890</v>
      </c>
      <c r="B27" s="144">
        <v>25477.281999999999</v>
      </c>
      <c r="C27" s="43">
        <f t="shared" si="22"/>
        <v>4.1749999999992724</v>
      </c>
      <c r="D27" s="28">
        <f t="shared" si="23"/>
        <v>7932.4999999986176</v>
      </c>
      <c r="E27" s="1">
        <v>4674.0940000000001</v>
      </c>
      <c r="F27" s="43">
        <f t="shared" si="24"/>
        <v>0.75500000000010914</v>
      </c>
      <c r="G27" s="28">
        <f t="shared" si="25"/>
        <v>1434.5000000002074</v>
      </c>
      <c r="H27" s="1">
        <v>6543</v>
      </c>
      <c r="I27" s="43">
        <f t="shared" si="26"/>
        <v>4</v>
      </c>
      <c r="J27" s="28">
        <f t="shared" si="27"/>
        <v>7600</v>
      </c>
      <c r="K27" s="7">
        <v>14317.32</v>
      </c>
      <c r="L27" s="43">
        <f t="shared" si="28"/>
        <v>1.180000000000291</v>
      </c>
      <c r="M27" s="28">
        <f t="shared" si="29"/>
        <v>2242.000000000553</v>
      </c>
      <c r="N27" s="7">
        <v>3910.3890000000001</v>
      </c>
      <c r="O27" s="43">
        <f t="shared" si="30"/>
        <v>2.4610000000002401</v>
      </c>
      <c r="P27" s="28">
        <f t="shared" si="31"/>
        <v>4675.9000000004562</v>
      </c>
      <c r="Q27" s="7">
        <v>5671.07</v>
      </c>
      <c r="R27" s="43">
        <f t="shared" si="32"/>
        <v>0</v>
      </c>
      <c r="S27" s="28">
        <f t="shared" si="33"/>
        <v>0</v>
      </c>
      <c r="T27" s="8">
        <f t="shared" si="36"/>
        <v>12.570999999999913</v>
      </c>
      <c r="U27" s="30">
        <f t="shared" si="34"/>
        <v>23884.89999999983</v>
      </c>
      <c r="V27" t="s">
        <v>12</v>
      </c>
      <c r="W27" s="141">
        <v>44890</v>
      </c>
      <c r="X27" s="142">
        <v>223232</v>
      </c>
      <c r="Y27" s="147">
        <f t="shared" si="21"/>
        <v>247</v>
      </c>
      <c r="Z27" s="142">
        <v>10268</v>
      </c>
      <c r="AA27" s="147">
        <f t="shared" si="21"/>
        <v>4</v>
      </c>
      <c r="AB27" s="142">
        <v>53</v>
      </c>
      <c r="AC27" s="147">
        <f t="shared" si="21"/>
        <v>2</v>
      </c>
      <c r="AD27" s="142">
        <v>817</v>
      </c>
      <c r="AE27" s="147">
        <f t="shared" si="21"/>
        <v>5</v>
      </c>
      <c r="AF27" s="142">
        <v>9846</v>
      </c>
      <c r="AG27" s="147">
        <f t="shared" si="21"/>
        <v>13</v>
      </c>
    </row>
    <row r="28" spans="1:33" ht="16.5" thickBot="1" x14ac:dyDescent="0.25">
      <c r="A28" s="9">
        <v>44891</v>
      </c>
      <c r="B28" s="144">
        <v>25482.214</v>
      </c>
      <c r="C28" s="43">
        <f t="shared" si="22"/>
        <v>4.9320000000006985</v>
      </c>
      <c r="D28" s="28">
        <f t="shared" si="23"/>
        <v>9370.8000000013253</v>
      </c>
      <c r="E28" s="1">
        <v>4675.0410000000002</v>
      </c>
      <c r="F28" s="43">
        <f t="shared" si="24"/>
        <v>0.94700000000011642</v>
      </c>
      <c r="G28" s="28">
        <f t="shared" si="25"/>
        <v>1799.300000000221</v>
      </c>
      <c r="H28" s="1">
        <v>6547</v>
      </c>
      <c r="I28" s="43">
        <f t="shared" si="26"/>
        <v>4</v>
      </c>
      <c r="J28" s="28">
        <f t="shared" si="27"/>
        <v>7600</v>
      </c>
      <c r="K28" s="7">
        <v>14318.88</v>
      </c>
      <c r="L28" s="43">
        <f t="shared" si="28"/>
        <v>1.5599999999994907</v>
      </c>
      <c r="M28" s="28">
        <f t="shared" si="29"/>
        <v>2963.9999999990323</v>
      </c>
      <c r="N28" s="7">
        <v>3913.3389999999999</v>
      </c>
      <c r="O28" s="43">
        <f t="shared" si="30"/>
        <v>2.9499999999998181</v>
      </c>
      <c r="P28" s="28">
        <f t="shared" si="31"/>
        <v>5604.9999999996544</v>
      </c>
      <c r="Q28" s="7">
        <v>5673.03</v>
      </c>
      <c r="R28" s="43">
        <f t="shared" si="32"/>
        <v>1.9600000000000364</v>
      </c>
      <c r="S28" s="28">
        <f t="shared" si="33"/>
        <v>3724.0000000000691</v>
      </c>
      <c r="T28" s="8">
        <f t="shared" si="36"/>
        <v>16.34900000000016</v>
      </c>
      <c r="U28" s="30">
        <f t="shared" si="34"/>
        <v>31063.100000000304</v>
      </c>
      <c r="W28" s="141">
        <v>44891</v>
      </c>
      <c r="X28" s="142">
        <v>223447</v>
      </c>
      <c r="Y28" s="147">
        <f t="shared" si="21"/>
        <v>215</v>
      </c>
      <c r="Z28" s="142">
        <v>10271</v>
      </c>
      <c r="AA28" s="147">
        <f t="shared" si="21"/>
        <v>3</v>
      </c>
      <c r="AB28" s="142">
        <v>56</v>
      </c>
      <c r="AC28" s="147">
        <f t="shared" si="21"/>
        <v>3</v>
      </c>
      <c r="AD28" s="142">
        <v>819</v>
      </c>
      <c r="AE28" s="147">
        <f t="shared" si="21"/>
        <v>2</v>
      </c>
      <c r="AF28" s="142">
        <v>9853</v>
      </c>
      <c r="AG28" s="147">
        <f t="shared" si="21"/>
        <v>7</v>
      </c>
    </row>
    <row r="29" spans="1:33" ht="16.5" thickBot="1" x14ac:dyDescent="0.25">
      <c r="A29" s="9">
        <v>44892</v>
      </c>
      <c r="B29" s="144">
        <v>25485.686000000002</v>
      </c>
      <c r="C29" s="43">
        <f t="shared" si="22"/>
        <v>3.4720000000015716</v>
      </c>
      <c r="D29" s="28">
        <f t="shared" si="23"/>
        <v>6596.8000000029861</v>
      </c>
      <c r="E29" s="1">
        <v>4676.2780000000002</v>
      </c>
      <c r="F29" s="43">
        <f t="shared" si="24"/>
        <v>1.23700000000008</v>
      </c>
      <c r="G29" s="28">
        <f t="shared" si="25"/>
        <v>2350.3000000001521</v>
      </c>
      <c r="H29" s="1">
        <v>6550</v>
      </c>
      <c r="I29" s="43">
        <f t="shared" si="26"/>
        <v>3</v>
      </c>
      <c r="J29" s="28">
        <f t="shared" si="27"/>
        <v>5699.9999999999991</v>
      </c>
      <c r="K29" s="7">
        <v>14319.71</v>
      </c>
      <c r="L29" s="43">
        <f t="shared" si="28"/>
        <v>0.82999999999992724</v>
      </c>
      <c r="M29" s="28">
        <f t="shared" si="29"/>
        <v>1576.9999999998615</v>
      </c>
      <c r="N29" s="7">
        <v>3915.377</v>
      </c>
      <c r="O29" s="43">
        <f t="shared" si="30"/>
        <v>2.0380000000000109</v>
      </c>
      <c r="P29" s="28">
        <f t="shared" si="31"/>
        <v>3872.2000000000207</v>
      </c>
      <c r="Q29" s="7">
        <v>5674.23</v>
      </c>
      <c r="R29" s="43">
        <f t="shared" si="32"/>
        <v>1.1999999999998181</v>
      </c>
      <c r="S29" s="28">
        <f t="shared" si="33"/>
        <v>2279.9999999996544</v>
      </c>
      <c r="T29" s="8">
        <f t="shared" si="36"/>
        <v>11.777000000001408</v>
      </c>
      <c r="U29" s="30">
        <f t="shared" si="34"/>
        <v>22376.300000002677</v>
      </c>
      <c r="W29" s="141">
        <v>44892</v>
      </c>
      <c r="X29" s="142">
        <v>223462</v>
      </c>
      <c r="Y29" s="147">
        <f t="shared" si="21"/>
        <v>15</v>
      </c>
      <c r="Z29" s="142">
        <v>10274</v>
      </c>
      <c r="AA29" s="147">
        <f t="shared" si="21"/>
        <v>3</v>
      </c>
      <c r="AB29" s="142">
        <v>58</v>
      </c>
      <c r="AC29" s="147">
        <f t="shared" si="21"/>
        <v>2</v>
      </c>
      <c r="AD29" s="142">
        <v>820</v>
      </c>
      <c r="AE29" s="147">
        <f t="shared" si="21"/>
        <v>1</v>
      </c>
      <c r="AF29" s="142">
        <v>9860</v>
      </c>
      <c r="AG29" s="147">
        <f t="shared" si="21"/>
        <v>7</v>
      </c>
    </row>
    <row r="30" spans="1:33" ht="16.5" thickBot="1" x14ac:dyDescent="0.25">
      <c r="A30" s="9">
        <v>44893</v>
      </c>
      <c r="B30" s="144">
        <v>25489.885999999999</v>
      </c>
      <c r="C30" s="43">
        <f t="shared" si="22"/>
        <v>4.1999999999970896</v>
      </c>
      <c r="D30" s="28">
        <f t="shared" si="23"/>
        <v>7979.9999999944694</v>
      </c>
      <c r="E30" s="1">
        <v>4677.07</v>
      </c>
      <c r="F30" s="43">
        <f t="shared" si="24"/>
        <v>0.79199999999946158</v>
      </c>
      <c r="G30" s="28">
        <f t="shared" si="25"/>
        <v>1504.799999998977</v>
      </c>
      <c r="H30" s="1">
        <v>6554</v>
      </c>
      <c r="I30" s="43">
        <f t="shared" si="26"/>
        <v>4</v>
      </c>
      <c r="J30" s="28">
        <f t="shared" si="27"/>
        <v>7600</v>
      </c>
      <c r="K30" s="7">
        <v>14321</v>
      </c>
      <c r="L30" s="43">
        <f t="shared" si="28"/>
        <v>1.2900000000008731</v>
      </c>
      <c r="M30" s="28">
        <f t="shared" si="29"/>
        <v>2451.0000000016589</v>
      </c>
      <c r="N30" s="7">
        <v>3918.01</v>
      </c>
      <c r="O30" s="43">
        <f t="shared" si="30"/>
        <v>2.6330000000002656</v>
      </c>
      <c r="P30" s="28">
        <f t="shared" si="31"/>
        <v>5002.7000000005046</v>
      </c>
      <c r="Q30" s="7">
        <v>5671.07</v>
      </c>
      <c r="R30" s="43" t="str">
        <f t="shared" si="32"/>
        <v>0</v>
      </c>
      <c r="S30" s="28">
        <f t="shared" si="33"/>
        <v>0</v>
      </c>
      <c r="T30" s="8">
        <f t="shared" si="36"/>
        <v>12.91499999999769</v>
      </c>
      <c r="U30" s="30">
        <f t="shared" si="34"/>
        <v>24538.499999995609</v>
      </c>
      <c r="W30" s="141">
        <v>44893</v>
      </c>
      <c r="X30" s="142">
        <v>223490</v>
      </c>
      <c r="Y30" s="147">
        <f t="shared" si="21"/>
        <v>28</v>
      </c>
      <c r="Z30" s="142">
        <v>10277</v>
      </c>
      <c r="AA30" s="147">
        <f t="shared" si="21"/>
        <v>3</v>
      </c>
      <c r="AB30" s="142">
        <v>60.5</v>
      </c>
      <c r="AC30" s="147">
        <f t="shared" si="21"/>
        <v>2.5</v>
      </c>
      <c r="AD30" s="142">
        <v>822</v>
      </c>
      <c r="AE30" s="147">
        <f t="shared" si="21"/>
        <v>2</v>
      </c>
      <c r="AF30" s="142">
        <v>9867</v>
      </c>
      <c r="AG30" s="147">
        <f t="shared" si="21"/>
        <v>7</v>
      </c>
    </row>
    <row r="31" spans="1:33" ht="16.5" thickBot="1" x14ac:dyDescent="0.25">
      <c r="A31" s="9">
        <v>44894</v>
      </c>
      <c r="B31" s="144">
        <v>25493.047999999999</v>
      </c>
      <c r="C31" s="43">
        <f t="shared" si="22"/>
        <v>3.1620000000002619</v>
      </c>
      <c r="D31" s="28">
        <f t="shared" si="23"/>
        <v>6007.8000000004968</v>
      </c>
      <c r="E31" s="1">
        <v>4678.6809999999996</v>
      </c>
      <c r="F31" s="43">
        <f t="shared" si="24"/>
        <v>1.6109999999998763</v>
      </c>
      <c r="G31" s="28">
        <f t="shared" si="25"/>
        <v>3060.899999999765</v>
      </c>
      <c r="H31" s="1">
        <v>6557</v>
      </c>
      <c r="I31" s="43">
        <f t="shared" si="26"/>
        <v>3</v>
      </c>
      <c r="J31" s="28">
        <f t="shared" si="27"/>
        <v>5699.9999999999991</v>
      </c>
      <c r="K31" s="7">
        <v>14321.87</v>
      </c>
      <c r="L31" s="43">
        <f t="shared" si="28"/>
        <v>0.87000000000080036</v>
      </c>
      <c r="M31" s="28">
        <f t="shared" si="29"/>
        <v>1653.0000000015207</v>
      </c>
      <c r="N31" s="7">
        <v>3920.0830000000001</v>
      </c>
      <c r="O31" s="43">
        <f t="shared" si="30"/>
        <v>2.0729999999998654</v>
      </c>
      <c r="P31" s="28">
        <f t="shared" si="31"/>
        <v>3938.6999999997443</v>
      </c>
      <c r="Q31" s="7">
        <v>5671.07</v>
      </c>
      <c r="R31" s="43">
        <f t="shared" si="32"/>
        <v>0</v>
      </c>
      <c r="S31" s="28">
        <f t="shared" si="33"/>
        <v>0</v>
      </c>
      <c r="T31" s="8">
        <f t="shared" si="36"/>
        <v>10.716000000000804</v>
      </c>
      <c r="U31" s="30">
        <f t="shared" si="34"/>
        <v>20360.400000001526</v>
      </c>
      <c r="W31" s="141">
        <v>44894</v>
      </c>
      <c r="X31" s="142">
        <v>223828</v>
      </c>
      <c r="Y31" s="147">
        <f t="shared" si="21"/>
        <v>338</v>
      </c>
      <c r="Z31" s="142">
        <v>10280</v>
      </c>
      <c r="AA31" s="147">
        <f t="shared" si="21"/>
        <v>3</v>
      </c>
      <c r="AB31" s="142">
        <v>62</v>
      </c>
      <c r="AC31" s="147">
        <f t="shared" si="21"/>
        <v>1.5</v>
      </c>
      <c r="AD31" s="142">
        <v>824</v>
      </c>
      <c r="AE31" s="147">
        <f t="shared" si="21"/>
        <v>2</v>
      </c>
      <c r="AF31" s="142">
        <v>9875</v>
      </c>
      <c r="AG31" s="147">
        <f t="shared" si="21"/>
        <v>8</v>
      </c>
    </row>
    <row r="32" spans="1:33" ht="16.5" thickBot="1" x14ac:dyDescent="0.25">
      <c r="A32" s="9">
        <v>44895</v>
      </c>
      <c r="B32" s="144">
        <f t="shared" ref="B31:B32" si="50">B31</f>
        <v>25493.047999999999</v>
      </c>
      <c r="C32" s="43">
        <f t="shared" si="22"/>
        <v>0</v>
      </c>
      <c r="D32" s="28">
        <f t="shared" si="23"/>
        <v>0</v>
      </c>
      <c r="E32" s="1">
        <f t="shared" ref="E31:E32" si="51">E31</f>
        <v>4678.6809999999996</v>
      </c>
      <c r="F32" s="43">
        <f t="shared" si="24"/>
        <v>0</v>
      </c>
      <c r="G32" s="28">
        <f t="shared" si="25"/>
        <v>0</v>
      </c>
      <c r="H32" s="1">
        <f t="shared" ref="H31:H32" si="52">H31</f>
        <v>6557</v>
      </c>
      <c r="I32" s="43">
        <f t="shared" si="26"/>
        <v>0</v>
      </c>
      <c r="J32" s="28">
        <f t="shared" si="27"/>
        <v>0</v>
      </c>
      <c r="K32" s="7">
        <f t="shared" ref="K31:K32" si="53">K31</f>
        <v>14321.87</v>
      </c>
      <c r="L32" s="43">
        <f t="shared" si="28"/>
        <v>0</v>
      </c>
      <c r="M32" s="28">
        <f t="shared" si="29"/>
        <v>0</v>
      </c>
      <c r="N32" s="7">
        <f t="shared" ref="N31:N32" si="54">N31</f>
        <v>3920.0830000000001</v>
      </c>
      <c r="O32" s="43">
        <f t="shared" si="30"/>
        <v>0</v>
      </c>
      <c r="P32" s="28">
        <f t="shared" si="31"/>
        <v>0</v>
      </c>
      <c r="Q32" s="7">
        <f t="shared" ref="Q31:Q32" si="55">Q31</f>
        <v>5671.07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ref="X31:X32" si="56">X31</f>
        <v>223828</v>
      </c>
      <c r="Y32" s="147">
        <f t="shared" ref="Y32" si="57">IF((X32-X31)&lt;0,"0",(X32-X31))</f>
        <v>0</v>
      </c>
      <c r="Z32" s="142">
        <f t="shared" ref="Z31:Z32" si="58">Z31</f>
        <v>10280</v>
      </c>
      <c r="AA32" s="147">
        <f t="shared" ref="AA32" si="59">IF((Z32-Z31)&lt;0,"0",(Z32-Z31))</f>
        <v>0</v>
      </c>
      <c r="AB32" s="142">
        <f t="shared" si="35"/>
        <v>62</v>
      </c>
      <c r="AC32" s="147">
        <f t="shared" ref="AC32" si="60">IF((AB32-AB31)&lt;0,"0",(AB32-AB31))</f>
        <v>0</v>
      </c>
      <c r="AD32" s="142">
        <f t="shared" ref="AD31:AD32" si="61">AD31</f>
        <v>824</v>
      </c>
      <c r="AE32" s="147">
        <f t="shared" ref="AE32" si="62">IF((AD32-AD31)&lt;0,"0",(AD32-AD31))</f>
        <v>0</v>
      </c>
      <c r="AF32" s="142">
        <f t="shared" ref="AF31:AF32" si="63">AF31</f>
        <v>9875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142.18399999999747</v>
      </c>
      <c r="D33" s="124">
        <f>SUM(D4:D32)</f>
        <v>260379.79999999551</v>
      </c>
      <c r="E33" s="124"/>
      <c r="F33" s="124">
        <f>SUM(F3:F32)</f>
        <v>39.667999999999665</v>
      </c>
      <c r="G33" s="124">
        <f>SUM(G4:G32)</f>
        <v>71973.899999998859</v>
      </c>
      <c r="H33" s="124"/>
      <c r="I33" s="124">
        <f>SUM(I3:I32)</f>
        <v>113</v>
      </c>
      <c r="J33" s="124">
        <f>SUM(J4:J32)</f>
        <v>207100</v>
      </c>
      <c r="K33" s="124"/>
      <c r="L33" s="124">
        <f>SUM(L3:L32)</f>
        <v>27</v>
      </c>
      <c r="M33" s="124">
        <f>SUM(M4:M32)</f>
        <v>50692.000000000553</v>
      </c>
      <c r="N33" s="124"/>
      <c r="O33" s="124">
        <f>SUM(O3:O32)</f>
        <v>68.394000000000233</v>
      </c>
      <c r="P33" s="124">
        <f>SUM(P4:P32)</f>
        <v>125639.4000000004</v>
      </c>
      <c r="Q33" s="124"/>
      <c r="R33" s="124">
        <v>2.21</v>
      </c>
      <c r="S33" s="124">
        <f>SUM(S4:S32)</f>
        <v>60723.999999998341</v>
      </c>
      <c r="T33" s="124">
        <v>22.454999999999998</v>
      </c>
      <c r="U33" s="124">
        <f>SUM(U4:U32)</f>
        <v>776509.09999999369</v>
      </c>
      <c r="V33"/>
      <c r="W33" s="124" t="s">
        <v>141</v>
      </c>
      <c r="X33" s="124"/>
      <c r="Y33" s="124">
        <f>SUM(Y3:Y32)</f>
        <v>3628</v>
      </c>
      <c r="Z33" s="124"/>
      <c r="AA33" s="124">
        <f>SUM(AA3:AA32)</f>
        <v>97</v>
      </c>
      <c r="AB33" s="124"/>
      <c r="AC33" s="124">
        <f>SUM(AC3:AC32)</f>
        <v>21.200000000000003</v>
      </c>
      <c r="AD33" s="124"/>
      <c r="AE33" s="124">
        <f>SUM(AE3:AE32)</f>
        <v>64</v>
      </c>
      <c r="AF33" s="124">
        <v>0</v>
      </c>
      <c r="AG33" s="124">
        <f>SUM(AG3:AG32)</f>
        <v>237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80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0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0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80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0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0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80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0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0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80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0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0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80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80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0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80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80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0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80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80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0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80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80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0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80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80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0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80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80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0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80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80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0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80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80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80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80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80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0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80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0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0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80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0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0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80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0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0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80"/>
      <c r="C50" s="59" t="s">
        <v>82</v>
      </c>
      <c r="D50" s="60"/>
      <c r="E50" s="60"/>
      <c r="F50" s="61">
        <f t="shared" si="6"/>
        <v>0</v>
      </c>
      <c r="G50" s="62"/>
      <c r="I50" s="180"/>
      <c r="J50" s="59" t="s">
        <v>82</v>
      </c>
      <c r="K50" s="60"/>
      <c r="L50" s="60"/>
      <c r="M50" s="61">
        <f t="shared" si="7"/>
        <v>0</v>
      </c>
      <c r="N50" s="62"/>
      <c r="P50" s="180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81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1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1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82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2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2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83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3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3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3">
        <v>28</v>
      </c>
      <c r="C62" s="177" t="s">
        <v>86</v>
      </c>
      <c r="D62" s="60"/>
      <c r="E62" s="60"/>
      <c r="F62" s="61">
        <f t="shared" si="6"/>
        <v>0</v>
      </c>
      <c r="G62" s="175" t="s">
        <v>87</v>
      </c>
      <c r="H62" s="155"/>
      <c r="I62" s="173">
        <v>28</v>
      </c>
      <c r="J62" s="177" t="s">
        <v>86</v>
      </c>
      <c r="K62" s="60"/>
      <c r="L62" s="60"/>
      <c r="M62" s="61">
        <f t="shared" si="7"/>
        <v>0</v>
      </c>
      <c r="N62" s="175" t="s">
        <v>87</v>
      </c>
      <c r="P62" s="173">
        <v>28</v>
      </c>
      <c r="Q62" s="177" t="s">
        <v>86</v>
      </c>
      <c r="R62" s="60"/>
      <c r="S62" s="60"/>
      <c r="T62" s="61">
        <f t="shared" si="5"/>
        <v>0</v>
      </c>
      <c r="U62" s="175" t="s">
        <v>87</v>
      </c>
    </row>
    <row r="63" spans="1:21" ht="15" x14ac:dyDescent="0.2">
      <c r="A63" s="153"/>
      <c r="B63" s="174"/>
      <c r="C63" s="178"/>
      <c r="D63" s="60"/>
      <c r="E63" s="60"/>
      <c r="F63" s="61">
        <f t="shared" si="6"/>
        <v>0</v>
      </c>
      <c r="G63" s="176"/>
      <c r="H63" s="155"/>
      <c r="I63" s="174"/>
      <c r="J63" s="178"/>
      <c r="K63" s="60"/>
      <c r="L63" s="60"/>
      <c r="M63" s="61">
        <f t="shared" si="7"/>
        <v>0</v>
      </c>
      <c r="N63" s="176"/>
      <c r="P63" s="174"/>
      <c r="Q63" s="178"/>
      <c r="R63" s="60"/>
      <c r="S63" s="60"/>
      <c r="T63" s="61">
        <f t="shared" si="5"/>
        <v>0</v>
      </c>
      <c r="U63" s="176"/>
    </row>
    <row r="64" spans="1:21" x14ac:dyDescent="0.2">
      <c r="A64" s="153"/>
      <c r="B64" s="179" t="s">
        <v>88</v>
      </c>
      <c r="C64" s="179"/>
      <c r="D64" s="179"/>
      <c r="E64" s="179"/>
      <c r="F64" s="73">
        <f>SUM(F2:F63)</f>
        <v>29502</v>
      </c>
      <c r="G64" s="74"/>
      <c r="H64" s="155"/>
      <c r="I64" s="179" t="s">
        <v>88</v>
      </c>
      <c r="J64" s="179"/>
      <c r="K64" s="179"/>
      <c r="L64" s="179"/>
      <c r="M64" s="73">
        <f>SUM(M2:M63)</f>
        <v>22105</v>
      </c>
      <c r="N64" s="74"/>
      <c r="P64" s="179" t="s">
        <v>88</v>
      </c>
      <c r="Q64" s="179"/>
      <c r="R64" s="179"/>
      <c r="S64" s="179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67">
        <v>44774</v>
      </c>
      <c r="B69" s="168"/>
      <c r="C69" s="168"/>
      <c r="D69" s="169"/>
      <c r="E69" s="159"/>
      <c r="F69" s="167">
        <v>44805</v>
      </c>
      <c r="G69" s="168"/>
      <c r="H69" s="168"/>
      <c r="I69" s="169"/>
      <c r="J69" s="159"/>
      <c r="K69" s="170" t="s">
        <v>25</v>
      </c>
      <c r="L69" s="171"/>
      <c r="M69" s="171"/>
      <c r="N69" s="172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444717</v>
      </c>
      <c r="D2" s="84">
        <f>C2*1.27</f>
        <v>564790.59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34801688</v>
      </c>
      <c r="K3" s="150">
        <f>J3-I3</f>
        <v>311855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9474003</v>
      </c>
      <c r="K4" s="150">
        <f>J4-I4</f>
        <v>1453207</v>
      </c>
    </row>
    <row r="5" spans="1:13" ht="13.5" thickBot="1" x14ac:dyDescent="0.25">
      <c r="A5" s="82"/>
      <c r="B5" s="88" t="s">
        <v>27</v>
      </c>
      <c r="C5" s="92">
        <f>(K10+K12)*0.842284+K26</f>
        <v>834480.75523600006</v>
      </c>
      <c r="D5" s="92">
        <f t="shared" ref="D5:D11" si="0">C5*1.27</f>
        <v>1059790.55914972</v>
      </c>
      <c r="E5" s="93"/>
      <c r="F5" s="82"/>
      <c r="G5" s="82"/>
      <c r="H5" s="88" t="s">
        <v>23</v>
      </c>
      <c r="I5" s="94"/>
      <c r="J5" s="94"/>
      <c r="K5" s="114">
        <f>K3+K4</f>
        <v>1765062</v>
      </c>
    </row>
    <row r="6" spans="1:13" ht="13.5" thickBot="1" x14ac:dyDescent="0.25">
      <c r="A6" s="82"/>
      <c r="B6" s="88" t="s">
        <v>99</v>
      </c>
      <c r="C6" s="92">
        <f>(K10+K12+K26)*0.1488</f>
        <v>147046.98719999997</v>
      </c>
      <c r="D6" s="92">
        <f t="shared" si="0"/>
        <v>186749.67374399997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950434</v>
      </c>
      <c r="K6" s="150">
        <f>J6-I6</f>
        <v>171590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274687</v>
      </c>
      <c r="D7" s="92">
        <f t="shared" si="0"/>
        <v>348852.49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1264398</v>
      </c>
      <c r="K7" s="150">
        <f>J7-I7</f>
        <v>173976</v>
      </c>
    </row>
    <row r="8" spans="1:13" ht="13.5" thickBot="1" x14ac:dyDescent="0.25">
      <c r="A8" s="82"/>
      <c r="B8" s="88" t="s">
        <v>103</v>
      </c>
      <c r="C8" s="92">
        <f>K21+K22+K23+K24</f>
        <v>31080</v>
      </c>
      <c r="D8" s="92">
        <f t="shared" si="0"/>
        <v>39471.599999999999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7896370</v>
      </c>
      <c r="K8" s="79">
        <f>(J8-I8)*2</f>
        <v>132878</v>
      </c>
    </row>
    <row r="9" spans="1:13" ht="13.5" thickBot="1" x14ac:dyDescent="0.25">
      <c r="A9" s="82"/>
      <c r="B9" s="88" t="s">
        <v>137</v>
      </c>
      <c r="C9" s="92">
        <f>K25+K16+K17</f>
        <v>7944</v>
      </c>
      <c r="D9" s="92">
        <f t="shared" si="0"/>
        <v>10088.880000000001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8941170</v>
      </c>
      <c r="K9" s="79">
        <f>J9-I9</f>
        <v>277759</v>
      </c>
    </row>
    <row r="10" spans="1:13" ht="13.5" thickBot="1" x14ac:dyDescent="0.25">
      <c r="A10" s="82"/>
      <c r="B10" s="88" t="s">
        <v>106</v>
      </c>
      <c r="C10" s="92">
        <f>K18</f>
        <v>14560</v>
      </c>
      <c r="D10" s="92">
        <f t="shared" si="0"/>
        <v>18491.2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23217829</v>
      </c>
      <c r="K10" s="79">
        <f>J10-I10</f>
        <v>313361</v>
      </c>
    </row>
    <row r="11" spans="1:13" ht="13.5" thickBot="1" x14ac:dyDescent="0.25">
      <c r="A11" s="82"/>
      <c r="B11" s="88" t="s">
        <v>108</v>
      </c>
      <c r="C11" s="92">
        <f>K19+K20</f>
        <v>3855</v>
      </c>
      <c r="D11" s="92">
        <f t="shared" si="0"/>
        <v>4895.8500000000004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1304119</v>
      </c>
      <c r="K12" s="79">
        <f>(J12-I12)*2</f>
        <v>661418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1730982</v>
      </c>
    </row>
    <row r="14" spans="1:13" ht="13.5" thickBot="1" x14ac:dyDescent="0.25">
      <c r="A14" s="82"/>
      <c r="B14" s="88" t="s">
        <v>42</v>
      </c>
      <c r="C14" s="92">
        <f>K29</f>
        <v>22490</v>
      </c>
      <c r="D14" s="100">
        <f t="shared" ref="D14:D22" si="1">C14*10.03</f>
        <v>225574.69999999998</v>
      </c>
      <c r="E14" s="101"/>
      <c r="F14" s="82"/>
      <c r="G14" s="82"/>
      <c r="H14" s="88" t="s">
        <v>114</v>
      </c>
      <c r="I14" s="97"/>
      <c r="J14" s="98"/>
      <c r="K14" s="80">
        <f>K5-K13</f>
        <v>34080</v>
      </c>
    </row>
    <row r="15" spans="1:13" ht="13.5" thickBot="1" x14ac:dyDescent="0.25">
      <c r="A15" s="82"/>
      <c r="B15" s="88" t="s">
        <v>115</v>
      </c>
      <c r="C15" s="102">
        <f>K30</f>
        <v>152.44200000000001</v>
      </c>
      <c r="D15" s="100">
        <f t="shared" si="1"/>
        <v>1528.99326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2177.0141444000001</v>
      </c>
      <c r="D16" s="100">
        <f t="shared" si="1"/>
        <v>21835.451868331998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4104</v>
      </c>
      <c r="K16" s="81">
        <f>(J16-I16)*160</f>
        <v>3200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344959</v>
      </c>
      <c r="K17" s="81">
        <f>(J17-I17)</f>
        <v>4650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26728</v>
      </c>
      <c r="K18" s="81">
        <f>(J18-I18)*160</f>
        <v>14560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180816</v>
      </c>
      <c r="K19" s="81">
        <f>J19-I19</f>
        <v>3855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47919</v>
      </c>
      <c r="K21" s="81">
        <f>(J21-I21)*120</f>
        <v>15120</v>
      </c>
    </row>
    <row r="22" spans="1:11" ht="13.5" thickBot="1" x14ac:dyDescent="0.25">
      <c r="A22" s="82"/>
      <c r="B22" s="88" t="s">
        <v>119</v>
      </c>
      <c r="C22" s="100">
        <f>C14-(C15+C16+C17+C18+C19+C20+C21)</f>
        <v>14340.543855600001</v>
      </c>
      <c r="D22" s="100">
        <f t="shared" si="1"/>
        <v>143835.654871668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41184</v>
      </c>
      <c r="K22" s="81">
        <f>(J22-I22)*160</f>
        <v>13280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22335</v>
      </c>
      <c r="K23" s="81">
        <f>(J23-I23)*20</f>
        <v>1980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260550</v>
      </c>
      <c r="K24" s="81">
        <f>J24-I24</f>
        <v>700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226619</v>
      </c>
      <c r="K25" s="81">
        <f>J25-I25</f>
        <v>94</v>
      </c>
    </row>
    <row r="26" spans="1:11" ht="13.5" thickBot="1" x14ac:dyDescent="0.25">
      <c r="A26" s="82"/>
      <c r="B26" s="88" t="s">
        <v>42</v>
      </c>
      <c r="C26" s="106">
        <f>K35</f>
        <v>44617</v>
      </c>
      <c r="D26" s="92">
        <f>C26*3.65</f>
        <v>162852.04999999999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20367</v>
      </c>
      <c r="K26" s="81">
        <f>(J26-I26)*160</f>
        <v>13440</v>
      </c>
    </row>
    <row r="27" spans="1:11" ht="13.5" thickBot="1" x14ac:dyDescent="0.25">
      <c r="A27" s="82"/>
      <c r="B27" s="83" t="s">
        <v>124</v>
      </c>
      <c r="C27" s="106">
        <f>C26</f>
        <v>44617</v>
      </c>
      <c r="D27" s="92">
        <f>C27*3.65</f>
        <v>162852.04999999999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467749</v>
      </c>
      <c r="K29" s="81">
        <f>(J29-I29)*10</f>
        <v>22490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824648</v>
      </c>
      <c r="K30" s="81">
        <f>(J30-I30)*0.027</f>
        <v>152.44200000000001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16267</v>
      </c>
      <c r="K31" s="81">
        <f>(J31-I31)*0.027</f>
        <v>28.35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12906200</v>
      </c>
      <c r="K32" s="81">
        <f>(J32-I32)*0.027</f>
        <v>11712.6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18600837</v>
      </c>
      <c r="K35" s="112">
        <f>J35-I35</f>
        <v>44617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2022-11-30T00:32:47Z</dcterms:modified>
</cp:coreProperties>
</file>