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35" i="2" l="1"/>
  <c r="AG35" i="2"/>
  <c r="AF35" i="2"/>
  <c r="V35" i="2"/>
  <c r="Q35" i="2" l="1"/>
  <c r="P35" i="2"/>
  <c r="O35" i="2"/>
  <c r="N35" i="2"/>
  <c r="M35" i="2"/>
  <c r="J35" i="2" l="1"/>
  <c r="I35" i="2"/>
  <c r="H35" i="2"/>
  <c r="G35" i="2"/>
  <c r="F35" i="2"/>
  <c r="E35" i="2"/>
  <c r="D35" i="2"/>
  <c r="C35" i="2"/>
  <c r="B35" i="2"/>
  <c r="AH34" i="2" l="1"/>
  <c r="AG34" i="2"/>
  <c r="AF34" i="2"/>
  <c r="V34" i="2"/>
  <c r="Q34" i="2" l="1"/>
  <c r="P34" i="2"/>
  <c r="O34" i="2"/>
  <c r="N34" i="2"/>
  <c r="M34" i="2"/>
  <c r="J34" i="2" l="1"/>
  <c r="I34" i="2"/>
  <c r="H34" i="2"/>
  <c r="G34" i="2"/>
  <c r="F34" i="2"/>
  <c r="E34" i="2"/>
  <c r="D34" i="2"/>
  <c r="C34" i="2"/>
  <c r="B34" i="2"/>
  <c r="AH33" i="2" l="1"/>
  <c r="AG33" i="2"/>
  <c r="AF33" i="2"/>
  <c r="V33" i="2"/>
  <c r="Q33" i="2" l="1"/>
  <c r="P33" i="2"/>
  <c r="O33" i="2"/>
  <c r="N33" i="2"/>
  <c r="M33" i="2"/>
  <c r="J33" i="2" l="1"/>
  <c r="I33" i="2"/>
  <c r="H33" i="2"/>
  <c r="G33" i="2"/>
  <c r="F33" i="2"/>
  <c r="E33" i="2"/>
  <c r="D33" i="2"/>
  <c r="C33" i="2"/>
  <c r="B33" i="2"/>
  <c r="AH32" i="2" l="1"/>
  <c r="AG32" i="2"/>
  <c r="AF32" i="2"/>
  <c r="V32" i="2"/>
  <c r="Q32" i="2" l="1"/>
  <c r="P32" i="2"/>
  <c r="O32" i="2"/>
  <c r="N32" i="2"/>
  <c r="M32" i="2"/>
  <c r="J32" i="2" l="1"/>
  <c r="I32" i="2"/>
  <c r="H32" i="2"/>
  <c r="G32" i="2"/>
  <c r="F32" i="2"/>
  <c r="E32" i="2"/>
  <c r="D32" i="2"/>
  <c r="C32" i="2"/>
  <c r="B32" i="2"/>
  <c r="AH31" i="2" l="1"/>
  <c r="AG31" i="2"/>
  <c r="AF31" i="2"/>
  <c r="V31" i="2"/>
  <c r="Q31" i="2" l="1"/>
  <c r="P31" i="2"/>
  <c r="O31" i="2"/>
  <c r="N31" i="2"/>
  <c r="M31" i="2"/>
  <c r="J31" i="2" l="1"/>
  <c r="I31" i="2"/>
  <c r="H31" i="2"/>
  <c r="G31" i="2"/>
  <c r="F31" i="2"/>
  <c r="E31" i="2"/>
  <c r="D31" i="2"/>
  <c r="C31" i="2"/>
  <c r="B31" i="2"/>
  <c r="AH30" i="2" l="1"/>
  <c r="AG30" i="2"/>
  <c r="AF30" i="2"/>
  <c r="V30" i="2"/>
  <c r="Q30" i="2" l="1"/>
  <c r="P30" i="2"/>
  <c r="O30" i="2"/>
  <c r="N30" i="2"/>
  <c r="M30" i="2"/>
  <c r="J30" i="2" l="1"/>
  <c r="I30" i="2"/>
  <c r="H30" i="2"/>
  <c r="G30" i="2"/>
  <c r="F30" i="2"/>
  <c r="E30" i="2"/>
  <c r="D30" i="2"/>
  <c r="C30" i="2"/>
  <c r="B30" i="2"/>
  <c r="AH29" i="2" l="1"/>
  <c r="AG29" i="2"/>
  <c r="AF29" i="2"/>
  <c r="AH28" i="2"/>
  <c r="AG28" i="2"/>
  <c r="AF28" i="2"/>
  <c r="V29" i="2"/>
  <c r="V28" i="2"/>
  <c r="Q29" i="2" l="1"/>
  <c r="P29" i="2"/>
  <c r="Q28" i="2"/>
  <c r="P28" i="2"/>
  <c r="O29" i="2"/>
  <c r="N29" i="2"/>
  <c r="M29" i="2"/>
  <c r="O28" i="2"/>
  <c r="N28" i="2"/>
  <c r="M28" i="2"/>
  <c r="O27" i="2"/>
  <c r="J29" i="2" l="1"/>
  <c r="I29" i="2"/>
  <c r="H29" i="2"/>
  <c r="G29" i="2"/>
  <c r="F29" i="2"/>
  <c r="E29" i="2"/>
  <c r="D29" i="2"/>
  <c r="C29" i="2"/>
  <c r="B29" i="2"/>
  <c r="J28" i="2"/>
  <c r="I28" i="2"/>
  <c r="H28" i="2"/>
  <c r="G28" i="2"/>
  <c r="F28" i="2"/>
  <c r="E28" i="2"/>
  <c r="D28" i="2"/>
  <c r="C28" i="2"/>
  <c r="B28" i="2"/>
  <c r="AH27" i="2" l="1"/>
  <c r="AG27" i="2"/>
  <c r="AF27" i="2"/>
  <c r="V27" i="2"/>
  <c r="Q27" i="2" l="1"/>
  <c r="P27" i="2"/>
  <c r="N27" i="2"/>
  <c r="M27" i="2"/>
  <c r="J27" i="2" l="1"/>
  <c r="I27" i="2"/>
  <c r="H27" i="2"/>
  <c r="G27" i="2"/>
  <c r="F27" i="2"/>
  <c r="E27" i="2"/>
  <c r="D27" i="2"/>
  <c r="C27" i="2"/>
  <c r="B27" i="2"/>
  <c r="AH26" i="2" l="1"/>
  <c r="AG26" i="2"/>
  <c r="AF26" i="2"/>
  <c r="V26" i="2"/>
  <c r="Q26" i="2" l="1"/>
  <c r="P26" i="2"/>
  <c r="O26" i="2"/>
  <c r="N26" i="2"/>
  <c r="M26" i="2"/>
  <c r="J26" i="2" l="1"/>
  <c r="I26" i="2"/>
  <c r="H26" i="2"/>
  <c r="G26" i="2"/>
  <c r="F26" i="2"/>
  <c r="E26" i="2"/>
  <c r="D26" i="2"/>
  <c r="C26" i="2"/>
  <c r="B26" i="2"/>
  <c r="AH25" i="2" l="1"/>
  <c r="AG25" i="2"/>
  <c r="AF25" i="2"/>
  <c r="V25" i="2"/>
  <c r="Q25" i="2" l="1"/>
  <c r="P25" i="2"/>
  <c r="O25" i="2"/>
  <c r="N25" i="2"/>
  <c r="M25" i="2"/>
  <c r="J25" i="2" l="1"/>
  <c r="I25" i="2"/>
  <c r="H25" i="2"/>
  <c r="G25" i="2"/>
  <c r="F25" i="2"/>
  <c r="E25" i="2"/>
  <c r="D25" i="2"/>
  <c r="C25" i="2"/>
  <c r="B25" i="2"/>
  <c r="AH24" i="2" l="1"/>
  <c r="AG24" i="2"/>
  <c r="AF24" i="2"/>
  <c r="V24" i="2"/>
  <c r="Q24" i="2" l="1"/>
  <c r="P24" i="2"/>
  <c r="O24" i="2"/>
  <c r="N24" i="2"/>
  <c r="M24" i="2"/>
  <c r="J24" i="2" l="1"/>
  <c r="I24" i="2"/>
  <c r="H24" i="2"/>
  <c r="G24" i="2"/>
  <c r="F24" i="2"/>
  <c r="E24" i="2"/>
  <c r="D24" i="2"/>
  <c r="C24" i="2"/>
  <c r="B24" i="2"/>
  <c r="AH23" i="2" l="1"/>
  <c r="AG23" i="2"/>
  <c r="AF23" i="2"/>
  <c r="V23" i="2"/>
  <c r="Q23" i="2" l="1"/>
  <c r="P23" i="2"/>
  <c r="O23" i="2"/>
  <c r="N23" i="2"/>
  <c r="M23" i="2"/>
  <c r="J23" i="2" l="1"/>
  <c r="I23" i="2"/>
  <c r="H23" i="2"/>
  <c r="G23" i="2"/>
  <c r="F23" i="2"/>
  <c r="E23" i="2"/>
  <c r="D23" i="2"/>
  <c r="C23" i="2"/>
  <c r="B23" i="2"/>
  <c r="AH22" i="2" l="1"/>
  <c r="AG22" i="2"/>
  <c r="AF22" i="2"/>
  <c r="AH21" i="2"/>
  <c r="AG21" i="2"/>
  <c r="AF21" i="2"/>
  <c r="V22" i="2"/>
  <c r="V21" i="2"/>
  <c r="Q22" i="2" l="1"/>
  <c r="P22" i="2"/>
  <c r="Q21" i="2"/>
  <c r="P21" i="2"/>
  <c r="O22" i="2"/>
  <c r="N22" i="2"/>
  <c r="M22" i="2"/>
  <c r="O21" i="2"/>
  <c r="N21" i="2"/>
  <c r="M21" i="2"/>
  <c r="J22" i="2"/>
  <c r="I22" i="2"/>
  <c r="H22" i="2"/>
  <c r="G22" i="2"/>
  <c r="F22" i="2"/>
  <c r="E22" i="2"/>
  <c r="D22" i="2"/>
  <c r="C22" i="2"/>
  <c r="B22" i="2"/>
  <c r="J21" i="2"/>
  <c r="I21" i="2"/>
  <c r="H21" i="2"/>
  <c r="G21" i="2"/>
  <c r="F21" i="2"/>
  <c r="E21" i="2"/>
  <c r="D21" i="2"/>
  <c r="C21" i="2"/>
  <c r="B21" i="2"/>
  <c r="AH20" i="2" l="1"/>
  <c r="AG20" i="2"/>
  <c r="AF20" i="2"/>
  <c r="V20" i="2"/>
  <c r="Q20" i="2" l="1"/>
  <c r="P20" i="2"/>
  <c r="O20" i="2"/>
  <c r="N20" i="2"/>
  <c r="M20" i="2"/>
  <c r="J20" i="2" l="1"/>
  <c r="I20" i="2"/>
  <c r="H20" i="2"/>
  <c r="G20" i="2"/>
  <c r="F20" i="2"/>
  <c r="E20" i="2"/>
  <c r="D20" i="2"/>
  <c r="C20" i="2"/>
  <c r="B20" i="2"/>
  <c r="AH19" i="2" l="1"/>
  <c r="AG19" i="2"/>
  <c r="AF19" i="2"/>
  <c r="V19" i="2"/>
  <c r="Q19" i="2"/>
  <c r="P19" i="2"/>
  <c r="O19" i="2"/>
  <c r="N19" i="2"/>
  <c r="M19" i="2"/>
  <c r="J19" i="2" l="1"/>
  <c r="I19" i="2"/>
  <c r="H19" i="2"/>
  <c r="G19" i="2"/>
  <c r="F19" i="2"/>
  <c r="E19" i="2"/>
  <c r="D19" i="2"/>
  <c r="C19" i="2"/>
  <c r="B19" i="2"/>
  <c r="AH18" i="2" l="1"/>
  <c r="AG18" i="2"/>
  <c r="AF18" i="2"/>
  <c r="V18" i="2"/>
  <c r="Q18" i="2" l="1"/>
  <c r="P18" i="2"/>
  <c r="O18" i="2"/>
  <c r="N18" i="2"/>
  <c r="M18" i="2"/>
  <c r="J18" i="2" l="1"/>
  <c r="I18" i="2"/>
  <c r="H18" i="2"/>
  <c r="G18" i="2"/>
  <c r="F18" i="2"/>
  <c r="E18" i="2"/>
  <c r="D18" i="2"/>
  <c r="C18" i="2"/>
  <c r="B18" i="2"/>
  <c r="AH17" i="2" l="1"/>
  <c r="AG17" i="2"/>
  <c r="AF17" i="2"/>
  <c r="V17" i="2"/>
  <c r="Q17" i="2" l="1"/>
  <c r="P17" i="2"/>
  <c r="O17" i="2"/>
  <c r="N17" i="2"/>
  <c r="M17" i="2"/>
  <c r="J17" i="2" l="1"/>
  <c r="I17" i="2"/>
  <c r="H17" i="2"/>
  <c r="G17" i="2"/>
  <c r="F17" i="2"/>
  <c r="E17" i="2"/>
  <c r="D17" i="2"/>
  <c r="C17" i="2"/>
  <c r="B17" i="2"/>
  <c r="AH16" i="2" l="1"/>
  <c r="AG16" i="2"/>
  <c r="AF16" i="2"/>
  <c r="V16" i="2"/>
  <c r="Q16" i="2" l="1"/>
  <c r="P16" i="2"/>
  <c r="O16" i="2"/>
  <c r="N16" i="2"/>
  <c r="M16" i="2"/>
  <c r="J16" i="2" l="1"/>
  <c r="I16" i="2"/>
  <c r="H16" i="2"/>
  <c r="G16" i="2"/>
  <c r="F16" i="2"/>
  <c r="E16" i="2"/>
  <c r="D16" i="2"/>
  <c r="C16" i="2"/>
  <c r="B16" i="2"/>
  <c r="AH15" i="2" l="1"/>
  <c r="AG15" i="2"/>
  <c r="AF15" i="2"/>
  <c r="V15" i="2"/>
  <c r="AH14" i="2"/>
  <c r="AG14" i="2"/>
  <c r="AF14" i="2"/>
  <c r="V14" i="2"/>
  <c r="Q15" i="2" l="1"/>
  <c r="P15" i="2"/>
  <c r="Q14" i="2"/>
  <c r="P14" i="2"/>
  <c r="O15" i="2"/>
  <c r="N15" i="2"/>
  <c r="M15" i="2"/>
  <c r="O14" i="2"/>
  <c r="N14" i="2"/>
  <c r="M14" i="2"/>
  <c r="J15" i="2" l="1"/>
  <c r="I15" i="2"/>
  <c r="H15" i="2"/>
  <c r="G15" i="2"/>
  <c r="F15" i="2"/>
  <c r="E15" i="2"/>
  <c r="D15" i="2"/>
  <c r="C15" i="2"/>
  <c r="B15" i="2"/>
  <c r="J14" i="2"/>
  <c r="I14" i="2"/>
  <c r="H14" i="2"/>
  <c r="G14" i="2"/>
  <c r="F14" i="2"/>
  <c r="E14" i="2"/>
  <c r="D14" i="2"/>
  <c r="C14" i="2"/>
  <c r="B14" i="2"/>
  <c r="AH13" i="2" l="1"/>
  <c r="AG13" i="2"/>
  <c r="AF13" i="2"/>
  <c r="V13" i="2"/>
  <c r="Q13" i="2" l="1"/>
  <c r="P13" i="2"/>
  <c r="O13" i="2"/>
  <c r="N13" i="2"/>
  <c r="M13" i="2"/>
  <c r="J13" i="2" l="1"/>
  <c r="I13" i="2"/>
  <c r="H13" i="2"/>
  <c r="G13" i="2"/>
  <c r="F13" i="2"/>
  <c r="E13" i="2"/>
  <c r="D13" i="2"/>
  <c r="C13" i="2"/>
  <c r="B13" i="2"/>
  <c r="AH12" i="2" l="1"/>
  <c r="AG12" i="2"/>
  <c r="AF12" i="2"/>
  <c r="V12" i="2"/>
  <c r="Q12" i="2" l="1"/>
  <c r="P12" i="2"/>
  <c r="O12" i="2"/>
  <c r="N12" i="2"/>
  <c r="M12" i="2"/>
  <c r="J12" i="2" l="1"/>
  <c r="I12" i="2"/>
  <c r="H12" i="2"/>
  <c r="G12" i="2"/>
  <c r="F12" i="2"/>
  <c r="E12" i="2"/>
  <c r="D12" i="2"/>
  <c r="C12" i="2"/>
  <c r="B12" i="2"/>
  <c r="AH11" i="2" l="1"/>
  <c r="AG11" i="2"/>
  <c r="AF11" i="2"/>
  <c r="V11" i="2"/>
  <c r="Q11" i="2" l="1"/>
  <c r="P11" i="2"/>
  <c r="O11" i="2"/>
  <c r="N11" i="2"/>
  <c r="M11" i="2"/>
  <c r="J11" i="2" l="1"/>
  <c r="I11" i="2"/>
  <c r="H11" i="2"/>
  <c r="G11" i="2"/>
  <c r="F11" i="2"/>
  <c r="E11" i="2"/>
  <c r="D11" i="2"/>
  <c r="C11" i="2"/>
  <c r="B11" i="2"/>
  <c r="AH10" i="2" l="1"/>
  <c r="AG10" i="2"/>
  <c r="AF10" i="2"/>
  <c r="V10" i="2"/>
  <c r="Q10" i="2" l="1"/>
  <c r="P10" i="2"/>
  <c r="O10" i="2"/>
  <c r="N10" i="2"/>
  <c r="M10" i="2"/>
  <c r="J10" i="2" l="1"/>
  <c r="I10" i="2"/>
  <c r="H10" i="2"/>
  <c r="G10" i="2"/>
  <c r="F10" i="2"/>
  <c r="E10" i="2"/>
  <c r="D10" i="2"/>
  <c r="C10" i="2"/>
  <c r="B10" i="2"/>
  <c r="AH9" i="2" l="1"/>
  <c r="AG9" i="2"/>
  <c r="AF9" i="2"/>
  <c r="V9" i="2"/>
  <c r="Q9" i="2"/>
  <c r="P9" i="2"/>
  <c r="O9" i="2"/>
  <c r="N9" i="2"/>
  <c r="M9" i="2"/>
  <c r="J9" i="2" l="1"/>
  <c r="I9" i="2"/>
  <c r="H9" i="2"/>
  <c r="G9" i="2"/>
  <c r="F9" i="2"/>
  <c r="E9" i="2"/>
  <c r="D9" i="2"/>
  <c r="C9" i="2"/>
  <c r="B9" i="2"/>
  <c r="AH8" i="2" l="1"/>
  <c r="AG8" i="2"/>
  <c r="AF8" i="2"/>
  <c r="AH7" i="2"/>
  <c r="AG7" i="2"/>
  <c r="AF7" i="2"/>
  <c r="V8"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V7" i="2"/>
  <c r="Q8" i="2" l="1"/>
  <c r="P8" i="2"/>
  <c r="Q7" i="2"/>
  <c r="P7" i="2"/>
  <c r="O8" i="2"/>
  <c r="N8" i="2"/>
  <c r="M8" i="2"/>
  <c r="O7" i="2"/>
  <c r="N7" i="2"/>
  <c r="M7" i="2"/>
  <c r="J8" i="2" l="1"/>
  <c r="I8" i="2"/>
  <c r="H8" i="2"/>
  <c r="G8" i="2"/>
  <c r="F8" i="2"/>
  <c r="E8" i="2"/>
  <c r="D8" i="2"/>
  <c r="C8" i="2"/>
  <c r="B8" i="2"/>
  <c r="J7" i="2"/>
  <c r="I7" i="2"/>
  <c r="H7" i="2"/>
  <c r="G7" i="2"/>
  <c r="F7" i="2"/>
  <c r="E7" i="2"/>
  <c r="D7" i="2"/>
  <c r="C7" i="2"/>
  <c r="B7" i="2"/>
  <c r="AH6" i="2" l="1"/>
  <c r="AG6" i="2"/>
  <c r="AF6" i="2"/>
  <c r="W6" i="2"/>
  <c r="V6" i="2"/>
  <c r="Q6" i="2"/>
  <c r="P6" i="2"/>
  <c r="O6" i="2"/>
  <c r="N6" i="2"/>
  <c r="M6" i="2"/>
  <c r="J6" i="2" l="1"/>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I6" i="2" l="1"/>
  <c r="AC6" i="2"/>
  <c r="AN36" i="2" l="1"/>
  <c r="AH36" i="2"/>
  <c r="AG36" i="2"/>
  <c r="AF36" i="2"/>
  <c r="J36" i="2"/>
  <c r="I36" i="2"/>
  <c r="H36" i="2"/>
  <c r="G36" i="2"/>
  <c r="D36" i="2"/>
  <c r="Z32" i="3"/>
  <c r="E31" i="3"/>
  <c r="F31" i="3"/>
  <c r="G31" i="3"/>
  <c r="H31" i="3"/>
  <c r="Z7" i="2"/>
  <c r="K6" i="2" l="1"/>
  <c r="L6" i="2" l="1"/>
  <c r="AK35" i="2"/>
  <c r="AL35" i="2" s="1"/>
  <c r="AM35" i="2" s="1"/>
  <c r="AD35" i="2"/>
  <c r="AE35" i="2" s="1"/>
  <c r="Z35" i="2"/>
  <c r="AA35" i="2" s="1"/>
  <c r="T35" i="2"/>
  <c r="U35" i="2" s="1"/>
  <c r="R35" i="2"/>
  <c r="S35" i="2"/>
  <c r="K35" i="2"/>
  <c r="L35" i="2" s="1"/>
  <c r="M4" i="1"/>
  <c r="M5" i="1"/>
  <c r="M6" i="1"/>
  <c r="M8" i="1"/>
  <c r="M9" i="1"/>
  <c r="M10" i="1"/>
  <c r="M12" i="1"/>
  <c r="M13" i="1"/>
  <c r="M14" i="1"/>
  <c r="M16" i="1"/>
  <c r="M17" i="1"/>
  <c r="M18" i="1"/>
  <c r="M20" i="1"/>
  <c r="M21" i="1"/>
  <c r="M22" i="1"/>
  <c r="M24" i="1"/>
  <c r="M25" i="1"/>
  <c r="M26" i="1"/>
  <c r="M28" i="1"/>
  <c r="M29" i="1"/>
  <c r="M30"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N32" i="1" l="1"/>
  <c r="AO35" i="2"/>
  <c r="Z9" i="2"/>
  <c r="P5" i="3" s="1"/>
  <c r="G5" i="1" s="1"/>
  <c r="Z10" i="2"/>
  <c r="AA10" i="2" s="1"/>
  <c r="Z11" i="2"/>
  <c r="AA11" i="2" s="1"/>
  <c r="Z12" i="2"/>
  <c r="Z13" i="2"/>
  <c r="AA13" i="2" s="1"/>
  <c r="Z14" i="2"/>
  <c r="AA14" i="2" s="1"/>
  <c r="Z15" i="2"/>
  <c r="AA15" i="2" s="1"/>
  <c r="Z16" i="2"/>
  <c r="AA16" i="2" s="1"/>
  <c r="AD17" i="2"/>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R31" i="2"/>
  <c r="O27" i="3" s="1"/>
  <c r="R32" i="2"/>
  <c r="O28" i="3" s="1"/>
  <c r="K28" i="1" s="1"/>
  <c r="R33" i="2"/>
  <c r="O29" i="3" s="1"/>
  <c r="R34" i="2"/>
  <c r="O31" i="3"/>
  <c r="R6" i="2"/>
  <c r="R7" i="2"/>
  <c r="O3" i="3" s="1"/>
  <c r="R8" i="2"/>
  <c r="O4" i="3" s="1"/>
  <c r="R9" i="2"/>
  <c r="O5" i="3" s="1"/>
  <c r="R10" i="2"/>
  <c r="O6" i="3" s="1"/>
  <c r="R11" i="2"/>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1" i="2"/>
  <c r="D37" i="2"/>
  <c r="D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O26" i="3"/>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D39" i="2"/>
  <c r="G38" i="2"/>
  <c r="T27" i="3"/>
  <c r="U15" i="2"/>
  <c r="AL25" i="2"/>
  <c r="AM25" i="2" s="1"/>
  <c r="N24" i="3"/>
  <c r="U19" i="2"/>
  <c r="N19" i="3"/>
  <c r="N3" i="3"/>
  <c r="N29" i="3" l="1"/>
  <c r="U32" i="2"/>
  <c r="T28" i="3"/>
  <c r="AE32" i="2"/>
  <c r="P28" i="3"/>
  <c r="G28" i="1" s="1"/>
  <c r="P27" i="3"/>
  <c r="T23" i="3"/>
  <c r="T22" i="3"/>
  <c r="I22" i="1" s="1"/>
  <c r="T21" i="3"/>
  <c r="I21" i="1" s="1"/>
  <c r="AE25" i="2"/>
  <c r="P19" i="3"/>
  <c r="G19" i="1" s="1"/>
  <c r="P17" i="3"/>
  <c r="G17" i="1" s="1"/>
  <c r="P15" i="3"/>
  <c r="T13" i="3"/>
  <c r="AE17" i="2"/>
  <c r="T12" i="3"/>
  <c r="P9" i="3"/>
  <c r="G9" i="1" s="1"/>
  <c r="T30" i="3"/>
  <c r="P11" i="3"/>
  <c r="G11" i="1" s="1"/>
  <c r="X18" i="3"/>
  <c r="T17" i="3"/>
  <c r="I17" i="1" s="1"/>
  <c r="X9" i="3"/>
  <c r="N10" i="3"/>
  <c r="K10" i="1" s="1"/>
  <c r="U11" i="2"/>
  <c r="AO11" i="2" s="1"/>
  <c r="P26" i="3"/>
  <c r="G26" i="1" s="1"/>
  <c r="U17" i="2"/>
  <c r="T3" i="3"/>
  <c r="S27" i="3"/>
  <c r="P24" i="3"/>
  <c r="G24" i="1" s="1"/>
  <c r="U16" i="2"/>
  <c r="AO16" i="2" s="1"/>
  <c r="U30" i="2"/>
  <c r="AO30" i="2" s="1"/>
  <c r="M32" i="3"/>
  <c r="V32" i="3"/>
  <c r="I32" i="3"/>
  <c r="T7" i="3"/>
  <c r="I7" i="1" s="1"/>
  <c r="U9" i="2"/>
  <c r="K32" i="3"/>
  <c r="J32" i="3"/>
  <c r="W32" i="3"/>
  <c r="U32" i="3"/>
  <c r="T5" i="3"/>
  <c r="I5" i="1" s="1"/>
  <c r="Q32" i="3"/>
  <c r="U8" i="2"/>
  <c r="T36" i="2"/>
  <c r="U36" i="2" s="1"/>
  <c r="L32" i="3"/>
  <c r="X27" i="3"/>
  <c r="AL11" i="2"/>
  <c r="AM11" i="2" s="1"/>
  <c r="X10" i="3"/>
  <c r="T20" i="3"/>
  <c r="I20" i="1" s="1"/>
  <c r="P4" i="3"/>
  <c r="G4" i="1" s="1"/>
  <c r="R32" i="3"/>
  <c r="L7" i="2"/>
  <c r="L36" i="2" s="1"/>
  <c r="K36" i="2"/>
  <c r="X2" i="3"/>
  <c r="AK36" i="2"/>
  <c r="AD36" i="2"/>
  <c r="AE36" i="2" s="1"/>
  <c r="AA6" i="2"/>
  <c r="Z36" i="2"/>
  <c r="O2" i="3"/>
  <c r="O32" i="3" s="1"/>
  <c r="R36" i="2"/>
  <c r="R38" i="2" s="1"/>
  <c r="S5" i="3"/>
  <c r="E30" i="1"/>
  <c r="E17" i="1"/>
  <c r="N2" i="3"/>
  <c r="U6" i="2"/>
  <c r="AL6" i="2"/>
  <c r="AM6" i="2" s="1"/>
  <c r="G3" i="1"/>
  <c r="S3" i="3"/>
  <c r="P2" i="3"/>
  <c r="AA7" i="2"/>
  <c r="U25" i="2"/>
  <c r="N18" i="3"/>
  <c r="K18" i="1" s="1"/>
  <c r="S23" i="3"/>
  <c r="K30" i="1"/>
  <c r="K24" i="1"/>
  <c r="E29" i="1"/>
  <c r="K7" i="1"/>
  <c r="S30" i="3"/>
  <c r="X31" i="3"/>
  <c r="X26" i="3"/>
  <c r="X13" i="3"/>
  <c r="I13" i="1" s="1"/>
  <c r="AL21" i="2"/>
  <c r="AM21" i="2" s="1"/>
  <c r="I31" i="1"/>
  <c r="T25" i="3"/>
  <c r="I25" i="1" s="1"/>
  <c r="T11" i="3"/>
  <c r="T16" i="3"/>
  <c r="S19" i="3"/>
  <c r="AA17" i="2"/>
  <c r="S15" i="3"/>
  <c r="K15" i="1"/>
  <c r="K11" i="1"/>
  <c r="K8" i="1"/>
  <c r="K4" i="1"/>
  <c r="N31" i="3"/>
  <c r="K31" i="1" s="1"/>
  <c r="K25" i="1"/>
  <c r="K29" i="1"/>
  <c r="E24" i="1"/>
  <c r="E13" i="1"/>
  <c r="E6" i="1"/>
  <c r="X30" i="3"/>
  <c r="AL34" i="2"/>
  <c r="AM34" i="2" s="1"/>
  <c r="I27" i="1"/>
  <c r="AL24" i="2"/>
  <c r="AM24" i="2" s="1"/>
  <c r="AL9" i="2"/>
  <c r="AM9" i="2" s="1"/>
  <c r="X4" i="3"/>
  <c r="X19" i="3"/>
  <c r="T8" i="3"/>
  <c r="I8" i="1" s="1"/>
  <c r="T24" i="3"/>
  <c r="G13" i="1"/>
  <c r="S13" i="3"/>
  <c r="AO33" i="2"/>
  <c r="S14" i="3"/>
  <c r="G15" i="1"/>
  <c r="P29" i="3"/>
  <c r="AA9" i="2"/>
  <c r="AO9" i="2" s="1"/>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AO32" i="2"/>
  <c r="E23" i="1"/>
  <c r="E18" i="1"/>
  <c r="E16" i="1"/>
  <c r="E15" i="1"/>
  <c r="E14" i="1"/>
  <c r="E25" i="1"/>
  <c r="AO21" i="2"/>
  <c r="E28" i="1"/>
  <c r="E27" i="1"/>
  <c r="E26" i="1"/>
  <c r="E22" i="1"/>
  <c r="E21" i="1"/>
  <c r="E20" i="1"/>
  <c r="E19" i="1"/>
  <c r="E11" i="1"/>
  <c r="E10" i="1"/>
  <c r="E8" i="1"/>
  <c r="E5" i="1"/>
  <c r="E2" i="1"/>
  <c r="T4" i="3"/>
  <c r="AO19" i="2"/>
  <c r="T15" i="3"/>
  <c r="AO13" i="2"/>
  <c r="T9" i="3"/>
  <c r="AL15" i="2"/>
  <c r="AM15" i="2" s="1"/>
  <c r="X11" i="3"/>
  <c r="T18" i="3"/>
  <c r="S22" i="3"/>
  <c r="S21" i="3"/>
  <c r="G21" i="1"/>
  <c r="AO23" i="2"/>
  <c r="T10" i="3"/>
  <c r="AO14" i="2"/>
  <c r="AL32" i="2"/>
  <c r="AM32" i="2" s="1"/>
  <c r="X28" i="3"/>
  <c r="I28" i="1" s="1"/>
  <c r="AL28" i="2"/>
  <c r="AM28" i="2" s="1"/>
  <c r="X24" i="3"/>
  <c r="X16" i="3"/>
  <c r="AL20" i="2"/>
  <c r="AM20" i="2" s="1"/>
  <c r="T6" i="3"/>
  <c r="AO22" i="2"/>
  <c r="X3" i="3"/>
  <c r="X12" i="3"/>
  <c r="I12" i="1" s="1"/>
  <c r="AA26" i="2"/>
  <c r="AO26" i="2" s="1"/>
  <c r="N22" i="3"/>
  <c r="K22" i="1" s="1"/>
  <c r="N17" i="3"/>
  <c r="K17" i="1" s="1"/>
  <c r="T19" i="3"/>
  <c r="P18" i="3"/>
  <c r="P7" i="3"/>
  <c r="AA25" i="2"/>
  <c r="P12" i="3"/>
  <c r="S9" i="3"/>
  <c r="T26" i="3"/>
  <c r="AL26" i="2"/>
  <c r="AM26" i="2" s="1"/>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S28" i="3" l="1"/>
  <c r="S26" i="3"/>
  <c r="S17" i="3"/>
  <c r="AO17" i="2"/>
  <c r="I10" i="1"/>
  <c r="S11" i="3"/>
  <c r="AO7" i="2"/>
  <c r="S24" i="3"/>
  <c r="I18" i="1"/>
  <c r="I24" i="1"/>
  <c r="S4" i="3"/>
  <c r="I9" i="1"/>
  <c r="AO8" i="2"/>
  <c r="I3" i="1"/>
  <c r="I30" i="1"/>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<sst xmlns="http://schemas.openxmlformats.org/spreadsheetml/2006/main" count="217" uniqueCount="104">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</sst>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4" fontId="0" fillId="0" borderId="1" xfId="0" applyNumberFormat="1"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O25" sqref="O25"/>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9" t="s">
        <v>0</v>
      </c>
      <c r="B1" s="120" t="s">
        <v>1</v>
      </c>
      <c r="C1" s="121" t="s">
        <v>2</v>
      </c>
      <c r="D1" s="120" t="s">
        <v>3</v>
      </c>
      <c r="E1" s="122" t="s">
        <v>4</v>
      </c>
      <c r="F1" s="123" t="s">
        <v>5</v>
      </c>
      <c r="G1" s="122" t="s">
        <v>10</v>
      </c>
      <c r="H1" s="123" t="s">
        <v>11</v>
      </c>
      <c r="I1" s="124" t="s">
        <v>82</v>
      </c>
      <c r="J1" s="125" t="s">
        <v>83</v>
      </c>
      <c r="K1" s="122" t="s">
        <v>6</v>
      </c>
      <c r="L1" s="126" t="s">
        <v>7</v>
      </c>
      <c r="M1" s="122" t="s">
        <v>8</v>
      </c>
      <c r="N1" s="127" t="s">
        <v>9</v>
      </c>
    </row>
    <row r="2" spans="1:15" x14ac:dyDescent="0.25">
      <c r="A2" s="110" t="s">
        <v>80</v>
      </c>
      <c r="B2" s="111">
        <v>1</v>
      </c>
      <c r="C2" s="112">
        <v>9</v>
      </c>
      <c r="D2" s="111">
        <v>2021</v>
      </c>
      <c r="E2" s="101">
        <f>Submetering!E2+Submetering!F2+Submetering!G2+Submetering!H2+Submetering!I2+Submetering!J2+Submetering!K2</f>
        <v>32933</v>
      </c>
      <c r="F2" s="113">
        <v>0.2</v>
      </c>
      <c r="G2" s="101">
        <f>Submetering!P2</f>
        <v>422</v>
      </c>
      <c r="H2" s="113">
        <v>6.47</v>
      </c>
      <c r="I2" s="101">
        <f>Submetering!T2-Submetering!T2*15%-Submetering!X2</f>
        <v>56241.095199997086</v>
      </c>
      <c r="J2" s="100">
        <v>0.21</v>
      </c>
      <c r="K2" s="101">
        <f>Submetering!N2-Submetering!O2</f>
        <v>43.394000000008418</v>
      </c>
      <c r="L2" s="113">
        <v>7.84</v>
      </c>
      <c r="M2" s="101">
        <f>Submetering!Y2</f>
        <v>61</v>
      </c>
      <c r="N2" s="102">
        <f>Submetering!Z2</f>
        <v>102</v>
      </c>
    </row>
    <row r="3" spans="1:15" x14ac:dyDescent="0.25">
      <c r="A3" s="114" t="s">
        <v>80</v>
      </c>
      <c r="B3" s="72">
        <f>B2+1</f>
        <v>2</v>
      </c>
      <c r="C3" s="73">
        <v>9</v>
      </c>
      <c r="D3" s="72">
        <v>2021</v>
      </c>
      <c r="E3" s="71">
        <f>Submetering!E3+Submetering!F3+Submetering!G3+Submetering!H3+Submetering!I3+Submetering!J3+Submetering!K3</f>
        <v>32478</v>
      </c>
      <c r="F3" s="74">
        <v>0.2</v>
      </c>
      <c r="G3" s="71">
        <f>Submetering!P3</f>
        <v>402</v>
      </c>
      <c r="H3" s="74">
        <v>6.47</v>
      </c>
      <c r="I3" s="71">
        <f>Submetering!T3-Submetering!T3*15%-Submetering!X3</f>
        <v>55930.948400001449</v>
      </c>
      <c r="J3" s="70">
        <v>0.21</v>
      </c>
      <c r="K3" s="71">
        <f>Submetering!N3-Submetering!O3</f>
        <v>46.513000000012653</v>
      </c>
      <c r="L3" s="74">
        <v>7.84</v>
      </c>
      <c r="M3" s="71">
        <f>Submetering!Y3</f>
        <v>58</v>
      </c>
      <c r="N3" s="104">
        <f>Submetering!Z3</f>
        <v>95</v>
      </c>
    </row>
    <row r="4" spans="1:15" x14ac:dyDescent="0.25">
      <c r="A4" s="114" t="s">
        <v>80</v>
      </c>
      <c r="B4" s="72">
        <f t="shared" ref="B4:B31" si="0">B3+1</f>
        <v>3</v>
      </c>
      <c r="C4" s="73">
        <v>9</v>
      </c>
      <c r="D4" s="72">
        <v>2021</v>
      </c>
      <c r="E4" s="71">
        <f>Submetering!E4+Submetering!F4+Submetering!G4+Submetering!H4+Submetering!I4+Submetering!J4+Submetering!K4</f>
        <v>32299</v>
      </c>
      <c r="F4" s="74">
        <v>0.2</v>
      </c>
      <c r="G4" s="71">
        <f>Submetering!P4</f>
        <v>465</v>
      </c>
      <c r="H4" s="74">
        <v>6.47</v>
      </c>
      <c r="I4" s="71">
        <f>Submetering!T4-Submetering!T4*15%-Submetering!X4</f>
        <v>53500.508000000002</v>
      </c>
      <c r="J4" s="70">
        <v>0.21</v>
      </c>
      <c r="K4" s="71">
        <f>Submetering!N4-Submetering!O4</f>
        <v>44.607999999986532</v>
      </c>
      <c r="L4" s="74">
        <v>7.84</v>
      </c>
      <c r="M4" s="71">
        <f>Submetering!Y4</f>
        <v>54</v>
      </c>
      <c r="N4" s="104">
        <f>Submetering!Z4</f>
        <v>96</v>
      </c>
    </row>
    <row r="5" spans="1:15" x14ac:dyDescent="0.25">
      <c r="A5" s="114" t="s">
        <v>80</v>
      </c>
      <c r="B5" s="72">
        <f t="shared" si="0"/>
        <v>4</v>
      </c>
      <c r="C5" s="73">
        <v>9</v>
      </c>
      <c r="D5" s="72">
        <v>2021</v>
      </c>
      <c r="E5" s="71">
        <f>Submetering!E5+Submetering!F5+Submetering!G5+Submetering!H5+Submetering!I5+Submetering!J5+Submetering!K5</f>
        <v>31453</v>
      </c>
      <c r="F5" s="74">
        <v>0.2</v>
      </c>
      <c r="G5" s="71">
        <f>Submetering!P5</f>
        <v>411</v>
      </c>
      <c r="H5" s="74">
        <v>6.47</v>
      </c>
      <c r="I5" s="71">
        <f>Submetering!T5-Submetering!T5*15%-Submetering!X5</f>
        <v>49163.381800002913</v>
      </c>
      <c r="J5" s="70">
        <v>0.21</v>
      </c>
      <c r="K5" s="81">
        <f>Submetering!N5-Submetering!O5</f>
        <v>62.54600000001119</v>
      </c>
      <c r="L5" s="74">
        <v>7.84</v>
      </c>
      <c r="M5" s="71">
        <f>Submetering!Y5</f>
        <v>56</v>
      </c>
      <c r="N5" s="104">
        <f>Submetering!Z5</f>
        <v>78</v>
      </c>
    </row>
    <row r="6" spans="1:15" x14ac:dyDescent="0.25">
      <c r="A6" s="114" t="s">
        <v>80</v>
      </c>
      <c r="B6" s="72">
        <f t="shared" si="0"/>
        <v>5</v>
      </c>
      <c r="C6" s="73">
        <v>9</v>
      </c>
      <c r="D6" s="72">
        <v>2021</v>
      </c>
      <c r="E6" s="71">
        <f>Submetering!E6+Submetering!F6+Submetering!G6+Submetering!H6+Submetering!I6+Submetering!J6+Submetering!K6</f>
        <v>30716</v>
      </c>
      <c r="F6" s="74">
        <v>0.2</v>
      </c>
      <c r="G6" s="71">
        <f>Submetering!P6</f>
        <v>422</v>
      </c>
      <c r="H6" s="74">
        <v>6.47</v>
      </c>
      <c r="I6" s="71">
        <f>Submetering!T6-Submetering!T6*15%-Submetering!X6</f>
        <v>46646.230999997089</v>
      </c>
      <c r="J6" s="70">
        <v>0.21</v>
      </c>
      <c r="K6" s="71">
        <f>Submetering!N6-Submetering!O6</f>
        <v>60.367999999990388</v>
      </c>
      <c r="L6" s="74">
        <v>7.84</v>
      </c>
      <c r="M6" s="71">
        <f>Submetering!Y6</f>
        <v>80</v>
      </c>
      <c r="N6" s="104">
        <f>Submetering!Z6</f>
        <v>102</v>
      </c>
    </row>
    <row r="7" spans="1:15" x14ac:dyDescent="0.25">
      <c r="A7" s="114" t="s">
        <v>80</v>
      </c>
      <c r="B7" s="72">
        <f t="shared" si="0"/>
        <v>6</v>
      </c>
      <c r="C7" s="73">
        <v>9</v>
      </c>
      <c r="D7" s="72">
        <v>2021</v>
      </c>
      <c r="E7" s="71">
        <f>Submetering!E7+Submetering!F7+Submetering!G7+Submetering!H7+Submetering!I7+Submetering!J7+Submetering!K7</f>
        <v>31631</v>
      </c>
      <c r="F7" s="74">
        <v>0.2</v>
      </c>
      <c r="G7" s="71">
        <f>Submetering!P7</f>
        <v>422</v>
      </c>
      <c r="H7" s="74">
        <v>6.47</v>
      </c>
      <c r="I7" s="71">
        <f>Submetering!T7-Submetering!T7*15%-Submetering!X7</f>
        <v>57833.978000000003</v>
      </c>
      <c r="J7" s="70">
        <v>0.21</v>
      </c>
      <c r="K7" s="71">
        <f>Submetering!N7-Submetering!O7</f>
        <v>73.453000000001339</v>
      </c>
      <c r="L7" s="74">
        <v>7.84</v>
      </c>
      <c r="M7" s="71">
        <f>Submetering!Y7</f>
        <v>107</v>
      </c>
      <c r="N7" s="104">
        <f>Submetering!Z7</f>
        <v>138</v>
      </c>
    </row>
    <row r="8" spans="1:15" x14ac:dyDescent="0.25">
      <c r="A8" s="114" t="s">
        <v>80</v>
      </c>
      <c r="B8" s="72">
        <f t="shared" si="0"/>
        <v>7</v>
      </c>
      <c r="C8" s="73">
        <v>9</v>
      </c>
      <c r="D8" s="72">
        <v>2021</v>
      </c>
      <c r="E8" s="71">
        <f>Submetering!E8+Submetering!F8+Submetering!G8+Submetering!H8+Submetering!I8+Submetering!J8+Submetering!K8</f>
        <v>31476</v>
      </c>
      <c r="F8" s="74">
        <v>0.2</v>
      </c>
      <c r="G8" s="71">
        <f>Submetering!P8</f>
        <v>405</v>
      </c>
      <c r="H8" s="74">
        <v>6.47</v>
      </c>
      <c r="I8" s="71">
        <f>Submetering!T8-Submetering!T8*15%-Submetering!X8</f>
        <v>62089.631200002914</v>
      </c>
      <c r="J8" s="70">
        <v>0.21</v>
      </c>
      <c r="K8" s="71">
        <f>Submetering!N8-Submetering!O8</f>
        <v>69.65499999999156</v>
      </c>
      <c r="L8" s="74">
        <v>7.84</v>
      </c>
      <c r="M8" s="71">
        <f>Submetering!Y8</f>
        <v>103</v>
      </c>
      <c r="N8" s="104">
        <f>Submetering!Z8</f>
        <v>122</v>
      </c>
    </row>
    <row r="9" spans="1:15" x14ac:dyDescent="0.25">
      <c r="A9" s="114" t="s">
        <v>80</v>
      </c>
      <c r="B9" s="72">
        <f t="shared" si="0"/>
        <v>8</v>
      </c>
      <c r="C9" s="73">
        <v>9</v>
      </c>
      <c r="D9" s="72">
        <v>2021</v>
      </c>
      <c r="E9" s="71">
        <f>Submetering!E9+Submetering!F9+Submetering!G9+Submetering!H9+Submetering!I9+Submetering!J9+Submetering!K9</f>
        <v>31249</v>
      </c>
      <c r="F9" s="74">
        <v>0.2</v>
      </c>
      <c r="G9" s="71">
        <f>Submetering!P9</f>
        <v>426</v>
      </c>
      <c r="H9" s="74">
        <v>6.47</v>
      </c>
      <c r="I9" s="71">
        <f>Submetering!T9-Submetering!T9*15%-Submetering!X9</f>
        <v>63449.916599994176</v>
      </c>
      <c r="J9" s="70">
        <v>0.21</v>
      </c>
      <c r="K9" s="71">
        <f>Submetering!N9-Submetering!O9</f>
        <v>65.475000000012187</v>
      </c>
      <c r="L9" s="74">
        <v>7.84</v>
      </c>
      <c r="M9" s="71">
        <f>Submetering!Y9</f>
        <v>82</v>
      </c>
      <c r="N9" s="104">
        <f>Submetering!Z9</f>
        <v>98</v>
      </c>
      <c r="O9" s="1" t="s">
        <v>12</v>
      </c>
    </row>
    <row r="10" spans="1:15" x14ac:dyDescent="0.25">
      <c r="A10" s="114" t="s">
        <v>80</v>
      </c>
      <c r="B10" s="72">
        <f t="shared" si="0"/>
        <v>9</v>
      </c>
      <c r="C10" s="73">
        <v>9</v>
      </c>
      <c r="D10" s="72">
        <v>2021</v>
      </c>
      <c r="E10" s="71">
        <f>Submetering!E10+Submetering!F10+Submetering!G10+Submetering!H10+Submetering!I10+Submetering!J10+Submetering!K10</f>
        <v>31078</v>
      </c>
      <c r="F10" s="74">
        <v>0.2</v>
      </c>
      <c r="G10" s="71">
        <f>Submetering!P10</f>
        <v>420</v>
      </c>
      <c r="H10" s="74">
        <v>6.47</v>
      </c>
      <c r="I10" s="71">
        <f>Submetering!T10-Submetering!T10*15%-Submetering!X10</f>
        <v>66798.956200001456</v>
      </c>
      <c r="J10" s="70">
        <v>0.21</v>
      </c>
      <c r="K10" s="71">
        <f>Submetering!N10-Submetering!O10</f>
        <v>83.070000000009713</v>
      </c>
      <c r="L10" s="74">
        <v>7.84</v>
      </c>
      <c r="M10" s="71">
        <f>Submetering!Y10</f>
        <v>57</v>
      </c>
      <c r="N10" s="104">
        <f>Submetering!Z10</f>
        <v>80</v>
      </c>
    </row>
    <row r="11" spans="1:15" x14ac:dyDescent="0.25">
      <c r="A11" s="114" t="s">
        <v>80</v>
      </c>
      <c r="B11" s="72">
        <f t="shared" si="0"/>
        <v>10</v>
      </c>
      <c r="C11" s="73">
        <v>9</v>
      </c>
      <c r="D11" s="72">
        <v>2021</v>
      </c>
      <c r="E11" s="71">
        <f>Submetering!E11+Submetering!F11+Submetering!G11+Submetering!H11+Submetering!I11+Submetering!J11+Submetering!K11</f>
        <v>31379</v>
      </c>
      <c r="F11" s="74">
        <v>0.2</v>
      </c>
      <c r="G11" s="71">
        <f>Submetering!P11</f>
        <v>467</v>
      </c>
      <c r="H11" s="74">
        <v>6.47</v>
      </c>
      <c r="I11" s="71">
        <f>Submetering!T11-Submetering!T11*15%-Submetering!X11</f>
        <v>67746.814799999993</v>
      </c>
      <c r="J11" s="70">
        <v>0.21</v>
      </c>
      <c r="K11" s="71">
        <f>Submetering!N11-Submetering!O11</f>
        <v>58.018999999981133</v>
      </c>
      <c r="L11" s="74">
        <v>7.84</v>
      </c>
      <c r="M11" s="71">
        <f>Submetering!Y11</f>
        <v>49</v>
      </c>
      <c r="N11" s="104">
        <f>Submetering!Z11</f>
        <v>72</v>
      </c>
    </row>
    <row r="12" spans="1:15" x14ac:dyDescent="0.25">
      <c r="A12" s="114" t="s">
        <v>80</v>
      </c>
      <c r="B12" s="72">
        <f t="shared" si="0"/>
        <v>11</v>
      </c>
      <c r="C12" s="73">
        <v>9</v>
      </c>
      <c r="D12" s="72">
        <v>2021</v>
      </c>
      <c r="E12" s="71">
        <f>Submetering!E12+Submetering!F12+Submetering!G12+Submetering!H12+Submetering!I12+Submetering!J12+Submetering!K12</f>
        <v>31026</v>
      </c>
      <c r="F12" s="74">
        <v>0.2</v>
      </c>
      <c r="G12" s="71">
        <f>Submetering!P12</f>
        <v>433</v>
      </c>
      <c r="H12" s="74">
        <v>6.47</v>
      </c>
      <c r="I12" s="71">
        <f>Submetering!T12-Submetering!T12*15%-Submetering!X12</f>
        <v>64415.62479999855</v>
      </c>
      <c r="J12" s="70">
        <v>0.21</v>
      </c>
      <c r="K12" s="71">
        <f>Submetering!N12-Submetering!O12</f>
        <v>66.028000000008433</v>
      </c>
      <c r="L12" s="74">
        <v>7.84</v>
      </c>
      <c r="M12" s="71">
        <f>Submetering!Y12</f>
        <v>58</v>
      </c>
      <c r="N12" s="104">
        <f>Submetering!Z12</f>
        <v>80</v>
      </c>
    </row>
    <row r="13" spans="1:15" x14ac:dyDescent="0.25">
      <c r="A13" s="114" t="s">
        <v>80</v>
      </c>
      <c r="B13" s="72">
        <f t="shared" si="0"/>
        <v>12</v>
      </c>
      <c r="C13" s="73">
        <v>9</v>
      </c>
      <c r="D13" s="72">
        <v>2021</v>
      </c>
      <c r="E13" s="71">
        <f>Submetering!E13+Submetering!F13+Submetering!G13+Submetering!H13+Submetering!I13+Submetering!J13+Submetering!K13</f>
        <v>30954</v>
      </c>
      <c r="F13" s="74">
        <v>0.2</v>
      </c>
      <c r="G13" s="71">
        <f>Submetering!P13</f>
        <v>445</v>
      </c>
      <c r="H13" s="74">
        <v>6.47</v>
      </c>
      <c r="I13" s="71">
        <f>Submetering!T13-Submetering!T13*15%-Submetering!X13</f>
        <v>65210.828600001449</v>
      </c>
      <c r="J13" s="70">
        <v>0.21</v>
      </c>
      <c r="K13" s="71">
        <f>Submetering!N13-Submetering!O13</f>
        <v>59.162999999994099</v>
      </c>
      <c r="L13" s="74">
        <v>7.84</v>
      </c>
      <c r="M13" s="71">
        <f>Submetering!Y13</f>
        <v>74</v>
      </c>
      <c r="N13" s="104">
        <f>Submetering!Z13</f>
        <v>92</v>
      </c>
    </row>
    <row r="14" spans="1:15" x14ac:dyDescent="0.25">
      <c r="A14" s="114" t="s">
        <v>80</v>
      </c>
      <c r="B14" s="72">
        <f t="shared" si="0"/>
        <v>13</v>
      </c>
      <c r="C14" s="73">
        <v>9</v>
      </c>
      <c r="D14" s="72">
        <v>2021</v>
      </c>
      <c r="E14" s="71">
        <f>Submetering!E14+Submetering!F14+Submetering!G14+Submetering!H14+Submetering!I14+Submetering!J14+Submetering!K14</f>
        <v>30577</v>
      </c>
      <c r="F14" s="74">
        <v>0.2</v>
      </c>
      <c r="G14" s="71">
        <f>Submetering!P14</f>
        <v>436</v>
      </c>
      <c r="H14" s="74">
        <v>6.47</v>
      </c>
      <c r="I14" s="71">
        <f>Submetering!T14-Submetering!T14*15%-Submetering!X14</f>
        <v>66799.623799998546</v>
      </c>
      <c r="J14" s="70">
        <v>0.21</v>
      </c>
      <c r="K14" s="71">
        <f>Submetering!N14-Submetering!O14</f>
        <v>57.176000000005843</v>
      </c>
      <c r="L14" s="74">
        <v>7.84</v>
      </c>
      <c r="M14" s="71">
        <f>Submetering!Y14</f>
        <v>74</v>
      </c>
      <c r="N14" s="104">
        <f>Submetering!Z14</f>
        <v>96</v>
      </c>
    </row>
    <row r="15" spans="1:15" x14ac:dyDescent="0.25">
      <c r="A15" s="114" t="s">
        <v>80</v>
      </c>
      <c r="B15" s="72">
        <f t="shared" si="0"/>
        <v>14</v>
      </c>
      <c r="C15" s="73">
        <v>9</v>
      </c>
      <c r="D15" s="72">
        <v>2021</v>
      </c>
      <c r="E15" s="71">
        <f>Submetering!E15+Submetering!F15+Submetering!G15+Submetering!H15+Submetering!I15+Submetering!J15+Submetering!K15</f>
        <v>31287</v>
      </c>
      <c r="F15" s="74">
        <v>0.2</v>
      </c>
      <c r="G15" s="71">
        <f>Submetering!P15</f>
        <v>444</v>
      </c>
      <c r="H15" s="74">
        <v>6.47</v>
      </c>
      <c r="I15" s="71">
        <f>Submetering!T15-Submetering!T15*15%-Submetering!X15</f>
        <v>64286.016000000003</v>
      </c>
      <c r="J15" s="70">
        <v>0.21</v>
      </c>
      <c r="K15" s="81">
        <f>Submetering!N15-Submetering!O15</f>
        <v>94.989999999989777</v>
      </c>
      <c r="L15" s="74">
        <v>7.84</v>
      </c>
      <c r="M15" s="71">
        <f>Submetering!Y15</f>
        <v>65</v>
      </c>
      <c r="N15" s="104">
        <f>Submetering!Z15</f>
        <v>80</v>
      </c>
    </row>
    <row r="16" spans="1:15" x14ac:dyDescent="0.25">
      <c r="A16" s="114" t="s">
        <v>80</v>
      </c>
      <c r="B16" s="72">
        <f t="shared" si="0"/>
        <v>15</v>
      </c>
      <c r="C16" s="73">
        <v>9</v>
      </c>
      <c r="D16" s="72">
        <v>2021</v>
      </c>
      <c r="E16" s="71">
        <f>Submetering!E16+Submetering!F16+Submetering!G16+Submetering!H16+Submetering!I16+Submetering!J16+Submetering!K16</f>
        <v>31724</v>
      </c>
      <c r="F16" s="74">
        <v>0.2</v>
      </c>
      <c r="G16" s="71">
        <f>Submetering!P16</f>
        <v>447</v>
      </c>
      <c r="H16" s="74">
        <v>6.47</v>
      </c>
      <c r="I16" s="71">
        <f>Submetering!T16-Submetering!T16*15%-Submetering!X16</f>
        <v>65336.586000004376</v>
      </c>
      <c r="J16" s="70">
        <v>0.21</v>
      </c>
      <c r="K16" s="71">
        <f>Submetering!N16-Submetering!O16</f>
        <v>58.152000000017324</v>
      </c>
      <c r="L16" s="74">
        <v>7.84</v>
      </c>
      <c r="M16" s="71">
        <f>Submetering!Y16</f>
        <v>83</v>
      </c>
      <c r="N16" s="104">
        <f>Submetering!Z16</f>
        <v>112</v>
      </c>
    </row>
    <row r="17" spans="1:14" x14ac:dyDescent="0.25">
      <c r="A17" s="114" t="s">
        <v>80</v>
      </c>
      <c r="B17" s="72">
        <f t="shared" si="0"/>
        <v>16</v>
      </c>
      <c r="C17" s="73">
        <v>9</v>
      </c>
      <c r="D17" s="72">
        <v>2021</v>
      </c>
      <c r="E17" s="71">
        <f>Submetering!E17+Submetering!F17+Submetering!G17+Submetering!H17+Submetering!I17+Submetering!J17+Submetering!K17</f>
        <v>34398</v>
      </c>
      <c r="F17" s="74">
        <v>0.2</v>
      </c>
      <c r="G17" s="71">
        <f>Submetering!P17</f>
        <v>451</v>
      </c>
      <c r="H17" s="74">
        <v>6.47</v>
      </c>
      <c r="I17" s="71">
        <f>Submetering!T17-Submetering!T17*15%-Submetering!X17</f>
        <v>56395.5576</v>
      </c>
      <c r="J17" s="70">
        <v>0.21</v>
      </c>
      <c r="K17" s="71">
        <f>Submetering!N17-Submetering!O17</f>
        <v>21.563999999995758</v>
      </c>
      <c r="L17" s="74">
        <v>7.84</v>
      </c>
      <c r="M17" s="71">
        <f>Submetering!Y17</f>
        <v>61</v>
      </c>
      <c r="N17" s="104">
        <f>Submetering!Z17</f>
        <v>96</v>
      </c>
    </row>
    <row r="18" spans="1:14" x14ac:dyDescent="0.25">
      <c r="A18" s="114" t="s">
        <v>80</v>
      </c>
      <c r="B18" s="72">
        <f t="shared" si="0"/>
        <v>17</v>
      </c>
      <c r="C18" s="73">
        <v>9</v>
      </c>
      <c r="D18" s="72">
        <v>2021</v>
      </c>
      <c r="E18" s="71">
        <f>Submetering!E18+Submetering!F18+Submetering!G18+Submetering!H18+Submetering!I18+Submetering!J18+Submetering!K18</f>
        <v>33102</v>
      </c>
      <c r="F18" s="74">
        <v>0.2</v>
      </c>
      <c r="G18" s="71">
        <f>Submetering!P18</f>
        <v>481</v>
      </c>
      <c r="H18" s="74">
        <v>6.47</v>
      </c>
      <c r="I18" s="71">
        <f>Submetering!T18-Submetering!T18*15%-Submetering!X18</f>
        <v>62022.505799997089</v>
      </c>
      <c r="J18" s="70">
        <v>0.21</v>
      </c>
      <c r="K18" s="71">
        <f>Submetering!N18-Submetering!O18</f>
        <v>26.988999999987755</v>
      </c>
      <c r="L18" s="74">
        <v>7.84</v>
      </c>
      <c r="M18" s="71">
        <f>Submetering!Y18</f>
        <v>57</v>
      </c>
      <c r="N18" s="104">
        <f>Submetering!Z18</f>
        <v>90</v>
      </c>
    </row>
    <row r="19" spans="1:14" x14ac:dyDescent="0.25">
      <c r="A19" s="114" t="s">
        <v>80</v>
      </c>
      <c r="B19" s="72">
        <f t="shared" si="0"/>
        <v>18</v>
      </c>
      <c r="C19" s="73">
        <v>9</v>
      </c>
      <c r="D19" s="72">
        <v>2021</v>
      </c>
      <c r="E19" s="71">
        <f>Submetering!E19+Submetering!F19+Submetering!G19+Submetering!H19+Submetering!I19+Submetering!J19+Submetering!K19</f>
        <v>31902</v>
      </c>
      <c r="F19" s="74">
        <v>0.2</v>
      </c>
      <c r="G19" s="71">
        <f>Submetering!P19</f>
        <v>440</v>
      </c>
      <c r="H19" s="74">
        <v>6.47</v>
      </c>
      <c r="I19" s="71">
        <f>Submetering!T19-Submetering!T19*15%-Submetering!X19</f>
        <v>53160.752400004363</v>
      </c>
      <c r="J19" s="70">
        <v>0.21</v>
      </c>
      <c r="K19" s="71">
        <f>Submetering!N19-Submetering!O19</f>
        <v>104.2960000000121</v>
      </c>
      <c r="L19" s="74">
        <v>7.84</v>
      </c>
      <c r="M19" s="71">
        <f>Submetering!Y19</f>
        <v>50</v>
      </c>
      <c r="N19" s="104">
        <f>Submetering!Z19</f>
        <v>80</v>
      </c>
    </row>
    <row r="20" spans="1:14" x14ac:dyDescent="0.25">
      <c r="A20" s="114" t="s">
        <v>80</v>
      </c>
      <c r="B20" s="72">
        <f t="shared" si="0"/>
        <v>19</v>
      </c>
      <c r="C20" s="73">
        <v>9</v>
      </c>
      <c r="D20" s="72">
        <v>2021</v>
      </c>
      <c r="E20" s="71">
        <f>Submetering!E20+Submetering!F20+Submetering!G20+Submetering!H20+Submetering!I20+Submetering!J20+Submetering!K20</f>
        <v>32618</v>
      </c>
      <c r="F20" s="74">
        <v>0.2</v>
      </c>
      <c r="G20" s="71">
        <f>Submetering!P20</f>
        <v>433</v>
      </c>
      <c r="H20" s="74">
        <v>6.47</v>
      </c>
      <c r="I20" s="71">
        <f>Submetering!T20-Submetering!T20*15%-Submetering!X20</f>
        <v>51318.870999997089</v>
      </c>
      <c r="J20" s="70">
        <v>0.21</v>
      </c>
      <c r="K20" s="71">
        <f>Submetering!N20-Submetering!O20</f>
        <v>54.027999999993881</v>
      </c>
      <c r="L20" s="74">
        <v>7.84</v>
      </c>
      <c r="M20" s="71">
        <f>Submetering!Y20</f>
        <v>61</v>
      </c>
      <c r="N20" s="104">
        <f>Submetering!Z20</f>
        <v>88</v>
      </c>
    </row>
    <row r="21" spans="1:14" x14ac:dyDescent="0.25">
      <c r="A21" s="114" t="s">
        <v>80</v>
      </c>
      <c r="B21" s="72">
        <f t="shared" si="0"/>
        <v>20</v>
      </c>
      <c r="C21" s="73">
        <v>9</v>
      </c>
      <c r="D21" s="72">
        <v>2021</v>
      </c>
      <c r="E21" s="71">
        <f>Submetering!E21+Submetering!F21+Submetering!G21+Submetering!H21+Submetering!I21+Submetering!J21+Submetering!K21</f>
        <v>32180</v>
      </c>
      <c r="F21" s="74">
        <v>0.2</v>
      </c>
      <c r="G21" s="71">
        <f>Submetering!P21</f>
        <v>454</v>
      </c>
      <c r="H21" s="74">
        <v>6.47</v>
      </c>
      <c r="I21" s="71">
        <f>Submetering!T21-Submetering!T21*15%-Submetering!X21</f>
        <v>54864.531599997092</v>
      </c>
      <c r="J21" s="70">
        <v>0.21</v>
      </c>
      <c r="K21" s="71">
        <f>Submetering!N21-Submetering!O21</f>
        <v>52.939000000003944</v>
      </c>
      <c r="L21" s="74">
        <v>7.84</v>
      </c>
      <c r="M21" s="71">
        <f>Submetering!Y21</f>
        <v>66</v>
      </c>
      <c r="N21" s="104">
        <f>Submetering!Z21</f>
        <v>91</v>
      </c>
    </row>
    <row r="22" spans="1:14" x14ac:dyDescent="0.25">
      <c r="A22" s="114" t="s">
        <v>80</v>
      </c>
      <c r="B22" s="72">
        <f t="shared" si="0"/>
        <v>21</v>
      </c>
      <c r="C22" s="73">
        <v>9</v>
      </c>
      <c r="D22" s="72">
        <v>2021</v>
      </c>
      <c r="E22" s="71">
        <f>Submetering!E22+Submetering!F22+Submetering!G22+Submetering!H22+Submetering!I22+Submetering!J22+Submetering!K22</f>
        <v>31681</v>
      </c>
      <c r="F22" s="74">
        <v>0.2</v>
      </c>
      <c r="G22" s="71">
        <f>Submetering!P22</f>
        <v>436</v>
      </c>
      <c r="H22" s="74">
        <v>6.47</v>
      </c>
      <c r="I22" s="71">
        <f>Submetering!T22-Submetering!T22*15%-Submetering!X22</f>
        <v>60993.287400001456</v>
      </c>
      <c r="J22" s="70">
        <v>0.21</v>
      </c>
      <c r="K22" s="71">
        <f>Submetering!N22-Submetering!O22</f>
        <v>58.810999999994237</v>
      </c>
      <c r="L22" s="74">
        <v>7.84</v>
      </c>
      <c r="M22" s="71">
        <f>Submetering!Y22</f>
        <v>85</v>
      </c>
      <c r="N22" s="104">
        <f>Submetering!Z22</f>
        <v>119</v>
      </c>
    </row>
    <row r="23" spans="1:14" x14ac:dyDescent="0.25">
      <c r="A23" s="114" t="s">
        <v>80</v>
      </c>
      <c r="B23" s="72">
        <f t="shared" si="0"/>
        <v>22</v>
      </c>
      <c r="C23" s="73">
        <v>9</v>
      </c>
      <c r="D23" s="72">
        <v>2021</v>
      </c>
      <c r="E23" s="71">
        <f>Submetering!E23+Submetering!F23+Submetering!G23+Submetering!H23+Submetering!I23+Submetering!J23+Submetering!K23</f>
        <v>31663</v>
      </c>
      <c r="F23" s="74">
        <v>0.2</v>
      </c>
      <c r="G23" s="71">
        <f>Submetering!P23</f>
        <v>457</v>
      </c>
      <c r="H23" s="74">
        <v>6.47</v>
      </c>
      <c r="I23" s="71">
        <f>Submetering!T23-Submetering!T23*15%-Submetering!X23</f>
        <v>49464.408600004361</v>
      </c>
      <c r="J23" s="70">
        <v>0.21</v>
      </c>
      <c r="K23" s="71">
        <f>Submetering!N23-Submetering!O23</f>
        <v>92.603000000010979</v>
      </c>
      <c r="L23" s="74">
        <v>7.84</v>
      </c>
      <c r="M23" s="71">
        <f>Submetering!Y23</f>
        <v>91</v>
      </c>
      <c r="N23" s="104">
        <f>Submetering!Z23</f>
        <v>121</v>
      </c>
    </row>
    <row r="24" spans="1:14" x14ac:dyDescent="0.25">
      <c r="A24" s="114" t="s">
        <v>80</v>
      </c>
      <c r="B24" s="72">
        <f t="shared" si="0"/>
        <v>23</v>
      </c>
      <c r="C24" s="73">
        <v>9</v>
      </c>
      <c r="D24" s="72">
        <v>2021</v>
      </c>
      <c r="E24" s="71">
        <f>Submetering!E24+Submetering!F24+Submetering!G24+Submetering!H24+Submetering!I24+Submetering!J24+Submetering!K24</f>
        <v>32795</v>
      </c>
      <c r="F24" s="74">
        <v>0.2</v>
      </c>
      <c r="G24" s="71">
        <f>Submetering!P24</f>
        <v>462</v>
      </c>
      <c r="H24" s="74">
        <v>6.47</v>
      </c>
      <c r="I24" s="71">
        <f>Submetering!T24-Submetering!T24*15%-Submetering!X24</f>
        <v>49089.498399995631</v>
      </c>
      <c r="J24" s="70">
        <v>0.21</v>
      </c>
      <c r="K24" s="71">
        <f>Submetering!N24-Submetering!O24</f>
        <v>104.26999999999498</v>
      </c>
      <c r="L24" s="74">
        <v>7.84</v>
      </c>
      <c r="M24" s="71">
        <f>Submetering!Y24</f>
        <v>101</v>
      </c>
      <c r="N24" s="104">
        <f>Submetering!Z24</f>
        <v>150</v>
      </c>
    </row>
    <row r="25" spans="1:14" x14ac:dyDescent="0.25">
      <c r="A25" s="114" t="s">
        <v>80</v>
      </c>
      <c r="B25" s="72">
        <f t="shared" si="0"/>
        <v>24</v>
      </c>
      <c r="C25" s="73">
        <v>9</v>
      </c>
      <c r="D25" s="72">
        <v>2021</v>
      </c>
      <c r="E25" s="71">
        <f>Submetering!E25+Submetering!F25+Submetering!G25+Submetering!H25+Submetering!I25+Submetering!J25+Submetering!K25</f>
        <v>32110</v>
      </c>
      <c r="F25" s="74">
        <v>0.2</v>
      </c>
      <c r="G25" s="71">
        <f>Submetering!P25</f>
        <v>499</v>
      </c>
      <c r="H25" s="74">
        <v>6.47</v>
      </c>
      <c r="I25" s="71">
        <f>Submetering!T25-Submetering!T25*15%-Submetering!X25</f>
        <v>53844.792400004371</v>
      </c>
      <c r="J25" s="70">
        <v>0.21</v>
      </c>
      <c r="K25" s="71">
        <f>Submetering!N25-Submetering!O25</f>
        <v>44.397999999991043</v>
      </c>
      <c r="L25" s="74">
        <v>7.84</v>
      </c>
      <c r="M25" s="71">
        <f>Submetering!Y25</f>
        <v>93</v>
      </c>
      <c r="N25" s="104">
        <f>Submetering!Z25</f>
        <v>149</v>
      </c>
    </row>
    <row r="26" spans="1:14" x14ac:dyDescent="0.25">
      <c r="A26" s="114" t="s">
        <v>80</v>
      </c>
      <c r="B26" s="72">
        <f>B25+1</f>
        <v>25</v>
      </c>
      <c r="C26" s="73">
        <v>9</v>
      </c>
      <c r="D26" s="72">
        <v>2021</v>
      </c>
      <c r="E26" s="71">
        <f>Submetering!E26+Submetering!F26+Submetering!G26+Submetering!H26+Submetering!I26+Submetering!J26+Submetering!K26</f>
        <v>32295</v>
      </c>
      <c r="F26" s="74">
        <v>0.2</v>
      </c>
      <c r="G26" s="71">
        <f>Submetering!P26</f>
        <v>459</v>
      </c>
      <c r="H26" s="74">
        <v>6.47</v>
      </c>
      <c r="I26" s="71">
        <f>Submetering!T26-Submetering!T26*15%-Submetering!X26</f>
        <v>63005.477999997092</v>
      </c>
      <c r="J26" s="70">
        <v>0.21</v>
      </c>
      <c r="K26" s="71">
        <f>Submetering!N26-Submetering!O26</f>
        <v>69.92399999999634</v>
      </c>
      <c r="L26" s="74">
        <v>7.84</v>
      </c>
      <c r="M26" s="71">
        <f>Submetering!Y26</f>
        <v>120</v>
      </c>
      <c r="N26" s="104">
        <f>Submetering!Z26</f>
        <v>142</v>
      </c>
    </row>
    <row r="27" spans="1:14" x14ac:dyDescent="0.25">
      <c r="A27" s="114" t="s">
        <v>80</v>
      </c>
      <c r="B27" s="72">
        <f t="shared" si="0"/>
        <v>26</v>
      </c>
      <c r="C27" s="73">
        <v>9</v>
      </c>
      <c r="D27" s="72">
        <v>2021</v>
      </c>
      <c r="E27" s="71">
        <f>Submetering!E27+Submetering!F27+Submetering!G27+Submetering!H27+Submetering!I27+Submetering!J27+Submetering!K27</f>
        <v>33251</v>
      </c>
      <c r="F27" s="74">
        <v>0.2</v>
      </c>
      <c r="G27" s="71">
        <f>Submetering!P27</f>
        <v>459</v>
      </c>
      <c r="H27" s="74">
        <v>6.47</v>
      </c>
      <c r="I27" s="71">
        <f>Submetering!T27-Submetering!T27*15%-Submetering!X27</f>
        <v>60323.758999999991</v>
      </c>
      <c r="J27" s="70">
        <v>0.21</v>
      </c>
      <c r="K27" s="71">
        <f>Submetering!N27-Submetering!O27</f>
        <v>76.645000000010441</v>
      </c>
      <c r="L27" s="74">
        <v>7.84</v>
      </c>
      <c r="M27" s="71">
        <f>Submetering!Y27</f>
        <v>125</v>
      </c>
      <c r="N27" s="104">
        <f>Submetering!Z27</f>
        <v>145</v>
      </c>
    </row>
    <row r="28" spans="1:14" x14ac:dyDescent="0.25">
      <c r="A28" s="114" t="s">
        <v>80</v>
      </c>
      <c r="B28" s="72">
        <f t="shared" si="0"/>
        <v>27</v>
      </c>
      <c r="C28" s="73">
        <v>9</v>
      </c>
      <c r="D28" s="72">
        <v>2021</v>
      </c>
      <c r="E28" s="71">
        <f>Submetering!E28+Submetering!F28+Submetering!G28+Submetering!H28+Submetering!I28+Submetering!J28+Submetering!K28</f>
        <v>33246</v>
      </c>
      <c r="F28" s="74">
        <v>0.2</v>
      </c>
      <c r="G28" s="71">
        <f>Submetering!P28</f>
        <v>465</v>
      </c>
      <c r="H28" s="74">
        <v>6.47</v>
      </c>
      <c r="I28" s="71">
        <f>Submetering!T28-Submetering!T28*15%-Submetering!X28</f>
        <v>50053.943599998544</v>
      </c>
      <c r="J28" s="70">
        <v>0.21</v>
      </c>
      <c r="K28" s="71">
        <f>Submetering!N28-Submetering!O28</f>
        <v>72.869999999990796</v>
      </c>
      <c r="L28" s="74">
        <v>7.84</v>
      </c>
      <c r="M28" s="71">
        <f>Submetering!Y28</f>
        <v>96</v>
      </c>
      <c r="N28" s="104">
        <f>Submetering!Z28</f>
        <v>117</v>
      </c>
    </row>
    <row r="29" spans="1:14" x14ac:dyDescent="0.25">
      <c r="A29" s="114" t="s">
        <v>80</v>
      </c>
      <c r="B29" s="72">
        <f t="shared" si="0"/>
        <v>28</v>
      </c>
      <c r="C29" s="73">
        <v>9</v>
      </c>
      <c r="D29" s="72">
        <v>2021</v>
      </c>
      <c r="E29" s="71">
        <f>Submetering!E29+Submetering!F29+Submetering!G29+Submetering!H29+Submetering!I29+Submetering!J29+Submetering!K29</f>
        <v>32152</v>
      </c>
      <c r="F29" s="74">
        <v>0.2</v>
      </c>
      <c r="G29" s="71">
        <f>Submetering!P29</f>
        <v>457</v>
      </c>
      <c r="H29" s="74">
        <v>6.47</v>
      </c>
      <c r="I29" s="71">
        <f>Submetering!T29-Submetering!T29*15%-Submetering!X29</f>
        <v>53385.565000001458</v>
      </c>
      <c r="J29" s="70">
        <v>0.21</v>
      </c>
      <c r="K29" s="71">
        <f>Submetering!N29-Submetering!O29</f>
        <v>67.275000000013279</v>
      </c>
      <c r="L29" s="74">
        <v>7.84</v>
      </c>
      <c r="M29" s="71">
        <f>Submetering!Y29</f>
        <v>104</v>
      </c>
      <c r="N29" s="104">
        <f>Submetering!Z29</f>
        <v>130</v>
      </c>
    </row>
    <row r="30" spans="1:14" x14ac:dyDescent="0.25">
      <c r="A30" s="114" t="s">
        <v>80</v>
      </c>
      <c r="B30" s="72">
        <f t="shared" si="0"/>
        <v>29</v>
      </c>
      <c r="C30" s="73">
        <v>9</v>
      </c>
      <c r="D30" s="72">
        <v>2021</v>
      </c>
      <c r="E30" s="71">
        <f>Submetering!E30+Submetering!F30+Submetering!G30+Submetering!H30+Submetering!I30+Submetering!J30+Submetering!K30</f>
        <v>33645</v>
      </c>
      <c r="F30" s="74">
        <v>0.2</v>
      </c>
      <c r="G30" s="71">
        <f>Submetering!P30</f>
        <v>490</v>
      </c>
      <c r="H30" s="74">
        <v>6.47</v>
      </c>
      <c r="I30" s="71">
        <f>Submetering!T30-Submetering!T30*15%-Submetering!X30</f>
        <v>60385.810999998546</v>
      </c>
      <c r="J30" s="70">
        <v>0.21</v>
      </c>
      <c r="K30" s="71">
        <f>Submetering!N30-Submetering!O30</f>
        <v>77.774999999982356</v>
      </c>
      <c r="L30" s="74">
        <v>7.84</v>
      </c>
      <c r="M30" s="71">
        <f>Submetering!Y30</f>
        <v>115</v>
      </c>
      <c r="N30" s="104">
        <f>Submetering!Z30</f>
        <v>153</v>
      </c>
    </row>
    <row r="31" spans="1:14" ht="15.75" thickBot="1" x14ac:dyDescent="0.3">
      <c r="A31" s="115" t="s">
        <v>80</v>
      </c>
      <c r="B31" s="116">
        <f t="shared" si="0"/>
        <v>30</v>
      </c>
      <c r="C31" s="117">
        <v>9</v>
      </c>
      <c r="D31" s="116">
        <v>2021</v>
      </c>
      <c r="E31" s="108">
        <f>Submetering!E31+Submetering!F31+Submetering!G31+Submetering!H31+Submetering!I31+Submetering!J31+Submetering!K31</f>
        <v>33275</v>
      </c>
      <c r="F31" s="118">
        <v>0.2</v>
      </c>
      <c r="G31" s="108">
        <f>Submetering!P31</f>
        <v>489</v>
      </c>
      <c r="H31" s="118">
        <v>6.47</v>
      </c>
      <c r="I31" s="108">
        <f>Submetering!T31-Submetering!T31*15%-Submetering!X31</f>
        <v>57426.583600002908</v>
      </c>
      <c r="J31" s="107">
        <v>0.21</v>
      </c>
      <c r="K31" s="108">
        <f>Submetering!N31-Submetering!O31</f>
        <v>72.235000000025138</v>
      </c>
      <c r="L31" s="118">
        <v>7.84</v>
      </c>
      <c r="M31" s="108">
        <f>Submetering!Y31</f>
        <v>97</v>
      </c>
      <c r="N31" s="109">
        <f>Submetering!Z31</f>
        <v>157</v>
      </c>
    </row>
    <row r="32" spans="1:14" x14ac:dyDescent="0.25">
      <c r="M32" s="4">
        <f>SUM(M2:M31)</f>
        <v>2383</v>
      </c>
      <c r="N32" s="4">
        <f>SUM(N2:N31)</f>
        <v>3271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2" activePane="bottomRight" state="frozen"/>
      <selection pane="topRight" activeCell="C1" sqref="C1"/>
      <selection pane="bottomLeft" activeCell="A2" sqref="A2"/>
      <selection pane="bottomRight" activeCell="Y22" sqref="Y22:Y3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9</v>
      </c>
      <c r="D2" s="99">
        <v>2021</v>
      </c>
      <c r="E2" s="101">
        <f>'FS-AD Daily '!B6</f>
        <v>5102</v>
      </c>
      <c r="F2" s="101">
        <f>'FS-AD Daily '!C6</f>
        <v>3677</v>
      </c>
      <c r="G2" s="101">
        <f>'FS-AD Daily '!D6</f>
        <v>768</v>
      </c>
      <c r="H2" s="101">
        <f>'FS-AD Daily '!E6</f>
        <v>5854</v>
      </c>
      <c r="I2" s="101">
        <f>'FS-AD Daily '!F6</f>
        <v>6094</v>
      </c>
      <c r="J2" s="101">
        <f>'FS-AD Daily '!G6</f>
        <v>3480</v>
      </c>
      <c r="K2" s="101">
        <f>'FS-AD Daily '!H6</f>
        <v>7958</v>
      </c>
      <c r="L2" s="101">
        <f>'FS-AD Daily '!I6</f>
        <v>2492</v>
      </c>
      <c r="M2" s="101">
        <f>'FS-AD Daily '!J6</f>
        <v>6842</v>
      </c>
      <c r="N2" s="101">
        <f>'FS-AD Daily '!T6</f>
        <v>134.76300000000265</v>
      </c>
      <c r="O2" s="101">
        <f>'FS-AD Daily '!R6</f>
        <v>91.36899999999423</v>
      </c>
      <c r="P2" s="101">
        <f>'FS-AD Daily '!Z6</f>
        <v>422</v>
      </c>
      <c r="Q2" s="101">
        <f>'FS-AD Daily '!V6</f>
        <v>167</v>
      </c>
      <c r="R2" s="101">
        <f>'FS-AD Daily '!W6</f>
        <v>0</v>
      </c>
      <c r="S2" s="101">
        <f>P2-Q2-R2</f>
        <v>255</v>
      </c>
      <c r="T2" s="101">
        <f>'FS-AD Daily '!AD6*3.516</f>
        <v>109460.11199999999</v>
      </c>
      <c r="U2" s="101">
        <f>('FS-AD Daily '!AF6)*1000</f>
        <v>49000</v>
      </c>
      <c r="V2" s="101">
        <f>('FS-AD Daily '!AG6)*1000</f>
        <v>43299.999999995634</v>
      </c>
      <c r="W2" s="101">
        <f>'FS-AD Daily '!AH6*1000</f>
        <v>16700.000000000728</v>
      </c>
      <c r="X2" s="101">
        <f>('FS-AD Daily '!AK6)*1000</f>
        <v>36800.00000000291</v>
      </c>
      <c r="Y2" s="101">
        <v>61</v>
      </c>
      <c r="Z2" s="102">
        <v>102</v>
      </c>
    </row>
    <row r="3" spans="1:26" x14ac:dyDescent="0.25">
      <c r="A3" s="103" t="s">
        <v>80</v>
      </c>
      <c r="B3" s="69">
        <f>B2+1</f>
        <v>2</v>
      </c>
      <c r="C3" s="70">
        <v>9</v>
      </c>
      <c r="D3" s="69">
        <v>2021</v>
      </c>
      <c r="E3" s="71">
        <f>'FS-AD Daily '!B7</f>
        <v>4951</v>
      </c>
      <c r="F3" s="71">
        <f>'FS-AD Daily '!C7</f>
        <v>3804</v>
      </c>
      <c r="G3" s="71">
        <f>'FS-AD Daily '!D7</f>
        <v>776</v>
      </c>
      <c r="H3" s="71">
        <f>'FS-AD Daily '!E7</f>
        <v>6004</v>
      </c>
      <c r="I3" s="71">
        <f>'FS-AD Daily '!F7</f>
        <v>6217</v>
      </c>
      <c r="J3" s="71">
        <f>'FS-AD Daily '!G7</f>
        <v>2729</v>
      </c>
      <c r="K3" s="71">
        <f>'FS-AD Daily '!H7</f>
        <v>7997</v>
      </c>
      <c r="L3" s="71">
        <f>'FS-AD Daily '!I7</f>
        <v>2482</v>
      </c>
      <c r="M3" s="71">
        <f>'FS-AD Daily '!J7</f>
        <v>6881</v>
      </c>
      <c r="N3" s="71">
        <f>'FS-AD Daily '!T7</f>
        <v>137.11800000000585</v>
      </c>
      <c r="O3" s="71">
        <f>'FS-AD Daily '!R7</f>
        <v>90.604999999993197</v>
      </c>
      <c r="P3" s="71">
        <f>'FS-AD Daily '!Z7</f>
        <v>402</v>
      </c>
      <c r="Q3" s="71">
        <f>'FS-AD Daily '!V7</f>
        <v>153.5</v>
      </c>
      <c r="R3" s="71">
        <f>'FS-AD Daily '!W7</f>
        <v>0</v>
      </c>
      <c r="S3" s="71">
        <f t="shared" ref="S3:S31" si="0">P3-Q3-R3</f>
        <v>248.5</v>
      </c>
      <c r="T3" s="71">
        <f>'FS-AD Daily '!AD7*3.516</f>
        <v>108271.704</v>
      </c>
      <c r="U3" s="71">
        <f>('FS-AD Daily '!AF7)*1000</f>
        <v>49199.99999999709</v>
      </c>
      <c r="V3" s="71">
        <f>('FS-AD Daily '!AG7)*1000</f>
        <v>38500</v>
      </c>
      <c r="W3" s="71">
        <f>'FS-AD Daily '!AH7*1000</f>
        <v>16399.999999997817</v>
      </c>
      <c r="X3" s="71">
        <f>('FS-AD Daily '!AK7)*1000</f>
        <v>36099.999999998545</v>
      </c>
      <c r="Y3" s="71">
        <v>58</v>
      </c>
      <c r="Z3" s="104">
        <v>95</v>
      </c>
    </row>
    <row r="4" spans="1:26" x14ac:dyDescent="0.25">
      <c r="A4" s="103" t="s">
        <v>80</v>
      </c>
      <c r="B4" s="69">
        <f t="shared" ref="B4:B31" si="1">B3+1</f>
        <v>3</v>
      </c>
      <c r="C4" s="70">
        <v>9</v>
      </c>
      <c r="D4" s="69">
        <v>2021</v>
      </c>
      <c r="E4" s="71">
        <f>'FS-AD Daily '!B8</f>
        <v>4803</v>
      </c>
      <c r="F4" s="71">
        <f>'FS-AD Daily '!C8</f>
        <v>3631</v>
      </c>
      <c r="G4" s="71">
        <f>'FS-AD Daily '!D8</f>
        <v>777</v>
      </c>
      <c r="H4" s="71">
        <f>'FS-AD Daily '!E8</f>
        <v>5723</v>
      </c>
      <c r="I4" s="71">
        <f>'FS-AD Daily '!F8</f>
        <v>6306</v>
      </c>
      <c r="J4" s="71">
        <f>'FS-AD Daily '!G8</f>
        <v>3223</v>
      </c>
      <c r="K4" s="71">
        <f>'FS-AD Daily '!H8</f>
        <v>7836</v>
      </c>
      <c r="L4" s="71">
        <f>'FS-AD Daily '!I8</f>
        <v>2447</v>
      </c>
      <c r="M4" s="71">
        <f>'FS-AD Daily '!J8</f>
        <v>7004</v>
      </c>
      <c r="N4" s="71">
        <f>'FS-AD Daily '!T8</f>
        <v>138.06899999999951</v>
      </c>
      <c r="O4" s="71">
        <f>'FS-AD Daily '!R8</f>
        <v>93.461000000012973</v>
      </c>
      <c r="P4" s="71">
        <f>'FS-AD Daily '!Z8</f>
        <v>465</v>
      </c>
      <c r="Q4" s="71">
        <f>'FS-AD Daily '!V8</f>
        <v>162.70000000001164</v>
      </c>
      <c r="R4" s="71">
        <f>'FS-AD Daily '!W8</f>
        <v>0</v>
      </c>
      <c r="S4" s="71">
        <f t="shared" si="0"/>
        <v>302.29999999998836</v>
      </c>
      <c r="T4" s="71">
        <f>'FS-AD Daily '!AD8*3.516</f>
        <v>104706.48</v>
      </c>
      <c r="U4" s="71">
        <f>('FS-AD Daily '!AF8)*1000</f>
        <v>46000</v>
      </c>
      <c r="V4" s="71">
        <f>('FS-AD Daily '!AG8)*1000</f>
        <v>36900.000000001455</v>
      </c>
      <c r="W4" s="71">
        <f>'FS-AD Daily '!AH8*1000</f>
        <v>17000</v>
      </c>
      <c r="X4" s="71">
        <f>('FS-AD Daily '!AK8)*1000</f>
        <v>35500</v>
      </c>
      <c r="Y4" s="71">
        <v>54</v>
      </c>
      <c r="Z4" s="104">
        <v>96</v>
      </c>
    </row>
    <row r="5" spans="1:26" x14ac:dyDescent="0.25">
      <c r="A5" s="103" t="s">
        <v>80</v>
      </c>
      <c r="B5" s="69">
        <f t="shared" si="1"/>
        <v>4</v>
      </c>
      <c r="C5" s="70">
        <v>9</v>
      </c>
      <c r="D5" s="69">
        <v>2021</v>
      </c>
      <c r="E5" s="71">
        <f>'FS-AD Daily '!B9</f>
        <v>4798</v>
      </c>
      <c r="F5" s="71">
        <f>'FS-AD Daily '!C9</f>
        <v>3574</v>
      </c>
      <c r="G5" s="71">
        <f>'FS-AD Daily '!D9</f>
        <v>784</v>
      </c>
      <c r="H5" s="71">
        <f>'FS-AD Daily '!E9</f>
        <v>5939</v>
      </c>
      <c r="I5" s="71">
        <f>'FS-AD Daily '!F9</f>
        <v>6159</v>
      </c>
      <c r="J5" s="71">
        <f>'FS-AD Daily '!G9</f>
        <v>2885</v>
      </c>
      <c r="K5" s="71">
        <f>'FS-AD Daily '!H9</f>
        <v>7314</v>
      </c>
      <c r="L5" s="71">
        <f>'FS-AD Daily '!I9</f>
        <v>2467</v>
      </c>
      <c r="M5" s="71">
        <f>'FS-AD Daily '!J9</f>
        <v>6789</v>
      </c>
      <c r="N5" s="71">
        <f>'FS-AD Daily '!T9</f>
        <v>142.63299999999799</v>
      </c>
      <c r="O5" s="71">
        <f>'FS-AD Daily '!R9</f>
        <v>80.086999999986801</v>
      </c>
      <c r="P5" s="71">
        <f>'FS-AD Daily '!Z9</f>
        <v>411</v>
      </c>
      <c r="Q5" s="71">
        <f>'FS-AD Daily '!V9</f>
        <v>156.70000000001164</v>
      </c>
      <c r="R5" s="71">
        <f>'FS-AD Daily '!W9</f>
        <v>0</v>
      </c>
      <c r="S5" s="71">
        <f t="shared" si="0"/>
        <v>254.29999999998836</v>
      </c>
      <c r="T5" s="71">
        <f>'FS-AD Daily '!AD9*3.516</f>
        <v>100427.508</v>
      </c>
      <c r="U5" s="71">
        <f>('FS-AD Daily '!AF9)*1000</f>
        <v>46600.000000005821</v>
      </c>
      <c r="V5" s="71">
        <f>('FS-AD Daily '!AG9)*1000</f>
        <v>34900.000000001455</v>
      </c>
      <c r="W5" s="71">
        <f>'FS-AD Daily '!AH9*1000</f>
        <v>16700.000000000728</v>
      </c>
      <c r="X5" s="71">
        <f>('FS-AD Daily '!AK9)*1000</f>
        <v>36199.99999999709</v>
      </c>
      <c r="Y5" s="71">
        <v>56</v>
      </c>
      <c r="Z5" s="104">
        <v>78</v>
      </c>
    </row>
    <row r="6" spans="1:26" x14ac:dyDescent="0.25">
      <c r="A6" s="103" t="s">
        <v>80</v>
      </c>
      <c r="B6" s="69">
        <f t="shared" si="1"/>
        <v>5</v>
      </c>
      <c r="C6" s="70">
        <v>9</v>
      </c>
      <c r="D6" s="69">
        <v>2021</v>
      </c>
      <c r="E6" s="71">
        <f>'FS-AD Daily '!B10</f>
        <v>4977</v>
      </c>
      <c r="F6" s="71">
        <f>'FS-AD Daily '!C10</f>
        <v>3635</v>
      </c>
      <c r="G6" s="71">
        <f>'FS-AD Daily '!D10</f>
        <v>802</v>
      </c>
      <c r="H6" s="71">
        <f>'FS-AD Daily '!E10</f>
        <v>5819</v>
      </c>
      <c r="I6" s="71">
        <f>'FS-AD Daily '!F10</f>
        <v>6082</v>
      </c>
      <c r="J6" s="71">
        <f>'FS-AD Daily '!G10</f>
        <v>2929</v>
      </c>
      <c r="K6" s="71">
        <f>'FS-AD Daily '!H10</f>
        <v>6472</v>
      </c>
      <c r="L6" s="71">
        <f>'FS-AD Daily '!I10</f>
        <v>2488</v>
      </c>
      <c r="M6" s="71">
        <f>'FS-AD Daily '!J10</f>
        <v>6717</v>
      </c>
      <c r="N6" s="71">
        <f>'FS-AD Daily '!T10</f>
        <v>127.58099999999104</v>
      </c>
      <c r="O6" s="71">
        <f>'FS-AD Daily '!R10</f>
        <v>67.213000000000648</v>
      </c>
      <c r="P6" s="71">
        <f>'FS-AD Daily '!Z10</f>
        <v>422</v>
      </c>
      <c r="Q6" s="71">
        <f>'FS-AD Daily '!V10</f>
        <v>148.5</v>
      </c>
      <c r="R6" s="71">
        <f>'FS-AD Daily '!W10</f>
        <v>0</v>
      </c>
      <c r="S6" s="71">
        <f t="shared" si="0"/>
        <v>273.5</v>
      </c>
      <c r="T6" s="71">
        <f>'FS-AD Daily '!AD10*3.516</f>
        <v>95230.86</v>
      </c>
      <c r="U6" s="71">
        <f>('FS-AD Daily '!AF10)*1000</f>
        <v>45799.999999988358</v>
      </c>
      <c r="V6" s="71">
        <f>('FS-AD Daily '!AG10)*1000</f>
        <v>28900.000000001455</v>
      </c>
      <c r="W6" s="71">
        <f>'FS-AD Daily '!AH10*1000</f>
        <v>16599.999999998545</v>
      </c>
      <c r="X6" s="71">
        <f>('FS-AD Daily '!AK10)*1000</f>
        <v>34300.00000000291</v>
      </c>
      <c r="Y6" s="71">
        <v>80</v>
      </c>
      <c r="Z6" s="104">
        <v>102</v>
      </c>
    </row>
    <row r="7" spans="1:26" x14ac:dyDescent="0.25">
      <c r="A7" s="103" t="s">
        <v>80</v>
      </c>
      <c r="B7" s="69">
        <f t="shared" si="1"/>
        <v>6</v>
      </c>
      <c r="C7" s="70">
        <v>9</v>
      </c>
      <c r="D7" s="69">
        <v>2021</v>
      </c>
      <c r="E7" s="71">
        <f>'FS-AD Daily '!B11</f>
        <v>5570</v>
      </c>
      <c r="F7" s="71">
        <f>'FS-AD Daily '!C11</f>
        <v>3906</v>
      </c>
      <c r="G7" s="71">
        <f>'FS-AD Daily '!D11</f>
        <v>759</v>
      </c>
      <c r="H7" s="71">
        <f>'FS-AD Daily '!E11</f>
        <v>5869</v>
      </c>
      <c r="I7" s="71">
        <f>'FS-AD Daily '!F11</f>
        <v>6153</v>
      </c>
      <c r="J7" s="71">
        <f>'FS-AD Daily '!G11</f>
        <v>3034</v>
      </c>
      <c r="K7" s="71">
        <f>'FS-AD Daily '!H11</f>
        <v>6340</v>
      </c>
      <c r="L7" s="71">
        <f>'FS-AD Daily '!I11</f>
        <v>2382</v>
      </c>
      <c r="M7" s="71">
        <f>'FS-AD Daily '!J11</f>
        <v>6616</v>
      </c>
      <c r="N7" s="71">
        <f>'FS-AD Daily '!T11</f>
        <v>136.37300000001051</v>
      </c>
      <c r="O7" s="71">
        <f>'FS-AD Daily '!R11</f>
        <v>62.920000000009168</v>
      </c>
      <c r="P7" s="71">
        <f>'FS-AD Daily '!Z11</f>
        <v>422</v>
      </c>
      <c r="Q7" s="71">
        <f>'FS-AD Daily '!V11</f>
        <v>155.09999999997672</v>
      </c>
      <c r="R7" s="71">
        <f>'FS-AD Daily '!W11</f>
        <v>0</v>
      </c>
      <c r="S7" s="71">
        <f t="shared" si="0"/>
        <v>266.90000000002328</v>
      </c>
      <c r="T7" s="71">
        <f>'FS-AD Daily '!AD11*3.516</f>
        <v>109804.68000000001</v>
      </c>
      <c r="U7" s="71">
        <f>('FS-AD Daily '!AF11)*1000</f>
        <v>52600.000000005821</v>
      </c>
      <c r="V7" s="71">
        <f>('FS-AD Daily '!AG11)*1000</f>
        <v>35000</v>
      </c>
      <c r="W7" s="71">
        <f>'FS-AD Daily '!AH11*1000</f>
        <v>17000</v>
      </c>
      <c r="X7" s="71">
        <f>('FS-AD Daily '!AK11)*1000</f>
        <v>35500</v>
      </c>
      <c r="Y7" s="71">
        <v>107</v>
      </c>
      <c r="Z7" s="104">
        <v>138</v>
      </c>
    </row>
    <row r="8" spans="1:26" x14ac:dyDescent="0.25">
      <c r="A8" s="103" t="s">
        <v>80</v>
      </c>
      <c r="B8" s="69">
        <f t="shared" si="1"/>
        <v>7</v>
      </c>
      <c r="C8" s="70">
        <v>9</v>
      </c>
      <c r="D8" s="69">
        <v>2021</v>
      </c>
      <c r="E8" s="71">
        <f>'FS-AD Daily '!B12</f>
        <v>5767</v>
      </c>
      <c r="F8" s="71">
        <f>'FS-AD Daily '!C12</f>
        <v>3587</v>
      </c>
      <c r="G8" s="71">
        <f>'FS-AD Daily '!D12</f>
        <v>820</v>
      </c>
      <c r="H8" s="71">
        <f>'FS-AD Daily '!E12</f>
        <v>5851</v>
      </c>
      <c r="I8" s="71">
        <f>'FS-AD Daily '!F12</f>
        <v>6158</v>
      </c>
      <c r="J8" s="71">
        <f>'FS-AD Daily '!G12</f>
        <v>3002</v>
      </c>
      <c r="K8" s="71">
        <f>'FS-AD Daily '!H12</f>
        <v>6291</v>
      </c>
      <c r="L8" s="71">
        <f>'FS-AD Daily '!I12</f>
        <v>2433</v>
      </c>
      <c r="M8" s="71">
        <f>'FS-AD Daily '!J12</f>
        <v>6690</v>
      </c>
      <c r="N8" s="71">
        <f>'FS-AD Daily '!T12</f>
        <v>134.53599999999278</v>
      </c>
      <c r="O8" s="71">
        <f>'FS-AD Daily '!R12</f>
        <v>64.881000000001222</v>
      </c>
      <c r="P8" s="71">
        <f>'FS-AD Daily '!Z12</f>
        <v>405</v>
      </c>
      <c r="Q8" s="71">
        <f>'FS-AD Daily '!V12</f>
        <v>157.59999999997672</v>
      </c>
      <c r="R8" s="71">
        <f>'FS-AD Daily '!W12</f>
        <v>0</v>
      </c>
      <c r="S8" s="71">
        <f t="shared" si="0"/>
        <v>247.40000000002328</v>
      </c>
      <c r="T8" s="71">
        <f>'FS-AD Daily '!AD12*3.516</f>
        <v>119164.272</v>
      </c>
      <c r="U8" s="71">
        <f>('FS-AD Daily '!AF12)*1000</f>
        <v>56699.99999999709</v>
      </c>
      <c r="V8" s="71">
        <f>('FS-AD Daily '!AG12)*1000</f>
        <v>36699.99999999709</v>
      </c>
      <c r="W8" s="71">
        <f>'FS-AD Daily '!AH12*1000</f>
        <v>17000</v>
      </c>
      <c r="X8" s="71">
        <f>('FS-AD Daily '!AK12)*1000</f>
        <v>39199.99999999709</v>
      </c>
      <c r="Y8" s="71">
        <v>103</v>
      </c>
      <c r="Z8" s="104">
        <v>122</v>
      </c>
    </row>
    <row r="9" spans="1:26" x14ac:dyDescent="0.25">
      <c r="A9" s="103" t="s">
        <v>80</v>
      </c>
      <c r="B9" s="69">
        <f t="shared" si="1"/>
        <v>8</v>
      </c>
      <c r="C9" s="70">
        <v>9</v>
      </c>
      <c r="D9" s="69">
        <v>2021</v>
      </c>
      <c r="E9" s="71">
        <f>'FS-AD Daily '!B13</f>
        <v>5745</v>
      </c>
      <c r="F9" s="71">
        <f>'FS-AD Daily '!C13</f>
        <v>3579</v>
      </c>
      <c r="G9" s="71">
        <f>'FS-AD Daily '!D13</f>
        <v>747</v>
      </c>
      <c r="H9" s="71">
        <f>'FS-AD Daily '!E13</f>
        <v>5985</v>
      </c>
      <c r="I9" s="71">
        <f>'FS-AD Daily '!F13</f>
        <v>6093</v>
      </c>
      <c r="J9" s="71">
        <f>'FS-AD Daily '!G13</f>
        <v>2971</v>
      </c>
      <c r="K9" s="71">
        <f>'FS-AD Daily '!H13</f>
        <v>6129</v>
      </c>
      <c r="L9" s="71">
        <f>'FS-AD Daily '!I13</f>
        <v>2440</v>
      </c>
      <c r="M9" s="71">
        <f>'FS-AD Daily '!J13</f>
        <v>6791</v>
      </c>
      <c r="N9" s="71">
        <f>'FS-AD Daily '!T13</f>
        <v>137.85599999999977</v>
      </c>
      <c r="O9" s="71">
        <f>'FS-AD Daily '!R13</f>
        <v>72.38099999998758</v>
      </c>
      <c r="P9" s="71">
        <f>'FS-AD Daily '!Z13</f>
        <v>426</v>
      </c>
      <c r="Q9" s="71">
        <f>'FS-AD Daily '!V13</f>
        <v>162.5</v>
      </c>
      <c r="R9" s="71">
        <f>'FS-AD Daily '!W13</f>
        <v>0</v>
      </c>
      <c r="S9" s="71">
        <f t="shared" si="0"/>
        <v>263.5</v>
      </c>
      <c r="T9" s="71">
        <f>'FS-AD Daily '!AD13*3.516</f>
        <v>121235.196</v>
      </c>
      <c r="U9" s="71">
        <f>('FS-AD Daily '!AF13)*1000</f>
        <v>58100.000000005821</v>
      </c>
      <c r="V9" s="71">
        <f>('FS-AD Daily '!AG13)*1000</f>
        <v>36000</v>
      </c>
      <c r="W9" s="71">
        <f>'FS-AD Daily '!AH13*1000</f>
        <v>18200.000000000728</v>
      </c>
      <c r="X9" s="71">
        <f>('FS-AD Daily '!AK13)*1000</f>
        <v>39600.000000005821</v>
      </c>
      <c r="Y9" s="71">
        <v>82</v>
      </c>
      <c r="Z9" s="104">
        <v>98</v>
      </c>
    </row>
    <row r="10" spans="1:26" x14ac:dyDescent="0.25">
      <c r="A10" s="103" t="s">
        <v>80</v>
      </c>
      <c r="B10" s="69">
        <f t="shared" si="1"/>
        <v>9</v>
      </c>
      <c r="C10" s="70">
        <v>9</v>
      </c>
      <c r="D10" s="69">
        <v>2021</v>
      </c>
      <c r="E10" s="71">
        <f>'FS-AD Daily '!B14</f>
        <v>5594</v>
      </c>
      <c r="F10" s="71">
        <f>'FS-AD Daily '!C14</f>
        <v>3728</v>
      </c>
      <c r="G10" s="71">
        <f>'FS-AD Daily '!D14</f>
        <v>847</v>
      </c>
      <c r="H10" s="71">
        <f>'FS-AD Daily '!E14</f>
        <v>5840</v>
      </c>
      <c r="I10" s="71">
        <f>'FS-AD Daily '!F14</f>
        <v>6052</v>
      </c>
      <c r="J10" s="71">
        <f>'FS-AD Daily '!G14</f>
        <v>2979</v>
      </c>
      <c r="K10" s="71">
        <f>'FS-AD Daily '!H14</f>
        <v>6038</v>
      </c>
      <c r="L10" s="71">
        <f>'FS-AD Daily '!I14</f>
        <v>2461</v>
      </c>
      <c r="M10" s="71">
        <f>'FS-AD Daily '!J14</f>
        <v>6841</v>
      </c>
      <c r="N10" s="71">
        <f>'FS-AD Daily '!T14</f>
        <v>155.56900000001042</v>
      </c>
      <c r="O10" s="71">
        <f>'FS-AD Daily '!R14</f>
        <v>72.499000000000706</v>
      </c>
      <c r="P10" s="71">
        <f>'FS-AD Daily '!Z14</f>
        <v>420</v>
      </c>
      <c r="Q10" s="71">
        <f>'FS-AD Daily '!V14</f>
        <v>158.80000000004657</v>
      </c>
      <c r="R10" s="71">
        <f>'FS-AD Daily '!W14</f>
        <v>0</v>
      </c>
      <c r="S10" s="71">
        <f t="shared" si="0"/>
        <v>261.19999999995343</v>
      </c>
      <c r="T10" s="71">
        <f>'FS-AD Daily '!AD14*3.516</f>
        <v>123998.772</v>
      </c>
      <c r="U10" s="71">
        <f>('FS-AD Daily '!AF14)*1000</f>
        <v>60099.999999991269</v>
      </c>
      <c r="V10" s="71">
        <f>('FS-AD Daily '!AG14)*1000</f>
        <v>36199.99999999709</v>
      </c>
      <c r="W10" s="71">
        <f>'FS-AD Daily '!AH14*1000</f>
        <v>17400.000000001455</v>
      </c>
      <c r="X10" s="71">
        <f>('FS-AD Daily '!AK14)*1000</f>
        <v>38599.999999998545</v>
      </c>
      <c r="Y10" s="71">
        <v>57</v>
      </c>
      <c r="Z10" s="104">
        <v>80</v>
      </c>
    </row>
    <row r="11" spans="1:26" x14ac:dyDescent="0.25">
      <c r="A11" s="103" t="s">
        <v>80</v>
      </c>
      <c r="B11" s="69">
        <f t="shared" si="1"/>
        <v>10</v>
      </c>
      <c r="C11" s="70">
        <v>9</v>
      </c>
      <c r="D11" s="69">
        <v>2021</v>
      </c>
      <c r="E11" s="71">
        <f>'FS-AD Daily '!B15</f>
        <v>5604</v>
      </c>
      <c r="F11" s="71">
        <f>'FS-AD Daily '!C15</f>
        <v>3700</v>
      </c>
      <c r="G11" s="71">
        <f>'FS-AD Daily '!D15</f>
        <v>877</v>
      </c>
      <c r="H11" s="71">
        <f>'FS-AD Daily '!E15</f>
        <v>5951</v>
      </c>
      <c r="I11" s="71">
        <f>'FS-AD Daily '!F15</f>
        <v>6420</v>
      </c>
      <c r="J11" s="71">
        <f>'FS-AD Daily '!G15</f>
        <v>2975</v>
      </c>
      <c r="K11" s="71">
        <f>'FS-AD Daily '!H15</f>
        <v>5852</v>
      </c>
      <c r="L11" s="71">
        <f>'FS-AD Daily '!I15</f>
        <v>2503</v>
      </c>
      <c r="M11" s="71">
        <f>'FS-AD Daily '!J15</f>
        <v>7013</v>
      </c>
      <c r="N11" s="71">
        <f>'FS-AD Daily '!T15</f>
        <v>135.01099999999133</v>
      </c>
      <c r="O11" s="71">
        <f>'FS-AD Daily '!R15</f>
        <v>76.992000000010194</v>
      </c>
      <c r="P11" s="71">
        <f>'FS-AD Daily '!Z15</f>
        <v>467</v>
      </c>
      <c r="Q11" s="71">
        <f>'FS-AD Daily '!V15</f>
        <v>170.79999999998836</v>
      </c>
      <c r="R11" s="71">
        <f>'FS-AD Daily '!W15</f>
        <v>0</v>
      </c>
      <c r="S11" s="71">
        <f t="shared" si="0"/>
        <v>296.20000000001164</v>
      </c>
      <c r="T11" s="71">
        <f>'FS-AD Daily '!AD15*3.516</f>
        <v>125584.488</v>
      </c>
      <c r="U11" s="71">
        <f>('FS-AD Daily '!AF15)*1000</f>
        <v>61100.000000005821</v>
      </c>
      <c r="V11" s="71">
        <f>('FS-AD Daily '!AG15)*1000</f>
        <v>36000</v>
      </c>
      <c r="W11" s="71">
        <f>'FS-AD Daily '!AH15*1000</f>
        <v>18500</v>
      </c>
      <c r="X11" s="71">
        <f>('FS-AD Daily '!AK15)*1000</f>
        <v>39000</v>
      </c>
      <c r="Y11" s="71">
        <v>49</v>
      </c>
      <c r="Z11" s="104">
        <v>72</v>
      </c>
    </row>
    <row r="12" spans="1:26" x14ac:dyDescent="0.25">
      <c r="A12" s="103" t="s">
        <v>80</v>
      </c>
      <c r="B12" s="69">
        <f t="shared" si="1"/>
        <v>11</v>
      </c>
      <c r="C12" s="70">
        <v>9</v>
      </c>
      <c r="D12" s="69">
        <v>2021</v>
      </c>
      <c r="E12" s="71">
        <f>'FS-AD Daily '!B16</f>
        <v>5434</v>
      </c>
      <c r="F12" s="71">
        <f>'FS-AD Daily '!C16</f>
        <v>4046</v>
      </c>
      <c r="G12" s="71">
        <f>'FS-AD Daily '!D16</f>
        <v>920</v>
      </c>
      <c r="H12" s="71">
        <f>'FS-AD Daily '!E16</f>
        <v>5980</v>
      </c>
      <c r="I12" s="71">
        <f>'FS-AD Daily '!F16</f>
        <v>6066</v>
      </c>
      <c r="J12" s="71">
        <f>'FS-AD Daily '!G16</f>
        <v>2798</v>
      </c>
      <c r="K12" s="71">
        <f>'FS-AD Daily '!H16</f>
        <v>5782</v>
      </c>
      <c r="L12" s="71">
        <f>'FS-AD Daily '!I16</f>
        <v>2530</v>
      </c>
      <c r="M12" s="71">
        <f>'FS-AD Daily '!J16</f>
        <v>6475</v>
      </c>
      <c r="N12" s="71">
        <f>'FS-AD Daily '!T16</f>
        <v>124.05700000000434</v>
      </c>
      <c r="O12" s="71">
        <f>'FS-AD Daily '!R16</f>
        <v>58.028999999995904</v>
      </c>
      <c r="P12" s="71">
        <f>'FS-AD Daily '!Z16</f>
        <v>433</v>
      </c>
      <c r="Q12" s="71">
        <f>'FS-AD Daily '!V16</f>
        <v>155.70000000001164</v>
      </c>
      <c r="R12" s="71">
        <f>'FS-AD Daily '!W16</f>
        <v>0</v>
      </c>
      <c r="S12" s="71">
        <f t="shared" si="0"/>
        <v>277.29999999998836</v>
      </c>
      <c r="T12" s="71">
        <f>'FS-AD Daily '!AD16*3.516</f>
        <v>119783.088</v>
      </c>
      <c r="U12" s="71">
        <f>('FS-AD Daily '!AF16)*1000</f>
        <v>58699.99999999709</v>
      </c>
      <c r="V12" s="71">
        <f>('FS-AD Daily '!AG16)*1000</f>
        <v>34600.000000005821</v>
      </c>
      <c r="W12" s="71">
        <f>'FS-AD Daily '!AH16*1000</f>
        <v>18099.999999998545</v>
      </c>
      <c r="X12" s="71">
        <f>('FS-AD Daily '!AK16)*1000</f>
        <v>37400.000000001455</v>
      </c>
      <c r="Y12" s="71">
        <v>58</v>
      </c>
      <c r="Z12" s="104">
        <v>80</v>
      </c>
    </row>
    <row r="13" spans="1:26" x14ac:dyDescent="0.25">
      <c r="A13" s="103" t="s">
        <v>80</v>
      </c>
      <c r="B13" s="69">
        <f t="shared" si="1"/>
        <v>12</v>
      </c>
      <c r="C13" s="70">
        <v>9</v>
      </c>
      <c r="D13" s="69">
        <v>2021</v>
      </c>
      <c r="E13" s="71">
        <f>'FS-AD Daily '!B17</f>
        <v>5495</v>
      </c>
      <c r="F13" s="71">
        <f>'FS-AD Daily '!C17</f>
        <v>4007</v>
      </c>
      <c r="G13" s="71">
        <f>'FS-AD Daily '!D17</f>
        <v>846</v>
      </c>
      <c r="H13" s="71">
        <f>'FS-AD Daily '!E17</f>
        <v>5789</v>
      </c>
      <c r="I13" s="71">
        <f>'FS-AD Daily '!F17</f>
        <v>6083</v>
      </c>
      <c r="J13" s="71">
        <f>'FS-AD Daily '!G17</f>
        <v>2984</v>
      </c>
      <c r="K13" s="71">
        <f>'FS-AD Daily '!H17</f>
        <v>5750</v>
      </c>
      <c r="L13" s="71">
        <f>'FS-AD Daily '!I17</f>
        <v>2581</v>
      </c>
      <c r="M13" s="71">
        <f>'FS-AD Daily '!J17</f>
        <v>6701</v>
      </c>
      <c r="N13" s="71">
        <f>'FS-AD Daily '!T17</f>
        <v>129.63199999999415</v>
      </c>
      <c r="O13" s="71">
        <f>'FS-AD Daily '!R17</f>
        <v>70.469000000000051</v>
      </c>
      <c r="P13" s="71">
        <f>'FS-AD Daily '!Z17</f>
        <v>445</v>
      </c>
      <c r="Q13" s="71">
        <f>'FS-AD Daily '!V17</f>
        <v>156.29999999998836</v>
      </c>
      <c r="R13" s="71">
        <f>'FS-AD Daily '!W17</f>
        <v>0</v>
      </c>
      <c r="S13" s="71">
        <f t="shared" si="0"/>
        <v>288.70000000001164</v>
      </c>
      <c r="T13" s="71">
        <f>'FS-AD Daily '!AD17*3.516</f>
        <v>120953.916</v>
      </c>
      <c r="U13" s="71">
        <f>('FS-AD Daily '!AF17)*1000</f>
        <v>57900.000000008731</v>
      </c>
      <c r="V13" s="71">
        <f>('FS-AD Daily '!AG17)*1000</f>
        <v>34500</v>
      </c>
      <c r="W13" s="71">
        <f>'FS-AD Daily '!AH17*1000</f>
        <v>19200.000000000728</v>
      </c>
      <c r="X13" s="71">
        <f>('FS-AD Daily '!AK17)*1000</f>
        <v>37599.999999998545</v>
      </c>
      <c r="Y13" s="71">
        <v>74</v>
      </c>
      <c r="Z13" s="104">
        <v>92</v>
      </c>
    </row>
    <row r="14" spans="1:26" x14ac:dyDescent="0.25">
      <c r="A14" s="103" t="s">
        <v>80</v>
      </c>
      <c r="B14" s="69">
        <f t="shared" si="1"/>
        <v>13</v>
      </c>
      <c r="C14" s="70">
        <v>9</v>
      </c>
      <c r="D14" s="69">
        <v>2021</v>
      </c>
      <c r="E14" s="71">
        <f>'FS-AD Daily '!B18</f>
        <v>5392</v>
      </c>
      <c r="F14" s="71">
        <f>'FS-AD Daily '!C18</f>
        <v>3875</v>
      </c>
      <c r="G14" s="71">
        <f>'FS-AD Daily '!D18</f>
        <v>940</v>
      </c>
      <c r="H14" s="71">
        <f>'FS-AD Daily '!E18</f>
        <v>5662</v>
      </c>
      <c r="I14" s="71">
        <f>'FS-AD Daily '!F18</f>
        <v>6014</v>
      </c>
      <c r="J14" s="71">
        <f>'FS-AD Daily '!G18</f>
        <v>2988</v>
      </c>
      <c r="K14" s="71">
        <f>'FS-AD Daily '!H18</f>
        <v>5706</v>
      </c>
      <c r="L14" s="71">
        <f>'FS-AD Daily '!I18</f>
        <v>2493</v>
      </c>
      <c r="M14" s="71">
        <f>'FS-AD Daily '!J18</f>
        <v>7153</v>
      </c>
      <c r="N14" s="71">
        <f>'FS-AD Daily '!T18</f>
        <v>124.64400000001115</v>
      </c>
      <c r="O14" s="71">
        <f>'FS-AD Daily '!R18</f>
        <v>67.468000000005304</v>
      </c>
      <c r="P14" s="71">
        <f>'FS-AD Daily '!Z18</f>
        <v>436</v>
      </c>
      <c r="Q14" s="71">
        <f>'FS-AD Daily '!V18</f>
        <v>169.39999999996508</v>
      </c>
      <c r="R14" s="71">
        <f>'FS-AD Daily '!W18</f>
        <v>0</v>
      </c>
      <c r="S14" s="71">
        <f t="shared" si="0"/>
        <v>266.60000000003492</v>
      </c>
      <c r="T14" s="71">
        <f>'FS-AD Daily '!AD18*3.516</f>
        <v>123176.02800000001</v>
      </c>
      <c r="U14" s="71">
        <f>('FS-AD Daily '!AF18)*1000</f>
        <v>59699.99999999709</v>
      </c>
      <c r="V14" s="71">
        <f>('FS-AD Daily '!AG18)*1000</f>
        <v>35699.99999999709</v>
      </c>
      <c r="W14" s="71">
        <f>'FS-AD Daily '!AH18*1000</f>
        <v>18500</v>
      </c>
      <c r="X14" s="71">
        <f>('FS-AD Daily '!AK18)*1000</f>
        <v>37900.000000001455</v>
      </c>
      <c r="Y14" s="71">
        <v>74</v>
      </c>
      <c r="Z14" s="104">
        <v>96</v>
      </c>
    </row>
    <row r="15" spans="1:26" x14ac:dyDescent="0.25">
      <c r="A15" s="103" t="s">
        <v>80</v>
      </c>
      <c r="B15" s="69">
        <f t="shared" si="1"/>
        <v>14</v>
      </c>
      <c r="C15" s="70">
        <v>9</v>
      </c>
      <c r="D15" s="69">
        <v>2021</v>
      </c>
      <c r="E15" s="71">
        <f>'FS-AD Daily '!B19</f>
        <v>5744</v>
      </c>
      <c r="F15" s="71">
        <f>'FS-AD Daily '!C19</f>
        <v>4129</v>
      </c>
      <c r="G15" s="71">
        <f>'FS-AD Daily '!D19</f>
        <v>758</v>
      </c>
      <c r="H15" s="71">
        <f>'FS-AD Daily '!E19</f>
        <v>5759</v>
      </c>
      <c r="I15" s="71">
        <f>'FS-AD Daily '!F19</f>
        <v>6095</v>
      </c>
      <c r="J15" s="71">
        <f>'FS-AD Daily '!G19</f>
        <v>3047</v>
      </c>
      <c r="K15" s="71">
        <f>'FS-AD Daily '!H19</f>
        <v>5755</v>
      </c>
      <c r="L15" s="71">
        <f>'FS-AD Daily '!I19</f>
        <v>2529</v>
      </c>
      <c r="M15" s="71">
        <f>'FS-AD Daily '!J19</f>
        <v>7307</v>
      </c>
      <c r="N15" s="71">
        <f>'FS-AD Daily '!T19</f>
        <v>136.56999999998516</v>
      </c>
      <c r="O15" s="71">
        <f>'FS-AD Daily '!R19</f>
        <v>41.57999999999538</v>
      </c>
      <c r="P15" s="71">
        <f>'FS-AD Daily '!Z19</f>
        <v>444</v>
      </c>
      <c r="Q15" s="71">
        <f>'FS-AD Daily '!V19</f>
        <v>156.60000000003492</v>
      </c>
      <c r="R15" s="71">
        <f>'FS-AD Daily '!W19</f>
        <v>0</v>
      </c>
      <c r="S15" s="71">
        <f t="shared" si="0"/>
        <v>287.39999999996508</v>
      </c>
      <c r="T15" s="71">
        <f>'FS-AD Daily '!AD19*3.516</f>
        <v>121512.96000000001</v>
      </c>
      <c r="U15" s="71">
        <f>('FS-AD Daily '!AF19)*1000</f>
        <v>59099.999999991269</v>
      </c>
      <c r="V15" s="71">
        <f>('FS-AD Daily '!AG19)*1000</f>
        <v>35099.999999998545</v>
      </c>
      <c r="W15" s="71">
        <f>'FS-AD Daily '!AH19*1000</f>
        <v>19099.999999998545</v>
      </c>
      <c r="X15" s="71">
        <f>('FS-AD Daily '!AK19)*1000</f>
        <v>39000</v>
      </c>
      <c r="Y15" s="71">
        <v>65</v>
      </c>
      <c r="Z15" s="104">
        <v>80</v>
      </c>
    </row>
    <row r="16" spans="1:26" x14ac:dyDescent="0.25">
      <c r="A16" s="103" t="s">
        <v>80</v>
      </c>
      <c r="B16" s="69">
        <f t="shared" si="1"/>
        <v>15</v>
      </c>
      <c r="C16" s="70">
        <v>9</v>
      </c>
      <c r="D16" s="69">
        <v>2021</v>
      </c>
      <c r="E16" s="71">
        <f>'FS-AD Daily '!B20</f>
        <v>5185</v>
      </c>
      <c r="F16" s="71">
        <f>'FS-AD Daily '!C20</f>
        <v>4272</v>
      </c>
      <c r="G16" s="71">
        <f>'FS-AD Daily '!D20</f>
        <v>848</v>
      </c>
      <c r="H16" s="71">
        <f>'FS-AD Daily '!E20</f>
        <v>5765</v>
      </c>
      <c r="I16" s="71">
        <f>'FS-AD Daily '!F20</f>
        <v>6075</v>
      </c>
      <c r="J16" s="71">
        <f>'FS-AD Daily '!G20</f>
        <v>3076</v>
      </c>
      <c r="K16" s="71">
        <f>'FS-AD Daily '!H20</f>
        <v>6503</v>
      </c>
      <c r="L16" s="71">
        <f>'FS-AD Daily '!I20</f>
        <v>2524</v>
      </c>
      <c r="M16" s="71">
        <f>'FS-AD Daily '!J20</f>
        <v>7000</v>
      </c>
      <c r="N16" s="71">
        <f>'FS-AD Daily '!T20</f>
        <v>149.83900000001449</v>
      </c>
      <c r="O16" s="71">
        <f>'FS-AD Daily '!R20</f>
        <v>91.68699999999717</v>
      </c>
      <c r="P16" s="71">
        <f>'FS-AD Daily '!Z20</f>
        <v>447</v>
      </c>
      <c r="Q16" s="71">
        <f>'FS-AD Daily '!V20</f>
        <v>158.20000000001164</v>
      </c>
      <c r="R16" s="71">
        <f>'FS-AD Daily '!W20</f>
        <v>0</v>
      </c>
      <c r="S16" s="71">
        <f t="shared" si="0"/>
        <v>288.79999999998836</v>
      </c>
      <c r="T16" s="71">
        <f>'FS-AD Daily '!AD20*3.516</f>
        <v>121337.16</v>
      </c>
      <c r="U16" s="71">
        <f>('FS-AD Daily '!AF20)*1000</f>
        <v>58800.00000000291</v>
      </c>
      <c r="V16" s="71">
        <f>('FS-AD Daily '!AG20)*1000</f>
        <v>37500</v>
      </c>
      <c r="W16" s="71">
        <f>'FS-AD Daily '!AH20*1000</f>
        <v>18400.000000001455</v>
      </c>
      <c r="X16" s="71">
        <f>('FS-AD Daily '!AK20)*1000</f>
        <v>37799.999999995634</v>
      </c>
      <c r="Y16" s="71">
        <v>83</v>
      </c>
      <c r="Z16" s="104">
        <v>112</v>
      </c>
    </row>
    <row r="17" spans="1:26" x14ac:dyDescent="0.25">
      <c r="A17" s="103" t="s">
        <v>80</v>
      </c>
      <c r="B17" s="69">
        <f t="shared" si="1"/>
        <v>16</v>
      </c>
      <c r="C17" s="70">
        <v>9</v>
      </c>
      <c r="D17" s="69">
        <v>2021</v>
      </c>
      <c r="E17" s="71">
        <f>'FS-AD Daily '!B21</f>
        <v>5520</v>
      </c>
      <c r="F17" s="71">
        <f>'FS-AD Daily '!C21</f>
        <v>4686</v>
      </c>
      <c r="G17" s="71">
        <f>'FS-AD Daily '!D21</f>
        <v>1161</v>
      </c>
      <c r="H17" s="71">
        <f>'FS-AD Daily '!E21</f>
        <v>5933</v>
      </c>
      <c r="I17" s="71">
        <f>'FS-AD Daily '!F21</f>
        <v>6406</v>
      </c>
      <c r="J17" s="71">
        <f>'FS-AD Daily '!G21</f>
        <v>3204</v>
      </c>
      <c r="K17" s="71">
        <f>'FS-AD Daily '!H21</f>
        <v>7488</v>
      </c>
      <c r="L17" s="71">
        <f>'FS-AD Daily '!I21</f>
        <v>2583</v>
      </c>
      <c r="M17" s="71">
        <f>'FS-AD Daily '!J21</f>
        <v>6493</v>
      </c>
      <c r="N17" s="71">
        <f>'FS-AD Daily '!T21</f>
        <v>151.64299999999275</v>
      </c>
      <c r="O17" s="71">
        <f>'FS-AD Daily '!R21</f>
        <v>130.078999999997</v>
      </c>
      <c r="P17" s="71">
        <f>'FS-AD Daily '!Z21</f>
        <v>451</v>
      </c>
      <c r="Q17" s="71">
        <f>'FS-AD Daily '!V21</f>
        <v>160.89999999996508</v>
      </c>
      <c r="R17" s="71">
        <f>'FS-AD Daily '!W21</f>
        <v>0</v>
      </c>
      <c r="S17" s="71">
        <f t="shared" si="0"/>
        <v>290.10000000003492</v>
      </c>
      <c r="T17" s="71">
        <f>'FS-AD Daily '!AD21*3.516</f>
        <v>108700.656</v>
      </c>
      <c r="U17" s="71">
        <f>('FS-AD Daily '!AF21)*1000</f>
        <v>51800.00000000291</v>
      </c>
      <c r="V17" s="71">
        <f>('FS-AD Daily '!AG21)*1000</f>
        <v>35500</v>
      </c>
      <c r="W17" s="71">
        <f>'FS-AD Daily '!AH21*1000</f>
        <v>17900.000000001455</v>
      </c>
      <c r="X17" s="71">
        <f>('FS-AD Daily '!AK21)*1000</f>
        <v>36000</v>
      </c>
      <c r="Y17" s="71">
        <v>61</v>
      </c>
      <c r="Z17" s="104">
        <v>96</v>
      </c>
    </row>
    <row r="18" spans="1:26" x14ac:dyDescent="0.25">
      <c r="A18" s="103" t="s">
        <v>80</v>
      </c>
      <c r="B18" s="69">
        <f t="shared" si="1"/>
        <v>17</v>
      </c>
      <c r="C18" s="70">
        <v>9</v>
      </c>
      <c r="D18" s="69">
        <v>2021</v>
      </c>
      <c r="E18" s="71">
        <f>'FS-AD Daily '!B22</f>
        <v>5380</v>
      </c>
      <c r="F18" s="71">
        <f>'FS-AD Daily '!C22</f>
        <v>4142</v>
      </c>
      <c r="G18" s="71">
        <f>'FS-AD Daily '!D22</f>
        <v>906</v>
      </c>
      <c r="H18" s="71">
        <f>'FS-AD Daily '!E22</f>
        <v>5715</v>
      </c>
      <c r="I18" s="71">
        <f>'FS-AD Daily '!F22</f>
        <v>6519</v>
      </c>
      <c r="J18" s="71">
        <f>'FS-AD Daily '!G22</f>
        <v>3116</v>
      </c>
      <c r="K18" s="71">
        <f>'FS-AD Daily '!H22</f>
        <v>7324</v>
      </c>
      <c r="L18" s="71">
        <f>'FS-AD Daily '!I22</f>
        <v>2521</v>
      </c>
      <c r="M18" s="71">
        <f>'FS-AD Daily '!J22</f>
        <v>7232</v>
      </c>
      <c r="N18" s="71">
        <f>'FS-AD Daily '!T22</f>
        <v>122.33699999999953</v>
      </c>
      <c r="O18" s="71">
        <f>'FS-AD Daily '!R22</f>
        <v>95.34800000001178</v>
      </c>
      <c r="P18" s="71">
        <f>'FS-AD Daily '!Z22</f>
        <v>481</v>
      </c>
      <c r="Q18" s="71">
        <f>'FS-AD Daily '!V22</f>
        <v>163.60000000003492</v>
      </c>
      <c r="R18" s="71">
        <f>'FS-AD Daily '!W22</f>
        <v>0</v>
      </c>
      <c r="S18" s="71">
        <f t="shared" si="0"/>
        <v>317.39999999996508</v>
      </c>
      <c r="T18" s="71">
        <f>'FS-AD Daily '!AD22*3.516</f>
        <v>119202.948</v>
      </c>
      <c r="U18" s="71">
        <f>('FS-AD Daily '!AF22)*1000</f>
        <v>56199.99999999709</v>
      </c>
      <c r="V18" s="71">
        <f>('FS-AD Daily '!AG22)*1000</f>
        <v>39099.999999998545</v>
      </c>
      <c r="W18" s="71">
        <f>'FS-AD Daily '!AH22*1000</f>
        <v>18799.999999999272</v>
      </c>
      <c r="X18" s="71">
        <f>('FS-AD Daily '!AK22)*1000</f>
        <v>39300.00000000291</v>
      </c>
      <c r="Y18" s="71">
        <v>57</v>
      </c>
      <c r="Z18" s="104">
        <v>90</v>
      </c>
    </row>
    <row r="19" spans="1:26" x14ac:dyDescent="0.25">
      <c r="A19" s="103" t="s">
        <v>80</v>
      </c>
      <c r="B19" s="69">
        <f t="shared" si="1"/>
        <v>18</v>
      </c>
      <c r="C19" s="70">
        <v>9</v>
      </c>
      <c r="D19" s="69">
        <v>2021</v>
      </c>
      <c r="E19" s="71">
        <f>'FS-AD Daily '!B23</f>
        <v>5314</v>
      </c>
      <c r="F19" s="71">
        <f>'FS-AD Daily '!C23</f>
        <v>3995</v>
      </c>
      <c r="G19" s="71">
        <f>'FS-AD Daily '!D23</f>
        <v>886</v>
      </c>
      <c r="H19" s="71">
        <f>'FS-AD Daily '!E23</f>
        <v>5843</v>
      </c>
      <c r="I19" s="71">
        <f>'FS-AD Daily '!F23</f>
        <v>6051</v>
      </c>
      <c r="J19" s="71">
        <f>'FS-AD Daily '!G23</f>
        <v>2896</v>
      </c>
      <c r="K19" s="71">
        <f>'FS-AD Daily '!H23</f>
        <v>6917</v>
      </c>
      <c r="L19" s="71">
        <f>'FS-AD Daily '!I23</f>
        <v>2483</v>
      </c>
      <c r="M19" s="71">
        <f>'FS-AD Daily '!J23</f>
        <v>6665</v>
      </c>
      <c r="N19" s="71">
        <f>'FS-AD Daily '!T23</f>
        <v>183.52000000000044</v>
      </c>
      <c r="O19" s="71">
        <f>'FS-AD Daily '!R23</f>
        <v>79.223999999988337</v>
      </c>
      <c r="P19" s="71">
        <f>'FS-AD Daily '!Z23</f>
        <v>440</v>
      </c>
      <c r="Q19" s="71">
        <f>'FS-AD Daily '!V23</f>
        <v>161.79999999998836</v>
      </c>
      <c r="R19" s="71">
        <f>'FS-AD Daily '!W23</f>
        <v>0</v>
      </c>
      <c r="S19" s="71">
        <f t="shared" si="0"/>
        <v>278.20000000001164</v>
      </c>
      <c r="T19" s="71">
        <f>'FS-AD Daily '!AD23*3.516</f>
        <v>105247.944</v>
      </c>
      <c r="U19" s="71">
        <f>('FS-AD Daily '!AF23)*1000</f>
        <v>49400.000000008731</v>
      </c>
      <c r="V19" s="71">
        <f>('FS-AD Daily '!AG23)*1000</f>
        <v>34600.000000005821</v>
      </c>
      <c r="W19" s="71">
        <f>'FS-AD Daily '!AH23*1000</f>
        <v>18200.000000000728</v>
      </c>
      <c r="X19" s="71">
        <f>('FS-AD Daily '!AK23)*1000</f>
        <v>36299.999999995634</v>
      </c>
      <c r="Y19" s="71">
        <v>50</v>
      </c>
      <c r="Z19" s="104">
        <v>80</v>
      </c>
    </row>
    <row r="20" spans="1:26" x14ac:dyDescent="0.25">
      <c r="A20" s="103" t="s">
        <v>80</v>
      </c>
      <c r="B20" s="69">
        <f t="shared" si="1"/>
        <v>19</v>
      </c>
      <c r="C20" s="70">
        <v>9</v>
      </c>
      <c r="D20" s="69">
        <v>2021</v>
      </c>
      <c r="E20" s="71">
        <f>'FS-AD Daily '!B24</f>
        <v>5567</v>
      </c>
      <c r="F20" s="71">
        <f>'FS-AD Daily '!C24</f>
        <v>4129</v>
      </c>
      <c r="G20" s="71">
        <f>'FS-AD Daily '!D24</f>
        <v>890</v>
      </c>
      <c r="H20" s="71">
        <f>'FS-AD Daily '!E24</f>
        <v>5809</v>
      </c>
      <c r="I20" s="71">
        <f>'FS-AD Daily '!F24</f>
        <v>6082</v>
      </c>
      <c r="J20" s="71">
        <f>'FS-AD Daily '!G24</f>
        <v>2979</v>
      </c>
      <c r="K20" s="71">
        <f>'FS-AD Daily '!H24</f>
        <v>7162</v>
      </c>
      <c r="L20" s="71">
        <f>'FS-AD Daily '!I24</f>
        <v>2545</v>
      </c>
      <c r="M20" s="71">
        <f>'FS-AD Daily '!J24</f>
        <v>6680</v>
      </c>
      <c r="N20" s="71">
        <f>'FS-AD Daily '!T24</f>
        <v>122.27099999999336</v>
      </c>
      <c r="O20" s="71">
        <f>'FS-AD Daily '!R24</f>
        <v>68.242999999999483</v>
      </c>
      <c r="P20" s="71">
        <f>'FS-AD Daily '!Z24</f>
        <v>433</v>
      </c>
      <c r="Q20" s="71">
        <f>'FS-AD Daily '!V24</f>
        <v>156.70000000001164</v>
      </c>
      <c r="R20" s="71">
        <f>'FS-AD Daily '!W24</f>
        <v>0</v>
      </c>
      <c r="S20" s="71">
        <f t="shared" si="0"/>
        <v>276.29999999998836</v>
      </c>
      <c r="T20" s="71">
        <f>'FS-AD Daily '!AD24*3.516</f>
        <v>103669.26</v>
      </c>
      <c r="U20" s="71">
        <f>('FS-AD Daily '!AF24)*1000</f>
        <v>49299.999999988358</v>
      </c>
      <c r="V20" s="71">
        <f>('FS-AD Daily '!AG24)*1000</f>
        <v>33199.99999999709</v>
      </c>
      <c r="W20" s="71">
        <f>'FS-AD Daily '!AH24*1000</f>
        <v>17799.999999999272</v>
      </c>
      <c r="X20" s="71">
        <f>('FS-AD Daily '!AK24)*1000</f>
        <v>36800.00000000291</v>
      </c>
      <c r="Y20" s="71">
        <v>61</v>
      </c>
      <c r="Z20" s="104">
        <v>88</v>
      </c>
    </row>
    <row r="21" spans="1:26" x14ac:dyDescent="0.25">
      <c r="A21" s="103" t="s">
        <v>80</v>
      </c>
      <c r="B21" s="69">
        <f t="shared" si="1"/>
        <v>20</v>
      </c>
      <c r="C21" s="70">
        <v>9</v>
      </c>
      <c r="D21" s="69">
        <v>2021</v>
      </c>
      <c r="E21" s="71">
        <f>'FS-AD Daily '!B25</f>
        <v>5469</v>
      </c>
      <c r="F21" s="71">
        <f>'FS-AD Daily '!C25</f>
        <v>4258</v>
      </c>
      <c r="G21" s="71">
        <f>'FS-AD Daily '!D25</f>
        <v>925</v>
      </c>
      <c r="H21" s="71">
        <f>'FS-AD Daily '!E25</f>
        <v>5644</v>
      </c>
      <c r="I21" s="71">
        <f>'FS-AD Daily '!F25</f>
        <v>5891</v>
      </c>
      <c r="J21" s="71">
        <f>'FS-AD Daily '!G25</f>
        <v>2904</v>
      </c>
      <c r="K21" s="71">
        <f>'FS-AD Daily '!H25</f>
        <v>7089</v>
      </c>
      <c r="L21" s="71">
        <f>'FS-AD Daily '!I25</f>
        <v>2442</v>
      </c>
      <c r="M21" s="71">
        <f>'FS-AD Daily '!J25</f>
        <v>6672</v>
      </c>
      <c r="N21" s="71">
        <f>'FS-AD Daily '!T25</f>
        <v>126.09400000000824</v>
      </c>
      <c r="O21" s="71">
        <f>'FS-AD Daily '!R25</f>
        <v>73.155000000004293</v>
      </c>
      <c r="P21" s="71">
        <f>'FS-AD Daily '!Z25</f>
        <v>454</v>
      </c>
      <c r="Q21" s="71">
        <f>'FS-AD Daily '!V25</f>
        <v>153.29999999998836</v>
      </c>
      <c r="R21" s="71">
        <f>'FS-AD Daily '!W25</f>
        <v>0</v>
      </c>
      <c r="S21" s="71">
        <f t="shared" si="0"/>
        <v>300.70000000001164</v>
      </c>
      <c r="T21" s="71">
        <f>'FS-AD Daily '!AD25*3.516</f>
        <v>109017.09600000001</v>
      </c>
      <c r="U21" s="71">
        <f>('FS-AD Daily '!AF25)*1000</f>
        <v>52300.00000000291</v>
      </c>
      <c r="V21" s="71">
        <f>('FS-AD Daily '!AG25)*1000</f>
        <v>35400.000000001455</v>
      </c>
      <c r="W21" s="71">
        <f>'FS-AD Daily '!AH25*1000</f>
        <v>17399.999999997817</v>
      </c>
      <c r="X21" s="71">
        <f>('FS-AD Daily '!AK25)*1000</f>
        <v>37800.00000000291</v>
      </c>
      <c r="Y21" s="71">
        <v>66</v>
      </c>
      <c r="Z21" s="104">
        <v>91</v>
      </c>
    </row>
    <row r="22" spans="1:26" x14ac:dyDescent="0.25">
      <c r="A22" s="103" t="s">
        <v>80</v>
      </c>
      <c r="B22" s="69">
        <f t="shared" si="1"/>
        <v>21</v>
      </c>
      <c r="C22" s="70">
        <v>9</v>
      </c>
      <c r="D22" s="69">
        <v>2021</v>
      </c>
      <c r="E22" s="71">
        <f>'FS-AD Daily '!B26</f>
        <v>5617</v>
      </c>
      <c r="F22" s="71">
        <f>'FS-AD Daily '!C26</f>
        <v>4378</v>
      </c>
      <c r="G22" s="71">
        <f>'FS-AD Daily '!D26</f>
        <v>764</v>
      </c>
      <c r="H22" s="71">
        <f>'FS-AD Daily '!E26</f>
        <v>5805</v>
      </c>
      <c r="I22" s="71">
        <f>'FS-AD Daily '!F26</f>
        <v>6006</v>
      </c>
      <c r="J22" s="71">
        <f>'FS-AD Daily '!G26</f>
        <v>3131</v>
      </c>
      <c r="K22" s="71">
        <f>'FS-AD Daily '!H26</f>
        <v>5980</v>
      </c>
      <c r="L22" s="71">
        <f>'FS-AD Daily '!I26</f>
        <v>2511</v>
      </c>
      <c r="M22" s="71">
        <f>'FS-AD Daily '!J26</f>
        <v>6811</v>
      </c>
      <c r="N22" s="71">
        <f>'FS-AD Daily '!T26</f>
        <v>130.62099999999555</v>
      </c>
      <c r="O22" s="71">
        <f>'FS-AD Daily '!R26</f>
        <v>71.81000000000131</v>
      </c>
      <c r="P22" s="71">
        <f>'FS-AD Daily '!Z26</f>
        <v>436</v>
      </c>
      <c r="Q22" s="71">
        <f>'FS-AD Daily '!V26</f>
        <v>165</v>
      </c>
      <c r="R22" s="71">
        <f>'FS-AD Daily '!W26</f>
        <v>0</v>
      </c>
      <c r="S22" s="71">
        <f t="shared" si="0"/>
        <v>271</v>
      </c>
      <c r="T22" s="71">
        <f>'FS-AD Daily '!AD26*3.516</f>
        <v>118345.04399999999</v>
      </c>
      <c r="U22" s="71">
        <f>('FS-AD Daily '!AF26)*1000</f>
        <v>58400.000000008731</v>
      </c>
      <c r="V22" s="71">
        <f>('FS-AD Daily '!AG26)*1000</f>
        <v>37400.000000001455</v>
      </c>
      <c r="W22" s="71">
        <f>'FS-AD Daily '!AH26*1000</f>
        <v>17700.000000000728</v>
      </c>
      <c r="X22" s="71">
        <f>('FS-AD Daily '!AK26)*1000</f>
        <v>39599.999999998545</v>
      </c>
      <c r="Y22" s="71">
        <v>85</v>
      </c>
      <c r="Z22" s="104">
        <v>119</v>
      </c>
    </row>
    <row r="23" spans="1:26" x14ac:dyDescent="0.25">
      <c r="A23" s="103" t="s">
        <v>80</v>
      </c>
      <c r="B23" s="69">
        <f t="shared" si="1"/>
        <v>22</v>
      </c>
      <c r="C23" s="70">
        <v>9</v>
      </c>
      <c r="D23" s="69">
        <v>2021</v>
      </c>
      <c r="E23" s="71">
        <f>'FS-AD Daily '!B27</f>
        <v>5774</v>
      </c>
      <c r="F23" s="71">
        <f>'FS-AD Daily '!C27</f>
        <v>3618</v>
      </c>
      <c r="G23" s="71">
        <f>'FS-AD Daily '!D27</f>
        <v>872</v>
      </c>
      <c r="H23" s="71">
        <f>'FS-AD Daily '!E27</f>
        <v>5877</v>
      </c>
      <c r="I23" s="71">
        <f>'FS-AD Daily '!F27</f>
        <v>6096</v>
      </c>
      <c r="J23" s="71">
        <f>'FS-AD Daily '!G27</f>
        <v>3053</v>
      </c>
      <c r="K23" s="71">
        <f>'FS-AD Daily '!H27</f>
        <v>6373</v>
      </c>
      <c r="L23" s="71">
        <f>'FS-AD Daily '!I27</f>
        <v>2567</v>
      </c>
      <c r="M23" s="71">
        <f>'FS-AD Daily '!J27</f>
        <v>6706</v>
      </c>
      <c r="N23" s="71">
        <f>'FS-AD Daily '!T27</f>
        <v>151.81000000000495</v>
      </c>
      <c r="O23" s="71">
        <f>'FS-AD Daily '!R27</f>
        <v>59.206999999993968</v>
      </c>
      <c r="P23" s="71">
        <f>'FS-AD Daily '!Z27</f>
        <v>457</v>
      </c>
      <c r="Q23" s="71">
        <f>'FS-AD Daily '!V27</f>
        <v>175.29999999998836</v>
      </c>
      <c r="R23" s="71">
        <f>'FS-AD Daily '!W27</f>
        <v>0</v>
      </c>
      <c r="S23" s="71">
        <f t="shared" si="0"/>
        <v>281.70000000001164</v>
      </c>
      <c r="T23" s="71">
        <f>'FS-AD Daily '!AD27*3.516</f>
        <v>104428.716</v>
      </c>
      <c r="U23" s="71">
        <f>('FS-AD Daily '!AF27)*1000</f>
        <v>51000</v>
      </c>
      <c r="V23" s="71">
        <f>('FS-AD Daily '!AG27)*1000</f>
        <v>35799.999999995634</v>
      </c>
      <c r="W23" s="71">
        <f>'FS-AD Daily '!AH27*1000</f>
        <v>16299.999999999272</v>
      </c>
      <c r="X23" s="71">
        <f>('FS-AD Daily '!AK27)*1000</f>
        <v>39299.999999995634</v>
      </c>
      <c r="Y23" s="71">
        <v>91</v>
      </c>
      <c r="Z23" s="104">
        <v>121</v>
      </c>
    </row>
    <row r="24" spans="1:26" x14ac:dyDescent="0.25">
      <c r="A24" s="103" t="s">
        <v>80</v>
      </c>
      <c r="B24" s="69">
        <f t="shared" si="1"/>
        <v>23</v>
      </c>
      <c r="C24" s="70">
        <v>9</v>
      </c>
      <c r="D24" s="69">
        <v>2021</v>
      </c>
      <c r="E24" s="71">
        <f>'FS-AD Daily '!B28</f>
        <v>5735</v>
      </c>
      <c r="F24" s="71">
        <f>'FS-AD Daily '!C28</f>
        <v>4101</v>
      </c>
      <c r="G24" s="71">
        <f>'FS-AD Daily '!D28</f>
        <v>885</v>
      </c>
      <c r="H24" s="71">
        <f>'FS-AD Daily '!E28</f>
        <v>5969</v>
      </c>
      <c r="I24" s="71">
        <f>'FS-AD Daily '!F28</f>
        <v>6108</v>
      </c>
      <c r="J24" s="71">
        <f>'FS-AD Daily '!G28</f>
        <v>3147</v>
      </c>
      <c r="K24" s="71">
        <f>'FS-AD Daily '!H28</f>
        <v>6850</v>
      </c>
      <c r="L24" s="71">
        <f>'FS-AD Daily '!I28</f>
        <v>2473</v>
      </c>
      <c r="M24" s="71">
        <f>'FS-AD Daily '!J28</f>
        <v>6990</v>
      </c>
      <c r="N24" s="71">
        <f>'FS-AD Daily '!T28</f>
        <v>156.15200000000186</v>
      </c>
      <c r="O24" s="71">
        <f>'FS-AD Daily '!R28</f>
        <v>51.882000000006883</v>
      </c>
      <c r="P24" s="71">
        <f>'FS-AD Daily '!Z28</f>
        <v>462</v>
      </c>
      <c r="Q24" s="71">
        <f>'FS-AD Daily '!V28</f>
        <v>175.5</v>
      </c>
      <c r="R24" s="71">
        <f>'FS-AD Daily '!W28</f>
        <v>0</v>
      </c>
      <c r="S24" s="71">
        <f t="shared" si="0"/>
        <v>286.5</v>
      </c>
      <c r="T24" s="71">
        <f>'FS-AD Daily '!AD28*3.516</f>
        <v>105634.704</v>
      </c>
      <c r="U24" s="71">
        <f>('FS-AD Daily '!AF28)*1000</f>
        <v>49799.999999988358</v>
      </c>
      <c r="V24" s="71">
        <f>('FS-AD Daily '!AG28)*1000</f>
        <v>36800.00000000291</v>
      </c>
      <c r="W24" s="71">
        <f>'FS-AD Daily '!AH28*1000</f>
        <v>17300.00000000291</v>
      </c>
      <c r="X24" s="71">
        <f>('FS-AD Daily '!AK28)*1000</f>
        <v>40700.000000004366</v>
      </c>
      <c r="Y24" s="71">
        <v>101</v>
      </c>
      <c r="Z24" s="104">
        <v>150</v>
      </c>
    </row>
    <row r="25" spans="1:26" x14ac:dyDescent="0.25">
      <c r="A25" s="103" t="s">
        <v>80</v>
      </c>
      <c r="B25" s="69">
        <f t="shared" si="1"/>
        <v>24</v>
      </c>
      <c r="C25" s="70">
        <v>9</v>
      </c>
      <c r="D25" s="69">
        <v>2021</v>
      </c>
      <c r="E25" s="71">
        <f>'FS-AD Daily '!B29</f>
        <v>5619</v>
      </c>
      <c r="F25" s="71">
        <f>'FS-AD Daily '!C29</f>
        <v>3621</v>
      </c>
      <c r="G25" s="71">
        <f>'FS-AD Daily '!D29</f>
        <v>885</v>
      </c>
      <c r="H25" s="71">
        <f>'FS-AD Daily '!E29</f>
        <v>5896</v>
      </c>
      <c r="I25" s="71">
        <f>'FS-AD Daily '!F29</f>
        <v>6233</v>
      </c>
      <c r="J25" s="71">
        <f>'FS-AD Daily '!G29</f>
        <v>3108</v>
      </c>
      <c r="K25" s="71">
        <f>'FS-AD Daily '!H29</f>
        <v>6748</v>
      </c>
      <c r="L25" s="71">
        <f>'FS-AD Daily '!I29</f>
        <v>2395</v>
      </c>
      <c r="M25" s="71">
        <f>'FS-AD Daily '!J29</f>
        <v>7047</v>
      </c>
      <c r="N25" s="71">
        <f>'FS-AD Daily '!T29</f>
        <v>138.12799999999697</v>
      </c>
      <c r="O25" s="71">
        <f>'FS-AD Daily '!R29</f>
        <v>93.73000000000593</v>
      </c>
      <c r="P25" s="71">
        <f>'FS-AD Daily '!Z29</f>
        <v>499</v>
      </c>
      <c r="Q25" s="71">
        <f>'FS-AD Daily '!V29</f>
        <v>177.70000000001164</v>
      </c>
      <c r="R25" s="71">
        <f>'FS-AD Daily '!W29</f>
        <v>0</v>
      </c>
      <c r="S25" s="71">
        <f t="shared" si="0"/>
        <v>321.29999999998836</v>
      </c>
      <c r="T25" s="71">
        <f>'FS-AD Daily '!AD29*3.516</f>
        <v>110170.344</v>
      </c>
      <c r="U25" s="71">
        <f>('FS-AD Daily '!AF29)*1000</f>
        <v>52400.000000008731</v>
      </c>
      <c r="V25" s="71">
        <f>('FS-AD Daily '!AG29)*1000</f>
        <v>41199.99999999709</v>
      </c>
      <c r="W25" s="71">
        <f>'FS-AD Daily '!AH29*1000</f>
        <v>16399.999999997817</v>
      </c>
      <c r="X25" s="71">
        <f>('FS-AD Daily '!AK29)*1000</f>
        <v>39799.999999995634</v>
      </c>
      <c r="Y25" s="71">
        <v>93</v>
      </c>
      <c r="Z25" s="104">
        <v>149</v>
      </c>
    </row>
    <row r="26" spans="1:26" x14ac:dyDescent="0.25">
      <c r="A26" s="103" t="s">
        <v>80</v>
      </c>
      <c r="B26" s="69">
        <f>B25+1</f>
        <v>25</v>
      </c>
      <c r="C26" s="70">
        <v>9</v>
      </c>
      <c r="D26" s="69">
        <v>2021</v>
      </c>
      <c r="E26" s="71">
        <f>'FS-AD Daily '!B30</f>
        <v>5477</v>
      </c>
      <c r="F26" s="71">
        <f>'FS-AD Daily '!C30</f>
        <v>3907</v>
      </c>
      <c r="G26" s="71">
        <f>'FS-AD Daily '!D30</f>
        <v>841</v>
      </c>
      <c r="H26" s="71">
        <f>'FS-AD Daily '!E30</f>
        <v>5895</v>
      </c>
      <c r="I26" s="71">
        <f>'FS-AD Daily '!F30</f>
        <v>6091</v>
      </c>
      <c r="J26" s="71">
        <f>'FS-AD Daily '!G30</f>
        <v>3263</v>
      </c>
      <c r="K26" s="71">
        <f>'FS-AD Daily '!H30</f>
        <v>6821</v>
      </c>
      <c r="L26" s="71">
        <f>'FS-AD Daily '!I30</f>
        <v>2512</v>
      </c>
      <c r="M26" s="71">
        <f>'FS-AD Daily '!J30</f>
        <v>6845</v>
      </c>
      <c r="N26" s="71">
        <f>'FS-AD Daily '!T30</f>
        <v>148.05199999999604</v>
      </c>
      <c r="O26" s="71">
        <f>'FS-AD Daily '!R30</f>
        <v>78.127999999999702</v>
      </c>
      <c r="P26" s="71">
        <f>'FS-AD Daily '!Z30</f>
        <v>459</v>
      </c>
      <c r="Q26" s="71">
        <f>'FS-AD Daily '!V30</f>
        <v>177</v>
      </c>
      <c r="R26" s="71">
        <f>'FS-AD Daily '!W30</f>
        <v>0</v>
      </c>
      <c r="S26" s="71">
        <f t="shared" si="0"/>
        <v>282</v>
      </c>
      <c r="T26" s="71">
        <f>'FS-AD Daily '!AD30*3.516</f>
        <v>118594.68000000001</v>
      </c>
      <c r="U26" s="71">
        <f>('FS-AD Daily '!AF30)*1000</f>
        <v>57399.999999994179</v>
      </c>
      <c r="V26" s="71">
        <f>('FS-AD Daily '!AG30)*1000</f>
        <v>40700.000000004366</v>
      </c>
      <c r="W26" s="71">
        <f>'FS-AD Daily '!AH30*1000</f>
        <v>16799.999999999272</v>
      </c>
      <c r="X26" s="71">
        <f>('FS-AD Daily '!AK30)*1000</f>
        <v>37800.00000000291</v>
      </c>
      <c r="Y26" s="71">
        <v>120</v>
      </c>
      <c r="Z26" s="104">
        <v>142</v>
      </c>
    </row>
    <row r="27" spans="1:26" x14ac:dyDescent="0.25">
      <c r="A27" s="103" t="s">
        <v>80</v>
      </c>
      <c r="B27" s="69">
        <f t="shared" si="1"/>
        <v>26</v>
      </c>
      <c r="C27" s="70">
        <v>9</v>
      </c>
      <c r="D27" s="69">
        <v>2021</v>
      </c>
      <c r="E27" s="71">
        <f>'FS-AD Daily '!B31</f>
        <v>5514</v>
      </c>
      <c r="F27" s="71">
        <f>'FS-AD Daily '!C31</f>
        <v>4007</v>
      </c>
      <c r="G27" s="71">
        <f>'FS-AD Daily '!D31</f>
        <v>905</v>
      </c>
      <c r="H27" s="71">
        <f>'FS-AD Daily '!E31</f>
        <v>6254</v>
      </c>
      <c r="I27" s="71">
        <f>'FS-AD Daily '!F31</f>
        <v>6356</v>
      </c>
      <c r="J27" s="71">
        <f>'FS-AD Daily '!G31</f>
        <v>3243</v>
      </c>
      <c r="K27" s="71">
        <f>'FS-AD Daily '!H31</f>
        <v>6972</v>
      </c>
      <c r="L27" s="71">
        <f>'FS-AD Daily '!I31</f>
        <v>2556</v>
      </c>
      <c r="M27" s="71">
        <f>'FS-AD Daily '!J31</f>
        <v>7348</v>
      </c>
      <c r="N27" s="71">
        <f>'FS-AD Daily '!T31</f>
        <v>145.37100000000282</v>
      </c>
      <c r="O27" s="71">
        <f>'FS-AD Daily '!R31</f>
        <v>68.725999999992382</v>
      </c>
      <c r="P27" s="71">
        <f>'FS-AD Daily '!Z31</f>
        <v>459</v>
      </c>
      <c r="Q27" s="71">
        <f>'FS-AD Daily '!V31</f>
        <v>175.89999999996508</v>
      </c>
      <c r="R27" s="71">
        <f>'FS-AD Daily '!W31</f>
        <v>0</v>
      </c>
      <c r="S27" s="71">
        <f t="shared" si="0"/>
        <v>283.10000000003492</v>
      </c>
      <c r="T27" s="71">
        <f>'FS-AD Daily '!AD31*3.516</f>
        <v>114498.54</v>
      </c>
      <c r="U27" s="71">
        <f>('FS-AD Daily '!AF31)*1000</f>
        <v>54800.00000000291</v>
      </c>
      <c r="V27" s="71">
        <f>('FS-AD Daily '!AG31)*1000</f>
        <v>38599.999999998545</v>
      </c>
      <c r="W27" s="71">
        <f>'FS-AD Daily '!AH31*1000</f>
        <v>16500</v>
      </c>
      <c r="X27" s="71">
        <f>('FS-AD Daily '!AK31)*1000</f>
        <v>37000</v>
      </c>
      <c r="Y27" s="71">
        <v>125</v>
      </c>
      <c r="Z27" s="104">
        <v>145</v>
      </c>
    </row>
    <row r="28" spans="1:26" x14ac:dyDescent="0.25">
      <c r="A28" s="103" t="s">
        <v>80</v>
      </c>
      <c r="B28" s="69">
        <f t="shared" si="1"/>
        <v>27</v>
      </c>
      <c r="C28" s="70">
        <v>9</v>
      </c>
      <c r="D28" s="69">
        <v>2021</v>
      </c>
      <c r="E28" s="71">
        <f>'FS-AD Daily '!B32</f>
        <v>5541</v>
      </c>
      <c r="F28" s="71">
        <f>'FS-AD Daily '!C32</f>
        <v>4977</v>
      </c>
      <c r="G28" s="71">
        <f>'FS-AD Daily '!D32</f>
        <v>865</v>
      </c>
      <c r="H28" s="71">
        <f>'FS-AD Daily '!E32</f>
        <v>6001</v>
      </c>
      <c r="I28" s="71">
        <f>'FS-AD Daily '!F32</f>
        <v>6027</v>
      </c>
      <c r="J28" s="71">
        <f>'FS-AD Daily '!G32</f>
        <v>3105</v>
      </c>
      <c r="K28" s="71">
        <f>'FS-AD Daily '!H32</f>
        <v>6730</v>
      </c>
      <c r="L28" s="71">
        <f>'FS-AD Daily '!I32</f>
        <v>2481</v>
      </c>
      <c r="M28" s="71">
        <f>'FS-AD Daily '!J32</f>
        <v>6901</v>
      </c>
      <c r="N28" s="71">
        <f>'FS-AD Daily '!T32</f>
        <v>145.09799999999814</v>
      </c>
      <c r="O28" s="71">
        <f>'FS-AD Daily '!R32</f>
        <v>72.228000000007341</v>
      </c>
      <c r="P28" s="71">
        <f>'FS-AD Daily '!Z32</f>
        <v>465</v>
      </c>
      <c r="Q28" s="71">
        <f>'FS-AD Daily '!V32</f>
        <v>181.90000000002328</v>
      </c>
      <c r="R28" s="71">
        <f>'FS-AD Daily '!W32</f>
        <v>0</v>
      </c>
      <c r="S28" s="71">
        <f t="shared" si="0"/>
        <v>283.09999999997672</v>
      </c>
      <c r="T28" s="71">
        <f>'FS-AD Daily '!AD32*3.516</f>
        <v>99945.816000000006</v>
      </c>
      <c r="U28" s="71">
        <f>('FS-AD Daily '!AF32)*1000</f>
        <v>48100.000000005821</v>
      </c>
      <c r="V28" s="71">
        <f>('FS-AD Daily '!AG32)*1000</f>
        <v>34500</v>
      </c>
      <c r="W28" s="71">
        <f>'FS-AD Daily '!AH32*1000</f>
        <v>15300.00000000291</v>
      </c>
      <c r="X28" s="71">
        <f>('FS-AD Daily '!AK32)*1000</f>
        <v>34900.000000001455</v>
      </c>
      <c r="Y28" s="71">
        <v>96</v>
      </c>
      <c r="Z28" s="104">
        <v>117</v>
      </c>
    </row>
    <row r="29" spans="1:26" x14ac:dyDescent="0.25">
      <c r="A29" s="103" t="s">
        <v>80</v>
      </c>
      <c r="B29" s="69">
        <f t="shared" si="1"/>
        <v>28</v>
      </c>
      <c r="C29" s="70">
        <v>9</v>
      </c>
      <c r="D29" s="69">
        <v>2021</v>
      </c>
      <c r="E29" s="71">
        <f>'FS-AD Daily '!B33</f>
        <v>5638</v>
      </c>
      <c r="F29" s="71">
        <f>'FS-AD Daily '!C33</f>
        <v>4034</v>
      </c>
      <c r="G29" s="71">
        <f>'FS-AD Daily '!D33</f>
        <v>846</v>
      </c>
      <c r="H29" s="71">
        <f>'FS-AD Daily '!E33</f>
        <v>6005</v>
      </c>
      <c r="I29" s="71">
        <f>'FS-AD Daily '!F33</f>
        <v>5943</v>
      </c>
      <c r="J29" s="71">
        <f>'FS-AD Daily '!G33</f>
        <v>3038</v>
      </c>
      <c r="K29" s="71">
        <f>'FS-AD Daily '!H33</f>
        <v>6648</v>
      </c>
      <c r="L29" s="71">
        <f>'FS-AD Daily '!I33</f>
        <v>2428</v>
      </c>
      <c r="M29" s="71">
        <f>'FS-AD Daily '!J33</f>
        <v>6964</v>
      </c>
      <c r="N29" s="71">
        <f>'FS-AD Daily '!T33</f>
        <v>142.49300000000949</v>
      </c>
      <c r="O29" s="71">
        <f>'FS-AD Daily '!R33</f>
        <v>75.217999999996209</v>
      </c>
      <c r="P29" s="71">
        <f>'FS-AD Daily '!Z33</f>
        <v>457</v>
      </c>
      <c r="Q29" s="71">
        <f>'FS-AD Daily '!V33</f>
        <v>173.29999999998836</v>
      </c>
      <c r="R29" s="71">
        <f>'FS-AD Daily '!W33</f>
        <v>0</v>
      </c>
      <c r="S29" s="71">
        <f t="shared" si="0"/>
        <v>283.70000000001164</v>
      </c>
      <c r="T29" s="71">
        <f>'FS-AD Daily '!AD33*3.516</f>
        <v>104688.9</v>
      </c>
      <c r="U29" s="71">
        <f>('FS-AD Daily '!AF33)*1000</f>
        <v>50000</v>
      </c>
      <c r="V29" s="71">
        <f>('FS-AD Daily '!AG33)*1000</f>
        <v>35900.000000001455</v>
      </c>
      <c r="W29" s="71">
        <f>'FS-AD Daily '!AH33*1000</f>
        <v>15000</v>
      </c>
      <c r="X29" s="71">
        <f>('FS-AD Daily '!AK33)*1000</f>
        <v>35599.999999998545</v>
      </c>
      <c r="Y29" s="71">
        <v>104</v>
      </c>
      <c r="Z29" s="104">
        <v>130</v>
      </c>
    </row>
    <row r="30" spans="1:26" x14ac:dyDescent="0.25">
      <c r="A30" s="103" t="s">
        <v>80</v>
      </c>
      <c r="B30" s="69">
        <f t="shared" si="1"/>
        <v>29</v>
      </c>
      <c r="C30" s="70">
        <v>9</v>
      </c>
      <c r="D30" s="69">
        <v>2021</v>
      </c>
      <c r="E30" s="71">
        <f>'FS-AD Daily '!B34</f>
        <v>5811</v>
      </c>
      <c r="F30" s="71">
        <f>'FS-AD Daily '!C34</f>
        <v>4739</v>
      </c>
      <c r="G30" s="71">
        <f>'FS-AD Daily '!D34</f>
        <v>860</v>
      </c>
      <c r="H30" s="71">
        <f>'FS-AD Daily '!E34</f>
        <v>6049</v>
      </c>
      <c r="I30" s="71">
        <f>'FS-AD Daily '!F34</f>
        <v>6202</v>
      </c>
      <c r="J30" s="71">
        <f>'FS-AD Daily '!G34</f>
        <v>3210</v>
      </c>
      <c r="K30" s="71">
        <f>'FS-AD Daily '!H34</f>
        <v>6774</v>
      </c>
      <c r="L30" s="71">
        <f>'FS-AD Daily '!I34</f>
        <v>2474</v>
      </c>
      <c r="M30" s="71">
        <f>'FS-AD Daily '!J34</f>
        <v>6936</v>
      </c>
      <c r="N30" s="71">
        <f>'FS-AD Daily '!T34</f>
        <v>157.59899999998743</v>
      </c>
      <c r="O30" s="71">
        <f>'FS-AD Daily '!R34</f>
        <v>79.824000000005071</v>
      </c>
      <c r="P30" s="71">
        <f>'FS-AD Daily '!Z34</f>
        <v>490</v>
      </c>
      <c r="Q30" s="71">
        <f>'FS-AD Daily '!V34</f>
        <v>187.29999999998836</v>
      </c>
      <c r="R30" s="71">
        <f>'FS-AD Daily '!W34</f>
        <v>0</v>
      </c>
      <c r="S30" s="71">
        <f t="shared" si="0"/>
        <v>302.70000000001164</v>
      </c>
      <c r="T30" s="71">
        <f>'FS-AD Daily '!AD34*3.516</f>
        <v>113865.66</v>
      </c>
      <c r="U30" s="71">
        <f>('FS-AD Daily '!AF34)*1000</f>
        <v>54299.999999988358</v>
      </c>
      <c r="V30" s="71">
        <f>('FS-AD Daily '!AG34)*1000</f>
        <v>38599.999999998545</v>
      </c>
      <c r="W30" s="71">
        <f>'FS-AD Daily '!AH34*1000</f>
        <v>16099.999999998545</v>
      </c>
      <c r="X30" s="71">
        <f>('FS-AD Daily '!AK34)*1000</f>
        <v>36400.000000001455</v>
      </c>
      <c r="Y30" s="71">
        <v>115</v>
      </c>
      <c r="Z30" s="104">
        <v>153</v>
      </c>
    </row>
    <row r="31" spans="1:26" ht="15.75" thickBot="1" x14ac:dyDescent="0.3">
      <c r="A31" s="105" t="s">
        <v>80</v>
      </c>
      <c r="B31" s="106">
        <f t="shared" si="1"/>
        <v>30</v>
      </c>
      <c r="C31" s="107">
        <v>9</v>
      </c>
      <c r="D31" s="106">
        <v>2021</v>
      </c>
      <c r="E31" s="108">
        <f>'FS-AD Daily '!B35</f>
        <v>5681</v>
      </c>
      <c r="F31" s="108">
        <f>'FS-AD Daily '!C35</f>
        <v>4676</v>
      </c>
      <c r="G31" s="108">
        <f>'FS-AD Daily '!D35</f>
        <v>890</v>
      </c>
      <c r="H31" s="108">
        <f>'FS-AD Daily '!E35</f>
        <v>6053</v>
      </c>
      <c r="I31" s="108">
        <f>'FS-AD Daily '!F35</f>
        <v>6137</v>
      </c>
      <c r="J31" s="108">
        <f>'FS-AD Daily '!G35</f>
        <v>3141</v>
      </c>
      <c r="K31" s="108">
        <f>'FS-AD Daily '!H35</f>
        <v>6697</v>
      </c>
      <c r="L31" s="108">
        <f>'FS-AD Daily '!I35</f>
        <v>2372</v>
      </c>
      <c r="M31" s="108">
        <f>'FS-AD Daily '!J35</f>
        <v>6946</v>
      </c>
      <c r="N31" s="108">
        <f>'FS-AD Daily '!T35</f>
        <v>149.89100000001054</v>
      </c>
      <c r="O31" s="108">
        <f>'FS-AD Daily '!R35</f>
        <v>77.655999999985397</v>
      </c>
      <c r="P31" s="108">
        <f>'FS-AD Daily '!Z35</f>
        <v>489</v>
      </c>
      <c r="Q31" s="108">
        <f>'FS-AD Daily '!V35</f>
        <v>185.20000000001164</v>
      </c>
      <c r="R31" s="108">
        <f>'FS-AD Daily '!W35</f>
        <v>0</v>
      </c>
      <c r="S31" s="108">
        <f t="shared" si="0"/>
        <v>303.79999999998836</v>
      </c>
      <c r="T31" s="108">
        <f>'FS-AD Daily '!AD35*3.516</f>
        <v>108384.216</v>
      </c>
      <c r="U31" s="108">
        <f>('FS-AD Daily '!AF35)*1000</f>
        <v>52400.000000008731</v>
      </c>
      <c r="V31" s="108">
        <f>('FS-AD Daily '!AG35)*1000</f>
        <v>36500</v>
      </c>
      <c r="W31" s="108">
        <f>'FS-AD Daily '!AH35*1000</f>
        <v>15400.000000001455</v>
      </c>
      <c r="X31" s="108">
        <f>('FS-AD Daily '!AK35)*1000</f>
        <v>34699.99999999709</v>
      </c>
      <c r="Y31" s="108">
        <v>97</v>
      </c>
      <c r="Z31" s="109">
        <v>157</v>
      </c>
    </row>
    <row r="32" spans="1:26" x14ac:dyDescent="0.25">
      <c r="I32" s="4">
        <f t="shared" ref="I32:W32" si="2">SUM(I2:I31)</f>
        <v>184215</v>
      </c>
      <c r="J32" s="4">
        <f t="shared" si="2"/>
        <v>91638</v>
      </c>
      <c r="K32" s="4">
        <f t="shared" si="2"/>
        <v>200296</v>
      </c>
      <c r="L32" s="4">
        <f t="shared" si="2"/>
        <v>74595</v>
      </c>
      <c r="M32" s="4">
        <f t="shared" si="2"/>
        <v>206056</v>
      </c>
      <c r="N32" s="4">
        <f t="shared" si="2"/>
        <v>4215.3310000000092</v>
      </c>
      <c r="O32" s="4">
        <f t="shared" si="2"/>
        <v>2276.0989999999856</v>
      </c>
      <c r="P32" s="4">
        <f t="shared" si="2"/>
        <v>13399</v>
      </c>
      <c r="Q32" s="4">
        <f t="shared" si="2"/>
        <v>4959.7999999999884</v>
      </c>
      <c r="R32" s="4">
        <f t="shared" si="2"/>
        <v>0</v>
      </c>
      <c r="S32" s="4">
        <f t="shared" si="2"/>
        <v>8439.2000000000116</v>
      </c>
      <c r="T32" s="4">
        <f t="shared" si="2"/>
        <v>3369041.7479999997</v>
      </c>
      <c r="U32" s="4">
        <f t="shared" si="2"/>
        <v>1607000</v>
      </c>
      <c r="V32" s="4">
        <f t="shared" si="2"/>
        <v>1093599.9999999986</v>
      </c>
      <c r="W32" s="4">
        <f t="shared" si="2"/>
        <v>517700.0000000007</v>
      </c>
      <c r="X32" s="4">
        <f>'FS-AD Daily '!U37</f>
        <v>15203.578880000183</v>
      </c>
      <c r="Y32" s="4">
        <f>SUM(Y2:Y31)</f>
        <v>2383</v>
      </c>
      <c r="Z32" s="4">
        <f>SUM(Z2:Z31)</f>
        <v>3271</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AI20" activePane="bottomRight" state="frozen"/>
      <selection pane="topRight" activeCell="H1" sqref="H1"/>
      <selection pane="bottomLeft" activeCell="A5" sqref="A5"/>
      <selection pane="bottomRight" activeCell="AR27" sqref="AR27"/>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6" t="s">
        <v>14</v>
      </c>
      <c r="C1" s="136"/>
      <c r="D1" s="136"/>
      <c r="E1" s="136"/>
      <c r="F1" s="136"/>
      <c r="G1" s="136"/>
      <c r="H1" s="136"/>
      <c r="I1" s="136"/>
      <c r="J1" s="136"/>
      <c r="K1" s="25" t="s">
        <v>15</v>
      </c>
      <c r="L1" s="26" t="s">
        <v>16</v>
      </c>
      <c r="M1" s="27" t="s">
        <v>17</v>
      </c>
      <c r="N1" s="28" t="s">
        <v>18</v>
      </c>
      <c r="O1" s="28" t="s">
        <v>19</v>
      </c>
      <c r="P1" s="65" t="s">
        <v>20</v>
      </c>
      <c r="Q1" s="30" t="s">
        <v>21</v>
      </c>
      <c r="R1" s="31" t="s">
        <v>22</v>
      </c>
      <c r="S1" s="29" t="s">
        <v>23</v>
      </c>
      <c r="T1" s="32" t="s">
        <v>24</v>
      </c>
      <c r="U1" s="33" t="s">
        <v>25</v>
      </c>
      <c r="V1" s="32" t="s">
        <v>26</v>
      </c>
      <c r="W1" s="32" t="s">
        <v>27</v>
      </c>
      <c r="X1" s="137" t="s">
        <v>28</v>
      </c>
      <c r="Y1" s="137"/>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2" t="s">
        <v>41</v>
      </c>
      <c r="L2" s="131" t="s">
        <v>42</v>
      </c>
      <c r="M2" s="10"/>
      <c r="N2" s="10"/>
      <c r="O2" s="10"/>
      <c r="P2" s="10"/>
      <c r="Q2" s="10"/>
      <c r="R2" s="10"/>
      <c r="S2" s="140"/>
      <c r="T2" s="47"/>
      <c r="U2" s="134"/>
      <c r="V2" s="45"/>
      <c r="W2" s="45"/>
      <c r="X2" s="22">
        <v>1</v>
      </c>
      <c r="Y2" s="22">
        <v>2</v>
      </c>
      <c r="Z2" s="23"/>
      <c r="AA2" s="131" t="s">
        <v>100</v>
      </c>
      <c r="AB2" s="43"/>
      <c r="AC2" s="132" t="s">
        <v>43</v>
      </c>
      <c r="AD2" s="133"/>
      <c r="AE2" s="134" t="s">
        <v>103</v>
      </c>
      <c r="AF2" s="45"/>
      <c r="AG2" s="45"/>
      <c r="AH2" s="45"/>
      <c r="AI2" s="44"/>
      <c r="AJ2" s="44"/>
      <c r="AK2" s="44"/>
      <c r="AL2" s="44"/>
      <c r="AM2" s="134" t="s">
        <v>103</v>
      </c>
      <c r="AN2" s="135"/>
      <c r="AO2" s="130"/>
    </row>
    <row r="3" spans="1:44" ht="15" customHeight="1" x14ac:dyDescent="0.25">
      <c r="A3" s="9"/>
      <c r="B3" s="11" t="s">
        <v>44</v>
      </c>
      <c r="C3" s="11" t="s">
        <v>45</v>
      </c>
      <c r="D3" s="11" t="s">
        <v>46</v>
      </c>
      <c r="E3" s="11" t="s">
        <v>47</v>
      </c>
      <c r="F3" s="11" t="s">
        <v>48</v>
      </c>
      <c r="G3" s="11" t="s">
        <v>49</v>
      </c>
      <c r="H3" s="11" t="s">
        <v>50</v>
      </c>
      <c r="I3" s="11" t="s">
        <v>51</v>
      </c>
      <c r="J3" s="11" t="s">
        <v>52</v>
      </c>
      <c r="K3" s="138"/>
      <c r="L3" s="139"/>
      <c r="M3" s="10"/>
      <c r="N3" s="10"/>
      <c r="O3" s="10"/>
      <c r="P3" s="10"/>
      <c r="Q3" s="10"/>
      <c r="R3" s="10"/>
      <c r="S3" s="140"/>
      <c r="T3" s="47"/>
      <c r="U3" s="134"/>
      <c r="V3" s="45"/>
      <c r="W3" s="45"/>
      <c r="X3" s="11"/>
      <c r="Y3" s="11"/>
      <c r="Z3" s="12"/>
      <c r="AA3" s="131"/>
      <c r="AB3" s="43"/>
      <c r="AC3" s="132"/>
      <c r="AD3" s="133"/>
      <c r="AE3" s="134"/>
      <c r="AF3" s="45"/>
      <c r="AG3" s="45"/>
      <c r="AH3" s="45"/>
      <c r="AI3" s="13"/>
      <c r="AJ3" s="44"/>
      <c r="AK3" s="44"/>
      <c r="AL3" s="44"/>
      <c r="AM3" s="134"/>
      <c r="AN3" s="135"/>
      <c r="AO3" s="130"/>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40"/>
      <c r="T4" s="47"/>
      <c r="U4" s="134"/>
      <c r="V4" s="45"/>
      <c r="W4" s="45"/>
      <c r="X4" s="52"/>
      <c r="Y4" s="87">
        <v>885042</v>
      </c>
      <c r="Z4" s="12"/>
      <c r="AA4" s="131"/>
      <c r="AB4" s="86">
        <v>7711333</v>
      </c>
      <c r="AC4" s="132"/>
      <c r="AD4" s="133"/>
      <c r="AE4" s="134"/>
      <c r="AF4" s="45"/>
      <c r="AG4" s="45"/>
      <c r="AH4" s="45"/>
      <c r="AI4" s="43">
        <v>46437.599999999999</v>
      </c>
      <c r="AJ4" s="43"/>
      <c r="AK4" s="43"/>
      <c r="AL4" s="43"/>
      <c r="AM4" s="134"/>
      <c r="AN4" s="135"/>
      <c r="AO4" s="130"/>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44440</v>
      </c>
      <c r="B6" s="86">
        <f>12418549-12413447</f>
        <v>5102</v>
      </c>
      <c r="C6" s="86">
        <f>7942463-7938786</f>
        <v>3677</v>
      </c>
      <c r="D6" s="86">
        <f>1564480-1563712</f>
        <v>768</v>
      </c>
      <c r="E6" s="86">
        <f>11868200-11862346</f>
        <v>5854</v>
      </c>
      <c r="F6" s="86">
        <f>11795190-11789096</f>
        <v>6094</v>
      </c>
      <c r="G6" s="86">
        <f>8485817-8482337</f>
        <v>3480</v>
      </c>
      <c r="H6" s="86">
        <f>8939351-8931393</f>
        <v>7958</v>
      </c>
      <c r="I6" s="86">
        <f>5329080-5326588</f>
        <v>2492</v>
      </c>
      <c r="J6" s="86">
        <f>11927143-11920301</f>
        <v>6842</v>
      </c>
      <c r="K6" s="63">
        <f>SUM(B6:H6)</f>
        <v>32933</v>
      </c>
      <c r="L6" s="40">
        <f>K6*0.2</f>
        <v>6586.6</v>
      </c>
      <c r="M6" s="83">
        <f>86293.2-86172.04</f>
        <v>121.16000000000349</v>
      </c>
      <c r="N6" s="83">
        <f>4514.907-4514.312</f>
        <v>0.59500000000025466</v>
      </c>
      <c r="O6" s="83">
        <f>10174.682-10157.766</f>
        <v>16.916000000001077</v>
      </c>
      <c r="P6" s="82">
        <f>94372.5-94298.642</f>
        <v>73.857999999992899</v>
      </c>
      <c r="Q6" s="83">
        <f>25191.95-25178.347</f>
        <v>13.602999999999156</v>
      </c>
      <c r="R6" s="84">
        <f t="shared" ref="R6:R34" si="0">N6+O6+P6</f>
        <v>91.36899999999423</v>
      </c>
      <c r="S6" s="84">
        <f t="shared" ref="S6:S34" si="1">(N6+O6+P6)*7.84</f>
        <v>716.33295999995471</v>
      </c>
      <c r="T6" s="64">
        <f t="shared" ref="T6:T34" si="2">M6+Q6</f>
        <v>134.76300000000265</v>
      </c>
      <c r="U6" s="84">
        <f>T6*7.84</f>
        <v>1056.5419200000208</v>
      </c>
      <c r="V6" s="84">
        <f>365336.5-365169.5</f>
        <v>167</v>
      </c>
      <c r="W6" s="84">
        <f>129986.94-129986.94</f>
        <v>0</v>
      </c>
      <c r="X6" s="85" t="s">
        <v>63</v>
      </c>
      <c r="Y6" s="85">
        <v>885464</v>
      </c>
      <c r="Z6" s="61">
        <f>IF((Y6-Y5&lt;0), "0",Y6-Y4)</f>
        <v>422</v>
      </c>
      <c r="AA6" s="90">
        <f>Z6*6.47</f>
        <v>2730.3399999999997</v>
      </c>
      <c r="AB6" s="75">
        <v>7742465</v>
      </c>
      <c r="AC6" s="75">
        <f>AB4</f>
        <v>7711333</v>
      </c>
      <c r="AD6" s="41">
        <f t="shared" ref="AD6:AD35" si="3">IF((AB6-AC6&lt;0), "0",AB6-AC6)</f>
        <v>31132</v>
      </c>
      <c r="AE6" s="84">
        <f>AD6*0.332195</f>
        <v>10341.89474</v>
      </c>
      <c r="AF6" s="84">
        <f>90773.8-90724.8</f>
        <v>49</v>
      </c>
      <c r="AG6" s="84">
        <f>48239.6-48196.3</f>
        <v>43.299999999995634</v>
      </c>
      <c r="AH6" s="84">
        <f>28701.9-28685.2</f>
        <v>16.700000000000728</v>
      </c>
      <c r="AI6" s="75">
        <f>AI4</f>
        <v>46437.599999999999</v>
      </c>
      <c r="AJ6" s="75">
        <v>46474.400000000001</v>
      </c>
      <c r="AK6" s="59">
        <f>IF((AJ6-AI6)&lt;0, "0",AJ6-AI6)</f>
        <v>36.80000000000291</v>
      </c>
      <c r="AL6" s="128">
        <f t="shared" ref="AL6:AL34" si="4">AK6*(284.34513609)</f>
        <v>10463.901008112827</v>
      </c>
      <c r="AM6" s="84">
        <f>AL6*0.332195</f>
        <v>3476.0555953900407</v>
      </c>
      <c r="AN6" s="101">
        <v>61</v>
      </c>
      <c r="AO6" s="77">
        <f t="shared" ref="AO6:AO34" si="5">L6+U6+AA6+AE6</f>
        <v>20715.37666000002</v>
      </c>
    </row>
    <row r="7" spans="1:44" x14ac:dyDescent="0.25">
      <c r="A7" s="79">
        <v>44441</v>
      </c>
      <c r="B7" s="86">
        <f>12423500-12418549</f>
        <v>4951</v>
      </c>
      <c r="C7" s="86">
        <f>7946267-7942463</f>
        <v>3804</v>
      </c>
      <c r="D7" s="86">
        <f>1565256-1564480</f>
        <v>776</v>
      </c>
      <c r="E7" s="86">
        <f>11874204-11868200</f>
        <v>6004</v>
      </c>
      <c r="F7" s="86">
        <f>11801407-11795190</f>
        <v>6217</v>
      </c>
      <c r="G7" s="86">
        <f>8488546-8485817</f>
        <v>2729</v>
      </c>
      <c r="H7" s="86">
        <f>8947348-8939351</f>
        <v>7997</v>
      </c>
      <c r="I7" s="86">
        <f>5331562-5329080</f>
        <v>2482</v>
      </c>
      <c r="J7" s="86">
        <f>11934024-11927143</f>
        <v>6881</v>
      </c>
      <c r="K7" s="86">
        <f>SUM(B7:H7)</f>
        <v>32478</v>
      </c>
      <c r="L7" s="14">
        <f>K7*0.2</f>
        <v>6495.6</v>
      </c>
      <c r="M7" s="83">
        <f>86411.368-86293.2</f>
        <v>118.16800000000512</v>
      </c>
      <c r="N7" s="83">
        <f>4515.394-4514.907</f>
        <v>0.48700000000008004</v>
      </c>
      <c r="O7" s="83">
        <f>10190.65-10174.682</f>
        <v>15.967999999998938</v>
      </c>
      <c r="P7" s="82">
        <f>94446.65-94372.5</f>
        <v>74.149999999994179</v>
      </c>
      <c r="Q7" s="83">
        <f>25210.9-25191.95</f>
        <v>18.950000000000728</v>
      </c>
      <c r="R7" s="83">
        <f t="shared" si="0"/>
        <v>90.604999999993197</v>
      </c>
      <c r="S7" s="83">
        <f>(N7+O7+P7)*7.84</f>
        <v>710.34319999994671</v>
      </c>
      <c r="T7" s="83">
        <f>M7+Q7</f>
        <v>137.11800000000585</v>
      </c>
      <c r="U7" s="83">
        <f>T7*7.84</f>
        <v>1075.0051200000457</v>
      </c>
      <c r="V7" s="83">
        <f>365490-365336.5</f>
        <v>153.5</v>
      </c>
      <c r="W7" s="83">
        <f>129986.94-129986.94</f>
        <v>0</v>
      </c>
      <c r="X7" s="86" t="s">
        <v>63</v>
      </c>
      <c r="Y7" s="86">
        <v>885866</v>
      </c>
      <c r="Z7" s="5">
        <f>IF((Y7-Y6&lt;0), "0",Y7-Y6)</f>
        <v>402</v>
      </c>
      <c r="AA7" s="14">
        <f t="shared" ref="AA7:AA34" si="6">Z7*6.47</f>
        <v>2600.94</v>
      </c>
      <c r="AB7" s="87">
        <v>7773259</v>
      </c>
      <c r="AC7" s="87">
        <f>AB6</f>
        <v>7742465</v>
      </c>
      <c r="AD7" s="5">
        <f t="shared" si="3"/>
        <v>30794</v>
      </c>
      <c r="AE7" s="83">
        <f>AD7*0.332195</f>
        <v>10229.61283</v>
      </c>
      <c r="AF7" s="83">
        <f>90823-90773.8</f>
        <v>49.19999999999709</v>
      </c>
      <c r="AG7" s="83">
        <f>48278.1-48239.6</f>
        <v>38.5</v>
      </c>
      <c r="AH7" s="83">
        <f>28718.3-28701.9</f>
        <v>16.399999999997817</v>
      </c>
      <c r="AI7" s="87">
        <f>AJ6</f>
        <v>46474.400000000001</v>
      </c>
      <c r="AJ7" s="87">
        <v>46510.5</v>
      </c>
      <c r="AK7" s="48">
        <f t="shared" ref="AK7:AK34" si="7">IF((AJ7-AI7)&lt;0, "0",AJ7-AI7)</f>
        <v>36.099999999998545</v>
      </c>
      <c r="AL7" s="89">
        <f t="shared" si="4"/>
        <v>10264.859412848586</v>
      </c>
      <c r="AM7" s="83">
        <f>AL7*0.332195</f>
        <v>3409.934972651236</v>
      </c>
      <c r="AN7" s="71">
        <v>58</v>
      </c>
      <c r="AO7" s="78">
        <f t="shared" si="5"/>
        <v>20401.157950000044</v>
      </c>
    </row>
    <row r="8" spans="1:44" x14ac:dyDescent="0.25">
      <c r="A8" s="79">
        <v>44442</v>
      </c>
      <c r="B8" s="86">
        <f>12428303-12423500</f>
        <v>4803</v>
      </c>
      <c r="C8" s="86">
        <f>7949898-7946267</f>
        <v>3631</v>
      </c>
      <c r="D8" s="86">
        <f>1566033-1565256</f>
        <v>777</v>
      </c>
      <c r="E8" s="86">
        <f>11879927-11874204</f>
        <v>5723</v>
      </c>
      <c r="F8" s="86">
        <f>11807713-11801407</f>
        <v>6306</v>
      </c>
      <c r="G8" s="86">
        <f>8491769-8488546</f>
        <v>3223</v>
      </c>
      <c r="H8" s="86">
        <f>8955184-8947348</f>
        <v>7836</v>
      </c>
      <c r="I8" s="86">
        <f>5334009-5331562</f>
        <v>2447</v>
      </c>
      <c r="J8" s="86">
        <f>11941028-11934024</f>
        <v>7004</v>
      </c>
      <c r="K8" s="86">
        <f>SUM(B8:H8)</f>
        <v>32299</v>
      </c>
      <c r="L8" s="14">
        <f t="shared" ref="L8:L34" si="8">K8*0.2</f>
        <v>6459.8</v>
      </c>
      <c r="M8" s="83">
        <f>86539.444-86411.368</f>
        <v>128.07600000000093</v>
      </c>
      <c r="N8" s="83">
        <f>4515.828-4515.394</f>
        <v>0.43400000000019645</v>
      </c>
      <c r="O8" s="83">
        <f>10205.988-10190.65</f>
        <v>15.337999999999738</v>
      </c>
      <c r="P8" s="82">
        <f>94524.339-94446.65</f>
        <v>77.689000000013039</v>
      </c>
      <c r="Q8" s="83">
        <f>25220.893-25210.9</f>
        <v>9.9929999999985739</v>
      </c>
      <c r="R8" s="83">
        <f t="shared" si="0"/>
        <v>93.461000000012973</v>
      </c>
      <c r="S8" s="83">
        <f>(N8+O8+P8)*7.84</f>
        <v>732.73424000010175</v>
      </c>
      <c r="T8" s="83">
        <f>M8+Q8</f>
        <v>138.06899999999951</v>
      </c>
      <c r="U8" s="83">
        <f>T8*7.84</f>
        <v>1082.460959999996</v>
      </c>
      <c r="V8" s="83">
        <f>365652.7-365490</f>
        <v>162.70000000001164</v>
      </c>
      <c r="W8" s="83">
        <f t="shared" ref="W8:W35" si="9">129986.94-129986.94</f>
        <v>0</v>
      </c>
      <c r="X8" s="86" t="s">
        <v>63</v>
      </c>
      <c r="Y8" s="86">
        <v>886331</v>
      </c>
      <c r="Z8" s="5">
        <f t="shared" ref="Z8:Z34" si="10">IF((Y8-Y7&lt;0), "0",Y8-Y7)</f>
        <v>465</v>
      </c>
      <c r="AA8" s="14">
        <f t="shared" si="6"/>
        <v>3008.5499999999997</v>
      </c>
      <c r="AB8" s="87">
        <v>7803039</v>
      </c>
      <c r="AC8" s="87">
        <f t="shared" ref="AC8:AC35" si="11">AB7</f>
        <v>7773259</v>
      </c>
      <c r="AD8" s="5">
        <f t="shared" si="3"/>
        <v>29780</v>
      </c>
      <c r="AE8" s="83">
        <f t="shared" ref="AE8:AE35" si="12">AD8*0.332195</f>
        <v>9892.7671000000009</v>
      </c>
      <c r="AF8" s="83">
        <f>90869-90823</f>
        <v>46</v>
      </c>
      <c r="AG8" s="83">
        <f>48315-48278.1</f>
        <v>36.900000000001455</v>
      </c>
      <c r="AH8" s="83">
        <f>28735.3-28718.3</f>
        <v>17</v>
      </c>
      <c r="AI8" s="87">
        <f t="shared" ref="AI8:AI35" si="13">AJ7</f>
        <v>46510.5</v>
      </c>
      <c r="AJ8" s="87">
        <v>46546</v>
      </c>
      <c r="AK8" s="48">
        <f t="shared" si="7"/>
        <v>35.5</v>
      </c>
      <c r="AL8" s="89">
        <f t="shared" si="4"/>
        <v>10094.252331194999</v>
      </c>
      <c r="AM8" s="83">
        <f t="shared" ref="AM8:AM35" si="14">AL8*0.332195</f>
        <v>3353.2601531613227</v>
      </c>
      <c r="AN8" s="71">
        <v>54</v>
      </c>
      <c r="AO8" s="78">
        <f t="shared" si="5"/>
        <v>20443.578059999996</v>
      </c>
    </row>
    <row r="9" spans="1:44" x14ac:dyDescent="0.25">
      <c r="A9" s="79">
        <v>44443</v>
      </c>
      <c r="B9" s="86">
        <f>12433101-12428303</f>
        <v>4798</v>
      </c>
      <c r="C9" s="86">
        <f>7953472-7949898</f>
        <v>3574</v>
      </c>
      <c r="D9" s="86">
        <f>1566817-1566033</f>
        <v>784</v>
      </c>
      <c r="E9" s="86">
        <f>11885866-11879927</f>
        <v>5939</v>
      </c>
      <c r="F9" s="86">
        <f>11813872-11807713</f>
        <v>6159</v>
      </c>
      <c r="G9" s="86">
        <f>8494654-8491769</f>
        <v>2885</v>
      </c>
      <c r="H9" s="86">
        <f>8962498-8955184</f>
        <v>7314</v>
      </c>
      <c r="I9" s="86">
        <f>5336476-5334009</f>
        <v>2467</v>
      </c>
      <c r="J9" s="86">
        <f>11947817-11941028</f>
        <v>6789</v>
      </c>
      <c r="K9" s="86">
        <f t="shared" ref="K9:K34" si="15">SUM(B9:H9)</f>
        <v>31453</v>
      </c>
      <c r="L9" s="14">
        <f t="shared" si="8"/>
        <v>6290.6</v>
      </c>
      <c r="M9" s="83">
        <f>86666.89-86539.444</f>
        <v>127.44599999999627</v>
      </c>
      <c r="N9" s="83">
        <f>4516.557-4515.828</f>
        <v>0.72899999999935972</v>
      </c>
      <c r="O9" s="83">
        <f>10216.285-10205.988</f>
        <v>10.29700000000048</v>
      </c>
      <c r="P9" s="82">
        <f>94593.4-94524.339</f>
        <v>69.060999999986961</v>
      </c>
      <c r="Q9" s="83">
        <f>25236.08-25220.893</f>
        <v>15.187000000001717</v>
      </c>
      <c r="R9" s="83">
        <f t="shared" si="0"/>
        <v>80.086999999986801</v>
      </c>
      <c r="S9" s="83">
        <f t="shared" si="1"/>
        <v>627.88207999989652</v>
      </c>
      <c r="T9" s="83">
        <f t="shared" si="2"/>
        <v>142.63299999999799</v>
      </c>
      <c r="U9" s="83">
        <f t="shared" ref="U9:U36" si="16">T9*7.84</f>
        <v>1118.2427199999843</v>
      </c>
      <c r="V9" s="83">
        <f>365809.4-365652.7</f>
        <v>156.70000000001164</v>
      </c>
      <c r="W9" s="83">
        <f t="shared" si="9"/>
        <v>0</v>
      </c>
      <c r="X9" s="86" t="s">
        <v>63</v>
      </c>
      <c r="Y9" s="86">
        <v>886742</v>
      </c>
      <c r="Z9" s="5">
        <f t="shared" si="10"/>
        <v>411</v>
      </c>
      <c r="AA9" s="14">
        <f t="shared" si="6"/>
        <v>2659.17</v>
      </c>
      <c r="AB9" s="87">
        <v>7831602</v>
      </c>
      <c r="AC9" s="87">
        <f t="shared" si="11"/>
        <v>7803039</v>
      </c>
      <c r="AD9" s="5">
        <f t="shared" si="3"/>
        <v>28563</v>
      </c>
      <c r="AE9" s="83">
        <f t="shared" si="12"/>
        <v>9488.4857850000008</v>
      </c>
      <c r="AF9" s="83">
        <f>90915.6-90869</f>
        <v>46.600000000005821</v>
      </c>
      <c r="AG9" s="83">
        <f>48349.9-48315</f>
        <v>34.900000000001455</v>
      </c>
      <c r="AH9" s="83">
        <f>28752-28735.3</f>
        <v>16.700000000000728</v>
      </c>
      <c r="AI9" s="87">
        <f t="shared" si="13"/>
        <v>46546</v>
      </c>
      <c r="AJ9" s="87">
        <v>46582.2</v>
      </c>
      <c r="AK9" s="48">
        <f t="shared" si="7"/>
        <v>36.19999999999709</v>
      </c>
      <c r="AL9" s="89">
        <f t="shared" si="4"/>
        <v>10293.293926457172</v>
      </c>
      <c r="AM9" s="83">
        <f t="shared" si="14"/>
        <v>3419.3807758994408</v>
      </c>
      <c r="AN9" s="71">
        <v>56</v>
      </c>
      <c r="AO9" s="78">
        <f t="shared" si="5"/>
        <v>19556.498504999985</v>
      </c>
    </row>
    <row r="10" spans="1:44" x14ac:dyDescent="0.25">
      <c r="A10" s="79">
        <v>44444</v>
      </c>
      <c r="B10" s="86">
        <f>12438078-12433101</f>
        <v>4977</v>
      </c>
      <c r="C10" s="86">
        <f>7957107-7953472</f>
        <v>3635</v>
      </c>
      <c r="D10" s="86">
        <f>1567619-1566817</f>
        <v>802</v>
      </c>
      <c r="E10" s="86">
        <f>11891685-11885866</f>
        <v>5819</v>
      </c>
      <c r="F10" s="86">
        <f>11819954-11813872</f>
        <v>6082</v>
      </c>
      <c r="G10" s="86">
        <f>8497583-8494654</f>
        <v>2929</v>
      </c>
      <c r="H10" s="86">
        <f>8968970-8962498</f>
        <v>6472</v>
      </c>
      <c r="I10" s="86">
        <f>5338964-5336476</f>
        <v>2488</v>
      </c>
      <c r="J10" s="86">
        <f>11954534-11947817</f>
        <v>6717</v>
      </c>
      <c r="K10" s="86">
        <f t="shared" si="15"/>
        <v>30716</v>
      </c>
      <c r="L10" s="14">
        <f t="shared" si="8"/>
        <v>6143.2000000000007</v>
      </c>
      <c r="M10" s="83">
        <f>86779.93-86666.89</f>
        <v>113.0399999999936</v>
      </c>
      <c r="N10" s="83">
        <f>4517.359-4516.557</f>
        <v>0.80200000000058935</v>
      </c>
      <c r="O10" s="83">
        <f>10217.446-10216.285</f>
        <v>1.1610000000000582</v>
      </c>
      <c r="P10" s="82">
        <f>94658.65-94593.4</f>
        <v>65.25</v>
      </c>
      <c r="Q10" s="83">
        <f>25250.621-25236.08</f>
        <v>14.540999999997439</v>
      </c>
      <c r="R10" s="83">
        <f t="shared" si="0"/>
        <v>67.213000000000648</v>
      </c>
      <c r="S10" s="83">
        <f t="shared" si="1"/>
        <v>526.94992000000502</v>
      </c>
      <c r="T10" s="83">
        <f t="shared" si="2"/>
        <v>127.58099999999104</v>
      </c>
      <c r="U10" s="83">
        <f t="shared" si="16"/>
        <v>1000.2350399999297</v>
      </c>
      <c r="V10" s="83">
        <f>365957.9-365809.4</f>
        <v>148.5</v>
      </c>
      <c r="W10" s="83">
        <f t="shared" si="9"/>
        <v>0</v>
      </c>
      <c r="X10" s="86" t="s">
        <v>63</v>
      </c>
      <c r="Y10" s="86">
        <v>887164</v>
      </c>
      <c r="Z10" s="5">
        <f t="shared" si="10"/>
        <v>422</v>
      </c>
      <c r="AA10" s="14">
        <f t="shared" si="6"/>
        <v>2730.3399999999997</v>
      </c>
      <c r="AB10" s="87">
        <v>7858687</v>
      </c>
      <c r="AC10" s="87">
        <f t="shared" si="11"/>
        <v>7831602</v>
      </c>
      <c r="AD10" s="5">
        <f t="shared" si="3"/>
        <v>27085</v>
      </c>
      <c r="AE10" s="83">
        <f t="shared" si="12"/>
        <v>8997.5015750000002</v>
      </c>
      <c r="AF10" s="83">
        <f>90961.4-90915.6</f>
        <v>45.799999999988358</v>
      </c>
      <c r="AG10" s="83">
        <f>48378.8-48349.9</f>
        <v>28.900000000001455</v>
      </c>
      <c r="AH10" s="83">
        <f>28768.6-28752</f>
        <v>16.599999999998545</v>
      </c>
      <c r="AI10" s="87">
        <f t="shared" si="13"/>
        <v>46582.2</v>
      </c>
      <c r="AJ10" s="87">
        <v>46616.5</v>
      </c>
      <c r="AK10" s="48">
        <f t="shared" si="7"/>
        <v>34.30000000000291</v>
      </c>
      <c r="AL10" s="89">
        <f t="shared" si="4"/>
        <v>9753.0381678878275</v>
      </c>
      <c r="AM10" s="83">
        <f t="shared" si="14"/>
        <v>3239.9105141814971</v>
      </c>
      <c r="AN10" s="71">
        <v>80</v>
      </c>
      <c r="AO10" s="78">
        <f t="shared" si="5"/>
        <v>18871.27661499993</v>
      </c>
    </row>
    <row r="11" spans="1:44" x14ac:dyDescent="0.25">
      <c r="A11" s="79">
        <v>44445</v>
      </c>
      <c r="B11" s="86">
        <f>12443648-12438078</f>
        <v>5570</v>
      </c>
      <c r="C11" s="86">
        <f>7961013-7957107</f>
        <v>3906</v>
      </c>
      <c r="D11" s="86">
        <f>1568378-1567619</f>
        <v>759</v>
      </c>
      <c r="E11" s="86">
        <f>11897554-11891685</f>
        <v>5869</v>
      </c>
      <c r="F11" s="86">
        <f>11826107-11819954</f>
        <v>6153</v>
      </c>
      <c r="G11" s="86">
        <f>8500617-8497583</f>
        <v>3034</v>
      </c>
      <c r="H11" s="86">
        <f>8975310-8968970</f>
        <v>6340</v>
      </c>
      <c r="I11" s="86">
        <f>5341346-5338964</f>
        <v>2382</v>
      </c>
      <c r="J11" s="86">
        <f>11961150-11954534</f>
        <v>6616</v>
      </c>
      <c r="K11" s="86">
        <f t="shared" si="15"/>
        <v>31631</v>
      </c>
      <c r="L11" s="14">
        <f t="shared" si="8"/>
        <v>6326.2000000000007</v>
      </c>
      <c r="M11" s="83">
        <f>86909.512-86779.93</f>
        <v>129.58200000000943</v>
      </c>
      <c r="N11" s="83">
        <f>4518.502-4517.359</f>
        <v>1.1430000000000291</v>
      </c>
      <c r="O11" s="83">
        <f>10219.361-10217.446</f>
        <v>1.9150000000008731</v>
      </c>
      <c r="P11" s="82">
        <f>94718.512-94658.65</f>
        <v>59.862000000008265</v>
      </c>
      <c r="Q11" s="83">
        <f>25257.412-25250.621</f>
        <v>6.7910000000010768</v>
      </c>
      <c r="R11" s="83">
        <f t="shared" si="0"/>
        <v>62.920000000009168</v>
      </c>
      <c r="S11" s="83">
        <f t="shared" si="1"/>
        <v>493.29280000007185</v>
      </c>
      <c r="T11" s="83">
        <f t="shared" si="2"/>
        <v>136.37300000001051</v>
      </c>
      <c r="U11" s="83">
        <f t="shared" si="16"/>
        <v>1069.1643200000824</v>
      </c>
      <c r="V11" s="83">
        <f>366113-365957.9</f>
        <v>155.09999999997672</v>
      </c>
      <c r="W11" s="83">
        <f t="shared" si="9"/>
        <v>0</v>
      </c>
      <c r="X11" s="86" t="s">
        <v>63</v>
      </c>
      <c r="Y11" s="87">
        <v>887586</v>
      </c>
      <c r="Z11" s="5">
        <f t="shared" si="10"/>
        <v>422</v>
      </c>
      <c r="AA11" s="14">
        <f t="shared" si="6"/>
        <v>2730.3399999999997</v>
      </c>
      <c r="AB11" s="87">
        <v>7889917</v>
      </c>
      <c r="AC11" s="86">
        <f t="shared" si="11"/>
        <v>7858687</v>
      </c>
      <c r="AD11" s="5">
        <f t="shared" si="3"/>
        <v>31230</v>
      </c>
      <c r="AE11" s="83">
        <f t="shared" si="12"/>
        <v>10374.449850000001</v>
      </c>
      <c r="AF11" s="83">
        <f>91014-90961.4</f>
        <v>52.600000000005821</v>
      </c>
      <c r="AG11" s="83">
        <f>48413.8-48378.8</f>
        <v>35</v>
      </c>
      <c r="AH11" s="83">
        <f>28785.6-28768.6</f>
        <v>17</v>
      </c>
      <c r="AI11" s="87">
        <f t="shared" si="13"/>
        <v>46616.5</v>
      </c>
      <c r="AJ11" s="87">
        <v>46652</v>
      </c>
      <c r="AK11" s="48">
        <f t="shared" si="7"/>
        <v>35.5</v>
      </c>
      <c r="AL11" s="89">
        <f t="shared" si="4"/>
        <v>10094.252331194999</v>
      </c>
      <c r="AM11" s="83">
        <f t="shared" si="14"/>
        <v>3353.2601531613227</v>
      </c>
      <c r="AN11" s="71">
        <v>107</v>
      </c>
      <c r="AO11" s="78">
        <f t="shared" si="5"/>
        <v>20500.154170000082</v>
      </c>
    </row>
    <row r="12" spans="1:44" x14ac:dyDescent="0.25">
      <c r="A12" s="79">
        <v>44446</v>
      </c>
      <c r="B12" s="86">
        <f>12449415-12443648</f>
        <v>5767</v>
      </c>
      <c r="C12" s="86">
        <f>7964600-7961013</f>
        <v>3587</v>
      </c>
      <c r="D12" s="86">
        <f>1569198-1568378</f>
        <v>820</v>
      </c>
      <c r="E12" s="86">
        <f>11903405-11897554</f>
        <v>5851</v>
      </c>
      <c r="F12" s="86">
        <f>11832265-11826107</f>
        <v>6158</v>
      </c>
      <c r="G12" s="86">
        <f>8503619-8500617</f>
        <v>3002</v>
      </c>
      <c r="H12" s="86">
        <f>8981601-8975310</f>
        <v>6291</v>
      </c>
      <c r="I12" s="86">
        <f>5343779-5341346</f>
        <v>2433</v>
      </c>
      <c r="J12" s="86">
        <f>11967840-11961150</f>
        <v>6690</v>
      </c>
      <c r="K12" s="86">
        <f t="shared" si="15"/>
        <v>31476</v>
      </c>
      <c r="L12" s="14">
        <f t="shared" si="8"/>
        <v>6295.2000000000007</v>
      </c>
      <c r="M12" s="83">
        <f>87030.999-86909.512</f>
        <v>121.48699999999371</v>
      </c>
      <c r="N12" s="83">
        <f>4519.698-4518.502</f>
        <v>1.1959999999999127</v>
      </c>
      <c r="O12" s="83">
        <f>10221.39-10219.361</f>
        <v>2.0289999999986321</v>
      </c>
      <c r="P12" s="82">
        <f>94780.168-94718.512</f>
        <v>61.656000000002678</v>
      </c>
      <c r="Q12" s="83">
        <f>25270.461-25257.412</f>
        <v>13.048999999999069</v>
      </c>
      <c r="R12" s="83">
        <f t="shared" si="0"/>
        <v>64.881000000001222</v>
      </c>
      <c r="S12" s="83">
        <f t="shared" si="1"/>
        <v>508.66704000000959</v>
      </c>
      <c r="T12" s="83">
        <f t="shared" si="2"/>
        <v>134.53599999999278</v>
      </c>
      <c r="U12" s="83">
        <f t="shared" si="16"/>
        <v>1054.7622399999434</v>
      </c>
      <c r="V12" s="83">
        <f>366270.6-366113</f>
        <v>157.59999999997672</v>
      </c>
      <c r="W12" s="83">
        <f t="shared" si="9"/>
        <v>0</v>
      </c>
      <c r="X12" s="86" t="s">
        <v>63</v>
      </c>
      <c r="Y12" s="87">
        <v>887991</v>
      </c>
      <c r="Z12" s="5">
        <f t="shared" si="10"/>
        <v>405</v>
      </c>
      <c r="AA12" s="14">
        <f t="shared" si="6"/>
        <v>2620.35</v>
      </c>
      <c r="AB12" s="87">
        <v>7923809</v>
      </c>
      <c r="AC12" s="86">
        <f t="shared" si="11"/>
        <v>7889917</v>
      </c>
      <c r="AD12" s="5">
        <f t="shared" si="3"/>
        <v>33892</v>
      </c>
      <c r="AE12" s="83">
        <f t="shared" si="12"/>
        <v>11258.75294</v>
      </c>
      <c r="AF12" s="83">
        <f>91070.7-91014</f>
        <v>56.69999999999709</v>
      </c>
      <c r="AG12" s="83">
        <f>48450.5-48413.8</f>
        <v>36.69999999999709</v>
      </c>
      <c r="AH12" s="83">
        <f>28802.6-28785.6</f>
        <v>17</v>
      </c>
      <c r="AI12" s="87">
        <f t="shared" si="13"/>
        <v>46652</v>
      </c>
      <c r="AJ12" s="87">
        <v>46691.199999999997</v>
      </c>
      <c r="AK12" s="48">
        <f t="shared" si="7"/>
        <v>39.19999999999709</v>
      </c>
      <c r="AL12" s="89">
        <f t="shared" si="4"/>
        <v>11146.329334727172</v>
      </c>
      <c r="AM12" s="83">
        <f t="shared" si="14"/>
        <v>3702.7548733496933</v>
      </c>
      <c r="AN12" s="71">
        <v>103</v>
      </c>
      <c r="AO12" s="78">
        <f t="shared" si="5"/>
        <v>21229.065179999947</v>
      </c>
    </row>
    <row r="13" spans="1:44" x14ac:dyDescent="0.25">
      <c r="A13" s="79">
        <v>44447</v>
      </c>
      <c r="B13" s="86">
        <f>12455160-12449415</f>
        <v>5745</v>
      </c>
      <c r="C13" s="86">
        <f>7968179-7964600</f>
        <v>3579</v>
      </c>
      <c r="D13" s="86">
        <f>1569945-1569198</f>
        <v>747</v>
      </c>
      <c r="E13" s="86">
        <f>11909390-11903405</f>
        <v>5985</v>
      </c>
      <c r="F13" s="86">
        <f>11838358-11832265</f>
        <v>6093</v>
      </c>
      <c r="G13" s="86">
        <f>8506590-8503619</f>
        <v>2971</v>
      </c>
      <c r="H13" s="86">
        <f>8987730-8981601</f>
        <v>6129</v>
      </c>
      <c r="I13" s="86">
        <f>5346219-5343779</f>
        <v>2440</v>
      </c>
      <c r="J13" s="86">
        <f>11974631-11967840</f>
        <v>6791</v>
      </c>
      <c r="K13" s="86">
        <f t="shared" si="15"/>
        <v>31249</v>
      </c>
      <c r="L13" s="14">
        <f t="shared" si="8"/>
        <v>6249.8</v>
      </c>
      <c r="M13" s="83">
        <f>87162.029-87030.999</f>
        <v>131.02999999999884</v>
      </c>
      <c r="N13" s="83">
        <f>4520.477-4519.698</f>
        <v>0.77899999999954161</v>
      </c>
      <c r="O13" s="83">
        <f>10223.105-10221.39</f>
        <v>1.7150000000001455</v>
      </c>
      <c r="P13" s="82">
        <f>94850.055-94780.168</f>
        <v>69.886999999987893</v>
      </c>
      <c r="Q13" s="83">
        <f>25277.287-25270.461</f>
        <v>6.8260000000009313</v>
      </c>
      <c r="R13" s="83">
        <f t="shared" si="0"/>
        <v>72.38099999998758</v>
      </c>
      <c r="S13" s="83">
        <f t="shared" si="1"/>
        <v>567.46703999990257</v>
      </c>
      <c r="T13" s="83">
        <f t="shared" si="2"/>
        <v>137.85599999999977</v>
      </c>
      <c r="U13" s="83">
        <f t="shared" si="16"/>
        <v>1080.7910399999982</v>
      </c>
      <c r="V13" s="83">
        <f>366433.1-366270.6</f>
        <v>162.5</v>
      </c>
      <c r="W13" s="83">
        <f t="shared" si="9"/>
        <v>0</v>
      </c>
      <c r="X13" s="86" t="s">
        <v>63</v>
      </c>
      <c r="Y13" s="87">
        <v>888417</v>
      </c>
      <c r="Z13" s="5">
        <f t="shared" si="10"/>
        <v>426</v>
      </c>
      <c r="AA13" s="14">
        <f t="shared" si="6"/>
        <v>2756.22</v>
      </c>
      <c r="AB13" s="87">
        <v>7958290</v>
      </c>
      <c r="AC13" s="86">
        <f t="shared" si="11"/>
        <v>7923809</v>
      </c>
      <c r="AD13" s="5">
        <f t="shared" si="3"/>
        <v>34481</v>
      </c>
      <c r="AE13" s="83">
        <f t="shared" si="12"/>
        <v>11454.415795000001</v>
      </c>
      <c r="AF13" s="83">
        <f>91128.8-91070.7</f>
        <v>58.100000000005821</v>
      </c>
      <c r="AG13" s="83">
        <f>48486.5-48450.5</f>
        <v>36</v>
      </c>
      <c r="AH13" s="83">
        <f>28820.8-28802.6</f>
        <v>18.200000000000728</v>
      </c>
      <c r="AI13" s="87">
        <f t="shared" si="13"/>
        <v>46691.199999999997</v>
      </c>
      <c r="AJ13" s="87">
        <v>46730.8</v>
      </c>
      <c r="AK13" s="48">
        <f t="shared" si="7"/>
        <v>39.600000000005821</v>
      </c>
      <c r="AL13" s="89">
        <f t="shared" si="4"/>
        <v>11260.067389165655</v>
      </c>
      <c r="AM13" s="83">
        <f t="shared" si="14"/>
        <v>3740.538086343885</v>
      </c>
      <c r="AN13" s="71">
        <v>82</v>
      </c>
      <c r="AO13" s="78">
        <f t="shared" si="5"/>
        <v>21541.226835000001</v>
      </c>
    </row>
    <row r="14" spans="1:44" x14ac:dyDescent="0.25">
      <c r="A14" s="79">
        <v>44448</v>
      </c>
      <c r="B14" s="86">
        <f>12460754-12455160</f>
        <v>5594</v>
      </c>
      <c r="C14" s="86">
        <f>7971907-7968179</f>
        <v>3728</v>
      </c>
      <c r="D14" s="86">
        <f>1570792-1569945</f>
        <v>847</v>
      </c>
      <c r="E14" s="86">
        <f>11915230-11909390</f>
        <v>5840</v>
      </c>
      <c r="F14" s="86">
        <f>11844410-11838358</f>
        <v>6052</v>
      </c>
      <c r="G14" s="86">
        <f>8509569-8506590</f>
        <v>2979</v>
      </c>
      <c r="H14" s="86">
        <f>8993768-8987730</f>
        <v>6038</v>
      </c>
      <c r="I14" s="86">
        <f>5348680-5346219</f>
        <v>2461</v>
      </c>
      <c r="J14" s="86">
        <f>11981472-11974631</f>
        <v>6841</v>
      </c>
      <c r="K14" s="86">
        <f t="shared" si="15"/>
        <v>31078</v>
      </c>
      <c r="L14" s="14">
        <f t="shared" si="8"/>
        <v>6215.6</v>
      </c>
      <c r="M14" s="83">
        <f>87304.907-87162.029</f>
        <v>142.87800000001153</v>
      </c>
      <c r="N14" s="83">
        <f>4521.382-4520.477</f>
        <v>0.90499999999974534</v>
      </c>
      <c r="O14" s="83">
        <f>10224.646-10223.105</f>
        <v>1.5410000000010768</v>
      </c>
      <c r="P14" s="82">
        <f>94920.108-94850.055</f>
        <v>70.052999999999884</v>
      </c>
      <c r="Q14" s="83">
        <f>25289.978-25277.287</f>
        <v>12.690999999998894</v>
      </c>
      <c r="R14" s="83">
        <f>N14+O14+P14</f>
        <v>72.499000000000706</v>
      </c>
      <c r="S14" s="83">
        <f t="shared" si="1"/>
        <v>568.39216000000556</v>
      </c>
      <c r="T14" s="83">
        <f t="shared" si="2"/>
        <v>155.56900000001042</v>
      </c>
      <c r="U14" s="83">
        <f t="shared" si="16"/>
        <v>1219.6609600000816</v>
      </c>
      <c r="V14" s="83">
        <f>366591.9-366433.1</f>
        <v>158.80000000004657</v>
      </c>
      <c r="W14" s="83">
        <f t="shared" si="9"/>
        <v>0</v>
      </c>
      <c r="X14" s="86" t="s">
        <v>63</v>
      </c>
      <c r="Y14" s="87">
        <v>888837</v>
      </c>
      <c r="Z14" s="5">
        <f>IF((Y14-Y13&lt;0), "0",Y14-Y13)</f>
        <v>420</v>
      </c>
      <c r="AA14" s="14">
        <f t="shared" si="6"/>
        <v>2717.4</v>
      </c>
      <c r="AB14" s="87">
        <v>7993557</v>
      </c>
      <c r="AC14" s="86">
        <f t="shared" si="11"/>
        <v>7958290</v>
      </c>
      <c r="AD14" s="5">
        <f t="shared" si="3"/>
        <v>35267</v>
      </c>
      <c r="AE14" s="83">
        <f t="shared" si="12"/>
        <v>11715.521065000001</v>
      </c>
      <c r="AF14" s="83">
        <f>91188.9-91128.8</f>
        <v>60.099999999991269</v>
      </c>
      <c r="AG14" s="83">
        <f>48522.7-48486.5</f>
        <v>36.19999999999709</v>
      </c>
      <c r="AH14" s="83">
        <f>28838.2-28820.8</f>
        <v>17.400000000001455</v>
      </c>
      <c r="AI14" s="87">
        <f t="shared" si="13"/>
        <v>46730.8</v>
      </c>
      <c r="AJ14" s="87">
        <v>46769.4</v>
      </c>
      <c r="AK14" s="48">
        <f t="shared" si="7"/>
        <v>38.599999999998545</v>
      </c>
      <c r="AL14" s="89">
        <f t="shared" si="4"/>
        <v>10975.722253073585</v>
      </c>
      <c r="AM14" s="83">
        <f t="shared" si="14"/>
        <v>3646.08005385978</v>
      </c>
      <c r="AN14" s="71">
        <v>57</v>
      </c>
      <c r="AO14" s="78">
        <f t="shared" si="5"/>
        <v>21868.182025000082</v>
      </c>
    </row>
    <row r="15" spans="1:44" x14ac:dyDescent="0.25">
      <c r="A15" s="79">
        <v>44449</v>
      </c>
      <c r="B15" s="86">
        <f>12466358-12460754</f>
        <v>5604</v>
      </c>
      <c r="C15" s="86">
        <f>7975607-7971907</f>
        <v>3700</v>
      </c>
      <c r="D15" s="86">
        <f>1571669-1570792</f>
        <v>877</v>
      </c>
      <c r="E15" s="86">
        <f>11921181-11915230</f>
        <v>5951</v>
      </c>
      <c r="F15" s="86">
        <f>11850830-11844410</f>
        <v>6420</v>
      </c>
      <c r="G15" s="86">
        <f>8512544-8509569</f>
        <v>2975</v>
      </c>
      <c r="H15" s="86">
        <f>8999620-8993768</f>
        <v>5852</v>
      </c>
      <c r="I15" s="86">
        <f>5351183-5348680</f>
        <v>2503</v>
      </c>
      <c r="J15" s="86">
        <f>11988485-11981472</f>
        <v>7013</v>
      </c>
      <c r="K15" s="86">
        <f t="shared" si="15"/>
        <v>31379</v>
      </c>
      <c r="L15" s="14">
        <f t="shared" si="8"/>
        <v>6275.8</v>
      </c>
      <c r="M15" s="83">
        <f>87434.734-87304.907</f>
        <v>129.82699999999022</v>
      </c>
      <c r="N15" s="83">
        <f>4522.184-4521.382</f>
        <v>0.80200000000058935</v>
      </c>
      <c r="O15" s="83">
        <f>10226.996-10224.646</f>
        <v>2.3499999999985448</v>
      </c>
      <c r="P15" s="82">
        <f>94993.948-94920.108</f>
        <v>73.840000000011059</v>
      </c>
      <c r="Q15" s="83">
        <f>25295.162-25289.978</f>
        <v>5.1840000000011059</v>
      </c>
      <c r="R15" s="83">
        <f t="shared" si="0"/>
        <v>76.992000000010194</v>
      </c>
      <c r="S15" s="83">
        <f t="shared" si="1"/>
        <v>603.61728000007986</v>
      </c>
      <c r="T15" s="83">
        <f t="shared" si="2"/>
        <v>135.01099999999133</v>
      </c>
      <c r="U15" s="83">
        <f t="shared" si="16"/>
        <v>1058.486239999932</v>
      </c>
      <c r="V15" s="83">
        <f>366762.7-366591.9</f>
        <v>170.79999999998836</v>
      </c>
      <c r="W15" s="83">
        <f t="shared" si="9"/>
        <v>0</v>
      </c>
      <c r="X15" s="86" t="s">
        <v>63</v>
      </c>
      <c r="Y15" s="87">
        <v>889304</v>
      </c>
      <c r="Z15" s="5">
        <f t="shared" si="10"/>
        <v>467</v>
      </c>
      <c r="AA15" s="14">
        <f t="shared" si="6"/>
        <v>3021.49</v>
      </c>
      <c r="AB15" s="87">
        <v>8029275</v>
      </c>
      <c r="AC15" s="86">
        <f t="shared" si="11"/>
        <v>7993557</v>
      </c>
      <c r="AD15" s="5">
        <f t="shared" si="3"/>
        <v>35718</v>
      </c>
      <c r="AE15" s="83">
        <f t="shared" si="12"/>
        <v>11865.34101</v>
      </c>
      <c r="AF15" s="83">
        <f>91250-91188.9</f>
        <v>61.100000000005821</v>
      </c>
      <c r="AG15" s="83">
        <f>48558.7-48522.7</f>
        <v>36</v>
      </c>
      <c r="AH15" s="83">
        <f>28856.7-28838.2</f>
        <v>18.5</v>
      </c>
      <c r="AI15" s="87">
        <f t="shared" si="13"/>
        <v>46769.4</v>
      </c>
      <c r="AJ15" s="87">
        <v>46808.4</v>
      </c>
      <c r="AK15" s="48">
        <f t="shared" si="7"/>
        <v>39</v>
      </c>
      <c r="AL15" s="89">
        <f t="shared" si="4"/>
        <v>11089.460307509999</v>
      </c>
      <c r="AM15" s="83">
        <f t="shared" si="14"/>
        <v>3683.8632668532841</v>
      </c>
      <c r="AN15" s="71">
        <v>49</v>
      </c>
      <c r="AO15" s="88">
        <f t="shared" si="5"/>
        <v>22221.11724999993</v>
      </c>
    </row>
    <row r="16" spans="1:44" x14ac:dyDescent="0.25">
      <c r="A16" s="79">
        <v>44450</v>
      </c>
      <c r="B16" s="86">
        <f>12471792-12466358</f>
        <v>5434</v>
      </c>
      <c r="C16" s="86">
        <f>7979653-7975607</f>
        <v>4046</v>
      </c>
      <c r="D16" s="86">
        <f>1572589-1571669</f>
        <v>920</v>
      </c>
      <c r="E16" s="86">
        <f>11927161-11921181</f>
        <v>5980</v>
      </c>
      <c r="F16" s="86">
        <f>11856896-11850830</f>
        <v>6066</v>
      </c>
      <c r="G16" s="86">
        <f>8515342-8512544</f>
        <v>2798</v>
      </c>
      <c r="H16" s="86">
        <f>9005402-8999620</f>
        <v>5782</v>
      </c>
      <c r="I16" s="86">
        <f>5353713-5351183</f>
        <v>2530</v>
      </c>
      <c r="J16" s="86">
        <f>11994960-11988485</f>
        <v>6475</v>
      </c>
      <c r="K16" s="86">
        <f t="shared" si="15"/>
        <v>31026</v>
      </c>
      <c r="L16" s="14">
        <f t="shared" si="8"/>
        <v>6205.2000000000007</v>
      </c>
      <c r="M16" s="83">
        <f>87544.811-87434.734</f>
        <v>110.07700000000477</v>
      </c>
      <c r="N16" s="83">
        <f>4522.911-4522.184</f>
        <v>0.72699999999986176</v>
      </c>
      <c r="O16" s="83">
        <f>10228.375-10226.996</f>
        <v>1.3790000000008149</v>
      </c>
      <c r="P16" s="82">
        <f>95049.871-94993.948</f>
        <v>55.922999999995227</v>
      </c>
      <c r="Q16" s="83">
        <f>25309.142-25295.162</f>
        <v>13.979999999999563</v>
      </c>
      <c r="R16" s="83">
        <f t="shared" si="0"/>
        <v>58.028999999995904</v>
      </c>
      <c r="S16" s="83">
        <f t="shared" si="1"/>
        <v>454.94735999996789</v>
      </c>
      <c r="T16" s="83">
        <f t="shared" si="2"/>
        <v>124.05700000000434</v>
      </c>
      <c r="U16" s="83">
        <f t="shared" si="16"/>
        <v>972.60688000003393</v>
      </c>
      <c r="V16" s="83">
        <f>366918.4-366762.7</f>
        <v>155.70000000001164</v>
      </c>
      <c r="W16" s="83">
        <f t="shared" si="9"/>
        <v>0</v>
      </c>
      <c r="X16" s="86" t="s">
        <v>63</v>
      </c>
      <c r="Y16" s="87">
        <v>889737</v>
      </c>
      <c r="Z16" s="5">
        <f t="shared" si="10"/>
        <v>433</v>
      </c>
      <c r="AA16" s="14">
        <f t="shared" si="6"/>
        <v>2801.5099999999998</v>
      </c>
      <c r="AB16" s="87">
        <v>8063343</v>
      </c>
      <c r="AC16" s="86">
        <f t="shared" si="11"/>
        <v>8029275</v>
      </c>
      <c r="AD16" s="5">
        <f t="shared" si="3"/>
        <v>34068</v>
      </c>
      <c r="AE16" s="83">
        <f t="shared" si="12"/>
        <v>11317.21926</v>
      </c>
      <c r="AF16" s="83">
        <f>91308.7-91250</f>
        <v>58.69999999999709</v>
      </c>
      <c r="AG16" s="83">
        <f>48593.3-48558.7</f>
        <v>34.600000000005821</v>
      </c>
      <c r="AH16" s="83">
        <f>28874.8-28856.7</f>
        <v>18.099999999998545</v>
      </c>
      <c r="AI16" s="87">
        <f t="shared" si="13"/>
        <v>46808.4</v>
      </c>
      <c r="AJ16" s="87">
        <v>46845.8</v>
      </c>
      <c r="AK16" s="48">
        <f t="shared" si="7"/>
        <v>37.400000000001455</v>
      </c>
      <c r="AL16" s="89">
        <f t="shared" si="4"/>
        <v>10634.508089766414</v>
      </c>
      <c r="AM16" s="83">
        <f t="shared" si="14"/>
        <v>3532.730414879954</v>
      </c>
      <c r="AN16" s="71">
        <v>58</v>
      </c>
      <c r="AO16" s="78">
        <f t="shared" si="5"/>
        <v>21296.536140000033</v>
      </c>
    </row>
    <row r="17" spans="1:41" x14ac:dyDescent="0.25">
      <c r="A17" s="79">
        <v>44451</v>
      </c>
      <c r="B17" s="86">
        <f>12477287-12471792</f>
        <v>5495</v>
      </c>
      <c r="C17" s="86">
        <f>7983660-7979653</f>
        <v>4007</v>
      </c>
      <c r="D17" s="86">
        <f>1573435-1572589</f>
        <v>846</v>
      </c>
      <c r="E17" s="86">
        <f>11932950-11927161</f>
        <v>5789</v>
      </c>
      <c r="F17" s="86">
        <f>11862979-11856896</f>
        <v>6083</v>
      </c>
      <c r="G17" s="86">
        <f>8518326-8515342</f>
        <v>2984</v>
      </c>
      <c r="H17" s="86">
        <f>9011152-9005402</f>
        <v>5750</v>
      </c>
      <c r="I17" s="86">
        <f>5356294-5353713</f>
        <v>2581</v>
      </c>
      <c r="J17" s="86">
        <f>12001661-11994960</f>
        <v>6701</v>
      </c>
      <c r="K17" s="86">
        <f t="shared" si="15"/>
        <v>30954</v>
      </c>
      <c r="L17" s="14">
        <f t="shared" si="8"/>
        <v>6190.8</v>
      </c>
      <c r="M17" s="83">
        <f>87665.438-87544.811</f>
        <v>120.62699999999313</v>
      </c>
      <c r="N17" s="83">
        <f>4523.788-4522.911</f>
        <v>0.87699999999949796</v>
      </c>
      <c r="O17" s="83">
        <f>10230.198-10228.375</f>
        <v>1.8230000000003201</v>
      </c>
      <c r="P17" s="82">
        <f>95117.64-95049.871</f>
        <v>67.769000000000233</v>
      </c>
      <c r="Q17" s="83">
        <f>25318.147-25309.142</f>
        <v>9.0050000000010186</v>
      </c>
      <c r="R17" s="83">
        <f t="shared" si="0"/>
        <v>70.469000000000051</v>
      </c>
      <c r="S17" s="83">
        <f t="shared" si="1"/>
        <v>552.47696000000042</v>
      </c>
      <c r="T17" s="83">
        <f t="shared" si="2"/>
        <v>129.63199999999415</v>
      </c>
      <c r="U17" s="83">
        <f t="shared" si="16"/>
        <v>1016.3148799999541</v>
      </c>
      <c r="V17" s="83">
        <f>367074.7-366918.4</f>
        <v>156.29999999998836</v>
      </c>
      <c r="W17" s="83">
        <f t="shared" si="9"/>
        <v>0</v>
      </c>
      <c r="X17" s="86" t="s">
        <v>63</v>
      </c>
      <c r="Y17" s="87">
        <v>890182</v>
      </c>
      <c r="Z17" s="5">
        <f t="shared" si="10"/>
        <v>445</v>
      </c>
      <c r="AA17" s="14">
        <f t="shared" si="6"/>
        <v>2879.15</v>
      </c>
      <c r="AB17" s="87">
        <v>8097744</v>
      </c>
      <c r="AC17" s="86">
        <f t="shared" si="11"/>
        <v>8063343</v>
      </c>
      <c r="AD17" s="5">
        <f t="shared" si="3"/>
        <v>34401</v>
      </c>
      <c r="AE17" s="83">
        <f t="shared" si="12"/>
        <v>11427.840195000001</v>
      </c>
      <c r="AF17" s="83">
        <f>91366.6-91308.7</f>
        <v>57.900000000008731</v>
      </c>
      <c r="AG17" s="83">
        <f>48627.8-48593.3</f>
        <v>34.5</v>
      </c>
      <c r="AH17" s="83">
        <f>28894-28874.8</f>
        <v>19.200000000000728</v>
      </c>
      <c r="AI17" s="87">
        <f t="shared" si="13"/>
        <v>46845.8</v>
      </c>
      <c r="AJ17" s="87">
        <v>46883.4</v>
      </c>
      <c r="AK17" s="48">
        <f t="shared" si="7"/>
        <v>37.599999999998545</v>
      </c>
      <c r="AL17" s="89">
        <f t="shared" si="4"/>
        <v>10691.377116983585</v>
      </c>
      <c r="AM17" s="83">
        <f t="shared" si="14"/>
        <v>3551.6220213763622</v>
      </c>
      <c r="AN17" s="71">
        <v>74</v>
      </c>
      <c r="AO17" s="78">
        <f t="shared" si="5"/>
        <v>21514.105074999956</v>
      </c>
    </row>
    <row r="18" spans="1:41" x14ac:dyDescent="0.25">
      <c r="A18" s="79">
        <v>44452</v>
      </c>
      <c r="B18" s="86">
        <f>12482679-12477287</f>
        <v>5392</v>
      </c>
      <c r="C18" s="86">
        <f>7987535-7983660</f>
        <v>3875</v>
      </c>
      <c r="D18" s="86">
        <f>1574375-1573435</f>
        <v>940</v>
      </c>
      <c r="E18" s="86">
        <f>11938612-11932950</f>
        <v>5662</v>
      </c>
      <c r="F18" s="86">
        <f>11868993-11862979</f>
        <v>6014</v>
      </c>
      <c r="G18" s="86">
        <f>8521314-8518326</f>
        <v>2988</v>
      </c>
      <c r="H18" s="86">
        <f>9016858-9011152</f>
        <v>5706</v>
      </c>
      <c r="I18" s="86">
        <f>5358787-5356294</f>
        <v>2493</v>
      </c>
      <c r="J18" s="86">
        <f>12008814-12001661</f>
        <v>7153</v>
      </c>
      <c r="K18" s="86">
        <f t="shared" si="15"/>
        <v>30577</v>
      </c>
      <c r="L18" s="14">
        <f t="shared" si="8"/>
        <v>6115.4000000000005</v>
      </c>
      <c r="M18" s="83">
        <f>87779.657-87665.438</f>
        <v>114.21900000001187</v>
      </c>
      <c r="N18" s="83">
        <f>4524.85-4523.788</f>
        <v>1.0620000000008076</v>
      </c>
      <c r="O18" s="83">
        <f>10231.906-10230.198</f>
        <v>1.7080000000005384</v>
      </c>
      <c r="P18" s="82">
        <f>95182.338-95117.64</f>
        <v>64.698000000003958</v>
      </c>
      <c r="Q18" s="83">
        <f>25328.572-25318.147</f>
        <v>10.424999999999272</v>
      </c>
      <c r="R18" s="83">
        <f t="shared" si="0"/>
        <v>67.468000000005304</v>
      </c>
      <c r="S18" s="83">
        <f t="shared" si="1"/>
        <v>528.9491200000416</v>
      </c>
      <c r="T18" s="83">
        <f t="shared" si="2"/>
        <v>124.64400000001115</v>
      </c>
      <c r="U18" s="83">
        <f t="shared" si="16"/>
        <v>977.20896000008736</v>
      </c>
      <c r="V18" s="83">
        <f>367244.1-367074.7</f>
        <v>169.39999999996508</v>
      </c>
      <c r="W18" s="83">
        <f t="shared" si="9"/>
        <v>0</v>
      </c>
      <c r="X18" s="86" t="s">
        <v>63</v>
      </c>
      <c r="Y18" s="87">
        <v>890618</v>
      </c>
      <c r="Z18" s="5">
        <f t="shared" si="10"/>
        <v>436</v>
      </c>
      <c r="AA18" s="14">
        <f t="shared" si="6"/>
        <v>2820.92</v>
      </c>
      <c r="AB18" s="87">
        <v>8132777</v>
      </c>
      <c r="AC18" s="86">
        <f t="shared" si="11"/>
        <v>8097744</v>
      </c>
      <c r="AD18" s="5">
        <f t="shared" si="3"/>
        <v>35033</v>
      </c>
      <c r="AE18" s="83">
        <f t="shared" si="12"/>
        <v>11637.787435</v>
      </c>
      <c r="AF18" s="82">
        <f>91426.3-91366.6</f>
        <v>59.69999999999709</v>
      </c>
      <c r="AG18" s="82">
        <f>48663.5-48627.8</f>
        <v>35.69999999999709</v>
      </c>
      <c r="AH18" s="82">
        <f>28912.5-28894</f>
        <v>18.5</v>
      </c>
      <c r="AI18" s="87">
        <f t="shared" si="13"/>
        <v>46883.4</v>
      </c>
      <c r="AJ18" s="87">
        <v>46921.3</v>
      </c>
      <c r="AK18" s="48">
        <f t="shared" si="7"/>
        <v>37.900000000001455</v>
      </c>
      <c r="AL18" s="89">
        <f t="shared" si="4"/>
        <v>10776.680657811414</v>
      </c>
      <c r="AM18" s="83">
        <f t="shared" si="14"/>
        <v>3579.9594311216629</v>
      </c>
      <c r="AN18" s="71">
        <v>74</v>
      </c>
      <c r="AO18" s="78">
        <f t="shared" si="5"/>
        <v>21551.316395000089</v>
      </c>
    </row>
    <row r="19" spans="1:41" x14ac:dyDescent="0.25">
      <c r="A19" s="79">
        <v>44453</v>
      </c>
      <c r="B19" s="86">
        <f>12488423-12482679</f>
        <v>5744</v>
      </c>
      <c r="C19" s="86">
        <f>7991664-7987535</f>
        <v>4129</v>
      </c>
      <c r="D19" s="86">
        <f>1575133-1574375</f>
        <v>758</v>
      </c>
      <c r="E19" s="86">
        <f>11944371-11938612</f>
        <v>5759</v>
      </c>
      <c r="F19" s="86">
        <f>11875088-11868993</f>
        <v>6095</v>
      </c>
      <c r="G19" s="86">
        <f>8524361-8521314</f>
        <v>3047</v>
      </c>
      <c r="H19" s="86">
        <f>9022613-9016858</f>
        <v>5755</v>
      </c>
      <c r="I19" s="86">
        <f>5361316-5358787</f>
        <v>2529</v>
      </c>
      <c r="J19" s="86">
        <f>12016121-12008814</f>
        <v>7307</v>
      </c>
      <c r="K19" s="86">
        <f t="shared" si="15"/>
        <v>31287</v>
      </c>
      <c r="L19" s="14">
        <f t="shared" si="8"/>
        <v>6257.4000000000005</v>
      </c>
      <c r="M19" s="83">
        <f>87903.79-87779.657</f>
        <v>124.13299999998708</v>
      </c>
      <c r="N19" s="83">
        <f>4526.45-4524.85</f>
        <v>1.5999999999994543</v>
      </c>
      <c r="O19" s="83">
        <f>10235.637-10231.906</f>
        <v>3.7309999999997672</v>
      </c>
      <c r="P19" s="82">
        <f>95218.587-95182.338</f>
        <v>36.248999999996158</v>
      </c>
      <c r="Q19" s="83">
        <f>25341.009-25328.572</f>
        <v>12.436999999998079</v>
      </c>
      <c r="R19" s="83">
        <f t="shared" si="0"/>
        <v>41.57999999999538</v>
      </c>
      <c r="S19" s="83">
        <f t="shared" si="1"/>
        <v>325.98719999996376</v>
      </c>
      <c r="T19" s="83">
        <f t="shared" si="2"/>
        <v>136.56999999998516</v>
      </c>
      <c r="U19" s="83">
        <f t="shared" si="16"/>
        <v>1070.7087999998837</v>
      </c>
      <c r="V19" s="83">
        <f>367400.7-367244.1</f>
        <v>156.60000000003492</v>
      </c>
      <c r="W19" s="83">
        <f t="shared" si="9"/>
        <v>0</v>
      </c>
      <c r="X19" s="86" t="s">
        <v>63</v>
      </c>
      <c r="Y19" s="87">
        <v>891062</v>
      </c>
      <c r="Z19" s="5">
        <f t="shared" si="10"/>
        <v>444</v>
      </c>
      <c r="AA19" s="14">
        <f t="shared" si="6"/>
        <v>2872.68</v>
      </c>
      <c r="AB19" s="87">
        <v>8167337</v>
      </c>
      <c r="AC19" s="86">
        <f t="shared" si="11"/>
        <v>8132777</v>
      </c>
      <c r="AD19" s="5">
        <f t="shared" si="3"/>
        <v>34560</v>
      </c>
      <c r="AE19" s="83">
        <f t="shared" si="12"/>
        <v>11480.6592</v>
      </c>
      <c r="AF19" s="83">
        <f>91485.4-91426.3</f>
        <v>59.099999999991269</v>
      </c>
      <c r="AG19" s="83">
        <f>48698.6-48663.5</f>
        <v>35.099999999998545</v>
      </c>
      <c r="AH19" s="83">
        <f>28931.6-28912.5</f>
        <v>19.099999999998545</v>
      </c>
      <c r="AI19" s="87">
        <f t="shared" si="13"/>
        <v>46921.3</v>
      </c>
      <c r="AJ19" s="87">
        <v>46960.3</v>
      </c>
      <c r="AK19" s="48">
        <f t="shared" si="7"/>
        <v>39</v>
      </c>
      <c r="AL19" s="89">
        <f t="shared" si="4"/>
        <v>11089.460307509999</v>
      </c>
      <c r="AM19" s="83">
        <f t="shared" si="14"/>
        <v>3683.8632668532841</v>
      </c>
      <c r="AN19" s="71">
        <v>65</v>
      </c>
      <c r="AO19" s="78">
        <f t="shared" si="5"/>
        <v>21681.447999999884</v>
      </c>
    </row>
    <row r="20" spans="1:41" x14ac:dyDescent="0.25">
      <c r="A20" s="79">
        <v>44454</v>
      </c>
      <c r="B20" s="86">
        <f>12493608-12488423</f>
        <v>5185</v>
      </c>
      <c r="C20" s="86">
        <f>7995936-7991664</f>
        <v>4272</v>
      </c>
      <c r="D20" s="86">
        <f>1575981-1575133</f>
        <v>848</v>
      </c>
      <c r="E20" s="86">
        <f>11950136-11944371</f>
        <v>5765</v>
      </c>
      <c r="F20" s="86">
        <f>11881163-11875088</f>
        <v>6075</v>
      </c>
      <c r="G20" s="86">
        <f>8527437-8524361</f>
        <v>3076</v>
      </c>
      <c r="H20" s="86">
        <f>9029116-9022613</f>
        <v>6503</v>
      </c>
      <c r="I20" s="86">
        <f>5363840-5361316</f>
        <v>2524</v>
      </c>
      <c r="J20" s="86">
        <f>12023121-12016121</f>
        <v>7000</v>
      </c>
      <c r="K20" s="86">
        <f t="shared" si="15"/>
        <v>31724</v>
      </c>
      <c r="L20" s="14">
        <f t="shared" si="8"/>
        <v>6344.8</v>
      </c>
      <c r="M20" s="83">
        <f>88041.445-87903.79</f>
        <v>137.65500000001339</v>
      </c>
      <c r="N20" s="83">
        <f>4527.581-4526.45</f>
        <v>1.1310000000003129</v>
      </c>
      <c r="O20" s="83">
        <f>10238.777-10235.637</f>
        <v>3.1399999999994179</v>
      </c>
      <c r="P20" s="82">
        <f>95306.003-95218.587</f>
        <v>87.415999999997439</v>
      </c>
      <c r="Q20" s="83">
        <f>25353.193-25341.009</f>
        <v>12.184000000001106</v>
      </c>
      <c r="R20" s="83">
        <f t="shared" si="0"/>
        <v>91.68699999999717</v>
      </c>
      <c r="S20" s="83">
        <f t="shared" si="1"/>
        <v>718.82607999997776</v>
      </c>
      <c r="T20" s="83">
        <f t="shared" si="2"/>
        <v>149.83900000001449</v>
      </c>
      <c r="U20" s="83">
        <f t="shared" si="16"/>
        <v>1174.7377600001137</v>
      </c>
      <c r="V20" s="83">
        <f>367558.9-367400.7</f>
        <v>158.20000000001164</v>
      </c>
      <c r="W20" s="83">
        <f t="shared" si="9"/>
        <v>0</v>
      </c>
      <c r="X20" s="86" t="s">
        <v>63</v>
      </c>
      <c r="Y20" s="87">
        <v>891509</v>
      </c>
      <c r="Z20" s="5">
        <f t="shared" si="10"/>
        <v>447</v>
      </c>
      <c r="AA20" s="14">
        <f t="shared" si="6"/>
        <v>2892.0899999999997</v>
      </c>
      <c r="AB20" s="87">
        <v>8201847</v>
      </c>
      <c r="AC20" s="86">
        <f t="shared" si="11"/>
        <v>8167337</v>
      </c>
      <c r="AD20" s="5">
        <f t="shared" si="3"/>
        <v>34510</v>
      </c>
      <c r="AE20" s="83">
        <f t="shared" si="12"/>
        <v>11464.04945</v>
      </c>
      <c r="AF20" s="83">
        <f>91544.2-91485.4</f>
        <v>58.80000000000291</v>
      </c>
      <c r="AG20" s="83">
        <f>48736.1-48698.6</f>
        <v>37.5</v>
      </c>
      <c r="AH20" s="83">
        <f>28950-28931.6</f>
        <v>18.400000000001455</v>
      </c>
      <c r="AI20" s="87">
        <f t="shared" si="13"/>
        <v>46960.3</v>
      </c>
      <c r="AJ20" s="87">
        <v>46998.1</v>
      </c>
      <c r="AK20" s="48">
        <f t="shared" si="7"/>
        <v>37.799999999995634</v>
      </c>
      <c r="AL20" s="89">
        <f t="shared" si="4"/>
        <v>10748.246144200759</v>
      </c>
      <c r="AM20" s="83">
        <f t="shared" si="14"/>
        <v>3570.5136278727714</v>
      </c>
      <c r="AN20" s="71">
        <v>83</v>
      </c>
      <c r="AO20" s="78">
        <f t="shared" si="5"/>
        <v>21875.677210000114</v>
      </c>
    </row>
    <row r="21" spans="1:41" x14ac:dyDescent="0.25">
      <c r="A21" s="79">
        <v>44455</v>
      </c>
      <c r="B21" s="86">
        <f>12499128-12493608</f>
        <v>5520</v>
      </c>
      <c r="C21" s="86">
        <f>8000622-7995936</f>
        <v>4686</v>
      </c>
      <c r="D21" s="86">
        <f>1577142-1575981</f>
        <v>1161</v>
      </c>
      <c r="E21" s="86">
        <f>11956069-11950136</f>
        <v>5933</v>
      </c>
      <c r="F21" s="86">
        <f>11887569-11881163</f>
        <v>6406</v>
      </c>
      <c r="G21" s="86">
        <f>8530641-8527437</f>
        <v>3204</v>
      </c>
      <c r="H21" s="86">
        <f>9036604-9029116</f>
        <v>7488</v>
      </c>
      <c r="I21" s="86">
        <f>5366423-5363840</f>
        <v>2583</v>
      </c>
      <c r="J21" s="86">
        <f>12029614-12023121</f>
        <v>6493</v>
      </c>
      <c r="K21" s="86">
        <f t="shared" si="15"/>
        <v>34398</v>
      </c>
      <c r="L21" s="14">
        <f t="shared" si="8"/>
        <v>6879.6</v>
      </c>
      <c r="M21" s="83">
        <f>88177.761-88041.445</f>
        <v>136.31599999999162</v>
      </c>
      <c r="N21" s="83">
        <f>4528.905-4527.581</f>
        <v>1.3239999999996144</v>
      </c>
      <c r="O21" s="83">
        <f>10241.798-10238.777</f>
        <v>3.0210000000006403</v>
      </c>
      <c r="P21" s="82">
        <f>95431.737-95306.003</f>
        <v>125.73399999999674</v>
      </c>
      <c r="Q21" s="83">
        <f>25368.52-25353.193</f>
        <v>15.327000000001135</v>
      </c>
      <c r="R21" s="83">
        <f t="shared" si="0"/>
        <v>130.078999999997</v>
      </c>
      <c r="S21" s="83">
        <f t="shared" si="1"/>
        <v>1019.8193599999764</v>
      </c>
      <c r="T21" s="83">
        <f t="shared" si="2"/>
        <v>151.64299999999275</v>
      </c>
      <c r="U21" s="83">
        <f t="shared" si="16"/>
        <v>1188.8811199999432</v>
      </c>
      <c r="V21" s="83">
        <f>367719.8-367558.9</f>
        <v>160.89999999996508</v>
      </c>
      <c r="W21" s="83">
        <f t="shared" si="9"/>
        <v>0</v>
      </c>
      <c r="X21" s="86" t="s">
        <v>63</v>
      </c>
      <c r="Y21" s="87">
        <v>891960</v>
      </c>
      <c r="Z21" s="5">
        <f t="shared" si="10"/>
        <v>451</v>
      </c>
      <c r="AA21" s="14">
        <f t="shared" si="6"/>
        <v>2917.97</v>
      </c>
      <c r="AB21" s="87">
        <v>8232763</v>
      </c>
      <c r="AC21" s="86">
        <f t="shared" si="11"/>
        <v>8201847</v>
      </c>
      <c r="AD21" s="5">
        <f t="shared" si="3"/>
        <v>30916</v>
      </c>
      <c r="AE21" s="83">
        <f t="shared" si="12"/>
        <v>10270.14062</v>
      </c>
      <c r="AF21" s="83">
        <f>91596-91544.2</f>
        <v>51.80000000000291</v>
      </c>
      <c r="AG21" s="83">
        <f>48771.6-48736.1</f>
        <v>35.5</v>
      </c>
      <c r="AH21" s="83">
        <f>28967.9-28950</f>
        <v>17.900000000001455</v>
      </c>
      <c r="AI21" s="87">
        <f t="shared" si="13"/>
        <v>46998.1</v>
      </c>
      <c r="AJ21" s="87">
        <v>47034.1</v>
      </c>
      <c r="AK21" s="48">
        <f t="shared" si="7"/>
        <v>36</v>
      </c>
      <c r="AL21" s="89">
        <f t="shared" si="4"/>
        <v>10236.424899239999</v>
      </c>
      <c r="AM21" s="83">
        <f t="shared" si="14"/>
        <v>3400.4891694030316</v>
      </c>
      <c r="AN21" s="71">
        <v>61</v>
      </c>
      <c r="AO21" s="78">
        <f t="shared" si="5"/>
        <v>21256.591739999945</v>
      </c>
    </row>
    <row r="22" spans="1:41" x14ac:dyDescent="0.25">
      <c r="A22" s="79">
        <v>44456</v>
      </c>
      <c r="B22" s="86">
        <f>12504508-12499128</f>
        <v>5380</v>
      </c>
      <c r="C22" s="86">
        <f>8004764-8000622</f>
        <v>4142</v>
      </c>
      <c r="D22" s="86">
        <f>1578048-1577142</f>
        <v>906</v>
      </c>
      <c r="E22" s="86">
        <f>11961784-11956069</f>
        <v>5715</v>
      </c>
      <c r="F22" s="86">
        <f>11894088-11887569</f>
        <v>6519</v>
      </c>
      <c r="G22" s="86">
        <f>8533757-8530641</f>
        <v>3116</v>
      </c>
      <c r="H22" s="86">
        <f>9043928-9036604</f>
        <v>7324</v>
      </c>
      <c r="I22" s="86">
        <f>5368944-5366423</f>
        <v>2521</v>
      </c>
      <c r="J22" s="86">
        <f>12036846-12029614</f>
        <v>7232</v>
      </c>
      <c r="K22" s="86">
        <f t="shared" si="15"/>
        <v>33102</v>
      </c>
      <c r="L22" s="14">
        <f t="shared" si="8"/>
        <v>6620.4000000000005</v>
      </c>
      <c r="M22" s="83">
        <f>88290.034-88177.761</f>
        <v>112.27300000000105</v>
      </c>
      <c r="N22" s="83">
        <f>4530.098-4528.905</f>
        <v>1.193000000000211</v>
      </c>
      <c r="O22" s="83">
        <f>10244.628-10241.798</f>
        <v>2.8299999999999272</v>
      </c>
      <c r="P22" s="82">
        <f>95523.062-95431.737</f>
        <v>91.325000000011642</v>
      </c>
      <c r="Q22" s="83">
        <f>25378.584-25368.52</f>
        <v>10.063999999998487</v>
      </c>
      <c r="R22" s="83">
        <f t="shared" si="0"/>
        <v>95.34800000001178</v>
      </c>
      <c r="S22" s="83">
        <f t="shared" si="1"/>
        <v>747.52832000009232</v>
      </c>
      <c r="T22" s="83">
        <f t="shared" si="2"/>
        <v>122.33699999999953</v>
      </c>
      <c r="U22" s="83">
        <f t="shared" si="16"/>
        <v>959.12207999999634</v>
      </c>
      <c r="V22" s="83">
        <f>367883.4-367719.8</f>
        <v>163.60000000003492</v>
      </c>
      <c r="W22" s="83">
        <f t="shared" si="9"/>
        <v>0</v>
      </c>
      <c r="X22" s="86" t="s">
        <v>63</v>
      </c>
      <c r="Y22" s="87">
        <v>892441</v>
      </c>
      <c r="Z22" s="5">
        <f t="shared" si="10"/>
        <v>481</v>
      </c>
      <c r="AA22" s="14">
        <f t="shared" si="6"/>
        <v>3112.0699999999997</v>
      </c>
      <c r="AB22" s="87">
        <v>8266666</v>
      </c>
      <c r="AC22" s="86">
        <f t="shared" si="11"/>
        <v>8232763</v>
      </c>
      <c r="AD22" s="5">
        <f t="shared" si="3"/>
        <v>33903</v>
      </c>
      <c r="AE22" s="83">
        <f t="shared" si="12"/>
        <v>11262.407085000001</v>
      </c>
      <c r="AF22" s="83">
        <f>91652.2-91596</f>
        <v>56.19999999999709</v>
      </c>
      <c r="AG22" s="83">
        <f>48810.7-48771.6</f>
        <v>39.099999999998545</v>
      </c>
      <c r="AH22" s="83">
        <f>28986.7-28967.9</f>
        <v>18.799999999999272</v>
      </c>
      <c r="AI22" s="87">
        <f t="shared" si="13"/>
        <v>47034.1</v>
      </c>
      <c r="AJ22" s="87">
        <v>47073.4</v>
      </c>
      <c r="AK22" s="48">
        <f t="shared" si="7"/>
        <v>39.30000000000291</v>
      </c>
      <c r="AL22" s="89">
        <f t="shared" si="4"/>
        <v>11174.763848337827</v>
      </c>
      <c r="AM22" s="83">
        <f t="shared" si="14"/>
        <v>3712.2006765985848</v>
      </c>
      <c r="AN22" s="71">
        <v>57</v>
      </c>
      <c r="AO22" s="78">
        <f t="shared" si="5"/>
        <v>21953.999164999997</v>
      </c>
    </row>
    <row r="23" spans="1:41" x14ac:dyDescent="0.25">
      <c r="A23" s="79">
        <v>44457</v>
      </c>
      <c r="B23" s="86">
        <f>12509822-12504508</f>
        <v>5314</v>
      </c>
      <c r="C23" s="86">
        <f>8008759-8004764</f>
        <v>3995</v>
      </c>
      <c r="D23" s="86">
        <f>1578934-1578048</f>
        <v>886</v>
      </c>
      <c r="E23" s="86">
        <f>11967627-11961784</f>
        <v>5843</v>
      </c>
      <c r="F23" s="86">
        <f>11900139-11894088</f>
        <v>6051</v>
      </c>
      <c r="G23" s="86">
        <f>8536653-8533757</f>
        <v>2896</v>
      </c>
      <c r="H23" s="86">
        <f>9050845-9043928</f>
        <v>6917</v>
      </c>
      <c r="I23" s="86">
        <f>5371427-5368944</f>
        <v>2483</v>
      </c>
      <c r="J23" s="86">
        <f>12043511-12036846</f>
        <v>6665</v>
      </c>
      <c r="K23" s="86">
        <f t="shared" si="15"/>
        <v>31902</v>
      </c>
      <c r="L23" s="14">
        <f t="shared" si="8"/>
        <v>6380.4000000000005</v>
      </c>
      <c r="M23" s="83">
        <f>88456.022-88290.034</f>
        <v>165.98799999999756</v>
      </c>
      <c r="N23" s="83">
        <f>4531.513-4530.098</f>
        <v>1.4149999999999636</v>
      </c>
      <c r="O23" s="83">
        <f>10248.152-10244.628</f>
        <v>3.5239999999994325</v>
      </c>
      <c r="P23" s="82">
        <f>95597.347-95523.062</f>
        <v>74.284999999988941</v>
      </c>
      <c r="Q23" s="83">
        <f>25396.116-25378.584</f>
        <v>17.532000000002881</v>
      </c>
      <c r="R23" s="83">
        <f t="shared" si="0"/>
        <v>79.223999999988337</v>
      </c>
      <c r="S23" s="83">
        <f t="shared" si="1"/>
        <v>621.11615999990852</v>
      </c>
      <c r="T23" s="83">
        <f t="shared" si="2"/>
        <v>183.52000000000044</v>
      </c>
      <c r="U23" s="83">
        <f t="shared" si="16"/>
        <v>1438.7968000000035</v>
      </c>
      <c r="V23" s="83">
        <f>368045.2-367883.4</f>
        <v>161.79999999998836</v>
      </c>
      <c r="W23" s="83">
        <f t="shared" si="9"/>
        <v>0</v>
      </c>
      <c r="X23" s="86" t="s">
        <v>63</v>
      </c>
      <c r="Y23" s="87">
        <v>892881</v>
      </c>
      <c r="Z23" s="5">
        <f t="shared" si="10"/>
        <v>440</v>
      </c>
      <c r="AA23" s="14">
        <f t="shared" si="6"/>
        <v>2846.7999999999997</v>
      </c>
      <c r="AB23" s="87">
        <v>8296600</v>
      </c>
      <c r="AC23" s="86">
        <f t="shared" si="11"/>
        <v>8266666</v>
      </c>
      <c r="AD23" s="5">
        <f t="shared" si="3"/>
        <v>29934</v>
      </c>
      <c r="AE23" s="83">
        <f t="shared" si="12"/>
        <v>9943.9251300000014</v>
      </c>
      <c r="AF23" s="83">
        <f>91701.6-91652.2</f>
        <v>49.400000000008731</v>
      </c>
      <c r="AG23" s="83">
        <f>48845.3-48810.7</f>
        <v>34.600000000005821</v>
      </c>
      <c r="AH23" s="83">
        <f>29004.9-28986.7</f>
        <v>18.200000000000728</v>
      </c>
      <c r="AI23" s="87">
        <f t="shared" si="13"/>
        <v>47073.4</v>
      </c>
      <c r="AJ23" s="87">
        <v>47109.7</v>
      </c>
      <c r="AK23" s="48">
        <f t="shared" si="7"/>
        <v>36.299999999995634</v>
      </c>
      <c r="AL23" s="89">
        <f t="shared" si="4"/>
        <v>10321.728440065757</v>
      </c>
      <c r="AM23" s="83">
        <f t="shared" si="14"/>
        <v>3428.8265791476442</v>
      </c>
      <c r="AN23" s="71">
        <v>50</v>
      </c>
      <c r="AO23" s="78">
        <f t="shared" si="5"/>
        <v>20609.921930000004</v>
      </c>
    </row>
    <row r="24" spans="1:41" x14ac:dyDescent="0.25">
      <c r="A24" s="79">
        <v>44458</v>
      </c>
      <c r="B24" s="86">
        <f>12515389-12509822</f>
        <v>5567</v>
      </c>
      <c r="C24" s="86">
        <f>8012888-8008759</f>
        <v>4129</v>
      </c>
      <c r="D24" s="86">
        <f>1579824-1578934</f>
        <v>890</v>
      </c>
      <c r="E24" s="86">
        <f>11973436-11967627</f>
        <v>5809</v>
      </c>
      <c r="F24" s="86">
        <f>11906221-11900139</f>
        <v>6082</v>
      </c>
      <c r="G24" s="86">
        <f>8539632-8536653</f>
        <v>2979</v>
      </c>
      <c r="H24" s="86">
        <f>9058007-9050845</f>
        <v>7162</v>
      </c>
      <c r="I24" s="86">
        <f>5373972-5371427</f>
        <v>2545</v>
      </c>
      <c r="J24" s="86">
        <f>12050191-12043511</f>
        <v>6680</v>
      </c>
      <c r="K24" s="86">
        <f t="shared" si="15"/>
        <v>32618</v>
      </c>
      <c r="L24" s="14">
        <f t="shared" si="8"/>
        <v>6523.6</v>
      </c>
      <c r="M24" s="83">
        <f>88565.93-88456.022</f>
        <v>109.90799999999581</v>
      </c>
      <c r="N24" s="83">
        <f>4532.356-4531.513</f>
        <v>0.8429999999998472</v>
      </c>
      <c r="O24" s="83">
        <f>10250.681-10248.152</f>
        <v>2.5290000000004511</v>
      </c>
      <c r="P24" s="82">
        <f>95662.218-95597.347</f>
        <v>64.870999999999185</v>
      </c>
      <c r="Q24" s="83">
        <f>25408.479-25396.116</f>
        <v>12.362999999997555</v>
      </c>
      <c r="R24" s="83">
        <f t="shared" si="0"/>
        <v>68.242999999999483</v>
      </c>
      <c r="S24" s="83">
        <f t="shared" si="1"/>
        <v>535.02511999999592</v>
      </c>
      <c r="T24" s="83">
        <f t="shared" si="2"/>
        <v>122.27099999999336</v>
      </c>
      <c r="U24" s="83">
        <f t="shared" si="16"/>
        <v>958.60463999994795</v>
      </c>
      <c r="V24" s="83">
        <f>368201.9-368045.2</f>
        <v>156.70000000001164</v>
      </c>
      <c r="W24" s="83">
        <f t="shared" si="9"/>
        <v>0</v>
      </c>
      <c r="X24" s="86" t="s">
        <v>63</v>
      </c>
      <c r="Y24" s="87">
        <v>893314</v>
      </c>
      <c r="Z24" s="5">
        <f t="shared" si="10"/>
        <v>433</v>
      </c>
      <c r="AA24" s="14">
        <f t="shared" si="6"/>
        <v>2801.5099999999998</v>
      </c>
      <c r="AB24" s="87">
        <v>8326085</v>
      </c>
      <c r="AC24" s="86">
        <f t="shared" si="11"/>
        <v>8296600</v>
      </c>
      <c r="AD24" s="5">
        <f t="shared" si="3"/>
        <v>29485</v>
      </c>
      <c r="AE24" s="83">
        <f t="shared" si="12"/>
        <v>9794.7695750000003</v>
      </c>
      <c r="AF24" s="83">
        <f>91750.9-91701.6</f>
        <v>49.299999999988358</v>
      </c>
      <c r="AG24" s="83">
        <f>48878.5-48845.3</f>
        <v>33.19999999999709</v>
      </c>
      <c r="AH24" s="83">
        <f>29022.7-29004.9</f>
        <v>17.799999999999272</v>
      </c>
      <c r="AI24" s="87">
        <f t="shared" si="13"/>
        <v>47109.7</v>
      </c>
      <c r="AJ24" s="87">
        <v>47146.5</v>
      </c>
      <c r="AK24" s="48">
        <f t="shared" si="7"/>
        <v>36.80000000000291</v>
      </c>
      <c r="AL24" s="89">
        <f t="shared" si="4"/>
        <v>10463.901008112827</v>
      </c>
      <c r="AM24" s="83">
        <f t="shared" si="14"/>
        <v>3476.0555953900407</v>
      </c>
      <c r="AN24" s="71">
        <v>61</v>
      </c>
      <c r="AO24" s="78">
        <f t="shared" si="5"/>
        <v>20078.484214999946</v>
      </c>
    </row>
    <row r="25" spans="1:41" x14ac:dyDescent="0.25">
      <c r="A25" s="79">
        <v>44459</v>
      </c>
      <c r="B25" s="86">
        <f>12520858-12515389</f>
        <v>5469</v>
      </c>
      <c r="C25" s="86">
        <f>8017146-8012888</f>
        <v>4258</v>
      </c>
      <c r="D25" s="86">
        <f>1580749-1579824</f>
        <v>925</v>
      </c>
      <c r="E25" s="86">
        <f>11979080-11973436</f>
        <v>5644</v>
      </c>
      <c r="F25" s="86">
        <f>11912112-11906221</f>
        <v>5891</v>
      </c>
      <c r="G25" s="86">
        <f>8542536-8539632</f>
        <v>2904</v>
      </c>
      <c r="H25" s="86">
        <f>9065096-9058007</f>
        <v>7089</v>
      </c>
      <c r="I25" s="86">
        <f>5376414-5373972</f>
        <v>2442</v>
      </c>
      <c r="J25" s="86">
        <f>12056863-12050191</f>
        <v>6672</v>
      </c>
      <c r="K25" s="86">
        <f t="shared" si="15"/>
        <v>32180</v>
      </c>
      <c r="L25" s="14">
        <f t="shared" si="8"/>
        <v>6436</v>
      </c>
      <c r="M25" s="83">
        <f>88673.974-88565.93</f>
        <v>108.04400000000896</v>
      </c>
      <c r="N25" s="83">
        <f>4533.555-4532.356</f>
        <v>1.1990000000005239</v>
      </c>
      <c r="O25" s="83">
        <f>10253.867-10250.681</f>
        <v>3.1859999999996944</v>
      </c>
      <c r="P25" s="82">
        <f>95730.988-95662.218</f>
        <v>68.770000000004075</v>
      </c>
      <c r="Q25" s="83">
        <f>25426.529-25408.479</f>
        <v>18.049999999999272</v>
      </c>
      <c r="R25" s="83">
        <f t="shared" si="0"/>
        <v>73.155000000004293</v>
      </c>
      <c r="S25" s="83">
        <f t="shared" si="1"/>
        <v>573.53520000003368</v>
      </c>
      <c r="T25" s="83">
        <f t="shared" si="2"/>
        <v>126.09400000000824</v>
      </c>
      <c r="U25" s="83">
        <f t="shared" si="16"/>
        <v>988.57696000006456</v>
      </c>
      <c r="V25" s="83">
        <f>368355.2-368201.9</f>
        <v>153.29999999998836</v>
      </c>
      <c r="W25" s="83">
        <f t="shared" si="9"/>
        <v>0</v>
      </c>
      <c r="X25" s="86" t="s">
        <v>63</v>
      </c>
      <c r="Y25" s="87">
        <v>893768</v>
      </c>
      <c r="Z25" s="5">
        <f t="shared" si="10"/>
        <v>454</v>
      </c>
      <c r="AA25" s="14">
        <f t="shared" si="6"/>
        <v>2937.38</v>
      </c>
      <c r="AB25" s="87">
        <v>8357091</v>
      </c>
      <c r="AC25" s="86">
        <f t="shared" si="11"/>
        <v>8326085</v>
      </c>
      <c r="AD25" s="5">
        <f t="shared" si="3"/>
        <v>31006</v>
      </c>
      <c r="AE25" s="83">
        <f t="shared" si="12"/>
        <v>10300.03817</v>
      </c>
      <c r="AF25" s="83">
        <f>91803.2-91750.9</f>
        <v>52.30000000000291</v>
      </c>
      <c r="AG25" s="83">
        <f>48913.9-48878.5</f>
        <v>35.400000000001455</v>
      </c>
      <c r="AH25" s="83">
        <f>29040.1-29022.7</f>
        <v>17.399999999997817</v>
      </c>
      <c r="AI25" s="87">
        <f t="shared" si="13"/>
        <v>47146.5</v>
      </c>
      <c r="AJ25" s="87">
        <v>47184.3</v>
      </c>
      <c r="AK25" s="48">
        <f t="shared" si="7"/>
        <v>37.80000000000291</v>
      </c>
      <c r="AL25" s="89">
        <f t="shared" si="4"/>
        <v>10748.246144202827</v>
      </c>
      <c r="AM25" s="83">
        <f t="shared" si="14"/>
        <v>3570.5136278734585</v>
      </c>
      <c r="AN25" s="71">
        <v>66</v>
      </c>
      <c r="AO25" s="78">
        <f t="shared" si="5"/>
        <v>20661.995130000065</v>
      </c>
    </row>
    <row r="26" spans="1:41" x14ac:dyDescent="0.25">
      <c r="A26" s="79">
        <v>44460</v>
      </c>
      <c r="B26" s="86">
        <f>12526475-12520858</f>
        <v>5617</v>
      </c>
      <c r="C26" s="86">
        <f>8021524-8017146</f>
        <v>4378</v>
      </c>
      <c r="D26" s="86">
        <f>1581513-1580749</f>
        <v>764</v>
      </c>
      <c r="E26" s="86">
        <f>11984885-11979080</f>
        <v>5805</v>
      </c>
      <c r="F26" s="86">
        <f>11918118-11912112</f>
        <v>6006</v>
      </c>
      <c r="G26" s="86">
        <f>8545667-8542536</f>
        <v>3131</v>
      </c>
      <c r="H26" s="86">
        <f>9071076-9065096</f>
        <v>5980</v>
      </c>
      <c r="I26" s="86">
        <f>5378925-5376414</f>
        <v>2511</v>
      </c>
      <c r="J26" s="86">
        <f>12063674-12056863</f>
        <v>6811</v>
      </c>
      <c r="K26" s="86">
        <f t="shared" si="15"/>
        <v>31681</v>
      </c>
      <c r="L26" s="14">
        <f t="shared" si="8"/>
        <v>6336.2000000000007</v>
      </c>
      <c r="M26" s="83">
        <f>88795.253-88673.974</f>
        <v>121.27899999999499</v>
      </c>
      <c r="N26" s="83">
        <f>4534.322-4533.555</f>
        <v>0.76699999999982538</v>
      </c>
      <c r="O26" s="83">
        <f>10254.989-10253.867</f>
        <v>1.1219999999993888</v>
      </c>
      <c r="P26" s="82">
        <f>95800.909-95730.988</f>
        <v>69.921000000002095</v>
      </c>
      <c r="Q26" s="83">
        <f>25435.871-25426.529</f>
        <v>9.342000000000553</v>
      </c>
      <c r="R26" s="83">
        <f t="shared" si="0"/>
        <v>71.81000000000131</v>
      </c>
      <c r="S26" s="83">
        <f t="shared" si="1"/>
        <v>562.99040000001025</v>
      </c>
      <c r="T26" s="83">
        <f t="shared" si="2"/>
        <v>130.62099999999555</v>
      </c>
      <c r="U26" s="83">
        <f t="shared" si="16"/>
        <v>1024.0686399999652</v>
      </c>
      <c r="V26" s="83">
        <f>368520.2-368355.2</f>
        <v>165</v>
      </c>
      <c r="W26" s="83">
        <f t="shared" si="9"/>
        <v>0</v>
      </c>
      <c r="X26" s="86" t="s">
        <v>63</v>
      </c>
      <c r="Y26" s="87">
        <v>894204</v>
      </c>
      <c r="Z26" s="5">
        <f t="shared" si="10"/>
        <v>436</v>
      </c>
      <c r="AA26" s="14">
        <f t="shared" si="6"/>
        <v>2820.92</v>
      </c>
      <c r="AB26" s="87">
        <v>8390750</v>
      </c>
      <c r="AC26" s="86">
        <f t="shared" si="11"/>
        <v>8357091</v>
      </c>
      <c r="AD26" s="5">
        <f t="shared" si="3"/>
        <v>33659</v>
      </c>
      <c r="AE26" s="83">
        <f t="shared" si="12"/>
        <v>11181.351505000001</v>
      </c>
      <c r="AF26" s="83">
        <f>91861.6-91803.2</f>
        <v>58.400000000008731</v>
      </c>
      <c r="AG26" s="83">
        <f>48951.3-48913.9</f>
        <v>37.400000000001455</v>
      </c>
      <c r="AH26" s="83">
        <f>29057.8-29040.1</f>
        <v>17.700000000000728</v>
      </c>
      <c r="AI26" s="87">
        <f t="shared" si="13"/>
        <v>47184.3</v>
      </c>
      <c r="AJ26" s="87">
        <v>47223.9</v>
      </c>
      <c r="AK26" s="48">
        <f t="shared" si="7"/>
        <v>39.599999999998545</v>
      </c>
      <c r="AL26" s="89">
        <f t="shared" si="4"/>
        <v>11260.067389163585</v>
      </c>
      <c r="AM26" s="83">
        <f t="shared" si="14"/>
        <v>3740.5380863431974</v>
      </c>
      <c r="AN26" s="71">
        <v>85</v>
      </c>
      <c r="AO26" s="78">
        <f t="shared" si="5"/>
        <v>21362.540144999966</v>
      </c>
    </row>
    <row r="27" spans="1:41" x14ac:dyDescent="0.25">
      <c r="A27" s="79">
        <v>44461</v>
      </c>
      <c r="B27" s="86">
        <f>12532249-12526475</f>
        <v>5774</v>
      </c>
      <c r="C27" s="86">
        <f>8025142-8021524</f>
        <v>3618</v>
      </c>
      <c r="D27" s="86">
        <f>1582385-1581513</f>
        <v>872</v>
      </c>
      <c r="E27" s="86">
        <f>11990762-11984885</f>
        <v>5877</v>
      </c>
      <c r="F27" s="86">
        <f>11924214-11918118</f>
        <v>6096</v>
      </c>
      <c r="G27" s="86">
        <f>8548720-8545667</f>
        <v>3053</v>
      </c>
      <c r="H27" s="86">
        <f>9077449-9071076</f>
        <v>6373</v>
      </c>
      <c r="I27" s="86">
        <f>5381492-5378925</f>
        <v>2567</v>
      </c>
      <c r="J27" s="86">
        <f>12070380-12063674</f>
        <v>6706</v>
      </c>
      <c r="K27" s="86">
        <f t="shared" si="15"/>
        <v>31663</v>
      </c>
      <c r="L27" s="14">
        <f t="shared" si="8"/>
        <v>6332.6</v>
      </c>
      <c r="M27" s="83">
        <f>88935.356-88795.253</f>
        <v>140.10300000000279</v>
      </c>
      <c r="N27" s="83">
        <f>4535.369-4534.322</f>
        <v>1.0469999999995707</v>
      </c>
      <c r="O27" s="129">
        <f>10257.639-10254.989</f>
        <v>2.6499999999996362</v>
      </c>
      <c r="P27" s="82">
        <f>95856.419-95800.909</f>
        <v>55.509999999994761</v>
      </c>
      <c r="Q27" s="83">
        <f>25447.578-25435.871</f>
        <v>11.707000000002154</v>
      </c>
      <c r="R27" s="83">
        <f t="shared" si="0"/>
        <v>59.206999999993968</v>
      </c>
      <c r="S27" s="83">
        <f t="shared" si="1"/>
        <v>464.18287999995272</v>
      </c>
      <c r="T27" s="83">
        <f t="shared" si="2"/>
        <v>151.81000000000495</v>
      </c>
      <c r="U27" s="83">
        <f t="shared" si="16"/>
        <v>1190.1904000000388</v>
      </c>
      <c r="V27" s="83">
        <f>368695.5-368520.2</f>
        <v>175.29999999998836</v>
      </c>
      <c r="W27" s="83">
        <f t="shared" si="9"/>
        <v>0</v>
      </c>
      <c r="X27" s="86" t="s">
        <v>63</v>
      </c>
      <c r="Y27" s="87">
        <v>894661</v>
      </c>
      <c r="Z27" s="5">
        <f t="shared" si="10"/>
        <v>457</v>
      </c>
      <c r="AA27" s="14">
        <f t="shared" si="6"/>
        <v>2956.79</v>
      </c>
      <c r="AB27" s="87">
        <v>8420451</v>
      </c>
      <c r="AC27" s="86">
        <f t="shared" si="11"/>
        <v>8390750</v>
      </c>
      <c r="AD27" s="5">
        <f t="shared" si="3"/>
        <v>29701</v>
      </c>
      <c r="AE27" s="83">
        <f t="shared" si="12"/>
        <v>9866.5236949999999</v>
      </c>
      <c r="AF27" s="83">
        <f>91912.6-91861.6</f>
        <v>51</v>
      </c>
      <c r="AG27" s="83">
        <f>48987.1-48951.3</f>
        <v>35.799999999995634</v>
      </c>
      <c r="AH27" s="83">
        <f>29074.1-29057.8</f>
        <v>16.299999999999272</v>
      </c>
      <c r="AI27" s="87">
        <f t="shared" si="13"/>
        <v>47223.9</v>
      </c>
      <c r="AJ27" s="87">
        <v>47263.199999999997</v>
      </c>
      <c r="AK27" s="48">
        <f t="shared" si="7"/>
        <v>39.299999999995634</v>
      </c>
      <c r="AL27" s="89">
        <f t="shared" si="4"/>
        <v>11174.763848335759</v>
      </c>
      <c r="AM27" s="83">
        <f t="shared" si="14"/>
        <v>3712.2006765978977</v>
      </c>
      <c r="AN27" s="71">
        <v>91</v>
      </c>
      <c r="AO27" s="78">
        <f t="shared" si="5"/>
        <v>20346.104095000039</v>
      </c>
    </row>
    <row r="28" spans="1:41" x14ac:dyDescent="0.25">
      <c r="A28" s="79">
        <v>44462</v>
      </c>
      <c r="B28" s="86">
        <f>12537984-12532249</f>
        <v>5735</v>
      </c>
      <c r="C28" s="86">
        <f>8029243-8025142</f>
        <v>4101</v>
      </c>
      <c r="D28" s="86">
        <f>1583270-1582385</f>
        <v>885</v>
      </c>
      <c r="E28" s="86">
        <f>11996731-11990762</f>
        <v>5969</v>
      </c>
      <c r="F28" s="86">
        <f>11930322-11924214</f>
        <v>6108</v>
      </c>
      <c r="G28" s="86">
        <f>8551867-8548720</f>
        <v>3147</v>
      </c>
      <c r="H28" s="86">
        <f>9084299-9077449</f>
        <v>6850</v>
      </c>
      <c r="I28" s="86">
        <f>5383965-5381492</f>
        <v>2473</v>
      </c>
      <c r="J28" s="86">
        <f>12077370-12070380</f>
        <v>6990</v>
      </c>
      <c r="K28" s="86">
        <f t="shared" si="15"/>
        <v>32795</v>
      </c>
      <c r="L28" s="14">
        <f t="shared" si="8"/>
        <v>6559</v>
      </c>
      <c r="M28" s="83">
        <f>89072.603-88935.356</f>
        <v>137.24700000000303</v>
      </c>
      <c r="N28" s="83">
        <f>4536.736-4535.369</f>
        <v>1.3670000000001892</v>
      </c>
      <c r="O28" s="83">
        <f>10260.819-10257.639</f>
        <v>3.180000000000291</v>
      </c>
      <c r="P28" s="82">
        <f>95903.754-95856.419</f>
        <v>47.335000000006403</v>
      </c>
      <c r="Q28" s="83">
        <f>25466.483-25447.578</f>
        <v>18.904999999998836</v>
      </c>
      <c r="R28" s="83">
        <f t="shared" si="0"/>
        <v>51.882000000006883</v>
      </c>
      <c r="S28" s="83">
        <f t="shared" si="1"/>
        <v>406.75488000005396</v>
      </c>
      <c r="T28" s="83">
        <f t="shared" si="2"/>
        <v>156.15200000000186</v>
      </c>
      <c r="U28" s="83">
        <f t="shared" si="16"/>
        <v>1224.2316800000146</v>
      </c>
      <c r="V28" s="83">
        <f>368871-368695.5</f>
        <v>175.5</v>
      </c>
      <c r="W28" s="83">
        <f t="shared" si="9"/>
        <v>0</v>
      </c>
      <c r="X28" s="86" t="s">
        <v>63</v>
      </c>
      <c r="Y28" s="87">
        <v>895123</v>
      </c>
      <c r="Z28" s="5">
        <f t="shared" si="10"/>
        <v>462</v>
      </c>
      <c r="AA28" s="14">
        <f t="shared" si="6"/>
        <v>2989.14</v>
      </c>
      <c r="AB28" s="87">
        <v>8450495</v>
      </c>
      <c r="AC28" s="86">
        <f t="shared" si="11"/>
        <v>8420451</v>
      </c>
      <c r="AD28" s="5">
        <f t="shared" si="3"/>
        <v>30044</v>
      </c>
      <c r="AE28" s="83">
        <f t="shared" si="12"/>
        <v>9980.4665800000002</v>
      </c>
      <c r="AF28" s="83">
        <f>91962.4-91912.6</f>
        <v>49.799999999988358</v>
      </c>
      <c r="AG28" s="83">
        <f>49023.9-48987.1</f>
        <v>36.80000000000291</v>
      </c>
      <c r="AH28" s="83">
        <f>29091.4-29074.1</f>
        <v>17.30000000000291</v>
      </c>
      <c r="AI28" s="87">
        <f t="shared" si="13"/>
        <v>47263.199999999997</v>
      </c>
      <c r="AJ28" s="87">
        <v>47303.9</v>
      </c>
      <c r="AK28" s="48">
        <f t="shared" si="7"/>
        <v>40.700000000004366</v>
      </c>
      <c r="AL28" s="89">
        <f t="shared" si="4"/>
        <v>11572.84703886424</v>
      </c>
      <c r="AM28" s="83">
        <f t="shared" si="14"/>
        <v>3844.4419220755062</v>
      </c>
      <c r="AN28" s="71">
        <v>101</v>
      </c>
      <c r="AO28" s="78">
        <f t="shared" si="5"/>
        <v>20752.838260000015</v>
      </c>
    </row>
    <row r="29" spans="1:41" x14ac:dyDescent="0.25">
      <c r="A29" s="79">
        <v>44463</v>
      </c>
      <c r="B29" s="86">
        <f>12543603-12537984</f>
        <v>5619</v>
      </c>
      <c r="C29" s="86">
        <f>8032864-8029243</f>
        <v>3621</v>
      </c>
      <c r="D29" s="86">
        <f>1584155-1583270</f>
        <v>885</v>
      </c>
      <c r="E29" s="86">
        <f>12002627-11996731</f>
        <v>5896</v>
      </c>
      <c r="F29" s="86">
        <f>11936555-11930322</f>
        <v>6233</v>
      </c>
      <c r="G29" s="86">
        <f>8554975-8551867</f>
        <v>3108</v>
      </c>
      <c r="H29" s="86">
        <f>9091047-9084299</f>
        <v>6748</v>
      </c>
      <c r="I29" s="86">
        <f>5386360-5383965</f>
        <v>2395</v>
      </c>
      <c r="J29" s="86">
        <f>12084417-12077370</f>
        <v>7047</v>
      </c>
      <c r="K29" s="86">
        <f t="shared" si="15"/>
        <v>32110</v>
      </c>
      <c r="L29" s="14">
        <f t="shared" si="8"/>
        <v>6422</v>
      </c>
      <c r="M29" s="83">
        <f>89201.682-89072.603</f>
        <v>129.0789999999979</v>
      </c>
      <c r="N29" s="83">
        <f>4537.759-4536.736</f>
        <v>1.0230000000001382</v>
      </c>
      <c r="O29" s="83">
        <f>10262.521-10260.819</f>
        <v>1.702000000001135</v>
      </c>
      <c r="P29" s="82">
        <f>95994.759-95903.754</f>
        <v>91.005000000004657</v>
      </c>
      <c r="Q29" s="83">
        <f>25475.532-25466.483</f>
        <v>9.0489999999990687</v>
      </c>
      <c r="R29" s="83">
        <f t="shared" si="0"/>
        <v>93.73000000000593</v>
      </c>
      <c r="S29" s="83">
        <f t="shared" si="1"/>
        <v>734.84320000004652</v>
      </c>
      <c r="T29" s="83">
        <f t="shared" si="2"/>
        <v>138.12799999999697</v>
      </c>
      <c r="U29" s="83">
        <f t="shared" si="16"/>
        <v>1082.9235199999762</v>
      </c>
      <c r="V29" s="83">
        <f>369048.7-368871</f>
        <v>177.70000000001164</v>
      </c>
      <c r="W29" s="83">
        <f t="shared" si="9"/>
        <v>0</v>
      </c>
      <c r="X29" s="86" t="s">
        <v>63</v>
      </c>
      <c r="Y29" s="87">
        <v>895622</v>
      </c>
      <c r="Z29" s="5">
        <f t="shared" si="10"/>
        <v>499</v>
      </c>
      <c r="AA29" s="14">
        <f t="shared" si="6"/>
        <v>3228.5299999999997</v>
      </c>
      <c r="AB29" s="87">
        <v>8481829</v>
      </c>
      <c r="AC29" s="86">
        <f t="shared" si="11"/>
        <v>8450495</v>
      </c>
      <c r="AD29" s="5">
        <f t="shared" si="3"/>
        <v>31334</v>
      </c>
      <c r="AE29" s="83">
        <f t="shared" si="12"/>
        <v>10408.99813</v>
      </c>
      <c r="AF29" s="83">
        <f>92014.8-91962.4</f>
        <v>52.400000000008731</v>
      </c>
      <c r="AG29" s="83">
        <f>49065.1-49023.9</f>
        <v>41.19999999999709</v>
      </c>
      <c r="AH29" s="83">
        <f>29107.8-29091.4</f>
        <v>16.399999999997817</v>
      </c>
      <c r="AI29" s="87">
        <f t="shared" si="13"/>
        <v>47303.9</v>
      </c>
      <c r="AJ29" s="87">
        <v>47343.7</v>
      </c>
      <c r="AK29" s="48">
        <f t="shared" si="7"/>
        <v>39.799999999995634</v>
      </c>
      <c r="AL29" s="89">
        <f t="shared" si="4"/>
        <v>11316.936416380759</v>
      </c>
      <c r="AM29" s="83">
        <f t="shared" si="14"/>
        <v>3759.4296928396061</v>
      </c>
      <c r="AN29" s="71">
        <v>93</v>
      </c>
      <c r="AO29" s="78">
        <f t="shared" si="5"/>
        <v>21142.451649999977</v>
      </c>
    </row>
    <row r="30" spans="1:41" x14ac:dyDescent="0.25">
      <c r="A30" s="79">
        <v>44464</v>
      </c>
      <c r="B30" s="86">
        <f>12549080-12543603</f>
        <v>5477</v>
      </c>
      <c r="C30" s="86">
        <f>8036771-8032864</f>
        <v>3907</v>
      </c>
      <c r="D30" s="86">
        <f>1584996-1584155</f>
        <v>841</v>
      </c>
      <c r="E30" s="86">
        <f>12008522-12002627</f>
        <v>5895</v>
      </c>
      <c r="F30" s="86">
        <f>11942646-11936555</f>
        <v>6091</v>
      </c>
      <c r="G30" s="86">
        <f>8558238-8554975</f>
        <v>3263</v>
      </c>
      <c r="H30" s="86">
        <f>9097868-9091047</f>
        <v>6821</v>
      </c>
      <c r="I30" s="86">
        <f>5388872-5386360</f>
        <v>2512</v>
      </c>
      <c r="J30" s="86">
        <f>12091262-12084417</f>
        <v>6845</v>
      </c>
      <c r="K30" s="86">
        <f t="shared" si="15"/>
        <v>32295</v>
      </c>
      <c r="L30" s="14">
        <f t="shared" si="8"/>
        <v>6459</v>
      </c>
      <c r="M30" s="83">
        <f>89333.393-89201.682</f>
        <v>131.71099999999569</v>
      </c>
      <c r="N30" s="83">
        <f>4539.28-4537.759</f>
        <v>1.5209999999997308</v>
      </c>
      <c r="O30" s="83">
        <f>10265.355-10262.521</f>
        <v>2.8339999999989232</v>
      </c>
      <c r="P30" s="82">
        <f>96068.532-95994.759</f>
        <v>73.773000000001048</v>
      </c>
      <c r="Q30" s="83">
        <f>25491.873-25475.532</f>
        <v>16.341000000000349</v>
      </c>
      <c r="R30" s="83">
        <f t="shared" si="0"/>
        <v>78.127999999999702</v>
      </c>
      <c r="S30" s="83">
        <f t="shared" si="1"/>
        <v>612.52351999999769</v>
      </c>
      <c r="T30" s="83">
        <f t="shared" si="2"/>
        <v>148.05199999999604</v>
      </c>
      <c r="U30" s="83">
        <f t="shared" si="16"/>
        <v>1160.727679999969</v>
      </c>
      <c r="V30" s="83">
        <f>369225.7-369048.7</f>
        <v>177</v>
      </c>
      <c r="W30" s="83">
        <f t="shared" si="9"/>
        <v>0</v>
      </c>
      <c r="X30" s="86" t="s">
        <v>63</v>
      </c>
      <c r="Y30" s="87">
        <v>896081</v>
      </c>
      <c r="Z30" s="5">
        <f t="shared" si="10"/>
        <v>459</v>
      </c>
      <c r="AA30" s="14">
        <f t="shared" si="6"/>
        <v>2969.73</v>
      </c>
      <c r="AB30" s="87">
        <v>8515559</v>
      </c>
      <c r="AC30" s="86">
        <f t="shared" si="11"/>
        <v>8481829</v>
      </c>
      <c r="AD30" s="5">
        <f t="shared" si="3"/>
        <v>33730</v>
      </c>
      <c r="AE30" s="83">
        <f t="shared" si="12"/>
        <v>11204.93735</v>
      </c>
      <c r="AF30" s="83">
        <f>92072.2-92014.8</f>
        <v>57.399999999994179</v>
      </c>
      <c r="AG30" s="83">
        <f>49105.8-49065.1</f>
        <v>40.700000000004366</v>
      </c>
      <c r="AH30" s="83">
        <f>29124.6-29107.8</f>
        <v>16.799999999999272</v>
      </c>
      <c r="AI30" s="87">
        <f t="shared" si="13"/>
        <v>47343.7</v>
      </c>
      <c r="AJ30" s="87">
        <v>47381.5</v>
      </c>
      <c r="AK30" s="48">
        <f t="shared" si="7"/>
        <v>37.80000000000291</v>
      </c>
      <c r="AL30" s="89">
        <f t="shared" si="4"/>
        <v>10748.246144202827</v>
      </c>
      <c r="AM30" s="83">
        <f t="shared" si="14"/>
        <v>3570.5136278734585</v>
      </c>
      <c r="AN30" s="71">
        <v>120</v>
      </c>
      <c r="AO30" s="78">
        <f t="shared" si="5"/>
        <v>21794.395029999971</v>
      </c>
    </row>
    <row r="31" spans="1:41" x14ac:dyDescent="0.25">
      <c r="A31" s="79">
        <v>44465</v>
      </c>
      <c r="B31" s="86">
        <f>12554594-12549080</f>
        <v>5514</v>
      </c>
      <c r="C31" s="86">
        <f>8040778-8036771</f>
        <v>4007</v>
      </c>
      <c r="D31" s="86">
        <f>1585901-1584996</f>
        <v>905</v>
      </c>
      <c r="E31" s="86">
        <f>12014776-12008522</f>
        <v>6254</v>
      </c>
      <c r="F31" s="86">
        <f>11949002-11942646</f>
        <v>6356</v>
      </c>
      <c r="G31" s="86">
        <f>8561481-8558238</f>
        <v>3243</v>
      </c>
      <c r="H31" s="86">
        <f>9104840-9097868</f>
        <v>6972</v>
      </c>
      <c r="I31" s="86">
        <f>5391428-5388872</f>
        <v>2556</v>
      </c>
      <c r="J31" s="86">
        <f>12098610-12091262</f>
        <v>7348</v>
      </c>
      <c r="K31" s="86">
        <f t="shared" si="15"/>
        <v>33251</v>
      </c>
      <c r="L31" s="14">
        <f t="shared" si="8"/>
        <v>6650.2000000000007</v>
      </c>
      <c r="M31" s="83">
        <f>89465.53-89333.393</f>
        <v>132.13700000000244</v>
      </c>
      <c r="N31" s="83">
        <f>4540.169-4539.28</f>
        <v>0.88900000000012369</v>
      </c>
      <c r="O31" s="83">
        <f>10266.944-10265.355</f>
        <v>1.5889999999999418</v>
      </c>
      <c r="P31" s="82">
        <f>96134.78-96068.532</f>
        <v>66.247999999992317</v>
      </c>
      <c r="Q31" s="83">
        <f>25505.107-25491.873</f>
        <v>13.234000000000378</v>
      </c>
      <c r="R31" s="83">
        <f t="shared" si="0"/>
        <v>68.725999999992382</v>
      </c>
      <c r="S31" s="83">
        <f t="shared" si="1"/>
        <v>538.81183999994028</v>
      </c>
      <c r="T31" s="83">
        <f t="shared" si="2"/>
        <v>145.37100000000282</v>
      </c>
      <c r="U31" s="83">
        <f t="shared" si="16"/>
        <v>1139.7086400000221</v>
      </c>
      <c r="V31" s="83">
        <f>369401.6-369225.7</f>
        <v>175.89999999996508</v>
      </c>
      <c r="W31" s="83">
        <f t="shared" si="9"/>
        <v>0</v>
      </c>
      <c r="X31" s="86" t="s">
        <v>63</v>
      </c>
      <c r="Y31" s="87">
        <v>896540</v>
      </c>
      <c r="Z31" s="5">
        <f t="shared" si="10"/>
        <v>459</v>
      </c>
      <c r="AA31" s="14">
        <f t="shared" si="6"/>
        <v>2969.73</v>
      </c>
      <c r="AB31" s="87">
        <v>8548124</v>
      </c>
      <c r="AC31" s="86">
        <f t="shared" si="11"/>
        <v>8515559</v>
      </c>
      <c r="AD31" s="5">
        <f t="shared" si="3"/>
        <v>32565</v>
      </c>
      <c r="AE31" s="83">
        <f t="shared" si="12"/>
        <v>10817.930175000001</v>
      </c>
      <c r="AF31" s="83">
        <f>92127-92072.2</f>
        <v>54.80000000000291</v>
      </c>
      <c r="AG31" s="83">
        <f>49144.4-49105.8</f>
        <v>38.599999999998545</v>
      </c>
      <c r="AH31" s="83">
        <f>29141.1-29124.6</f>
        <v>16.5</v>
      </c>
      <c r="AI31" s="87">
        <f t="shared" si="13"/>
        <v>47381.5</v>
      </c>
      <c r="AJ31" s="87">
        <v>47418.5</v>
      </c>
      <c r="AK31" s="48">
        <f t="shared" si="7"/>
        <v>37</v>
      </c>
      <c r="AL31" s="89">
        <f t="shared" si="4"/>
        <v>10520.770035329999</v>
      </c>
      <c r="AM31" s="83">
        <f t="shared" si="14"/>
        <v>3494.947201886449</v>
      </c>
      <c r="AN31" s="71">
        <v>125</v>
      </c>
      <c r="AO31" s="78">
        <f t="shared" si="5"/>
        <v>21577.568815000024</v>
      </c>
    </row>
    <row r="32" spans="1:41" x14ac:dyDescent="0.25">
      <c r="A32" s="79">
        <v>44466</v>
      </c>
      <c r="B32" s="86">
        <f>12560135-12554594</f>
        <v>5541</v>
      </c>
      <c r="C32" s="86">
        <f>8045755-8040778</f>
        <v>4977</v>
      </c>
      <c r="D32" s="86">
        <f>1586766-1585901</f>
        <v>865</v>
      </c>
      <c r="E32" s="86">
        <f>12020777-12014776</f>
        <v>6001</v>
      </c>
      <c r="F32" s="86">
        <f>11955029-11949002</f>
        <v>6027</v>
      </c>
      <c r="G32" s="86">
        <f>8564586-8561481</f>
        <v>3105</v>
      </c>
      <c r="H32" s="86">
        <f>9111570-9104840</f>
        <v>6730</v>
      </c>
      <c r="I32" s="86">
        <f>5393909-5391428</f>
        <v>2481</v>
      </c>
      <c r="J32" s="86">
        <f>12105511-12098610</f>
        <v>6901</v>
      </c>
      <c r="K32" s="86">
        <f t="shared" si="15"/>
        <v>33246</v>
      </c>
      <c r="L32" s="14">
        <f t="shared" si="8"/>
        <v>6649.2000000000007</v>
      </c>
      <c r="M32" s="83">
        <f>89594.276-89465.53</f>
        <v>128.74599999999919</v>
      </c>
      <c r="N32" s="83">
        <f>4541.658-4540.169</f>
        <v>1.4890000000004875</v>
      </c>
      <c r="O32" s="83">
        <f>10268.863-10266.944</f>
        <v>1.918999999999869</v>
      </c>
      <c r="P32" s="82">
        <f>96203.6-96134.78</f>
        <v>68.820000000006985</v>
      </c>
      <c r="Q32" s="83">
        <f>25521.459-25505.107</f>
        <v>16.351999999998952</v>
      </c>
      <c r="R32" s="83">
        <f t="shared" si="0"/>
        <v>72.228000000007341</v>
      </c>
      <c r="S32" s="83">
        <f t="shared" si="1"/>
        <v>566.26752000005752</v>
      </c>
      <c r="T32" s="83">
        <f t="shared" si="2"/>
        <v>145.09799999999814</v>
      </c>
      <c r="U32" s="83">
        <f t="shared" si="16"/>
        <v>1137.5683199999853</v>
      </c>
      <c r="V32" s="83">
        <f>369583.5-369401.6</f>
        <v>181.90000000002328</v>
      </c>
      <c r="W32" s="83">
        <f t="shared" si="9"/>
        <v>0</v>
      </c>
      <c r="X32" s="86" t="s">
        <v>63</v>
      </c>
      <c r="Y32" s="87">
        <v>897005</v>
      </c>
      <c r="Z32" s="5">
        <f t="shared" si="10"/>
        <v>465</v>
      </c>
      <c r="AA32" s="14">
        <f t="shared" si="6"/>
        <v>3008.5499999999997</v>
      </c>
      <c r="AB32" s="87">
        <v>8576550</v>
      </c>
      <c r="AC32" s="86">
        <f t="shared" si="11"/>
        <v>8548124</v>
      </c>
      <c r="AD32" s="5">
        <f t="shared" si="3"/>
        <v>28426</v>
      </c>
      <c r="AE32" s="83">
        <f t="shared" si="12"/>
        <v>9442.9750700000004</v>
      </c>
      <c r="AF32" s="83">
        <f>92175.1-92127</f>
        <v>48.100000000005821</v>
      </c>
      <c r="AG32" s="83">
        <f>49178.9-49144.4</f>
        <v>34.5</v>
      </c>
      <c r="AH32" s="83">
        <f>29156.4-29141.1</f>
        <v>15.30000000000291</v>
      </c>
      <c r="AI32" s="87">
        <f t="shared" si="13"/>
        <v>47418.5</v>
      </c>
      <c r="AJ32" s="87">
        <v>47453.4</v>
      </c>
      <c r="AK32" s="48">
        <f t="shared" si="7"/>
        <v>34.900000000001455</v>
      </c>
      <c r="AL32" s="89">
        <f t="shared" si="4"/>
        <v>9923.6452495414123</v>
      </c>
      <c r="AM32" s="83">
        <f t="shared" si="14"/>
        <v>3296.5853336714094</v>
      </c>
      <c r="AN32" s="71">
        <v>96</v>
      </c>
      <c r="AO32" s="78">
        <f t="shared" si="5"/>
        <v>20238.293389999984</v>
      </c>
    </row>
    <row r="33" spans="1:41" x14ac:dyDescent="0.25">
      <c r="A33" s="79">
        <v>44467</v>
      </c>
      <c r="B33" s="86">
        <f>12565773-12560135</f>
        <v>5638</v>
      </c>
      <c r="C33" s="86">
        <f>8049789-8045755</f>
        <v>4034</v>
      </c>
      <c r="D33" s="86">
        <f>1587612-1586766</f>
        <v>846</v>
      </c>
      <c r="E33" s="86">
        <f>12026782-12020777</f>
        <v>6005</v>
      </c>
      <c r="F33" s="86">
        <f>11960972-11955029</f>
        <v>5943</v>
      </c>
      <c r="G33" s="86">
        <f>8567624-8564586</f>
        <v>3038</v>
      </c>
      <c r="H33" s="86">
        <f>9118218-9111570</f>
        <v>6648</v>
      </c>
      <c r="I33" s="86">
        <f>5396337-5393909</f>
        <v>2428</v>
      </c>
      <c r="J33" s="86">
        <f>12112475-12105511</f>
        <v>6964</v>
      </c>
      <c r="K33" s="86">
        <f t="shared" si="15"/>
        <v>32152</v>
      </c>
      <c r="L33" s="14">
        <f t="shared" si="8"/>
        <v>6430.4000000000005</v>
      </c>
      <c r="M33" s="83">
        <f>89723.524-89594.276</f>
        <v>129.24800000000687</v>
      </c>
      <c r="N33" s="83">
        <f>4542.287-4541.658</f>
        <v>0.62899999999990541</v>
      </c>
      <c r="O33" s="83">
        <f>10269.919-10268.863</f>
        <v>1.0560000000004948</v>
      </c>
      <c r="P33" s="82">
        <f>96277.133-96203.6</f>
        <v>73.532999999995809</v>
      </c>
      <c r="Q33" s="83">
        <f>25534.704-25521.459</f>
        <v>13.245000000002619</v>
      </c>
      <c r="R33" s="83">
        <f t="shared" si="0"/>
        <v>75.217999999996209</v>
      </c>
      <c r="S33" s="83">
        <f t="shared" si="1"/>
        <v>589.70911999997031</v>
      </c>
      <c r="T33" s="83">
        <f t="shared" si="2"/>
        <v>142.49300000000949</v>
      </c>
      <c r="U33" s="83">
        <f t="shared" si="16"/>
        <v>1117.1451200000743</v>
      </c>
      <c r="V33" s="83">
        <f>369756.8-369583.5</f>
        <v>173.29999999998836</v>
      </c>
      <c r="W33" s="83">
        <f t="shared" si="9"/>
        <v>0</v>
      </c>
      <c r="X33" s="86" t="s">
        <v>63</v>
      </c>
      <c r="Y33" s="87">
        <v>897462</v>
      </c>
      <c r="Z33" s="5">
        <f t="shared" si="10"/>
        <v>457</v>
      </c>
      <c r="AA33" s="14">
        <f t="shared" si="6"/>
        <v>2956.79</v>
      </c>
      <c r="AB33" s="87">
        <v>8606325</v>
      </c>
      <c r="AC33" s="86">
        <f t="shared" si="11"/>
        <v>8576550</v>
      </c>
      <c r="AD33" s="5">
        <f t="shared" si="3"/>
        <v>29775</v>
      </c>
      <c r="AE33" s="83">
        <f t="shared" si="12"/>
        <v>9891.1061250000002</v>
      </c>
      <c r="AF33" s="83">
        <f>92225.1-92175.1</f>
        <v>50</v>
      </c>
      <c r="AG33" s="83">
        <f>49214.8-49178.9</f>
        <v>35.900000000001455</v>
      </c>
      <c r="AH33" s="83">
        <f>29171.4-29156.4</f>
        <v>15</v>
      </c>
      <c r="AI33" s="87">
        <f t="shared" si="13"/>
        <v>47453.4</v>
      </c>
      <c r="AJ33" s="87">
        <v>47489</v>
      </c>
      <c r="AK33" s="48">
        <f t="shared" si="7"/>
        <v>35.599999999998545</v>
      </c>
      <c r="AL33" s="89">
        <f t="shared" si="4"/>
        <v>10122.686844803586</v>
      </c>
      <c r="AM33" s="83">
        <f t="shared" si="14"/>
        <v>3362.7059564095275</v>
      </c>
      <c r="AN33" s="71">
        <v>104</v>
      </c>
      <c r="AO33" s="78">
        <f t="shared" si="5"/>
        <v>20395.441245000075</v>
      </c>
    </row>
    <row r="34" spans="1:41" x14ac:dyDescent="0.25">
      <c r="A34" s="79">
        <v>44468</v>
      </c>
      <c r="B34" s="86">
        <f>12571584-12565773</f>
        <v>5811</v>
      </c>
      <c r="C34" s="86">
        <f>8054528-8049789</f>
        <v>4739</v>
      </c>
      <c r="D34" s="86">
        <f>1588472-1587612</f>
        <v>860</v>
      </c>
      <c r="E34" s="86">
        <f>12032831-12026782</f>
        <v>6049</v>
      </c>
      <c r="F34" s="86">
        <f>11967174-11960972</f>
        <v>6202</v>
      </c>
      <c r="G34" s="86">
        <f>8570834-8567624</f>
        <v>3210</v>
      </c>
      <c r="H34" s="86">
        <f>9124992-9118218</f>
        <v>6774</v>
      </c>
      <c r="I34" s="86">
        <f>5398811-5396337</f>
        <v>2474</v>
      </c>
      <c r="J34" s="86">
        <f>12119411-12112475</f>
        <v>6936</v>
      </c>
      <c r="K34" s="86">
        <f t="shared" si="15"/>
        <v>33645</v>
      </c>
      <c r="L34" s="14">
        <f t="shared" si="8"/>
        <v>6729</v>
      </c>
      <c r="M34" s="83">
        <f>89862.995-89723.524</f>
        <v>139.47099999999045</v>
      </c>
      <c r="N34" s="83">
        <f>4543.771-4542.287</f>
        <v>1.4839999999994689</v>
      </c>
      <c r="O34" s="83">
        <f>10272.644-10269.919</f>
        <v>2.7250000000003638</v>
      </c>
      <c r="P34" s="82">
        <f>96352.748-96277.133</f>
        <v>75.615000000005239</v>
      </c>
      <c r="Q34" s="83">
        <f>25552.832-25534.704</f>
        <v>18.127999999996973</v>
      </c>
      <c r="R34" s="83">
        <f t="shared" si="0"/>
        <v>79.824000000005071</v>
      </c>
      <c r="S34" s="83">
        <f t="shared" si="1"/>
        <v>625.82016000003978</v>
      </c>
      <c r="T34" s="83">
        <f t="shared" si="2"/>
        <v>157.59899999998743</v>
      </c>
      <c r="U34" s="83">
        <f t="shared" si="16"/>
        <v>1235.5761599999014</v>
      </c>
      <c r="V34" s="83">
        <f>369944.1-369756.8</f>
        <v>187.29999999998836</v>
      </c>
      <c r="W34" s="83">
        <f t="shared" si="9"/>
        <v>0</v>
      </c>
      <c r="X34" s="86" t="s">
        <v>63</v>
      </c>
      <c r="Y34" s="87">
        <v>897952</v>
      </c>
      <c r="Z34" s="5">
        <f t="shared" si="10"/>
        <v>490</v>
      </c>
      <c r="AA34" s="14">
        <f t="shared" si="6"/>
        <v>3170.2999999999997</v>
      </c>
      <c r="AB34" s="87">
        <v>8638710</v>
      </c>
      <c r="AC34" s="86">
        <f t="shared" si="11"/>
        <v>8606325</v>
      </c>
      <c r="AD34" s="5">
        <f t="shared" si="3"/>
        <v>32385</v>
      </c>
      <c r="AE34" s="83">
        <f t="shared" si="12"/>
        <v>10758.135075</v>
      </c>
      <c r="AF34" s="83">
        <f>92279.4-92225.1</f>
        <v>54.299999999988358</v>
      </c>
      <c r="AG34" s="83">
        <f>49253.4-49214.8</f>
        <v>38.599999999998545</v>
      </c>
      <c r="AH34" s="83">
        <f>29187.5-29171.4</f>
        <v>16.099999999998545</v>
      </c>
      <c r="AI34" s="87">
        <f t="shared" si="13"/>
        <v>47489</v>
      </c>
      <c r="AJ34" s="87">
        <v>47525.4</v>
      </c>
      <c r="AK34" s="48">
        <f t="shared" si="7"/>
        <v>36.400000000001455</v>
      </c>
      <c r="AL34" s="89">
        <f t="shared" si="4"/>
        <v>10350.162953676414</v>
      </c>
      <c r="AM34" s="83">
        <f t="shared" si="14"/>
        <v>3438.2723823965366</v>
      </c>
      <c r="AN34" s="71">
        <v>115</v>
      </c>
      <c r="AO34" s="78">
        <f t="shared" si="5"/>
        <v>21893.011234999904</v>
      </c>
    </row>
    <row r="35" spans="1:41" ht="21.75" thickBot="1" x14ac:dyDescent="0.3">
      <c r="A35" s="79">
        <v>44469</v>
      </c>
      <c r="B35" s="86">
        <f>12577265-12571584</f>
        <v>5681</v>
      </c>
      <c r="C35" s="86">
        <f>8059204-8054528</f>
        <v>4676</v>
      </c>
      <c r="D35" s="86">
        <f>1589362-1588472</f>
        <v>890</v>
      </c>
      <c r="E35" s="86">
        <f>12038884-12032831</f>
        <v>6053</v>
      </c>
      <c r="F35" s="86">
        <f>11973311-11967174</f>
        <v>6137</v>
      </c>
      <c r="G35" s="86">
        <f>8573975-8570834</f>
        <v>3141</v>
      </c>
      <c r="H35" s="86">
        <f>9131689-9124992</f>
        <v>6697</v>
      </c>
      <c r="I35" s="86">
        <f>5401183-5398811</f>
        <v>2372</v>
      </c>
      <c r="J35" s="86">
        <f>12126357-12119411</f>
        <v>6946</v>
      </c>
      <c r="K35" s="86">
        <f t="shared" ref="K35" si="17">SUM(B35:H35)</f>
        <v>33275</v>
      </c>
      <c r="L35" s="14">
        <f t="shared" ref="L35" si="18">K35*0.2</f>
        <v>6655</v>
      </c>
      <c r="M35" s="83">
        <f>90000.876-89862.995</f>
        <v>137.8810000000085</v>
      </c>
      <c r="N35" s="83">
        <f>4545.132-4543.771</f>
        <v>1.3609999999998763</v>
      </c>
      <c r="O35" s="83">
        <f>10275.31-10272.644</f>
        <v>2.6659999999992579</v>
      </c>
      <c r="P35" s="82">
        <f>96426.377-96352.748</f>
        <v>73.628999999986263</v>
      </c>
      <c r="Q35" s="83">
        <f>25564.842-25552.832</f>
        <v>12.010000000002037</v>
      </c>
      <c r="R35" s="83">
        <f t="shared" ref="R35" si="19">N35+O35+P35</f>
        <v>77.655999999985397</v>
      </c>
      <c r="S35" s="83">
        <f t="shared" ref="S35" si="20">(N35+O35+P35)*7.84</f>
        <v>608.82303999988551</v>
      </c>
      <c r="T35" s="83">
        <f t="shared" ref="T35" si="21">M35+Q35</f>
        <v>149.89100000001054</v>
      </c>
      <c r="U35" s="83">
        <f t="shared" ref="U35" si="22">T35*7.84</f>
        <v>1175.1454400000825</v>
      </c>
      <c r="V35" s="83">
        <f>370129.3-369944.1</f>
        <v>185.20000000001164</v>
      </c>
      <c r="W35" s="83">
        <f t="shared" si="9"/>
        <v>0</v>
      </c>
      <c r="X35" s="86" t="s">
        <v>102</v>
      </c>
      <c r="Y35" s="87">
        <v>898441</v>
      </c>
      <c r="Z35" s="5">
        <f t="shared" ref="Z35" si="23">IF((Y35-Y34&lt;0), "0",Y35-Y34)</f>
        <v>489</v>
      </c>
      <c r="AA35" s="14">
        <f t="shared" ref="AA35" si="24">Z35*6.47</f>
        <v>3163.83</v>
      </c>
      <c r="AB35" s="87">
        <v>8669536</v>
      </c>
      <c r="AC35" s="86">
        <f t="shared" si="11"/>
        <v>8638710</v>
      </c>
      <c r="AD35" s="5">
        <f t="shared" si="3"/>
        <v>30826</v>
      </c>
      <c r="AE35" s="83">
        <f t="shared" si="12"/>
        <v>10240.24307</v>
      </c>
      <c r="AF35" s="83">
        <f>92331.8-92279.4</f>
        <v>52.400000000008731</v>
      </c>
      <c r="AG35" s="83">
        <f>49289.9-49253.4</f>
        <v>36.5</v>
      </c>
      <c r="AH35" s="83">
        <f>29202.9-29187.5</f>
        <v>15.400000000001455</v>
      </c>
      <c r="AI35" s="87">
        <f t="shared" si="13"/>
        <v>47525.4</v>
      </c>
      <c r="AJ35" s="87">
        <v>47560.1</v>
      </c>
      <c r="AK35" s="48">
        <f t="shared" ref="AK35" si="25">IF((AJ35-AI35)&lt;0, "0",AJ35-AI35)</f>
        <v>34.69999999999709</v>
      </c>
      <c r="AL35" s="89">
        <f t="shared" ref="AL35" si="26">AK35*(284.34513609)</f>
        <v>9866.7762223221725</v>
      </c>
      <c r="AM35" s="83">
        <f t="shared" si="14"/>
        <v>3277.6937271743141</v>
      </c>
      <c r="AN35" s="108">
        <v>97</v>
      </c>
      <c r="AO35" s="78">
        <f t="shared" ref="AO35" si="27">L35+U35+AA35+AE35</f>
        <v>21234.218510000082</v>
      </c>
    </row>
    <row r="36" spans="1:41" x14ac:dyDescent="0.25">
      <c r="A36" s="76"/>
      <c r="D36" s="6">
        <f>SUM(D6:D35)</f>
        <v>25650</v>
      </c>
      <c r="E36" s="6" t="s">
        <v>93</v>
      </c>
      <c r="G36" s="6">
        <f t="shared" ref="G36:L36" si="28">SUM(G6:G35)</f>
        <v>91638</v>
      </c>
      <c r="H36" s="6">
        <f t="shared" si="28"/>
        <v>200296</v>
      </c>
      <c r="I36" s="6">
        <f t="shared" si="28"/>
        <v>74595</v>
      </c>
      <c r="J36" s="6">
        <f t="shared" si="28"/>
        <v>206056</v>
      </c>
      <c r="K36" s="6">
        <f t="shared" si="28"/>
        <v>962573</v>
      </c>
      <c r="L36" s="15">
        <f t="shared" si="28"/>
        <v>192514.60000000003</v>
      </c>
      <c r="R36" s="16">
        <f>SUM(R6:R35)</f>
        <v>2276.0989999999856</v>
      </c>
      <c r="T36" s="16">
        <f>SUM(T6:T35)</f>
        <v>4215.3310000000092</v>
      </c>
      <c r="U36" s="16">
        <f t="shared" si="16"/>
        <v>33048.195040000071</v>
      </c>
      <c r="Z36" s="17">
        <f>SUM(Z6:Z35)</f>
        <v>13399</v>
      </c>
      <c r="AA36" s="17">
        <f>SUM(AA6:AA35)</f>
        <v>86691.529999999984</v>
      </c>
      <c r="AD36" s="17">
        <f>SUM(AD6:AD35)</f>
        <v>958203</v>
      </c>
      <c r="AE36" s="16">
        <f>AD36*0.334569</f>
        <v>320585.01950699999</v>
      </c>
      <c r="AF36" s="16">
        <f>SUM(AF6:AF35)</f>
        <v>1607</v>
      </c>
      <c r="AG36" s="16">
        <f>SUM(AG6:AG35)</f>
        <v>1093.5999999999985</v>
      </c>
      <c r="AH36" s="16">
        <f>SUM(AH6:AH35)</f>
        <v>517.70000000000073</v>
      </c>
      <c r="AK36" s="42">
        <f>SUM(AK6:AK35)</f>
        <v>1122.5</v>
      </c>
      <c r="AL36" s="42">
        <f>SUM(AL6:AL35)</f>
        <v>319177.41526102496</v>
      </c>
      <c r="AM36" s="42">
        <f>SUM(AM6:AM35)</f>
        <v>106029.14146263618</v>
      </c>
      <c r="AN36" s="42">
        <f>SUM(AN6:AN35)</f>
        <v>2383</v>
      </c>
      <c r="AO36" s="42">
        <f>SUM(AO6:AO35)</f>
        <v>630564.57062500005</v>
      </c>
    </row>
    <row r="37" spans="1:41" x14ac:dyDescent="0.25">
      <c r="D37" s="6" t="e">
        <f>#REF!*24</f>
        <v>#REF!</v>
      </c>
      <c r="E37" s="6" t="s">
        <v>1</v>
      </c>
      <c r="R37" s="16">
        <v>7.84</v>
      </c>
      <c r="T37" s="16" t="s">
        <v>99</v>
      </c>
      <c r="U37" s="16">
        <f>U36-R38</f>
        <v>15203.578880000183</v>
      </c>
    </row>
    <row r="38" spans="1:41" x14ac:dyDescent="0.25">
      <c r="D38" s="6" t="e">
        <f>D37*31</f>
        <v>#REF!</v>
      </c>
      <c r="E38" s="6" t="s">
        <v>2</v>
      </c>
      <c r="F38" s="6" t="s">
        <v>94</v>
      </c>
      <c r="G38" s="6" t="e">
        <f>D38*0.2</f>
        <v>#REF!</v>
      </c>
      <c r="R38" s="16">
        <f>R36*R37</f>
        <v>17844.616159999889</v>
      </c>
      <c r="U38" s="16">
        <f>U37/R37</f>
        <v>1939.2320000000234</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2021-10-05T06:42:12Z</dcterms:modified>
</cp:coreProperties>
</file>