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I:\Common\Marian\HEP Monthly 2019\"/>
    </mc:Choice>
  </mc:AlternateContent>
  <bookViews>
    <workbookView xWindow="0" yWindow="0" windowWidth="28800" windowHeight="12435" activeTab="2"/>
  </bookViews>
  <sheets>
    <sheet name="TOTAL" sheetId="1" r:id="rId1"/>
    <sheet name="Submetering" sheetId="3" r:id="rId2"/>
    <sheet name="FS-AD Daily " sheetId="2" r:id="rId3"/>
  </sheets>
  <calcPr calcId="162913"/>
</workbook>
</file>

<file path=xl/calcChain.xml><?xml version="1.0" encoding="utf-8"?>
<calcChain xmlns="http://schemas.openxmlformats.org/spreadsheetml/2006/main">
  <c r="W9" i="2" l="1"/>
  <c r="AC32" i="2" l="1"/>
  <c r="AC33" i="2"/>
  <c r="AC34" i="2"/>
  <c r="AC35" i="2"/>
  <c r="AC18" i="2"/>
  <c r="AC19" i="2"/>
  <c r="AC20" i="2"/>
  <c r="AC21" i="2"/>
  <c r="AC22" i="2"/>
  <c r="AC23" i="2"/>
  <c r="AC24" i="2"/>
  <c r="AC25" i="2"/>
  <c r="AC26" i="2"/>
  <c r="AC27" i="2"/>
  <c r="AC28" i="2"/>
  <c r="AC29" i="2"/>
  <c r="AC30" i="2"/>
  <c r="AC31" i="2"/>
  <c r="U32" i="3" l="1"/>
  <c r="U31" i="3"/>
  <c r="U10" i="3"/>
  <c r="U11" i="3"/>
  <c r="U12" i="3"/>
  <c r="U13" i="3"/>
  <c r="U14" i="3"/>
  <c r="U15" i="3"/>
  <c r="U16" i="3"/>
  <c r="U17" i="3"/>
  <c r="U18" i="3"/>
  <c r="U19" i="3"/>
  <c r="U20" i="3"/>
  <c r="U21" i="3"/>
  <c r="U22" i="3"/>
  <c r="U23" i="3"/>
  <c r="U24" i="3"/>
  <c r="U25" i="3"/>
  <c r="U26" i="3"/>
  <c r="U27" i="3"/>
  <c r="U28" i="3"/>
  <c r="U29" i="3"/>
  <c r="U30" i="3"/>
  <c r="U9" i="3"/>
  <c r="Z15" i="2" l="1"/>
  <c r="T9" i="2"/>
  <c r="U9" i="2" s="1"/>
  <c r="T8" i="2"/>
  <c r="S9" i="2"/>
  <c r="S8" i="2"/>
  <c r="R9" i="2"/>
  <c r="O4" i="3" s="1"/>
  <c r="R8" i="2"/>
  <c r="O3" i="3" s="1"/>
  <c r="K9" i="2"/>
  <c r="L9" i="2" s="1"/>
  <c r="K8" i="2"/>
  <c r="L8" i="2" s="1"/>
  <c r="M32" i="3"/>
  <c r="L32" i="3"/>
  <c r="K32" i="3"/>
  <c r="J32" i="3"/>
  <c r="I32" i="3"/>
  <c r="H32" i="3"/>
  <c r="G32" i="3"/>
  <c r="F32" i="3"/>
  <c r="E32" i="3"/>
  <c r="M33" i="1"/>
  <c r="N33" i="1"/>
  <c r="Z7" i="2"/>
  <c r="AA7" i="2" s="1"/>
  <c r="AI9" i="2"/>
  <c r="AK9" i="2" s="1"/>
  <c r="AI8" i="2"/>
  <c r="AK8" i="2" s="1"/>
  <c r="AI10" i="2"/>
  <c r="AK10" i="2" s="1"/>
  <c r="X5" i="3" s="1"/>
  <c r="AI11" i="2"/>
  <c r="AK11" i="2" s="1"/>
  <c r="AI12" i="2"/>
  <c r="AK12" i="2"/>
  <c r="X7" i="3" s="1"/>
  <c r="AC9" i="2"/>
  <c r="AC10" i="2"/>
  <c r="AD10" i="2" s="1"/>
  <c r="T5" i="3" s="1"/>
  <c r="AC11" i="2"/>
  <c r="AD11" i="2" s="1"/>
  <c r="AC12" i="2"/>
  <c r="AD12" i="2" s="1"/>
  <c r="AC13" i="2"/>
  <c r="AD13" i="2" s="1"/>
  <c r="AC14" i="2"/>
  <c r="AD14" i="2" s="1"/>
  <c r="T9" i="3" s="1"/>
  <c r="AC15" i="2"/>
  <c r="AD15" i="2" s="1"/>
  <c r="AC16" i="2"/>
  <c r="AD16" i="2" s="1"/>
  <c r="AC17" i="2"/>
  <c r="AD17" i="2" s="1"/>
  <c r="AD18" i="2"/>
  <c r="AE18" i="2" s="1"/>
  <c r="T13" i="3"/>
  <c r="AD19" i="2"/>
  <c r="AD20" i="2"/>
  <c r="AD21" i="2"/>
  <c r="AE21" i="2" s="1"/>
  <c r="AD22" i="2"/>
  <c r="AD23" i="2"/>
  <c r="AD24" i="2"/>
  <c r="T19" i="3" s="1"/>
  <c r="AD25" i="2"/>
  <c r="AD26" i="2"/>
  <c r="T21" i="3" s="1"/>
  <c r="AD27" i="2"/>
  <c r="AD28" i="2"/>
  <c r="AD29" i="2"/>
  <c r="AD30" i="2"/>
  <c r="AD31" i="2"/>
  <c r="AD32" i="2"/>
  <c r="T27" i="3" s="1"/>
  <c r="AD33" i="2"/>
  <c r="AD34" i="2"/>
  <c r="AD35" i="2"/>
  <c r="AC8" i="2"/>
  <c r="AD8" i="2" s="1"/>
  <c r="AN36" i="2"/>
  <c r="AG36" i="2"/>
  <c r="AH36" i="2"/>
  <c r="AF36" i="2"/>
  <c r="D36" i="2"/>
  <c r="J36" i="2"/>
  <c r="H36" i="2"/>
  <c r="I36" i="2"/>
  <c r="G36" i="2"/>
  <c r="W32" i="3"/>
  <c r="V32" i="3"/>
  <c r="R32" i="3"/>
  <c r="Q32" i="3"/>
  <c r="O32" i="3"/>
  <c r="K32" i="1"/>
  <c r="AD41" i="2"/>
  <c r="D37" i="2"/>
  <c r="D38" i="2" s="1"/>
  <c r="Z33" i="3"/>
  <c r="Y33" i="3"/>
  <c r="K10" i="2"/>
  <c r="L10" i="2" s="1"/>
  <c r="K11" i="2"/>
  <c r="L11" i="2" s="1"/>
  <c r="K12" i="2"/>
  <c r="L12" i="2" s="1"/>
  <c r="K13" i="2"/>
  <c r="L13" i="2" s="1"/>
  <c r="K14" i="2"/>
  <c r="L14" i="2" s="1"/>
  <c r="K15" i="2"/>
  <c r="L15" i="2" s="1"/>
  <c r="K16" i="2"/>
  <c r="L16" i="2" s="1"/>
  <c r="K17" i="2"/>
  <c r="L17" i="2" s="1"/>
  <c r="K18" i="2"/>
  <c r="L18" i="2" s="1"/>
  <c r="K19" i="2"/>
  <c r="L19" i="2" s="1"/>
  <c r="K20" i="2"/>
  <c r="L20" i="2" s="1"/>
  <c r="K21" i="2"/>
  <c r="L21" i="2"/>
  <c r="K22" i="2"/>
  <c r="L22" i="2" s="1"/>
  <c r="K23" i="2"/>
  <c r="L23" i="2" s="1"/>
  <c r="K24" i="2"/>
  <c r="L24" i="2" s="1"/>
  <c r="K25" i="2"/>
  <c r="L25" i="2" s="1"/>
  <c r="K26" i="2"/>
  <c r="L26" i="2" s="1"/>
  <c r="K27" i="2"/>
  <c r="L27" i="2" s="1"/>
  <c r="K28" i="2"/>
  <c r="L28" i="2" s="1"/>
  <c r="K29" i="2"/>
  <c r="L29" i="2" s="1"/>
  <c r="K30" i="2"/>
  <c r="L30" i="2" s="1"/>
  <c r="K31" i="2"/>
  <c r="L31" i="2" s="1"/>
  <c r="K32" i="2"/>
  <c r="L32" i="2" s="1"/>
  <c r="K33" i="2"/>
  <c r="L33" i="2" s="1"/>
  <c r="K34" i="2"/>
  <c r="L34" i="2" s="1"/>
  <c r="K35" i="2"/>
  <c r="L35" i="2" s="1"/>
  <c r="T10" i="2"/>
  <c r="U10" i="2" s="1"/>
  <c r="T11" i="2"/>
  <c r="T12" i="2"/>
  <c r="T13" i="2"/>
  <c r="T14" i="2"/>
  <c r="T15" i="2"/>
  <c r="N10" i="3" s="1"/>
  <c r="T16" i="2"/>
  <c r="K11" i="1" s="1"/>
  <c r="T17" i="2"/>
  <c r="U17" i="2" s="1"/>
  <c r="T18" i="2"/>
  <c r="T19" i="2"/>
  <c r="T20" i="2"/>
  <c r="T21" i="2"/>
  <c r="T22" i="2"/>
  <c r="N17" i="3" s="1"/>
  <c r="T23" i="2"/>
  <c r="K18" i="1" s="1"/>
  <c r="T24" i="2"/>
  <c r="T25" i="2"/>
  <c r="N20" i="3" s="1"/>
  <c r="T26" i="2"/>
  <c r="T27" i="2"/>
  <c r="T28" i="2"/>
  <c r="T29" i="2"/>
  <c r="T30" i="2"/>
  <c r="T31" i="2"/>
  <c r="T32" i="2"/>
  <c r="T33" i="2"/>
  <c r="T34" i="2"/>
  <c r="T35" i="2"/>
  <c r="K31" i="1"/>
  <c r="T7" i="2"/>
  <c r="K7" i="2"/>
  <c r="L7" i="2" s="1"/>
  <c r="Z21" i="2"/>
  <c r="P16" i="3" s="1"/>
  <c r="G16" i="1" s="1"/>
  <c r="Z22" i="2"/>
  <c r="AA22" i="2" s="1"/>
  <c r="Z23" i="2"/>
  <c r="P18" i="3" s="1"/>
  <c r="G18" i="1" s="1"/>
  <c r="Z24" i="2"/>
  <c r="P19" i="3" s="1"/>
  <c r="G19" i="1" s="1"/>
  <c r="Z25" i="2"/>
  <c r="P20" i="3" s="1"/>
  <c r="Z26" i="2"/>
  <c r="P21" i="3" s="1"/>
  <c r="G21" i="1" s="1"/>
  <c r="AA26" i="2"/>
  <c r="Z27" i="2"/>
  <c r="AA27" i="2" s="1"/>
  <c r="Z28" i="2"/>
  <c r="P23" i="3" s="1"/>
  <c r="G23" i="1" s="1"/>
  <c r="Z29" i="2"/>
  <c r="AA29" i="2" s="1"/>
  <c r="Z30" i="2"/>
  <c r="P25" i="3" s="1"/>
  <c r="G25" i="1" s="1"/>
  <c r="Z31" i="2"/>
  <c r="AA31" i="2" s="1"/>
  <c r="Z32" i="2"/>
  <c r="AA32" i="2" s="1"/>
  <c r="Z33" i="2"/>
  <c r="P28" i="3" s="1"/>
  <c r="Z34" i="2"/>
  <c r="P29" i="3" s="1"/>
  <c r="G29" i="1" s="1"/>
  <c r="Z35" i="2"/>
  <c r="AA35" i="2" s="1"/>
  <c r="P31" i="3"/>
  <c r="Z8" i="2"/>
  <c r="AA8" i="2" s="1"/>
  <c r="P3" i="3"/>
  <c r="G3" i="1" s="1"/>
  <c r="Z9" i="2"/>
  <c r="AA9" i="2" s="1"/>
  <c r="Z10" i="2"/>
  <c r="P5" i="3" s="1"/>
  <c r="G5" i="1" s="1"/>
  <c r="AA10" i="2"/>
  <c r="Z11" i="2"/>
  <c r="AA11" i="2" s="1"/>
  <c r="Z12" i="2"/>
  <c r="AA12" i="2" s="1"/>
  <c r="Z13" i="2"/>
  <c r="AA13" i="2"/>
  <c r="Z14" i="2"/>
  <c r="P9" i="3" s="1"/>
  <c r="G9" i="1" s="1"/>
  <c r="AA15" i="2"/>
  <c r="Z16" i="2"/>
  <c r="AA16" i="2" s="1"/>
  <c r="Z17" i="2"/>
  <c r="AA17" i="2" s="1"/>
  <c r="Z18" i="2"/>
  <c r="P13" i="3" s="1"/>
  <c r="Z19" i="2"/>
  <c r="P14" i="3" s="1"/>
  <c r="Z20" i="2"/>
  <c r="AA20" i="2" s="1"/>
  <c r="U3" i="3"/>
  <c r="U4" i="3"/>
  <c r="U5" i="3"/>
  <c r="U6" i="3"/>
  <c r="U7" i="3"/>
  <c r="U8" i="3"/>
  <c r="U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31" i="3"/>
  <c r="V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31" i="3"/>
  <c r="W2" i="3"/>
  <c r="AI13" i="2"/>
  <c r="AK13" i="2"/>
  <c r="X8" i="3" s="1"/>
  <c r="AI14" i="2"/>
  <c r="AK14" i="2" s="1"/>
  <c r="AI15" i="2"/>
  <c r="AK15" i="2" s="1"/>
  <c r="AL15" i="2" s="1"/>
  <c r="AM15" i="2" s="1"/>
  <c r="AI16" i="2"/>
  <c r="AK16" i="2" s="1"/>
  <c r="X11" i="3" s="1"/>
  <c r="AI17" i="2"/>
  <c r="AK17" i="2" s="1"/>
  <c r="AI18" i="2"/>
  <c r="AK18" i="2"/>
  <c r="AL18" i="2" s="1"/>
  <c r="AM18" i="2" s="1"/>
  <c r="AI19" i="2"/>
  <c r="AK19" i="2" s="1"/>
  <c r="X14" i="3" s="1"/>
  <c r="AI20" i="2"/>
  <c r="AK20" i="2" s="1"/>
  <c r="AL20" i="2" s="1"/>
  <c r="AM20" i="2" s="1"/>
  <c r="AI21" i="2"/>
  <c r="AK21" i="2" s="1"/>
  <c r="AI22" i="2"/>
  <c r="AK22" i="2"/>
  <c r="X17" i="3" s="1"/>
  <c r="AI23" i="2"/>
  <c r="AK23" i="2" s="1"/>
  <c r="AI24" i="2"/>
  <c r="AK24" i="2" s="1"/>
  <c r="X19" i="3" s="1"/>
  <c r="AI25" i="2"/>
  <c r="AK25" i="2" s="1"/>
  <c r="AI26" i="2"/>
  <c r="AK26" i="2" s="1"/>
  <c r="AI27" i="2"/>
  <c r="AK27" i="2" s="1"/>
  <c r="AI28" i="2"/>
  <c r="AK28" i="2" s="1"/>
  <c r="AL28" i="2" s="1"/>
  <c r="AI29" i="2"/>
  <c r="AK29" i="2"/>
  <c r="X24" i="3" s="1"/>
  <c r="AI30" i="2"/>
  <c r="AK30" i="2"/>
  <c r="X25" i="3" s="1"/>
  <c r="AI31" i="2"/>
  <c r="AK31" i="2" s="1"/>
  <c r="AL31" i="2" s="1"/>
  <c r="AM31" i="2" s="1"/>
  <c r="AI32" i="2"/>
  <c r="AK32" i="2" s="1"/>
  <c r="AL32" i="2" s="1"/>
  <c r="AM32" i="2" s="1"/>
  <c r="AI33" i="2"/>
  <c r="AK33" i="2" s="1"/>
  <c r="AI34" i="2"/>
  <c r="AK34" i="2" s="1"/>
  <c r="AI35" i="2"/>
  <c r="AK35" i="2" s="1"/>
  <c r="X30" i="3" s="1"/>
  <c r="AD9" i="2"/>
  <c r="AE9" i="2" s="1"/>
  <c r="AK7" i="2"/>
  <c r="X2" i="3" s="1"/>
  <c r="AD7" i="2"/>
  <c r="T2" i="3" s="1"/>
  <c r="S7" i="2"/>
  <c r="R7" i="2"/>
  <c r="O2" i="3" s="1"/>
  <c r="R10" i="2"/>
  <c r="O5" i="3" s="1"/>
  <c r="S10" i="2"/>
  <c r="R11" i="2"/>
  <c r="O6" i="3" s="1"/>
  <c r="S11" i="2"/>
  <c r="R12" i="2"/>
  <c r="O7" i="3" s="1"/>
  <c r="S12" i="2"/>
  <c r="R13" i="2"/>
  <c r="O8" i="3" s="1"/>
  <c r="S13" i="2"/>
  <c r="O9" i="3"/>
  <c r="S14" i="2"/>
  <c r="R15" i="2"/>
  <c r="O10" i="3" s="1"/>
  <c r="S15" i="2"/>
  <c r="R16" i="2"/>
  <c r="O11" i="3" s="1"/>
  <c r="S16" i="2"/>
  <c r="R17" i="2"/>
  <c r="O12" i="3" s="1"/>
  <c r="S17" i="2"/>
  <c r="R18" i="2"/>
  <c r="O13" i="3" s="1"/>
  <c r="S18" i="2"/>
  <c r="AA6" i="2"/>
  <c r="AE6" i="2"/>
  <c r="AK6" i="2"/>
  <c r="AO6" i="2"/>
  <c r="Q3" i="3"/>
  <c r="R3" i="3"/>
  <c r="Q4" i="3"/>
  <c r="R4" i="3"/>
  <c r="Q5" i="3"/>
  <c r="R5" i="3"/>
  <c r="Q6" i="3"/>
  <c r="R6" i="3"/>
  <c r="Q7" i="3"/>
  <c r="R7" i="3"/>
  <c r="Q8" i="3"/>
  <c r="R8"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Q26" i="3"/>
  <c r="R26" i="3"/>
  <c r="Q27" i="3"/>
  <c r="R27" i="3"/>
  <c r="Q28" i="3"/>
  <c r="R28" i="3"/>
  <c r="Q29" i="3"/>
  <c r="R29" i="3"/>
  <c r="Q30" i="3"/>
  <c r="R30" i="3"/>
  <c r="Q31" i="3"/>
  <c r="R31" i="3"/>
  <c r="E3" i="3"/>
  <c r="F3" i="3"/>
  <c r="G3" i="3"/>
  <c r="H3" i="3"/>
  <c r="I3" i="3"/>
  <c r="J3" i="3"/>
  <c r="K3" i="3"/>
  <c r="L3" i="3"/>
  <c r="M3" i="3"/>
  <c r="E4" i="3"/>
  <c r="F4" i="3"/>
  <c r="G4" i="3"/>
  <c r="H4" i="3"/>
  <c r="I4" i="3"/>
  <c r="J4" i="3"/>
  <c r="K4" i="3"/>
  <c r="L4" i="3"/>
  <c r="M4" i="3"/>
  <c r="E5" i="3"/>
  <c r="F5" i="3"/>
  <c r="G5" i="3"/>
  <c r="H5" i="3"/>
  <c r="I5" i="3"/>
  <c r="J5" i="3"/>
  <c r="K5" i="3"/>
  <c r="L5" i="3"/>
  <c r="M5" i="3"/>
  <c r="E6" i="3"/>
  <c r="F6" i="3"/>
  <c r="G6" i="3"/>
  <c r="H6" i="3"/>
  <c r="I6" i="3"/>
  <c r="J6" i="3"/>
  <c r="K6" i="3"/>
  <c r="L6" i="3"/>
  <c r="M6" i="3"/>
  <c r="E7" i="3"/>
  <c r="F7" i="3"/>
  <c r="G7" i="3"/>
  <c r="H7" i="3"/>
  <c r="I7" i="3"/>
  <c r="J7" i="3"/>
  <c r="K7" i="3"/>
  <c r="L7" i="3"/>
  <c r="M7" i="3"/>
  <c r="E8" i="3"/>
  <c r="F8" i="3"/>
  <c r="G8" i="3"/>
  <c r="H8" i="3"/>
  <c r="I8" i="3"/>
  <c r="J8" i="3"/>
  <c r="K8" i="3"/>
  <c r="L8" i="3"/>
  <c r="M8" i="3"/>
  <c r="E9" i="3"/>
  <c r="F9" i="3"/>
  <c r="G9" i="3"/>
  <c r="H9" i="3"/>
  <c r="I9" i="3"/>
  <c r="J9" i="3"/>
  <c r="K9" i="3"/>
  <c r="L9" i="3"/>
  <c r="M9" i="3"/>
  <c r="E10" i="3"/>
  <c r="F10" i="3"/>
  <c r="G10" i="3"/>
  <c r="H10" i="3"/>
  <c r="I10" i="3"/>
  <c r="J10" i="3"/>
  <c r="K10" i="3"/>
  <c r="L10" i="3"/>
  <c r="M10" i="3"/>
  <c r="E11" i="3"/>
  <c r="F11" i="3"/>
  <c r="G11" i="3"/>
  <c r="H11" i="3"/>
  <c r="I11" i="3"/>
  <c r="J11" i="3"/>
  <c r="K11" i="3"/>
  <c r="L11" i="3"/>
  <c r="M11" i="3"/>
  <c r="E12" i="3"/>
  <c r="F12" i="3"/>
  <c r="G12" i="3"/>
  <c r="H12" i="3"/>
  <c r="I12" i="3"/>
  <c r="J12" i="3"/>
  <c r="K12" i="3"/>
  <c r="L12" i="3"/>
  <c r="M12" i="3"/>
  <c r="E13" i="3"/>
  <c r="F13" i="3"/>
  <c r="G13" i="3"/>
  <c r="H13" i="3"/>
  <c r="I13" i="3"/>
  <c r="J13" i="3"/>
  <c r="K13" i="3"/>
  <c r="L13" i="3"/>
  <c r="M13" i="3"/>
  <c r="E14" i="3"/>
  <c r="F14" i="3"/>
  <c r="G14" i="3"/>
  <c r="H14" i="3"/>
  <c r="I14" i="3"/>
  <c r="J14" i="3"/>
  <c r="K14" i="3"/>
  <c r="L14" i="3"/>
  <c r="M14" i="3"/>
  <c r="E15" i="3"/>
  <c r="F15" i="3"/>
  <c r="G15" i="3"/>
  <c r="H15" i="3"/>
  <c r="I15" i="3"/>
  <c r="J15" i="3"/>
  <c r="K15" i="3"/>
  <c r="L15" i="3"/>
  <c r="M15" i="3"/>
  <c r="E16" i="3"/>
  <c r="F16" i="3"/>
  <c r="G16" i="3"/>
  <c r="H16" i="3"/>
  <c r="I16" i="3"/>
  <c r="J16" i="3"/>
  <c r="K16" i="3"/>
  <c r="L16" i="3"/>
  <c r="M16" i="3"/>
  <c r="E17" i="3"/>
  <c r="F17" i="3"/>
  <c r="G17" i="3"/>
  <c r="H17" i="3"/>
  <c r="I17" i="3"/>
  <c r="J17" i="3"/>
  <c r="K17" i="3"/>
  <c r="L17" i="3"/>
  <c r="M17" i="3"/>
  <c r="E18" i="3"/>
  <c r="F18" i="3"/>
  <c r="G18" i="3"/>
  <c r="H18" i="3"/>
  <c r="I18" i="3"/>
  <c r="J18" i="3"/>
  <c r="K18" i="3"/>
  <c r="L18" i="3"/>
  <c r="M18" i="3"/>
  <c r="E19" i="3"/>
  <c r="F19" i="3"/>
  <c r="G19" i="3"/>
  <c r="H19" i="3"/>
  <c r="I19" i="3"/>
  <c r="J19" i="3"/>
  <c r="K19" i="3"/>
  <c r="L19" i="3"/>
  <c r="M19" i="3"/>
  <c r="E20" i="3"/>
  <c r="F20" i="3"/>
  <c r="G20" i="3"/>
  <c r="H20" i="3"/>
  <c r="I20" i="3"/>
  <c r="J20" i="3"/>
  <c r="K20" i="3"/>
  <c r="L20" i="3"/>
  <c r="M20" i="3"/>
  <c r="E21" i="3"/>
  <c r="F21" i="3"/>
  <c r="G21" i="3"/>
  <c r="H21" i="3"/>
  <c r="I21" i="3"/>
  <c r="J21" i="3"/>
  <c r="K21" i="3"/>
  <c r="L21" i="3"/>
  <c r="M21" i="3"/>
  <c r="E22" i="3"/>
  <c r="F22" i="3"/>
  <c r="G22" i="3"/>
  <c r="H22" i="3"/>
  <c r="I22" i="3"/>
  <c r="J22" i="3"/>
  <c r="K22" i="3"/>
  <c r="L22" i="3"/>
  <c r="M22" i="3"/>
  <c r="E23" i="3"/>
  <c r="F23" i="3"/>
  <c r="G23" i="3"/>
  <c r="H23" i="3"/>
  <c r="I23" i="3"/>
  <c r="J23" i="3"/>
  <c r="K23" i="3"/>
  <c r="L23" i="3"/>
  <c r="M23" i="3"/>
  <c r="E24" i="3"/>
  <c r="F24" i="3"/>
  <c r="G24" i="3"/>
  <c r="H24" i="3"/>
  <c r="I24" i="3"/>
  <c r="J24" i="3"/>
  <c r="K24" i="3"/>
  <c r="L24" i="3"/>
  <c r="M24" i="3"/>
  <c r="E25" i="3"/>
  <c r="F25" i="3"/>
  <c r="G25" i="3"/>
  <c r="H25" i="3"/>
  <c r="I25" i="3"/>
  <c r="J25" i="3"/>
  <c r="K25" i="3"/>
  <c r="L25" i="3"/>
  <c r="M25" i="3"/>
  <c r="E26" i="3"/>
  <c r="F26" i="3"/>
  <c r="G26" i="3"/>
  <c r="H26" i="3"/>
  <c r="I26" i="3"/>
  <c r="J26" i="3"/>
  <c r="K26" i="3"/>
  <c r="L26" i="3"/>
  <c r="M26" i="3"/>
  <c r="E27" i="3"/>
  <c r="F27" i="3"/>
  <c r="G27" i="3"/>
  <c r="H27" i="3"/>
  <c r="I27" i="3"/>
  <c r="J27" i="3"/>
  <c r="K27" i="3"/>
  <c r="L27" i="3"/>
  <c r="M27" i="3"/>
  <c r="E28" i="3"/>
  <c r="F28" i="3"/>
  <c r="G28" i="3"/>
  <c r="H28" i="3"/>
  <c r="I28" i="3"/>
  <c r="J28" i="3"/>
  <c r="K28" i="3"/>
  <c r="L28" i="3"/>
  <c r="M28" i="3"/>
  <c r="E29" i="3"/>
  <c r="F29" i="3"/>
  <c r="G29" i="3"/>
  <c r="H29" i="3"/>
  <c r="I29" i="3"/>
  <c r="J29" i="3"/>
  <c r="K29" i="3"/>
  <c r="L29" i="3"/>
  <c r="M29" i="3"/>
  <c r="E30" i="3"/>
  <c r="F30" i="3"/>
  <c r="G30" i="3"/>
  <c r="H30" i="3"/>
  <c r="I30" i="3"/>
  <c r="J30" i="3"/>
  <c r="K30" i="3"/>
  <c r="L30" i="3"/>
  <c r="M30" i="3"/>
  <c r="E31" i="3"/>
  <c r="F31" i="3"/>
  <c r="G31" i="3"/>
  <c r="H31" i="3"/>
  <c r="I31" i="3"/>
  <c r="J31" i="3"/>
  <c r="K31" i="3"/>
  <c r="L31" i="3"/>
  <c r="M31" i="3"/>
  <c r="R2" i="3"/>
  <c r="Q2" i="3"/>
  <c r="G2" i="3"/>
  <c r="H2" i="3"/>
  <c r="I2" i="3"/>
  <c r="J2" i="3"/>
  <c r="K2" i="3"/>
  <c r="L2" i="3"/>
  <c r="M2" i="3"/>
  <c r="F2" i="3"/>
  <c r="E2" i="3"/>
  <c r="O31" i="3"/>
  <c r="S35" i="2"/>
  <c r="R35" i="2"/>
  <c r="O30" i="3"/>
  <c r="S34" i="2"/>
  <c r="R34" i="2"/>
  <c r="O29" i="3" s="1"/>
  <c r="S33" i="2"/>
  <c r="R33" i="2"/>
  <c r="O28" i="3" s="1"/>
  <c r="S32" i="2"/>
  <c r="R32" i="2"/>
  <c r="O27" i="3" s="1"/>
  <c r="S31" i="2"/>
  <c r="R31" i="2"/>
  <c r="O26" i="3" s="1"/>
  <c r="S30" i="2"/>
  <c r="R30" i="2"/>
  <c r="O25" i="3" s="1"/>
  <c r="S29" i="2"/>
  <c r="R29" i="2"/>
  <c r="O24" i="3" s="1"/>
  <c r="S28" i="2"/>
  <c r="R28" i="2"/>
  <c r="O23" i="3" s="1"/>
  <c r="S27" i="2"/>
  <c r="R27" i="2"/>
  <c r="O22" i="3" s="1"/>
  <c r="S26" i="2"/>
  <c r="R26" i="2"/>
  <c r="O21" i="3" s="1"/>
  <c r="S25" i="2"/>
  <c r="R25" i="2"/>
  <c r="O20" i="3" s="1"/>
  <c r="S24" i="2"/>
  <c r="R24" i="2"/>
  <c r="O19" i="3" s="1"/>
  <c r="S23" i="2"/>
  <c r="R23" i="2"/>
  <c r="O18" i="3" s="1"/>
  <c r="S22" i="2"/>
  <c r="R22" i="2"/>
  <c r="O17" i="3" s="1"/>
  <c r="S21" i="2"/>
  <c r="R21" i="2"/>
  <c r="O16" i="3" s="1"/>
  <c r="S20" i="2"/>
  <c r="R20" i="2"/>
  <c r="O15" i="3" s="1"/>
  <c r="S19" i="2"/>
  <c r="R19" i="2"/>
  <c r="O14" i="3" s="1"/>
  <c r="B3" i="3"/>
  <c r="B4" i="3" s="1"/>
  <c r="B5" i="3" s="1"/>
  <c r="B6" i="3" s="1"/>
  <c r="B7" i="3" s="1"/>
  <c r="B8" i="3" s="1"/>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 i="1"/>
  <c r="B4" i="1" s="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P8" i="3"/>
  <c r="G8" i="1" s="1"/>
  <c r="P2" i="3"/>
  <c r="G2" i="1" s="1"/>
  <c r="P30" i="3"/>
  <c r="G30" i="1" s="1"/>
  <c r="N31" i="3"/>
  <c r="P26" i="3"/>
  <c r="G26" i="1" s="1"/>
  <c r="U30" i="2"/>
  <c r="P24" i="3"/>
  <c r="G24" i="1" s="1"/>
  <c r="U18" i="2"/>
  <c r="P10" i="3"/>
  <c r="G10" i="1" s="1"/>
  <c r="AA25" i="2" l="1"/>
  <c r="AA24" i="2"/>
  <c r="AA21" i="2"/>
  <c r="AL13" i="2"/>
  <c r="AM13" i="2" s="1"/>
  <c r="AA14" i="2"/>
  <c r="AA34" i="2"/>
  <c r="P11" i="3"/>
  <c r="G11" i="1" s="1"/>
  <c r="N18" i="3"/>
  <c r="U16" i="2"/>
  <c r="P6" i="3"/>
  <c r="G6" i="1" s="1"/>
  <c r="AL33" i="2"/>
  <c r="AM33" i="2" s="1"/>
  <c r="X28" i="3"/>
  <c r="AL23" i="2"/>
  <c r="AM23" i="2" s="1"/>
  <c r="X18" i="3"/>
  <c r="G38" i="2"/>
  <c r="D39" i="2"/>
  <c r="X16" i="3"/>
  <c r="AL21" i="2"/>
  <c r="AM21" i="2" s="1"/>
  <c r="U32" i="2"/>
  <c r="K27" i="1"/>
  <c r="U28" i="2"/>
  <c r="K23" i="1"/>
  <c r="U24" i="2"/>
  <c r="K19" i="1"/>
  <c r="U21" i="2"/>
  <c r="K16" i="1"/>
  <c r="N12" i="3"/>
  <c r="K12" i="1"/>
  <c r="U14" i="2"/>
  <c r="K9" i="1"/>
  <c r="U11" i="2"/>
  <c r="K6" i="1"/>
  <c r="AL19" i="2"/>
  <c r="AM19" i="2" s="1"/>
  <c r="AA19" i="2"/>
  <c r="N30" i="3"/>
  <c r="K30" i="1"/>
  <c r="N26" i="3"/>
  <c r="K26" i="1"/>
  <c r="U27" i="2"/>
  <c r="K22" i="1"/>
  <c r="U23" i="2"/>
  <c r="N15" i="3"/>
  <c r="K15" i="1"/>
  <c r="N11" i="3"/>
  <c r="U13" i="2"/>
  <c r="K8" i="1"/>
  <c r="N5" i="3"/>
  <c r="K5" i="1"/>
  <c r="U8" i="2"/>
  <c r="K3" i="1"/>
  <c r="U34" i="2"/>
  <c r="K29" i="1"/>
  <c r="N25" i="3"/>
  <c r="K25" i="1"/>
  <c r="N21" i="3"/>
  <c r="K21" i="1"/>
  <c r="U19" i="2"/>
  <c r="K14" i="1"/>
  <c r="N7" i="3"/>
  <c r="K7" i="1"/>
  <c r="N32" i="3"/>
  <c r="N4" i="3"/>
  <c r="K4" i="1"/>
  <c r="AL22" i="2"/>
  <c r="AM22" i="2" s="1"/>
  <c r="AA33" i="2"/>
  <c r="AA30" i="2"/>
  <c r="N2" i="3"/>
  <c r="K2" i="1"/>
  <c r="N28" i="3"/>
  <c r="K28" i="1"/>
  <c r="U29" i="2"/>
  <c r="K24" i="1"/>
  <c r="U25" i="2"/>
  <c r="K20" i="1"/>
  <c r="U22" i="2"/>
  <c r="K17" i="1"/>
  <c r="N13" i="3"/>
  <c r="K13" i="1"/>
  <c r="U15" i="2"/>
  <c r="K10" i="1"/>
  <c r="N6" i="3"/>
  <c r="T32" i="3"/>
  <c r="T28" i="3"/>
  <c r="AE33" i="2"/>
  <c r="S6" i="3"/>
  <c r="S5" i="3"/>
  <c r="AE32" i="2"/>
  <c r="AO32" i="2" s="1"/>
  <c r="E31" i="1"/>
  <c r="AE24" i="2"/>
  <c r="AL7" i="2"/>
  <c r="AM7" i="2" s="1"/>
  <c r="S3" i="3"/>
  <c r="AL11" i="2"/>
  <c r="AM11" i="2" s="1"/>
  <c r="X6" i="3"/>
  <c r="X4" i="3"/>
  <c r="AL9" i="2"/>
  <c r="AM9" i="2" s="1"/>
  <c r="AL8" i="2"/>
  <c r="AM8" i="2" s="1"/>
  <c r="X3" i="3"/>
  <c r="X27" i="3"/>
  <c r="I27" i="1" s="1"/>
  <c r="X15" i="3"/>
  <c r="AL30" i="2"/>
  <c r="AM30" i="2" s="1"/>
  <c r="AL12" i="2"/>
  <c r="AM12" i="2" s="1"/>
  <c r="AL29" i="2"/>
  <c r="AM29" i="2" s="1"/>
  <c r="X13" i="3"/>
  <c r="I13" i="1" s="1"/>
  <c r="T31" i="3"/>
  <c r="AE27" i="2"/>
  <c r="T22" i="3"/>
  <c r="T24" i="3"/>
  <c r="I24" i="1" s="1"/>
  <c r="AE29" i="2"/>
  <c r="AO29" i="2" s="1"/>
  <c r="T16" i="3"/>
  <c r="I16" i="1" s="1"/>
  <c r="AE10" i="2"/>
  <c r="AE7" i="2"/>
  <c r="S19" i="3"/>
  <c r="P7" i="3"/>
  <c r="G7" i="1" s="1"/>
  <c r="P32" i="3"/>
  <c r="G32" i="1" s="1"/>
  <c r="AA23" i="2"/>
  <c r="S30" i="3"/>
  <c r="S10" i="3"/>
  <c r="P15" i="3"/>
  <c r="G15" i="1" s="1"/>
  <c r="AA28" i="2"/>
  <c r="S8" i="3"/>
  <c r="N8" i="3"/>
  <c r="U31" i="2"/>
  <c r="R36" i="2"/>
  <c r="R38" i="2" s="1"/>
  <c r="U33" i="2"/>
  <c r="U12" i="2"/>
  <c r="E25" i="1"/>
  <c r="E32" i="1"/>
  <c r="E16" i="1"/>
  <c r="E8" i="1"/>
  <c r="E2" i="1"/>
  <c r="E24" i="1"/>
  <c r="X32" i="3"/>
  <c r="X31" i="3"/>
  <c r="I31" i="1" s="1"/>
  <c r="G31" i="1"/>
  <c r="S31" i="3"/>
  <c r="U35" i="2"/>
  <c r="E30" i="1"/>
  <c r="AL35" i="2"/>
  <c r="AM35" i="2" s="1"/>
  <c r="T30" i="3"/>
  <c r="I30" i="1" s="1"/>
  <c r="AE35" i="2"/>
  <c r="N29" i="3"/>
  <c r="E29" i="1"/>
  <c r="AL34" i="2"/>
  <c r="AM34" i="2" s="1"/>
  <c r="X29" i="3"/>
  <c r="AE34" i="2"/>
  <c r="AO34" i="2" s="1"/>
  <c r="T29" i="3"/>
  <c r="S29" i="3"/>
  <c r="E28" i="1"/>
  <c r="I28" i="1"/>
  <c r="AO33" i="2"/>
  <c r="S28" i="3"/>
  <c r="G28" i="1"/>
  <c r="N27" i="3"/>
  <c r="E27" i="1"/>
  <c r="P27" i="3"/>
  <c r="E26" i="1"/>
  <c r="AL14" i="2"/>
  <c r="AM14" i="2" s="1"/>
  <c r="X9" i="3"/>
  <c r="I9" i="1" s="1"/>
  <c r="X22" i="3"/>
  <c r="AL27" i="2"/>
  <c r="AM27" i="2" s="1"/>
  <c r="AL26" i="2"/>
  <c r="AM26" i="2" s="1"/>
  <c r="X21" i="3"/>
  <c r="I21" i="1" s="1"/>
  <c r="X20" i="3"/>
  <c r="AL25" i="2"/>
  <c r="AM25" i="2" s="1"/>
  <c r="AL17" i="2"/>
  <c r="AM17" i="2" s="1"/>
  <c r="X12" i="3"/>
  <c r="I2" i="1"/>
  <c r="AL16" i="2"/>
  <c r="AM16" i="2" s="1"/>
  <c r="X10" i="3"/>
  <c r="X26" i="3"/>
  <c r="AL24" i="2"/>
  <c r="AM24" i="2" s="1"/>
  <c r="I19" i="1"/>
  <c r="I5" i="1"/>
  <c r="AL10" i="2"/>
  <c r="AM10" i="2" s="1"/>
  <c r="AE25" i="2"/>
  <c r="T20" i="3"/>
  <c r="AE31" i="2"/>
  <c r="AO31" i="2" s="1"/>
  <c r="T26" i="3"/>
  <c r="T12" i="3"/>
  <c r="AE17" i="2"/>
  <c r="AO17" i="2" s="1"/>
  <c r="AE30" i="2"/>
  <c r="AO30" i="2" s="1"/>
  <c r="T25" i="3"/>
  <c r="I25" i="1" s="1"/>
  <c r="T11" i="3"/>
  <c r="I11" i="1" s="1"/>
  <c r="AE16" i="2"/>
  <c r="AE13" i="2"/>
  <c r="T8" i="3"/>
  <c r="I8" i="1" s="1"/>
  <c r="AE23" i="2"/>
  <c r="T18" i="3"/>
  <c r="T15" i="3"/>
  <c r="AE20" i="2"/>
  <c r="AE11" i="2"/>
  <c r="AO11" i="2" s="1"/>
  <c r="T6" i="3"/>
  <c r="AE8" i="2"/>
  <c r="T3" i="3"/>
  <c r="AE22" i="2"/>
  <c r="AO22" i="2" s="1"/>
  <c r="T17" i="3"/>
  <c r="I17" i="1" s="1"/>
  <c r="T14" i="3"/>
  <c r="I14" i="1" s="1"/>
  <c r="AE19" i="2"/>
  <c r="T10" i="3"/>
  <c r="AE15" i="2"/>
  <c r="T7" i="3"/>
  <c r="I7" i="1" s="1"/>
  <c r="AE12" i="2"/>
  <c r="AE26" i="2"/>
  <c r="AE14" i="2"/>
  <c r="AO14" i="2" s="1"/>
  <c r="T4" i="3"/>
  <c r="S13" i="3"/>
  <c r="G13" i="1"/>
  <c r="G20" i="1"/>
  <c r="S20" i="3"/>
  <c r="G14" i="1"/>
  <c r="S14" i="3"/>
  <c r="P4" i="3"/>
  <c r="S26" i="3"/>
  <c r="S11" i="3"/>
  <c r="P17" i="3"/>
  <c r="G17" i="1" s="1"/>
  <c r="S2" i="3"/>
  <c r="S25" i="3"/>
  <c r="S21" i="3"/>
  <c r="S17" i="3"/>
  <c r="S9" i="3"/>
  <c r="AA18" i="2"/>
  <c r="AO18" i="2" s="1"/>
  <c r="P12" i="3"/>
  <c r="G12" i="1" s="1"/>
  <c r="S24" i="3"/>
  <c r="S18" i="3"/>
  <c r="S16" i="3"/>
  <c r="S23" i="3"/>
  <c r="N16" i="3"/>
  <c r="N24" i="3"/>
  <c r="U20" i="2"/>
  <c r="N14" i="3"/>
  <c r="N9" i="3"/>
  <c r="N23" i="3"/>
  <c r="U26" i="2"/>
  <c r="AO9" i="2"/>
  <c r="AO10" i="2"/>
  <c r="N19" i="3"/>
  <c r="T36" i="2"/>
  <c r="U36" i="2" s="1"/>
  <c r="U7" i="2"/>
  <c r="AO7" i="2" s="1"/>
  <c r="N3" i="3"/>
  <c r="E3" i="1"/>
  <c r="E15" i="1"/>
  <c r="E5" i="1"/>
  <c r="E20" i="1"/>
  <c r="E18" i="1"/>
  <c r="E17" i="1"/>
  <c r="E10" i="1"/>
  <c r="E9" i="1"/>
  <c r="E4" i="1"/>
  <c r="E23" i="1"/>
  <c r="E21" i="1"/>
  <c r="E19" i="1"/>
  <c r="E6" i="1"/>
  <c r="E12" i="1"/>
  <c r="E11" i="1"/>
  <c r="E7" i="1"/>
  <c r="E14" i="1"/>
  <c r="E13" i="1"/>
  <c r="X23" i="3"/>
  <c r="AK36" i="2"/>
  <c r="AM28" i="2"/>
  <c r="AD36" i="2"/>
  <c r="AE36" i="2" s="1"/>
  <c r="AE28" i="2"/>
  <c r="T23" i="3"/>
  <c r="Z36" i="2"/>
  <c r="P22" i="3"/>
  <c r="N22" i="3"/>
  <c r="E22" i="1"/>
  <c r="L36" i="2"/>
  <c r="K36" i="2"/>
  <c r="AO27" i="2" l="1"/>
  <c r="AO24" i="2"/>
  <c r="I18" i="1"/>
  <c r="AO21" i="2"/>
  <c r="AO16" i="2"/>
  <c r="AO15" i="2"/>
  <c r="AO8" i="2"/>
  <c r="AO13" i="2"/>
  <c r="AO28" i="2"/>
  <c r="I10" i="1"/>
  <c r="AO23" i="2"/>
  <c r="AO25" i="2"/>
  <c r="I32" i="1"/>
  <c r="AO12" i="2"/>
  <c r="AO19" i="2"/>
  <c r="S7" i="3"/>
  <c r="U37" i="2"/>
  <c r="U38" i="2" s="1"/>
  <c r="AO26" i="2"/>
  <c r="I12" i="1"/>
  <c r="I26" i="1"/>
  <c r="I22" i="1"/>
  <c r="AO20" i="2"/>
  <c r="S15" i="3"/>
  <c r="I20" i="1"/>
  <c r="S32" i="3"/>
  <c r="I3" i="1"/>
  <c r="I6" i="1"/>
  <c r="I4" i="1"/>
  <c r="I15" i="1"/>
  <c r="AO35" i="2"/>
  <c r="AA36" i="2"/>
  <c r="AM36" i="2"/>
  <c r="I29" i="1"/>
  <c r="S27" i="3"/>
  <c r="G27" i="1"/>
  <c r="AL36" i="2"/>
  <c r="S4" i="3"/>
  <c r="G4" i="1"/>
  <c r="S12" i="3"/>
  <c r="I23" i="1"/>
  <c r="S22" i="3"/>
  <c r="G22" i="1"/>
  <c r="AO36" i="2" l="1"/>
</calcChain>
</file>

<file path=xl/comments1.xml><?xml version="1.0" encoding="utf-8"?>
<comments xmlns="http://schemas.openxmlformats.org/spreadsheetml/2006/main">
  <authors>
    <author>Marian Chitian</author>
  </authors>
  <commentList>
    <comment ref="K2" authorId="0" shapeId="0">
      <text>
        <r>
          <rPr>
            <b/>
            <sz val="9"/>
            <color indexed="81"/>
            <rFont val="Tahoma"/>
            <charset val="1"/>
          </rPr>
          <t>Marian Chitian:</t>
        </r>
        <r>
          <rPr>
            <sz val="9"/>
            <color indexed="81"/>
            <rFont val="Tahoma"/>
            <charset val="1"/>
          </rPr>
          <t xml:space="preserve">
I assume here is wrong formula considering N - O. Based on my meter reading 1/02/20 consumption is 151.90 m3 and from your formula is resulting 77 m3. </t>
        </r>
      </text>
    </comment>
    <comment ref="K5" authorId="0" shapeId="0">
      <text/>
    </comment>
    <comment ref="K15" authorId="0" shapeId="0">
      <text/>
    </comment>
  </commentList>
</comments>
</file>

<file path=xl/comments2.xml><?xml version="1.0" encoding="utf-8"?>
<comments xmlns="http://schemas.openxmlformats.org/spreadsheetml/2006/main">
  <authors>
    <author>Marian Chitian</author>
  </authors>
  <commentList>
    <comment ref="P1" authorId="0" shapeId="0">
      <text>
        <r>
          <rPr>
            <b/>
            <sz val="9"/>
            <color indexed="81"/>
            <rFont val="Tahoma"/>
            <family val="2"/>
          </rPr>
          <t>Marian Chitian:</t>
        </r>
        <r>
          <rPr>
            <sz val="9"/>
            <color indexed="81"/>
            <rFont val="Tahoma"/>
            <family val="2"/>
          </rPr>
          <t xml:space="preserve">
This particular meter shouldn't be considered as a main meter is subdivision meter not in ADDC consumption bill.</t>
        </r>
      </text>
    </comment>
    <comment ref="G5" authorId="0" shapeId="0">
      <text>
        <r>
          <rPr>
            <b/>
            <sz val="9"/>
            <color indexed="81"/>
            <rFont val="Tahoma"/>
            <family val="2"/>
          </rPr>
          <t>Marian Chitian:</t>
        </r>
        <r>
          <rPr>
            <sz val="9"/>
            <color indexed="81"/>
            <rFont val="Tahoma"/>
            <family val="2"/>
          </rPr>
          <t xml:space="preserve">
Residence Apartments chilled water pump feeder 30 kwh running 24/7/365 supply from Hotel common area.</t>
        </r>
      </text>
    </comment>
    <comment ref="I5" authorId="0" shapeId="0">
      <text>
        <r>
          <rPr>
            <b/>
            <sz val="9"/>
            <color indexed="81"/>
            <rFont val="Tahoma"/>
            <family val="2"/>
          </rPr>
          <t>Marian Chitian:</t>
        </r>
        <r>
          <rPr>
            <sz val="9"/>
            <color indexed="81"/>
            <rFont val="Tahoma"/>
            <family val="2"/>
          </rPr>
          <t xml:space="preserve">
Based on ELV Distribution load this transformer feeds Residence Apartments Public area shouldn't be considered on Hotel expenses.</t>
        </r>
      </text>
    </comment>
    <comment ref="E6" authorId="0" shapeId="0">
      <text>
        <r>
          <rPr>
            <b/>
            <sz val="9"/>
            <color indexed="81"/>
            <rFont val="Tahoma"/>
            <family val="2"/>
          </rPr>
          <t>Marian Chitian:</t>
        </r>
        <r>
          <rPr>
            <sz val="9"/>
            <color indexed="81"/>
            <rFont val="Tahoma"/>
            <family val="2"/>
          </rPr>
          <t xml:space="preserve">
Residence Apartment hot water calorifier 2</t>
        </r>
        <r>
          <rPr>
            <b/>
            <sz val="9"/>
            <color indexed="81"/>
            <rFont val="Tahoma"/>
            <family val="2"/>
          </rPr>
          <t xml:space="preserve">0 KW/H </t>
        </r>
        <r>
          <rPr>
            <sz val="9"/>
            <color indexed="81"/>
            <rFont val="Tahoma"/>
            <family val="2"/>
          </rPr>
          <t>feeding share section from Hotel section , the conclusion is based on single line digram distribution. Monthly basis we minus the total amount of the outlet from the total amount of the transformer and we charge back to Residence Apartment HOA.</t>
        </r>
      </text>
    </comment>
    <comment ref="H6" authorId="0" shapeId="0">
      <text>
        <r>
          <rPr>
            <b/>
            <sz val="9"/>
            <color indexed="81"/>
            <rFont val="Tahoma"/>
            <family val="2"/>
          </rPr>
          <t>Marian Chitian:</t>
        </r>
        <r>
          <rPr>
            <sz val="9"/>
            <color indexed="81"/>
            <rFont val="Tahoma"/>
            <family val="2"/>
          </rPr>
          <t xml:space="preserve">
Residence Apartment section all public areas Electric DB FROM 15 34 floor supply from this outlet the conclusion is based on single line digram distribution.</t>
        </r>
      </text>
    </comment>
  </commentList>
</comments>
</file>

<file path=xl/sharedStrings.xml><?xml version="1.0" encoding="utf-8"?>
<sst xmlns="http://schemas.openxmlformats.org/spreadsheetml/2006/main" count="230" uniqueCount="114">
  <si>
    <t>Site Name</t>
  </si>
  <si>
    <t>Day</t>
  </si>
  <si>
    <t>Month</t>
  </si>
  <si>
    <t>Year</t>
  </si>
  <si>
    <t>Total Electricity Kwh</t>
  </si>
  <si>
    <t>Electricity Tariff ($/Kwh)</t>
  </si>
  <si>
    <t>Water Utility Supply (m3) m3</t>
  </si>
  <si>
    <t>Water Utility Supply (m3) $/m3</t>
  </si>
  <si>
    <t xml:space="preserve">Room Nights </t>
  </si>
  <si>
    <t xml:space="preserve">Total Guests </t>
  </si>
  <si>
    <t>Natual Gas (m3)</t>
  </si>
  <si>
    <t>Natural Gas $/m3</t>
  </si>
  <si>
    <t xml:space="preserve"> </t>
  </si>
  <si>
    <t>DATE</t>
  </si>
  <si>
    <t>ELECTRICAL METERS</t>
  </si>
  <si>
    <t>TOTAL CONSUMPTION (kWh)</t>
  </si>
  <si>
    <t>ELECTRICITY - TOTAL (AED)</t>
  </si>
  <si>
    <t>Concrete Tank Meter (Daily Consumption)</t>
  </si>
  <si>
    <t xml:space="preserve">Fiber tank Meter Cold Water Podium &amp; Galleria Staff Toilet Section 2 </t>
  </si>
  <si>
    <t xml:space="preserve">Galleria Hot water Public Area </t>
  </si>
  <si>
    <t>Water Bulk 3 Meter Galleria (Daily Consumption) section 1</t>
  </si>
  <si>
    <t>Irrigation Tank Meter  (Daily Consumption)</t>
  </si>
  <si>
    <t>Galleria Consumption m3</t>
  </si>
  <si>
    <t>GALLERIA WATER TOTAL COST (AED)</t>
  </si>
  <si>
    <r>
      <t xml:space="preserve">WATER METER </t>
    </r>
    <r>
      <rPr>
        <b/>
        <sz val="12"/>
        <color indexed="8"/>
        <rFont val="Calibri"/>
        <family val="2"/>
      </rPr>
      <t>(Daily Consumption) m3</t>
    </r>
  </si>
  <si>
    <t>FSH WATER (AED)</t>
  </si>
  <si>
    <r>
      <t xml:space="preserve">Hot Water Boiler       </t>
    </r>
    <r>
      <rPr>
        <b/>
        <sz val="12"/>
        <color indexed="8"/>
        <rFont val="Calibri"/>
        <family val="2"/>
      </rPr>
      <t>(Daily Gas  Consumption m 3)</t>
    </r>
  </si>
  <si>
    <r>
      <t xml:space="preserve">Steam Boiler </t>
    </r>
    <r>
      <rPr>
        <b/>
        <sz val="12"/>
        <color indexed="8"/>
        <rFont val="Calibri"/>
        <family val="2"/>
      </rPr>
      <t>(Daily Gas  Consumption m 3)</t>
    </r>
  </si>
  <si>
    <r>
      <t>GAS METERS</t>
    </r>
    <r>
      <rPr>
        <b/>
        <sz val="12"/>
        <color indexed="8"/>
        <rFont val="Calibri"/>
        <family val="2"/>
      </rPr>
      <t xml:space="preserve">           (Daily Reading)</t>
    </r>
  </si>
  <si>
    <r>
      <t xml:space="preserve">GAS </t>
    </r>
    <r>
      <rPr>
        <b/>
        <sz val="12"/>
        <color indexed="8"/>
        <rFont val="Calibri"/>
        <family val="2"/>
      </rPr>
      <t>(Daily Consumption m 3)</t>
    </r>
  </si>
  <si>
    <t>GAS (AED)</t>
  </si>
  <si>
    <r>
      <t xml:space="preserve">CHILLED WATER </t>
    </r>
    <r>
      <rPr>
        <b/>
        <sz val="12"/>
        <color indexed="8"/>
        <rFont val="Calibri"/>
        <family val="2"/>
      </rPr>
      <t>(Daily Reading) Present HT</t>
    </r>
  </si>
  <si>
    <r>
      <t xml:space="preserve">CHILLED WATER </t>
    </r>
    <r>
      <rPr>
        <b/>
        <sz val="12"/>
        <color indexed="8"/>
        <rFont val="Calibri"/>
        <family val="2"/>
      </rPr>
      <t>(Daily Reading) Previous HT</t>
    </r>
  </si>
  <si>
    <r>
      <t xml:space="preserve">CHILLED WATER </t>
    </r>
    <r>
      <rPr>
        <b/>
        <sz val="12"/>
        <color indexed="8"/>
        <rFont val="Calibri"/>
        <family val="2"/>
      </rPr>
      <t>(Daily Consumption)  HT</t>
    </r>
  </si>
  <si>
    <t>CHILLED WATER (AED)</t>
  </si>
  <si>
    <t>Galleria chilled water MWH Previous</t>
  </si>
  <si>
    <t xml:space="preserve">Galleria chilled water MWH Present </t>
  </si>
  <si>
    <t>Galleria Chilled Water Total MWH</t>
  </si>
  <si>
    <t>Galleria Chilled Water Total HT</t>
  </si>
  <si>
    <t>TOTAL (AED)</t>
  </si>
  <si>
    <t>THR AED   (0.334529)</t>
  </si>
  <si>
    <t>MWH = H.TON (1 = 284.34)</t>
  </si>
  <si>
    <t>TOTAL CONSUMPTION (KWH)</t>
  </si>
  <si>
    <t>TOTAL AMOUNT (AED)</t>
  </si>
  <si>
    <t>(K21B2419000)</t>
  </si>
  <si>
    <t>4626096222-E</t>
  </si>
  <si>
    <t>6572482789-E</t>
  </si>
  <si>
    <t>3190048503-E</t>
  </si>
  <si>
    <t>3732963488-E</t>
  </si>
  <si>
    <t>4626096253-E</t>
  </si>
  <si>
    <t>7651356710-E</t>
  </si>
  <si>
    <t>5076351256-E</t>
  </si>
  <si>
    <t>8990986529-E</t>
  </si>
  <si>
    <t>6057081392-E</t>
  </si>
  <si>
    <t>LVS-1 SECTION A</t>
  </si>
  <si>
    <t>LVS-1 SECTION B</t>
  </si>
  <si>
    <t>LVS-2 (CAFÉ MILANO)</t>
  </si>
  <si>
    <t>LVS-3 SECTION A</t>
  </si>
  <si>
    <t>LVS-3 SECTION B</t>
  </si>
  <si>
    <t>LVS-4 SECTION A</t>
  </si>
  <si>
    <t>LVS-4 SECTION B</t>
  </si>
  <si>
    <t>LVS-5 (FLOOR 15-32)</t>
  </si>
  <si>
    <t>LVS-LRLV (RETAIL)</t>
  </si>
  <si>
    <t>TOTAL</t>
  </si>
  <si>
    <t>0001523.20</t>
  </si>
  <si>
    <t>LVS-1 SECTION A - KWh</t>
  </si>
  <si>
    <t>LVS-3 SECTION A- KWh</t>
  </si>
  <si>
    <t>LVS-3 SECTION B- KWh</t>
  </si>
  <si>
    <t>LVS-4 SECTION A- KWh</t>
  </si>
  <si>
    <t>LVS-4 SECTION B- KWh</t>
  </si>
  <si>
    <t>LVS-5 (FLOOR 15-32) KWh</t>
  </si>
  <si>
    <t>LVS-LRLV (RETAIL)KWh</t>
  </si>
  <si>
    <r>
      <t>Total Water-  m</t>
    </r>
    <r>
      <rPr>
        <b/>
        <vertAlign val="superscript"/>
        <sz val="11"/>
        <color indexed="8"/>
        <rFont val="Calibri"/>
        <family val="2"/>
      </rPr>
      <t>3</t>
    </r>
  </si>
  <si>
    <r>
      <t>Galleria Water  m</t>
    </r>
    <r>
      <rPr>
        <b/>
        <vertAlign val="superscript"/>
        <sz val="11"/>
        <color indexed="8"/>
        <rFont val="Calibri"/>
        <family val="2"/>
      </rPr>
      <t>3</t>
    </r>
  </si>
  <si>
    <r>
      <t>Main Gas  m</t>
    </r>
    <r>
      <rPr>
        <b/>
        <vertAlign val="superscript"/>
        <sz val="11"/>
        <color indexed="8"/>
        <rFont val="Calibri"/>
        <family val="2"/>
      </rPr>
      <t>3</t>
    </r>
  </si>
  <si>
    <r>
      <t>HW Boiler Gas -  m</t>
    </r>
    <r>
      <rPr>
        <b/>
        <vertAlign val="superscript"/>
        <sz val="11"/>
        <color indexed="8"/>
        <rFont val="Calibri"/>
        <family val="2"/>
      </rPr>
      <t>3</t>
    </r>
  </si>
  <si>
    <r>
      <t>Steam Boiler Gas- m</t>
    </r>
    <r>
      <rPr>
        <b/>
        <vertAlign val="superscript"/>
        <sz val="11"/>
        <color indexed="8"/>
        <rFont val="Calibri"/>
        <family val="2"/>
      </rPr>
      <t>3</t>
    </r>
  </si>
  <si>
    <t>Guest Room Chilled Water MWh</t>
  </si>
  <si>
    <t>Podium Chilled Water - MWh</t>
  </si>
  <si>
    <t>Residence Chilled Water MWh</t>
  </si>
  <si>
    <t>OCCUPANCY (Room Night)</t>
  </si>
  <si>
    <t>Abu Dhabi</t>
  </si>
  <si>
    <t>LVS-1 SECTION B - KWh</t>
  </si>
  <si>
    <t>District Energy Cooling Kwh</t>
  </si>
  <si>
    <t>District Energy Cooling $/Kwh</t>
  </si>
  <si>
    <t>LVS-2 (CAFE MILANO)- KWh</t>
  </si>
  <si>
    <t>Galleria independent supply</t>
  </si>
  <si>
    <t>AED. 0.334569/Ton</t>
  </si>
  <si>
    <t>Main District Cooling- KWh</t>
  </si>
  <si>
    <t>Podium District Cooling- KWh</t>
  </si>
  <si>
    <t>Guest Rooms District Cooling- KWh</t>
  </si>
  <si>
    <t>Residence District Cooling- KWh</t>
  </si>
  <si>
    <t>Galleria District Cooling  KWh</t>
  </si>
  <si>
    <t>Total Kitchen- m3</t>
  </si>
  <si>
    <t>Hot water calorifiers L 14 feed 15 - 19 floor</t>
  </si>
  <si>
    <t xml:space="preserve">KW/H </t>
  </si>
  <si>
    <t>AED</t>
  </si>
  <si>
    <t>Residence Apartment chilled water pump share feeder</t>
  </si>
  <si>
    <t xml:space="preserve">Residence Public Area Electric DB share feeder </t>
  </si>
  <si>
    <t>Residence apartments Electric DB (individual apartment  feeder)</t>
  </si>
  <si>
    <t>20KWH</t>
  </si>
  <si>
    <t>(AED. 10.02/m3 + AED. 0.50 Service)</t>
  </si>
  <si>
    <t>Total / budget</t>
  </si>
  <si>
    <t>Meter No.</t>
  </si>
  <si>
    <t>IT5T14D000335</t>
  </si>
  <si>
    <t>IT5T14D000328</t>
  </si>
  <si>
    <t>I1C13D005898</t>
  </si>
  <si>
    <t>IT5T14D000315</t>
  </si>
  <si>
    <t>IT5T14D000345</t>
  </si>
  <si>
    <t>IT5T14D000318</t>
  </si>
  <si>
    <t>IT5T14D000311</t>
  </si>
  <si>
    <t>Residence apartments only</t>
  </si>
  <si>
    <t>I1C14D009051</t>
  </si>
  <si>
    <t>Acc.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</si>
</sst>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409]d\-mmm\-yy;@"/>
  </numFmts>
  <fonts count="18" x14ac:knownFonts="1">
    <font>
      <sz val="11"/>
      <color theme="1"/>
      <name val="Calibri"/>
      <family val="2"/>
      <scheme val="minor"/>
    </font>
    <font>
      <sz val="11"/>
      <color indexed="8"/>
      <name val="Calibri"/>
      <family val="2"/>
    </font>
    <font>
      <b/>
      <vertAlign val="superscript"/>
      <sz val="11"/>
      <color indexed="8"/>
      <name val="Calibri"/>
      <family val="2"/>
    </font>
    <font>
      <b/>
      <sz val="12"/>
      <name val="Century Gothic"/>
      <family val="2"/>
    </font>
    <font>
      <b/>
      <sz val="12"/>
      <color indexed="8"/>
      <name val="Calibri"/>
      <family val="2"/>
    </font>
    <font>
      <b/>
      <sz val="11"/>
      <color indexed="8"/>
      <name val="Calibri"/>
      <family val="2"/>
    </font>
    <font>
      <sz val="8"/>
      <name val="Calibri"/>
      <family val="2"/>
    </font>
    <font>
      <sz val="9"/>
      <color indexed="81"/>
      <name val="Tahoma"/>
      <family val="2"/>
    </font>
    <font>
      <b/>
      <sz val="9"/>
      <color indexed="81"/>
      <name val="Tahoma"/>
      <family val="2"/>
    </font>
    <font>
      <b/>
      <sz val="11"/>
      <color theme="1"/>
      <name val="Calibri"/>
      <family val="2"/>
      <scheme val="minor"/>
    </font>
    <font>
      <sz val="11"/>
      <color rgb="FFFF0000"/>
      <name val="Calibri"/>
      <family val="2"/>
      <scheme val="minor"/>
    </font>
    <font>
      <b/>
      <sz val="16"/>
      <color theme="1"/>
      <name val="Calibri"/>
      <family val="2"/>
      <scheme val="minor"/>
    </font>
    <font>
      <b/>
      <sz val="14"/>
      <color theme="1"/>
      <name val="Calibri"/>
      <family val="2"/>
      <scheme val="minor"/>
    </font>
    <font>
      <b/>
      <sz val="10"/>
      <color theme="1"/>
      <name val="Calibri"/>
      <family val="2"/>
      <scheme val="minor"/>
    </font>
    <font>
      <b/>
      <sz val="11"/>
      <color rgb="FFFF0000"/>
      <name val="Calibri"/>
      <family val="2"/>
      <scheme val="minor"/>
    </font>
    <font>
      <sz val="11"/>
      <color theme="1"/>
      <name val="Californian FB"/>
      <family val="1"/>
    </font>
    <font>
      <sz val="9"/>
      <color indexed="81"/>
      <name val="Tahoma"/>
      <charset val="1"/>
    </font>
    <font>
      <b/>
      <sz val="9"/>
      <color indexed="81"/>
      <name val="Tahoma"/>
      <charset val="1"/>
    </font>
  </fonts>
  <fills count="9">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s>
  <cellStyleXfs count="1">
    <xf numFmtId="0" fontId="0" fillId="0" borderId="0"/>
  </cellStyleXfs>
  <cellXfs count="131">
    <xf numFmtId="0" fontId="0" fillId="0" borderId="0" xfId="0"/>
    <xf numFmtId="0" fontId="0" fillId="0" borderId="0" xfId="0" applyAlignment="1">
      <alignment horizontal="center"/>
    </xf>
    <xf numFmtId="0" fontId="9" fillId="0" borderId="0" xfId="0" applyFont="1" applyAlignment="1">
      <alignment horizontal="center"/>
    </xf>
    <xf numFmtId="0" fontId="9" fillId="0" borderId="0" xfId="0" applyFont="1"/>
    <xf numFmtId="1" fontId="0" fillId="0" borderId="0" xfId="0" applyNumberFormat="1" applyAlignment="1">
      <alignment horizontal="center"/>
    </xf>
    <xf numFmtId="1" fontId="0" fillId="0" borderId="1" xfId="0" applyNumberFormat="1" applyBorder="1" applyAlignment="1">
      <alignment horizontal="center" vertical="center"/>
    </xf>
    <xf numFmtId="0" fontId="9" fillId="0" borderId="2" xfId="0" applyFont="1" applyBorder="1" applyAlignment="1">
      <alignment horizontal="center"/>
    </xf>
    <xf numFmtId="0" fontId="9" fillId="0" borderId="2" xfId="0" applyFont="1" applyBorder="1" applyAlignment="1">
      <alignment horizontal="center" wrapText="1"/>
    </xf>
    <xf numFmtId="1" fontId="9" fillId="0" borderId="2" xfId="0" applyNumberFormat="1" applyFont="1" applyBorder="1" applyAlignment="1">
      <alignment horizontal="center" wrapText="1"/>
    </xf>
    <xf numFmtId="0" fontId="0" fillId="0" borderId="0" xfId="0" applyAlignment="1">
      <alignment horizontal="center" vertical="center"/>
    </xf>
    <xf numFmtId="0" fontId="11" fillId="0" borderId="0" xfId="0" applyFont="1" applyAlignment="1">
      <alignment horizontal="center" vertical="center"/>
    </xf>
    <xf numFmtId="0" fontId="0" fillId="0" borderId="0" xfId="0" applyAlignment="1">
      <alignment vertical="center"/>
    </xf>
    <xf numFmtId="0" fontId="0" fillId="0" borderId="3" xfId="0" applyBorder="1" applyAlignment="1">
      <alignment horizontal="center" vertical="center"/>
    </xf>
    <xf numFmtId="4" fontId="9" fillId="0" borderId="4" xfId="0" applyNumberFormat="1" applyFont="1" applyBorder="1" applyAlignment="1">
      <alignment vertical="center" wrapText="1"/>
    </xf>
    <xf numFmtId="0" fontId="0" fillId="0" borderId="1" xfId="0" applyBorder="1" applyAlignment="1">
      <alignment horizontal="center" vertical="center"/>
    </xf>
    <xf numFmtId="0" fontId="0" fillId="0" borderId="4" xfId="0" applyBorder="1" applyAlignment="1">
      <alignment horizontal="center" vertical="center"/>
    </xf>
    <xf numFmtId="0" fontId="12" fillId="0" borderId="5" xfId="0" applyFont="1" applyBorder="1" applyAlignment="1">
      <alignment horizontal="center" vertical="center" wrapText="1"/>
    </xf>
    <xf numFmtId="0" fontId="0" fillId="0" borderId="6" xfId="0" applyBorder="1" applyAlignment="1">
      <alignment horizontal="center" vertical="center"/>
    </xf>
    <xf numFmtId="3" fontId="0" fillId="0" borderId="1" xfId="0" applyNumberFormat="1" applyBorder="1" applyAlignment="1">
      <alignment horizontal="center" vertical="center"/>
    </xf>
    <xf numFmtId="4" fontId="0" fillId="0" borderId="6" xfId="0" applyNumberFormat="1" applyBorder="1"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 fontId="13" fillId="0" borderId="2" xfId="0" applyNumberFormat="1" applyFont="1" applyBorder="1" applyAlignment="1">
      <alignment horizontal="center" wrapText="1"/>
    </xf>
    <xf numFmtId="1" fontId="0" fillId="0" borderId="0" xfId="0" applyNumberFormat="1" applyAlignment="1">
      <alignment horizontal="center" vertical="center"/>
    </xf>
    <xf numFmtId="0" fontId="9" fillId="0" borderId="2" xfId="0" applyFont="1" applyBorder="1" applyAlignment="1">
      <alignment horizontal="center" vertical="center"/>
    </xf>
    <xf numFmtId="0" fontId="9" fillId="0" borderId="0" xfId="0" applyFont="1" applyAlignment="1">
      <alignment horizontal="center" vertical="center"/>
    </xf>
    <xf numFmtId="2" fontId="10" fillId="0" borderId="0" xfId="0" applyNumberFormat="1" applyFont="1" applyAlignment="1">
      <alignment horizontal="center"/>
    </xf>
    <xf numFmtId="0" fontId="10" fillId="0" borderId="0" xfId="0" applyFont="1" applyAlignment="1">
      <alignment horizontal="center"/>
    </xf>
    <xf numFmtId="0" fontId="0" fillId="0" borderId="7" xfId="0"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12" fillId="0" borderId="8" xfId="0" applyFont="1" applyBorder="1" applyAlignment="1">
      <alignment horizontal="center" vertical="center"/>
    </xf>
    <xf numFmtId="0" fontId="12" fillId="2" borderId="9" xfId="0" applyFont="1" applyFill="1" applyBorder="1" applyAlignment="1">
      <alignment horizontal="center" vertical="center" wrapText="1"/>
    </xf>
    <xf numFmtId="3" fontId="12" fillId="3" borderId="9" xfId="0" applyNumberFormat="1" applyFont="1" applyFill="1" applyBorder="1" applyAlignment="1">
      <alignment horizontal="center" vertical="center" wrapText="1"/>
    </xf>
    <xf numFmtId="4" fontId="3" fillId="2" borderId="9" xfId="0" applyNumberFormat="1" applyFont="1" applyFill="1" applyBorder="1" applyAlignment="1">
      <alignment horizontal="center" vertical="center" wrapText="1"/>
    </xf>
    <xf numFmtId="4" fontId="3" fillId="4" borderId="9" xfId="0" applyNumberFormat="1" applyFont="1" applyFill="1" applyBorder="1" applyAlignment="1">
      <alignment horizontal="center" vertical="center" wrapText="1"/>
    </xf>
    <xf numFmtId="4" fontId="12" fillId="4" borderId="9" xfId="0" applyNumberFormat="1" applyFont="1" applyFill="1" applyBorder="1" applyAlignment="1">
      <alignment horizontal="center" vertical="center" wrapText="1"/>
    </xf>
    <xf numFmtId="4" fontId="12" fillId="2" borderId="10" xfId="0" applyNumberFormat="1" applyFont="1" applyFill="1" applyBorder="1" applyAlignment="1">
      <alignment horizontal="center" vertical="center" wrapText="1"/>
    </xf>
    <xf numFmtId="4" fontId="12" fillId="4" borderId="10" xfId="0" applyNumberFormat="1" applyFont="1" applyFill="1" applyBorder="1" applyAlignment="1">
      <alignment horizontal="center" vertical="center" wrapText="1"/>
    </xf>
    <xf numFmtId="4" fontId="12" fillId="2" borderId="9" xfId="0" applyNumberFormat="1" applyFont="1" applyFill="1" applyBorder="1" applyAlignment="1">
      <alignment horizontal="center" vertical="center" wrapText="1"/>
    </xf>
    <xf numFmtId="4" fontId="12" fillId="3" borderId="9" xfId="0" applyNumberFormat="1" applyFont="1" applyFill="1" applyBorder="1" applyAlignment="1">
      <alignment horizontal="center" vertical="center" wrapText="1"/>
    </xf>
    <xf numFmtId="0" fontId="12" fillId="2" borderId="11" xfId="0" applyFont="1" applyFill="1" applyBorder="1" applyAlignment="1">
      <alignment horizontal="center" vertical="center" wrapText="1"/>
    </xf>
    <xf numFmtId="3" fontId="12" fillId="3" borderId="11" xfId="0" applyNumberFormat="1" applyFont="1" applyFill="1" applyBorder="1" applyAlignment="1">
      <alignment horizontal="center" vertical="center" wrapText="1"/>
    </xf>
    <xf numFmtId="0" fontId="12" fillId="0" borderId="11" xfId="0" applyFont="1" applyBorder="1" applyAlignment="1">
      <alignment horizontal="center" vertical="center" wrapText="1"/>
    </xf>
    <xf numFmtId="0" fontId="12" fillId="4" borderId="9" xfId="0" applyFont="1" applyFill="1" applyBorder="1" applyAlignment="1">
      <alignment horizontal="center" vertical="center" wrapText="1"/>
    </xf>
    <xf numFmtId="3" fontId="12" fillId="3" borderId="12" xfId="0" applyNumberFormat="1" applyFont="1" applyFill="1" applyBorder="1" applyAlignment="1">
      <alignment horizontal="center" vertical="center" wrapText="1"/>
    </xf>
    <xf numFmtId="1" fontId="9" fillId="5" borderId="9" xfId="0" applyNumberFormat="1" applyFont="1" applyFill="1" applyBorder="1" applyAlignment="1">
      <alignment horizontal="center" vertical="center" wrapText="1"/>
    </xf>
    <xf numFmtId="165" fontId="9" fillId="0" borderId="13" xfId="0" applyNumberFormat="1" applyFont="1" applyBorder="1" applyAlignment="1">
      <alignment horizontal="center" vertical="center"/>
    </xf>
    <xf numFmtId="3" fontId="0" fillId="0" borderId="6" xfId="0" applyNumberFormat="1" applyBorder="1" applyAlignment="1">
      <alignment horizontal="center" vertical="center"/>
    </xf>
    <xf numFmtId="1" fontId="0" fillId="0" borderId="6" xfId="0" applyNumberFormat="1" applyBorder="1" applyAlignment="1">
      <alignment horizontal="center" vertical="center"/>
    </xf>
    <xf numFmtId="2" fontId="0" fillId="0" borderId="0" xfId="0" applyNumberFormat="1" applyAlignment="1">
      <alignment horizontal="center" vertical="center"/>
    </xf>
    <xf numFmtId="0" fontId="9" fillId="0" borderId="4" xfId="0" applyFont="1" applyBorder="1" applyAlignment="1">
      <alignment horizontal="center" vertical="center" wrapText="1"/>
    </xf>
    <xf numFmtId="0" fontId="12" fillId="0" borderId="4" xfId="0" applyFont="1" applyBorder="1" applyAlignment="1">
      <alignment horizontal="center" vertical="center" wrapText="1"/>
    </xf>
    <xf numFmtId="4" fontId="12" fillId="0" borderId="4" xfId="0" applyNumberFormat="1" applyFont="1" applyBorder="1" applyAlignment="1">
      <alignment horizontal="center" vertical="center" wrapText="1"/>
    </xf>
    <xf numFmtId="0" fontId="12" fillId="0" borderId="9" xfId="0" applyFont="1" applyBorder="1" applyAlignment="1">
      <alignment horizontal="center" vertical="center" wrapText="1"/>
    </xf>
    <xf numFmtId="4" fontId="0" fillId="0" borderId="4" xfId="0" applyNumberFormat="1" applyBorder="1" applyAlignment="1">
      <alignment horizontal="center" vertical="center"/>
    </xf>
    <xf numFmtId="2" fontId="0" fillId="0" borderId="1" xfId="0" applyNumberFormat="1"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wrapText="1"/>
    </xf>
    <xf numFmtId="3" fontId="0" fillId="0" borderId="15" xfId="0" applyNumberFormat="1" applyBorder="1" applyAlignment="1">
      <alignment horizontal="center" vertical="center" wrapText="1"/>
    </xf>
    <xf numFmtId="0" fontId="0" fillId="0" borderId="15" xfId="0" applyBorder="1" applyAlignment="1">
      <alignment horizontal="center" vertical="center"/>
    </xf>
    <xf numFmtId="0" fontId="9" fillId="6" borderId="8" xfId="0" applyFont="1" applyFill="1" applyBorder="1" applyAlignment="1">
      <alignment horizontal="center" vertical="center"/>
    </xf>
    <xf numFmtId="0" fontId="0" fillId="6" borderId="9" xfId="0" applyFill="1" applyBorder="1" applyAlignment="1">
      <alignment horizontal="center" vertical="center"/>
    </xf>
    <xf numFmtId="3" fontId="0" fillId="6" borderId="9" xfId="0" applyNumberFormat="1" applyFill="1" applyBorder="1" applyAlignment="1">
      <alignment horizontal="center" vertical="center"/>
    </xf>
    <xf numFmtId="0" fontId="0" fillId="6" borderId="9" xfId="0" applyFill="1" applyBorder="1" applyAlignment="1">
      <alignment horizontal="center" vertical="center" wrapText="1"/>
    </xf>
    <xf numFmtId="4" fontId="0" fillId="6" borderId="9" xfId="0" applyNumberFormat="1" applyFill="1" applyBorder="1" applyAlignment="1">
      <alignment horizontal="center" vertical="center"/>
    </xf>
    <xf numFmtId="1" fontId="0" fillId="6" borderId="9" xfId="0" applyNumberFormat="1" applyFill="1" applyBorder="1" applyAlignment="1">
      <alignment horizontal="center" vertical="center"/>
    </xf>
    <xf numFmtId="2" fontId="0" fillId="0" borderId="6" xfId="0" applyNumberFormat="1" applyBorder="1" applyAlignment="1">
      <alignment horizontal="center" vertical="center"/>
    </xf>
    <xf numFmtId="0" fontId="14" fillId="0" borderId="2" xfId="0" applyFont="1" applyBorder="1" applyAlignment="1">
      <alignment horizontal="center"/>
    </xf>
    <xf numFmtId="0" fontId="14" fillId="0" borderId="0" xfId="0" applyFont="1" applyAlignment="1">
      <alignment horizontal="center"/>
    </xf>
    <xf numFmtId="1" fontId="0" fillId="0" borderId="16" xfId="0" applyNumberFormat="1" applyBorder="1" applyAlignment="1">
      <alignment horizontal="center" vertical="center"/>
    </xf>
    <xf numFmtId="164" fontId="0" fillId="0" borderId="1" xfId="0" applyNumberFormat="1" applyBorder="1" applyAlignment="1">
      <alignment horizontal="center" vertical="center"/>
    </xf>
    <xf numFmtId="0" fontId="0" fillId="5" borderId="15" xfId="0" applyFill="1" applyBorder="1" applyAlignment="1">
      <alignment horizontal="center" vertical="center" wrapText="1"/>
    </xf>
    <xf numFmtId="0" fontId="0" fillId="0" borderId="16" xfId="0" applyBorder="1" applyAlignment="1">
      <alignment horizontal="center" vertical="center"/>
    </xf>
    <xf numFmtId="4" fontId="0" fillId="0" borderId="16" xfId="0" applyNumberFormat="1" applyBorder="1" applyAlignment="1">
      <alignment horizontal="center" vertical="center"/>
    </xf>
    <xf numFmtId="4" fontId="12" fillId="7" borderId="9" xfId="0" applyNumberFormat="1" applyFont="1" applyFill="1" applyBorder="1" applyAlignment="1">
      <alignment horizontal="center" vertical="center" wrapText="1"/>
    </xf>
    <xf numFmtId="0" fontId="0" fillId="0" borderId="1" xfId="0" applyBorder="1" applyAlignment="1">
      <alignment horizontal="center" vertical="center"/>
    </xf>
    <xf numFmtId="4" fontId="0" fillId="0" borderId="1" xfId="0" applyNumberFormat="1" applyBorder="1" applyAlignment="1">
      <alignment horizontal="center" vertical="center"/>
    </xf>
    <xf numFmtId="4" fontId="0" fillId="8" borderId="1" xfId="0" applyNumberFormat="1" applyFill="1" applyBorder="1" applyAlignment="1">
      <alignment horizontal="center" vertical="center"/>
    </xf>
    <xf numFmtId="0" fontId="15" fillId="5" borderId="9" xfId="0" applyFont="1" applyFill="1" applyBorder="1" applyAlignment="1">
      <alignment horizontal="center" vertical="center" wrapText="1"/>
    </xf>
    <xf numFmtId="0" fontId="0" fillId="5" borderId="9" xfId="0" applyFill="1" applyBorder="1" applyAlignment="1">
      <alignment horizontal="center" vertical="center" wrapText="1"/>
    </xf>
    <xf numFmtId="0" fontId="0" fillId="0" borderId="1" xfId="0" applyBorder="1" applyAlignment="1">
      <alignment horizontal="center" vertical="center"/>
    </xf>
    <xf numFmtId="4" fontId="0" fillId="0" borderId="1" xfId="0" applyNumberFormat="1" applyBorder="1" applyAlignment="1">
      <alignment horizontal="center" vertical="center"/>
    </xf>
    <xf numFmtId="4" fontId="0" fillId="8" borderId="1" xfId="0" applyNumberFormat="1" applyFill="1" applyBorder="1" applyAlignment="1">
      <alignment horizontal="center" vertical="center"/>
    </xf>
    <xf numFmtId="0" fontId="0" fillId="5" borderId="1" xfId="0" applyFill="1" applyBorder="1" applyAlignment="1">
      <alignment horizontal="center" vertical="center"/>
    </xf>
    <xf numFmtId="165" fontId="9" fillId="0" borderId="14" xfId="0" applyNumberFormat="1" applyFont="1" applyBorder="1" applyAlignment="1">
      <alignment horizontal="center" vertical="center"/>
    </xf>
    <xf numFmtId="165" fontId="9" fillId="0" borderId="7" xfId="0" applyNumberFormat="1" applyFont="1" applyBorder="1" applyAlignment="1">
      <alignment horizontal="center" vertical="center"/>
    </xf>
    <xf numFmtId="3" fontId="0" fillId="6" borderId="16" xfId="0" applyNumberFormat="1" applyFill="1" applyBorder="1" applyAlignment="1">
      <alignment horizontal="center" vertical="center"/>
    </xf>
    <xf numFmtId="0" fontId="0" fillId="0" borderId="1" xfId="0" applyBorder="1" applyAlignment="1">
      <alignment horizontal="center" vertical="center"/>
    </xf>
    <xf numFmtId="4" fontId="0" fillId="0" borderId="1" xfId="0" applyNumberFormat="1" applyBorder="1" applyAlignment="1">
      <alignment horizontal="center" vertical="center"/>
    </xf>
    <xf numFmtId="4" fontId="0" fillId="8" borderId="1" xfId="0" applyNumberFormat="1" applyFill="1" applyBorder="1" applyAlignment="1">
      <alignment horizontal="center" vertical="center"/>
    </xf>
    <xf numFmtId="164" fontId="0" fillId="0" borderId="1" xfId="0" applyNumberFormat="1" applyBorder="1" applyAlignment="1">
      <alignment horizontal="center" vertical="center"/>
    </xf>
    <xf numFmtId="0" fontId="5" fillId="0" borderId="1" xfId="0" applyFont="1" applyBorder="1" applyAlignment="1">
      <alignment horizontal="center"/>
    </xf>
    <xf numFmtId="0" fontId="0" fillId="0" borderId="1" xfId="0" applyBorder="1" applyAlignment="1">
      <alignment horizontal="center"/>
    </xf>
    <xf numFmtId="0" fontId="10" fillId="0" borderId="1" xfId="0" applyFont="1" applyBorder="1" applyAlignment="1">
      <alignment horizontal="center"/>
    </xf>
    <xf numFmtId="1" fontId="0" fillId="0" borderId="1" xfId="0" applyNumberFormat="1" applyBorder="1" applyAlignment="1">
      <alignment horizontal="center"/>
    </xf>
    <xf numFmtId="0" fontId="9" fillId="0" borderId="1" xfId="0" applyFont="1" applyBorder="1"/>
    <xf numFmtId="0" fontId="1" fillId="0" borderId="1" xfId="0" applyFont="1" applyBorder="1" applyAlignment="1">
      <alignment horizontal="center"/>
    </xf>
    <xf numFmtId="0" fontId="9" fillId="0" borderId="1" xfId="0" applyFont="1" applyBorder="1" applyAlignment="1">
      <alignment horizontal="center"/>
    </xf>
    <xf numFmtId="0" fontId="14" fillId="0" borderId="1" xfId="0" applyFont="1" applyBorder="1" applyAlignment="1">
      <alignment horizontal="center"/>
    </xf>
    <xf numFmtId="2" fontId="10" fillId="0" borderId="1" xfId="0" applyNumberFormat="1" applyFont="1" applyBorder="1" applyAlignment="1">
      <alignment horizontal="center"/>
    </xf>
    <xf numFmtId="0" fontId="9" fillId="0" borderId="1" xfId="0" applyFont="1" applyBorder="1" applyAlignment="1">
      <alignment horizontal="center" vertical="center"/>
    </xf>
    <xf numFmtId="0" fontId="14" fillId="0" borderId="1" xfId="0" applyFont="1" applyBorder="1" applyAlignment="1">
      <alignment horizontal="center" vertical="center"/>
    </xf>
    <xf numFmtId="0" fontId="9" fillId="0" borderId="1" xfId="0" applyFont="1" applyBorder="1" applyAlignment="1">
      <alignment horizontal="center" vertical="center" wrapText="1"/>
    </xf>
    <xf numFmtId="2" fontId="14" fillId="0" borderId="1" xfId="0" applyNumberFormat="1" applyFont="1" applyBorder="1" applyAlignment="1">
      <alignment horizontal="center" vertical="center" wrapText="1"/>
    </xf>
    <xf numFmtId="1" fontId="9" fillId="0" borderId="1" xfId="0" applyNumberFormat="1" applyFont="1" applyBorder="1" applyAlignment="1">
      <alignment horizontal="center" wrapText="1"/>
    </xf>
    <xf numFmtId="0" fontId="14" fillId="0" borderId="1" xfId="0" applyFont="1" applyBorder="1" applyAlignment="1">
      <alignment horizontal="center" wrapText="1"/>
    </xf>
    <xf numFmtId="0" fontId="14" fillId="0" borderId="1" xfId="0" applyFont="1" applyBorder="1" applyAlignment="1">
      <alignment horizontal="center" vertical="center" wrapText="1"/>
    </xf>
    <xf numFmtId="164" fontId="0" fillId="0" borderId="6" xfId="0" applyNumberFormat="1" applyBorder="1" applyAlignment="1">
      <alignment horizontal="center" vertical="center"/>
    </xf>
    <xf numFmtId="0" fontId="0" fillId="0" borderId="1" xfId="0" applyBorder="1" applyAlignment="1">
      <alignment horizontal="center" vertical="center"/>
    </xf>
    <xf numFmtId="4" fontId="0" fillId="0" borderId="1" xfId="0" applyNumberFormat="1" applyBorder="1" applyAlignment="1">
      <alignment horizontal="center" vertical="center"/>
    </xf>
    <xf numFmtId="4" fontId="0" fillId="8" borderId="1" xfId="0" applyNumberFormat="1" applyFill="1" applyBorder="1" applyAlignment="1">
      <alignment horizontal="center" vertical="center"/>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4" fontId="0" fillId="0" borderId="4" xfId="0" applyNumberFormat="1" applyBorder="1" applyAlignment="1">
      <alignment horizontal="center" vertical="center"/>
    </xf>
    <xf numFmtId="4" fontId="12" fillId="0" borderId="4" xfId="0" applyNumberFormat="1" applyFont="1" applyBorder="1" applyAlignment="1">
      <alignment horizontal="center" vertical="center" wrapText="1"/>
    </xf>
    <xf numFmtId="0" fontId="12" fillId="0" borderId="4" xfId="0" applyFont="1" applyBorder="1" applyAlignment="1">
      <alignment horizontal="center" vertical="center" wrapText="1"/>
    </xf>
    <xf numFmtId="0" fontId="0" fillId="0" borderId="5" xfId="0" applyBorder="1" applyAlignment="1">
      <alignment horizontal="center" vertical="center"/>
    </xf>
    <xf numFmtId="4" fontId="0" fillId="0" borderId="5" xfId="0" applyNumberFormat="1" applyBorder="1" applyAlignment="1">
      <alignment horizontal="center" vertical="center"/>
    </xf>
    <xf numFmtId="4" fontId="0" fillId="8" borderId="5" xfId="0" applyNumberFormat="1" applyFill="1" applyBorder="1" applyAlignment="1">
      <alignment horizontal="center" vertical="center"/>
    </xf>
    <xf numFmtId="3" fontId="9" fillId="0" borderId="17" xfId="0" applyNumberFormat="1" applyFont="1" applyBorder="1" applyAlignment="1">
      <alignment horizontal="center" vertical="center" wrapText="1"/>
    </xf>
    <xf numFmtId="3" fontId="9" fillId="0" borderId="4" xfId="0" applyNumberFormat="1" applyFont="1" applyBorder="1" applyAlignment="1">
      <alignment horizontal="center" vertical="center" wrapText="1"/>
    </xf>
    <xf numFmtId="0" fontId="9" fillId="0" borderId="4" xfId="0" applyFont="1" applyBorder="1" applyAlignment="1">
      <alignment horizontal="center" vertical="center" wrapText="1"/>
    </xf>
    <xf numFmtId="0" fontId="12" fillId="0" borderId="4" xfId="0" applyFont="1" applyBorder="1" applyAlignment="1">
      <alignment horizontal="center" vertical="center" wrapText="1"/>
    </xf>
    <xf numFmtId="4" fontId="12" fillId="0" borderId="4" xfId="0" applyNumberFormat="1" applyFont="1" applyBorder="1" applyAlignment="1">
      <alignment horizontal="center" vertical="center" wrapText="1"/>
    </xf>
    <xf numFmtId="1" fontId="9" fillId="0" borderId="4" xfId="0" applyNumberFormat="1" applyFont="1" applyBorder="1" applyAlignment="1">
      <alignment horizontal="center" vertical="center" wrapText="1"/>
    </xf>
    <xf numFmtId="0" fontId="12" fillId="0" borderId="9" xfId="0" applyFont="1" applyBorder="1" applyAlignment="1">
      <alignment horizontal="center" vertical="center"/>
    </xf>
    <xf numFmtId="0" fontId="12" fillId="0" borderId="9" xfId="0" applyFont="1" applyBorder="1" applyAlignment="1">
      <alignment horizontal="center" vertical="center" wrapText="1"/>
    </xf>
    <xf numFmtId="0" fontId="9" fillId="0" borderId="5" xfId="0" applyFont="1" applyBorder="1" applyAlignment="1">
      <alignment horizontal="center" vertical="center" wrapText="1"/>
    </xf>
    <xf numFmtId="3" fontId="9" fillId="0" borderId="5" xfId="0" applyNumberFormat="1" applyFont="1" applyBorder="1" applyAlignment="1">
      <alignment horizontal="center" vertical="center" wrapText="1"/>
    </xf>
    <xf numFmtId="4" fontId="0" fillId="0" borderId="4" xfId="0" applyNumberForma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70C0"/>
  </sheetPr>
  <dimension ref="A1:Z33"/>
  <sheetViews>
    <sheetView workbookViewId="0">
      <selection activeCell="P23" sqref="P23"/>
    </sheetView>
  </sheetViews>
  <sheetFormatPr defaultColWidth="11.5703125" defaultRowHeight="15" x14ac:dyDescent="0.25"/>
  <cols>
    <col min="1" max="1" width="18.42578125" style="3" customWidth="1"/>
    <col min="2" max="2" width="11.5703125" style="2"/>
    <col min="3" max="3" width="11.5703125" style="69"/>
    <col min="4" max="4" width="13.42578125" style="2" customWidth="1"/>
    <col min="5" max="5" width="12.5703125" style="1" customWidth="1"/>
    <col min="6" max="6" width="12.5703125" style="26" customWidth="1"/>
    <col min="7" max="7" width="11.5703125" style="1"/>
    <col min="8" max="8" width="11.5703125" style="26"/>
    <col min="9" max="9" width="11.5703125" style="4"/>
    <col min="10" max="10" width="11.5703125" style="27"/>
    <col min="11" max="11" width="11.5703125" style="1"/>
    <col min="12" max="12" width="11.5703125" style="27"/>
    <col min="13" max="26" width="11.5703125" style="1"/>
  </cols>
  <sheetData>
    <row r="1" spans="1:15" s="25" customFormat="1" ht="60" x14ac:dyDescent="0.25">
      <c r="A1" s="101" t="s">
        <v>0</v>
      </c>
      <c r="B1" s="101" t="s">
        <v>1</v>
      </c>
      <c r="C1" s="102" t="s">
        <v>2</v>
      </c>
      <c r="D1" s="101" t="s">
        <v>3</v>
      </c>
      <c r="E1" s="103" t="s">
        <v>4</v>
      </c>
      <c r="F1" s="104" t="s">
        <v>5</v>
      </c>
      <c r="G1" s="103" t="s">
        <v>10</v>
      </c>
      <c r="H1" s="104" t="s">
        <v>11</v>
      </c>
      <c r="I1" s="105" t="s">
        <v>83</v>
      </c>
      <c r="J1" s="106" t="s">
        <v>84</v>
      </c>
      <c r="K1" s="103" t="s">
        <v>6</v>
      </c>
      <c r="L1" s="107" t="s">
        <v>7</v>
      </c>
      <c r="M1" s="103" t="s">
        <v>8</v>
      </c>
      <c r="N1" s="103" t="s">
        <v>9</v>
      </c>
    </row>
    <row r="2" spans="1:15" x14ac:dyDescent="0.25">
      <c r="A2" s="97" t="s">
        <v>81</v>
      </c>
      <c r="B2" s="98">
        <v>1</v>
      </c>
      <c r="C2" s="99">
        <v>2</v>
      </c>
      <c r="D2" s="98">
        <v>2020</v>
      </c>
      <c r="E2" s="95">
        <f>Submetering!E2+Submetering!F2+Submetering!G2+Submetering!H2+Submetering!I2+Submetering!J2+Submetering!K2</f>
        <v>33298</v>
      </c>
      <c r="F2" s="100">
        <v>0.2</v>
      </c>
      <c r="G2" s="95">
        <f>Submetering!P2</f>
        <v>428.5</v>
      </c>
      <c r="H2" s="100">
        <v>10.02</v>
      </c>
      <c r="I2" s="95">
        <f>Submetering!T2-Submetering!T2*15%-Submetering!X2</f>
        <v>25776.253400000001</v>
      </c>
      <c r="J2" s="94">
        <v>0.21</v>
      </c>
      <c r="K2" s="95">
        <f>'FS-AD Daily '!T7</f>
        <v>151.964</v>
      </c>
      <c r="L2" s="100">
        <v>7.84</v>
      </c>
      <c r="M2" s="95">
        <v>161</v>
      </c>
      <c r="N2" s="95">
        <v>235</v>
      </c>
    </row>
    <row r="3" spans="1:15" x14ac:dyDescent="0.25">
      <c r="A3" s="97" t="s">
        <v>81</v>
      </c>
      <c r="B3" s="98">
        <f>B2+1</f>
        <v>2</v>
      </c>
      <c r="C3" s="99">
        <v>2</v>
      </c>
      <c r="D3" s="98">
        <v>2020</v>
      </c>
      <c r="E3" s="95">
        <f>Submetering!E3+Submetering!F3+Submetering!G3+Submetering!H3+Submetering!I3+Submetering!J3+Submetering!K3</f>
        <v>33833</v>
      </c>
      <c r="F3" s="100">
        <v>0.2</v>
      </c>
      <c r="G3" s="95">
        <f>Submetering!P3</f>
        <v>397.40000000002328</v>
      </c>
      <c r="H3" s="100">
        <v>10.02</v>
      </c>
      <c r="I3" s="95">
        <f>Submetering!T3-Submetering!T3*15%-Submetering!X3</f>
        <v>27546.685600000004</v>
      </c>
      <c r="J3" s="94">
        <v>0.21</v>
      </c>
      <c r="K3" s="95">
        <f>'FS-AD Daily '!T8</f>
        <v>312.31799999999998</v>
      </c>
      <c r="L3" s="100">
        <v>7.84</v>
      </c>
      <c r="M3" s="95">
        <v>161</v>
      </c>
      <c r="N3" s="95">
        <v>231</v>
      </c>
    </row>
    <row r="4" spans="1:15" x14ac:dyDescent="0.25">
      <c r="A4" s="97" t="s">
        <v>81</v>
      </c>
      <c r="B4" s="98">
        <f t="shared" ref="B4:B30" si="0">B3+1</f>
        <v>3</v>
      </c>
      <c r="C4" s="99">
        <v>2</v>
      </c>
      <c r="D4" s="98">
        <v>2020</v>
      </c>
      <c r="E4" s="95">
        <f>Submetering!E4+Submetering!F4+Submetering!G4+Submetering!H4+Submetering!I4+Submetering!J4+Submetering!K4</f>
        <v>35597</v>
      </c>
      <c r="F4" s="100">
        <v>0.2</v>
      </c>
      <c r="G4" s="95">
        <f>Submetering!P4</f>
        <v>406.70000000006985</v>
      </c>
      <c r="H4" s="100">
        <v>10.02</v>
      </c>
      <c r="I4" s="95">
        <f>Submetering!T4-Submetering!T4*15%-Submetering!X4</f>
        <v>26404.568000001454</v>
      </c>
      <c r="J4" s="94">
        <v>0.21</v>
      </c>
      <c r="K4" s="95">
        <f>'FS-AD Daily '!T9</f>
        <v>206.53300000000002</v>
      </c>
      <c r="L4" s="100">
        <v>7.84</v>
      </c>
      <c r="M4" s="95">
        <v>176</v>
      </c>
      <c r="N4" s="95">
        <v>232</v>
      </c>
    </row>
    <row r="5" spans="1:15" x14ac:dyDescent="0.25">
      <c r="A5" s="97" t="s">
        <v>81</v>
      </c>
      <c r="B5" s="98">
        <f t="shared" si="0"/>
        <v>4</v>
      </c>
      <c r="C5" s="99">
        <v>2</v>
      </c>
      <c r="D5" s="98">
        <v>2020</v>
      </c>
      <c r="E5" s="95">
        <f>Submetering!E5+Submetering!F5+Submetering!G5+Submetering!H5+Submetering!I5+Submetering!J5+Submetering!K5</f>
        <v>35495</v>
      </c>
      <c r="F5" s="100">
        <v>0.2</v>
      </c>
      <c r="G5" s="95">
        <f>Submetering!P5</f>
        <v>403.79999999993015</v>
      </c>
      <c r="H5" s="100">
        <v>10.02</v>
      </c>
      <c r="I5" s="95">
        <f>Submetering!T5-Submetering!T5*15%-Submetering!X5</f>
        <v>26945.740799997089</v>
      </c>
      <c r="J5" s="94">
        <v>0.21</v>
      </c>
      <c r="K5" s="95">
        <f>'FS-AD Daily '!T10</f>
        <v>219.21600000000001</v>
      </c>
      <c r="L5" s="100">
        <v>7.84</v>
      </c>
      <c r="M5" s="95">
        <v>177</v>
      </c>
      <c r="N5" s="95">
        <v>233</v>
      </c>
    </row>
    <row r="6" spans="1:15" x14ac:dyDescent="0.25">
      <c r="A6" s="97" t="s">
        <v>81</v>
      </c>
      <c r="B6" s="98">
        <f t="shared" si="0"/>
        <v>5</v>
      </c>
      <c r="C6" s="99">
        <v>2</v>
      </c>
      <c r="D6" s="98">
        <v>2020</v>
      </c>
      <c r="E6" s="95">
        <f>Submetering!E6+Submetering!F6+Submetering!G6+Submetering!H6+Submetering!I6+Submetering!J6+Submetering!K6</f>
        <v>32996</v>
      </c>
      <c r="F6" s="100">
        <v>0.2</v>
      </c>
      <c r="G6" s="95">
        <f>Submetering!P6</f>
        <v>399</v>
      </c>
      <c r="H6" s="100">
        <v>10.02</v>
      </c>
      <c r="I6" s="95">
        <f>Submetering!T6-Submetering!T6*15%-Submetering!X6</f>
        <v>27105.790000002911</v>
      </c>
      <c r="J6" s="94">
        <v>0.21</v>
      </c>
      <c r="K6" s="95">
        <f>'FS-AD Daily '!T11</f>
        <v>203.06799999999998</v>
      </c>
      <c r="L6" s="100">
        <v>7.84</v>
      </c>
      <c r="M6" s="95">
        <v>171</v>
      </c>
      <c r="N6" s="95">
        <v>226</v>
      </c>
    </row>
    <row r="7" spans="1:15" x14ac:dyDescent="0.25">
      <c r="A7" s="97" t="s">
        <v>81</v>
      </c>
      <c r="B7" s="98">
        <f t="shared" si="0"/>
        <v>6</v>
      </c>
      <c r="C7" s="99">
        <v>2</v>
      </c>
      <c r="D7" s="98">
        <v>2020</v>
      </c>
      <c r="E7" s="95">
        <f>Submetering!E7+Submetering!F7+Submetering!G7+Submetering!H7+Submetering!I7+Submetering!J7+Submetering!K7</f>
        <v>32669</v>
      </c>
      <c r="F7" s="100">
        <v>0.2</v>
      </c>
      <c r="G7" s="95">
        <f>Submetering!P7</f>
        <v>406.09999999997672</v>
      </c>
      <c r="H7" s="100">
        <v>10.02</v>
      </c>
      <c r="I7" s="95">
        <f>Submetering!T7-Submetering!T7*15%-Submetering!X7</f>
        <v>28601.075799997088</v>
      </c>
      <c r="J7" s="94">
        <v>0.21</v>
      </c>
      <c r="K7" s="95">
        <f>'FS-AD Daily '!T12</f>
        <v>220.18200000000002</v>
      </c>
      <c r="L7" s="100">
        <v>7.84</v>
      </c>
      <c r="M7" s="95">
        <v>124</v>
      </c>
      <c r="N7" s="95">
        <v>206</v>
      </c>
    </row>
    <row r="8" spans="1:15" x14ac:dyDescent="0.25">
      <c r="A8" s="97" t="s">
        <v>81</v>
      </c>
      <c r="B8" s="98">
        <f t="shared" si="0"/>
        <v>7</v>
      </c>
      <c r="C8" s="99">
        <v>2</v>
      </c>
      <c r="D8" s="98">
        <v>2020</v>
      </c>
      <c r="E8" s="95">
        <f>Submetering!E8+Submetering!F8+Submetering!G8+Submetering!H8+Submetering!I8+Submetering!J8+Submetering!K8</f>
        <v>32487</v>
      </c>
      <c r="F8" s="100">
        <v>0.2</v>
      </c>
      <c r="G8" s="95">
        <f>Submetering!P8</f>
        <v>420.70000000006985</v>
      </c>
      <c r="H8" s="100">
        <v>10.02</v>
      </c>
      <c r="I8" s="95">
        <f>Submetering!T8-Submetering!T8*15%-Submetering!X8</f>
        <v>29581.572800000002</v>
      </c>
      <c r="J8" s="94">
        <v>0.21</v>
      </c>
      <c r="K8" s="95">
        <f>'FS-AD Daily '!T13</f>
        <v>198.99200000000002</v>
      </c>
      <c r="L8" s="100">
        <v>7.84</v>
      </c>
      <c r="M8" s="95">
        <v>141</v>
      </c>
      <c r="N8" s="95">
        <v>248</v>
      </c>
    </row>
    <row r="9" spans="1:15" x14ac:dyDescent="0.25">
      <c r="A9" s="97" t="s">
        <v>81</v>
      </c>
      <c r="B9" s="98">
        <f t="shared" si="0"/>
        <v>8</v>
      </c>
      <c r="C9" s="99">
        <v>2</v>
      </c>
      <c r="D9" s="98">
        <v>2020</v>
      </c>
      <c r="E9" s="95">
        <f>Submetering!E9+Submetering!F9+Submetering!G9+Submetering!H9+Submetering!I9+Submetering!J9+Submetering!K9</f>
        <v>31311</v>
      </c>
      <c r="F9" s="100">
        <v>0.2</v>
      </c>
      <c r="G9" s="95">
        <f>Submetering!P9</f>
        <v>400.79999999993015</v>
      </c>
      <c r="H9" s="100">
        <v>10.02</v>
      </c>
      <c r="I9" s="95">
        <f>Submetering!T9-Submetering!T9*15%-Submetering!X9</f>
        <v>29483.657600001461</v>
      </c>
      <c r="J9" s="94">
        <v>0.21</v>
      </c>
      <c r="K9" s="95">
        <f>'FS-AD Daily '!T14</f>
        <v>214.131</v>
      </c>
      <c r="L9" s="100">
        <v>7.84</v>
      </c>
      <c r="M9" s="95">
        <v>163</v>
      </c>
      <c r="N9" s="95">
        <v>229</v>
      </c>
      <c r="O9" s="1" t="s">
        <v>12</v>
      </c>
    </row>
    <row r="10" spans="1:15" x14ac:dyDescent="0.25">
      <c r="A10" s="97" t="s">
        <v>81</v>
      </c>
      <c r="B10" s="98">
        <f t="shared" si="0"/>
        <v>9</v>
      </c>
      <c r="C10" s="99">
        <v>2</v>
      </c>
      <c r="D10" s="98">
        <v>2020</v>
      </c>
      <c r="E10" s="95">
        <f>Submetering!E10+Submetering!F10+Submetering!G10+Submetering!H10+Submetering!I10+Submetering!J10+Submetering!K10</f>
        <v>33544</v>
      </c>
      <c r="F10" s="100">
        <v>0.2</v>
      </c>
      <c r="G10" s="95">
        <f>Submetering!P10</f>
        <v>402</v>
      </c>
      <c r="H10" s="100">
        <v>10.02</v>
      </c>
      <c r="I10" s="95">
        <f>Submetering!T10-Submetering!T10*15%-Submetering!X10</f>
        <v>32795.457799995638</v>
      </c>
      <c r="J10" s="94">
        <v>0.21</v>
      </c>
      <c r="K10" s="95">
        <f>'FS-AD Daily '!T15</f>
        <v>216.32900000000001</v>
      </c>
      <c r="L10" s="100">
        <v>7.84</v>
      </c>
      <c r="M10" s="95">
        <v>173</v>
      </c>
      <c r="N10" s="95">
        <v>217</v>
      </c>
    </row>
    <row r="11" spans="1:15" x14ac:dyDescent="0.25">
      <c r="A11" s="97" t="s">
        <v>81</v>
      </c>
      <c r="B11" s="98">
        <f t="shared" si="0"/>
        <v>10</v>
      </c>
      <c r="C11" s="99">
        <v>2</v>
      </c>
      <c r="D11" s="98">
        <v>2020</v>
      </c>
      <c r="E11" s="95">
        <f>Submetering!E11+Submetering!F11+Submetering!G11+Submetering!H11+Submetering!I11+Submetering!J11+Submetering!K11</f>
        <v>33266</v>
      </c>
      <c r="F11" s="100">
        <v>0.2</v>
      </c>
      <c r="G11" s="95">
        <f>Submetering!P11</f>
        <v>443.40000000002328</v>
      </c>
      <c r="H11" s="100">
        <v>10.02</v>
      </c>
      <c r="I11" s="95">
        <f>Submetering!T11-Submetering!T11*15%-Submetering!X11</f>
        <v>33735.295400005823</v>
      </c>
      <c r="J11" s="94">
        <v>0.21</v>
      </c>
      <c r="K11" s="95">
        <f>'FS-AD Daily '!T16</f>
        <v>222.33100000000002</v>
      </c>
      <c r="L11" s="100">
        <v>7.84</v>
      </c>
      <c r="M11" s="95">
        <v>190</v>
      </c>
      <c r="N11" s="95">
        <v>219</v>
      </c>
    </row>
    <row r="12" spans="1:15" x14ac:dyDescent="0.25">
      <c r="A12" s="97" t="s">
        <v>81</v>
      </c>
      <c r="B12" s="98">
        <f t="shared" si="0"/>
        <v>11</v>
      </c>
      <c r="C12" s="99">
        <v>2</v>
      </c>
      <c r="D12" s="98">
        <v>2020</v>
      </c>
      <c r="E12" s="95">
        <f>Submetering!E12+Submetering!F12+Submetering!G12+Submetering!H12+Submetering!I12+Submetering!J12+Submetering!K12</f>
        <v>32655</v>
      </c>
      <c r="F12" s="100">
        <v>0.2</v>
      </c>
      <c r="G12" s="95">
        <f>Submetering!P12</f>
        <v>396.09999999997672</v>
      </c>
      <c r="H12" s="100">
        <v>10.02</v>
      </c>
      <c r="I12" s="95">
        <f>Submetering!T12-Submetering!T12*15%-Submetering!X12</f>
        <v>27792.500399998549</v>
      </c>
      <c r="J12" s="94">
        <v>0.21</v>
      </c>
      <c r="K12" s="95">
        <f>'FS-AD Daily '!T17</f>
        <v>226.03399999999999</v>
      </c>
      <c r="L12" s="100">
        <v>7.84</v>
      </c>
      <c r="M12" s="95">
        <v>195</v>
      </c>
      <c r="N12" s="95">
        <v>221</v>
      </c>
    </row>
    <row r="13" spans="1:15" x14ac:dyDescent="0.25">
      <c r="A13" s="97" t="s">
        <v>81</v>
      </c>
      <c r="B13" s="98">
        <f t="shared" si="0"/>
        <v>12</v>
      </c>
      <c r="C13" s="99">
        <v>2</v>
      </c>
      <c r="D13" s="98">
        <v>2020</v>
      </c>
      <c r="E13" s="95">
        <f>Submetering!E13+Submetering!F13+Submetering!G13+Submetering!H13+Submetering!I13+Submetering!J13+Submetering!K13</f>
        <v>34750</v>
      </c>
      <c r="F13" s="100">
        <v>0.2</v>
      </c>
      <c r="G13" s="95">
        <f>Submetering!P13</f>
        <v>371.10000000009313</v>
      </c>
      <c r="H13" s="100">
        <v>10.02</v>
      </c>
      <c r="I13" s="95">
        <f>Submetering!T13-Submetering!T13*15%-Submetering!X13</f>
        <v>23204.681200001454</v>
      </c>
      <c r="J13" s="94">
        <v>0.21</v>
      </c>
      <c r="K13" s="95">
        <f>'FS-AD Daily '!T18</f>
        <v>233.17700000000002</v>
      </c>
      <c r="L13" s="100">
        <v>7.84</v>
      </c>
      <c r="M13" s="95">
        <v>190</v>
      </c>
      <c r="N13" s="95">
        <v>221</v>
      </c>
    </row>
    <row r="14" spans="1:15" x14ac:dyDescent="0.25">
      <c r="A14" s="97" t="s">
        <v>81</v>
      </c>
      <c r="B14" s="98">
        <f t="shared" si="0"/>
        <v>13</v>
      </c>
      <c r="C14" s="99">
        <v>2</v>
      </c>
      <c r="D14" s="98">
        <v>2020</v>
      </c>
      <c r="E14" s="95">
        <f>Submetering!E14+Submetering!F14+Submetering!G14+Submetering!H14+Submetering!I14+Submetering!J14+Submetering!K14</f>
        <v>35993</v>
      </c>
      <c r="F14" s="100">
        <v>0.2</v>
      </c>
      <c r="G14" s="95">
        <f>Submetering!P14</f>
        <v>442.5</v>
      </c>
      <c r="H14" s="100">
        <v>10.02</v>
      </c>
      <c r="I14" s="95">
        <f>Submetering!T14-Submetering!T14*15%-Submetering!X14</f>
        <v>25243.142599997089</v>
      </c>
      <c r="J14" s="94">
        <v>0.21</v>
      </c>
      <c r="K14" s="95">
        <f>'FS-AD Daily '!T19</f>
        <v>230.47800000000001</v>
      </c>
      <c r="L14" s="100">
        <v>7.84</v>
      </c>
      <c r="M14" s="95">
        <v>167</v>
      </c>
      <c r="N14" s="95">
        <v>233</v>
      </c>
    </row>
    <row r="15" spans="1:15" x14ac:dyDescent="0.25">
      <c r="A15" s="97" t="s">
        <v>81</v>
      </c>
      <c r="B15" s="98">
        <f t="shared" si="0"/>
        <v>14</v>
      </c>
      <c r="C15" s="99">
        <v>2</v>
      </c>
      <c r="D15" s="98">
        <v>2020</v>
      </c>
      <c r="E15" s="95">
        <f>Submetering!E15+Submetering!F15+Submetering!G15+Submetering!H15+Submetering!I15+Submetering!J15+Submetering!K15</f>
        <v>36356</v>
      </c>
      <c r="F15" s="100">
        <v>0.2</v>
      </c>
      <c r="G15" s="95">
        <f>Submetering!P15</f>
        <v>453.69999999995343</v>
      </c>
      <c r="H15" s="100">
        <v>10.02</v>
      </c>
      <c r="I15" s="95">
        <f>Submetering!T15-Submetering!T15*15%-Submetering!X15</f>
        <v>25378.810599997094</v>
      </c>
      <c r="J15" s="94">
        <v>0.21</v>
      </c>
      <c r="K15" s="95">
        <f>'FS-AD Daily '!T20</f>
        <v>233.922</v>
      </c>
      <c r="L15" s="100">
        <v>7.84</v>
      </c>
      <c r="M15" s="95">
        <v>157</v>
      </c>
      <c r="N15" s="95">
        <v>260</v>
      </c>
    </row>
    <row r="16" spans="1:15" x14ac:dyDescent="0.25">
      <c r="A16" s="97" t="s">
        <v>81</v>
      </c>
      <c r="B16" s="98">
        <f t="shared" si="0"/>
        <v>15</v>
      </c>
      <c r="C16" s="99">
        <v>2</v>
      </c>
      <c r="D16" s="98">
        <v>2020</v>
      </c>
      <c r="E16" s="95">
        <f>Submetering!E16+Submetering!F16+Submetering!G16+Submetering!H16+Submetering!I16+Submetering!J16+Submetering!K16</f>
        <v>32744</v>
      </c>
      <c r="F16" s="100">
        <v>0.2</v>
      </c>
      <c r="G16" s="95">
        <f>Submetering!P16</f>
        <v>388.5</v>
      </c>
      <c r="H16" s="100">
        <v>10.02</v>
      </c>
      <c r="I16" s="95">
        <f>Submetering!T16-Submetering!T16*15%-Submetering!X16</f>
        <v>24706.416600001459</v>
      </c>
      <c r="J16" s="94">
        <v>0.21</v>
      </c>
      <c r="K16" s="95">
        <f>'FS-AD Daily '!T21</f>
        <v>215.3</v>
      </c>
      <c r="L16" s="100">
        <v>7.84</v>
      </c>
      <c r="M16" s="95">
        <v>141</v>
      </c>
      <c r="N16" s="95">
        <v>208</v>
      </c>
    </row>
    <row r="17" spans="1:14" x14ac:dyDescent="0.25">
      <c r="A17" s="97" t="s">
        <v>81</v>
      </c>
      <c r="B17" s="98">
        <f t="shared" si="0"/>
        <v>16</v>
      </c>
      <c r="C17" s="99">
        <v>2</v>
      </c>
      <c r="D17" s="98">
        <v>2020</v>
      </c>
      <c r="E17" s="95">
        <f>Submetering!E17+Submetering!F17+Submetering!G17+Submetering!H17+Submetering!I17+Submetering!J17+Submetering!K17</f>
        <v>32164</v>
      </c>
      <c r="F17" s="100">
        <v>0.2</v>
      </c>
      <c r="G17" s="95">
        <f>Submetering!P17</f>
        <v>403.5</v>
      </c>
      <c r="H17" s="100">
        <v>10.02</v>
      </c>
      <c r="I17" s="95">
        <f>Submetering!T17-Submetering!T17*15%-Submetering!X17</f>
        <v>25815.464400001452</v>
      </c>
      <c r="J17" s="94">
        <v>0.21</v>
      </c>
      <c r="K17" s="95">
        <f>'FS-AD Daily '!T22</f>
        <v>213.2</v>
      </c>
      <c r="L17" s="100">
        <v>7.84</v>
      </c>
      <c r="M17" s="95">
        <v>139</v>
      </c>
      <c r="N17" s="95">
        <v>203</v>
      </c>
    </row>
    <row r="18" spans="1:14" x14ac:dyDescent="0.25">
      <c r="A18" s="97" t="s">
        <v>81</v>
      </c>
      <c r="B18" s="98">
        <f t="shared" si="0"/>
        <v>17</v>
      </c>
      <c r="C18" s="99">
        <v>2</v>
      </c>
      <c r="D18" s="98">
        <v>2020</v>
      </c>
      <c r="E18" s="95">
        <f>Submetering!E18+Submetering!F18+Submetering!G18+Submetering!H18+Submetering!I18+Submetering!J18+Submetering!K18</f>
        <v>31303</v>
      </c>
      <c r="F18" s="100">
        <v>0.2</v>
      </c>
      <c r="G18" s="95">
        <f>Submetering!P18</f>
        <v>400.90000000002328</v>
      </c>
      <c r="H18" s="100">
        <v>10.02</v>
      </c>
      <c r="I18" s="95">
        <f>Submetering!T18-Submetering!T18*15%-Submetering!X18</f>
        <v>30365.726000002905</v>
      </c>
      <c r="J18" s="94">
        <v>0.21</v>
      </c>
      <c r="K18" s="95">
        <f>'FS-AD Daily '!T23</f>
        <v>191.5</v>
      </c>
      <c r="L18" s="100">
        <v>7.84</v>
      </c>
      <c r="M18" s="95">
        <v>137</v>
      </c>
      <c r="N18" s="95">
        <v>191</v>
      </c>
    </row>
    <row r="19" spans="1:14" x14ac:dyDescent="0.25">
      <c r="A19" s="97" t="s">
        <v>81</v>
      </c>
      <c r="B19" s="98">
        <f t="shared" si="0"/>
        <v>18</v>
      </c>
      <c r="C19" s="99">
        <v>2</v>
      </c>
      <c r="D19" s="98">
        <v>2020</v>
      </c>
      <c r="E19" s="95">
        <f>Submetering!E19+Submetering!F19+Submetering!G19+Submetering!H19+Submetering!I19+Submetering!J19+Submetering!K19</f>
        <v>32445</v>
      </c>
      <c r="F19" s="100">
        <v>0.2</v>
      </c>
      <c r="G19" s="95">
        <f>Submetering!P19</f>
        <v>396.09999999997672</v>
      </c>
      <c r="H19" s="100">
        <v>10.02</v>
      </c>
      <c r="I19" s="95">
        <f>Submetering!T19-Submetering!T19*15%-Submetering!X19</f>
        <v>31959.08119999709</v>
      </c>
      <c r="J19" s="94">
        <v>0.21</v>
      </c>
      <c r="K19" s="95">
        <f>'FS-AD Daily '!T24</f>
        <v>211.89999999999998</v>
      </c>
      <c r="L19" s="100">
        <v>7.84</v>
      </c>
      <c r="M19" s="95">
        <v>139</v>
      </c>
      <c r="N19" s="95">
        <v>197</v>
      </c>
    </row>
    <row r="20" spans="1:14" x14ac:dyDescent="0.25">
      <c r="A20" s="97" t="s">
        <v>81</v>
      </c>
      <c r="B20" s="98">
        <f t="shared" si="0"/>
        <v>19</v>
      </c>
      <c r="C20" s="99">
        <v>2</v>
      </c>
      <c r="D20" s="98">
        <v>2020</v>
      </c>
      <c r="E20" s="95">
        <f>Submetering!E20+Submetering!F20+Submetering!G20+Submetering!H20+Submetering!I20+Submetering!J20+Submetering!K20</f>
        <v>32596</v>
      </c>
      <c r="F20" s="100">
        <v>0.2</v>
      </c>
      <c r="G20" s="95">
        <f>Submetering!P20</f>
        <v>418.69999999995343</v>
      </c>
      <c r="H20" s="100">
        <v>10.02</v>
      </c>
      <c r="I20" s="95">
        <f>Submetering!T20-Submetering!T20*15%-Submetering!X20</f>
        <v>33276.386200000001</v>
      </c>
      <c r="J20" s="94">
        <v>0.21</v>
      </c>
      <c r="K20" s="95">
        <f>'FS-AD Daily '!T25</f>
        <v>228.291</v>
      </c>
      <c r="L20" s="100">
        <v>7.84</v>
      </c>
      <c r="M20" s="95">
        <v>180</v>
      </c>
      <c r="N20" s="95">
        <v>276</v>
      </c>
    </row>
    <row r="21" spans="1:14" x14ac:dyDescent="0.25">
      <c r="A21" s="97" t="s">
        <v>81</v>
      </c>
      <c r="B21" s="98">
        <f t="shared" si="0"/>
        <v>20</v>
      </c>
      <c r="C21" s="99">
        <v>2</v>
      </c>
      <c r="D21" s="98">
        <v>2020</v>
      </c>
      <c r="E21" s="95">
        <f>Submetering!E21+Submetering!F21+Submetering!G21+Submetering!H21+Submetering!I21+Submetering!J21+Submetering!K21</f>
        <v>33079</v>
      </c>
      <c r="F21" s="100">
        <v>0.2</v>
      </c>
      <c r="G21" s="95">
        <f>Submetering!P21</f>
        <v>482</v>
      </c>
      <c r="H21" s="100">
        <v>10.02</v>
      </c>
      <c r="I21" s="95">
        <f>Submetering!T21-Submetering!T21*15%-Submetering!X21</f>
        <v>35979.733999998542</v>
      </c>
      <c r="J21" s="94">
        <v>0.21</v>
      </c>
      <c r="K21" s="95">
        <f>'FS-AD Daily '!T26</f>
        <v>260.3</v>
      </c>
      <c r="L21" s="100">
        <v>7.84</v>
      </c>
      <c r="M21" s="95">
        <v>180</v>
      </c>
      <c r="N21" s="95">
        <v>291</v>
      </c>
    </row>
    <row r="22" spans="1:14" x14ac:dyDescent="0.25">
      <c r="A22" s="97" t="s">
        <v>81</v>
      </c>
      <c r="B22" s="98">
        <f t="shared" si="0"/>
        <v>21</v>
      </c>
      <c r="C22" s="99">
        <v>2</v>
      </c>
      <c r="D22" s="98">
        <v>2020</v>
      </c>
      <c r="E22" s="95">
        <f>Submetering!E22+Submetering!F22+Submetering!G22+Submetering!H22+Submetering!I22+Submetering!J22+Submetering!K22</f>
        <v>0</v>
      </c>
      <c r="F22" s="100">
        <v>0.2</v>
      </c>
      <c r="G22" s="95" t="str">
        <f>Submetering!P22</f>
        <v>0</v>
      </c>
      <c r="H22" s="100">
        <v>10.02</v>
      </c>
      <c r="I22" s="95">
        <f>Submetering!T22-Submetering!T22*15%-Submetering!X22</f>
        <v>0</v>
      </c>
      <c r="J22" s="94">
        <v>0.21</v>
      </c>
      <c r="K22" s="95">
        <f>'FS-AD Daily '!T27</f>
        <v>0</v>
      </c>
      <c r="L22" s="100">
        <v>7.84</v>
      </c>
      <c r="M22" s="95"/>
      <c r="N22" s="95"/>
    </row>
    <row r="23" spans="1:14" x14ac:dyDescent="0.25">
      <c r="A23" s="97" t="s">
        <v>81</v>
      </c>
      <c r="B23" s="98">
        <f t="shared" si="0"/>
        <v>22</v>
      </c>
      <c r="C23" s="99">
        <v>2</v>
      </c>
      <c r="D23" s="98">
        <v>2020</v>
      </c>
      <c r="E23" s="95">
        <f>Submetering!E23+Submetering!F23+Submetering!G23+Submetering!H23+Submetering!I23+Submetering!J23+Submetering!K23</f>
        <v>0</v>
      </c>
      <c r="F23" s="100">
        <v>0.2</v>
      </c>
      <c r="G23" s="95">
        <f>Submetering!P23</f>
        <v>0</v>
      </c>
      <c r="H23" s="100">
        <v>10.02</v>
      </c>
      <c r="I23" s="95">
        <f>Submetering!T23-Submetering!T23*15%-Submetering!X23</f>
        <v>0</v>
      </c>
      <c r="J23" s="94">
        <v>0.21</v>
      </c>
      <c r="K23" s="95">
        <f>'FS-AD Daily '!T28</f>
        <v>0</v>
      </c>
      <c r="L23" s="100">
        <v>7.84</v>
      </c>
      <c r="M23" s="95"/>
      <c r="N23" s="95"/>
    </row>
    <row r="24" spans="1:14" x14ac:dyDescent="0.25">
      <c r="A24" s="97" t="s">
        <v>81</v>
      </c>
      <c r="B24" s="98">
        <f t="shared" si="0"/>
        <v>23</v>
      </c>
      <c r="C24" s="99">
        <v>2</v>
      </c>
      <c r="D24" s="98">
        <v>2020</v>
      </c>
      <c r="E24" s="95">
        <f>Submetering!E24+Submetering!F24+Submetering!G24+Submetering!H24+Submetering!I24+Submetering!J24+Submetering!K24</f>
        <v>0</v>
      </c>
      <c r="F24" s="100">
        <v>0.2</v>
      </c>
      <c r="G24" s="95">
        <f>Submetering!P24</f>
        <v>0</v>
      </c>
      <c r="H24" s="100">
        <v>10.02</v>
      </c>
      <c r="I24" s="95">
        <f>Submetering!T24-Submetering!T24*15%-Submetering!X24</f>
        <v>0</v>
      </c>
      <c r="J24" s="94">
        <v>0.21</v>
      </c>
      <c r="K24" s="95">
        <f>'FS-AD Daily '!T29</f>
        <v>0</v>
      </c>
      <c r="L24" s="100">
        <v>7.84</v>
      </c>
      <c r="M24" s="95"/>
      <c r="N24" s="95"/>
    </row>
    <row r="25" spans="1:14" x14ac:dyDescent="0.25">
      <c r="A25" s="97" t="s">
        <v>81</v>
      </c>
      <c r="B25" s="98">
        <f t="shared" si="0"/>
        <v>24</v>
      </c>
      <c r="C25" s="99">
        <v>2</v>
      </c>
      <c r="D25" s="98">
        <v>2020</v>
      </c>
      <c r="E25" s="95">
        <f>Submetering!E25+Submetering!F25+Submetering!G25+Submetering!H25+Submetering!I25+Submetering!J25+Submetering!K25</f>
        <v>0</v>
      </c>
      <c r="F25" s="100">
        <v>0.2</v>
      </c>
      <c r="G25" s="95">
        <f>Submetering!P25</f>
        <v>0</v>
      </c>
      <c r="H25" s="100">
        <v>10.02</v>
      </c>
      <c r="I25" s="95">
        <f>Submetering!T25-Submetering!T25*15%-Submetering!X25</f>
        <v>0</v>
      </c>
      <c r="J25" s="94">
        <v>0.21</v>
      </c>
      <c r="K25" s="95">
        <f>'FS-AD Daily '!T30</f>
        <v>0</v>
      </c>
      <c r="L25" s="100">
        <v>7.84</v>
      </c>
      <c r="M25" s="95"/>
      <c r="N25" s="95"/>
    </row>
    <row r="26" spans="1:14" x14ac:dyDescent="0.25">
      <c r="A26" s="97" t="s">
        <v>81</v>
      </c>
      <c r="B26" s="98">
        <f>B25+1</f>
        <v>25</v>
      </c>
      <c r="C26" s="99">
        <v>2</v>
      </c>
      <c r="D26" s="98">
        <v>2020</v>
      </c>
      <c r="E26" s="95">
        <f>Submetering!E26+Submetering!F26+Submetering!G26+Submetering!H26+Submetering!I26+Submetering!J26+Submetering!K26</f>
        <v>0</v>
      </c>
      <c r="F26" s="100">
        <v>0.2</v>
      </c>
      <c r="G26" s="95">
        <f>Submetering!P26</f>
        <v>0</v>
      </c>
      <c r="H26" s="100">
        <v>10.02</v>
      </c>
      <c r="I26" s="95">
        <f>Submetering!T26-Submetering!T26*15%-Submetering!X26</f>
        <v>0</v>
      </c>
      <c r="J26" s="94">
        <v>0.21</v>
      </c>
      <c r="K26" s="95">
        <f>'FS-AD Daily '!T31</f>
        <v>0</v>
      </c>
      <c r="L26" s="100">
        <v>7.84</v>
      </c>
      <c r="M26" s="95"/>
      <c r="N26" s="95"/>
    </row>
    <row r="27" spans="1:14" x14ac:dyDescent="0.25">
      <c r="A27" s="97" t="s">
        <v>81</v>
      </c>
      <c r="B27" s="98">
        <f t="shared" si="0"/>
        <v>26</v>
      </c>
      <c r="C27" s="99">
        <v>2</v>
      </c>
      <c r="D27" s="98">
        <v>2020</v>
      </c>
      <c r="E27" s="95">
        <f>Submetering!E27+Submetering!F27+Submetering!G27+Submetering!H27+Submetering!I27+Submetering!J27+Submetering!K27</f>
        <v>0</v>
      </c>
      <c r="F27" s="100">
        <v>0.2</v>
      </c>
      <c r="G27" s="95">
        <f>Submetering!P27</f>
        <v>0</v>
      </c>
      <c r="H27" s="100">
        <v>10.02</v>
      </c>
      <c r="I27" s="95">
        <f>Submetering!T27-Submetering!T27*15%-Submetering!X27</f>
        <v>0</v>
      </c>
      <c r="J27" s="94">
        <v>0.21</v>
      </c>
      <c r="K27" s="95">
        <f>'FS-AD Daily '!T32</f>
        <v>0</v>
      </c>
      <c r="L27" s="100">
        <v>7.84</v>
      </c>
      <c r="M27" s="95"/>
      <c r="N27" s="95"/>
    </row>
    <row r="28" spans="1:14" x14ac:dyDescent="0.25">
      <c r="A28" s="97" t="s">
        <v>81</v>
      </c>
      <c r="B28" s="98">
        <f t="shared" si="0"/>
        <v>27</v>
      </c>
      <c r="C28" s="99">
        <v>2</v>
      </c>
      <c r="D28" s="98">
        <v>2020</v>
      </c>
      <c r="E28" s="95">
        <f>Submetering!E28+Submetering!F28+Submetering!G28+Submetering!H28+Submetering!I28+Submetering!J28+Submetering!K28</f>
        <v>0</v>
      </c>
      <c r="F28" s="100">
        <v>0.2</v>
      </c>
      <c r="G28" s="95">
        <f>Submetering!P28</f>
        <v>0</v>
      </c>
      <c r="H28" s="100">
        <v>10.02</v>
      </c>
      <c r="I28" s="95">
        <f>Submetering!T28-Submetering!T28*15%-Submetering!X28</f>
        <v>0</v>
      </c>
      <c r="J28" s="94">
        <v>0.21</v>
      </c>
      <c r="K28" s="95">
        <f>'FS-AD Daily '!T33</f>
        <v>0</v>
      </c>
      <c r="L28" s="100">
        <v>7.84</v>
      </c>
      <c r="M28" s="95"/>
      <c r="N28" s="95"/>
    </row>
    <row r="29" spans="1:14" x14ac:dyDescent="0.25">
      <c r="A29" s="97" t="s">
        <v>81</v>
      </c>
      <c r="B29" s="98">
        <f t="shared" si="0"/>
        <v>28</v>
      </c>
      <c r="C29" s="99">
        <v>2</v>
      </c>
      <c r="D29" s="98">
        <v>2020</v>
      </c>
      <c r="E29" s="95">
        <f>Submetering!E29+Submetering!F29+Submetering!G29+Submetering!H29+Submetering!I29+Submetering!J29+Submetering!K29</f>
        <v>0</v>
      </c>
      <c r="F29" s="100">
        <v>0.2</v>
      </c>
      <c r="G29" s="95">
        <f>Submetering!P29</f>
        <v>0</v>
      </c>
      <c r="H29" s="100">
        <v>10.02</v>
      </c>
      <c r="I29" s="95">
        <f>Submetering!T29-Submetering!T29*15%-Submetering!X29</f>
        <v>0</v>
      </c>
      <c r="J29" s="94">
        <v>0.21</v>
      </c>
      <c r="K29" s="95">
        <f>'FS-AD Daily '!T34</f>
        <v>0</v>
      </c>
      <c r="L29" s="100">
        <v>7.84</v>
      </c>
      <c r="M29" s="95"/>
      <c r="N29" s="95"/>
    </row>
    <row r="30" spans="1:14" x14ac:dyDescent="0.25">
      <c r="A30" s="97" t="s">
        <v>81</v>
      </c>
      <c r="B30" s="98">
        <f t="shared" si="0"/>
        <v>29</v>
      </c>
      <c r="C30" s="99">
        <v>2</v>
      </c>
      <c r="D30" s="98">
        <v>2020</v>
      </c>
      <c r="E30" s="95">
        <f>Submetering!E30+Submetering!F30+Submetering!G30+Submetering!H30+Submetering!I30+Submetering!J30+Submetering!K30</f>
        <v>0</v>
      </c>
      <c r="F30" s="100">
        <v>0.2</v>
      </c>
      <c r="G30" s="95">
        <f>Submetering!P30</f>
        <v>0</v>
      </c>
      <c r="H30" s="100">
        <v>10.02</v>
      </c>
      <c r="I30" s="95">
        <f>Submetering!T30-Submetering!T30*15%-Submetering!X30</f>
        <v>0</v>
      </c>
      <c r="J30" s="94">
        <v>0.21</v>
      </c>
      <c r="K30" s="95">
        <f>'FS-AD Daily '!T35</f>
        <v>0</v>
      </c>
      <c r="L30" s="100">
        <v>7.84</v>
      </c>
      <c r="M30" s="95"/>
      <c r="N30" s="95"/>
    </row>
    <row r="31" spans="1:14" x14ac:dyDescent="0.25">
      <c r="A31" s="97" t="s">
        <v>81</v>
      </c>
      <c r="B31" s="98"/>
      <c r="C31" s="99"/>
      <c r="D31" s="98">
        <v>2020</v>
      </c>
      <c r="E31" s="95" t="e">
        <f>Submetering!E31+Submetering!F31+Submetering!G31+Submetering!H31+Submetering!I31+Submetering!J31+Submetering!K31</f>
        <v>#REF!</v>
      </c>
      <c r="F31" s="100">
        <v>0.2</v>
      </c>
      <c r="G31" s="95" t="e">
        <f>Submetering!P31</f>
        <v>#REF!</v>
      </c>
      <c r="H31" s="100">
        <v>10.02</v>
      </c>
      <c r="I31" s="95" t="e">
        <f>Submetering!T31-Submetering!T31*15%-Submetering!X31</f>
        <v>#REF!</v>
      </c>
      <c r="J31" s="94">
        <v>0.21</v>
      </c>
      <c r="K31" s="95" t="e">
        <f>'FS-AD Daily '!#REF!</f>
        <v>#REF!</v>
      </c>
      <c r="L31" s="100">
        <v>7.84</v>
      </c>
      <c r="M31" s="95"/>
      <c r="N31" s="95"/>
    </row>
    <row r="32" spans="1:14" x14ac:dyDescent="0.25">
      <c r="A32" s="97" t="s">
        <v>81</v>
      </c>
      <c r="B32" s="98"/>
      <c r="C32" s="99"/>
      <c r="D32" s="98">
        <v>2020</v>
      </c>
      <c r="E32" s="95" t="e">
        <f>Submetering!E32+Submetering!F32+Submetering!G32+Submetering!H32+Submetering!I32+Submetering!J32+Submetering!K32</f>
        <v>#REF!</v>
      </c>
      <c r="F32" s="100">
        <v>0.2</v>
      </c>
      <c r="G32" s="95" t="e">
        <f>Submetering!P32</f>
        <v>#REF!</v>
      </c>
      <c r="H32" s="100">
        <v>10.02</v>
      </c>
      <c r="I32" s="95" t="e">
        <f>Submetering!T32-Submetering!T32*15%-Submetering!X32</f>
        <v>#REF!</v>
      </c>
      <c r="J32" s="94">
        <v>0.21</v>
      </c>
      <c r="K32" s="95" t="e">
        <f>'FS-AD Daily '!#REF!</f>
        <v>#REF!</v>
      </c>
      <c r="L32" s="100">
        <v>7.84</v>
      </c>
      <c r="M32" s="95"/>
      <c r="N32" s="95"/>
    </row>
    <row r="33" spans="13:14" x14ac:dyDescent="0.25">
      <c r="M33" s="4">
        <f>SUM(M2:M32)</f>
        <v>3262</v>
      </c>
      <c r="N33" s="4">
        <f>SUM(N2:N32)</f>
        <v>4577</v>
      </c>
    </row>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3"/>
  <sheetViews>
    <sheetView workbookViewId="0">
      <pane xSplit="2" ySplit="1" topLeftCell="J2" activePane="bottomRight" state="frozen"/>
      <selection pane="topRight" activeCell="C1" sqref="C1"/>
      <selection pane="bottomLeft" activeCell="A2" sqref="A2"/>
      <selection pane="bottomRight" activeCell="Q35" sqref="Q35"/>
    </sheetView>
  </sheetViews>
  <sheetFormatPr defaultColWidth="11.5703125" defaultRowHeight="15" x14ac:dyDescent="0.25"/>
  <cols>
    <col min="1" max="1" width="18.42578125" style="3" customWidth="1"/>
    <col min="2" max="2" width="11.5703125" style="1" customWidth="1"/>
    <col min="3" max="3" width="11.5703125" style="27" customWidth="1"/>
    <col min="4" max="4" width="13.42578125" style="1" customWidth="1"/>
    <col min="5" max="19" width="12.5703125" style="4" customWidth="1"/>
    <col min="20" max="20" width="11.5703125" style="4"/>
    <col min="21" max="21" width="12.42578125" style="4" customWidth="1"/>
    <col min="22" max="24" width="11.5703125" style="4"/>
    <col min="25" max="25" width="11.5703125" style="1"/>
    <col min="26" max="26" width="11.5703125" style="4"/>
  </cols>
  <sheetData>
    <row r="1" spans="1:26" s="3" customFormat="1" ht="75" x14ac:dyDescent="0.25">
      <c r="A1" s="24" t="s">
        <v>0</v>
      </c>
      <c r="B1" s="6" t="s">
        <v>1</v>
      </c>
      <c r="C1" s="68" t="s">
        <v>2</v>
      </c>
      <c r="D1" s="6" t="s">
        <v>3</v>
      </c>
      <c r="E1" s="22" t="s">
        <v>65</v>
      </c>
      <c r="F1" s="22" t="s">
        <v>82</v>
      </c>
      <c r="G1" s="22" t="s">
        <v>85</v>
      </c>
      <c r="H1" s="22" t="s">
        <v>66</v>
      </c>
      <c r="I1" s="22" t="s">
        <v>67</v>
      </c>
      <c r="J1" s="22" t="s">
        <v>68</v>
      </c>
      <c r="K1" s="22" t="s">
        <v>69</v>
      </c>
      <c r="L1" s="8" t="s">
        <v>70</v>
      </c>
      <c r="M1" s="8" t="s">
        <v>71</v>
      </c>
      <c r="N1" s="8" t="s">
        <v>72</v>
      </c>
      <c r="O1" s="8" t="s">
        <v>73</v>
      </c>
      <c r="P1" s="8" t="s">
        <v>74</v>
      </c>
      <c r="Q1" s="8" t="s">
        <v>75</v>
      </c>
      <c r="R1" s="8" t="s">
        <v>76</v>
      </c>
      <c r="S1" s="8" t="s">
        <v>93</v>
      </c>
      <c r="T1" s="8" t="s">
        <v>88</v>
      </c>
      <c r="U1" s="8" t="s">
        <v>89</v>
      </c>
      <c r="V1" s="8" t="s">
        <v>90</v>
      </c>
      <c r="W1" s="8" t="s">
        <v>91</v>
      </c>
      <c r="X1" s="8" t="s">
        <v>92</v>
      </c>
      <c r="Y1" s="7" t="s">
        <v>8</v>
      </c>
      <c r="Z1" s="8" t="s">
        <v>9</v>
      </c>
    </row>
    <row r="2" spans="1:26" x14ac:dyDescent="0.25">
      <c r="A2" s="92" t="s">
        <v>81</v>
      </c>
      <c r="B2" s="93">
        <v>1</v>
      </c>
      <c r="C2" s="94">
        <v>1</v>
      </c>
      <c r="D2" s="93">
        <v>2020</v>
      </c>
      <c r="E2" s="95">
        <f>'FS-AD Daily '!B7</f>
        <v>6582</v>
      </c>
      <c r="F2" s="95">
        <f>'FS-AD Daily '!C7</f>
        <v>5752</v>
      </c>
      <c r="G2" s="95">
        <f>'FS-AD Daily '!D7</f>
        <v>894</v>
      </c>
      <c r="H2" s="95">
        <f>'FS-AD Daily '!E7</f>
        <v>7009</v>
      </c>
      <c r="I2" s="95">
        <f>'FS-AD Daily '!F7</f>
        <v>5915</v>
      </c>
      <c r="J2" s="95">
        <f>'FS-AD Daily '!G7</f>
        <v>3190</v>
      </c>
      <c r="K2" s="95">
        <f>'FS-AD Daily '!H7</f>
        <v>3956</v>
      </c>
      <c r="L2" s="95">
        <f>'FS-AD Daily '!I7</f>
        <v>2271</v>
      </c>
      <c r="M2" s="95">
        <f>'FS-AD Daily '!J7</f>
        <v>6935</v>
      </c>
      <c r="N2" s="95">
        <f>'FS-AD Daily '!T7</f>
        <v>151.964</v>
      </c>
      <c r="O2" s="95">
        <f>'FS-AD Daily '!R7</f>
        <v>74.783000000000001</v>
      </c>
      <c r="P2" s="95">
        <f>'FS-AD Daily '!Z7</f>
        <v>428.5</v>
      </c>
      <c r="Q2" s="95">
        <f>'FS-AD Daily '!V7</f>
        <v>155.1</v>
      </c>
      <c r="R2" s="95">
        <f>'FS-AD Daily '!W7</f>
        <v>97.42</v>
      </c>
      <c r="S2" s="95">
        <f>P2-Q2-R2</f>
        <v>175.97999999999996</v>
      </c>
      <c r="T2" s="95">
        <f>'FS-AD Daily '!AD7*3.516</f>
        <v>40325.004000000001</v>
      </c>
      <c r="U2" s="95">
        <f>('FS-AD Daily '!AF7)*1000</f>
        <v>17800</v>
      </c>
      <c r="V2" s="95">
        <f>('FS-AD Daily '!AG7)*1000</f>
        <v>5500</v>
      </c>
      <c r="W2" s="95">
        <f>'FS-AD Daily '!AH7*1000</f>
        <v>5200</v>
      </c>
      <c r="X2" s="95">
        <f>('FS-AD Daily '!AK7)*1000</f>
        <v>8500</v>
      </c>
      <c r="Y2" s="95">
        <v>161</v>
      </c>
      <c r="Z2" s="95">
        <v>235</v>
      </c>
    </row>
    <row r="3" spans="1:26" x14ac:dyDescent="0.25">
      <c r="A3" s="92" t="s">
        <v>81</v>
      </c>
      <c r="B3" s="93">
        <f>B2+1</f>
        <v>2</v>
      </c>
      <c r="C3" s="94">
        <v>1</v>
      </c>
      <c r="D3" s="93">
        <v>2020</v>
      </c>
      <c r="E3" s="95">
        <f>'FS-AD Daily '!B8</f>
        <v>7082</v>
      </c>
      <c r="F3" s="95">
        <f>'FS-AD Daily '!C8</f>
        <v>5851</v>
      </c>
      <c r="G3" s="95">
        <f>'FS-AD Daily '!D8</f>
        <v>897</v>
      </c>
      <c r="H3" s="95">
        <f>'FS-AD Daily '!E8</f>
        <v>7241</v>
      </c>
      <c r="I3" s="95">
        <f>'FS-AD Daily '!F8</f>
        <v>5694</v>
      </c>
      <c r="J3" s="95">
        <f>'FS-AD Daily '!G8</f>
        <v>3179</v>
      </c>
      <c r="K3" s="95">
        <f>'FS-AD Daily '!H8</f>
        <v>3889</v>
      </c>
      <c r="L3" s="95">
        <f>'FS-AD Daily '!I8</f>
        <v>2273</v>
      </c>
      <c r="M3" s="95">
        <f>'FS-AD Daily '!J8</f>
        <v>6755</v>
      </c>
      <c r="N3" s="95">
        <f>'FS-AD Daily '!T8</f>
        <v>312.31799999999998</v>
      </c>
      <c r="O3" s="95">
        <f>'FS-AD Daily '!R8</f>
        <v>79.006</v>
      </c>
      <c r="P3" s="95">
        <f>'FS-AD Daily '!Z8</f>
        <v>397.40000000002328</v>
      </c>
      <c r="Q3" s="95">
        <f>'FS-AD Daily '!V8</f>
        <v>135</v>
      </c>
      <c r="R3" s="95">
        <f>'FS-AD Daily '!W8</f>
        <v>90.5</v>
      </c>
      <c r="S3" s="95">
        <f t="shared" ref="S3:S32" si="0">P3-Q3-R3</f>
        <v>171.90000000002328</v>
      </c>
      <c r="T3" s="95">
        <f>'FS-AD Daily '!AD8*3.516</f>
        <v>43584.336000000003</v>
      </c>
      <c r="U3" s="95">
        <f>('FS-AD Daily '!AF8)*1000</f>
        <v>19500</v>
      </c>
      <c r="V3" s="95">
        <f>('FS-AD Daily '!AG8)*1000</f>
        <v>5700</v>
      </c>
      <c r="W3" s="95">
        <f>'FS-AD Daily '!AH8*1000</f>
        <v>6200</v>
      </c>
      <c r="X3" s="95">
        <f>('FS-AD Daily '!AK8)*1000</f>
        <v>9500</v>
      </c>
      <c r="Y3" s="95">
        <v>161</v>
      </c>
      <c r="Z3" s="95">
        <v>231</v>
      </c>
    </row>
    <row r="4" spans="1:26" x14ac:dyDescent="0.25">
      <c r="A4" s="92" t="s">
        <v>81</v>
      </c>
      <c r="B4" s="93">
        <f t="shared" ref="B4:B30" si="1">B3+1</f>
        <v>3</v>
      </c>
      <c r="C4" s="94">
        <v>1</v>
      </c>
      <c r="D4" s="93">
        <v>2020</v>
      </c>
      <c r="E4" s="95">
        <f>'FS-AD Daily '!B9</f>
        <v>8556</v>
      </c>
      <c r="F4" s="95">
        <f>'FS-AD Daily '!C9</f>
        <v>5895</v>
      </c>
      <c r="G4" s="95">
        <f>'FS-AD Daily '!D9</f>
        <v>896</v>
      </c>
      <c r="H4" s="95">
        <f>'FS-AD Daily '!E9</f>
        <v>7150</v>
      </c>
      <c r="I4" s="95">
        <f>'FS-AD Daily '!F9</f>
        <v>5910</v>
      </c>
      <c r="J4" s="95">
        <f>'FS-AD Daily '!G9</f>
        <v>3250</v>
      </c>
      <c r="K4" s="95">
        <f>'FS-AD Daily '!H9</f>
        <v>3940</v>
      </c>
      <c r="L4" s="95">
        <f>'FS-AD Daily '!I9</f>
        <v>2199</v>
      </c>
      <c r="M4" s="95">
        <f>'FS-AD Daily '!J9</f>
        <v>7078</v>
      </c>
      <c r="N4" s="95">
        <f>'FS-AD Daily '!T9</f>
        <v>206.53300000000002</v>
      </c>
      <c r="O4" s="95">
        <f>'FS-AD Daily '!R9</f>
        <v>62.709000000000003</v>
      </c>
      <c r="P4" s="95">
        <f>'FS-AD Daily '!Z9</f>
        <v>406.70000000006985</v>
      </c>
      <c r="Q4" s="95">
        <f>'FS-AD Daily '!V9</f>
        <v>139.69999999999999</v>
      </c>
      <c r="R4" s="95">
        <f>'FS-AD Daily '!W9</f>
        <v>90.089999999996508</v>
      </c>
      <c r="S4" s="95">
        <f t="shared" si="0"/>
        <v>176.91000000007335</v>
      </c>
      <c r="T4" s="95">
        <f>'FS-AD Daily '!AD9*3.516</f>
        <v>41770.080000000002</v>
      </c>
      <c r="U4" s="95">
        <f>('FS-AD Daily '!AF9)*1000</f>
        <v>18900</v>
      </c>
      <c r="V4" s="95">
        <f>('FS-AD Daily '!AG9)*1000</f>
        <v>5500</v>
      </c>
      <c r="W4" s="95">
        <f>'FS-AD Daily '!AH9*1000</f>
        <v>6300</v>
      </c>
      <c r="X4" s="95">
        <f>('FS-AD Daily '!AK9)*1000</f>
        <v>9099.9999999985448</v>
      </c>
      <c r="Y4" s="95">
        <v>176</v>
      </c>
      <c r="Z4" s="95">
        <v>232</v>
      </c>
    </row>
    <row r="5" spans="1:26" x14ac:dyDescent="0.25">
      <c r="A5" s="92" t="s">
        <v>81</v>
      </c>
      <c r="B5" s="93">
        <f t="shared" si="1"/>
        <v>4</v>
      </c>
      <c r="C5" s="94">
        <v>1</v>
      </c>
      <c r="D5" s="93">
        <v>2020</v>
      </c>
      <c r="E5" s="95">
        <f>'FS-AD Daily '!B10</f>
        <v>9022</v>
      </c>
      <c r="F5" s="95">
        <f>'FS-AD Daily '!C10</f>
        <v>5598</v>
      </c>
      <c r="G5" s="95">
        <f>'FS-AD Daily '!D10</f>
        <v>874</v>
      </c>
      <c r="H5" s="95">
        <f>'FS-AD Daily '!E10</f>
        <v>7167</v>
      </c>
      <c r="I5" s="95">
        <f>'FS-AD Daily '!F10</f>
        <v>5970</v>
      </c>
      <c r="J5" s="95">
        <f>'FS-AD Daily '!G10</f>
        <v>3224</v>
      </c>
      <c r="K5" s="95">
        <f>'FS-AD Daily '!H10</f>
        <v>3640</v>
      </c>
      <c r="L5" s="95">
        <f>'FS-AD Daily '!I10</f>
        <v>2165</v>
      </c>
      <c r="M5" s="95">
        <f>'FS-AD Daily '!J10</f>
        <v>6981</v>
      </c>
      <c r="N5" s="95">
        <f>'FS-AD Daily '!T10</f>
        <v>219.21600000000001</v>
      </c>
      <c r="O5" s="95">
        <f>'FS-AD Daily '!R10</f>
        <v>68.418000000000006</v>
      </c>
      <c r="P5" s="95">
        <f>'FS-AD Daily '!Z10</f>
        <v>403.79999999993015</v>
      </c>
      <c r="Q5" s="95">
        <f>'FS-AD Daily '!V10</f>
        <v>136.9</v>
      </c>
      <c r="R5" s="95">
        <f>'FS-AD Daily '!W10</f>
        <v>89.36</v>
      </c>
      <c r="S5" s="95">
        <f t="shared" si="0"/>
        <v>177.53999999993016</v>
      </c>
      <c r="T5" s="95">
        <f>'FS-AD Daily '!AD10*3.516</f>
        <v>42642.048000000003</v>
      </c>
      <c r="U5" s="95">
        <f>('FS-AD Daily '!AF10)*1000</f>
        <v>19200</v>
      </c>
      <c r="V5" s="95">
        <f>('FS-AD Daily '!AG10)*1000</f>
        <v>5600</v>
      </c>
      <c r="W5" s="95">
        <f>'FS-AD Daily '!AH10*1000</f>
        <v>6400</v>
      </c>
      <c r="X5" s="95">
        <f>('FS-AD Daily '!AK10)*1000</f>
        <v>9300.0000000029104</v>
      </c>
      <c r="Y5" s="95">
        <v>177</v>
      </c>
      <c r="Z5" s="95">
        <v>233</v>
      </c>
    </row>
    <row r="6" spans="1:26" x14ac:dyDescent="0.25">
      <c r="A6" s="92" t="s">
        <v>81</v>
      </c>
      <c r="B6" s="93">
        <f t="shared" si="1"/>
        <v>5</v>
      </c>
      <c r="C6" s="94">
        <v>1</v>
      </c>
      <c r="D6" s="93">
        <v>2020</v>
      </c>
      <c r="E6" s="95">
        <f>'FS-AD Daily '!B11</f>
        <v>6806</v>
      </c>
      <c r="F6" s="95">
        <f>'FS-AD Daily '!C11</f>
        <v>5276</v>
      </c>
      <c r="G6" s="95">
        <f>'FS-AD Daily '!D11</f>
        <v>897</v>
      </c>
      <c r="H6" s="95">
        <f>'FS-AD Daily '!E11</f>
        <v>7120</v>
      </c>
      <c r="I6" s="95">
        <f>'FS-AD Daily '!F11</f>
        <v>6070</v>
      </c>
      <c r="J6" s="95">
        <f>'FS-AD Daily '!G11</f>
        <v>3248</v>
      </c>
      <c r="K6" s="95">
        <f>'FS-AD Daily '!H11</f>
        <v>3579</v>
      </c>
      <c r="L6" s="95">
        <f>'FS-AD Daily '!I11</f>
        <v>2135</v>
      </c>
      <c r="M6" s="95">
        <f>'FS-AD Daily '!J11</f>
        <v>7016</v>
      </c>
      <c r="N6" s="95">
        <f>'FS-AD Daily '!T11</f>
        <v>203.06799999999998</v>
      </c>
      <c r="O6" s="95">
        <f>'FS-AD Daily '!R11</f>
        <v>81.387</v>
      </c>
      <c r="P6" s="95">
        <f>'FS-AD Daily '!Z11</f>
        <v>399</v>
      </c>
      <c r="Q6" s="95">
        <f>'FS-AD Daily '!V11</f>
        <v>135.4</v>
      </c>
      <c r="R6" s="95">
        <f>'FS-AD Daily '!W11</f>
        <v>92.7</v>
      </c>
      <c r="S6" s="95">
        <f t="shared" si="0"/>
        <v>170.90000000000003</v>
      </c>
      <c r="T6" s="95">
        <f>'FS-AD Daily '!AD11*3.516</f>
        <v>44477.4</v>
      </c>
      <c r="U6" s="95">
        <f>('FS-AD Daily '!AF11)*1000</f>
        <v>20400</v>
      </c>
      <c r="V6" s="95">
        <f>('FS-AD Daily '!AG11)*1000</f>
        <v>5700</v>
      </c>
      <c r="W6" s="95">
        <f>'FS-AD Daily '!AH11*1000</f>
        <v>6000</v>
      </c>
      <c r="X6" s="95">
        <f>('FS-AD Daily '!AK11)*1000</f>
        <v>10699.99999999709</v>
      </c>
      <c r="Y6" s="95">
        <v>171</v>
      </c>
      <c r="Z6" s="95">
        <v>226</v>
      </c>
    </row>
    <row r="7" spans="1:26" x14ac:dyDescent="0.25">
      <c r="A7" s="92" t="s">
        <v>81</v>
      </c>
      <c r="B7" s="93">
        <f t="shared" si="1"/>
        <v>6</v>
      </c>
      <c r="C7" s="94">
        <v>1</v>
      </c>
      <c r="D7" s="93">
        <v>2020</v>
      </c>
      <c r="E7" s="95">
        <f>'FS-AD Daily '!B12</f>
        <v>6241</v>
      </c>
      <c r="F7" s="95">
        <f>'FS-AD Daily '!C12</f>
        <v>5372</v>
      </c>
      <c r="G7" s="95">
        <f>'FS-AD Daily '!D12</f>
        <v>958</v>
      </c>
      <c r="H7" s="95">
        <f>'FS-AD Daily '!E12</f>
        <v>7214</v>
      </c>
      <c r="I7" s="95">
        <f>'FS-AD Daily '!F12</f>
        <v>6022</v>
      </c>
      <c r="J7" s="95">
        <f>'FS-AD Daily '!G12</f>
        <v>3304</v>
      </c>
      <c r="K7" s="95">
        <f>'FS-AD Daily '!H12</f>
        <v>3558</v>
      </c>
      <c r="L7" s="95">
        <f>'FS-AD Daily '!I12</f>
        <v>2196</v>
      </c>
      <c r="M7" s="95">
        <f>'FS-AD Daily '!J12</f>
        <v>7301</v>
      </c>
      <c r="N7" s="95">
        <f>'FS-AD Daily '!T12</f>
        <v>220.18200000000002</v>
      </c>
      <c r="O7" s="95">
        <f>'FS-AD Daily '!R12</f>
        <v>71.47</v>
      </c>
      <c r="P7" s="95">
        <f>'FS-AD Daily '!Z12</f>
        <v>406.09999999997672</v>
      </c>
      <c r="Q7" s="95">
        <f>'FS-AD Daily '!V12</f>
        <v>137.6</v>
      </c>
      <c r="R7" s="95">
        <f>'FS-AD Daily '!W12</f>
        <v>91.48</v>
      </c>
      <c r="S7" s="95">
        <f t="shared" si="0"/>
        <v>177.01999999997668</v>
      </c>
      <c r="T7" s="95">
        <f>'FS-AD Daily '!AD12*3.516</f>
        <v>48707.148000000001</v>
      </c>
      <c r="U7" s="95">
        <f>('FS-AD Daily '!AF12)*1000</f>
        <v>22700</v>
      </c>
      <c r="V7" s="95">
        <f>('FS-AD Daily '!AG12)*1000</f>
        <v>6200</v>
      </c>
      <c r="W7" s="95">
        <f>'FS-AD Daily '!AH12*1000</f>
        <v>7100</v>
      </c>
      <c r="X7" s="95">
        <f>('FS-AD Daily '!AK12)*1000</f>
        <v>12800.00000000291</v>
      </c>
      <c r="Y7" s="95">
        <v>124</v>
      </c>
      <c r="Z7" s="95">
        <v>206</v>
      </c>
    </row>
    <row r="8" spans="1:26" x14ac:dyDescent="0.25">
      <c r="A8" s="92" t="s">
        <v>81</v>
      </c>
      <c r="B8" s="93">
        <f t="shared" si="1"/>
        <v>7</v>
      </c>
      <c r="C8" s="94">
        <v>1</v>
      </c>
      <c r="D8" s="93">
        <v>2020</v>
      </c>
      <c r="E8" s="95">
        <f>'FS-AD Daily '!B13</f>
        <v>5961</v>
      </c>
      <c r="F8" s="95">
        <f>'FS-AD Daily '!C13</f>
        <v>5964</v>
      </c>
      <c r="G8" s="95">
        <f>'FS-AD Daily '!D13</f>
        <v>869</v>
      </c>
      <c r="H8" s="95">
        <f>'FS-AD Daily '!E13</f>
        <v>6852</v>
      </c>
      <c r="I8" s="95">
        <f>'FS-AD Daily '!F13</f>
        <v>6095</v>
      </c>
      <c r="J8" s="95">
        <f>'FS-AD Daily '!G13</f>
        <v>3218</v>
      </c>
      <c r="K8" s="95">
        <f>'FS-AD Daily '!H13</f>
        <v>3528</v>
      </c>
      <c r="L8" s="95">
        <f>'FS-AD Daily '!I13</f>
        <v>2091</v>
      </c>
      <c r="M8" s="95">
        <f>'FS-AD Daily '!J13</f>
        <v>6894</v>
      </c>
      <c r="N8" s="95">
        <f>'FS-AD Daily '!T13</f>
        <v>198.99200000000002</v>
      </c>
      <c r="O8" s="95">
        <f>'FS-AD Daily '!R13</f>
        <v>76.931999999999988</v>
      </c>
      <c r="P8" s="95">
        <f>'FS-AD Daily '!Z13</f>
        <v>420.70000000006985</v>
      </c>
      <c r="Q8" s="95">
        <f>'FS-AD Daily '!V13</f>
        <v>140.30000000000001</v>
      </c>
      <c r="R8" s="95">
        <f>'FS-AD Daily '!W13</f>
        <v>85.81</v>
      </c>
      <c r="S8" s="95">
        <f t="shared" si="0"/>
        <v>194.59000000006984</v>
      </c>
      <c r="T8" s="95">
        <f>'FS-AD Daily '!AD13*3.516</f>
        <v>50095.968000000001</v>
      </c>
      <c r="U8" s="95">
        <f>('FS-AD Daily '!AF13)*1000</f>
        <v>23200</v>
      </c>
      <c r="V8" s="95">
        <f>('FS-AD Daily '!AG13)*1000</f>
        <v>6800</v>
      </c>
      <c r="W8" s="95">
        <f>'FS-AD Daily '!AH13*1000</f>
        <v>7800</v>
      </c>
      <c r="X8" s="95">
        <f>('FS-AD Daily '!AK13)*1000</f>
        <v>13000</v>
      </c>
      <c r="Y8" s="95">
        <v>141</v>
      </c>
      <c r="Z8" s="95">
        <v>248</v>
      </c>
    </row>
    <row r="9" spans="1:26" x14ac:dyDescent="0.25">
      <c r="A9" s="92" t="s">
        <v>81</v>
      </c>
      <c r="B9" s="93">
        <f t="shared" si="1"/>
        <v>8</v>
      </c>
      <c r="C9" s="94">
        <v>1</v>
      </c>
      <c r="D9" s="93">
        <v>2020</v>
      </c>
      <c r="E9" s="95">
        <f>'FS-AD Daily '!B14</f>
        <v>5554</v>
      </c>
      <c r="F9" s="95">
        <f>'FS-AD Daily '!C14</f>
        <v>5160</v>
      </c>
      <c r="G9" s="95">
        <f>'FS-AD Daily '!D14</f>
        <v>907</v>
      </c>
      <c r="H9" s="95">
        <f>'FS-AD Daily '!E14</f>
        <v>6942</v>
      </c>
      <c r="I9" s="95">
        <f>'FS-AD Daily '!F14</f>
        <v>5893</v>
      </c>
      <c r="J9" s="95">
        <f>'FS-AD Daily '!G14</f>
        <v>3253</v>
      </c>
      <c r="K9" s="95">
        <f>'FS-AD Daily '!H14</f>
        <v>3602</v>
      </c>
      <c r="L9" s="95">
        <f>'FS-AD Daily '!I14</f>
        <v>2276</v>
      </c>
      <c r="M9" s="95">
        <f>'FS-AD Daily '!J14</f>
        <v>6891</v>
      </c>
      <c r="N9" s="95">
        <f>'FS-AD Daily '!T14</f>
        <v>214.131</v>
      </c>
      <c r="O9" s="95">
        <f>'FS-AD Daily '!R14</f>
        <v>4.9000000000000004</v>
      </c>
      <c r="P9" s="95">
        <f>'FS-AD Daily '!Z14</f>
        <v>400.79999999993015</v>
      </c>
      <c r="Q9" s="95">
        <f>'FS-AD Daily '!V14</f>
        <v>140.6</v>
      </c>
      <c r="R9" s="95">
        <f>'FS-AD Daily '!W14</f>
        <v>83.15</v>
      </c>
      <c r="S9" s="95">
        <f t="shared" si="0"/>
        <v>177.04999999993012</v>
      </c>
      <c r="T9" s="95">
        <f>'FS-AD Daily '!AD14*3.516</f>
        <v>50686.656000000003</v>
      </c>
      <c r="U9" s="95">
        <f>('FS-AD Daily '!AF14)*1000</f>
        <v>22700</v>
      </c>
      <c r="V9" s="95">
        <f>('FS-AD Daily '!AG14)*1000</f>
        <v>7200</v>
      </c>
      <c r="W9" s="95">
        <f>'FS-AD Daily '!AH14*1000</f>
        <v>8500</v>
      </c>
      <c r="X9" s="95">
        <f>('FS-AD Daily '!AK14)*1000</f>
        <v>13599.999999998545</v>
      </c>
      <c r="Y9" s="95">
        <v>163</v>
      </c>
      <c r="Z9" s="95">
        <v>229</v>
      </c>
    </row>
    <row r="10" spans="1:26" x14ac:dyDescent="0.25">
      <c r="A10" s="92" t="s">
        <v>81</v>
      </c>
      <c r="B10" s="93">
        <f t="shared" si="1"/>
        <v>9</v>
      </c>
      <c r="C10" s="94">
        <v>1</v>
      </c>
      <c r="D10" s="93">
        <v>2020</v>
      </c>
      <c r="E10" s="95">
        <f>'FS-AD Daily '!B15</f>
        <v>7186</v>
      </c>
      <c r="F10" s="95">
        <f>'FS-AD Daily '!C15</f>
        <v>5593</v>
      </c>
      <c r="G10" s="95">
        <f>'FS-AD Daily '!D15</f>
        <v>887</v>
      </c>
      <c r="H10" s="95">
        <f>'FS-AD Daily '!E15</f>
        <v>7052</v>
      </c>
      <c r="I10" s="95">
        <f>'FS-AD Daily '!F15</f>
        <v>6108</v>
      </c>
      <c r="J10" s="95">
        <f>'FS-AD Daily '!G15</f>
        <v>3175</v>
      </c>
      <c r="K10" s="95">
        <f>'FS-AD Daily '!H15</f>
        <v>3543</v>
      </c>
      <c r="L10" s="95">
        <f>'FS-AD Daily '!I15</f>
        <v>2250</v>
      </c>
      <c r="M10" s="95">
        <f>'FS-AD Daily '!J15</f>
        <v>7039</v>
      </c>
      <c r="N10" s="95">
        <f>'FS-AD Daily '!T15</f>
        <v>216.32900000000001</v>
      </c>
      <c r="O10" s="95">
        <f>'FS-AD Daily '!R15</f>
        <v>65.847999999999999</v>
      </c>
      <c r="P10" s="95">
        <f>'FS-AD Daily '!Z15</f>
        <v>402</v>
      </c>
      <c r="Q10" s="95">
        <f>'FS-AD Daily '!V15</f>
        <v>148.30000000000001</v>
      </c>
      <c r="R10" s="95">
        <f>'FS-AD Daily '!W15</f>
        <v>86.6</v>
      </c>
      <c r="S10" s="95">
        <f t="shared" si="0"/>
        <v>167.1</v>
      </c>
      <c r="T10" s="95">
        <f>'FS-AD Daily '!AD15*3.516</f>
        <v>53524.067999999999</v>
      </c>
      <c r="U10" s="95">
        <f>('FS-AD Daily '!AF15)*1000</f>
        <v>25400</v>
      </c>
      <c r="V10" s="95">
        <f>('FS-AD Daily '!AG15)*1000</f>
        <v>7500</v>
      </c>
      <c r="W10" s="95">
        <f>'FS-AD Daily '!AH15*1000</f>
        <v>7700</v>
      </c>
      <c r="X10" s="95">
        <f>('FS-AD Daily '!AK15)*1000</f>
        <v>12700.000000004366</v>
      </c>
      <c r="Y10" s="95">
        <v>173</v>
      </c>
      <c r="Z10" s="95">
        <v>217</v>
      </c>
    </row>
    <row r="11" spans="1:26" x14ac:dyDescent="0.25">
      <c r="A11" s="92" t="s">
        <v>81</v>
      </c>
      <c r="B11" s="93">
        <f t="shared" si="1"/>
        <v>10</v>
      </c>
      <c r="C11" s="94">
        <v>1</v>
      </c>
      <c r="D11" s="93">
        <v>2020</v>
      </c>
      <c r="E11" s="95">
        <f>'FS-AD Daily '!B16</f>
        <v>6317</v>
      </c>
      <c r="F11" s="95">
        <f>'FS-AD Daily '!C16</f>
        <v>5797</v>
      </c>
      <c r="G11" s="95">
        <f>'FS-AD Daily '!D16</f>
        <v>891</v>
      </c>
      <c r="H11" s="95">
        <f>'FS-AD Daily '!E16</f>
        <v>7195</v>
      </c>
      <c r="I11" s="95">
        <f>'FS-AD Daily '!F16</f>
        <v>6216</v>
      </c>
      <c r="J11" s="95">
        <f>'FS-AD Daily '!G16</f>
        <v>3202</v>
      </c>
      <c r="K11" s="95">
        <f>'FS-AD Daily '!H16</f>
        <v>3648</v>
      </c>
      <c r="L11" s="95">
        <f>'FS-AD Daily '!I16</f>
        <v>2290</v>
      </c>
      <c r="M11" s="95">
        <f>'FS-AD Daily '!J16</f>
        <v>7236</v>
      </c>
      <c r="N11" s="95">
        <f>'FS-AD Daily '!T16</f>
        <v>222.33100000000002</v>
      </c>
      <c r="O11" s="95">
        <f>'FS-AD Daily '!R16</f>
        <v>63.232999999999997</v>
      </c>
      <c r="P11" s="95">
        <f>'FS-AD Daily '!Z16</f>
        <v>443.40000000002328</v>
      </c>
      <c r="Q11" s="95">
        <f>'FS-AD Daily '!V16</f>
        <v>162.30000000000001</v>
      </c>
      <c r="R11" s="95">
        <f>'FS-AD Daily '!W16</f>
        <v>92.74</v>
      </c>
      <c r="S11" s="95">
        <f t="shared" si="0"/>
        <v>188.36000000002326</v>
      </c>
      <c r="T11" s="95">
        <f>'FS-AD Daily '!AD16*3.516</f>
        <v>56041.523999999998</v>
      </c>
      <c r="U11" s="95">
        <f>('FS-AD Daily '!AF16)*1000</f>
        <v>27300</v>
      </c>
      <c r="V11" s="95">
        <f>('FS-AD Daily '!AG16)*1000</f>
        <v>7500</v>
      </c>
      <c r="W11" s="95">
        <f>'FS-AD Daily '!AH16*1000</f>
        <v>7700</v>
      </c>
      <c r="X11" s="95">
        <f>('FS-AD Daily '!AK16)*1000</f>
        <v>13899.999999994179</v>
      </c>
      <c r="Y11" s="95">
        <v>190</v>
      </c>
      <c r="Z11" s="95">
        <v>219</v>
      </c>
    </row>
    <row r="12" spans="1:26" x14ac:dyDescent="0.25">
      <c r="A12" s="92" t="s">
        <v>81</v>
      </c>
      <c r="B12" s="93">
        <f t="shared" si="1"/>
        <v>11</v>
      </c>
      <c r="C12" s="94">
        <v>1</v>
      </c>
      <c r="D12" s="93">
        <v>2020</v>
      </c>
      <c r="E12" s="95">
        <f>'FS-AD Daily '!B17</f>
        <v>6929</v>
      </c>
      <c r="F12" s="95">
        <f>'FS-AD Daily '!C17</f>
        <v>5298</v>
      </c>
      <c r="G12" s="95">
        <f>'FS-AD Daily '!D17</f>
        <v>873</v>
      </c>
      <c r="H12" s="95">
        <f>'FS-AD Daily '!E17</f>
        <v>6938</v>
      </c>
      <c r="I12" s="95">
        <f>'FS-AD Daily '!F17</f>
        <v>6074</v>
      </c>
      <c r="J12" s="95">
        <f>'FS-AD Daily '!G17</f>
        <v>2988</v>
      </c>
      <c r="K12" s="95">
        <f>'FS-AD Daily '!H17</f>
        <v>3555</v>
      </c>
      <c r="L12" s="95">
        <f>'FS-AD Daily '!I17</f>
        <v>2239</v>
      </c>
      <c r="M12" s="95">
        <f>'FS-AD Daily '!J17</f>
        <v>6847</v>
      </c>
      <c r="N12" s="95">
        <f>'FS-AD Daily '!T17</f>
        <v>226.03399999999999</v>
      </c>
      <c r="O12" s="95">
        <f>'FS-AD Daily '!R17</f>
        <v>65.783999999999992</v>
      </c>
      <c r="P12" s="95">
        <f>'FS-AD Daily '!Z17</f>
        <v>396.09999999997672</v>
      </c>
      <c r="Q12" s="95">
        <f>'FS-AD Daily '!V17</f>
        <v>138.5</v>
      </c>
      <c r="R12" s="95">
        <f>'FS-AD Daily '!W17</f>
        <v>92.58</v>
      </c>
      <c r="S12" s="95">
        <f t="shared" si="0"/>
        <v>165.01999999997673</v>
      </c>
      <c r="T12" s="95">
        <f>'FS-AD Daily '!AD17*3.516</f>
        <v>46108.824000000001</v>
      </c>
      <c r="U12" s="95">
        <f>('FS-AD Daily '!AF17)*1000</f>
        <v>21700</v>
      </c>
      <c r="V12" s="95">
        <f>('FS-AD Daily '!AG17)*1000</f>
        <v>5800</v>
      </c>
      <c r="W12" s="95">
        <f>'FS-AD Daily '!AH17*1000</f>
        <v>6400</v>
      </c>
      <c r="X12" s="95">
        <f>('FS-AD Daily '!AK17)*1000</f>
        <v>11400.000000001455</v>
      </c>
      <c r="Y12" s="95">
        <v>195</v>
      </c>
      <c r="Z12" s="95">
        <v>221</v>
      </c>
    </row>
    <row r="13" spans="1:26" x14ac:dyDescent="0.25">
      <c r="A13" s="92" t="s">
        <v>81</v>
      </c>
      <c r="B13" s="93">
        <f t="shared" si="1"/>
        <v>12</v>
      </c>
      <c r="C13" s="94">
        <v>1</v>
      </c>
      <c r="D13" s="93">
        <v>2020</v>
      </c>
      <c r="E13" s="95">
        <f>'FS-AD Daily '!B18</f>
        <v>8221</v>
      </c>
      <c r="F13" s="95">
        <f>'FS-AD Daily '!C18</f>
        <v>5978</v>
      </c>
      <c r="G13" s="95">
        <f>'FS-AD Daily '!D18</f>
        <v>759</v>
      </c>
      <c r="H13" s="95">
        <f>'FS-AD Daily '!E18</f>
        <v>7085</v>
      </c>
      <c r="I13" s="95">
        <f>'FS-AD Daily '!F18</f>
        <v>6114</v>
      </c>
      <c r="J13" s="95">
        <f>'FS-AD Daily '!G18</f>
        <v>3078</v>
      </c>
      <c r="K13" s="95">
        <f>'FS-AD Daily '!H18</f>
        <v>3515</v>
      </c>
      <c r="L13" s="95">
        <f>'FS-AD Daily '!I18</f>
        <v>2202</v>
      </c>
      <c r="M13" s="95">
        <f>'FS-AD Daily '!J18</f>
        <v>6908</v>
      </c>
      <c r="N13" s="95">
        <f>'FS-AD Daily '!T18</f>
        <v>233.17700000000002</v>
      </c>
      <c r="O13" s="95">
        <f>'FS-AD Daily '!R18</f>
        <v>76.480999999999995</v>
      </c>
      <c r="P13" s="95">
        <f>'FS-AD Daily '!Z18</f>
        <v>371.10000000009313</v>
      </c>
      <c r="Q13" s="95">
        <f>'FS-AD Daily '!V18</f>
        <v>128.9</v>
      </c>
      <c r="R13" s="95">
        <f>'FS-AD Daily '!W18</f>
        <v>89.84</v>
      </c>
      <c r="S13" s="95">
        <f t="shared" si="0"/>
        <v>152.36000000009312</v>
      </c>
      <c r="T13" s="95">
        <f>'FS-AD Daily '!AD18*3.516</f>
        <v>37417.271999999997</v>
      </c>
      <c r="U13" s="95">
        <f>('FS-AD Daily '!AF18)*1000</f>
        <v>16400</v>
      </c>
      <c r="V13" s="95">
        <f>('FS-AD Daily '!AG18)*1000</f>
        <v>4400</v>
      </c>
      <c r="W13" s="95">
        <f>'FS-AD Daily '!AH18*1000</f>
        <v>5400</v>
      </c>
      <c r="X13" s="95">
        <f>('FS-AD Daily '!AK18)*1000</f>
        <v>8599.9999999985448</v>
      </c>
      <c r="Y13" s="95">
        <v>190</v>
      </c>
      <c r="Z13" s="95">
        <v>221</v>
      </c>
    </row>
    <row r="14" spans="1:26" x14ac:dyDescent="0.25">
      <c r="A14" s="92" t="s">
        <v>81</v>
      </c>
      <c r="B14" s="93">
        <f t="shared" si="1"/>
        <v>13</v>
      </c>
      <c r="C14" s="94">
        <v>1</v>
      </c>
      <c r="D14" s="93">
        <v>2020</v>
      </c>
      <c r="E14" s="95">
        <f>'FS-AD Daily '!B19</f>
        <v>8972</v>
      </c>
      <c r="F14" s="95">
        <f>'FS-AD Daily '!C19</f>
        <v>5799</v>
      </c>
      <c r="G14" s="95">
        <f>'FS-AD Daily '!D19</f>
        <v>930</v>
      </c>
      <c r="H14" s="95">
        <f>'FS-AD Daily '!E19</f>
        <v>7381</v>
      </c>
      <c r="I14" s="95">
        <f>'FS-AD Daily '!F19</f>
        <v>6118</v>
      </c>
      <c r="J14" s="95">
        <f>'FS-AD Daily '!G19</f>
        <v>3244</v>
      </c>
      <c r="K14" s="95">
        <f>'FS-AD Daily '!H19</f>
        <v>3549</v>
      </c>
      <c r="L14" s="95">
        <f>'FS-AD Daily '!I19</f>
        <v>2203</v>
      </c>
      <c r="M14" s="95">
        <f>'FS-AD Daily '!J19</f>
        <v>7358</v>
      </c>
      <c r="N14" s="95">
        <f>'FS-AD Daily '!T19</f>
        <v>230.47800000000001</v>
      </c>
      <c r="O14" s="95">
        <f>'FS-AD Daily '!R19</f>
        <v>75.246000000000009</v>
      </c>
      <c r="P14" s="95">
        <f>'FS-AD Daily '!Z19</f>
        <v>442.5</v>
      </c>
      <c r="Q14" s="95">
        <f>'FS-AD Daily '!V19</f>
        <v>150.4</v>
      </c>
      <c r="R14" s="95">
        <f>'FS-AD Daily '!W19</f>
        <v>88.61</v>
      </c>
      <c r="S14" s="95">
        <f t="shared" si="0"/>
        <v>203.49</v>
      </c>
      <c r="T14" s="95">
        <f>'FS-AD Daily '!AD19*3.516</f>
        <v>40050.756000000001</v>
      </c>
      <c r="U14" s="95">
        <f>('FS-AD Daily '!AF19)*1000</f>
        <v>18100</v>
      </c>
      <c r="V14" s="95">
        <f>('FS-AD Daily '!AG19)*1000</f>
        <v>4900</v>
      </c>
      <c r="W14" s="95">
        <f>'FS-AD Daily '!AH19*1000</f>
        <v>5500</v>
      </c>
      <c r="X14" s="95">
        <f>('FS-AD Daily '!AK19)*1000</f>
        <v>8800.0000000029104</v>
      </c>
      <c r="Y14" s="95">
        <v>167</v>
      </c>
      <c r="Z14" s="95">
        <v>233</v>
      </c>
    </row>
    <row r="15" spans="1:26" x14ac:dyDescent="0.25">
      <c r="A15" s="92" t="s">
        <v>81</v>
      </c>
      <c r="B15" s="93">
        <f t="shared" si="1"/>
        <v>14</v>
      </c>
      <c r="C15" s="94">
        <v>1</v>
      </c>
      <c r="D15" s="93">
        <v>2020</v>
      </c>
      <c r="E15" s="95">
        <f>'FS-AD Daily '!B20</f>
        <v>9260</v>
      </c>
      <c r="F15" s="95">
        <f>'FS-AD Daily '!C20</f>
        <v>5635</v>
      </c>
      <c r="G15" s="95">
        <f>'FS-AD Daily '!D20</f>
        <v>909</v>
      </c>
      <c r="H15" s="95">
        <f>'FS-AD Daily '!E20</f>
        <v>7611</v>
      </c>
      <c r="I15" s="95">
        <f>'FS-AD Daily '!F20</f>
        <v>6260</v>
      </c>
      <c r="J15" s="95">
        <f>'FS-AD Daily '!G20</f>
        <v>3138</v>
      </c>
      <c r="K15" s="95">
        <f>'FS-AD Daily '!H20</f>
        <v>3543</v>
      </c>
      <c r="L15" s="95">
        <f>'FS-AD Daily '!I20</f>
        <v>2235</v>
      </c>
      <c r="M15" s="95">
        <f>'FS-AD Daily '!J20</f>
        <v>7453</v>
      </c>
      <c r="N15" s="95">
        <f>'FS-AD Daily '!T20</f>
        <v>233.922</v>
      </c>
      <c r="O15" s="95">
        <f>'FS-AD Daily '!R20</f>
        <v>81.373000000000005</v>
      </c>
      <c r="P15" s="95">
        <f>'FS-AD Daily '!Z20</f>
        <v>453.69999999995343</v>
      </c>
      <c r="Q15" s="95">
        <f>'FS-AD Daily '!V20</f>
        <v>155.80000000000001</v>
      </c>
      <c r="R15" s="95">
        <f>'FS-AD Daily '!W20</f>
        <v>96.19</v>
      </c>
      <c r="S15" s="95">
        <f t="shared" si="0"/>
        <v>201.70999999995342</v>
      </c>
      <c r="T15" s="95">
        <f>'FS-AD Daily '!AD20*3.516</f>
        <v>41386.836000000003</v>
      </c>
      <c r="U15" s="95">
        <f>('FS-AD Daily '!AF20)*1000</f>
        <v>18500</v>
      </c>
      <c r="V15" s="95">
        <f>('FS-AD Daily '!AG20)*1000</f>
        <v>5300</v>
      </c>
      <c r="W15" s="95">
        <f>'FS-AD Daily '!AH20*1000</f>
        <v>5600</v>
      </c>
      <c r="X15" s="95">
        <f>('FS-AD Daily '!AK20)*1000</f>
        <v>9800.0000000029104</v>
      </c>
      <c r="Y15" s="95">
        <v>157</v>
      </c>
      <c r="Z15" s="95">
        <v>260</v>
      </c>
    </row>
    <row r="16" spans="1:26" x14ac:dyDescent="0.25">
      <c r="A16" s="92" t="s">
        <v>81</v>
      </c>
      <c r="B16" s="93">
        <f t="shared" si="1"/>
        <v>15</v>
      </c>
      <c r="C16" s="94">
        <v>1</v>
      </c>
      <c r="D16" s="93">
        <v>2020</v>
      </c>
      <c r="E16" s="95">
        <f>'FS-AD Daily '!B21</f>
        <v>8002</v>
      </c>
      <c r="F16" s="95">
        <f>'FS-AD Daily '!C21</f>
        <v>4552</v>
      </c>
      <c r="G16" s="95">
        <f>'FS-AD Daily '!D21</f>
        <v>923</v>
      </c>
      <c r="H16" s="95">
        <f>'FS-AD Daily '!E21</f>
        <v>7109</v>
      </c>
      <c r="I16" s="95">
        <f>'FS-AD Daily '!F21</f>
        <v>5701</v>
      </c>
      <c r="J16" s="95">
        <f>'FS-AD Daily '!G21</f>
        <v>3024</v>
      </c>
      <c r="K16" s="95">
        <f>'FS-AD Daily '!H21</f>
        <v>3433</v>
      </c>
      <c r="L16" s="95">
        <f>'FS-AD Daily '!I21</f>
        <v>2335</v>
      </c>
      <c r="M16" s="95">
        <f>'FS-AD Daily '!J21</f>
        <v>7115</v>
      </c>
      <c r="N16" s="95">
        <f>'FS-AD Daily '!T21</f>
        <v>215.3</v>
      </c>
      <c r="O16" s="95">
        <f>'FS-AD Daily '!R21</f>
        <v>82.600000000000009</v>
      </c>
      <c r="P16" s="95">
        <f>'FS-AD Daily '!Z21</f>
        <v>388.5</v>
      </c>
      <c r="Q16" s="95">
        <f>'FS-AD Daily '!V21</f>
        <v>126.2</v>
      </c>
      <c r="R16" s="95">
        <f>'FS-AD Daily '!W21</f>
        <v>91.8</v>
      </c>
      <c r="S16" s="95">
        <f t="shared" si="0"/>
        <v>170.5</v>
      </c>
      <c r="T16" s="95">
        <f>'FS-AD Daily '!AD21*3.516</f>
        <v>42125.196000000004</v>
      </c>
      <c r="U16" s="95">
        <f>('FS-AD Daily '!AF21)*1000</f>
        <v>18100</v>
      </c>
      <c r="V16" s="95">
        <f>('FS-AD Daily '!AG21)*1000</f>
        <v>5500</v>
      </c>
      <c r="W16" s="95">
        <f>'FS-AD Daily '!AH21*1000</f>
        <v>5900</v>
      </c>
      <c r="X16" s="95">
        <f>('FS-AD Daily '!AK21)*1000</f>
        <v>11099.999999998545</v>
      </c>
      <c r="Y16" s="95">
        <v>141</v>
      </c>
      <c r="Z16" s="95">
        <v>208</v>
      </c>
    </row>
    <row r="17" spans="1:26" x14ac:dyDescent="0.25">
      <c r="A17" s="92" t="s">
        <v>81</v>
      </c>
      <c r="B17" s="93">
        <f t="shared" si="1"/>
        <v>16</v>
      </c>
      <c r="C17" s="94">
        <v>1</v>
      </c>
      <c r="D17" s="93">
        <v>2020</v>
      </c>
      <c r="E17" s="95">
        <f>'FS-AD Daily '!B22</f>
        <v>6263</v>
      </c>
      <c r="F17" s="95">
        <f>'FS-AD Daily '!C22</f>
        <v>5278</v>
      </c>
      <c r="G17" s="95">
        <f>'FS-AD Daily '!D22</f>
        <v>907</v>
      </c>
      <c r="H17" s="95">
        <f>'FS-AD Daily '!E22</f>
        <v>7327</v>
      </c>
      <c r="I17" s="95">
        <f>'FS-AD Daily '!F22</f>
        <v>5812</v>
      </c>
      <c r="J17" s="95">
        <f>'FS-AD Daily '!G22</f>
        <v>3015</v>
      </c>
      <c r="K17" s="95">
        <f>'FS-AD Daily '!H22</f>
        <v>3562</v>
      </c>
      <c r="L17" s="95">
        <f>'FS-AD Daily '!I22</f>
        <v>2233</v>
      </c>
      <c r="M17" s="95">
        <f>'FS-AD Daily '!J22</f>
        <v>7017</v>
      </c>
      <c r="N17" s="95">
        <f>'FS-AD Daily '!T22</f>
        <v>213.2</v>
      </c>
      <c r="O17" s="95">
        <f>'FS-AD Daily '!R22</f>
        <v>69.5</v>
      </c>
      <c r="P17" s="95">
        <f>'FS-AD Daily '!Z22</f>
        <v>403.5</v>
      </c>
      <c r="Q17" s="95">
        <f>'FS-AD Daily '!V22</f>
        <v>138.6</v>
      </c>
      <c r="R17" s="95">
        <f>'FS-AD Daily '!W22</f>
        <v>93.2</v>
      </c>
      <c r="S17" s="95">
        <f t="shared" si="0"/>
        <v>171.7</v>
      </c>
      <c r="T17" s="95">
        <f>'FS-AD Daily '!AD22*3.516</f>
        <v>45194.663999999997</v>
      </c>
      <c r="U17" s="95">
        <f>('FS-AD Daily '!AF22)*1000</f>
        <v>21500</v>
      </c>
      <c r="V17" s="95">
        <f>('FS-AD Daily '!AG22)*1000</f>
        <v>6000</v>
      </c>
      <c r="W17" s="95">
        <f>'FS-AD Daily '!AH22*1000</f>
        <v>6400</v>
      </c>
      <c r="X17" s="95">
        <f>('FS-AD Daily '!AK22)*1000</f>
        <v>12599.999999998545</v>
      </c>
      <c r="Y17" s="95">
        <v>139</v>
      </c>
      <c r="Z17" s="95">
        <v>203</v>
      </c>
    </row>
    <row r="18" spans="1:26" x14ac:dyDescent="0.25">
      <c r="A18" s="92" t="s">
        <v>81</v>
      </c>
      <c r="B18" s="93">
        <f t="shared" si="1"/>
        <v>17</v>
      </c>
      <c r="C18" s="94">
        <v>1</v>
      </c>
      <c r="D18" s="93">
        <v>2020</v>
      </c>
      <c r="E18" s="95">
        <f>'FS-AD Daily '!B23</f>
        <v>5957</v>
      </c>
      <c r="F18" s="95">
        <f>'FS-AD Daily '!C23</f>
        <v>5236</v>
      </c>
      <c r="G18" s="95">
        <f>'FS-AD Daily '!D23</f>
        <v>922</v>
      </c>
      <c r="H18" s="95">
        <f>'FS-AD Daily '!E23</f>
        <v>6990</v>
      </c>
      <c r="I18" s="95">
        <f>'FS-AD Daily '!F23</f>
        <v>5713</v>
      </c>
      <c r="J18" s="95">
        <f>'FS-AD Daily '!G23</f>
        <v>2918</v>
      </c>
      <c r="K18" s="95">
        <f>'FS-AD Daily '!H23</f>
        <v>3567</v>
      </c>
      <c r="L18" s="95">
        <f>'FS-AD Daily '!I23</f>
        <v>2211</v>
      </c>
      <c r="M18" s="95">
        <f>'FS-AD Daily '!J23</f>
        <v>6929</v>
      </c>
      <c r="N18" s="95">
        <f>'FS-AD Daily '!T23</f>
        <v>191.5</v>
      </c>
      <c r="O18" s="95">
        <f>'FS-AD Daily '!R23</f>
        <v>70.400000000000006</v>
      </c>
      <c r="P18" s="95">
        <f>'FS-AD Daily '!Z23</f>
        <v>400.90000000002328</v>
      </c>
      <c r="Q18" s="95">
        <f>'FS-AD Daily '!V23</f>
        <v>125.4</v>
      </c>
      <c r="R18" s="95">
        <f>'FS-AD Daily '!W23</f>
        <v>85.4</v>
      </c>
      <c r="S18" s="95">
        <f t="shared" si="0"/>
        <v>190.1000000000233</v>
      </c>
      <c r="T18" s="95">
        <f>'FS-AD Daily '!AD23*3.516</f>
        <v>50665.56</v>
      </c>
      <c r="U18" s="95">
        <f>('FS-AD Daily '!AF23)*1000</f>
        <v>23200</v>
      </c>
      <c r="V18" s="95">
        <f>('FS-AD Daily '!AG23)*1000</f>
        <v>6900</v>
      </c>
      <c r="W18" s="95">
        <f>'FS-AD Daily '!AH23*1000</f>
        <v>6700</v>
      </c>
      <c r="X18" s="95">
        <f>('FS-AD Daily '!AK23)*1000</f>
        <v>12699.99999999709</v>
      </c>
      <c r="Y18" s="95">
        <v>137</v>
      </c>
      <c r="Z18" s="95">
        <v>191</v>
      </c>
    </row>
    <row r="19" spans="1:26" x14ac:dyDescent="0.25">
      <c r="A19" s="92" t="s">
        <v>81</v>
      </c>
      <c r="B19" s="93">
        <f t="shared" si="1"/>
        <v>18</v>
      </c>
      <c r="C19" s="94">
        <v>1</v>
      </c>
      <c r="D19" s="93">
        <v>2020</v>
      </c>
      <c r="E19" s="95">
        <f>'FS-AD Daily '!B24</f>
        <v>6866</v>
      </c>
      <c r="F19" s="95">
        <f>'FS-AD Daily '!C24</f>
        <v>5557</v>
      </c>
      <c r="G19" s="95">
        <f>'FS-AD Daily '!D24</f>
        <v>886</v>
      </c>
      <c r="H19" s="95">
        <f>'FS-AD Daily '!E24</f>
        <v>6990</v>
      </c>
      <c r="I19" s="95">
        <f>'FS-AD Daily '!F24</f>
        <v>5691</v>
      </c>
      <c r="J19" s="95">
        <f>'FS-AD Daily '!G24</f>
        <v>2915</v>
      </c>
      <c r="K19" s="95">
        <f>'FS-AD Daily '!H24</f>
        <v>3540</v>
      </c>
      <c r="L19" s="95">
        <f>'FS-AD Daily '!I24</f>
        <v>2299</v>
      </c>
      <c r="M19" s="95">
        <f>'FS-AD Daily '!J24</f>
        <v>5911</v>
      </c>
      <c r="N19" s="95">
        <f>'FS-AD Daily '!T24</f>
        <v>211.89999999999998</v>
      </c>
      <c r="O19" s="95">
        <f>'FS-AD Daily '!R24</f>
        <v>63.400000000000006</v>
      </c>
      <c r="P19" s="95">
        <f>'FS-AD Daily '!Z24</f>
        <v>396.09999999997672</v>
      </c>
      <c r="Q19" s="95">
        <f>'FS-AD Daily '!V24</f>
        <v>146.19999999999999</v>
      </c>
      <c r="R19" s="95">
        <f>'FS-AD Daily '!W24</f>
        <v>100.7</v>
      </c>
      <c r="S19" s="95">
        <f t="shared" si="0"/>
        <v>149.19999999997674</v>
      </c>
      <c r="T19" s="95">
        <f>'FS-AD Daily '!AD24*3.516</f>
        <v>51481.271999999997</v>
      </c>
      <c r="U19" s="95">
        <f>('FS-AD Daily '!AF24)*1000</f>
        <v>24500</v>
      </c>
      <c r="V19" s="95">
        <f>('FS-AD Daily '!AG24)*1000</f>
        <v>6900</v>
      </c>
      <c r="W19" s="95">
        <f>'FS-AD Daily '!AH24*1000</f>
        <v>6700</v>
      </c>
      <c r="X19" s="95">
        <f>('FS-AD Daily '!AK24)*1000</f>
        <v>11800.00000000291</v>
      </c>
      <c r="Y19" s="95">
        <v>139</v>
      </c>
      <c r="Z19" s="95">
        <v>197</v>
      </c>
    </row>
    <row r="20" spans="1:26" x14ac:dyDescent="0.25">
      <c r="A20" s="92" t="s">
        <v>81</v>
      </c>
      <c r="B20" s="93">
        <f t="shared" si="1"/>
        <v>19</v>
      </c>
      <c r="C20" s="94">
        <v>1</v>
      </c>
      <c r="D20" s="93">
        <v>2020</v>
      </c>
      <c r="E20" s="95">
        <f>'FS-AD Daily '!B25</f>
        <v>6809</v>
      </c>
      <c r="F20" s="95">
        <f>'FS-AD Daily '!C25</f>
        <v>5270</v>
      </c>
      <c r="G20" s="95">
        <f>'FS-AD Daily '!D25</f>
        <v>889</v>
      </c>
      <c r="H20" s="95">
        <f>'FS-AD Daily '!E25</f>
        <v>7168</v>
      </c>
      <c r="I20" s="95">
        <f>'FS-AD Daily '!F25</f>
        <v>5763</v>
      </c>
      <c r="J20" s="95">
        <f>'FS-AD Daily '!G25</f>
        <v>3107</v>
      </c>
      <c r="K20" s="95">
        <f>'FS-AD Daily '!H25</f>
        <v>3590</v>
      </c>
      <c r="L20" s="95">
        <f>'FS-AD Daily '!I25</f>
        <v>2384</v>
      </c>
      <c r="M20" s="95">
        <f>'FS-AD Daily '!J25</f>
        <v>8152</v>
      </c>
      <c r="N20" s="95">
        <f>'FS-AD Daily '!T25</f>
        <v>228.291</v>
      </c>
      <c r="O20" s="95">
        <f>'FS-AD Daily '!R25</f>
        <v>68.759</v>
      </c>
      <c r="P20" s="95">
        <f>'FS-AD Daily '!Z25</f>
        <v>418.69999999995343</v>
      </c>
      <c r="Q20" s="95">
        <f>'FS-AD Daily '!V25</f>
        <v>145.9</v>
      </c>
      <c r="R20" s="95">
        <f>'FS-AD Daily '!W25</f>
        <v>93.23</v>
      </c>
      <c r="S20" s="95">
        <f t="shared" si="0"/>
        <v>179.56999999995344</v>
      </c>
      <c r="T20" s="95">
        <f>'FS-AD Daily '!AD25*3.516</f>
        <v>53854.572</v>
      </c>
      <c r="U20" s="95">
        <f>('FS-AD Daily '!AF25)*1000</f>
        <v>25600</v>
      </c>
      <c r="V20" s="95">
        <f>('FS-AD Daily '!AG25)*1000</f>
        <v>7300</v>
      </c>
      <c r="W20" s="95">
        <f>'FS-AD Daily '!AH25*1000</f>
        <v>7100</v>
      </c>
      <c r="X20" s="95">
        <f>('FS-AD Daily '!AK25)*1000</f>
        <v>12500</v>
      </c>
      <c r="Y20" s="95">
        <v>180</v>
      </c>
      <c r="Z20" s="95">
        <v>276</v>
      </c>
    </row>
    <row r="21" spans="1:26" x14ac:dyDescent="0.25">
      <c r="A21" s="92" t="s">
        <v>81</v>
      </c>
      <c r="B21" s="93">
        <f t="shared" si="1"/>
        <v>20</v>
      </c>
      <c r="C21" s="94">
        <v>1</v>
      </c>
      <c r="D21" s="93">
        <v>2020</v>
      </c>
      <c r="E21" s="95">
        <f>'FS-AD Daily '!B26</f>
        <v>6573</v>
      </c>
      <c r="F21" s="95">
        <f>'FS-AD Daily '!C26</f>
        <v>5357</v>
      </c>
      <c r="G21" s="95">
        <f>'FS-AD Daily '!D26</f>
        <v>908</v>
      </c>
      <c r="H21" s="95">
        <f>'FS-AD Daily '!E26</f>
        <v>7472</v>
      </c>
      <c r="I21" s="95">
        <f>'FS-AD Daily '!F26</f>
        <v>5944</v>
      </c>
      <c r="J21" s="95">
        <f>'FS-AD Daily '!G26</f>
        <v>3181</v>
      </c>
      <c r="K21" s="95">
        <f>'FS-AD Daily '!H26</f>
        <v>3644</v>
      </c>
      <c r="L21" s="95">
        <f>'FS-AD Daily '!I26</f>
        <v>2363</v>
      </c>
      <c r="M21" s="95">
        <f>'FS-AD Daily '!J26</f>
        <v>7430</v>
      </c>
      <c r="N21" s="95">
        <f>'FS-AD Daily '!T26</f>
        <v>260.3</v>
      </c>
      <c r="O21" s="95">
        <f>'FS-AD Daily '!R26</f>
        <v>74.802999999999997</v>
      </c>
      <c r="P21" s="95">
        <f>'FS-AD Daily '!Z26</f>
        <v>482</v>
      </c>
      <c r="Q21" s="95">
        <f>'FS-AD Daily '!V26</f>
        <v>161.19999999999999</v>
      </c>
      <c r="R21" s="95">
        <f>'FS-AD Daily '!W26</f>
        <v>90.54</v>
      </c>
      <c r="S21" s="95">
        <f t="shared" si="0"/>
        <v>230.26</v>
      </c>
      <c r="T21" s="95">
        <f>'FS-AD Daily '!AD26*3.516</f>
        <v>58682.04</v>
      </c>
      <c r="U21" s="95">
        <f>('FS-AD Daily '!AF26)*1000</f>
        <v>29000</v>
      </c>
      <c r="V21" s="95">
        <f>('FS-AD Daily '!AG26)*1000</f>
        <v>7500</v>
      </c>
      <c r="W21" s="95">
        <f>'FS-AD Daily '!AH26*1000</f>
        <v>7800</v>
      </c>
      <c r="X21" s="95">
        <f>('FS-AD Daily '!AK26)*1000</f>
        <v>13900.000000001455</v>
      </c>
      <c r="Y21" s="95">
        <v>180</v>
      </c>
      <c r="Z21" s="95">
        <v>291</v>
      </c>
    </row>
    <row r="22" spans="1:26" x14ac:dyDescent="0.25">
      <c r="A22" s="92" t="s">
        <v>81</v>
      </c>
      <c r="B22" s="93">
        <f t="shared" si="1"/>
        <v>21</v>
      </c>
      <c r="C22" s="94">
        <v>1</v>
      </c>
      <c r="D22" s="93">
        <v>2020</v>
      </c>
      <c r="E22" s="95">
        <f>'FS-AD Daily '!B27</f>
        <v>0</v>
      </c>
      <c r="F22" s="95">
        <f>'FS-AD Daily '!C27</f>
        <v>0</v>
      </c>
      <c r="G22" s="95">
        <f>'FS-AD Daily '!D27</f>
        <v>0</v>
      </c>
      <c r="H22" s="95">
        <f>'FS-AD Daily '!E27</f>
        <v>0</v>
      </c>
      <c r="I22" s="95">
        <f>'FS-AD Daily '!F27</f>
        <v>0</v>
      </c>
      <c r="J22" s="95">
        <f>'FS-AD Daily '!G27</f>
        <v>0</v>
      </c>
      <c r="K22" s="95">
        <f>'FS-AD Daily '!H27</f>
        <v>0</v>
      </c>
      <c r="L22" s="95">
        <f>'FS-AD Daily '!I27</f>
        <v>0</v>
      </c>
      <c r="M22" s="95">
        <f>'FS-AD Daily '!J27</f>
        <v>0</v>
      </c>
      <c r="N22" s="95">
        <f>'FS-AD Daily '!T27</f>
        <v>0</v>
      </c>
      <c r="O22" s="95">
        <f>'FS-AD Daily '!R27</f>
        <v>0</v>
      </c>
      <c r="P22" s="95" t="str">
        <f>'FS-AD Daily '!Z27</f>
        <v>0</v>
      </c>
      <c r="Q22" s="95">
        <f>'FS-AD Daily '!V27</f>
        <v>0</v>
      </c>
      <c r="R22" s="95">
        <f>'FS-AD Daily '!W27</f>
        <v>0</v>
      </c>
      <c r="S22" s="95">
        <f t="shared" si="0"/>
        <v>0</v>
      </c>
      <c r="T22" s="95">
        <f>'FS-AD Daily '!AD27*3.516</f>
        <v>0</v>
      </c>
      <c r="U22" s="95">
        <f>('FS-AD Daily '!AF27)*1000</f>
        <v>0</v>
      </c>
      <c r="V22" s="95">
        <f>('FS-AD Daily '!AG27)*1000</f>
        <v>0</v>
      </c>
      <c r="W22" s="95">
        <f>'FS-AD Daily '!AH27*1000</f>
        <v>0</v>
      </c>
      <c r="X22" s="95">
        <f>('FS-AD Daily '!AK27)*1000</f>
        <v>0</v>
      </c>
      <c r="Y22" s="95"/>
      <c r="Z22" s="95"/>
    </row>
    <row r="23" spans="1:26" x14ac:dyDescent="0.25">
      <c r="A23" s="92" t="s">
        <v>81</v>
      </c>
      <c r="B23" s="93">
        <f t="shared" si="1"/>
        <v>22</v>
      </c>
      <c r="C23" s="94">
        <v>1</v>
      </c>
      <c r="D23" s="93">
        <v>2020</v>
      </c>
      <c r="E23" s="95">
        <f>'FS-AD Daily '!B28</f>
        <v>0</v>
      </c>
      <c r="F23" s="95">
        <f>'FS-AD Daily '!C28</f>
        <v>0</v>
      </c>
      <c r="G23" s="95">
        <f>'FS-AD Daily '!D28</f>
        <v>0</v>
      </c>
      <c r="H23" s="95">
        <f>'FS-AD Daily '!E28</f>
        <v>0</v>
      </c>
      <c r="I23" s="95">
        <f>'FS-AD Daily '!F28</f>
        <v>0</v>
      </c>
      <c r="J23" s="95">
        <f>'FS-AD Daily '!G28</f>
        <v>0</v>
      </c>
      <c r="K23" s="95">
        <f>'FS-AD Daily '!H28</f>
        <v>0</v>
      </c>
      <c r="L23" s="95">
        <f>'FS-AD Daily '!I28</f>
        <v>0</v>
      </c>
      <c r="M23" s="95">
        <f>'FS-AD Daily '!J28</f>
        <v>0</v>
      </c>
      <c r="N23" s="95">
        <f>'FS-AD Daily '!T28</f>
        <v>0</v>
      </c>
      <c r="O23" s="95">
        <f>'FS-AD Daily '!R28</f>
        <v>0</v>
      </c>
      <c r="P23" s="95">
        <f>'FS-AD Daily '!Z28</f>
        <v>0</v>
      </c>
      <c r="Q23" s="95">
        <f>'FS-AD Daily '!V28</f>
        <v>0</v>
      </c>
      <c r="R23" s="95">
        <f>'FS-AD Daily '!W28</f>
        <v>0</v>
      </c>
      <c r="S23" s="95">
        <f t="shared" si="0"/>
        <v>0</v>
      </c>
      <c r="T23" s="95">
        <f>'FS-AD Daily '!AD28*3.516</f>
        <v>0</v>
      </c>
      <c r="U23" s="95">
        <f>('FS-AD Daily '!AF28)*1000</f>
        <v>0</v>
      </c>
      <c r="V23" s="95">
        <f>('FS-AD Daily '!AG28)*1000</f>
        <v>0</v>
      </c>
      <c r="W23" s="95">
        <f>'FS-AD Daily '!AH28*1000</f>
        <v>0</v>
      </c>
      <c r="X23" s="95">
        <f>('FS-AD Daily '!AK28)*1000</f>
        <v>0</v>
      </c>
      <c r="Y23" s="95"/>
      <c r="Z23" s="95"/>
    </row>
    <row r="24" spans="1:26" x14ac:dyDescent="0.25">
      <c r="A24" s="92" t="s">
        <v>81</v>
      </c>
      <c r="B24" s="93">
        <f t="shared" si="1"/>
        <v>23</v>
      </c>
      <c r="C24" s="94">
        <v>1</v>
      </c>
      <c r="D24" s="93">
        <v>2020</v>
      </c>
      <c r="E24" s="95">
        <f>'FS-AD Daily '!B29</f>
        <v>0</v>
      </c>
      <c r="F24" s="95">
        <f>'FS-AD Daily '!C29</f>
        <v>0</v>
      </c>
      <c r="G24" s="95">
        <f>'FS-AD Daily '!D29</f>
        <v>0</v>
      </c>
      <c r="H24" s="95">
        <f>'FS-AD Daily '!E29</f>
        <v>0</v>
      </c>
      <c r="I24" s="95">
        <f>'FS-AD Daily '!F29</f>
        <v>0</v>
      </c>
      <c r="J24" s="95">
        <f>'FS-AD Daily '!G29</f>
        <v>0</v>
      </c>
      <c r="K24" s="95">
        <f>'FS-AD Daily '!H29</f>
        <v>0</v>
      </c>
      <c r="L24" s="95">
        <f>'FS-AD Daily '!I29</f>
        <v>0</v>
      </c>
      <c r="M24" s="95">
        <f>'FS-AD Daily '!J29</f>
        <v>0</v>
      </c>
      <c r="N24" s="95">
        <f>'FS-AD Daily '!T29</f>
        <v>0</v>
      </c>
      <c r="O24" s="95">
        <f>'FS-AD Daily '!R29</f>
        <v>0</v>
      </c>
      <c r="P24" s="95">
        <f>'FS-AD Daily '!Z29</f>
        <v>0</v>
      </c>
      <c r="Q24" s="95">
        <f>'FS-AD Daily '!V29</f>
        <v>0</v>
      </c>
      <c r="R24" s="95">
        <f>'FS-AD Daily '!W29</f>
        <v>0</v>
      </c>
      <c r="S24" s="95">
        <f t="shared" si="0"/>
        <v>0</v>
      </c>
      <c r="T24" s="95">
        <f>'FS-AD Daily '!AD29*3.516</f>
        <v>0</v>
      </c>
      <c r="U24" s="95">
        <f>('FS-AD Daily '!AF29)*1000</f>
        <v>0</v>
      </c>
      <c r="V24" s="95">
        <f>('FS-AD Daily '!AG29)*1000</f>
        <v>0</v>
      </c>
      <c r="W24" s="95">
        <f>'FS-AD Daily '!AH29*1000</f>
        <v>0</v>
      </c>
      <c r="X24" s="95">
        <f>('FS-AD Daily '!AK29)*1000</f>
        <v>0</v>
      </c>
      <c r="Y24" s="95"/>
      <c r="Z24" s="95"/>
    </row>
    <row r="25" spans="1:26" x14ac:dyDescent="0.25">
      <c r="A25" s="92" t="s">
        <v>81</v>
      </c>
      <c r="B25" s="93">
        <f t="shared" si="1"/>
        <v>24</v>
      </c>
      <c r="C25" s="94">
        <v>1</v>
      </c>
      <c r="D25" s="93">
        <v>2020</v>
      </c>
      <c r="E25" s="95">
        <f>'FS-AD Daily '!B30</f>
        <v>0</v>
      </c>
      <c r="F25" s="95">
        <f>'FS-AD Daily '!C30</f>
        <v>0</v>
      </c>
      <c r="G25" s="95">
        <f>'FS-AD Daily '!D30</f>
        <v>0</v>
      </c>
      <c r="H25" s="95">
        <f>'FS-AD Daily '!E30</f>
        <v>0</v>
      </c>
      <c r="I25" s="95">
        <f>'FS-AD Daily '!F30</f>
        <v>0</v>
      </c>
      <c r="J25" s="95">
        <f>'FS-AD Daily '!G30</f>
        <v>0</v>
      </c>
      <c r="K25" s="95">
        <f>'FS-AD Daily '!H30</f>
        <v>0</v>
      </c>
      <c r="L25" s="95">
        <f>'FS-AD Daily '!I30</f>
        <v>0</v>
      </c>
      <c r="M25" s="95">
        <f>'FS-AD Daily '!J30</f>
        <v>0</v>
      </c>
      <c r="N25" s="95">
        <f>'FS-AD Daily '!T30</f>
        <v>0</v>
      </c>
      <c r="O25" s="95">
        <f>'FS-AD Daily '!R30</f>
        <v>0</v>
      </c>
      <c r="P25" s="95">
        <f>'FS-AD Daily '!Z30</f>
        <v>0</v>
      </c>
      <c r="Q25" s="95">
        <f>'FS-AD Daily '!V30</f>
        <v>0</v>
      </c>
      <c r="R25" s="95">
        <f>'FS-AD Daily '!W30</f>
        <v>0</v>
      </c>
      <c r="S25" s="95">
        <f t="shared" si="0"/>
        <v>0</v>
      </c>
      <c r="T25" s="95">
        <f>'FS-AD Daily '!AD30*3.516</f>
        <v>0</v>
      </c>
      <c r="U25" s="95">
        <f>('FS-AD Daily '!AF30)*1000</f>
        <v>0</v>
      </c>
      <c r="V25" s="95">
        <f>('FS-AD Daily '!AG30)*1000</f>
        <v>0</v>
      </c>
      <c r="W25" s="95">
        <f>'FS-AD Daily '!AH30*1000</f>
        <v>0</v>
      </c>
      <c r="X25" s="95">
        <f>('FS-AD Daily '!AK30)*1000</f>
        <v>0</v>
      </c>
      <c r="Y25" s="95"/>
      <c r="Z25" s="95"/>
    </row>
    <row r="26" spans="1:26" x14ac:dyDescent="0.25">
      <c r="A26" s="92" t="s">
        <v>81</v>
      </c>
      <c r="B26" s="93">
        <f>B25+1</f>
        <v>25</v>
      </c>
      <c r="C26" s="94">
        <v>1</v>
      </c>
      <c r="D26" s="93">
        <v>2020</v>
      </c>
      <c r="E26" s="95">
        <f>'FS-AD Daily '!B31</f>
        <v>0</v>
      </c>
      <c r="F26" s="95">
        <f>'FS-AD Daily '!C31</f>
        <v>0</v>
      </c>
      <c r="G26" s="95">
        <f>'FS-AD Daily '!D31</f>
        <v>0</v>
      </c>
      <c r="H26" s="95">
        <f>'FS-AD Daily '!E31</f>
        <v>0</v>
      </c>
      <c r="I26" s="95">
        <f>'FS-AD Daily '!F31</f>
        <v>0</v>
      </c>
      <c r="J26" s="95">
        <f>'FS-AD Daily '!G31</f>
        <v>0</v>
      </c>
      <c r="K26" s="95">
        <f>'FS-AD Daily '!H31</f>
        <v>0</v>
      </c>
      <c r="L26" s="95">
        <f>'FS-AD Daily '!I31</f>
        <v>0</v>
      </c>
      <c r="M26" s="95">
        <f>'FS-AD Daily '!J31</f>
        <v>0</v>
      </c>
      <c r="N26" s="95">
        <f>'FS-AD Daily '!T31</f>
        <v>0</v>
      </c>
      <c r="O26" s="95">
        <f>'FS-AD Daily '!R31</f>
        <v>0</v>
      </c>
      <c r="P26" s="95">
        <f>'FS-AD Daily '!Z31</f>
        <v>0</v>
      </c>
      <c r="Q26" s="95">
        <f>'FS-AD Daily '!V31</f>
        <v>0</v>
      </c>
      <c r="R26" s="95">
        <f>'FS-AD Daily '!W31</f>
        <v>0</v>
      </c>
      <c r="S26" s="95">
        <f t="shared" si="0"/>
        <v>0</v>
      </c>
      <c r="T26" s="95">
        <f>'FS-AD Daily '!AD31*3.516</f>
        <v>0</v>
      </c>
      <c r="U26" s="95">
        <f>('FS-AD Daily '!AF31)*1000</f>
        <v>0</v>
      </c>
      <c r="V26" s="95">
        <f>('FS-AD Daily '!AG31)*1000</f>
        <v>0</v>
      </c>
      <c r="W26" s="95">
        <f>'FS-AD Daily '!AH31*1000</f>
        <v>0</v>
      </c>
      <c r="X26" s="95">
        <f>('FS-AD Daily '!AK31)*1000</f>
        <v>0</v>
      </c>
      <c r="Y26" s="95"/>
      <c r="Z26" s="95"/>
    </row>
    <row r="27" spans="1:26" x14ac:dyDescent="0.25">
      <c r="A27" s="92" t="s">
        <v>81</v>
      </c>
      <c r="B27" s="93">
        <f t="shared" si="1"/>
        <v>26</v>
      </c>
      <c r="C27" s="94">
        <v>1</v>
      </c>
      <c r="D27" s="93">
        <v>2020</v>
      </c>
      <c r="E27" s="95">
        <f>'FS-AD Daily '!B32</f>
        <v>0</v>
      </c>
      <c r="F27" s="95">
        <f>'FS-AD Daily '!C32</f>
        <v>0</v>
      </c>
      <c r="G27" s="95">
        <f>'FS-AD Daily '!D32</f>
        <v>0</v>
      </c>
      <c r="H27" s="95">
        <f>'FS-AD Daily '!E32</f>
        <v>0</v>
      </c>
      <c r="I27" s="95">
        <f>'FS-AD Daily '!F32</f>
        <v>0</v>
      </c>
      <c r="J27" s="95">
        <f>'FS-AD Daily '!G32</f>
        <v>0</v>
      </c>
      <c r="K27" s="95">
        <f>'FS-AD Daily '!H32</f>
        <v>0</v>
      </c>
      <c r="L27" s="95">
        <f>'FS-AD Daily '!I32</f>
        <v>0</v>
      </c>
      <c r="M27" s="95">
        <f>'FS-AD Daily '!J32</f>
        <v>0</v>
      </c>
      <c r="N27" s="95">
        <f>'FS-AD Daily '!T32</f>
        <v>0</v>
      </c>
      <c r="O27" s="95">
        <f>'FS-AD Daily '!R32</f>
        <v>0</v>
      </c>
      <c r="P27" s="95">
        <f>'FS-AD Daily '!Z32</f>
        <v>0</v>
      </c>
      <c r="Q27" s="95">
        <f>'FS-AD Daily '!V32</f>
        <v>0</v>
      </c>
      <c r="R27" s="95">
        <f>'FS-AD Daily '!W32</f>
        <v>0</v>
      </c>
      <c r="S27" s="95">
        <f t="shared" si="0"/>
        <v>0</v>
      </c>
      <c r="T27" s="95">
        <f>'FS-AD Daily '!AD32*3.516</f>
        <v>0</v>
      </c>
      <c r="U27" s="95">
        <f>('FS-AD Daily '!AF32)*1000</f>
        <v>0</v>
      </c>
      <c r="V27" s="95">
        <f>('FS-AD Daily '!AG32)*1000</f>
        <v>0</v>
      </c>
      <c r="W27" s="95">
        <f>'FS-AD Daily '!AH32*1000</f>
        <v>0</v>
      </c>
      <c r="X27" s="95">
        <f>('FS-AD Daily '!AK32)*1000</f>
        <v>0</v>
      </c>
      <c r="Y27" s="95"/>
      <c r="Z27" s="95"/>
    </row>
    <row r="28" spans="1:26" x14ac:dyDescent="0.25">
      <c r="A28" s="92" t="s">
        <v>81</v>
      </c>
      <c r="B28" s="93">
        <f t="shared" si="1"/>
        <v>27</v>
      </c>
      <c r="C28" s="94">
        <v>1</v>
      </c>
      <c r="D28" s="93">
        <v>2020</v>
      </c>
      <c r="E28" s="95">
        <f>'FS-AD Daily '!B33</f>
        <v>0</v>
      </c>
      <c r="F28" s="95">
        <f>'FS-AD Daily '!C33</f>
        <v>0</v>
      </c>
      <c r="G28" s="95">
        <f>'FS-AD Daily '!D33</f>
        <v>0</v>
      </c>
      <c r="H28" s="95">
        <f>'FS-AD Daily '!E33</f>
        <v>0</v>
      </c>
      <c r="I28" s="95">
        <f>'FS-AD Daily '!F33</f>
        <v>0</v>
      </c>
      <c r="J28" s="95">
        <f>'FS-AD Daily '!G33</f>
        <v>0</v>
      </c>
      <c r="K28" s="95">
        <f>'FS-AD Daily '!H33</f>
        <v>0</v>
      </c>
      <c r="L28" s="95">
        <f>'FS-AD Daily '!I33</f>
        <v>0</v>
      </c>
      <c r="M28" s="95">
        <f>'FS-AD Daily '!J33</f>
        <v>0</v>
      </c>
      <c r="N28" s="95">
        <f>'FS-AD Daily '!T33</f>
        <v>0</v>
      </c>
      <c r="O28" s="95">
        <f>'FS-AD Daily '!R33</f>
        <v>0</v>
      </c>
      <c r="P28" s="95">
        <f>'FS-AD Daily '!Z33</f>
        <v>0</v>
      </c>
      <c r="Q28" s="95">
        <f>'FS-AD Daily '!V33</f>
        <v>0</v>
      </c>
      <c r="R28" s="95">
        <f>'FS-AD Daily '!W33</f>
        <v>0</v>
      </c>
      <c r="S28" s="95">
        <f t="shared" si="0"/>
        <v>0</v>
      </c>
      <c r="T28" s="95">
        <f>'FS-AD Daily '!AD33*3.516</f>
        <v>0</v>
      </c>
      <c r="U28" s="95">
        <f>('FS-AD Daily '!AF33)*1000</f>
        <v>0</v>
      </c>
      <c r="V28" s="95">
        <f>('FS-AD Daily '!AG33)*1000</f>
        <v>0</v>
      </c>
      <c r="W28" s="95">
        <f>'FS-AD Daily '!AH33*1000</f>
        <v>0</v>
      </c>
      <c r="X28" s="95">
        <f>('FS-AD Daily '!AK33)*1000</f>
        <v>0</v>
      </c>
      <c r="Y28" s="95"/>
      <c r="Z28" s="95"/>
    </row>
    <row r="29" spans="1:26" x14ac:dyDescent="0.25">
      <c r="A29" s="92" t="s">
        <v>81</v>
      </c>
      <c r="B29" s="93">
        <f t="shared" si="1"/>
        <v>28</v>
      </c>
      <c r="C29" s="94">
        <v>1</v>
      </c>
      <c r="D29" s="93">
        <v>2020</v>
      </c>
      <c r="E29" s="95">
        <f>'FS-AD Daily '!B34</f>
        <v>0</v>
      </c>
      <c r="F29" s="95">
        <f>'FS-AD Daily '!C34</f>
        <v>0</v>
      </c>
      <c r="G29" s="95">
        <f>'FS-AD Daily '!D34</f>
        <v>0</v>
      </c>
      <c r="H29" s="95">
        <f>'FS-AD Daily '!E34</f>
        <v>0</v>
      </c>
      <c r="I29" s="95">
        <f>'FS-AD Daily '!F34</f>
        <v>0</v>
      </c>
      <c r="J29" s="95">
        <f>'FS-AD Daily '!G34</f>
        <v>0</v>
      </c>
      <c r="K29" s="95">
        <f>'FS-AD Daily '!H34</f>
        <v>0</v>
      </c>
      <c r="L29" s="95">
        <f>'FS-AD Daily '!I34</f>
        <v>0</v>
      </c>
      <c r="M29" s="95">
        <f>'FS-AD Daily '!J34</f>
        <v>0</v>
      </c>
      <c r="N29" s="95">
        <f>'FS-AD Daily '!T34</f>
        <v>0</v>
      </c>
      <c r="O29" s="95">
        <f>'FS-AD Daily '!R34</f>
        <v>0</v>
      </c>
      <c r="P29" s="95">
        <f>'FS-AD Daily '!Z34</f>
        <v>0</v>
      </c>
      <c r="Q29" s="95">
        <f>'FS-AD Daily '!V34</f>
        <v>0</v>
      </c>
      <c r="R29" s="95">
        <f>'FS-AD Daily '!W34</f>
        <v>0</v>
      </c>
      <c r="S29" s="95">
        <f t="shared" si="0"/>
        <v>0</v>
      </c>
      <c r="T29" s="95">
        <f>'FS-AD Daily '!AD34*3.516</f>
        <v>0</v>
      </c>
      <c r="U29" s="95">
        <f>('FS-AD Daily '!AF34)*1000</f>
        <v>0</v>
      </c>
      <c r="V29" s="95">
        <f>('FS-AD Daily '!AG34)*1000</f>
        <v>0</v>
      </c>
      <c r="W29" s="95">
        <f>'FS-AD Daily '!AH34*1000</f>
        <v>0</v>
      </c>
      <c r="X29" s="95">
        <f>('FS-AD Daily '!AK34)*1000</f>
        <v>0</v>
      </c>
      <c r="Y29" s="95"/>
      <c r="Z29" s="95"/>
    </row>
    <row r="30" spans="1:26" x14ac:dyDescent="0.25">
      <c r="A30" s="92" t="s">
        <v>81</v>
      </c>
      <c r="B30" s="93">
        <f t="shared" si="1"/>
        <v>29</v>
      </c>
      <c r="C30" s="94">
        <v>1</v>
      </c>
      <c r="D30" s="93">
        <v>2020</v>
      </c>
      <c r="E30" s="95">
        <f>'FS-AD Daily '!B35</f>
        <v>0</v>
      </c>
      <c r="F30" s="95">
        <f>'FS-AD Daily '!C35</f>
        <v>0</v>
      </c>
      <c r="G30" s="95">
        <f>'FS-AD Daily '!D35</f>
        <v>0</v>
      </c>
      <c r="H30" s="95">
        <f>'FS-AD Daily '!E35</f>
        <v>0</v>
      </c>
      <c r="I30" s="95">
        <f>'FS-AD Daily '!F35</f>
        <v>0</v>
      </c>
      <c r="J30" s="95">
        <f>'FS-AD Daily '!G35</f>
        <v>0</v>
      </c>
      <c r="K30" s="95">
        <f>'FS-AD Daily '!H35</f>
        <v>0</v>
      </c>
      <c r="L30" s="95">
        <f>'FS-AD Daily '!I35</f>
        <v>0</v>
      </c>
      <c r="M30" s="95">
        <f>'FS-AD Daily '!J35</f>
        <v>0</v>
      </c>
      <c r="N30" s="95">
        <f>'FS-AD Daily '!T35</f>
        <v>0</v>
      </c>
      <c r="O30" s="95">
        <f>'FS-AD Daily '!R35</f>
        <v>0</v>
      </c>
      <c r="P30" s="95">
        <f>'FS-AD Daily '!Z35</f>
        <v>0</v>
      </c>
      <c r="Q30" s="95">
        <f>'FS-AD Daily '!V35</f>
        <v>0</v>
      </c>
      <c r="R30" s="95">
        <f>'FS-AD Daily '!W35</f>
        <v>0</v>
      </c>
      <c r="S30" s="95">
        <f t="shared" si="0"/>
        <v>0</v>
      </c>
      <c r="T30" s="95">
        <f>'FS-AD Daily '!AD35*3.516</f>
        <v>0</v>
      </c>
      <c r="U30" s="95">
        <f>('FS-AD Daily '!AF35)*1000</f>
        <v>0</v>
      </c>
      <c r="V30" s="95">
        <f>('FS-AD Daily '!AG35)*1000</f>
        <v>0</v>
      </c>
      <c r="W30" s="95">
        <f>'FS-AD Daily '!AH35*1000</f>
        <v>0</v>
      </c>
      <c r="X30" s="95">
        <f>('FS-AD Daily '!AK35)*1000</f>
        <v>0</v>
      </c>
      <c r="Y30" s="95"/>
      <c r="Z30" s="95"/>
    </row>
    <row r="31" spans="1:26" x14ac:dyDescent="0.25">
      <c r="A31" s="92" t="s">
        <v>81</v>
      </c>
      <c r="B31" s="93"/>
      <c r="C31" s="94">
        <v>1</v>
      </c>
      <c r="D31" s="93">
        <v>2020</v>
      </c>
      <c r="E31" s="95" t="e">
        <f>'FS-AD Daily '!#REF!</f>
        <v>#REF!</v>
      </c>
      <c r="F31" s="95" t="e">
        <f>'FS-AD Daily '!#REF!</f>
        <v>#REF!</v>
      </c>
      <c r="G31" s="95" t="e">
        <f>'FS-AD Daily '!#REF!</f>
        <v>#REF!</v>
      </c>
      <c r="H31" s="95" t="e">
        <f>'FS-AD Daily '!#REF!</f>
        <v>#REF!</v>
      </c>
      <c r="I31" s="95" t="e">
        <f>'FS-AD Daily '!#REF!</f>
        <v>#REF!</v>
      </c>
      <c r="J31" s="95" t="e">
        <f>'FS-AD Daily '!#REF!</f>
        <v>#REF!</v>
      </c>
      <c r="K31" s="95" t="e">
        <f>'FS-AD Daily '!#REF!</f>
        <v>#REF!</v>
      </c>
      <c r="L31" s="95" t="e">
        <f>'FS-AD Daily '!#REF!</f>
        <v>#REF!</v>
      </c>
      <c r="M31" s="95" t="e">
        <f>'FS-AD Daily '!#REF!</f>
        <v>#REF!</v>
      </c>
      <c r="N31" s="95" t="e">
        <f>'FS-AD Daily '!#REF!</f>
        <v>#REF!</v>
      </c>
      <c r="O31" s="95" t="e">
        <f>'FS-AD Daily '!#REF!</f>
        <v>#REF!</v>
      </c>
      <c r="P31" s="95" t="e">
        <f>'FS-AD Daily '!#REF!</f>
        <v>#REF!</v>
      </c>
      <c r="Q31" s="95" t="e">
        <f>'FS-AD Daily '!#REF!</f>
        <v>#REF!</v>
      </c>
      <c r="R31" s="95" t="e">
        <f>'FS-AD Daily '!#REF!</f>
        <v>#REF!</v>
      </c>
      <c r="S31" s="95" t="e">
        <f t="shared" si="0"/>
        <v>#REF!</v>
      </c>
      <c r="T31" s="95" t="e">
        <f>'FS-AD Daily '!#REF!*3.516</f>
        <v>#REF!</v>
      </c>
      <c r="U31" s="95" t="e">
        <f>'FS-AD Daily '!#REF!*3.516</f>
        <v>#REF!</v>
      </c>
      <c r="V31" s="95" t="e">
        <f>('FS-AD Daily '!#REF!)*1000</f>
        <v>#REF!</v>
      </c>
      <c r="W31" s="95" t="e">
        <f>'FS-AD Daily '!#REF!*1000</f>
        <v>#REF!</v>
      </c>
      <c r="X31" s="95" t="e">
        <f>('FS-AD Daily '!#REF!)*1000</f>
        <v>#REF!</v>
      </c>
      <c r="Y31" s="95"/>
      <c r="Z31" s="95"/>
    </row>
    <row r="32" spans="1:26" x14ac:dyDescent="0.25">
      <c r="A32" s="92" t="s">
        <v>81</v>
      </c>
      <c r="B32" s="93"/>
      <c r="C32" s="94">
        <v>1</v>
      </c>
      <c r="D32" s="93">
        <v>2020</v>
      </c>
      <c r="E32" s="95" t="e">
        <f>'FS-AD Daily '!#REF!</f>
        <v>#REF!</v>
      </c>
      <c r="F32" s="95" t="e">
        <f>'FS-AD Daily '!#REF!</f>
        <v>#REF!</v>
      </c>
      <c r="G32" s="95" t="e">
        <f>'FS-AD Daily '!#REF!</f>
        <v>#REF!</v>
      </c>
      <c r="H32" s="95" t="e">
        <f>'FS-AD Daily '!#REF!</f>
        <v>#REF!</v>
      </c>
      <c r="I32" s="95" t="e">
        <f>'FS-AD Daily '!#REF!</f>
        <v>#REF!</v>
      </c>
      <c r="J32" s="95" t="e">
        <f>'FS-AD Daily '!#REF!</f>
        <v>#REF!</v>
      </c>
      <c r="K32" s="95" t="e">
        <f>'FS-AD Daily '!#REF!</f>
        <v>#REF!</v>
      </c>
      <c r="L32" s="95" t="e">
        <f>'FS-AD Daily '!#REF!</f>
        <v>#REF!</v>
      </c>
      <c r="M32" s="95" t="e">
        <f>'FS-AD Daily '!#REF!</f>
        <v>#REF!</v>
      </c>
      <c r="N32" s="95" t="e">
        <f>'FS-AD Daily '!#REF!</f>
        <v>#REF!</v>
      </c>
      <c r="O32" s="95" t="e">
        <f>'FS-AD Daily '!#REF!</f>
        <v>#REF!</v>
      </c>
      <c r="P32" s="95" t="e">
        <f>'FS-AD Daily '!#REF!</f>
        <v>#REF!</v>
      </c>
      <c r="Q32" s="95" t="e">
        <f>'FS-AD Daily '!#REF!</f>
        <v>#REF!</v>
      </c>
      <c r="R32" s="95" t="e">
        <f>'FS-AD Daily '!#REF!</f>
        <v>#REF!</v>
      </c>
      <c r="S32" s="95" t="e">
        <f t="shared" si="0"/>
        <v>#REF!</v>
      </c>
      <c r="T32" s="95" t="e">
        <f>'FS-AD Daily '!#REF!*3.516</f>
        <v>#REF!</v>
      </c>
      <c r="U32" s="95" t="e">
        <f>'FS-AD Daily '!#REF!*3.516</f>
        <v>#REF!</v>
      </c>
      <c r="V32" s="95" t="e">
        <f>('FS-AD Daily '!#REF!)*1000</f>
        <v>#REF!</v>
      </c>
      <c r="W32" s="95" t="e">
        <f>'FS-AD Daily '!#REF!*1000</f>
        <v>#REF!</v>
      </c>
      <c r="X32" s="95" t="e">
        <f>('FS-AD Daily '!#REF!)*1000</f>
        <v>#REF!</v>
      </c>
      <c r="Y32" s="95"/>
      <c r="Z32" s="95"/>
    </row>
    <row r="33" spans="1:26" x14ac:dyDescent="0.25">
      <c r="A33" s="96"/>
      <c r="B33" s="93"/>
      <c r="C33" s="94"/>
      <c r="D33" s="93"/>
      <c r="E33" s="95"/>
      <c r="F33" s="95"/>
      <c r="G33" s="95"/>
      <c r="H33" s="95"/>
      <c r="I33" s="95"/>
      <c r="J33" s="95"/>
      <c r="K33" s="95"/>
      <c r="L33" s="95"/>
      <c r="M33" s="95"/>
      <c r="N33" s="95"/>
      <c r="O33" s="95"/>
      <c r="P33" s="95" t="s">
        <v>12</v>
      </c>
      <c r="Q33" s="95"/>
      <c r="R33" s="95"/>
      <c r="S33" s="95"/>
      <c r="T33" s="95"/>
      <c r="U33" s="95"/>
      <c r="V33" s="95"/>
      <c r="W33" s="95"/>
      <c r="X33" s="95"/>
      <c r="Y33" s="95">
        <f>SUM(Y2:Y32)</f>
        <v>3262</v>
      </c>
      <c r="Z33" s="95">
        <f>SUM(Z2:Z32)</f>
        <v>4577</v>
      </c>
    </row>
  </sheetData>
  <phoneticPr fontId="6" type="noConversion"/>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S41"/>
  <sheetViews>
    <sheetView tabSelected="1" zoomScaleNormal="100" workbookViewId="0">
      <pane xSplit="7" ySplit="5" topLeftCell="AE12" activePane="bottomRight" state="frozen"/>
      <selection pane="topRight" activeCell="H1" sqref="H1"/>
      <selection pane="bottomLeft" activeCell="A5" sqref="A5"/>
      <selection pane="bottomRight" activeCell="AJ27" sqref="AJ27"/>
    </sheetView>
  </sheetViews>
  <sheetFormatPr defaultColWidth="9.42578125" defaultRowHeight="21" x14ac:dyDescent="0.25"/>
  <cols>
    <col min="1" max="1" width="15.5703125" style="9" customWidth="1"/>
    <col min="2" max="2" width="15.42578125" style="9" customWidth="1"/>
    <col min="3" max="3" width="14.42578125" style="9" customWidth="1"/>
    <col min="4" max="4" width="15" style="9" customWidth="1"/>
    <col min="5" max="5" width="15.42578125" style="9" customWidth="1"/>
    <col min="6" max="6" width="15.5703125" style="9" customWidth="1"/>
    <col min="7" max="7" width="15" style="9" customWidth="1"/>
    <col min="8" max="8" width="14.5703125" style="9" customWidth="1"/>
    <col min="9" max="9" width="14.42578125" style="9" customWidth="1"/>
    <col min="10" max="10" width="14.5703125" style="9" customWidth="1"/>
    <col min="11" max="11" width="19.42578125" style="9" customWidth="1"/>
    <col min="12" max="12" width="16.42578125" style="20" customWidth="1"/>
    <col min="13" max="15" width="17.42578125" style="21" customWidth="1"/>
    <col min="16" max="18" width="16.5703125" style="21" customWidth="1"/>
    <col min="19" max="19" width="18.5703125" style="21" customWidth="1"/>
    <col min="20" max="20" width="15.42578125" style="21" customWidth="1"/>
    <col min="21" max="21" width="14" style="21" customWidth="1"/>
    <col min="22" max="23" width="15.42578125" style="21" customWidth="1"/>
    <col min="24" max="25" width="12.5703125" style="9" customWidth="1"/>
    <col min="26" max="26" width="15" style="9" customWidth="1"/>
    <col min="27" max="27" width="12.5703125" style="20" customWidth="1"/>
    <col min="28" max="28" width="15.42578125" style="9" customWidth="1"/>
    <col min="29" max="29" width="15.42578125" style="9" bestFit="1" customWidth="1"/>
    <col min="30" max="30" width="15.42578125" style="9" customWidth="1"/>
    <col min="31" max="34" width="13.42578125" style="21" customWidth="1"/>
    <col min="35" max="35" width="13.5703125" style="9" customWidth="1"/>
    <col min="36" max="36" width="13.42578125" style="9" customWidth="1"/>
    <col min="37" max="38" width="13.5703125" style="9" customWidth="1"/>
    <col min="39" max="39" width="15.140625" style="21" customWidth="1"/>
    <col min="40" max="40" width="12.42578125" style="23" customWidth="1"/>
    <col min="41" max="41" width="16.5703125" style="20" customWidth="1"/>
    <col min="42" max="43" width="14.42578125" style="9" customWidth="1"/>
    <col min="44" max="44" width="17.5703125" style="9" customWidth="1"/>
    <col min="45" max="45" width="17.42578125" style="10" customWidth="1"/>
    <col min="46" max="47" width="9.42578125" style="11"/>
    <col min="48" max="48" width="14.42578125" style="11" customWidth="1"/>
    <col min="49" max="49" width="18.42578125" style="11" customWidth="1"/>
    <col min="50" max="50" width="9.42578125" style="11"/>
    <col min="51" max="51" width="12.42578125" style="11" bestFit="1" customWidth="1"/>
    <col min="52" max="52" width="9.42578125" style="11"/>
    <col min="53" max="53" width="12.42578125" style="11" bestFit="1" customWidth="1"/>
    <col min="54" max="16384" width="9.42578125" style="11"/>
  </cols>
  <sheetData>
    <row r="1" spans="1:44" ht="120" customHeight="1" thickBot="1" x14ac:dyDescent="0.3">
      <c r="A1" s="31" t="s">
        <v>13</v>
      </c>
      <c r="B1" s="126" t="s">
        <v>14</v>
      </c>
      <c r="C1" s="126"/>
      <c r="D1" s="126"/>
      <c r="E1" s="126"/>
      <c r="F1" s="126"/>
      <c r="G1" s="126"/>
      <c r="H1" s="126"/>
      <c r="I1" s="126"/>
      <c r="J1" s="126"/>
      <c r="K1" s="32" t="s">
        <v>15</v>
      </c>
      <c r="L1" s="33" t="s">
        <v>16</v>
      </c>
      <c r="M1" s="34" t="s">
        <v>17</v>
      </c>
      <c r="N1" s="35" t="s">
        <v>18</v>
      </c>
      <c r="O1" s="35" t="s">
        <v>19</v>
      </c>
      <c r="P1" s="75" t="s">
        <v>20</v>
      </c>
      <c r="Q1" s="37" t="s">
        <v>21</v>
      </c>
      <c r="R1" s="38" t="s">
        <v>22</v>
      </c>
      <c r="S1" s="36" t="s">
        <v>23</v>
      </c>
      <c r="T1" s="39" t="s">
        <v>24</v>
      </c>
      <c r="U1" s="40" t="s">
        <v>25</v>
      </c>
      <c r="V1" s="39" t="s">
        <v>26</v>
      </c>
      <c r="W1" s="39" t="s">
        <v>27</v>
      </c>
      <c r="X1" s="127" t="s">
        <v>28</v>
      </c>
      <c r="Y1" s="127"/>
      <c r="Z1" s="41" t="s">
        <v>29</v>
      </c>
      <c r="AA1" s="42" t="s">
        <v>30</v>
      </c>
      <c r="AB1" s="43" t="s">
        <v>31</v>
      </c>
      <c r="AC1" s="43" t="s">
        <v>32</v>
      </c>
      <c r="AD1" s="32" t="s">
        <v>33</v>
      </c>
      <c r="AE1" s="40" t="s">
        <v>34</v>
      </c>
      <c r="AF1" s="32" t="s">
        <v>78</v>
      </c>
      <c r="AG1" s="32" t="s">
        <v>77</v>
      </c>
      <c r="AH1" s="32" t="s">
        <v>79</v>
      </c>
      <c r="AI1" s="54" t="s">
        <v>35</v>
      </c>
      <c r="AJ1" s="54" t="s">
        <v>36</v>
      </c>
      <c r="AK1" s="44" t="s">
        <v>37</v>
      </c>
      <c r="AL1" s="44" t="s">
        <v>38</v>
      </c>
      <c r="AM1" s="40" t="s">
        <v>34</v>
      </c>
      <c r="AN1" s="46" t="s">
        <v>80</v>
      </c>
      <c r="AO1" s="45" t="s">
        <v>39</v>
      </c>
      <c r="AQ1" s="9" t="s">
        <v>40</v>
      </c>
      <c r="AR1" s="9" t="s">
        <v>41</v>
      </c>
    </row>
    <row r="2" spans="1:44" ht="15" customHeight="1" x14ac:dyDescent="0.25">
      <c r="A2" s="28">
        <v>2020</v>
      </c>
      <c r="B2" s="29">
        <v>1</v>
      </c>
      <c r="C2" s="29">
        <v>2</v>
      </c>
      <c r="D2" s="29">
        <v>3</v>
      </c>
      <c r="E2" s="29">
        <v>4</v>
      </c>
      <c r="F2" s="29">
        <v>5</v>
      </c>
      <c r="G2" s="29">
        <v>6</v>
      </c>
      <c r="H2" s="29">
        <v>7</v>
      </c>
      <c r="I2" s="29">
        <v>8</v>
      </c>
      <c r="J2" s="29">
        <v>9</v>
      </c>
      <c r="K2" s="122" t="s">
        <v>42</v>
      </c>
      <c r="L2" s="121" t="s">
        <v>43</v>
      </c>
      <c r="M2" s="13"/>
      <c r="N2" s="13"/>
      <c r="O2" s="13"/>
      <c r="P2" s="13"/>
      <c r="Q2" s="13"/>
      <c r="R2" s="13"/>
      <c r="S2" s="130"/>
      <c r="T2" s="55"/>
      <c r="U2" s="124"/>
      <c r="V2" s="53"/>
      <c r="W2" s="53"/>
      <c r="X2" s="29">
        <v>1</v>
      </c>
      <c r="Y2" s="29">
        <v>2</v>
      </c>
      <c r="Z2" s="30"/>
      <c r="AA2" s="121" t="s">
        <v>101</v>
      </c>
      <c r="AB2" s="51"/>
      <c r="AC2" s="122" t="s">
        <v>44</v>
      </c>
      <c r="AD2" s="123"/>
      <c r="AE2" s="124" t="s">
        <v>87</v>
      </c>
      <c r="AF2" s="53"/>
      <c r="AG2" s="53"/>
      <c r="AH2" s="53"/>
      <c r="AI2" s="52"/>
      <c r="AJ2" s="52"/>
      <c r="AK2" s="52"/>
      <c r="AL2" s="52"/>
      <c r="AM2" s="124" t="s">
        <v>87</v>
      </c>
      <c r="AN2" s="125"/>
      <c r="AO2" s="120"/>
    </row>
    <row r="3" spans="1:44" ht="29.25" customHeight="1" x14ac:dyDescent="0.25">
      <c r="A3" s="28" t="s">
        <v>103</v>
      </c>
      <c r="B3" s="29" t="s">
        <v>104</v>
      </c>
      <c r="C3" s="29" t="s">
        <v>105</v>
      </c>
      <c r="D3" s="29" t="s">
        <v>106</v>
      </c>
      <c r="E3" s="29" t="s">
        <v>107</v>
      </c>
      <c r="F3" s="29" t="s">
        <v>108</v>
      </c>
      <c r="G3" s="29" t="s">
        <v>109</v>
      </c>
      <c r="H3" s="29" t="s">
        <v>110</v>
      </c>
      <c r="I3" s="113" t="s">
        <v>111</v>
      </c>
      <c r="J3" s="29" t="s">
        <v>112</v>
      </c>
      <c r="K3" s="122"/>
      <c r="L3" s="121"/>
      <c r="M3" s="13"/>
      <c r="N3" s="13"/>
      <c r="O3" s="13"/>
      <c r="P3" s="13"/>
      <c r="Q3" s="13"/>
      <c r="R3" s="13"/>
      <c r="S3" s="130"/>
      <c r="T3" s="114"/>
      <c r="U3" s="124"/>
      <c r="V3" s="115"/>
      <c r="W3" s="115"/>
      <c r="X3" s="29"/>
      <c r="Y3" s="29"/>
      <c r="Z3" s="30"/>
      <c r="AA3" s="121"/>
      <c r="AB3" s="112"/>
      <c r="AC3" s="122"/>
      <c r="AD3" s="123"/>
      <c r="AE3" s="124"/>
      <c r="AF3" s="115"/>
      <c r="AG3" s="115"/>
      <c r="AH3" s="115"/>
      <c r="AI3" s="116"/>
      <c r="AJ3" s="116"/>
      <c r="AK3" s="116"/>
      <c r="AL3" s="116"/>
      <c r="AM3" s="124"/>
      <c r="AN3" s="125"/>
      <c r="AO3" s="120"/>
    </row>
    <row r="4" spans="1:44" ht="15" customHeight="1" x14ac:dyDescent="0.25">
      <c r="A4" s="12" t="s">
        <v>113</v>
      </c>
      <c r="B4" s="14" t="s">
        <v>45</v>
      </c>
      <c r="C4" s="14" t="s">
        <v>46</v>
      </c>
      <c r="D4" s="14" t="s">
        <v>47</v>
      </c>
      <c r="E4" s="14" t="s">
        <v>48</v>
      </c>
      <c r="F4" s="14" t="s">
        <v>49</v>
      </c>
      <c r="G4" s="14" t="s">
        <v>50</v>
      </c>
      <c r="H4" s="14" t="s">
        <v>51</v>
      </c>
      <c r="I4" s="14" t="s">
        <v>52</v>
      </c>
      <c r="J4" s="14" t="s">
        <v>53</v>
      </c>
      <c r="K4" s="128"/>
      <c r="L4" s="129"/>
      <c r="M4" s="13"/>
      <c r="N4" s="13"/>
      <c r="O4" s="13"/>
      <c r="P4" s="13"/>
      <c r="Q4" s="13"/>
      <c r="R4" s="13"/>
      <c r="S4" s="130"/>
      <c r="T4" s="55"/>
      <c r="U4" s="124"/>
      <c r="V4" s="53"/>
      <c r="W4" s="53"/>
      <c r="X4" s="14"/>
      <c r="Y4" s="14"/>
      <c r="Z4" s="15"/>
      <c r="AA4" s="121"/>
      <c r="AB4" s="51"/>
      <c r="AC4" s="122"/>
      <c r="AD4" s="123"/>
      <c r="AE4" s="124"/>
      <c r="AF4" s="53"/>
      <c r="AG4" s="53"/>
      <c r="AH4" s="53"/>
      <c r="AI4" s="16"/>
      <c r="AJ4" s="52"/>
      <c r="AK4" s="52"/>
      <c r="AL4" s="52"/>
      <c r="AM4" s="124"/>
      <c r="AN4" s="125"/>
      <c r="AO4" s="120"/>
    </row>
    <row r="5" spans="1:44" ht="30.75" thickBot="1" x14ac:dyDescent="0.3">
      <c r="A5" s="57"/>
      <c r="B5" s="58" t="s">
        <v>54</v>
      </c>
      <c r="C5" s="58" t="s">
        <v>55</v>
      </c>
      <c r="D5" s="58" t="s">
        <v>56</v>
      </c>
      <c r="E5" s="72" t="s">
        <v>57</v>
      </c>
      <c r="F5" s="58" t="s">
        <v>58</v>
      </c>
      <c r="G5" s="72" t="s">
        <v>59</v>
      </c>
      <c r="H5" s="72" t="s">
        <v>60</v>
      </c>
      <c r="I5" s="72" t="s">
        <v>61</v>
      </c>
      <c r="J5" s="72" t="s">
        <v>62</v>
      </c>
      <c r="K5" s="58"/>
      <c r="L5" s="59"/>
      <c r="M5" s="13"/>
      <c r="N5" s="13"/>
      <c r="O5" s="13"/>
      <c r="P5" s="13"/>
      <c r="Q5" s="13"/>
      <c r="R5" s="13"/>
      <c r="S5" s="130"/>
      <c r="T5" s="55"/>
      <c r="U5" s="124"/>
      <c r="V5" s="53"/>
      <c r="W5" s="53"/>
      <c r="X5" s="60"/>
      <c r="Y5" s="60">
        <v>627742.19999999995</v>
      </c>
      <c r="Z5" s="15"/>
      <c r="AA5" s="121"/>
      <c r="AB5" s="51">
        <v>37070630</v>
      </c>
      <c r="AC5" s="122"/>
      <c r="AD5" s="123"/>
      <c r="AE5" s="124"/>
      <c r="AF5" s="53"/>
      <c r="AG5" s="53"/>
      <c r="AH5" s="53"/>
      <c r="AI5" s="51"/>
      <c r="AJ5" s="51">
        <v>33427.1</v>
      </c>
      <c r="AK5" s="51"/>
      <c r="AL5" s="51"/>
      <c r="AM5" s="124"/>
      <c r="AN5" s="125"/>
      <c r="AO5" s="120"/>
    </row>
    <row r="6" spans="1:44" ht="90.75" thickBot="1" x14ac:dyDescent="0.3">
      <c r="A6" s="61" t="s">
        <v>63</v>
      </c>
      <c r="B6" s="62"/>
      <c r="C6" s="62"/>
      <c r="D6" s="62"/>
      <c r="E6" s="79" t="s">
        <v>94</v>
      </c>
      <c r="F6" s="62"/>
      <c r="G6" s="80" t="s">
        <v>97</v>
      </c>
      <c r="H6" s="79" t="s">
        <v>98</v>
      </c>
      <c r="I6" s="79" t="s">
        <v>99</v>
      </c>
      <c r="J6" s="80"/>
      <c r="K6" s="63" t="s">
        <v>12</v>
      </c>
      <c r="L6" s="63" t="s">
        <v>12</v>
      </c>
      <c r="M6" s="87" t="s">
        <v>12</v>
      </c>
      <c r="N6" s="87" t="s">
        <v>12</v>
      </c>
      <c r="O6" s="87" t="s">
        <v>12</v>
      </c>
      <c r="P6" s="87" t="s">
        <v>12</v>
      </c>
      <c r="Q6" s="87" t="s">
        <v>12</v>
      </c>
      <c r="R6" s="63" t="s">
        <v>12</v>
      </c>
      <c r="S6" s="63" t="s">
        <v>12</v>
      </c>
      <c r="T6" s="63" t="s">
        <v>12</v>
      </c>
      <c r="U6" s="63" t="s">
        <v>12</v>
      </c>
      <c r="V6" s="63" t="s">
        <v>12</v>
      </c>
      <c r="W6" s="63" t="s">
        <v>12</v>
      </c>
      <c r="X6" s="64" t="s">
        <v>86</v>
      </c>
      <c r="Y6" s="62"/>
      <c r="Z6" s="62" t="s">
        <v>12</v>
      </c>
      <c r="AA6" s="63" t="e">
        <f>SUM(#REF!)</f>
        <v>#REF!</v>
      </c>
      <c r="AB6" s="62"/>
      <c r="AC6" s="62" t="s">
        <v>12</v>
      </c>
      <c r="AD6" s="62" t="s">
        <v>12</v>
      </c>
      <c r="AE6" s="65" t="e">
        <f>SUM(#REF!)</f>
        <v>#REF!</v>
      </c>
      <c r="AF6" s="65"/>
      <c r="AG6" s="65"/>
      <c r="AH6" s="65"/>
      <c r="AI6" s="62"/>
      <c r="AJ6" s="62"/>
      <c r="AK6" s="62" t="e">
        <f>SUM(#REF!)</f>
        <v>#REF!</v>
      </c>
      <c r="AL6" s="62"/>
      <c r="AM6" s="65"/>
      <c r="AN6" s="66"/>
      <c r="AO6" s="63" t="e">
        <f>SUM(#REF!)</f>
        <v>#REF!</v>
      </c>
    </row>
    <row r="7" spans="1:44" x14ac:dyDescent="0.25">
      <c r="A7" s="47">
        <v>43862</v>
      </c>
      <c r="B7" s="117">
        <v>6582</v>
      </c>
      <c r="C7" s="117">
        <v>5752</v>
      </c>
      <c r="D7" s="117">
        <v>894</v>
      </c>
      <c r="E7" s="117">
        <v>7009</v>
      </c>
      <c r="F7" s="117">
        <v>5915</v>
      </c>
      <c r="G7" s="117">
        <v>3190</v>
      </c>
      <c r="H7" s="117">
        <v>3956</v>
      </c>
      <c r="I7" s="117">
        <v>2271</v>
      </c>
      <c r="J7" s="117">
        <v>6935</v>
      </c>
      <c r="K7" s="73">
        <f>SUM(B7:H7)</f>
        <v>33298</v>
      </c>
      <c r="L7" s="18">
        <f>K7*0.21</f>
        <v>6992.58</v>
      </c>
      <c r="M7" s="118">
        <v>142.125</v>
      </c>
      <c r="N7" s="118">
        <v>3.552</v>
      </c>
      <c r="O7" s="118">
        <v>5.3090000000000002</v>
      </c>
      <c r="P7" s="119">
        <v>65.921999999999997</v>
      </c>
      <c r="Q7" s="118">
        <v>9.8390000000000004</v>
      </c>
      <c r="R7" s="19">
        <f t="shared" ref="R7:R35" si="0">N7+O7+P7</f>
        <v>74.783000000000001</v>
      </c>
      <c r="S7" s="19">
        <f t="shared" ref="S7:S35" si="1">(N7+O7+P7)*7.84</f>
        <v>586.29872</v>
      </c>
      <c r="T7" s="74">
        <f t="shared" ref="T7:T35" si="2">M7+Q7</f>
        <v>151.964</v>
      </c>
      <c r="U7" s="19">
        <f t="shared" ref="U7:U36" si="3">T7*7.84</f>
        <v>1191.3977600000001</v>
      </c>
      <c r="V7" s="118">
        <v>155.1</v>
      </c>
      <c r="W7" s="118">
        <v>97.42</v>
      </c>
      <c r="X7" s="17" t="s">
        <v>64</v>
      </c>
      <c r="Y7" s="108">
        <v>628170.69999999995</v>
      </c>
      <c r="Z7" s="70">
        <f>IF((Y7-Y6&lt;0), "0",Y7-Y5)</f>
        <v>428.5</v>
      </c>
      <c r="AA7" s="48">
        <f>Z7*10.07</f>
        <v>4314.9949999999999</v>
      </c>
      <c r="AB7" s="17">
        <v>37082099</v>
      </c>
      <c r="AC7" s="17">
        <v>37070630</v>
      </c>
      <c r="AD7" s="49">
        <f>IF((AB7-AC7&lt;0), "0",AB7-AC7)</f>
        <v>11469</v>
      </c>
      <c r="AE7" s="19">
        <f>AD7*0.334569</f>
        <v>3837.1718610000003</v>
      </c>
      <c r="AF7" s="19">
        <v>17.8</v>
      </c>
      <c r="AG7" s="19">
        <v>5.5</v>
      </c>
      <c r="AH7" s="19">
        <v>5.2</v>
      </c>
      <c r="AI7" s="71">
        <v>33427.1</v>
      </c>
      <c r="AJ7" s="108">
        <v>33435.599999999999</v>
      </c>
      <c r="AK7" s="67">
        <f>IF((AJ7-AI7)&lt;0, "0",AJ7-AI7)</f>
        <v>8.5</v>
      </c>
      <c r="AL7" s="17">
        <f t="shared" ref="AL7:AL35" si="4">AK7*(284.34513609)</f>
        <v>2416.9336567649998</v>
      </c>
      <c r="AM7" s="19">
        <f>AL7*0.334569</f>
        <v>808.63107661020922</v>
      </c>
      <c r="AN7" s="49">
        <v>161</v>
      </c>
      <c r="AO7" s="48">
        <f t="shared" ref="AO7:AO35" si="5">L7+U7+AA7+AE7</f>
        <v>16336.144621000001</v>
      </c>
    </row>
    <row r="8" spans="1:44" x14ac:dyDescent="0.25">
      <c r="A8" s="85">
        <v>43863</v>
      </c>
      <c r="B8" s="109">
        <v>7082</v>
      </c>
      <c r="C8" s="109">
        <v>5851</v>
      </c>
      <c r="D8" s="109">
        <v>897</v>
      </c>
      <c r="E8" s="109">
        <v>7241</v>
      </c>
      <c r="F8" s="109">
        <v>5694</v>
      </c>
      <c r="G8" s="109">
        <v>3179</v>
      </c>
      <c r="H8" s="109">
        <v>3889</v>
      </c>
      <c r="I8" s="109">
        <v>2273</v>
      </c>
      <c r="J8" s="109">
        <v>6755</v>
      </c>
      <c r="K8" s="76">
        <f>SUM(B8:H8)</f>
        <v>33833</v>
      </c>
      <c r="L8" s="18">
        <f>K8*0.21</f>
        <v>7104.9299999999994</v>
      </c>
      <c r="M8" s="110">
        <v>306.43799999999999</v>
      </c>
      <c r="N8" s="110">
        <v>3.61</v>
      </c>
      <c r="O8" s="110">
        <v>5.5389999999999997</v>
      </c>
      <c r="P8" s="111">
        <v>69.856999999999999</v>
      </c>
      <c r="Q8" s="110">
        <v>5.88</v>
      </c>
      <c r="R8" s="77">
        <f>N8+O8+P8</f>
        <v>79.006</v>
      </c>
      <c r="S8" s="77">
        <f>(N8+O8+P8)*7.84</f>
        <v>619.40703999999994</v>
      </c>
      <c r="T8" s="77">
        <f>M8+Q8</f>
        <v>312.31799999999998</v>
      </c>
      <c r="U8" s="77">
        <f>T8*7.84</f>
        <v>2448.57312</v>
      </c>
      <c r="V8" s="110">
        <v>135</v>
      </c>
      <c r="W8" s="110">
        <v>90.5</v>
      </c>
      <c r="X8" s="76" t="s">
        <v>64</v>
      </c>
      <c r="Y8" s="91">
        <v>628568.1</v>
      </c>
      <c r="Z8" s="5">
        <f t="shared" ref="Z8:Z35" si="6">IF((Y8-Y7&lt;0), "0",Y8-Y7)</f>
        <v>397.40000000002328</v>
      </c>
      <c r="AA8" s="18">
        <f>Z8*10.07</f>
        <v>4001.8180000002344</v>
      </c>
      <c r="AB8" s="109">
        <v>37094495</v>
      </c>
      <c r="AC8" s="76">
        <f>AB7</f>
        <v>37082099</v>
      </c>
      <c r="AD8" s="5">
        <f t="shared" ref="AD8:AD35" si="7">IF((AB8-AC8&lt;0), "0",AB8-AC8)</f>
        <v>12396</v>
      </c>
      <c r="AE8" s="77">
        <f>AD8*0.334569</f>
        <v>4147.3173239999996</v>
      </c>
      <c r="AF8" s="77">
        <v>19.5</v>
      </c>
      <c r="AG8" s="77">
        <v>5.7</v>
      </c>
      <c r="AH8" s="77">
        <v>6.2</v>
      </c>
      <c r="AI8" s="71">
        <f>AJ7</f>
        <v>33435.599999999999</v>
      </c>
      <c r="AJ8" s="91">
        <v>33445.1</v>
      </c>
      <c r="AK8" s="56">
        <f t="shared" ref="AK8:AK35" si="8">IF((AJ8-AI8)&lt;0, "0",AJ8-AI8)</f>
        <v>9.5</v>
      </c>
      <c r="AL8" s="76">
        <f t="shared" si="4"/>
        <v>2701.2787928549997</v>
      </c>
      <c r="AM8" s="77">
        <f>AL8*0.334569</f>
        <v>903.76414444670445</v>
      </c>
      <c r="AN8" s="5">
        <v>161</v>
      </c>
      <c r="AO8" s="18">
        <f t="shared" si="5"/>
        <v>17702.638444000233</v>
      </c>
    </row>
    <row r="9" spans="1:44" x14ac:dyDescent="0.25">
      <c r="A9" s="85">
        <v>43864</v>
      </c>
      <c r="B9" s="109">
        <v>8556</v>
      </c>
      <c r="C9" s="109">
        <v>5895</v>
      </c>
      <c r="D9" s="109">
        <v>896</v>
      </c>
      <c r="E9" s="109">
        <v>7150</v>
      </c>
      <c r="F9" s="109">
        <v>5910</v>
      </c>
      <c r="G9" s="109">
        <v>3250</v>
      </c>
      <c r="H9" s="109">
        <v>3940</v>
      </c>
      <c r="I9" s="109">
        <v>2199</v>
      </c>
      <c r="J9" s="109">
        <v>7078</v>
      </c>
      <c r="K9" s="76">
        <f>SUM(B9:H9)</f>
        <v>35597</v>
      </c>
      <c r="L9" s="18">
        <f>K9*0.21</f>
        <v>7475.37</v>
      </c>
      <c r="M9" s="110">
        <v>199.31800000000001</v>
      </c>
      <c r="N9" s="110">
        <v>2.4390000000000001</v>
      </c>
      <c r="O9" s="110">
        <v>4.4470000000000001</v>
      </c>
      <c r="P9" s="111">
        <v>55.823</v>
      </c>
      <c r="Q9" s="110">
        <v>7.2149999999999999</v>
      </c>
      <c r="R9" s="77">
        <f>N9+O9+P9</f>
        <v>62.709000000000003</v>
      </c>
      <c r="S9" s="77">
        <f>(N9+O9+P9)*7.84</f>
        <v>491.63856000000004</v>
      </c>
      <c r="T9" s="77">
        <f>M9+Q9</f>
        <v>206.53300000000002</v>
      </c>
      <c r="U9" s="77">
        <f>T9*7.84</f>
        <v>1619.2187200000001</v>
      </c>
      <c r="V9" s="110">
        <v>139.69999999999999</v>
      </c>
      <c r="W9" s="110">
        <f>125281.53-125191.44</f>
        <v>90.089999999996508</v>
      </c>
      <c r="X9" s="76" t="s">
        <v>64</v>
      </c>
      <c r="Y9" s="109">
        <v>628974.80000000005</v>
      </c>
      <c r="Z9" s="5">
        <f t="shared" si="6"/>
        <v>406.70000000006985</v>
      </c>
      <c r="AA9" s="18">
        <f>Z9*10.07</f>
        <v>4095.4690000007035</v>
      </c>
      <c r="AB9" s="109">
        <v>37106375</v>
      </c>
      <c r="AC9" s="81">
        <f t="shared" ref="AC9:AC35" si="9">AB8</f>
        <v>37094495</v>
      </c>
      <c r="AD9" s="5">
        <f t="shared" si="7"/>
        <v>11880</v>
      </c>
      <c r="AE9" s="77">
        <f t="shared" ref="AE9:AE35" si="10">AD9*0.334569</f>
        <v>3974.6797200000001</v>
      </c>
      <c r="AF9" s="77">
        <v>18.899999999999999</v>
      </c>
      <c r="AG9" s="77">
        <v>5.5</v>
      </c>
      <c r="AH9" s="77">
        <v>6.3</v>
      </c>
      <c r="AI9" s="71">
        <f>AJ8</f>
        <v>33445.1</v>
      </c>
      <c r="AJ9" s="91">
        <v>33454.199999999997</v>
      </c>
      <c r="AK9" s="56">
        <f t="shared" si="8"/>
        <v>9.0999999999985448</v>
      </c>
      <c r="AL9" s="76">
        <f t="shared" si="4"/>
        <v>2587.540738418586</v>
      </c>
      <c r="AM9" s="77">
        <f t="shared" ref="AM9:AM35" si="11">AL9*0.334569</f>
        <v>865.71091731196793</v>
      </c>
      <c r="AN9" s="5">
        <v>176</v>
      </c>
      <c r="AO9" s="18">
        <f t="shared" si="5"/>
        <v>17164.737440000703</v>
      </c>
    </row>
    <row r="10" spans="1:44" x14ac:dyDescent="0.25">
      <c r="A10" s="85">
        <v>43865</v>
      </c>
      <c r="B10" s="109">
        <v>9022</v>
      </c>
      <c r="C10" s="109">
        <v>5598</v>
      </c>
      <c r="D10" s="109">
        <v>874</v>
      </c>
      <c r="E10" s="109">
        <v>7167</v>
      </c>
      <c r="F10" s="109">
        <v>5970</v>
      </c>
      <c r="G10" s="109">
        <v>3224</v>
      </c>
      <c r="H10" s="109">
        <v>3640</v>
      </c>
      <c r="I10" s="109">
        <v>2165</v>
      </c>
      <c r="J10" s="109">
        <v>6981</v>
      </c>
      <c r="K10" s="76">
        <f t="shared" ref="K10:K35" si="12">SUM(B10:H10)</f>
        <v>35495</v>
      </c>
      <c r="L10" s="18">
        <f>K10*0.21</f>
        <v>7453.95</v>
      </c>
      <c r="M10" s="110">
        <v>213.44300000000001</v>
      </c>
      <c r="N10" s="110">
        <v>4.1280000000000001</v>
      </c>
      <c r="O10" s="110">
        <v>5.5990000000000002</v>
      </c>
      <c r="P10" s="111">
        <v>58.691000000000003</v>
      </c>
      <c r="Q10" s="110">
        <v>5.7729999999999997</v>
      </c>
      <c r="R10" s="77">
        <f t="shared" si="0"/>
        <v>68.418000000000006</v>
      </c>
      <c r="S10" s="77">
        <f t="shared" si="1"/>
        <v>536.39712000000009</v>
      </c>
      <c r="T10" s="77">
        <f t="shared" si="2"/>
        <v>219.21600000000001</v>
      </c>
      <c r="U10" s="77">
        <f t="shared" si="3"/>
        <v>1718.65344</v>
      </c>
      <c r="V10" s="110">
        <v>136.9</v>
      </c>
      <c r="W10" s="110">
        <v>89.36</v>
      </c>
      <c r="X10" s="76" t="s">
        <v>64</v>
      </c>
      <c r="Y10" s="109">
        <v>629378.6</v>
      </c>
      <c r="Z10" s="5">
        <f t="shared" si="6"/>
        <v>403.79999999993015</v>
      </c>
      <c r="AA10" s="18">
        <f t="shared" ref="AA10:AA35" si="13">Z10*10.07</f>
        <v>4066.2659999992966</v>
      </c>
      <c r="AB10" s="109">
        <v>37118503</v>
      </c>
      <c r="AC10" s="81">
        <f t="shared" si="9"/>
        <v>37106375</v>
      </c>
      <c r="AD10" s="5">
        <f t="shared" si="7"/>
        <v>12128</v>
      </c>
      <c r="AE10" s="77">
        <f t="shared" si="10"/>
        <v>4057.6528320000002</v>
      </c>
      <c r="AF10" s="77">
        <v>19.2</v>
      </c>
      <c r="AG10" s="77">
        <v>5.6</v>
      </c>
      <c r="AH10" s="77">
        <v>6.4</v>
      </c>
      <c r="AI10" s="71">
        <f>AJ9</f>
        <v>33454.199999999997</v>
      </c>
      <c r="AJ10" s="91">
        <v>33463.5</v>
      </c>
      <c r="AK10" s="56">
        <f t="shared" si="8"/>
        <v>9.3000000000029104</v>
      </c>
      <c r="AL10" s="76">
        <f t="shared" si="4"/>
        <v>2644.4097656378276</v>
      </c>
      <c r="AM10" s="77">
        <f t="shared" si="11"/>
        <v>884.73753087968237</v>
      </c>
      <c r="AN10" s="5">
        <v>177</v>
      </c>
      <c r="AO10" s="18">
        <f t="shared" si="5"/>
        <v>17296.522271999296</v>
      </c>
    </row>
    <row r="11" spans="1:44" x14ac:dyDescent="0.25">
      <c r="A11" s="85">
        <v>43866</v>
      </c>
      <c r="B11" s="109">
        <v>6806</v>
      </c>
      <c r="C11" s="109">
        <v>5276</v>
      </c>
      <c r="D11" s="109">
        <v>897</v>
      </c>
      <c r="E11" s="109">
        <v>7120</v>
      </c>
      <c r="F11" s="109">
        <v>6070</v>
      </c>
      <c r="G11" s="109">
        <v>3248</v>
      </c>
      <c r="H11" s="109">
        <v>3579</v>
      </c>
      <c r="I11" s="109">
        <v>2135</v>
      </c>
      <c r="J11" s="109">
        <v>7016</v>
      </c>
      <c r="K11" s="76">
        <f t="shared" si="12"/>
        <v>32996</v>
      </c>
      <c r="L11" s="18">
        <f>K11*0.21</f>
        <v>6929.16</v>
      </c>
      <c r="M11" s="110">
        <v>196.53399999999999</v>
      </c>
      <c r="N11" s="110">
        <v>7.89</v>
      </c>
      <c r="O11" s="110">
        <v>5.5359999999999996</v>
      </c>
      <c r="P11" s="111">
        <v>67.960999999999999</v>
      </c>
      <c r="Q11" s="110">
        <v>6.5339999999999998</v>
      </c>
      <c r="R11" s="77">
        <f t="shared" si="0"/>
        <v>81.387</v>
      </c>
      <c r="S11" s="77">
        <f t="shared" si="1"/>
        <v>638.07407999999998</v>
      </c>
      <c r="T11" s="77">
        <f t="shared" si="2"/>
        <v>203.06799999999998</v>
      </c>
      <c r="U11" s="77">
        <f t="shared" si="3"/>
        <v>1592.0531199999998</v>
      </c>
      <c r="V11" s="110">
        <v>135.4</v>
      </c>
      <c r="W11" s="110">
        <v>92.7</v>
      </c>
      <c r="X11" s="76" t="s">
        <v>64</v>
      </c>
      <c r="Y11" s="91">
        <v>629777.6</v>
      </c>
      <c r="Z11" s="5">
        <f t="shared" si="6"/>
        <v>399</v>
      </c>
      <c r="AA11" s="18">
        <f t="shared" si="13"/>
        <v>4017.9300000000003</v>
      </c>
      <c r="AB11" s="109">
        <v>37131153</v>
      </c>
      <c r="AC11" s="81">
        <f t="shared" si="9"/>
        <v>37118503</v>
      </c>
      <c r="AD11" s="5">
        <f t="shared" si="7"/>
        <v>12650</v>
      </c>
      <c r="AE11" s="77">
        <f t="shared" si="10"/>
        <v>4232.2978499999999</v>
      </c>
      <c r="AF11" s="77">
        <v>20.399999999999999</v>
      </c>
      <c r="AG11" s="77">
        <v>5.7</v>
      </c>
      <c r="AH11" s="77">
        <v>6</v>
      </c>
      <c r="AI11" s="71">
        <f>AJ10</f>
        <v>33463.5</v>
      </c>
      <c r="AJ11" s="91">
        <v>33474.199999999997</v>
      </c>
      <c r="AK11" s="56">
        <f t="shared" si="8"/>
        <v>10.69999999999709</v>
      </c>
      <c r="AL11" s="76">
        <f t="shared" si="4"/>
        <v>3042.492956162172</v>
      </c>
      <c r="AM11" s="77">
        <f t="shared" si="11"/>
        <v>1017.9238258502218</v>
      </c>
      <c r="AN11" s="5">
        <v>171</v>
      </c>
      <c r="AO11" s="18">
        <f t="shared" si="5"/>
        <v>16771.44097</v>
      </c>
    </row>
    <row r="12" spans="1:44" x14ac:dyDescent="0.25">
      <c r="A12" s="85">
        <v>43867</v>
      </c>
      <c r="B12" s="109">
        <v>6241</v>
      </c>
      <c r="C12" s="109">
        <v>5372</v>
      </c>
      <c r="D12" s="109">
        <v>958</v>
      </c>
      <c r="E12" s="109">
        <v>7214</v>
      </c>
      <c r="F12" s="109">
        <v>6022</v>
      </c>
      <c r="G12" s="109">
        <v>3304</v>
      </c>
      <c r="H12" s="109">
        <v>3558</v>
      </c>
      <c r="I12" s="109">
        <v>2196</v>
      </c>
      <c r="J12" s="109">
        <v>7301</v>
      </c>
      <c r="K12" s="76">
        <f t="shared" si="12"/>
        <v>32669</v>
      </c>
      <c r="L12" s="18">
        <f t="shared" ref="L12:L35" si="14">K12*0.21</f>
        <v>6860.49</v>
      </c>
      <c r="M12" s="110">
        <v>211.703</v>
      </c>
      <c r="N12" s="110">
        <v>4.2839999999999998</v>
      </c>
      <c r="O12" s="110">
        <v>3.6960000000000002</v>
      </c>
      <c r="P12" s="111">
        <v>63.49</v>
      </c>
      <c r="Q12" s="110">
        <v>8.4789999999999992</v>
      </c>
      <c r="R12" s="77">
        <f t="shared" si="0"/>
        <v>71.47</v>
      </c>
      <c r="S12" s="77">
        <f t="shared" si="1"/>
        <v>560.32479999999998</v>
      </c>
      <c r="T12" s="77">
        <f t="shared" si="2"/>
        <v>220.18200000000002</v>
      </c>
      <c r="U12" s="77">
        <f t="shared" si="3"/>
        <v>1726.2268800000002</v>
      </c>
      <c r="V12" s="110">
        <v>137.6</v>
      </c>
      <c r="W12" s="110">
        <v>91.48</v>
      </c>
      <c r="X12" s="76" t="s">
        <v>64</v>
      </c>
      <c r="Y12" s="109">
        <v>630183.69999999995</v>
      </c>
      <c r="Z12" s="5">
        <f t="shared" si="6"/>
        <v>406.09999999997672</v>
      </c>
      <c r="AA12" s="18">
        <f t="shared" si="13"/>
        <v>4089.4269999997655</v>
      </c>
      <c r="AB12" s="109">
        <v>37145006</v>
      </c>
      <c r="AC12" s="81">
        <f t="shared" si="9"/>
        <v>37131153</v>
      </c>
      <c r="AD12" s="5">
        <f t="shared" si="7"/>
        <v>13853</v>
      </c>
      <c r="AE12" s="77">
        <f t="shared" si="10"/>
        <v>4634.7843570000005</v>
      </c>
      <c r="AF12" s="77">
        <v>22.7</v>
      </c>
      <c r="AG12" s="77">
        <v>6.2</v>
      </c>
      <c r="AH12" s="77">
        <v>7.1</v>
      </c>
      <c r="AI12" s="71">
        <f>AJ11</f>
        <v>33474.199999999997</v>
      </c>
      <c r="AJ12" s="91">
        <v>33487</v>
      </c>
      <c r="AK12" s="56">
        <f t="shared" si="8"/>
        <v>12.80000000000291</v>
      </c>
      <c r="AL12" s="76">
        <f t="shared" si="4"/>
        <v>3639.6177419528271</v>
      </c>
      <c r="AM12" s="77">
        <f t="shared" si="11"/>
        <v>1217.7032683074156</v>
      </c>
      <c r="AN12" s="5">
        <v>124</v>
      </c>
      <c r="AO12" s="18">
        <f t="shared" si="5"/>
        <v>17310.928236999767</v>
      </c>
    </row>
    <row r="13" spans="1:44" x14ac:dyDescent="0.25">
      <c r="A13" s="85">
        <v>43868</v>
      </c>
      <c r="B13" s="109">
        <v>5961</v>
      </c>
      <c r="C13" s="109">
        <v>5964</v>
      </c>
      <c r="D13" s="109">
        <v>869</v>
      </c>
      <c r="E13" s="109">
        <v>6852</v>
      </c>
      <c r="F13" s="109">
        <v>6095</v>
      </c>
      <c r="G13" s="109">
        <v>3218</v>
      </c>
      <c r="H13" s="109">
        <v>3528</v>
      </c>
      <c r="I13" s="109">
        <v>2091</v>
      </c>
      <c r="J13" s="109">
        <v>6894</v>
      </c>
      <c r="K13" s="76">
        <f t="shared" si="12"/>
        <v>32487</v>
      </c>
      <c r="L13" s="18">
        <f t="shared" si="14"/>
        <v>6822.2699999999995</v>
      </c>
      <c r="M13" s="110">
        <v>194.44900000000001</v>
      </c>
      <c r="N13" s="110">
        <v>2.8439999999999999</v>
      </c>
      <c r="O13" s="110">
        <v>4.3840000000000003</v>
      </c>
      <c r="P13" s="111">
        <v>69.703999999999994</v>
      </c>
      <c r="Q13" s="110">
        <v>4.5430000000000001</v>
      </c>
      <c r="R13" s="77">
        <f t="shared" si="0"/>
        <v>76.931999999999988</v>
      </c>
      <c r="S13" s="77">
        <f t="shared" si="1"/>
        <v>603.1468799999999</v>
      </c>
      <c r="T13" s="77">
        <f t="shared" si="2"/>
        <v>198.99200000000002</v>
      </c>
      <c r="U13" s="77">
        <f t="shared" si="3"/>
        <v>1560.0972800000002</v>
      </c>
      <c r="V13" s="110">
        <v>140.30000000000001</v>
      </c>
      <c r="W13" s="110">
        <v>85.81</v>
      </c>
      <c r="X13" s="76" t="s">
        <v>64</v>
      </c>
      <c r="Y13" s="109">
        <v>630604.4</v>
      </c>
      <c r="Z13" s="5">
        <f t="shared" si="6"/>
        <v>420.70000000006985</v>
      </c>
      <c r="AA13" s="18">
        <f t="shared" si="13"/>
        <v>4236.4490000007036</v>
      </c>
      <c r="AB13" s="109">
        <v>37159254</v>
      </c>
      <c r="AC13" s="81">
        <f t="shared" si="9"/>
        <v>37145006</v>
      </c>
      <c r="AD13" s="5">
        <f t="shared" si="7"/>
        <v>14248</v>
      </c>
      <c r="AE13" s="77">
        <f t="shared" si="10"/>
        <v>4766.939112</v>
      </c>
      <c r="AF13" s="77">
        <v>23.2</v>
      </c>
      <c r="AG13" s="77">
        <v>6.8</v>
      </c>
      <c r="AH13" s="77">
        <v>7.8</v>
      </c>
      <c r="AI13" s="71">
        <f t="shared" ref="AI13:AI35" si="15">AJ12</f>
        <v>33487</v>
      </c>
      <c r="AJ13" s="91">
        <v>33500</v>
      </c>
      <c r="AK13" s="56">
        <f t="shared" si="8"/>
        <v>13</v>
      </c>
      <c r="AL13" s="76">
        <f t="shared" si="4"/>
        <v>3696.4867691699997</v>
      </c>
      <c r="AM13" s="77">
        <f t="shared" si="11"/>
        <v>1236.7298818744375</v>
      </c>
      <c r="AN13" s="5">
        <v>141</v>
      </c>
      <c r="AO13" s="18">
        <f t="shared" si="5"/>
        <v>17385.755392000705</v>
      </c>
    </row>
    <row r="14" spans="1:44" x14ac:dyDescent="0.25">
      <c r="A14" s="85">
        <v>43869</v>
      </c>
      <c r="B14" s="109">
        <v>5554</v>
      </c>
      <c r="C14" s="109">
        <v>5160</v>
      </c>
      <c r="D14" s="109">
        <v>907</v>
      </c>
      <c r="E14" s="109">
        <v>6942</v>
      </c>
      <c r="F14" s="109">
        <v>5893</v>
      </c>
      <c r="G14" s="109">
        <v>3253</v>
      </c>
      <c r="H14" s="109">
        <v>3602</v>
      </c>
      <c r="I14" s="109">
        <v>2276</v>
      </c>
      <c r="J14" s="109">
        <v>6891</v>
      </c>
      <c r="K14" s="76">
        <f t="shared" si="12"/>
        <v>31311</v>
      </c>
      <c r="L14" s="18">
        <f t="shared" si="14"/>
        <v>6575.3099999999995</v>
      </c>
      <c r="M14" s="110">
        <v>209.15199999999999</v>
      </c>
      <c r="N14" s="110">
        <v>7.3479999999999999</v>
      </c>
      <c r="O14" s="110">
        <v>5.1520000000000001</v>
      </c>
      <c r="P14" s="111">
        <v>67.186999999999998</v>
      </c>
      <c r="Q14" s="110">
        <v>4.9790000000000001</v>
      </c>
      <c r="R14" s="77">
        <v>4.9000000000000004</v>
      </c>
      <c r="S14" s="77">
        <f t="shared" si="1"/>
        <v>624.74608000000001</v>
      </c>
      <c r="T14" s="77">
        <f t="shared" si="2"/>
        <v>214.131</v>
      </c>
      <c r="U14" s="77">
        <f t="shared" si="3"/>
        <v>1678.7870399999999</v>
      </c>
      <c r="V14" s="110">
        <v>140.6</v>
      </c>
      <c r="W14" s="110">
        <v>83.15</v>
      </c>
      <c r="X14" s="76" t="s">
        <v>64</v>
      </c>
      <c r="Y14" s="91">
        <v>631005.19999999995</v>
      </c>
      <c r="Z14" s="5">
        <f t="shared" si="6"/>
        <v>400.79999999993015</v>
      </c>
      <c r="AA14" s="18">
        <f t="shared" si="13"/>
        <v>4036.0559999992965</v>
      </c>
      <c r="AB14" s="109">
        <v>37173670</v>
      </c>
      <c r="AC14" s="81">
        <f t="shared" si="9"/>
        <v>37159254</v>
      </c>
      <c r="AD14" s="5">
        <f t="shared" si="7"/>
        <v>14416</v>
      </c>
      <c r="AE14" s="77">
        <f t="shared" si="10"/>
        <v>4823.1467039999998</v>
      </c>
      <c r="AF14" s="77">
        <v>22.7</v>
      </c>
      <c r="AG14" s="77">
        <v>7.2</v>
      </c>
      <c r="AH14" s="77">
        <v>8.5</v>
      </c>
      <c r="AI14" s="71">
        <f t="shared" si="15"/>
        <v>33500</v>
      </c>
      <c r="AJ14" s="91">
        <v>33513.599999999999</v>
      </c>
      <c r="AK14" s="56">
        <f t="shared" si="8"/>
        <v>13.599999999998545</v>
      </c>
      <c r="AL14" s="76">
        <f t="shared" si="4"/>
        <v>3867.0938508235859</v>
      </c>
      <c r="AM14" s="77">
        <f t="shared" si="11"/>
        <v>1293.8097225761962</v>
      </c>
      <c r="AN14" s="5">
        <v>163</v>
      </c>
      <c r="AO14" s="18">
        <f t="shared" si="5"/>
        <v>17113.299743999294</v>
      </c>
    </row>
    <row r="15" spans="1:44" x14ac:dyDescent="0.25">
      <c r="A15" s="85">
        <v>43870</v>
      </c>
      <c r="B15" s="109">
        <v>7186</v>
      </c>
      <c r="C15" s="109">
        <v>5593</v>
      </c>
      <c r="D15" s="109">
        <v>887</v>
      </c>
      <c r="E15" s="109">
        <v>7052</v>
      </c>
      <c r="F15" s="109">
        <v>6108</v>
      </c>
      <c r="G15" s="109">
        <v>3175</v>
      </c>
      <c r="H15" s="109">
        <v>3543</v>
      </c>
      <c r="I15" s="109">
        <v>2250</v>
      </c>
      <c r="J15" s="109">
        <v>7039</v>
      </c>
      <c r="K15" s="76">
        <f t="shared" si="12"/>
        <v>33544</v>
      </c>
      <c r="L15" s="18">
        <f t="shared" si="14"/>
        <v>7044.24</v>
      </c>
      <c r="M15" s="110">
        <v>204.36199999999999</v>
      </c>
      <c r="N15" s="110">
        <v>4.91</v>
      </c>
      <c r="O15" s="110">
        <v>4.8899999999999997</v>
      </c>
      <c r="P15" s="111">
        <v>56.048000000000002</v>
      </c>
      <c r="Q15" s="110">
        <v>11.967000000000001</v>
      </c>
      <c r="R15" s="77">
        <f t="shared" si="0"/>
        <v>65.847999999999999</v>
      </c>
      <c r="S15" s="77">
        <f t="shared" si="1"/>
        <v>516.24832000000004</v>
      </c>
      <c r="T15" s="77">
        <f t="shared" si="2"/>
        <v>216.32900000000001</v>
      </c>
      <c r="U15" s="77">
        <f t="shared" si="3"/>
        <v>1696.01936</v>
      </c>
      <c r="V15" s="110">
        <v>148.30000000000001</v>
      </c>
      <c r="W15" s="110">
        <v>86.6</v>
      </c>
      <c r="X15" s="76" t="s">
        <v>64</v>
      </c>
      <c r="Y15" s="91">
        <v>631407.19999999995</v>
      </c>
      <c r="Z15" s="5">
        <f>IF((Y15-Y14&lt;0), "0",Y15-Y14)</f>
        <v>402</v>
      </c>
      <c r="AA15" s="18">
        <f t="shared" si="13"/>
        <v>4048.1400000000003</v>
      </c>
      <c r="AB15" s="109">
        <v>37188893</v>
      </c>
      <c r="AC15" s="81">
        <f t="shared" si="9"/>
        <v>37173670</v>
      </c>
      <c r="AD15" s="5">
        <f t="shared" si="7"/>
        <v>15223</v>
      </c>
      <c r="AE15" s="77">
        <f t="shared" si="10"/>
        <v>5093.1438870000002</v>
      </c>
      <c r="AF15" s="77">
        <v>25.4</v>
      </c>
      <c r="AG15" s="77">
        <v>7.5</v>
      </c>
      <c r="AH15" s="77">
        <v>7.7</v>
      </c>
      <c r="AI15" s="71">
        <f t="shared" si="15"/>
        <v>33513.599999999999</v>
      </c>
      <c r="AJ15" s="91">
        <v>33526.300000000003</v>
      </c>
      <c r="AK15" s="56">
        <f t="shared" si="8"/>
        <v>12.700000000004366</v>
      </c>
      <c r="AL15" s="76">
        <f t="shared" si="4"/>
        <v>3611.1832283442409</v>
      </c>
      <c r="AM15" s="77">
        <f t="shared" si="11"/>
        <v>1208.1899615239045</v>
      </c>
      <c r="AN15" s="5">
        <v>173</v>
      </c>
      <c r="AO15" s="18">
        <f t="shared" si="5"/>
        <v>17881.543247000001</v>
      </c>
    </row>
    <row r="16" spans="1:44" x14ac:dyDescent="0.25">
      <c r="A16" s="85">
        <v>43871</v>
      </c>
      <c r="B16" s="109">
        <v>6317</v>
      </c>
      <c r="C16" s="109">
        <v>5797</v>
      </c>
      <c r="D16" s="109">
        <v>891</v>
      </c>
      <c r="E16" s="109">
        <v>7195</v>
      </c>
      <c r="F16" s="109">
        <v>6216</v>
      </c>
      <c r="G16" s="109">
        <v>3202</v>
      </c>
      <c r="H16" s="109">
        <v>3648</v>
      </c>
      <c r="I16" s="109">
        <v>2290</v>
      </c>
      <c r="J16" s="109">
        <v>7236</v>
      </c>
      <c r="K16" s="76">
        <f t="shared" si="12"/>
        <v>33266</v>
      </c>
      <c r="L16" s="18">
        <f t="shared" si="14"/>
        <v>6985.86</v>
      </c>
      <c r="M16" s="110">
        <v>217.251</v>
      </c>
      <c r="N16" s="110">
        <v>4.2610000000000001</v>
      </c>
      <c r="O16" s="110">
        <v>5.56</v>
      </c>
      <c r="P16" s="111">
        <v>53.411999999999999</v>
      </c>
      <c r="Q16" s="110">
        <v>5.08</v>
      </c>
      <c r="R16" s="77">
        <f t="shared" si="0"/>
        <v>63.232999999999997</v>
      </c>
      <c r="S16" s="77">
        <f t="shared" si="1"/>
        <v>495.74671999999998</v>
      </c>
      <c r="T16" s="77">
        <f t="shared" si="2"/>
        <v>222.33100000000002</v>
      </c>
      <c r="U16" s="77">
        <f t="shared" si="3"/>
        <v>1743.0750400000002</v>
      </c>
      <c r="V16" s="110">
        <v>162.30000000000001</v>
      </c>
      <c r="W16" s="110">
        <v>92.74</v>
      </c>
      <c r="X16" s="76" t="s">
        <v>64</v>
      </c>
      <c r="Y16" s="91">
        <v>631850.6</v>
      </c>
      <c r="Z16" s="5">
        <f t="shared" si="6"/>
        <v>443.40000000002328</v>
      </c>
      <c r="AA16" s="18">
        <f t="shared" si="13"/>
        <v>4465.0380000002342</v>
      </c>
      <c r="AB16" s="109">
        <v>37204832</v>
      </c>
      <c r="AC16" s="81">
        <f t="shared" si="9"/>
        <v>37188893</v>
      </c>
      <c r="AD16" s="5">
        <f t="shared" si="7"/>
        <v>15939</v>
      </c>
      <c r="AE16" s="77">
        <f t="shared" si="10"/>
        <v>5332.695291</v>
      </c>
      <c r="AF16" s="77">
        <v>27.3</v>
      </c>
      <c r="AG16" s="77">
        <v>7.5</v>
      </c>
      <c r="AH16" s="77">
        <v>7.7</v>
      </c>
      <c r="AI16" s="71">
        <f t="shared" si="15"/>
        <v>33526.300000000003</v>
      </c>
      <c r="AJ16" s="91">
        <v>33540.199999999997</v>
      </c>
      <c r="AK16" s="56">
        <f t="shared" si="8"/>
        <v>13.899999999994179</v>
      </c>
      <c r="AL16" s="76">
        <f t="shared" si="4"/>
        <v>3952.3973916493446</v>
      </c>
      <c r="AM16" s="77">
        <f t="shared" si="11"/>
        <v>1322.3496429267295</v>
      </c>
      <c r="AN16" s="5">
        <v>190</v>
      </c>
      <c r="AO16" s="18">
        <f t="shared" si="5"/>
        <v>18526.668331000234</v>
      </c>
    </row>
    <row r="17" spans="1:41" x14ac:dyDescent="0.25">
      <c r="A17" s="85">
        <v>43872</v>
      </c>
      <c r="B17" s="109">
        <v>6929</v>
      </c>
      <c r="C17" s="109">
        <v>5298</v>
      </c>
      <c r="D17" s="109">
        <v>873</v>
      </c>
      <c r="E17" s="109">
        <v>6938</v>
      </c>
      <c r="F17" s="109">
        <v>6074</v>
      </c>
      <c r="G17" s="109">
        <v>2988</v>
      </c>
      <c r="H17" s="109">
        <v>3555</v>
      </c>
      <c r="I17" s="109">
        <v>2239</v>
      </c>
      <c r="J17" s="109">
        <v>6847</v>
      </c>
      <c r="K17" s="76">
        <f t="shared" si="12"/>
        <v>32655</v>
      </c>
      <c r="L17" s="18">
        <f t="shared" si="14"/>
        <v>6857.55</v>
      </c>
      <c r="M17" s="110">
        <v>218.441</v>
      </c>
      <c r="N17" s="110">
        <v>3.8849999999999998</v>
      </c>
      <c r="O17" s="110">
        <v>5.3129999999999997</v>
      </c>
      <c r="P17" s="111">
        <v>56.585999999999999</v>
      </c>
      <c r="Q17" s="110">
        <v>7.593</v>
      </c>
      <c r="R17" s="77">
        <f t="shared" si="0"/>
        <v>65.783999999999992</v>
      </c>
      <c r="S17" s="77">
        <f t="shared" si="1"/>
        <v>515.74655999999993</v>
      </c>
      <c r="T17" s="77">
        <f t="shared" si="2"/>
        <v>226.03399999999999</v>
      </c>
      <c r="U17" s="77">
        <f t="shared" si="3"/>
        <v>1772.1065599999999</v>
      </c>
      <c r="V17" s="110">
        <v>138.5</v>
      </c>
      <c r="W17" s="110">
        <v>92.58</v>
      </c>
      <c r="X17" s="76" t="s">
        <v>64</v>
      </c>
      <c r="Y17" s="91">
        <v>632246.69999999995</v>
      </c>
      <c r="Z17" s="5">
        <f t="shared" si="6"/>
        <v>396.09999999997672</v>
      </c>
      <c r="AA17" s="18">
        <f t="shared" si="13"/>
        <v>3988.7269999997657</v>
      </c>
      <c r="AB17" s="109">
        <v>37217946</v>
      </c>
      <c r="AC17" s="81">
        <f t="shared" si="9"/>
        <v>37204832</v>
      </c>
      <c r="AD17" s="5">
        <f t="shared" si="7"/>
        <v>13114</v>
      </c>
      <c r="AE17" s="77">
        <f t="shared" si="10"/>
        <v>4387.5378659999997</v>
      </c>
      <c r="AF17" s="77">
        <v>21.7</v>
      </c>
      <c r="AG17" s="77">
        <v>5.8</v>
      </c>
      <c r="AH17" s="77">
        <v>6.4</v>
      </c>
      <c r="AI17" s="71">
        <f t="shared" si="15"/>
        <v>33540.199999999997</v>
      </c>
      <c r="AJ17" s="91">
        <v>33551.599999999999</v>
      </c>
      <c r="AK17" s="56">
        <f t="shared" si="8"/>
        <v>11.400000000001455</v>
      </c>
      <c r="AL17" s="76">
        <f t="shared" si="4"/>
        <v>3241.5345514264136</v>
      </c>
      <c r="AM17" s="77">
        <f t="shared" si="11"/>
        <v>1084.5169733361838</v>
      </c>
      <c r="AN17" s="5">
        <v>195</v>
      </c>
      <c r="AO17" s="18">
        <f t="shared" si="5"/>
        <v>17005.921425999764</v>
      </c>
    </row>
    <row r="18" spans="1:41" x14ac:dyDescent="0.25">
      <c r="A18" s="85">
        <v>43873</v>
      </c>
      <c r="B18" s="109">
        <v>8221</v>
      </c>
      <c r="C18" s="109">
        <v>5978</v>
      </c>
      <c r="D18" s="109">
        <v>759</v>
      </c>
      <c r="E18" s="109">
        <v>7085</v>
      </c>
      <c r="F18" s="109">
        <v>6114</v>
      </c>
      <c r="G18" s="109">
        <v>3078</v>
      </c>
      <c r="H18" s="109">
        <v>3515</v>
      </c>
      <c r="I18" s="109">
        <v>2202</v>
      </c>
      <c r="J18" s="109">
        <v>6908</v>
      </c>
      <c r="K18" s="76">
        <f t="shared" si="12"/>
        <v>34750</v>
      </c>
      <c r="L18" s="18">
        <f t="shared" si="14"/>
        <v>7297.5</v>
      </c>
      <c r="M18" s="110">
        <v>216.19800000000001</v>
      </c>
      <c r="N18" s="110">
        <v>5.1289999999999996</v>
      </c>
      <c r="O18" s="110">
        <v>5.0170000000000003</v>
      </c>
      <c r="P18" s="111">
        <v>66.334999999999994</v>
      </c>
      <c r="Q18" s="110">
        <v>16.978999999999999</v>
      </c>
      <c r="R18" s="77">
        <f t="shared" si="0"/>
        <v>76.480999999999995</v>
      </c>
      <c r="S18" s="77">
        <f t="shared" si="1"/>
        <v>599.61104</v>
      </c>
      <c r="T18" s="77">
        <f t="shared" si="2"/>
        <v>233.17700000000002</v>
      </c>
      <c r="U18" s="77">
        <f t="shared" si="3"/>
        <v>1828.1076800000001</v>
      </c>
      <c r="V18" s="110">
        <v>128.9</v>
      </c>
      <c r="W18" s="110">
        <v>89.84</v>
      </c>
      <c r="X18" s="76" t="s">
        <v>64</v>
      </c>
      <c r="Y18" s="91">
        <v>632617.80000000005</v>
      </c>
      <c r="Z18" s="5">
        <f t="shared" si="6"/>
        <v>371.10000000009313</v>
      </c>
      <c r="AA18" s="18">
        <f t="shared" si="13"/>
        <v>3736.977000000938</v>
      </c>
      <c r="AB18" s="109">
        <v>37228588</v>
      </c>
      <c r="AC18" s="109">
        <f t="shared" si="9"/>
        <v>37217946</v>
      </c>
      <c r="AD18" s="5">
        <f t="shared" si="7"/>
        <v>10642</v>
      </c>
      <c r="AE18" s="77">
        <f t="shared" si="10"/>
        <v>3560.4832980000001</v>
      </c>
      <c r="AF18" s="77">
        <v>16.399999999999999</v>
      </c>
      <c r="AG18" s="77">
        <v>4.4000000000000004</v>
      </c>
      <c r="AH18" s="77">
        <v>5.4</v>
      </c>
      <c r="AI18" s="71">
        <f t="shared" si="15"/>
        <v>33551.599999999999</v>
      </c>
      <c r="AJ18" s="91">
        <v>33560.199999999997</v>
      </c>
      <c r="AK18" s="56">
        <f t="shared" si="8"/>
        <v>8.5999999999985448</v>
      </c>
      <c r="AL18" s="76">
        <f t="shared" si="4"/>
        <v>2445.3681703735861</v>
      </c>
      <c r="AM18" s="77">
        <f t="shared" si="11"/>
        <v>818.14438339372032</v>
      </c>
      <c r="AN18" s="5">
        <v>190</v>
      </c>
      <c r="AO18" s="18">
        <f t="shared" si="5"/>
        <v>16423.067978000938</v>
      </c>
    </row>
    <row r="19" spans="1:41" x14ac:dyDescent="0.25">
      <c r="A19" s="85">
        <v>43874</v>
      </c>
      <c r="B19" s="109">
        <v>8972</v>
      </c>
      <c r="C19" s="109">
        <v>5799</v>
      </c>
      <c r="D19" s="109">
        <v>930</v>
      </c>
      <c r="E19" s="109">
        <v>7381</v>
      </c>
      <c r="F19" s="109">
        <v>6118</v>
      </c>
      <c r="G19" s="109">
        <v>3244</v>
      </c>
      <c r="H19" s="109">
        <v>3549</v>
      </c>
      <c r="I19" s="109">
        <v>2203</v>
      </c>
      <c r="J19" s="109">
        <v>7358</v>
      </c>
      <c r="K19" s="76">
        <f t="shared" si="12"/>
        <v>35993</v>
      </c>
      <c r="L19" s="18">
        <f t="shared" si="14"/>
        <v>7558.53</v>
      </c>
      <c r="M19" s="110">
        <v>222.22</v>
      </c>
      <c r="N19" s="110">
        <v>4.298</v>
      </c>
      <c r="O19" s="110">
        <v>5.1909999999999998</v>
      </c>
      <c r="P19" s="111">
        <v>65.757000000000005</v>
      </c>
      <c r="Q19" s="110">
        <v>8.2579999999999991</v>
      </c>
      <c r="R19" s="77">
        <f t="shared" si="0"/>
        <v>75.246000000000009</v>
      </c>
      <c r="S19" s="77">
        <f t="shared" si="1"/>
        <v>589.92864000000009</v>
      </c>
      <c r="T19" s="77">
        <f t="shared" si="2"/>
        <v>230.47800000000001</v>
      </c>
      <c r="U19" s="77">
        <f t="shared" si="3"/>
        <v>1806.9475199999999</v>
      </c>
      <c r="V19" s="110">
        <v>150.4</v>
      </c>
      <c r="W19" s="110">
        <v>88.61</v>
      </c>
      <c r="X19" s="76" t="s">
        <v>64</v>
      </c>
      <c r="Y19" s="109">
        <v>633060.30000000005</v>
      </c>
      <c r="Z19" s="5">
        <f t="shared" si="6"/>
        <v>442.5</v>
      </c>
      <c r="AA19" s="18">
        <f t="shared" si="13"/>
        <v>4455.9750000000004</v>
      </c>
      <c r="AB19" s="109">
        <v>37239979</v>
      </c>
      <c r="AC19" s="109">
        <f t="shared" si="9"/>
        <v>37228588</v>
      </c>
      <c r="AD19" s="5">
        <f t="shared" si="7"/>
        <v>11391</v>
      </c>
      <c r="AE19" s="77">
        <f t="shared" si="10"/>
        <v>3811.0754790000001</v>
      </c>
      <c r="AF19" s="78">
        <v>18.100000000000001</v>
      </c>
      <c r="AG19" s="78">
        <v>4.9000000000000004</v>
      </c>
      <c r="AH19" s="78">
        <v>5.5</v>
      </c>
      <c r="AI19" s="71">
        <f t="shared" si="15"/>
        <v>33560.199999999997</v>
      </c>
      <c r="AJ19" s="91">
        <v>33569</v>
      </c>
      <c r="AK19" s="56">
        <f t="shared" si="8"/>
        <v>8.8000000000029104</v>
      </c>
      <c r="AL19" s="76">
        <f t="shared" si="4"/>
        <v>2502.2371975928272</v>
      </c>
      <c r="AM19" s="77">
        <f t="shared" si="11"/>
        <v>837.17099696143464</v>
      </c>
      <c r="AN19" s="5">
        <v>167</v>
      </c>
      <c r="AO19" s="18">
        <f t="shared" si="5"/>
        <v>17632.527999000002</v>
      </c>
    </row>
    <row r="20" spans="1:41" x14ac:dyDescent="0.25">
      <c r="A20" s="85">
        <v>43875</v>
      </c>
      <c r="B20" s="109">
        <v>9260</v>
      </c>
      <c r="C20" s="109">
        <v>5635</v>
      </c>
      <c r="D20" s="109">
        <v>909</v>
      </c>
      <c r="E20" s="109">
        <v>7611</v>
      </c>
      <c r="F20" s="109">
        <v>6260</v>
      </c>
      <c r="G20" s="109">
        <v>3138</v>
      </c>
      <c r="H20" s="109">
        <v>3543</v>
      </c>
      <c r="I20" s="109">
        <v>2235</v>
      </c>
      <c r="J20" s="109">
        <v>7453</v>
      </c>
      <c r="K20" s="76">
        <f t="shared" si="12"/>
        <v>36356</v>
      </c>
      <c r="L20" s="18">
        <f t="shared" si="14"/>
        <v>7634.7599999999993</v>
      </c>
      <c r="M20" s="110">
        <v>229.18199999999999</v>
      </c>
      <c r="N20" s="110">
        <v>5.2770000000000001</v>
      </c>
      <c r="O20" s="110">
        <v>5.3570000000000002</v>
      </c>
      <c r="P20" s="111">
        <v>70.739000000000004</v>
      </c>
      <c r="Q20" s="110">
        <v>4.74</v>
      </c>
      <c r="R20" s="77">
        <f t="shared" si="0"/>
        <v>81.373000000000005</v>
      </c>
      <c r="S20" s="77">
        <f t="shared" si="1"/>
        <v>637.96432000000004</v>
      </c>
      <c r="T20" s="77">
        <f t="shared" si="2"/>
        <v>233.922</v>
      </c>
      <c r="U20" s="77">
        <f t="shared" si="3"/>
        <v>1833.94848</v>
      </c>
      <c r="V20" s="110">
        <v>155.80000000000001</v>
      </c>
      <c r="W20" s="110">
        <v>96.19</v>
      </c>
      <c r="X20" s="76" t="s">
        <v>64</v>
      </c>
      <c r="Y20" s="91">
        <v>633514</v>
      </c>
      <c r="Z20" s="5">
        <f t="shared" si="6"/>
        <v>453.69999999995343</v>
      </c>
      <c r="AA20" s="18">
        <f t="shared" si="13"/>
        <v>4568.7589999995316</v>
      </c>
      <c r="AB20" s="109">
        <v>37251750</v>
      </c>
      <c r="AC20" s="109">
        <f t="shared" si="9"/>
        <v>37239979</v>
      </c>
      <c r="AD20" s="5">
        <f t="shared" si="7"/>
        <v>11771</v>
      </c>
      <c r="AE20" s="77">
        <f t="shared" si="10"/>
        <v>3938.211699</v>
      </c>
      <c r="AF20" s="77">
        <v>18.5</v>
      </c>
      <c r="AG20" s="77">
        <v>5.3</v>
      </c>
      <c r="AH20" s="77">
        <v>5.6</v>
      </c>
      <c r="AI20" s="71">
        <f t="shared" si="15"/>
        <v>33569</v>
      </c>
      <c r="AJ20" s="91">
        <v>33578.800000000003</v>
      </c>
      <c r="AK20" s="56">
        <f t="shared" si="8"/>
        <v>9.8000000000029104</v>
      </c>
      <c r="AL20" s="76">
        <f t="shared" si="4"/>
        <v>2786.5823336828275</v>
      </c>
      <c r="AM20" s="77">
        <f t="shared" si="11"/>
        <v>932.30406479792998</v>
      </c>
      <c r="AN20" s="5">
        <v>158</v>
      </c>
      <c r="AO20" s="18">
        <f t="shared" si="5"/>
        <v>17975.67917899953</v>
      </c>
    </row>
    <row r="21" spans="1:41" x14ac:dyDescent="0.25">
      <c r="A21" s="85">
        <v>43876</v>
      </c>
      <c r="B21" s="109">
        <v>8002</v>
      </c>
      <c r="C21" s="109">
        <v>4552</v>
      </c>
      <c r="D21" s="109">
        <v>923</v>
      </c>
      <c r="E21" s="109">
        <v>7109</v>
      </c>
      <c r="F21" s="109">
        <v>5701</v>
      </c>
      <c r="G21" s="109">
        <v>3024</v>
      </c>
      <c r="H21" s="109">
        <v>3433</v>
      </c>
      <c r="I21" s="109">
        <v>2335</v>
      </c>
      <c r="J21" s="109">
        <v>7115</v>
      </c>
      <c r="K21" s="76">
        <f t="shared" si="12"/>
        <v>32744</v>
      </c>
      <c r="L21" s="18">
        <f t="shared" si="14"/>
        <v>6876.24</v>
      </c>
      <c r="M21" s="110">
        <v>205.9</v>
      </c>
      <c r="N21" s="110">
        <v>6.6</v>
      </c>
      <c r="O21" s="110">
        <v>4.5999999999999996</v>
      </c>
      <c r="P21" s="111">
        <v>71.400000000000006</v>
      </c>
      <c r="Q21" s="110">
        <v>9.4</v>
      </c>
      <c r="R21" s="77">
        <f t="shared" si="0"/>
        <v>82.600000000000009</v>
      </c>
      <c r="S21" s="77">
        <f t="shared" si="1"/>
        <v>647.58400000000006</v>
      </c>
      <c r="T21" s="77">
        <f t="shared" si="2"/>
        <v>215.3</v>
      </c>
      <c r="U21" s="77">
        <f t="shared" si="3"/>
        <v>1687.952</v>
      </c>
      <c r="V21" s="110">
        <v>126.2</v>
      </c>
      <c r="W21" s="110">
        <v>91.8</v>
      </c>
      <c r="X21" s="76" t="s">
        <v>64</v>
      </c>
      <c r="Y21" s="109">
        <v>633902.5</v>
      </c>
      <c r="Z21" s="5">
        <f t="shared" si="6"/>
        <v>388.5</v>
      </c>
      <c r="AA21" s="18">
        <f t="shared" si="13"/>
        <v>3912.1950000000002</v>
      </c>
      <c r="AB21" s="109">
        <v>37263731</v>
      </c>
      <c r="AC21" s="109">
        <f t="shared" si="9"/>
        <v>37251750</v>
      </c>
      <c r="AD21" s="5">
        <f t="shared" si="7"/>
        <v>11981</v>
      </c>
      <c r="AE21" s="77">
        <f t="shared" si="10"/>
        <v>4008.4711889999999</v>
      </c>
      <c r="AF21" s="77">
        <v>18.100000000000001</v>
      </c>
      <c r="AG21" s="77">
        <v>5.5</v>
      </c>
      <c r="AH21" s="77">
        <v>5.9</v>
      </c>
      <c r="AI21" s="71">
        <f t="shared" si="15"/>
        <v>33578.800000000003</v>
      </c>
      <c r="AJ21" s="91">
        <v>33589.9</v>
      </c>
      <c r="AK21" s="56">
        <f t="shared" si="8"/>
        <v>11.099999999998545</v>
      </c>
      <c r="AL21" s="76">
        <f t="shared" si="4"/>
        <v>3156.2310105985862</v>
      </c>
      <c r="AM21" s="77">
        <f t="shared" si="11"/>
        <v>1055.9770529849584</v>
      </c>
      <c r="AN21" s="5">
        <v>141</v>
      </c>
      <c r="AO21" s="18">
        <f t="shared" si="5"/>
        <v>16484.858188999999</v>
      </c>
    </row>
    <row r="22" spans="1:41" x14ac:dyDescent="0.25">
      <c r="A22" s="85">
        <v>43877</v>
      </c>
      <c r="B22" s="109">
        <v>6263</v>
      </c>
      <c r="C22" s="109">
        <v>5278</v>
      </c>
      <c r="D22" s="109">
        <v>907</v>
      </c>
      <c r="E22" s="109">
        <v>7327</v>
      </c>
      <c r="F22" s="109">
        <v>5812</v>
      </c>
      <c r="G22" s="109">
        <v>3015</v>
      </c>
      <c r="H22" s="109">
        <v>3562</v>
      </c>
      <c r="I22" s="109">
        <v>2233</v>
      </c>
      <c r="J22" s="109">
        <v>7017</v>
      </c>
      <c r="K22" s="76">
        <f t="shared" si="12"/>
        <v>32164</v>
      </c>
      <c r="L22" s="18">
        <f t="shared" si="14"/>
        <v>6754.44</v>
      </c>
      <c r="M22" s="110">
        <v>209.7</v>
      </c>
      <c r="N22" s="110">
        <v>4.4000000000000004</v>
      </c>
      <c r="O22" s="110">
        <v>4.5999999999999996</v>
      </c>
      <c r="P22" s="111">
        <v>60.5</v>
      </c>
      <c r="Q22" s="110">
        <v>3.5</v>
      </c>
      <c r="R22" s="77">
        <f t="shared" si="0"/>
        <v>69.5</v>
      </c>
      <c r="S22" s="77">
        <f t="shared" si="1"/>
        <v>544.88</v>
      </c>
      <c r="T22" s="77">
        <f t="shared" si="2"/>
        <v>213.2</v>
      </c>
      <c r="U22" s="77">
        <f t="shared" si="3"/>
        <v>1671.4879999999998</v>
      </c>
      <c r="V22" s="110">
        <v>138.6</v>
      </c>
      <c r="W22" s="110">
        <v>93.2</v>
      </c>
      <c r="X22" s="76" t="s">
        <v>64</v>
      </c>
      <c r="Y22" s="109">
        <v>634306</v>
      </c>
      <c r="Z22" s="5">
        <f t="shared" si="6"/>
        <v>403.5</v>
      </c>
      <c r="AA22" s="18">
        <f t="shared" si="13"/>
        <v>4063.2449999999999</v>
      </c>
      <c r="AB22" s="109">
        <v>37276585</v>
      </c>
      <c r="AC22" s="109">
        <f t="shared" si="9"/>
        <v>37263731</v>
      </c>
      <c r="AD22" s="5">
        <f t="shared" si="7"/>
        <v>12854</v>
      </c>
      <c r="AE22" s="77">
        <f t="shared" si="10"/>
        <v>4300.5499259999997</v>
      </c>
      <c r="AF22" s="77">
        <v>21.5</v>
      </c>
      <c r="AG22" s="77">
        <v>6</v>
      </c>
      <c r="AH22" s="77">
        <v>6.4</v>
      </c>
      <c r="AI22" s="71">
        <f t="shared" si="15"/>
        <v>33589.9</v>
      </c>
      <c r="AJ22" s="91">
        <v>33602.5</v>
      </c>
      <c r="AK22" s="56">
        <f t="shared" si="8"/>
        <v>12.599999999998545</v>
      </c>
      <c r="AL22" s="76">
        <f t="shared" si="4"/>
        <v>3582.748714733586</v>
      </c>
      <c r="AM22" s="77">
        <f t="shared" si="11"/>
        <v>1198.6766547397012</v>
      </c>
      <c r="AN22" s="5">
        <v>139</v>
      </c>
      <c r="AO22" s="18">
        <f t="shared" si="5"/>
        <v>16789.722925999999</v>
      </c>
    </row>
    <row r="23" spans="1:41" x14ac:dyDescent="0.25">
      <c r="A23" s="85">
        <v>43878</v>
      </c>
      <c r="B23" s="109">
        <v>5957</v>
      </c>
      <c r="C23" s="109">
        <v>5236</v>
      </c>
      <c r="D23" s="109">
        <v>922</v>
      </c>
      <c r="E23" s="109">
        <v>6990</v>
      </c>
      <c r="F23" s="109">
        <v>5713</v>
      </c>
      <c r="G23" s="109">
        <v>2918</v>
      </c>
      <c r="H23" s="109">
        <v>3567</v>
      </c>
      <c r="I23" s="109">
        <v>2211</v>
      </c>
      <c r="J23" s="109">
        <v>6929</v>
      </c>
      <c r="K23" s="76">
        <f t="shared" si="12"/>
        <v>31303</v>
      </c>
      <c r="L23" s="18">
        <f t="shared" si="14"/>
        <v>6573.63</v>
      </c>
      <c r="M23" s="110">
        <v>188.8</v>
      </c>
      <c r="N23" s="110">
        <v>6.5</v>
      </c>
      <c r="O23" s="110">
        <v>4.8</v>
      </c>
      <c r="P23" s="111">
        <v>59.1</v>
      </c>
      <c r="Q23" s="110">
        <v>2.7</v>
      </c>
      <c r="R23" s="77">
        <f t="shared" si="0"/>
        <v>70.400000000000006</v>
      </c>
      <c r="S23" s="77">
        <f t="shared" si="1"/>
        <v>551.93600000000004</v>
      </c>
      <c r="T23" s="77">
        <f t="shared" si="2"/>
        <v>191.5</v>
      </c>
      <c r="U23" s="77">
        <f t="shared" si="3"/>
        <v>1501.36</v>
      </c>
      <c r="V23" s="110">
        <v>125.4</v>
      </c>
      <c r="W23" s="110">
        <v>85.4</v>
      </c>
      <c r="X23" s="76" t="s">
        <v>64</v>
      </c>
      <c r="Y23" s="109">
        <v>634706.9</v>
      </c>
      <c r="Z23" s="5">
        <f t="shared" si="6"/>
        <v>400.90000000002328</v>
      </c>
      <c r="AA23" s="18">
        <f t="shared" si="13"/>
        <v>4037.0630000002348</v>
      </c>
      <c r="AB23" s="109">
        <v>37290995</v>
      </c>
      <c r="AC23" s="109">
        <f t="shared" si="9"/>
        <v>37276585</v>
      </c>
      <c r="AD23" s="5">
        <f t="shared" si="7"/>
        <v>14410</v>
      </c>
      <c r="AE23" s="77">
        <f t="shared" si="10"/>
        <v>4821.1392900000001</v>
      </c>
      <c r="AF23" s="77">
        <v>23.2</v>
      </c>
      <c r="AG23" s="77">
        <v>6.9</v>
      </c>
      <c r="AH23" s="77">
        <v>6.7</v>
      </c>
      <c r="AI23" s="71">
        <f t="shared" si="15"/>
        <v>33602.5</v>
      </c>
      <c r="AJ23" s="91">
        <v>33615.199999999997</v>
      </c>
      <c r="AK23" s="56">
        <f t="shared" si="8"/>
        <v>12.69999999999709</v>
      </c>
      <c r="AL23" s="76">
        <f t="shared" si="4"/>
        <v>3611.1832283421722</v>
      </c>
      <c r="AM23" s="77">
        <f t="shared" si="11"/>
        <v>1208.1899615232123</v>
      </c>
      <c r="AN23" s="5">
        <v>137</v>
      </c>
      <c r="AO23" s="18">
        <f t="shared" si="5"/>
        <v>16933.192290000236</v>
      </c>
    </row>
    <row r="24" spans="1:41" x14ac:dyDescent="0.25">
      <c r="A24" s="85">
        <v>43879</v>
      </c>
      <c r="B24" s="109">
        <v>6866</v>
      </c>
      <c r="C24" s="109">
        <v>5557</v>
      </c>
      <c r="D24" s="109">
        <v>886</v>
      </c>
      <c r="E24" s="109">
        <v>6990</v>
      </c>
      <c r="F24" s="109">
        <v>5691</v>
      </c>
      <c r="G24" s="109">
        <v>2915</v>
      </c>
      <c r="H24" s="109">
        <v>3540</v>
      </c>
      <c r="I24" s="109">
        <v>2299</v>
      </c>
      <c r="J24" s="109">
        <v>5911</v>
      </c>
      <c r="K24" s="76">
        <f t="shared" si="12"/>
        <v>32445</v>
      </c>
      <c r="L24" s="18">
        <f t="shared" si="14"/>
        <v>6813.45</v>
      </c>
      <c r="M24" s="110">
        <v>206.2</v>
      </c>
      <c r="N24" s="110">
        <v>3.6</v>
      </c>
      <c r="O24" s="110">
        <v>4.5999999999999996</v>
      </c>
      <c r="P24" s="111">
        <v>55.2</v>
      </c>
      <c r="Q24" s="110">
        <v>5.7</v>
      </c>
      <c r="R24" s="77">
        <f t="shared" si="0"/>
        <v>63.400000000000006</v>
      </c>
      <c r="S24" s="77">
        <f t="shared" si="1"/>
        <v>497.05600000000004</v>
      </c>
      <c r="T24" s="77">
        <f t="shared" si="2"/>
        <v>211.89999999999998</v>
      </c>
      <c r="U24" s="77">
        <f t="shared" si="3"/>
        <v>1661.2959999999998</v>
      </c>
      <c r="V24" s="110">
        <v>146.19999999999999</v>
      </c>
      <c r="W24" s="110">
        <v>100.7</v>
      </c>
      <c r="X24" s="76" t="s">
        <v>64</v>
      </c>
      <c r="Y24" s="91">
        <v>635103</v>
      </c>
      <c r="Z24" s="5">
        <f t="shared" si="6"/>
        <v>396.09999999997672</v>
      </c>
      <c r="AA24" s="18">
        <f t="shared" si="13"/>
        <v>3988.7269999997657</v>
      </c>
      <c r="AB24" s="109">
        <v>37305637</v>
      </c>
      <c r="AC24" s="109">
        <f t="shared" si="9"/>
        <v>37290995</v>
      </c>
      <c r="AD24" s="5">
        <f t="shared" si="7"/>
        <v>14642</v>
      </c>
      <c r="AE24" s="77">
        <f t="shared" si="10"/>
        <v>4898.7592979999999</v>
      </c>
      <c r="AF24" s="77">
        <v>24.5</v>
      </c>
      <c r="AG24" s="77">
        <v>6.9</v>
      </c>
      <c r="AH24" s="77">
        <v>6.7</v>
      </c>
      <c r="AI24" s="71">
        <f t="shared" si="15"/>
        <v>33615.199999999997</v>
      </c>
      <c r="AJ24" s="91">
        <v>33627</v>
      </c>
      <c r="AK24" s="56">
        <f t="shared" si="8"/>
        <v>11.80000000000291</v>
      </c>
      <c r="AL24" s="76">
        <f t="shared" si="4"/>
        <v>3355.2726058628273</v>
      </c>
      <c r="AM24" s="77">
        <f t="shared" si="11"/>
        <v>1122.5702004709203</v>
      </c>
      <c r="AN24" s="5">
        <v>139</v>
      </c>
      <c r="AO24" s="18">
        <f t="shared" si="5"/>
        <v>17362.232297999766</v>
      </c>
    </row>
    <row r="25" spans="1:41" x14ac:dyDescent="0.25">
      <c r="A25" s="85">
        <v>43880</v>
      </c>
      <c r="B25" s="109">
        <v>6809</v>
      </c>
      <c r="C25" s="109">
        <v>5270</v>
      </c>
      <c r="D25" s="109">
        <v>889</v>
      </c>
      <c r="E25" s="109">
        <v>7168</v>
      </c>
      <c r="F25" s="109">
        <v>5763</v>
      </c>
      <c r="G25" s="109">
        <v>3107</v>
      </c>
      <c r="H25" s="109">
        <v>3590</v>
      </c>
      <c r="I25" s="109">
        <v>2384</v>
      </c>
      <c r="J25" s="109">
        <v>8152</v>
      </c>
      <c r="K25" s="76">
        <f t="shared" si="12"/>
        <v>32596</v>
      </c>
      <c r="L25" s="18">
        <f t="shared" si="14"/>
        <v>6845.16</v>
      </c>
      <c r="M25" s="110">
        <v>218.874</v>
      </c>
      <c r="N25" s="110">
        <v>2.91</v>
      </c>
      <c r="O25" s="110">
        <v>4.7969999999999997</v>
      </c>
      <c r="P25" s="111">
        <v>61.052</v>
      </c>
      <c r="Q25" s="110">
        <v>9.4169999999999998</v>
      </c>
      <c r="R25" s="77">
        <f t="shared" si="0"/>
        <v>68.759</v>
      </c>
      <c r="S25" s="77">
        <f t="shared" si="1"/>
        <v>539.07056</v>
      </c>
      <c r="T25" s="77">
        <f t="shared" si="2"/>
        <v>228.291</v>
      </c>
      <c r="U25" s="77">
        <f t="shared" si="3"/>
        <v>1789.80144</v>
      </c>
      <c r="V25" s="110">
        <v>145.9</v>
      </c>
      <c r="W25" s="110">
        <v>93.23</v>
      </c>
      <c r="X25" s="76" t="s">
        <v>64</v>
      </c>
      <c r="Y25" s="91">
        <v>635521.69999999995</v>
      </c>
      <c r="Z25" s="5">
        <f t="shared" si="6"/>
        <v>418.69999999995343</v>
      </c>
      <c r="AA25" s="18">
        <f t="shared" si="13"/>
        <v>4216.3089999995309</v>
      </c>
      <c r="AB25" s="109">
        <v>37320954</v>
      </c>
      <c r="AC25" s="109">
        <f t="shared" si="9"/>
        <v>37305637</v>
      </c>
      <c r="AD25" s="5">
        <f t="shared" si="7"/>
        <v>15317</v>
      </c>
      <c r="AE25" s="77">
        <f t="shared" si="10"/>
        <v>5124.5933729999997</v>
      </c>
      <c r="AF25" s="77">
        <v>25.6</v>
      </c>
      <c r="AG25" s="77">
        <v>7.3</v>
      </c>
      <c r="AH25" s="77">
        <v>7.1</v>
      </c>
      <c r="AI25" s="71">
        <f t="shared" si="15"/>
        <v>33627</v>
      </c>
      <c r="AJ25" s="91">
        <v>33639.5</v>
      </c>
      <c r="AK25" s="56">
        <f t="shared" si="8"/>
        <v>12.5</v>
      </c>
      <c r="AL25" s="76">
        <f t="shared" si="4"/>
        <v>3554.3142011249997</v>
      </c>
      <c r="AM25" s="77">
        <f t="shared" si="11"/>
        <v>1189.1633479561901</v>
      </c>
      <c r="AN25" s="5">
        <v>180</v>
      </c>
      <c r="AO25" s="18">
        <f t="shared" si="5"/>
        <v>17975.863812999531</v>
      </c>
    </row>
    <row r="26" spans="1:41" x14ac:dyDescent="0.25">
      <c r="A26" s="85">
        <v>43881</v>
      </c>
      <c r="B26" s="109">
        <v>6573</v>
      </c>
      <c r="C26" s="109">
        <v>5357</v>
      </c>
      <c r="D26" s="109">
        <v>908</v>
      </c>
      <c r="E26" s="109">
        <v>7472</v>
      </c>
      <c r="F26" s="109">
        <v>5944</v>
      </c>
      <c r="G26" s="109">
        <v>3181</v>
      </c>
      <c r="H26" s="109">
        <v>3644</v>
      </c>
      <c r="I26" s="109">
        <v>2363</v>
      </c>
      <c r="J26" s="109">
        <v>7430</v>
      </c>
      <c r="K26" s="76">
        <f t="shared" si="12"/>
        <v>33079</v>
      </c>
      <c r="L26" s="18">
        <f t="shared" si="14"/>
        <v>6946.59</v>
      </c>
      <c r="M26" s="110">
        <v>252.541</v>
      </c>
      <c r="N26" s="110">
        <v>3.6429999999999998</v>
      </c>
      <c r="O26" s="110">
        <v>4.7919999999999998</v>
      </c>
      <c r="P26" s="111">
        <v>66.367999999999995</v>
      </c>
      <c r="Q26" s="110">
        <v>7.7590000000000003</v>
      </c>
      <c r="R26" s="77">
        <f t="shared" si="0"/>
        <v>74.802999999999997</v>
      </c>
      <c r="S26" s="77">
        <f t="shared" si="1"/>
        <v>586.45551999999998</v>
      </c>
      <c r="T26" s="77">
        <f t="shared" si="2"/>
        <v>260.3</v>
      </c>
      <c r="U26" s="77">
        <f t="shared" si="3"/>
        <v>2040.752</v>
      </c>
      <c r="V26" s="110">
        <v>161.19999999999999</v>
      </c>
      <c r="W26" s="110">
        <v>90.54</v>
      </c>
      <c r="X26" s="76" t="s">
        <v>64</v>
      </c>
      <c r="Y26" s="91">
        <v>636003.69999999995</v>
      </c>
      <c r="Z26" s="5">
        <f t="shared" si="6"/>
        <v>482</v>
      </c>
      <c r="AA26" s="18">
        <f t="shared" si="13"/>
        <v>4853.74</v>
      </c>
      <c r="AB26" s="109">
        <v>37337644</v>
      </c>
      <c r="AC26" s="109">
        <f t="shared" si="9"/>
        <v>37320954</v>
      </c>
      <c r="AD26" s="5">
        <f t="shared" si="7"/>
        <v>16690</v>
      </c>
      <c r="AE26" s="77">
        <f t="shared" si="10"/>
        <v>5583.9566100000002</v>
      </c>
      <c r="AF26" s="77">
        <v>29</v>
      </c>
      <c r="AG26" s="77">
        <v>7.5</v>
      </c>
      <c r="AH26" s="77">
        <v>7.8</v>
      </c>
      <c r="AI26" s="71">
        <f t="shared" si="15"/>
        <v>33639.5</v>
      </c>
      <c r="AJ26" s="91">
        <v>33653.4</v>
      </c>
      <c r="AK26" s="56">
        <f t="shared" si="8"/>
        <v>13.900000000001455</v>
      </c>
      <c r="AL26" s="76">
        <f t="shared" si="4"/>
        <v>3952.3973916514137</v>
      </c>
      <c r="AM26" s="77">
        <f t="shared" si="11"/>
        <v>1322.3496429274219</v>
      </c>
      <c r="AN26" s="5">
        <v>169</v>
      </c>
      <c r="AO26" s="18">
        <f t="shared" si="5"/>
        <v>19425.03861</v>
      </c>
    </row>
    <row r="27" spans="1:41" x14ac:dyDescent="0.25">
      <c r="A27" s="85">
        <v>43882</v>
      </c>
      <c r="B27" s="109"/>
      <c r="C27" s="109"/>
      <c r="D27" s="109"/>
      <c r="E27" s="109"/>
      <c r="F27" s="109"/>
      <c r="G27" s="109"/>
      <c r="H27" s="109"/>
      <c r="I27" s="109"/>
      <c r="J27" s="109"/>
      <c r="K27" s="76">
        <f t="shared" si="12"/>
        <v>0</v>
      </c>
      <c r="L27" s="18">
        <f t="shared" si="14"/>
        <v>0</v>
      </c>
      <c r="M27" s="110"/>
      <c r="N27" s="110"/>
      <c r="O27" s="110"/>
      <c r="P27" s="111"/>
      <c r="Q27" s="110"/>
      <c r="R27" s="77">
        <f t="shared" si="0"/>
        <v>0</v>
      </c>
      <c r="S27" s="77">
        <f t="shared" si="1"/>
        <v>0</v>
      </c>
      <c r="T27" s="77">
        <f t="shared" si="2"/>
        <v>0</v>
      </c>
      <c r="U27" s="77">
        <f t="shared" si="3"/>
        <v>0</v>
      </c>
      <c r="V27" s="110"/>
      <c r="W27" s="110"/>
      <c r="X27" s="76" t="s">
        <v>64</v>
      </c>
      <c r="Y27" s="91"/>
      <c r="Z27" s="5" t="str">
        <f t="shared" si="6"/>
        <v>0</v>
      </c>
      <c r="AA27" s="18">
        <f t="shared" si="13"/>
        <v>0</v>
      </c>
      <c r="AB27" s="109"/>
      <c r="AC27" s="109">
        <f t="shared" si="9"/>
        <v>37337644</v>
      </c>
      <c r="AD27" s="5" t="str">
        <f t="shared" si="7"/>
        <v>0</v>
      </c>
      <c r="AE27" s="77">
        <f t="shared" si="10"/>
        <v>0</v>
      </c>
      <c r="AF27" s="77"/>
      <c r="AG27" s="77"/>
      <c r="AH27" s="77"/>
      <c r="AI27" s="71">
        <f t="shared" si="15"/>
        <v>33653.4</v>
      </c>
      <c r="AJ27" s="91"/>
      <c r="AK27" s="56" t="str">
        <f t="shared" si="8"/>
        <v>0</v>
      </c>
      <c r="AL27" s="76">
        <f t="shared" si="4"/>
        <v>0</v>
      </c>
      <c r="AM27" s="77">
        <f t="shared" si="11"/>
        <v>0</v>
      </c>
      <c r="AN27" s="5"/>
      <c r="AO27" s="18">
        <f t="shared" si="5"/>
        <v>0</v>
      </c>
    </row>
    <row r="28" spans="1:41" x14ac:dyDescent="0.25">
      <c r="A28" s="85">
        <v>43883</v>
      </c>
      <c r="B28" s="109"/>
      <c r="C28" s="109"/>
      <c r="D28" s="109"/>
      <c r="E28" s="109"/>
      <c r="F28" s="109"/>
      <c r="G28" s="109"/>
      <c r="H28" s="109"/>
      <c r="I28" s="109"/>
      <c r="J28" s="109"/>
      <c r="K28" s="76">
        <f t="shared" si="12"/>
        <v>0</v>
      </c>
      <c r="L28" s="18">
        <f t="shared" si="14"/>
        <v>0</v>
      </c>
      <c r="M28" s="110"/>
      <c r="N28" s="110"/>
      <c r="O28" s="110"/>
      <c r="P28" s="111"/>
      <c r="Q28" s="110"/>
      <c r="R28" s="77">
        <f t="shared" si="0"/>
        <v>0</v>
      </c>
      <c r="S28" s="77">
        <f t="shared" si="1"/>
        <v>0</v>
      </c>
      <c r="T28" s="77">
        <f t="shared" si="2"/>
        <v>0</v>
      </c>
      <c r="U28" s="77">
        <f t="shared" si="3"/>
        <v>0</v>
      </c>
      <c r="V28" s="110"/>
      <c r="W28" s="110"/>
      <c r="X28" s="76" t="s">
        <v>64</v>
      </c>
      <c r="Y28" s="91"/>
      <c r="Z28" s="5">
        <f t="shared" si="6"/>
        <v>0</v>
      </c>
      <c r="AA28" s="18">
        <f t="shared" si="13"/>
        <v>0</v>
      </c>
      <c r="AB28" s="109"/>
      <c r="AC28" s="109">
        <f t="shared" si="9"/>
        <v>0</v>
      </c>
      <c r="AD28" s="5">
        <f t="shared" si="7"/>
        <v>0</v>
      </c>
      <c r="AE28" s="77">
        <f t="shared" si="10"/>
        <v>0</v>
      </c>
      <c r="AF28" s="110"/>
      <c r="AG28" s="110"/>
      <c r="AH28" s="110"/>
      <c r="AI28" s="71">
        <f t="shared" si="15"/>
        <v>0</v>
      </c>
      <c r="AJ28" s="91"/>
      <c r="AK28" s="56">
        <f t="shared" si="8"/>
        <v>0</v>
      </c>
      <c r="AL28" s="76">
        <f t="shared" si="4"/>
        <v>0</v>
      </c>
      <c r="AM28" s="77">
        <f t="shared" si="11"/>
        <v>0</v>
      </c>
      <c r="AN28" s="5"/>
      <c r="AO28" s="18">
        <f t="shared" si="5"/>
        <v>0</v>
      </c>
    </row>
    <row r="29" spans="1:41" x14ac:dyDescent="0.25">
      <c r="A29" s="85">
        <v>43884</v>
      </c>
      <c r="B29" s="109"/>
      <c r="C29" s="109"/>
      <c r="D29" s="109"/>
      <c r="E29" s="109"/>
      <c r="F29" s="109"/>
      <c r="G29" s="109"/>
      <c r="H29" s="109"/>
      <c r="I29" s="109"/>
      <c r="J29" s="109"/>
      <c r="K29" s="76">
        <f t="shared" si="12"/>
        <v>0</v>
      </c>
      <c r="L29" s="18">
        <f t="shared" si="14"/>
        <v>0</v>
      </c>
      <c r="M29" s="110"/>
      <c r="N29" s="110"/>
      <c r="O29" s="110"/>
      <c r="P29" s="111"/>
      <c r="Q29" s="110"/>
      <c r="R29" s="77">
        <f t="shared" si="0"/>
        <v>0</v>
      </c>
      <c r="S29" s="77">
        <f t="shared" si="1"/>
        <v>0</v>
      </c>
      <c r="T29" s="77">
        <f t="shared" si="2"/>
        <v>0</v>
      </c>
      <c r="U29" s="77">
        <f t="shared" si="3"/>
        <v>0</v>
      </c>
      <c r="V29" s="110"/>
      <c r="W29" s="110"/>
      <c r="X29" s="76" t="s">
        <v>64</v>
      </c>
      <c r="Y29" s="91"/>
      <c r="Z29" s="5">
        <f t="shared" si="6"/>
        <v>0</v>
      </c>
      <c r="AA29" s="18">
        <f t="shared" si="13"/>
        <v>0</v>
      </c>
      <c r="AB29" s="109"/>
      <c r="AC29" s="109">
        <f t="shared" si="9"/>
        <v>0</v>
      </c>
      <c r="AD29" s="5">
        <f t="shared" si="7"/>
        <v>0</v>
      </c>
      <c r="AE29" s="77">
        <f t="shared" si="10"/>
        <v>0</v>
      </c>
      <c r="AF29" s="77"/>
      <c r="AG29" s="77"/>
      <c r="AH29" s="77"/>
      <c r="AI29" s="71">
        <f t="shared" si="15"/>
        <v>0</v>
      </c>
      <c r="AJ29" s="91"/>
      <c r="AK29" s="56">
        <f t="shared" si="8"/>
        <v>0</v>
      </c>
      <c r="AL29" s="76">
        <f t="shared" si="4"/>
        <v>0</v>
      </c>
      <c r="AM29" s="77">
        <f t="shared" si="11"/>
        <v>0</v>
      </c>
      <c r="AN29" s="5"/>
      <c r="AO29" s="18">
        <f t="shared" si="5"/>
        <v>0</v>
      </c>
    </row>
    <row r="30" spans="1:41" x14ac:dyDescent="0.25">
      <c r="A30" s="85">
        <v>43885</v>
      </c>
      <c r="B30" s="109"/>
      <c r="C30" s="109"/>
      <c r="D30" s="109"/>
      <c r="E30" s="109"/>
      <c r="F30" s="109"/>
      <c r="G30" s="109"/>
      <c r="H30" s="109"/>
      <c r="I30" s="109"/>
      <c r="J30" s="109"/>
      <c r="K30" s="76">
        <f t="shared" si="12"/>
        <v>0</v>
      </c>
      <c r="L30" s="18">
        <f t="shared" si="14"/>
        <v>0</v>
      </c>
      <c r="M30" s="110"/>
      <c r="N30" s="110"/>
      <c r="O30" s="110"/>
      <c r="P30" s="111"/>
      <c r="Q30" s="110"/>
      <c r="R30" s="77">
        <f t="shared" si="0"/>
        <v>0</v>
      </c>
      <c r="S30" s="77">
        <f t="shared" si="1"/>
        <v>0</v>
      </c>
      <c r="T30" s="77">
        <f t="shared" si="2"/>
        <v>0</v>
      </c>
      <c r="U30" s="77">
        <f t="shared" si="3"/>
        <v>0</v>
      </c>
      <c r="V30" s="110"/>
      <c r="W30" s="110"/>
      <c r="X30" s="76" t="s">
        <v>64</v>
      </c>
      <c r="Y30" s="91"/>
      <c r="Z30" s="5">
        <f t="shared" si="6"/>
        <v>0</v>
      </c>
      <c r="AA30" s="18">
        <f t="shared" si="13"/>
        <v>0</v>
      </c>
      <c r="AB30" s="109"/>
      <c r="AC30" s="109">
        <f t="shared" si="9"/>
        <v>0</v>
      </c>
      <c r="AD30" s="5">
        <f t="shared" si="7"/>
        <v>0</v>
      </c>
      <c r="AE30" s="77">
        <f t="shared" si="10"/>
        <v>0</v>
      </c>
      <c r="AF30" s="77"/>
      <c r="AG30" s="77"/>
      <c r="AH30" s="77"/>
      <c r="AI30" s="71">
        <f t="shared" si="15"/>
        <v>0</v>
      </c>
      <c r="AJ30" s="91"/>
      <c r="AK30" s="56">
        <f t="shared" si="8"/>
        <v>0</v>
      </c>
      <c r="AL30" s="76">
        <f t="shared" si="4"/>
        <v>0</v>
      </c>
      <c r="AM30" s="77">
        <f t="shared" si="11"/>
        <v>0</v>
      </c>
      <c r="AN30" s="5"/>
      <c r="AO30" s="18">
        <f t="shared" si="5"/>
        <v>0</v>
      </c>
    </row>
    <row r="31" spans="1:41" x14ac:dyDescent="0.25">
      <c r="A31" s="85">
        <v>43886</v>
      </c>
      <c r="B31" s="81"/>
      <c r="C31" s="81"/>
      <c r="D31" s="81"/>
      <c r="E31" s="81"/>
      <c r="F31" s="81"/>
      <c r="G31" s="81"/>
      <c r="H31" s="81"/>
      <c r="I31" s="81"/>
      <c r="J31" s="81"/>
      <c r="K31" s="76">
        <f t="shared" si="12"/>
        <v>0</v>
      </c>
      <c r="L31" s="18">
        <f t="shared" si="14"/>
        <v>0</v>
      </c>
      <c r="M31" s="82"/>
      <c r="N31" s="82"/>
      <c r="O31" s="82"/>
      <c r="P31" s="83"/>
      <c r="Q31" s="82"/>
      <c r="R31" s="77">
        <f t="shared" si="0"/>
        <v>0</v>
      </c>
      <c r="S31" s="77">
        <f t="shared" si="1"/>
        <v>0</v>
      </c>
      <c r="T31" s="77">
        <f t="shared" si="2"/>
        <v>0</v>
      </c>
      <c r="U31" s="77">
        <f t="shared" si="3"/>
        <v>0</v>
      </c>
      <c r="V31" s="82"/>
      <c r="W31" s="82"/>
      <c r="X31" s="76" t="s">
        <v>64</v>
      </c>
      <c r="Y31" s="91"/>
      <c r="Z31" s="5">
        <f t="shared" si="6"/>
        <v>0</v>
      </c>
      <c r="AA31" s="18">
        <f t="shared" si="13"/>
        <v>0</v>
      </c>
      <c r="AB31" s="81"/>
      <c r="AC31" s="109">
        <f t="shared" si="9"/>
        <v>0</v>
      </c>
      <c r="AD31" s="5">
        <f t="shared" si="7"/>
        <v>0</v>
      </c>
      <c r="AE31" s="77">
        <f t="shared" si="10"/>
        <v>0</v>
      </c>
      <c r="AF31" s="77"/>
      <c r="AG31" s="77"/>
      <c r="AH31" s="77"/>
      <c r="AI31" s="71">
        <f t="shared" si="15"/>
        <v>0</v>
      </c>
      <c r="AJ31" s="91"/>
      <c r="AK31" s="56">
        <f t="shared" si="8"/>
        <v>0</v>
      </c>
      <c r="AL31" s="76">
        <f t="shared" si="4"/>
        <v>0</v>
      </c>
      <c r="AM31" s="77">
        <f t="shared" si="11"/>
        <v>0</v>
      </c>
      <c r="AN31" s="5"/>
      <c r="AO31" s="18">
        <f t="shared" si="5"/>
        <v>0</v>
      </c>
    </row>
    <row r="32" spans="1:41" x14ac:dyDescent="0.25">
      <c r="A32" s="85">
        <v>43887</v>
      </c>
      <c r="B32" s="88"/>
      <c r="C32" s="88"/>
      <c r="D32" s="88"/>
      <c r="E32" s="88"/>
      <c r="F32" s="88"/>
      <c r="G32" s="88"/>
      <c r="H32" s="88"/>
      <c r="I32" s="88"/>
      <c r="J32" s="88"/>
      <c r="K32" s="76">
        <f t="shared" si="12"/>
        <v>0</v>
      </c>
      <c r="L32" s="18">
        <f t="shared" si="14"/>
        <v>0</v>
      </c>
      <c r="M32" s="89"/>
      <c r="N32" s="89"/>
      <c r="O32" s="89"/>
      <c r="P32" s="90"/>
      <c r="Q32" s="89"/>
      <c r="R32" s="77">
        <f t="shared" si="0"/>
        <v>0</v>
      </c>
      <c r="S32" s="77">
        <f t="shared" si="1"/>
        <v>0</v>
      </c>
      <c r="T32" s="77">
        <f t="shared" si="2"/>
        <v>0</v>
      </c>
      <c r="U32" s="77">
        <f t="shared" si="3"/>
        <v>0</v>
      </c>
      <c r="V32" s="89"/>
      <c r="W32" s="89"/>
      <c r="X32" s="76" t="s">
        <v>64</v>
      </c>
      <c r="Y32" s="91"/>
      <c r="Z32" s="5">
        <f t="shared" si="6"/>
        <v>0</v>
      </c>
      <c r="AA32" s="18">
        <f t="shared" si="13"/>
        <v>0</v>
      </c>
      <c r="AB32" s="88"/>
      <c r="AC32" s="109">
        <f t="shared" si="9"/>
        <v>0</v>
      </c>
      <c r="AD32" s="5">
        <f t="shared" si="7"/>
        <v>0</v>
      </c>
      <c r="AE32" s="77">
        <f t="shared" si="10"/>
        <v>0</v>
      </c>
      <c r="AF32" s="77"/>
      <c r="AG32" s="77"/>
      <c r="AH32" s="77"/>
      <c r="AI32" s="71">
        <f t="shared" si="15"/>
        <v>0</v>
      </c>
      <c r="AJ32" s="91"/>
      <c r="AK32" s="56">
        <f t="shared" si="8"/>
        <v>0</v>
      </c>
      <c r="AL32" s="76">
        <f t="shared" si="4"/>
        <v>0</v>
      </c>
      <c r="AM32" s="77">
        <f t="shared" si="11"/>
        <v>0</v>
      </c>
      <c r="AN32" s="5"/>
      <c r="AO32" s="18">
        <f t="shared" si="5"/>
        <v>0</v>
      </c>
    </row>
    <row r="33" spans="1:41" x14ac:dyDescent="0.25">
      <c r="A33" s="85">
        <v>43888</v>
      </c>
      <c r="B33" s="88"/>
      <c r="C33" s="88"/>
      <c r="D33" s="88"/>
      <c r="E33" s="88"/>
      <c r="F33" s="88"/>
      <c r="G33" s="88"/>
      <c r="H33" s="88"/>
      <c r="I33" s="88"/>
      <c r="J33" s="88"/>
      <c r="K33" s="76">
        <f t="shared" si="12"/>
        <v>0</v>
      </c>
      <c r="L33" s="18">
        <f t="shared" si="14"/>
        <v>0</v>
      </c>
      <c r="M33" s="89"/>
      <c r="N33" s="89"/>
      <c r="O33" s="89"/>
      <c r="P33" s="90"/>
      <c r="Q33" s="89"/>
      <c r="R33" s="77">
        <f t="shared" si="0"/>
        <v>0</v>
      </c>
      <c r="S33" s="77">
        <f t="shared" si="1"/>
        <v>0</v>
      </c>
      <c r="T33" s="77">
        <f t="shared" si="2"/>
        <v>0</v>
      </c>
      <c r="U33" s="77">
        <f t="shared" si="3"/>
        <v>0</v>
      </c>
      <c r="V33" s="89"/>
      <c r="W33" s="89"/>
      <c r="X33" s="76" t="s">
        <v>64</v>
      </c>
      <c r="Y33" s="91"/>
      <c r="Z33" s="5">
        <f t="shared" si="6"/>
        <v>0</v>
      </c>
      <c r="AA33" s="18">
        <f t="shared" si="13"/>
        <v>0</v>
      </c>
      <c r="AB33" s="88"/>
      <c r="AC33" s="109">
        <f t="shared" si="9"/>
        <v>0</v>
      </c>
      <c r="AD33" s="5">
        <f t="shared" si="7"/>
        <v>0</v>
      </c>
      <c r="AE33" s="77">
        <f t="shared" si="10"/>
        <v>0</v>
      </c>
      <c r="AF33" s="77"/>
      <c r="AG33" s="77"/>
      <c r="AH33" s="77"/>
      <c r="AI33" s="71">
        <f t="shared" si="15"/>
        <v>0</v>
      </c>
      <c r="AJ33" s="91"/>
      <c r="AK33" s="56">
        <f t="shared" si="8"/>
        <v>0</v>
      </c>
      <c r="AL33" s="76">
        <f t="shared" si="4"/>
        <v>0</v>
      </c>
      <c r="AM33" s="77">
        <f t="shared" si="11"/>
        <v>0</v>
      </c>
      <c r="AN33" s="5"/>
      <c r="AO33" s="18">
        <f t="shared" si="5"/>
        <v>0</v>
      </c>
    </row>
    <row r="34" spans="1:41" x14ac:dyDescent="0.25">
      <c r="A34" s="85">
        <v>43889</v>
      </c>
      <c r="B34" s="76"/>
      <c r="C34" s="76"/>
      <c r="D34" s="76"/>
      <c r="E34" s="76"/>
      <c r="F34" s="76"/>
      <c r="G34" s="76"/>
      <c r="H34" s="76"/>
      <c r="I34" s="76"/>
      <c r="J34" s="76"/>
      <c r="K34" s="76">
        <f t="shared" si="12"/>
        <v>0</v>
      </c>
      <c r="L34" s="18">
        <f t="shared" si="14"/>
        <v>0</v>
      </c>
      <c r="M34" s="82"/>
      <c r="N34" s="82"/>
      <c r="O34" s="82"/>
      <c r="P34" s="83"/>
      <c r="Q34" s="82"/>
      <c r="R34" s="77">
        <f t="shared" si="0"/>
        <v>0</v>
      </c>
      <c r="S34" s="77">
        <f t="shared" si="1"/>
        <v>0</v>
      </c>
      <c r="T34" s="77">
        <f t="shared" si="2"/>
        <v>0</v>
      </c>
      <c r="U34" s="77">
        <f t="shared" si="3"/>
        <v>0</v>
      </c>
      <c r="V34" s="77"/>
      <c r="W34" s="77"/>
      <c r="X34" s="76" t="s">
        <v>64</v>
      </c>
      <c r="Y34" s="91"/>
      <c r="Z34" s="5">
        <f t="shared" si="6"/>
        <v>0</v>
      </c>
      <c r="AA34" s="18">
        <f t="shared" si="13"/>
        <v>0</v>
      </c>
      <c r="AB34" s="76"/>
      <c r="AC34" s="109">
        <f t="shared" si="9"/>
        <v>0</v>
      </c>
      <c r="AD34" s="5">
        <f t="shared" si="7"/>
        <v>0</v>
      </c>
      <c r="AE34" s="77">
        <f t="shared" si="10"/>
        <v>0</v>
      </c>
      <c r="AF34" s="77"/>
      <c r="AG34" s="77"/>
      <c r="AH34" s="77"/>
      <c r="AI34" s="71">
        <f t="shared" si="15"/>
        <v>0</v>
      </c>
      <c r="AJ34" s="91"/>
      <c r="AK34" s="56">
        <f t="shared" si="8"/>
        <v>0</v>
      </c>
      <c r="AL34" s="76">
        <f t="shared" si="4"/>
        <v>0</v>
      </c>
      <c r="AM34" s="77">
        <f t="shared" si="11"/>
        <v>0</v>
      </c>
      <c r="AN34" s="5"/>
      <c r="AO34" s="18">
        <f t="shared" si="5"/>
        <v>0</v>
      </c>
    </row>
    <row r="35" spans="1:41" x14ac:dyDescent="0.25">
      <c r="A35" s="85">
        <v>43890</v>
      </c>
      <c r="B35" s="76"/>
      <c r="C35" s="76"/>
      <c r="D35" s="76"/>
      <c r="E35" s="76"/>
      <c r="F35" s="76"/>
      <c r="G35" s="76"/>
      <c r="H35" s="76"/>
      <c r="I35" s="76"/>
      <c r="J35" s="76"/>
      <c r="K35" s="76">
        <f t="shared" si="12"/>
        <v>0</v>
      </c>
      <c r="L35" s="18">
        <f t="shared" si="14"/>
        <v>0</v>
      </c>
      <c r="M35" s="82"/>
      <c r="N35" s="82"/>
      <c r="O35" s="82"/>
      <c r="P35" s="83"/>
      <c r="Q35" s="82"/>
      <c r="R35" s="77">
        <f t="shared" si="0"/>
        <v>0</v>
      </c>
      <c r="S35" s="77">
        <f t="shared" si="1"/>
        <v>0</v>
      </c>
      <c r="T35" s="77">
        <f t="shared" si="2"/>
        <v>0</v>
      </c>
      <c r="U35" s="77">
        <f t="shared" si="3"/>
        <v>0</v>
      </c>
      <c r="V35" s="77"/>
      <c r="W35" s="77"/>
      <c r="X35" s="76" t="s">
        <v>64</v>
      </c>
      <c r="Y35" s="91"/>
      <c r="Z35" s="5">
        <f t="shared" si="6"/>
        <v>0</v>
      </c>
      <c r="AA35" s="18">
        <f t="shared" si="13"/>
        <v>0</v>
      </c>
      <c r="AB35" s="76"/>
      <c r="AC35" s="109">
        <f t="shared" si="9"/>
        <v>0</v>
      </c>
      <c r="AD35" s="5">
        <f t="shared" si="7"/>
        <v>0</v>
      </c>
      <c r="AE35" s="77">
        <f t="shared" si="10"/>
        <v>0</v>
      </c>
      <c r="AF35" s="77"/>
      <c r="AG35" s="77"/>
      <c r="AH35" s="77"/>
      <c r="AI35" s="71">
        <f t="shared" si="15"/>
        <v>0</v>
      </c>
      <c r="AJ35" s="91"/>
      <c r="AK35" s="56">
        <f t="shared" si="8"/>
        <v>0</v>
      </c>
      <c r="AL35" s="76">
        <f t="shared" si="4"/>
        <v>0</v>
      </c>
      <c r="AM35" s="77">
        <f t="shared" si="11"/>
        <v>0</v>
      </c>
      <c r="AN35" s="5"/>
      <c r="AO35" s="18">
        <f t="shared" si="5"/>
        <v>0</v>
      </c>
    </row>
    <row r="36" spans="1:41" x14ac:dyDescent="0.25">
      <c r="A36" s="86"/>
      <c r="D36" s="9">
        <f>SUM(D7:D35)</f>
        <v>17876</v>
      </c>
      <c r="E36" s="9" t="s">
        <v>95</v>
      </c>
      <c r="G36" s="9">
        <f t="shared" ref="G36:L36" si="16">SUM(G7:G35)</f>
        <v>62851</v>
      </c>
      <c r="H36" s="9">
        <f t="shared" si="16"/>
        <v>72381</v>
      </c>
      <c r="I36" s="9">
        <f t="shared" si="16"/>
        <v>44850</v>
      </c>
      <c r="J36" s="9">
        <f t="shared" si="16"/>
        <v>141246</v>
      </c>
      <c r="K36" s="9">
        <f t="shared" si="16"/>
        <v>668581</v>
      </c>
      <c r="L36" s="9">
        <f t="shared" si="16"/>
        <v>140402.00999999998</v>
      </c>
      <c r="R36" s="21">
        <f>SUM(R7:R35)</f>
        <v>1377.0320000000002</v>
      </c>
      <c r="T36" s="21">
        <f>SUM(T7:T35)</f>
        <v>4409.1660000000011</v>
      </c>
      <c r="U36" s="21">
        <f t="shared" si="3"/>
        <v>34567.861440000008</v>
      </c>
      <c r="Z36" s="23">
        <f>SUM(Z7:Z35)</f>
        <v>8261.5</v>
      </c>
      <c r="AA36" s="23">
        <f>SUM(AA7:AA35)</f>
        <v>83193.305000000008</v>
      </c>
      <c r="AD36" s="23">
        <f>SUM(AD7:AD35)</f>
        <v>267014</v>
      </c>
      <c r="AE36" s="21">
        <f>AD36*0.334569</f>
        <v>89334.606966000007</v>
      </c>
      <c r="AF36" s="21">
        <f>SUM(AF7:AF35)</f>
        <v>433.70000000000005</v>
      </c>
      <c r="AG36" s="21">
        <f>SUM(AG7:AG35)</f>
        <v>123.70000000000002</v>
      </c>
      <c r="AH36" s="21">
        <f>SUM(AH7:AH35)</f>
        <v>132.40000000000003</v>
      </c>
      <c r="AK36" s="50">
        <f>SUM(AK7:AK35)</f>
        <v>226.30000000000291</v>
      </c>
      <c r="AL36" s="50">
        <f>SUM(AL7:AL35)</f>
        <v>64347.304297167822</v>
      </c>
      <c r="AM36" s="50">
        <f>SUM(AM7:AM35)</f>
        <v>21528.613251399147</v>
      </c>
      <c r="AN36" s="50">
        <f>SUM(AN7:AN35)</f>
        <v>3252</v>
      </c>
      <c r="AO36" s="50">
        <f>SUM(AO7:AO35)</f>
        <v>347497.78340599994</v>
      </c>
    </row>
    <row r="37" spans="1:41" x14ac:dyDescent="0.25">
      <c r="D37" s="9" t="e">
        <f>#REF!*24</f>
        <v>#REF!</v>
      </c>
      <c r="E37" s="9" t="s">
        <v>1</v>
      </c>
      <c r="R37" s="21">
        <v>7.84</v>
      </c>
      <c r="T37" s="21" t="s">
        <v>102</v>
      </c>
      <c r="U37" s="21">
        <f>U36-R38</f>
        <v>23771.930560000008</v>
      </c>
    </row>
    <row r="38" spans="1:41" x14ac:dyDescent="0.25">
      <c r="D38" s="9" t="e">
        <f>D37*31</f>
        <v>#REF!</v>
      </c>
      <c r="E38" s="9" t="s">
        <v>2</v>
      </c>
      <c r="F38" s="9" t="s">
        <v>96</v>
      </c>
      <c r="G38" s="9" t="e">
        <f>D38*0.2</f>
        <v>#REF!</v>
      </c>
      <c r="R38" s="21">
        <f>R36*R37</f>
        <v>10795.930880000002</v>
      </c>
      <c r="U38" s="21">
        <f>U37/R37</f>
        <v>3032.1340000000009</v>
      </c>
    </row>
    <row r="39" spans="1:41" x14ac:dyDescent="0.25">
      <c r="D39" s="20" t="e">
        <f>D38*0.2</f>
        <v>#REF!</v>
      </c>
    </row>
    <row r="40" spans="1:41" x14ac:dyDescent="0.25">
      <c r="E40" s="84" t="s">
        <v>100</v>
      </c>
    </row>
    <row r="41" spans="1:41" x14ac:dyDescent="0.25">
      <c r="AD41" s="9">
        <f>G41*0.2</f>
        <v>0</v>
      </c>
    </row>
  </sheetData>
  <mergeCells count="13">
    <mergeCell ref="B1:J1"/>
    <mergeCell ref="X1:Y1"/>
    <mergeCell ref="K2:K4"/>
    <mergeCell ref="L2:L4"/>
    <mergeCell ref="S2:S5"/>
    <mergeCell ref="U2:U5"/>
    <mergeCell ref="AO2:AO5"/>
    <mergeCell ref="AA2:AA5"/>
    <mergeCell ref="AC2:AC5"/>
    <mergeCell ref="AD2:AD5"/>
    <mergeCell ref="AE2:AE5"/>
    <mergeCell ref="AM2:AM5"/>
    <mergeCell ref="AN2:AN5"/>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vt:lpstr>
      <vt:lpstr>Submetering</vt:lpstr>
      <vt:lpstr>FS-AD Daily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Diab</dc:creator>
  <cp:lastModifiedBy>Marian Chitian</cp:lastModifiedBy>
  <dcterms:created xsi:type="dcterms:W3CDTF">2017-05-03T09:23:30Z</dcterms:created>
  <dcterms:modified xsi:type="dcterms:W3CDTF">2020-02-23T04:38:52Z</dcterms:modified>
</cp:coreProperties>
</file>