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7F33D116-FFFB-427D-A286-C5FC9019C9E6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<sst xmlns="http://schemas.openxmlformats.org/spreadsheetml/2006/main" count="66" uniqueCount="32">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</sst>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&#12456;&#12493;&#12523;&#12462;&#12540;&#20351;&#29992;&#37327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171</v>
          </cell>
          <cell r="H387">
            <v>158</v>
          </cell>
          <cell r="I387">
            <v>162</v>
          </cell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312</v>
          </cell>
          <cell r="H388">
            <v>288</v>
          </cell>
          <cell r="I388">
            <v>289</v>
          </cell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211.8</v>
          </cell>
          <cell r="H23">
            <v>207.2</v>
          </cell>
          <cell r="I23">
            <v>213.1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245</v>
          </cell>
          <cell r="H41">
            <v>231</v>
          </cell>
          <cell r="I41">
            <v>209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24081.370800000001</v>
          </cell>
          <cell r="H91">
            <v>24731.9784</v>
          </cell>
          <cell r="I91">
            <v>25625.1054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2717.4395999999997</v>
          </cell>
          <cell r="H115">
            <v>2591.5962</v>
          </cell>
          <cell r="I115">
            <v>2421.5825999999997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16174</v>
          </cell>
          <cell r="H147">
            <v>15657</v>
          </cell>
          <cell r="I147">
            <v>15777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36.799999999999997</v>
          </cell>
        </row>
        <row r="23">
          <cell r="M23">
            <v>223.01671175446938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O31" sqref="O3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2023</v>
      </c>
      <c r="E2" s="9">
        <f>'Otemachi Daily'!D5</f>
        <v>16174</v>
      </c>
      <c r="F2" s="34">
        <f>[1]見込!$G$3</f>
        <v>36.799999999999997</v>
      </c>
      <c r="G2" s="9">
        <f>'Otemachi Daily'!F5</f>
        <v>211.8</v>
      </c>
      <c r="H2" s="34">
        <f>[1]見込!$M$23</f>
        <v>223.01671175446938</v>
      </c>
      <c r="I2" s="9">
        <f>'Otemachi Daily'!H5</f>
        <v>2717.4395999999997</v>
      </c>
      <c r="J2" s="34">
        <v>10.79</v>
      </c>
      <c r="K2" s="9">
        <f>'Otemachi Daily'!J5</f>
        <v>24081.370800000001</v>
      </c>
      <c r="L2" s="34">
        <v>7.22</v>
      </c>
      <c r="M2" s="9">
        <f>'Otemachi Daily'!L5</f>
        <v>245</v>
      </c>
      <c r="N2" s="34">
        <v>741</v>
      </c>
      <c r="O2" s="9">
        <f>'Otemachi Daily'!M5</f>
        <v>171</v>
      </c>
      <c r="P2" s="9">
        <f>'Otemachi Daily'!N5</f>
        <v>312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2023</v>
      </c>
      <c r="E3" s="9">
        <f>'Otemachi Daily'!D6</f>
        <v>15657</v>
      </c>
      <c r="F3" s="34">
        <f>[1]見込!$G$3</f>
        <v>36.799999999999997</v>
      </c>
      <c r="G3" s="9">
        <f>'Otemachi Daily'!F6</f>
        <v>207.2</v>
      </c>
      <c r="H3" s="34">
        <f>[1]見込!$M$23</f>
        <v>223.01671175446938</v>
      </c>
      <c r="I3" s="9">
        <f>'Otemachi Daily'!H6</f>
        <v>2591.5962</v>
      </c>
      <c r="J3" s="34">
        <v>10.79</v>
      </c>
      <c r="K3" s="9">
        <f>'Otemachi Daily'!J6</f>
        <v>24731.9784</v>
      </c>
      <c r="L3" s="34">
        <v>7.22</v>
      </c>
      <c r="M3" s="9">
        <f>'Otemachi Daily'!L6</f>
        <v>231</v>
      </c>
      <c r="N3" s="34">
        <v>741</v>
      </c>
      <c r="O3" s="9">
        <f>'Otemachi Daily'!M6</f>
        <v>158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2023</v>
      </c>
      <c r="E4" s="9">
        <f>'Otemachi Daily'!D7</f>
        <v>15777</v>
      </c>
      <c r="F4" s="34">
        <f>[1]見込!$G$3</f>
        <v>36.799999999999997</v>
      </c>
      <c r="G4" s="9">
        <f>'Otemachi Daily'!F7</f>
        <v>213.1</v>
      </c>
      <c r="H4" s="34">
        <f>[1]見込!$M$23</f>
        <v>223.01671175446938</v>
      </c>
      <c r="I4" s="9">
        <f>'Otemachi Daily'!H7</f>
        <v>2421.5825999999997</v>
      </c>
      <c r="J4" s="34">
        <v>10.79</v>
      </c>
      <c r="K4" s="9">
        <f>'Otemachi Daily'!J7</f>
        <v>25625.1054</v>
      </c>
      <c r="L4" s="34">
        <v>7.22</v>
      </c>
      <c r="M4" s="9">
        <f>'Otemachi Daily'!L7</f>
        <v>209</v>
      </c>
      <c r="N4" s="34">
        <v>741</v>
      </c>
      <c r="O4" s="9">
        <f>'Otemachi Daily'!M7</f>
        <v>162</v>
      </c>
      <c r="P4" s="9">
        <f>'Otemachi Daily'!N7</f>
        <v>289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2023</v>
      </c>
      <c r="E5" s="9">
        <f>'Otemachi Daily'!D8</f>
        <v>0</v>
      </c>
      <c r="F5" s="34">
        <f>[1]見込!$G$3</f>
        <v>36.799999999999997</v>
      </c>
      <c r="G5" s="9">
        <f>'Otemachi Daily'!F8</f>
        <v>0</v>
      </c>
      <c r="H5" s="34">
        <f>[1]見込!$M$23</f>
        <v>223.01671175446938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2023</v>
      </c>
      <c r="E6" s="9">
        <f>'Otemachi Daily'!D9</f>
        <v>0</v>
      </c>
      <c r="F6" s="34">
        <f>[1]見込!$G$3</f>
        <v>36.799999999999997</v>
      </c>
      <c r="G6" s="9">
        <f>'Otemachi Daily'!F9</f>
        <v>0</v>
      </c>
      <c r="H6" s="34">
        <f>[1]見込!$M$23</f>
        <v>223.01671175446938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2023</v>
      </c>
      <c r="E7" s="9">
        <f>'Otemachi Daily'!D10</f>
        <v>0</v>
      </c>
      <c r="F7" s="34">
        <f>[1]見込!$G$3</f>
        <v>36.799999999999997</v>
      </c>
      <c r="G7" s="9">
        <f>'Otemachi Daily'!F10</f>
        <v>0</v>
      </c>
      <c r="H7" s="34">
        <f>[1]見込!$M$23</f>
        <v>223.01671175446938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2023</v>
      </c>
      <c r="E8" s="9">
        <f>'Otemachi Daily'!D11</f>
        <v>0</v>
      </c>
      <c r="F8" s="34">
        <f>[1]見込!$G$3</f>
        <v>36.799999999999997</v>
      </c>
      <c r="G8" s="9">
        <f>'Otemachi Daily'!F11</f>
        <v>0</v>
      </c>
      <c r="H8" s="34">
        <f>[1]見込!$M$23</f>
        <v>223.01671175446938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2023</v>
      </c>
      <c r="E9" s="9">
        <f>'Otemachi Daily'!D12</f>
        <v>0</v>
      </c>
      <c r="F9" s="34">
        <f>[1]見込!$G$3</f>
        <v>36.799999999999997</v>
      </c>
      <c r="G9" s="9">
        <f>'Otemachi Daily'!F12</f>
        <v>0</v>
      </c>
      <c r="H9" s="34">
        <f>[1]見込!$M$23</f>
        <v>223.01671175446938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2023</v>
      </c>
      <c r="E10" s="9">
        <f>'Otemachi Daily'!D13</f>
        <v>0</v>
      </c>
      <c r="F10" s="34">
        <f>[1]見込!$G$3</f>
        <v>36.799999999999997</v>
      </c>
      <c r="G10" s="9">
        <f>'Otemachi Daily'!F13</f>
        <v>0</v>
      </c>
      <c r="H10" s="34">
        <f>[1]見込!$M$23</f>
        <v>223.01671175446938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2023</v>
      </c>
      <c r="E11" s="9">
        <f>'Otemachi Daily'!D14</f>
        <v>0</v>
      </c>
      <c r="F11" s="34">
        <f>[1]見込!$G$3</f>
        <v>36.799999999999997</v>
      </c>
      <c r="G11" s="9">
        <f>'Otemachi Daily'!F14</f>
        <v>0</v>
      </c>
      <c r="H11" s="34">
        <f>[1]見込!$M$23</f>
        <v>223.01671175446938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2023</v>
      </c>
      <c r="E12" s="9">
        <f>'Otemachi Daily'!D15</f>
        <v>0</v>
      </c>
      <c r="F12" s="34">
        <f>[1]見込!$G$3</f>
        <v>36.799999999999997</v>
      </c>
      <c r="G12" s="9">
        <f>'Otemachi Daily'!F15</f>
        <v>0</v>
      </c>
      <c r="H12" s="34">
        <f>[1]見込!$M$23</f>
        <v>223.01671175446938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2023</v>
      </c>
      <c r="E13" s="9">
        <f>'Otemachi Daily'!D16</f>
        <v>0</v>
      </c>
      <c r="F13" s="34">
        <f>[1]見込!$G$3</f>
        <v>36.799999999999997</v>
      </c>
      <c r="G13" s="9">
        <f>'Otemachi Daily'!F16</f>
        <v>0</v>
      </c>
      <c r="H13" s="34">
        <f>[1]見込!$M$23</f>
        <v>223.01671175446938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2023</v>
      </c>
      <c r="E14" s="9">
        <f>'Otemachi Daily'!D17</f>
        <v>0</v>
      </c>
      <c r="F14" s="34">
        <f>[1]見込!$G$3</f>
        <v>36.799999999999997</v>
      </c>
      <c r="G14" s="9">
        <f>'Otemachi Daily'!F17</f>
        <v>0</v>
      </c>
      <c r="H14" s="34">
        <f>[1]見込!$M$23</f>
        <v>223.01671175446938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2023</v>
      </c>
      <c r="E15" s="9">
        <f>'Otemachi Daily'!D18</f>
        <v>0</v>
      </c>
      <c r="F15" s="34">
        <f>[1]見込!$G$3</f>
        <v>36.799999999999997</v>
      </c>
      <c r="G15" s="9">
        <f>'Otemachi Daily'!F18</f>
        <v>0</v>
      </c>
      <c r="H15" s="34">
        <f>[1]見込!$M$23</f>
        <v>223.01671175446938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2023</v>
      </c>
      <c r="E16" s="9">
        <f>'Otemachi Daily'!D19</f>
        <v>0</v>
      </c>
      <c r="F16" s="34">
        <f>[1]見込!$G$3</f>
        <v>36.799999999999997</v>
      </c>
      <c r="G16" s="9">
        <f>'Otemachi Daily'!F19</f>
        <v>0</v>
      </c>
      <c r="H16" s="34">
        <f>[1]見込!$M$23</f>
        <v>223.01671175446938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2023</v>
      </c>
      <c r="E17" s="9">
        <f>'Otemachi Daily'!D20</f>
        <v>0</v>
      </c>
      <c r="F17" s="34">
        <f>[1]見込!$G$3</f>
        <v>36.799999999999997</v>
      </c>
      <c r="G17" s="9">
        <f>'Otemachi Daily'!F20</f>
        <v>0</v>
      </c>
      <c r="H17" s="34">
        <f>[1]見込!$M$23</f>
        <v>223.01671175446938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2023</v>
      </c>
      <c r="E18" s="9">
        <f>'Otemachi Daily'!D21</f>
        <v>0</v>
      </c>
      <c r="F18" s="34">
        <f>[1]見込!$G$3</f>
        <v>36.799999999999997</v>
      </c>
      <c r="G18" s="9">
        <f>'Otemachi Daily'!F21</f>
        <v>0</v>
      </c>
      <c r="H18" s="34">
        <f>[1]見込!$M$23</f>
        <v>223.01671175446938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2023</v>
      </c>
      <c r="E19" s="9">
        <f>'Otemachi Daily'!D22</f>
        <v>0</v>
      </c>
      <c r="F19" s="34">
        <f>[1]見込!$G$3</f>
        <v>36.799999999999997</v>
      </c>
      <c r="G19" s="9">
        <f>'Otemachi Daily'!F22</f>
        <v>0</v>
      </c>
      <c r="H19" s="34">
        <f>[1]見込!$M$23</f>
        <v>223.01671175446938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2023</v>
      </c>
      <c r="E20" s="9">
        <f>'Otemachi Daily'!D23</f>
        <v>0</v>
      </c>
      <c r="F20" s="34">
        <f>[1]見込!$G$3</f>
        <v>36.799999999999997</v>
      </c>
      <c r="G20" s="9">
        <f>'Otemachi Daily'!F23</f>
        <v>0</v>
      </c>
      <c r="H20" s="34">
        <f>[1]見込!$M$23</f>
        <v>223.01671175446938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2023</v>
      </c>
      <c r="E21" s="9">
        <f>'Otemachi Daily'!D24</f>
        <v>0</v>
      </c>
      <c r="F21" s="34">
        <f>[1]見込!$G$3</f>
        <v>36.799999999999997</v>
      </c>
      <c r="G21" s="9">
        <f>'Otemachi Daily'!F24</f>
        <v>0</v>
      </c>
      <c r="H21" s="34">
        <f>[1]見込!$M$23</f>
        <v>223.01671175446938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2023</v>
      </c>
      <c r="E22" s="9">
        <f>'Otemachi Daily'!D25</f>
        <v>0</v>
      </c>
      <c r="F22" s="34">
        <f>[1]見込!$G$3</f>
        <v>36.799999999999997</v>
      </c>
      <c r="G22" s="9">
        <f>'Otemachi Daily'!F25</f>
        <v>0</v>
      </c>
      <c r="H22" s="34">
        <f>[1]見込!$M$23</f>
        <v>223.01671175446938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2023</v>
      </c>
      <c r="E23" s="9">
        <f>'Otemachi Daily'!D26</f>
        <v>0</v>
      </c>
      <c r="F23" s="34">
        <f>[1]見込!$G$3</f>
        <v>36.799999999999997</v>
      </c>
      <c r="G23" s="9">
        <f>'Otemachi Daily'!F26</f>
        <v>0</v>
      </c>
      <c r="H23" s="34">
        <f>[1]見込!$M$23</f>
        <v>223.01671175446938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2023</v>
      </c>
      <c r="E24" s="9">
        <f>'Otemachi Daily'!D27</f>
        <v>0</v>
      </c>
      <c r="F24" s="34">
        <f>[1]見込!$G$3</f>
        <v>36.799999999999997</v>
      </c>
      <c r="G24" s="9">
        <f>'Otemachi Daily'!F27</f>
        <v>0</v>
      </c>
      <c r="H24" s="34">
        <f>[1]見込!$M$23</f>
        <v>223.01671175446938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2023</v>
      </c>
      <c r="E25" s="9">
        <f>'Otemachi Daily'!D28</f>
        <v>0</v>
      </c>
      <c r="F25" s="34">
        <f>[1]見込!$G$3</f>
        <v>36.799999999999997</v>
      </c>
      <c r="G25" s="9">
        <f>'Otemachi Daily'!F28</f>
        <v>0</v>
      </c>
      <c r="H25" s="34">
        <f>[1]見込!$M$23</f>
        <v>223.01671175446938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2023</v>
      </c>
      <c r="E26" s="9">
        <f>'Otemachi Daily'!D29</f>
        <v>0</v>
      </c>
      <c r="F26" s="34">
        <f>[1]見込!$G$3</f>
        <v>36.799999999999997</v>
      </c>
      <c r="G26" s="9">
        <f>'Otemachi Daily'!F29</f>
        <v>0</v>
      </c>
      <c r="H26" s="34">
        <f>[1]見込!$M$23</f>
        <v>223.01671175446938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2023</v>
      </c>
      <c r="E27" s="9">
        <f>'Otemachi Daily'!D30</f>
        <v>0</v>
      </c>
      <c r="F27" s="34">
        <f>[1]見込!$G$3</f>
        <v>36.799999999999997</v>
      </c>
      <c r="G27" s="9">
        <f>'Otemachi Daily'!F30</f>
        <v>0</v>
      </c>
      <c r="H27" s="34">
        <f>[1]見込!$M$23</f>
        <v>223.01671175446938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2023</v>
      </c>
      <c r="E28" s="9">
        <f>'Otemachi Daily'!D31</f>
        <v>0</v>
      </c>
      <c r="F28" s="34">
        <f>[1]見込!$G$3</f>
        <v>36.799999999999997</v>
      </c>
      <c r="G28" s="9">
        <f>'Otemachi Daily'!F31</f>
        <v>0</v>
      </c>
      <c r="H28" s="34">
        <f>[1]見込!$M$23</f>
        <v>223.01671175446938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2023</v>
      </c>
      <c r="E29" s="9">
        <f>'Otemachi Daily'!D32</f>
        <v>0</v>
      </c>
      <c r="F29" s="34">
        <f>[1]見込!$G$3</f>
        <v>36.799999999999997</v>
      </c>
      <c r="G29" s="9">
        <f>'Otemachi Daily'!F32</f>
        <v>0</v>
      </c>
      <c r="H29" s="34">
        <f>[1]見込!$M$23</f>
        <v>223.01671175446938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2023</v>
      </c>
      <c r="E30" s="9">
        <f>'Otemachi Daily'!D33</f>
        <v>0</v>
      </c>
      <c r="F30" s="34">
        <f>[1]見込!$G$3</f>
        <v>36.799999999999997</v>
      </c>
      <c r="G30" s="9">
        <f>'Otemachi Daily'!F33</f>
        <v>0</v>
      </c>
      <c r="H30" s="34">
        <f>[1]見込!$M$23</f>
        <v>223.01671175446938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2023</v>
      </c>
      <c r="E31" s="9">
        <f>'Otemachi Daily'!D34</f>
        <v>0</v>
      </c>
      <c r="F31" s="34">
        <f>[1]見込!$G$3</f>
        <v>36.799999999999997</v>
      </c>
      <c r="G31" s="9">
        <f>'Otemachi Daily'!F34</f>
        <v>0</v>
      </c>
      <c r="H31" s="34">
        <f>[1]見込!$M$23</f>
        <v>223.01671175446938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2023</v>
      </c>
      <c r="E32" s="9">
        <f>'Otemachi Daily'!D35</f>
        <v>0</v>
      </c>
      <c r="F32" s="34">
        <f>[1]見込!$G$3</f>
        <v>36.799999999999997</v>
      </c>
      <c r="G32" s="9">
        <f>'Otemachi Daily'!F35</f>
        <v>0</v>
      </c>
      <c r="H32" s="34">
        <f>[1]見込!$M$23</f>
        <v>223.01671175446938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R10" sqref="R1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44927</v>
      </c>
      <c r="B5" s="38"/>
      <c r="C5" s="35">
        <f>[1]コスト!$G$147</f>
        <v>16174</v>
      </c>
      <c r="D5" s="35">
        <f>C5</f>
        <v>16174</v>
      </c>
      <c r="E5" s="35">
        <f>[1]コスト!$G$23</f>
        <v>211.8</v>
      </c>
      <c r="F5" s="35">
        <f>E5</f>
        <v>211.8</v>
      </c>
      <c r="G5" s="35">
        <f>[1]コスト!$G$115</f>
        <v>2717.4395999999997</v>
      </c>
      <c r="H5" s="35">
        <f>G5</f>
        <v>2717.4395999999997</v>
      </c>
      <c r="I5" s="35">
        <f>[1]コスト!$G$91</f>
        <v>24081.370800000001</v>
      </c>
      <c r="J5" s="35">
        <f>I5</f>
        <v>24081.370800000001</v>
      </c>
      <c r="K5" s="35">
        <f>[1]コスト!$G$41</f>
        <v>245</v>
      </c>
      <c r="L5" s="35">
        <f>K5</f>
        <v>245</v>
      </c>
      <c r="M5" s="35">
        <f>[1]使用量!$G$387</f>
        <v>171</v>
      </c>
      <c r="N5" s="35">
        <f>[1]使用量!$G$388</f>
        <v>312</v>
      </c>
      <c r="O5" s="26"/>
      <c r="P5" s="37"/>
      <c r="Q5" s="37"/>
    </row>
    <row r="6" spans="1:17" ht="45" customHeight="1">
      <c r="A6" s="28">
        <v>44928</v>
      </c>
      <c r="B6" s="38"/>
      <c r="C6" s="35">
        <f>[1]コスト!$H$147</f>
        <v>15657</v>
      </c>
      <c r="D6" s="35">
        <f t="shared" ref="D6:F35" si="0">C6</f>
        <v>15657</v>
      </c>
      <c r="E6" s="35">
        <f>[1]コスト!$H$23</f>
        <v>207.2</v>
      </c>
      <c r="F6" s="35">
        <f t="shared" si="0"/>
        <v>207.2</v>
      </c>
      <c r="G6" s="35">
        <f>[1]コスト!$H$115</f>
        <v>2591.5962</v>
      </c>
      <c r="H6" s="35">
        <f t="shared" ref="H6" si="1">G6</f>
        <v>2591.5962</v>
      </c>
      <c r="I6" s="35">
        <f>[1]コスト!$H$91</f>
        <v>24731.9784</v>
      </c>
      <c r="J6" s="35">
        <f t="shared" ref="J6" si="2">I6</f>
        <v>24731.9784</v>
      </c>
      <c r="K6" s="35">
        <f>[1]コスト!$H$41</f>
        <v>231</v>
      </c>
      <c r="L6" s="35">
        <f t="shared" ref="L6" si="3">K6</f>
        <v>231</v>
      </c>
      <c r="M6" s="35">
        <f>[1]使用量!$H$387</f>
        <v>158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44929</v>
      </c>
      <c r="B7" s="38"/>
      <c r="C7" s="35">
        <f>[1]コスト!$I$147</f>
        <v>15777</v>
      </c>
      <c r="D7" s="35">
        <f t="shared" si="0"/>
        <v>15777</v>
      </c>
      <c r="E7" s="35">
        <f>[1]コスト!$I$23</f>
        <v>213.1</v>
      </c>
      <c r="F7" s="35">
        <f t="shared" si="0"/>
        <v>213.1</v>
      </c>
      <c r="G7" s="35">
        <f>[1]コスト!$I$115</f>
        <v>2421.5825999999997</v>
      </c>
      <c r="H7" s="35">
        <f t="shared" ref="H7" si="4">G7</f>
        <v>2421.5825999999997</v>
      </c>
      <c r="I7" s="35">
        <f>[1]コスト!$I$91</f>
        <v>25625.1054</v>
      </c>
      <c r="J7" s="35">
        <f t="shared" ref="J7" si="5">I7</f>
        <v>25625.1054</v>
      </c>
      <c r="K7" s="35">
        <f>[1]コスト!$I$41</f>
        <v>209</v>
      </c>
      <c r="L7" s="35">
        <f t="shared" ref="L7" si="6">K7</f>
        <v>209</v>
      </c>
      <c r="M7" s="35">
        <f>[1]使用量!$I$387</f>
        <v>162</v>
      </c>
      <c r="N7" s="35">
        <f>[1]使用量!$I$388</f>
        <v>289</v>
      </c>
      <c r="P7" s="37"/>
      <c r="Q7" s="37"/>
    </row>
    <row r="8" spans="1:17" ht="45" customHeight="1">
      <c r="A8" s="28">
        <v>44930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44931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44932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44933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44934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44935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44936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44937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44938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44939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44940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44941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44942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44943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44944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44945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44946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44947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44948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44949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44950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44951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44952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44953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44954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44955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44956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44957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2023-01-04T04:24:53Z</dcterms:modified>
</cp:coreProperties>
</file>