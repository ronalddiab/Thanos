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69" documentId="8_{9B439D3B-B023-4087-B27B-CB56FE35C246}" xr6:coauthVersionLast="47" xr6:coauthVersionMax="47" xr10:uidLastSave="{927A1BDB-A42D-4268-99D1-9D0AF59FA15E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AC44" i="3"/>
  <c r="AD44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V42" i="3" l="1"/>
  <c r="Q42" i="3"/>
  <c r="K2" i="6"/>
  <c r="AC42" i="3"/>
  <c r="G2" i="6"/>
  <c r="AH42" i="3"/>
  <c r="I2" i="6"/>
  <c r="AI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<sst xmlns="http://schemas.openxmlformats.org/spreadsheetml/2006/main" count="90" uniqueCount="53">
  <si>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</si>
  <si>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</si>
  <si>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</si>
  <si>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</si>
  <si>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</si>
  <si>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</si>
  <si>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</si>
  <si>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</si>
  <si>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</si>
  <si>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</si>
  <si>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</si>
  <si>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</si>
  <si>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</si>
  <si>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</si>
  <si>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</si>
  <si>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</si>
  <si>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APRIL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</si>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</sst>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4</v>
      </c>
      <c r="D2" s="97">
        <v>2019</v>
      </c>
      <c r="E2" s="99">
        <f>'Localize Daily Bali Jimbaran'!P7</f>
        <v>23240.000000000466</v>
      </c>
      <c r="F2" s="100">
        <f>'Localize Daily Bali Jimbaran'!O7/'Localize Daily Bali Jimbaran'!P7</f>
        <v>1182.567496987954</v>
      </c>
      <c r="G2" s="99">
        <f>'Localize Daily Bali Jimbaran'!AC7</f>
        <v>145.64903999997185</v>
      </c>
      <c r="H2" s="100">
        <f>'Localize Daily Bali Jimbaran'!AD7/'Localize Daily Bali Jimbaran'!AC7</f>
        <v>11112.055916331487</v>
      </c>
      <c r="I2" s="99">
        <f>'Localize Daily Bali Jimbaran'!AH7</f>
        <v>501.60000000003492</v>
      </c>
      <c r="J2" s="101">
        <f>'Localize Daily Bali Jimbaran'!AI7/'Localize Daily Bali Jimbaran'!AH7</f>
        <v>8700</v>
      </c>
      <c r="K2" s="99">
        <f>'Localize Daily Bali Jimbaran'!Q7</f>
        <v>304</v>
      </c>
      <c r="L2" s="100">
        <f>'Localize Daily Bali Jimbaran'!V7/'Localize Daily Bali Jimbaran'!Q7</f>
        <v>14403.722763157893</v>
      </c>
      <c r="M2" s="99">
        <f>'Localize Daily Bali Jimbaran'!C7</f>
        <v>38</v>
      </c>
      <c r="N2" s="99">
        <v>119</v>
      </c>
    </row>
    <row r="3" spans="1:14" ht="15">
      <c r="A3" s="96" t="s">
        <v>14</v>
      </c>
      <c r="B3" s="97">
        <v>2</v>
      </c>
      <c r="C3" s="98">
        <v>4</v>
      </c>
      <c r="D3" s="97">
        <v>2019</v>
      </c>
      <c r="E3" s="99">
        <f>'Localize Daily Bali Jimbaran'!P8</f>
        <v>21220.000000000025</v>
      </c>
      <c r="F3" s="100">
        <f>'Localize Daily Bali Jimbaran'!O8/'Localize Daily Bali Jimbaran'!P8</f>
        <v>1183.9228982092363</v>
      </c>
      <c r="G3" s="99">
        <f>'Localize Daily Bali Jimbaran'!AC8</f>
        <v>175.9958399999953</v>
      </c>
      <c r="H3" s="100">
        <f>'Localize Daily Bali Jimbaran'!AD8/'Localize Daily Bali Jimbaran'!AC8</f>
        <v>11382.484753275996</v>
      </c>
      <c r="I3" s="99">
        <f>'Localize Daily Bali Jimbaran'!AH8</f>
        <v>454.29999999993015</v>
      </c>
      <c r="J3" s="101">
        <f>'Localize Daily Bali Jimbaran'!AI8/'Localize Daily Bali Jimbaran'!AH8</f>
        <v>8700</v>
      </c>
      <c r="K3" s="99">
        <f>'Localize Daily Bali Jimbaran'!Q8</f>
        <v>264</v>
      </c>
      <c r="L3" s="100">
        <f>'Localize Daily Bali Jimbaran'!V8/'Localize Daily Bali Jimbaran'!Q8</f>
        <v>15422.997424242423</v>
      </c>
      <c r="M3" s="99">
        <f>'Localize Daily Bali Jimbaran'!C8</f>
        <v>38</v>
      </c>
      <c r="N3" s="99">
        <v>136</v>
      </c>
    </row>
    <row r="4" spans="1:14" ht="15">
      <c r="A4" s="96" t="s">
        <v>14</v>
      </c>
      <c r="B4" s="97">
        <v>3</v>
      </c>
      <c r="C4" s="98">
        <v>4</v>
      </c>
      <c r="D4" s="97">
        <v>2019</v>
      </c>
      <c r="E4" s="99">
        <f>'Localize Daily Bali Jimbaran'!P9</f>
        <v>23300.000000000182</v>
      </c>
      <c r="F4" s="100">
        <f>'Localize Daily Bali Jimbaran'!O9/'Localize Daily Bali Jimbaran'!P9</f>
        <v>1182.7896334763923</v>
      </c>
      <c r="G4" s="99">
        <f>'Localize Daily Bali Jimbaran'!AC9</f>
        <v>135.74016000000466</v>
      </c>
      <c r="H4" s="100">
        <f>'Localize Daily Bali Jimbaran'!AD9/'Localize Daily Bali Jimbaran'!AC9</f>
        <v>11115.417946759457</v>
      </c>
      <c r="I4" s="99">
        <f>'Localize Daily Bali Jimbaran'!AH9</f>
        <v>6718.600000000024</v>
      </c>
      <c r="J4" s="101">
        <f>'Localize Daily Bali Jimbaran'!AI9/'Localize Daily Bali Jimbaran'!AH9</f>
        <v>8700</v>
      </c>
      <c r="K4" s="99">
        <f>'Localize Daily Bali Jimbaran'!Q9</f>
        <v>242</v>
      </c>
      <c r="L4" s="100">
        <f>'Localize Daily Bali Jimbaran'!V9/'Localize Daily Bali Jimbaran'!Q9</f>
        <v>14851.109090909091</v>
      </c>
      <c r="M4" s="99">
        <f>'Localize Daily Bali Jimbaran'!C9</f>
        <v>43</v>
      </c>
      <c r="N4" s="99">
        <v>141</v>
      </c>
    </row>
    <row r="5" spans="1:14" ht="15">
      <c r="A5" s="96" t="s">
        <v>14</v>
      </c>
      <c r="B5" s="97">
        <v>4</v>
      </c>
      <c r="C5" s="98">
        <v>4</v>
      </c>
      <c r="D5" s="97">
        <v>2019</v>
      </c>
      <c r="E5" s="99">
        <f>'Localize Daily Bali Jimbaran'!P10</f>
        <v>22979.999999999793</v>
      </c>
      <c r="F5" s="100">
        <f>'Localize Daily Bali Jimbaran'!O10/'Localize Daily Bali Jimbaran'!P10</f>
        <v>1187.9017362924292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618.60000000000582</v>
      </c>
      <c r="J5" s="101">
        <f>'Localize Daily Bali Jimbaran'!AI10/'Localize Daily Bali Jimbaran'!AH10</f>
        <v>8700</v>
      </c>
      <c r="K5" s="99">
        <f>'Localize Daily Bali Jimbaran'!Q10</f>
        <v>252</v>
      </c>
      <c r="L5" s="100">
        <f>'Localize Daily Bali Jimbaran'!V10/'Localize Daily Bali Jimbaran'!Q10</f>
        <v>15247.222222222223</v>
      </c>
      <c r="M5" s="99">
        <f>'Localize Daily Bali Jimbaran'!C10</f>
        <v>65</v>
      </c>
      <c r="N5" s="99">
        <v>187</v>
      </c>
    </row>
    <row r="6" spans="1:14" ht="15">
      <c r="A6" s="96" t="s">
        <v>14</v>
      </c>
      <c r="B6" s="97">
        <v>5</v>
      </c>
      <c r="C6" s="98">
        <v>4</v>
      </c>
      <c r="D6" s="97">
        <v>2019</v>
      </c>
      <c r="E6" s="99">
        <f>'Localize Daily Bali Jimbaran'!P11</f>
        <v>23019.999999999982</v>
      </c>
      <c r="F6" s="100">
        <f>'Localize Daily Bali Jimbaran'!O11/'Localize Daily Bali Jimbaran'!P11</f>
        <v>1183.4753887923532</v>
      </c>
      <c r="G6" s="99">
        <f>'Localize Daily Bali Jimbaran'!AC11</f>
        <v>164.53692000005626</v>
      </c>
      <c r="H6" s="100">
        <f>'Localize Daily Bali Jimbaran'!AD11/'Localize Daily Bali Jimbaran'!AC11</f>
        <v>11147.537930818175</v>
      </c>
      <c r="I6" s="99">
        <f>'Localize Daily Bali Jimbaran'!AH11</f>
        <v>788.20000000006985</v>
      </c>
      <c r="J6" s="101">
        <f>'Localize Daily Bali Jimbaran'!AI11/'Localize Daily Bali Jimbaran'!AH11</f>
        <v>8700</v>
      </c>
      <c r="K6" s="99">
        <f>'Localize Daily Bali Jimbaran'!Q11</f>
        <v>386</v>
      </c>
      <c r="L6" s="100">
        <f>'Localize Daily Bali Jimbaran'!V11/'Localize Daily Bali Jimbaran'!Q11</f>
        <v>11961.227772020726</v>
      </c>
      <c r="M6" s="99">
        <f>'Localize Daily Bali Jimbaran'!C11</f>
        <v>71</v>
      </c>
      <c r="N6" s="99">
        <v>203</v>
      </c>
    </row>
    <row r="7" spans="1:14" ht="15">
      <c r="A7" s="96" t="s">
        <v>14</v>
      </c>
      <c r="B7" s="97">
        <v>6</v>
      </c>
      <c r="C7" s="98">
        <v>4</v>
      </c>
      <c r="D7" s="97">
        <v>2019</v>
      </c>
      <c r="E7" s="99">
        <f>'Localize Daily Bali Jimbaran'!P12</f>
        <v>23499.999999999774</v>
      </c>
      <c r="F7" s="100">
        <f>'Localize Daily Bali Jimbaran'!O12/'Localize Daily Bali Jimbaran'!P12</f>
        <v>1185.2188123404271</v>
      </c>
      <c r="G7" s="99">
        <f>'Localize Daily Bali Jimbaran'!AC12</f>
        <v>146.33379999996481</v>
      </c>
      <c r="H7" s="100">
        <f>'Localize Daily Bali Jimbaran'!AD12/'Localize Daily Bali Jimbaran'!AC12</f>
        <v>11111.840400508985</v>
      </c>
      <c r="I7" s="99">
        <f>'Localize Daily Bali Jimbaran'!AH12</f>
        <v>617.70000000004075</v>
      </c>
      <c r="J7" s="101">
        <f>'Localize Daily Bali Jimbaran'!AI12/'Localize Daily Bali Jimbaran'!AH12</f>
        <v>8700</v>
      </c>
      <c r="K7" s="99">
        <f>'Localize Daily Bali Jimbaran'!Q12</f>
        <v>266</v>
      </c>
      <c r="L7" s="100">
        <f>'Localize Daily Bali Jimbaran'!V12/'Localize Daily Bali Jimbaran'!Q12</f>
        <v>12810.605263157895</v>
      </c>
      <c r="M7" s="99">
        <f>'Localize Daily Bali Jimbaran'!C12</f>
        <v>110</v>
      </c>
      <c r="N7" s="99">
        <v>265</v>
      </c>
    </row>
    <row r="8" spans="1:14" ht="15">
      <c r="A8" s="96" t="s">
        <v>14</v>
      </c>
      <c r="B8" s="97">
        <v>7</v>
      </c>
      <c r="C8" s="98">
        <v>4</v>
      </c>
      <c r="D8" s="97">
        <v>2019</v>
      </c>
      <c r="E8" s="99">
        <f>'Localize Daily Bali Jimbaran'!P13</f>
        <v>25139.999999999873</v>
      </c>
      <c r="F8" s="100">
        <f>'Localize Daily Bali Jimbaran'!O13/'Localize Daily Bali Jimbaran'!P13</f>
        <v>1183.6073126491663</v>
      </c>
      <c r="G8" s="99">
        <f>'Localize Daily Bali Jimbaran'!AC13</f>
        <v>195.0885600000164</v>
      </c>
      <c r="H8" s="100">
        <f>'Localize Daily Bali Jimbaran'!AD13/'Localize Daily Bali Jimbaran'!AC13</f>
        <v>11351.511359558936</v>
      </c>
      <c r="I8" s="99">
        <f>'Localize Daily Bali Jimbaran'!AH13</f>
        <v>490.99999999991269</v>
      </c>
      <c r="J8" s="101">
        <f>'Localize Daily Bali Jimbaran'!AI13/'Localize Daily Bali Jimbaran'!AH13</f>
        <v>8700</v>
      </c>
      <c r="K8" s="99">
        <f>'Localize Daily Bali Jimbaran'!Q13</f>
        <v>529</v>
      </c>
      <c r="L8" s="100">
        <f>'Localize Daily Bali Jimbaran'!V13/'Localize Daily Bali Jimbaran'!Q13</f>
        <v>10783.517693761816</v>
      </c>
      <c r="M8" s="99">
        <f>'Localize Daily Bali Jimbaran'!C13</f>
        <v>122</v>
      </c>
      <c r="N8" s="99">
        <v>271</v>
      </c>
    </row>
    <row r="9" spans="1:14" ht="15">
      <c r="A9" s="96" t="s">
        <v>14</v>
      </c>
      <c r="B9" s="97">
        <v>8</v>
      </c>
      <c r="C9" s="98">
        <v>4</v>
      </c>
      <c r="D9" s="97">
        <v>2019</v>
      </c>
      <c r="E9" s="99">
        <f>'Localize Daily Bali Jimbaran'!P14</f>
        <v>25259.999999999993</v>
      </c>
      <c r="F9" s="100">
        <f>'Localize Daily Bali Jimbaran'!O14/'Localize Daily Bali Jimbaran'!P14</f>
        <v>1176.692825415679</v>
      </c>
      <c r="G9" s="99">
        <f>'Localize Daily Bali Jimbaran'!AC14</f>
        <v>309.66648000001408</v>
      </c>
      <c r="H9" s="100">
        <f>'Localize Daily Bali Jimbaran'!AD14/'Localize Daily Bali Jimbaran'!AC14</f>
        <v>11627.274827033238</v>
      </c>
      <c r="I9" s="99">
        <f>'Localize Daily Bali Jimbaran'!AH14</f>
        <v>381.60000000003492</v>
      </c>
      <c r="J9" s="101">
        <f>'Localize Daily Bali Jimbaran'!AI14/'Localize Daily Bali Jimbaran'!AH14</f>
        <v>8700</v>
      </c>
      <c r="K9" s="99">
        <f>'Localize Daily Bali Jimbaran'!Q14</f>
        <v>449</v>
      </c>
      <c r="L9" s="100">
        <f>'Localize Daily Bali Jimbaran'!V14/'Localize Daily Bali Jimbaran'!Q14</f>
        <v>11398.242093541203</v>
      </c>
      <c r="M9" s="99">
        <f>'Localize Daily Bali Jimbaran'!C14</f>
        <v>136</v>
      </c>
      <c r="N9" s="99">
        <v>282</v>
      </c>
    </row>
    <row r="10" spans="1:14" ht="15">
      <c r="A10" s="96" t="s">
        <v>14</v>
      </c>
      <c r="B10" s="97">
        <v>9</v>
      </c>
      <c r="C10" s="98">
        <v>4</v>
      </c>
      <c r="D10" s="97">
        <v>2019</v>
      </c>
      <c r="E10" s="99">
        <f>'Localize Daily Bali Jimbaran'!P15</f>
        <v>26920.000000000073</v>
      </c>
      <c r="F10" s="100">
        <f>'Localize Daily Bali Jimbaran'!O15/'Localize Daily Bali Jimbaran'!P15</f>
        <v>1200.2851036404143</v>
      </c>
      <c r="G10" s="99">
        <f>'Localize Daily Bali Jimbaran'!AC15</f>
        <v>363.82931999995071</v>
      </c>
      <c r="H10" s="100">
        <f>'Localize Daily Bali Jimbaran'!AD15/'Localize Daily Bali Jimbaran'!AC15</f>
        <v>11617.46737486695</v>
      </c>
      <c r="I10" s="99">
        <f>'Localize Daily Bali Jimbaran'!AH15</f>
        <v>532.20000000001164</v>
      </c>
      <c r="J10" s="101">
        <f>'Localize Daily Bali Jimbaran'!AI15/'Localize Daily Bali Jimbaran'!AH15</f>
        <v>8700</v>
      </c>
      <c r="K10" s="99">
        <f>'Localize Daily Bali Jimbaran'!Q15</f>
        <v>472</v>
      </c>
      <c r="L10" s="100">
        <f>'Localize Daily Bali Jimbaran'!V15/'Localize Daily Bali Jimbaran'!Q15</f>
        <v>9886.5191525423725</v>
      </c>
      <c r="M10" s="99">
        <f>'Localize Daily Bali Jimbaran'!C15</f>
        <v>139</v>
      </c>
      <c r="N10" s="99">
        <v>290</v>
      </c>
    </row>
    <row r="11" spans="1:14" ht="15">
      <c r="A11" s="96" t="s">
        <v>14</v>
      </c>
      <c r="B11" s="97">
        <v>10</v>
      </c>
      <c r="C11" s="98">
        <v>4</v>
      </c>
      <c r="D11" s="97">
        <v>2019</v>
      </c>
      <c r="E11" s="99">
        <f>'Localize Daily Bali Jimbaran'!P16</f>
        <v>25920.000000000528</v>
      </c>
      <c r="F11" s="100">
        <f>'Localize Daily Bali Jimbaran'!O16/'Localize Daily Bali Jimbaran'!P16</f>
        <v>1179.0389236111121</v>
      </c>
      <c r="G11" s="99">
        <f>'Localize Daily Bali Jimbaran'!AC16</f>
        <v>139.44936000003983</v>
      </c>
      <c r="H11" s="100">
        <f>'Localize Daily Bali Jimbaran'!AD16/'Localize Daily Bali Jimbaran'!AC16</f>
        <v>11066</v>
      </c>
      <c r="I11" s="99">
        <f>'Localize Daily Bali Jimbaran'!AH16</f>
        <v>475.39999999993597</v>
      </c>
      <c r="J11" s="101">
        <f>'Localize Daily Bali Jimbaran'!AI16/'Localize Daily Bali Jimbaran'!AH16</f>
        <v>8700</v>
      </c>
      <c r="K11" s="99">
        <f>'Localize Daily Bali Jimbaran'!Q16</f>
        <v>505</v>
      </c>
      <c r="L11" s="100">
        <f>'Localize Daily Bali Jimbaran'!V16/'Localize Daily Bali Jimbaran'!Q16</f>
        <v>10659.388950495049</v>
      </c>
      <c r="M11" s="99">
        <f>'Localize Daily Bali Jimbaran'!C16</f>
        <v>110</v>
      </c>
      <c r="N11" s="99">
        <v>236</v>
      </c>
    </row>
    <row r="12" spans="1:14" ht="15">
      <c r="A12" s="96" t="s">
        <v>14</v>
      </c>
      <c r="B12" s="97">
        <v>11</v>
      </c>
      <c r="C12" s="98">
        <v>4</v>
      </c>
      <c r="D12" s="97">
        <v>2019</v>
      </c>
      <c r="E12" s="99">
        <f>'Localize Daily Bali Jimbaran'!P17</f>
        <v>26019.999999999527</v>
      </c>
      <c r="F12" s="100">
        <f>'Localize Daily Bali Jimbaran'!O17/'Localize Daily Bali Jimbaran'!P17</f>
        <v>1182.4491548808619</v>
      </c>
      <c r="G12" s="99">
        <f>'Localize Daily Bali Jimbaran'!AC17</f>
        <v>288.76459999998826</v>
      </c>
      <c r="H12" s="100">
        <f>'Localize Daily Bali Jimbaran'!AD17/'Localize Daily Bali Jimbaran'!AC17</f>
        <v>11644.672039439762</v>
      </c>
      <c r="I12" s="99">
        <f>'Localize Daily Bali Jimbaran'!AH17</f>
        <v>611.20000000009895</v>
      </c>
      <c r="J12" s="101">
        <f>'Localize Daily Bali Jimbaran'!AI17/'Localize Daily Bali Jimbaran'!AH17</f>
        <v>8700</v>
      </c>
      <c r="K12" s="99">
        <f>'Localize Daily Bali Jimbaran'!Q17</f>
        <v>334</v>
      </c>
      <c r="L12" s="100">
        <f>'Localize Daily Bali Jimbaran'!V17/'Localize Daily Bali Jimbaran'!Q17</f>
        <v>13984.404071856286</v>
      </c>
      <c r="M12" s="99">
        <f>'Localize Daily Bali Jimbaran'!C17</f>
        <v>121</v>
      </c>
      <c r="N12" s="99">
        <v>270</v>
      </c>
    </row>
    <row r="13" spans="1:14" ht="15">
      <c r="A13" s="96" t="s">
        <v>14</v>
      </c>
      <c r="B13" s="97">
        <v>12</v>
      </c>
      <c r="C13" s="98">
        <v>4</v>
      </c>
      <c r="D13" s="97">
        <v>2019</v>
      </c>
      <c r="E13" s="99">
        <f>'Localize Daily Bali Jimbaran'!P18</f>
        <v>25059.999999999716</v>
      </c>
      <c r="F13" s="100">
        <f>'Localize Daily Bali Jimbaran'!O18/'Localize Daily Bali Jimbaran'!P18</f>
        <v>1192.1596340782121</v>
      </c>
      <c r="G13" s="99">
        <f>'Localize Daily Bali Jimbaran'!AC18</f>
        <v>131.43364000001876</v>
      </c>
      <c r="H13" s="100">
        <f>'Localize Daily Bali Jimbaran'!AD18/'Localize Daily Bali Jimbaran'!AC18</f>
        <v>11066</v>
      </c>
      <c r="I13" s="99">
        <f>'Localize Daily Bali Jimbaran'!AH18</f>
        <v>738.19999999992433</v>
      </c>
      <c r="J13" s="101">
        <f>'Localize Daily Bali Jimbaran'!AI18/'Localize Daily Bali Jimbaran'!AH18</f>
        <v>8700</v>
      </c>
      <c r="K13" s="99">
        <f>'Localize Daily Bali Jimbaran'!Q18</f>
        <v>346</v>
      </c>
      <c r="L13" s="100">
        <f>'Localize Daily Bali Jimbaran'!V18/'Localize Daily Bali Jimbaran'!Q18</f>
        <v>13725.964624277456</v>
      </c>
      <c r="M13" s="99">
        <f>'Localize Daily Bali Jimbaran'!C18</f>
        <v>123</v>
      </c>
      <c r="N13" s="99">
        <v>281</v>
      </c>
    </row>
    <row r="14" spans="1:14" ht="15">
      <c r="A14" s="96" t="s">
        <v>14</v>
      </c>
      <c r="B14" s="97">
        <v>13</v>
      </c>
      <c r="C14" s="98">
        <v>4</v>
      </c>
      <c r="D14" s="97">
        <v>2019</v>
      </c>
      <c r="E14" s="99">
        <f>'Localize Daily Bali Jimbaran'!P19</f>
        <v>25139.999999999418</v>
      </c>
      <c r="F14" s="100">
        <f>'Localize Daily Bali Jimbaran'!O19/'Localize Daily Bali Jimbaran'!P19</f>
        <v>1180.146472553696</v>
      </c>
      <c r="G14" s="99">
        <f>'Localize Daily Bali Jimbaran'!AC19</f>
        <v>188.68403999997184</v>
      </c>
      <c r="H14" s="100">
        <f>'Localize Daily Bali Jimbaran'!AD19/'Localize Daily Bali Jimbaran'!AC19</f>
        <v>11361.202498314156</v>
      </c>
      <c r="I14" s="99">
        <f>'Localize Daily Bali Jimbaran'!AH19</f>
        <v>360.89999999996508</v>
      </c>
      <c r="J14" s="101">
        <f>'Localize Daily Bali Jimbaran'!AI19/'Localize Daily Bali Jimbaran'!AH19</f>
        <v>8700</v>
      </c>
      <c r="K14" s="99">
        <f>'Localize Daily Bali Jimbaran'!Q19</f>
        <v>303</v>
      </c>
      <c r="L14" s="100">
        <f>'Localize Daily Bali Jimbaran'!V19/'Localize Daily Bali Jimbaran'!Q19</f>
        <v>14890.230165016503</v>
      </c>
      <c r="M14" s="99">
        <f>'Localize Daily Bali Jimbaran'!C19</f>
        <v>79</v>
      </c>
      <c r="N14" s="99">
        <v>214</v>
      </c>
    </row>
    <row r="15" spans="1:14" ht="15">
      <c r="A15" s="96" t="s">
        <v>14</v>
      </c>
      <c r="B15" s="97">
        <v>14</v>
      </c>
      <c r="C15" s="98">
        <v>4</v>
      </c>
      <c r="D15" s="97">
        <v>2019</v>
      </c>
      <c r="E15" s="99">
        <f>'Localize Daily Bali Jimbaran'!P20</f>
        <v>24600.000000001273</v>
      </c>
      <c r="F15" s="100">
        <f>'Localize Daily Bali Jimbaran'!O20/'Localize Daily Bali Jimbaran'!P20</f>
        <v>1184.3891670731682</v>
      </c>
      <c r="G15" s="99">
        <f>'Localize Daily Bali Jimbaran'!AC20</f>
        <v>139.85216000000469</v>
      </c>
      <c r="H15" s="100">
        <f>'Localize Daily Bali Jimbaran'!AD20/'Localize Daily Bali Jimbaran'!AC20</f>
        <v>11066</v>
      </c>
      <c r="I15" s="99">
        <f>'Localize Daily Bali Jimbaran'!AH20</f>
        <v>451.30000000004657</v>
      </c>
      <c r="J15" s="101">
        <f>'Localize Daily Bali Jimbaran'!AI20/'Localize Daily Bali Jimbaran'!AH20</f>
        <v>8700</v>
      </c>
      <c r="K15" s="99">
        <f>'Localize Daily Bali Jimbaran'!Q20</f>
        <v>347</v>
      </c>
      <c r="L15" s="100">
        <f>'Localize Daily Bali Jimbaran'!V20/'Localize Daily Bali Jimbaran'!Q20</f>
        <v>14371.064495677234</v>
      </c>
      <c r="M15" s="99">
        <f>'Localize Daily Bali Jimbaran'!C20</f>
        <v>74</v>
      </c>
      <c r="N15" s="99">
        <v>206</v>
      </c>
    </row>
    <row r="16" spans="1:14" ht="15">
      <c r="A16" s="96" t="s">
        <v>14</v>
      </c>
      <c r="B16" s="97">
        <v>15</v>
      </c>
      <c r="C16" s="98">
        <v>4</v>
      </c>
      <c r="D16" s="97">
        <v>2019</v>
      </c>
      <c r="E16" s="99">
        <f>'Localize Daily Bali Jimbaran'!P21</f>
        <v>24739.999999999327</v>
      </c>
      <c r="F16" s="100">
        <f>'Localize Daily Bali Jimbaran'!O21/'Localize Daily Bali Jimbaran'!P21</f>
        <v>1186.9184721099459</v>
      </c>
      <c r="G16" s="99">
        <f>'Localize Daily Bali Jimbaran'!AC21</f>
        <v>145.85043999998356</v>
      </c>
      <c r="H16" s="100">
        <f>'Localize Daily Bali Jimbaran'!AD21/'Localize Daily Bali Jimbaran'!AC21</f>
        <v>11111.992319255263</v>
      </c>
      <c r="I16" s="99">
        <f>'Localize Daily Bali Jimbaran'!AH21</f>
        <v>335</v>
      </c>
      <c r="J16" s="101">
        <f>'Localize Daily Bali Jimbaran'!AI21/'Localize Daily Bali Jimbaran'!AH21</f>
        <v>8700</v>
      </c>
      <c r="K16" s="99">
        <f>'Localize Daily Bali Jimbaran'!Q21</f>
        <v>190</v>
      </c>
      <c r="L16" s="100">
        <f>'Localize Daily Bali Jimbaran'!V21/'Localize Daily Bali Jimbaran'!Q21</f>
        <v>13636.188421052631</v>
      </c>
      <c r="M16" s="99">
        <f>'Localize Daily Bali Jimbaran'!C21</f>
        <v>71</v>
      </c>
      <c r="N16" s="99">
        <v>200</v>
      </c>
    </row>
    <row r="17" spans="1:14" ht="15">
      <c r="A17" s="96" t="s">
        <v>14</v>
      </c>
      <c r="B17" s="97">
        <v>16</v>
      </c>
      <c r="C17" s="98">
        <v>4</v>
      </c>
      <c r="D17" s="97">
        <v>2019</v>
      </c>
      <c r="E17" s="99">
        <f>'Localize Daily Bali Jimbaran'!P22</f>
        <v>25060.000000000855</v>
      </c>
      <c r="F17" s="100">
        <f>'Localize Daily Bali Jimbaran'!O22/'Localize Daily Bali Jimbaran'!P22</f>
        <v>1183.9138994413388</v>
      </c>
      <c r="G17" s="99">
        <f>'Localize Daily Bali Jimbaran'!AC22</f>
        <v>500.78204000003046</v>
      </c>
      <c r="H17" s="100">
        <f>'Localize Daily Bali Jimbaran'!AD22/'Localize Daily Bali Jimbaran'!AC22</f>
        <v>11786.936397798887</v>
      </c>
      <c r="I17" s="99">
        <f>'Localize Daily Bali Jimbaran'!AH22</f>
        <v>404.70000000001164</v>
      </c>
      <c r="J17" s="101">
        <f>'Localize Daily Bali Jimbaran'!AI22/'Localize Daily Bali Jimbaran'!AH22</f>
        <v>8700</v>
      </c>
      <c r="K17" s="99">
        <f>'Localize Daily Bali Jimbaran'!Q22</f>
        <v>421</v>
      </c>
      <c r="L17" s="100">
        <f>'Localize Daily Bali Jimbaran'!V22/'Localize Daily Bali Jimbaran'!Q22</f>
        <v>12591.217814726841</v>
      </c>
      <c r="M17" s="99">
        <f>'Localize Daily Bali Jimbaran'!C22</f>
        <v>68</v>
      </c>
      <c r="N17" s="99">
        <v>185</v>
      </c>
    </row>
    <row r="18" spans="1:14" ht="15">
      <c r="A18" s="96" t="s">
        <v>14</v>
      </c>
      <c r="B18" s="97">
        <v>17</v>
      </c>
      <c r="C18" s="98">
        <v>4</v>
      </c>
      <c r="D18" s="97">
        <v>2019</v>
      </c>
      <c r="E18" s="99">
        <f>'Localize Daily Bali Jimbaran'!P23</f>
        <v>25299.999999998818</v>
      </c>
      <c r="F18" s="100">
        <f>'Localize Daily Bali Jimbaran'!O23/'Localize Daily Bali Jimbaran'!P23</f>
        <v>1185.5791707509916</v>
      </c>
      <c r="G18" s="99">
        <f>'Localize Daily Bali Jimbaran'!AC23</f>
        <v>125.0291199999742</v>
      </c>
      <c r="H18" s="100">
        <f>'Localize Daily Bali Jimbaran'!AD23/'Localize Daily Bali Jimbaran'!AC23</f>
        <v>11066</v>
      </c>
      <c r="I18" s="99">
        <f>'Localize Daily Bali Jimbaran'!AH23</f>
        <v>530.09999999994761</v>
      </c>
      <c r="J18" s="101">
        <f>'Localize Daily Bali Jimbaran'!AI23/'Localize Daily Bali Jimbaran'!AH23</f>
        <v>8700</v>
      </c>
      <c r="K18" s="99">
        <f>'Localize Daily Bali Jimbaran'!Q23</f>
        <v>292</v>
      </c>
      <c r="L18" s="100">
        <f>'Localize Daily Bali Jimbaran'!V23/'Localize Daily Bali Jimbaran'!Q23</f>
        <v>15479.260410958905</v>
      </c>
      <c r="M18" s="99">
        <f>'Localize Daily Bali Jimbaran'!C23</f>
        <v>81</v>
      </c>
      <c r="N18" s="99">
        <v>229</v>
      </c>
    </row>
    <row r="19" spans="1:14" ht="15">
      <c r="A19" s="96" t="s">
        <v>14</v>
      </c>
      <c r="B19" s="97">
        <v>18</v>
      </c>
      <c r="C19" s="98">
        <v>4</v>
      </c>
      <c r="D19" s="97">
        <v>2019</v>
      </c>
      <c r="E19" s="99">
        <f>'Localize Daily Bali Jimbaran'!P24</f>
        <v>27520.000000000207</v>
      </c>
      <c r="F19" s="100">
        <f>'Localize Daily Bali Jimbaran'!O24/'Localize Daily Bali Jimbaran'!P24</f>
        <v>1180.8343648255814</v>
      </c>
      <c r="G19" s="99">
        <f>'Localize Daily Bali Jimbaran'!AC24</f>
        <v>137.0728399999953</v>
      </c>
      <c r="H19" s="100">
        <f>'Localize Daily Bali Jimbaran'!AD24/'Localize Daily Bali Jimbaran'!AC24</f>
        <v>11066</v>
      </c>
      <c r="I19" s="99">
        <f>'Localize Daily Bali Jimbaran'!AH24</f>
        <v>551.90000000002328</v>
      </c>
      <c r="J19" s="101">
        <f>'Localize Daily Bali Jimbaran'!AI24/'Localize Daily Bali Jimbaran'!AH24</f>
        <v>8700</v>
      </c>
      <c r="K19" s="99">
        <f>'Localize Daily Bali Jimbaran'!Q24</f>
        <v>238</v>
      </c>
      <c r="L19" s="100">
        <f>'Localize Daily Bali Jimbaran'!V24/'Localize Daily Bali Jimbaran'!Q24</f>
        <v>13126.269411764706</v>
      </c>
      <c r="M19" s="99">
        <f>'Localize Daily Bali Jimbaran'!C24</f>
        <v>92</v>
      </c>
      <c r="N19" s="99">
        <v>250</v>
      </c>
    </row>
    <row r="20" spans="1:14" ht="15">
      <c r="A20" s="96" t="s">
        <v>14</v>
      </c>
      <c r="B20" s="97">
        <v>19</v>
      </c>
      <c r="C20" s="98">
        <v>4</v>
      </c>
      <c r="D20" s="97">
        <v>2019</v>
      </c>
      <c r="E20" s="99">
        <f>'Localize Daily Bali Jimbaran'!P25</f>
        <v>25480.000000000244</v>
      </c>
      <c r="F20" s="100">
        <f>'Localize Daily Bali Jimbaran'!O25/'Localize Daily Bali Jimbaran'!P25</f>
        <v>1186.5941208791223</v>
      </c>
      <c r="G20" s="99">
        <f>'Localize Daily Bali Jimbaran'!AC25</f>
        <v>168.52464000001874</v>
      </c>
      <c r="H20" s="100">
        <f>'Localize Daily Bali Jimbaran'!AD25/'Localize Daily Bali Jimbaran'!AC25</f>
        <v>11145.608536769452</v>
      </c>
      <c r="I20" s="99">
        <f>'Localize Daily Bali Jimbaran'!AH25</f>
        <v>778.30000000005271</v>
      </c>
      <c r="J20" s="101">
        <f>'Localize Daily Bali Jimbaran'!AI25/'Localize Daily Bali Jimbaran'!AH25</f>
        <v>8700</v>
      </c>
      <c r="K20" s="99">
        <f>'Localize Daily Bali Jimbaran'!Q25</f>
        <v>307</v>
      </c>
      <c r="L20" s="100">
        <f>'Localize Daily Bali Jimbaran'!V25/'Localize Daily Bali Jimbaran'!Q25</f>
        <v>10727.822996742672</v>
      </c>
      <c r="M20" s="99">
        <f>'Localize Daily Bali Jimbaran'!C25</f>
        <v>91</v>
      </c>
      <c r="N20" s="99">
        <v>260</v>
      </c>
    </row>
    <row r="21" spans="1:14" ht="15">
      <c r="A21" s="96" t="s">
        <v>14</v>
      </c>
      <c r="B21" s="97">
        <v>20</v>
      </c>
      <c r="C21" s="98">
        <v>4</v>
      </c>
      <c r="D21" s="97">
        <v>2019</v>
      </c>
      <c r="E21" s="99">
        <f>'Localize Daily Bali Jimbaran'!P26</f>
        <v>24960.000000000491</v>
      </c>
      <c r="F21" s="100">
        <f>'Localize Daily Bali Jimbaran'!O26/'Localize Daily Bali Jimbaran'!P26</f>
        <v>1185.1713461538448</v>
      </c>
      <c r="G21" s="99">
        <f>'Localize Daily Bali Jimbaran'!AC26</f>
        <v>192.14467999999061</v>
      </c>
      <c r="H21" s="100">
        <f>'Localize Daily Bali Jimbaran'!AD26/'Localize Daily Bali Jimbaran'!AC26</f>
        <v>11390.796918655269</v>
      </c>
      <c r="I21" s="99">
        <f>'Localize Daily Bali Jimbaran'!AH26</f>
        <v>1251.1999999999477</v>
      </c>
      <c r="J21" s="101">
        <f>'Localize Daily Bali Jimbaran'!AI26/'Localize Daily Bali Jimbaran'!AH26</f>
        <v>8700</v>
      </c>
      <c r="K21" s="99">
        <f>'Localize Daily Bali Jimbaran'!Q26</f>
        <v>379</v>
      </c>
      <c r="L21" s="100">
        <f>'Localize Daily Bali Jimbaran'!V26/'Localize Daily Bali Jimbaran'!Q26</f>
        <v>10872.445329815304</v>
      </c>
      <c r="M21" s="99">
        <f>'Localize Daily Bali Jimbaran'!C26</f>
        <v>90</v>
      </c>
      <c r="N21" s="99">
        <v>253</v>
      </c>
    </row>
    <row r="22" spans="1:14" ht="15">
      <c r="A22" s="96" t="s">
        <v>14</v>
      </c>
      <c r="B22" s="97">
        <v>21</v>
      </c>
      <c r="C22" s="98">
        <v>4</v>
      </c>
      <c r="D22" s="97">
        <v>2019</v>
      </c>
      <c r="E22" s="99">
        <f>'Localize Daily Bali Jimbaran'!P27</f>
        <v>25619.999999999436</v>
      </c>
      <c r="F22" s="100">
        <f>'Localize Daily Bali Jimbaran'!O27/'Localize Daily Bali Jimbaran'!P27</f>
        <v>1182.6570000000027</v>
      </c>
      <c r="G22" s="99">
        <f>'Localize Daily Bali Jimbaran'!AC27</f>
        <v>217.55791999999764</v>
      </c>
      <c r="H22" s="100">
        <f>'Localize Daily Bali Jimbaran'!AD27/'Localize Daily Bali Jimbaran'!AC27</f>
        <v>11383.690112131981</v>
      </c>
      <c r="I22" s="99">
        <f>'Localize Daily Bali Jimbaran'!AH27</f>
        <v>456.69999999998254</v>
      </c>
      <c r="J22" s="101">
        <f>'Localize Daily Bali Jimbaran'!AI27/'Localize Daily Bali Jimbaran'!AH27</f>
        <v>8700</v>
      </c>
      <c r="K22" s="99">
        <f>'Localize Daily Bali Jimbaran'!Q27</f>
        <v>466</v>
      </c>
      <c r="L22" s="100">
        <f>'Localize Daily Bali Jimbaran'!V27/'Localize Daily Bali Jimbaran'!Q27</f>
        <v>11166.746952789699</v>
      </c>
      <c r="M22" s="99">
        <f>'Localize Daily Bali Jimbaran'!C27</f>
        <v>80</v>
      </c>
      <c r="N22" s="99">
        <v>223</v>
      </c>
    </row>
    <row r="23" spans="1:14" ht="15">
      <c r="A23" s="96" t="s">
        <v>14</v>
      </c>
      <c r="B23" s="97">
        <v>22</v>
      </c>
      <c r="C23" s="98">
        <v>4</v>
      </c>
      <c r="D23" s="97">
        <v>2019</v>
      </c>
      <c r="E23" s="99">
        <f>'Localize Daily Bali Jimbaran'!P28</f>
        <v>25799.999999999498</v>
      </c>
      <c r="F23" s="100">
        <f>'Localize Daily Bali Jimbaran'!O28/'Localize Daily Bali Jimbaran'!P28</f>
        <v>1187.4735941860488</v>
      </c>
      <c r="G23" s="99">
        <f>'Localize Daily Bali Jimbaran'!AC28</f>
        <v>290.89943999998354</v>
      </c>
      <c r="H23" s="100">
        <f>'Localize Daily Bali Jimbaran'!AD28/'Localize Daily Bali Jimbaran'!AC28</f>
        <v>11640.42530655958</v>
      </c>
      <c r="I23" s="99">
        <f>'Localize Daily Bali Jimbaran'!AH28</f>
        <v>658.60000000000582</v>
      </c>
      <c r="J23" s="101">
        <f>'Localize Daily Bali Jimbaran'!AI28/'Localize Daily Bali Jimbaran'!AH28</f>
        <v>8700</v>
      </c>
      <c r="K23" s="99">
        <f>'Localize Daily Bali Jimbaran'!Q28</f>
        <v>351</v>
      </c>
      <c r="L23" s="100">
        <f>'Localize Daily Bali Jimbaran'!V28/'Localize Daily Bali Jimbaran'!Q28</f>
        <v>10736.35698005698</v>
      </c>
      <c r="M23" s="99">
        <f>'Localize Daily Bali Jimbaran'!C28</f>
        <v>79</v>
      </c>
      <c r="N23" s="99">
        <v>214</v>
      </c>
    </row>
    <row r="24" spans="1:14" ht="15">
      <c r="A24" s="96" t="s">
        <v>14</v>
      </c>
      <c r="B24" s="97">
        <v>23</v>
      </c>
      <c r="C24" s="98">
        <v>4</v>
      </c>
      <c r="D24" s="97">
        <v>2019</v>
      </c>
      <c r="E24" s="99">
        <f>'Localize Daily Bali Jimbaran'!P29</f>
        <v>25980.000000000473</v>
      </c>
      <c r="F24" s="100">
        <f>'Localize Daily Bali Jimbaran'!O29/'Localize Daily Bali Jimbaran'!P29</f>
        <v>1183.432472286371</v>
      </c>
      <c r="G24" s="99">
        <f>'Localize Daily Bali Jimbaran'!AC29</f>
        <v>311.43880000002343</v>
      </c>
      <c r="H24" s="100">
        <f>'Localize Daily Bali Jimbaran'!AD29/'Localize Daily Bali Jimbaran'!AC29</f>
        <v>11624.080752944035</v>
      </c>
      <c r="I24" s="99">
        <f>'Localize Daily Bali Jimbaran'!AH29</f>
        <v>500</v>
      </c>
      <c r="J24" s="101">
        <f>'Localize Daily Bali Jimbaran'!AI29/'Localize Daily Bali Jimbaran'!AH29</f>
        <v>8700</v>
      </c>
      <c r="K24" s="99">
        <f>'Localize Daily Bali Jimbaran'!Q29</f>
        <v>414</v>
      </c>
      <c r="L24" s="100">
        <f>'Localize Daily Bali Jimbaran'!V29/'Localize Daily Bali Jimbaran'!Q29</f>
        <v>11339.910628019325</v>
      </c>
      <c r="M24" s="99">
        <f>'Localize Daily Bali Jimbaran'!C29</f>
        <v>77</v>
      </c>
      <c r="N24" s="99">
        <v>203</v>
      </c>
    </row>
    <row r="25" spans="1:14" ht="15">
      <c r="A25" s="96" t="s">
        <v>14</v>
      </c>
      <c r="B25" s="97">
        <v>24</v>
      </c>
      <c r="C25" s="98">
        <v>4</v>
      </c>
      <c r="D25" s="97">
        <v>2019</v>
      </c>
      <c r="E25" s="99">
        <f>'Localize Daily Bali Jimbaran'!P30</f>
        <v>25960.000000000036</v>
      </c>
      <c r="F25" s="100">
        <f>'Localize Daily Bali Jimbaran'!O30/'Localize Daily Bali Jimbaran'!P30</f>
        <v>1183.506327041601</v>
      </c>
      <c r="G25" s="99">
        <f>'Localize Daily Bali Jimbaran'!AC30</f>
        <v>296.90116000000467</v>
      </c>
      <c r="H25" s="100">
        <f>'Localize Daily Bali Jimbaran'!AD30/'Localize Daily Bali Jimbaran'!AC30</f>
        <v>11628.813563948343</v>
      </c>
      <c r="I25" s="99">
        <f>'Localize Daily Bali Jimbaran'!AH30</f>
        <v>444.10000000003492</v>
      </c>
      <c r="J25" s="101">
        <f>'Localize Daily Bali Jimbaran'!AI30/'Localize Daily Bali Jimbaran'!AH30</f>
        <v>8700</v>
      </c>
      <c r="K25" s="99">
        <f>'Localize Daily Bali Jimbaran'!Q30</f>
        <v>434</v>
      </c>
      <c r="L25" s="100">
        <f>'Localize Daily Bali Jimbaran'!V30/'Localize Daily Bali Jimbaran'!Q30</f>
        <v>10570.212258064515</v>
      </c>
      <c r="M25" s="99">
        <f>'Localize Daily Bali Jimbaran'!C30</f>
        <v>80</v>
      </c>
      <c r="N25" s="99">
        <v>205</v>
      </c>
    </row>
    <row r="26" spans="1:14" ht="15">
      <c r="A26" s="96" t="s">
        <v>14</v>
      </c>
      <c r="B26" s="97">
        <v>25</v>
      </c>
      <c r="C26" s="98">
        <v>4</v>
      </c>
      <c r="D26" s="97">
        <v>2019</v>
      </c>
      <c r="E26" s="99">
        <f>'Localize Daily Bali Jimbaran'!P31</f>
        <v>26859.999999999898</v>
      </c>
      <c r="F26" s="100">
        <f>'Localize Daily Bali Jimbaran'!O31/'Localize Daily Bali Jimbaran'!P31</f>
        <v>1181.1015536113207</v>
      </c>
      <c r="G26" s="99">
        <f>'Localize Daily Bali Jimbaran'!AC31</f>
        <v>189.12711999997418</v>
      </c>
      <c r="H26" s="100">
        <f>'Localize Daily Bali Jimbaran'!AD31/'Localize Daily Bali Jimbaran'!AC31</f>
        <v>11360.510908853303</v>
      </c>
      <c r="I26" s="99">
        <f>'Localize Daily Bali Jimbaran'!AH31</f>
        <v>628.69999999995343</v>
      </c>
      <c r="J26" s="101">
        <f>'Localize Daily Bali Jimbaran'!AI31/'Localize Daily Bali Jimbaran'!AH31</f>
        <v>8700</v>
      </c>
      <c r="K26" s="99">
        <f>'Localize Daily Bali Jimbaran'!Q31</f>
        <v>365</v>
      </c>
      <c r="L26" s="100">
        <f>'Localize Daily Bali Jimbaran'!V31/'Localize Daily Bali Jimbaran'!Q31</f>
        <v>10412.173095890412</v>
      </c>
      <c r="M26" s="99">
        <f>'Localize Daily Bali Jimbaran'!C31</f>
        <v>79</v>
      </c>
      <c r="N26" s="99">
        <v>189</v>
      </c>
    </row>
    <row r="27" spans="1:14" ht="15">
      <c r="A27" s="96" t="s">
        <v>14</v>
      </c>
      <c r="B27" s="97">
        <v>26</v>
      </c>
      <c r="C27" s="98">
        <v>4</v>
      </c>
      <c r="D27" s="97">
        <v>2019</v>
      </c>
      <c r="E27" s="99">
        <f>'Localize Daily Bali Jimbaran'!P32</f>
        <v>26499.999999999771</v>
      </c>
      <c r="F27" s="100">
        <f>'Localize Daily Bali Jimbaran'!O32/'Localize Daily Bali Jimbaran'!P32</f>
        <v>1185.2450083018875</v>
      </c>
      <c r="G27" s="99">
        <f>'Localize Daily Bali Jimbaran'!AC32</f>
        <v>309.78732000000934</v>
      </c>
      <c r="H27" s="100">
        <f>'Localize Daily Bali Jimbaran'!AD32/'Localize Daily Bali Jimbaran'!AC32</f>
        <v>11627.055888278433</v>
      </c>
      <c r="I27" s="99">
        <f>'Localize Daily Bali Jimbaran'!AH32</f>
        <v>598.60000000000582</v>
      </c>
      <c r="J27" s="101">
        <f>'Localize Daily Bali Jimbaran'!AI32/'Localize Daily Bali Jimbaran'!AH32</f>
        <v>8700</v>
      </c>
      <c r="K27" s="99">
        <f>'Localize Daily Bali Jimbaran'!Q32</f>
        <v>425</v>
      </c>
      <c r="L27" s="100">
        <f>'Localize Daily Bali Jimbaran'!V32/'Localize Daily Bali Jimbaran'!Q32</f>
        <v>8346.628564705883</v>
      </c>
      <c r="M27" s="99">
        <f>'Localize Daily Bali Jimbaran'!C32</f>
        <v>100</v>
      </c>
      <c r="N27" s="99">
        <v>212</v>
      </c>
    </row>
    <row r="28" spans="1:14" ht="15">
      <c r="A28" s="96" t="s">
        <v>14</v>
      </c>
      <c r="B28" s="97">
        <v>27</v>
      </c>
      <c r="C28" s="98">
        <v>4</v>
      </c>
      <c r="D28" s="97">
        <v>2019</v>
      </c>
      <c r="E28" s="99">
        <f>'Localize Daily Bali Jimbaran'!P33</f>
        <v>26420.000000001437</v>
      </c>
      <c r="F28" s="100">
        <f>'Localize Daily Bali Jimbaran'!O33/'Localize Daily Bali Jimbaran'!P33</f>
        <v>1188.4222948523811</v>
      </c>
      <c r="G28" s="99">
        <f>'Localize Daily Bali Jimbaran'!AC33</f>
        <v>157.09199999999998</v>
      </c>
      <c r="H28" s="100">
        <f>'Localize Daily Bali Jimbaran'!AD33/'Localize Daily Bali Jimbaran'!AC33</f>
        <v>11066</v>
      </c>
      <c r="I28" s="99">
        <f>'Localize Daily Bali Jimbaran'!AH33</f>
        <v>695.80000000001746</v>
      </c>
      <c r="J28" s="101">
        <f>'Localize Daily Bali Jimbaran'!AI33/'Localize Daily Bali Jimbaran'!AH33</f>
        <v>8700</v>
      </c>
      <c r="K28" s="99">
        <f>'Localize Daily Bali Jimbaran'!Q33</f>
        <v>347</v>
      </c>
      <c r="L28" s="100">
        <f>'Localize Daily Bali Jimbaran'!V33/'Localize Daily Bali Jimbaran'!Q33</f>
        <v>7172.1934870317009</v>
      </c>
      <c r="M28" s="99">
        <f>'Localize Daily Bali Jimbaran'!C33</f>
        <v>146</v>
      </c>
      <c r="N28" s="99">
        <v>264</v>
      </c>
    </row>
    <row r="29" spans="1:14" ht="15">
      <c r="A29" s="96" t="s">
        <v>14</v>
      </c>
      <c r="B29" s="97">
        <v>28</v>
      </c>
      <c r="C29" s="98">
        <v>4</v>
      </c>
      <c r="D29" s="97">
        <v>2019</v>
      </c>
      <c r="E29" s="99">
        <f>'Localize Daily Bali Jimbaran'!P34</f>
        <v>27699.999999998909</v>
      </c>
      <c r="F29" s="100">
        <f>'Localize Daily Bali Jimbaran'!O34/'Localize Daily Bali Jimbaran'!P34</f>
        <v>1185.7250469314117</v>
      </c>
      <c r="G29" s="99">
        <f>'Localize Daily Bali Jimbaran'!AC34</f>
        <v>162.9694400000422</v>
      </c>
      <c r="H29" s="100">
        <f>'Localize Daily Bali Jimbaran'!AD34/'Localize Daily Bali Jimbaran'!AC34</f>
        <v>11107.161091306432</v>
      </c>
      <c r="I29" s="99">
        <f>'Localize Daily Bali Jimbaran'!AH34</f>
        <v>746.80000000007567</v>
      </c>
      <c r="J29" s="101">
        <f>'Localize Daily Bali Jimbaran'!AI34/'Localize Daily Bali Jimbaran'!AH34</f>
        <v>8700</v>
      </c>
      <c r="K29" s="99">
        <f>'Localize Daily Bali Jimbaran'!Q34</f>
        <v>447.10000000000582</v>
      </c>
      <c r="L29" s="100">
        <f>'Localize Daily Bali Jimbaran'!V34/'Localize Daily Bali Jimbaran'!Q34</f>
        <v>11305.845622903062</v>
      </c>
      <c r="M29" s="99">
        <f>'Localize Daily Bali Jimbaran'!C34</f>
        <v>146</v>
      </c>
      <c r="N29" s="99">
        <v>264</v>
      </c>
    </row>
    <row r="30" spans="1:14" ht="15">
      <c r="A30" s="96" t="s">
        <v>14</v>
      </c>
      <c r="B30" s="97">
        <v>29</v>
      </c>
      <c r="C30" s="98">
        <v>4</v>
      </c>
      <c r="D30" s="97">
        <v>2019</v>
      </c>
      <c r="E30" s="99">
        <f>'Localize Daily Bali Jimbaran'!P35</f>
        <v>26920.000000000528</v>
      </c>
      <c r="F30" s="100">
        <f>'Localize Daily Bali Jimbaran'!O35/'Localize Daily Bali Jimbaran'!P35</f>
        <v>1182.1050869242147</v>
      </c>
      <c r="G30" s="99">
        <f>'Localize Daily Bali Jimbaran'!AC35</f>
        <v>296.29351999998596</v>
      </c>
      <c r="H30" s="100">
        <f>'Localize Daily Bali Jimbaran'!AD35/'Localize Daily Bali Jimbaran'!AC35</f>
        <v>11652.60749651227</v>
      </c>
      <c r="I30" s="99">
        <f>'Localize Daily Bali Jimbaran'!AH35</f>
        <v>636.39999999999418</v>
      </c>
      <c r="J30" s="101">
        <f>'Localize Daily Bali Jimbaran'!AI35/'Localize Daily Bali Jimbaran'!AH35</f>
        <v>8700</v>
      </c>
      <c r="K30" s="99">
        <f>'Localize Daily Bali Jimbaran'!Q35</f>
        <v>446.29999999998836</v>
      </c>
      <c r="L30" s="100">
        <f>'Localize Daily Bali Jimbaran'!V35/'Localize Daily Bali Jimbaran'!Q35</f>
        <v>8735.2017790724894</v>
      </c>
      <c r="M30" s="99">
        <f>'Localize Daily Bali Jimbaran'!C35</f>
        <v>146</v>
      </c>
      <c r="N30" s="99">
        <v>264</v>
      </c>
    </row>
    <row r="31" spans="1:14" ht="15">
      <c r="A31" s="96" t="s">
        <v>14</v>
      </c>
      <c r="B31" s="97">
        <v>30</v>
      </c>
      <c r="C31" s="98">
        <v>4</v>
      </c>
      <c r="D31" s="97">
        <v>2019</v>
      </c>
      <c r="E31" s="99">
        <f>'Localize Daily Bali Jimbaran'!P36</f>
        <v>25679.999999999382</v>
      </c>
      <c r="F31" s="100">
        <f>'Localize Daily Bali Jimbaran'!O36/'Localize Daily Bali Jimbaran'!P36</f>
        <v>1188.3639462616893</v>
      </c>
      <c r="G31" s="99">
        <f>'Localize Daily Bali Jimbaran'!AC36</f>
        <v>128.21124000000702</v>
      </c>
      <c r="H31" s="100">
        <f>'Localize Daily Bali Jimbaran'!AD36/'Localize Daily Bali Jimbaran'!AC36</f>
        <v>11066</v>
      </c>
      <c r="I31" s="99">
        <f>'Localize Daily Bali Jimbaran'!AH36</f>
        <v>441.69999999988931</v>
      </c>
      <c r="J31" s="101">
        <f>'Localize Daily Bali Jimbaran'!AI36/'Localize Daily Bali Jimbaran'!AH36</f>
        <v>8700</v>
      </c>
      <c r="K31" s="99">
        <f>'Localize Daily Bali Jimbaran'!Q36</f>
        <v>433.60000000000582</v>
      </c>
      <c r="L31" s="100">
        <f>'Localize Daily Bali Jimbaran'!V36/'Localize Daily Bali Jimbaran'!Q36</f>
        <v>6935.7985424353883</v>
      </c>
      <c r="M31" s="99">
        <f>'Localize Daily Bali Jimbaran'!C36</f>
        <v>146</v>
      </c>
      <c r="N31" s="99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L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38</v>
      </c>
      <c r="D7" s="103">
        <v>374</v>
      </c>
      <c r="E7" s="156">
        <v>17359.999999999673</v>
      </c>
      <c r="F7" s="156">
        <v>18880197.839999646</v>
      </c>
      <c r="G7" s="116">
        <v>3600.0000000001364</v>
      </c>
      <c r="H7" s="157">
        <v>5872872.6000002231</v>
      </c>
      <c r="I7" s="105">
        <f>F7+H7</f>
        <v>24753070.439999871</v>
      </c>
      <c r="J7" s="115">
        <v>1820.0000000006185</v>
      </c>
      <c r="K7" s="115">
        <v>1979375.5800006727</v>
      </c>
      <c r="L7" s="119">
        <v>460.00000000003638</v>
      </c>
      <c r="M7" s="121">
        <v>750422.61000005936</v>
      </c>
      <c r="N7" s="107">
        <f>K7+M7</f>
        <v>2729798.190000732</v>
      </c>
      <c r="O7" s="105">
        <f>I7+N7</f>
        <v>27482868.630000602</v>
      </c>
      <c r="P7" s="107">
        <f>E7+G7+J7+L7</f>
        <v>23240.000000000466</v>
      </c>
      <c r="Q7" s="123">
        <f>R7+T7</f>
        <v>304</v>
      </c>
      <c r="R7" s="115">
        <v>225</v>
      </c>
      <c r="S7" s="115">
        <v>4043362.5</v>
      </c>
      <c r="T7" s="115">
        <v>79</v>
      </c>
      <c r="U7" s="115">
        <v>335369.22000000003</v>
      </c>
      <c r="V7" s="115">
        <f>S7+U7</f>
        <v>4378731.72</v>
      </c>
      <c r="W7" s="115">
        <v>133.64903999997185</v>
      </c>
      <c r="X7" s="106"/>
      <c r="Y7" s="110">
        <v>0</v>
      </c>
      <c r="Z7" s="108"/>
      <c r="AA7" s="108"/>
      <c r="AB7" s="112">
        <v>12</v>
      </c>
      <c r="AC7" s="123">
        <f>W7+X7+Y7+Z7+AA7+AB7</f>
        <v>145.64903999997185</v>
      </c>
      <c r="AD7" s="104">
        <v>1618460.2766396885</v>
      </c>
      <c r="AE7" s="109"/>
      <c r="AF7" s="128">
        <v>501.60000000003492</v>
      </c>
      <c r="AG7" s="130">
        <v>0</v>
      </c>
      <c r="AH7" s="130">
        <f>AF7+AG7</f>
        <v>501.60000000003492</v>
      </c>
      <c r="AI7" s="132">
        <v>4363920.0000003036</v>
      </c>
      <c r="AJ7" s="18"/>
    </row>
    <row r="8" spans="1:36" ht="15">
      <c r="A8" s="19"/>
      <c r="B8" s="64">
        <v>2</v>
      </c>
      <c r="C8" s="65">
        <v>38</v>
      </c>
      <c r="D8" s="65">
        <v>392</v>
      </c>
      <c r="E8" s="124">
        <v>15880.000000000109</v>
      </c>
      <c r="F8" s="124">
        <v>17270595.720000118</v>
      </c>
      <c r="G8" s="111">
        <v>3399.9999999998636</v>
      </c>
      <c r="H8" s="111">
        <v>5546601.8999997787</v>
      </c>
      <c r="I8" s="105">
        <f>F8+H8</f>
        <v>22817197.619999897</v>
      </c>
      <c r="J8" s="158">
        <v>1579.9999999999272</v>
      </c>
      <c r="K8" s="158">
        <v>1718359.0199999211</v>
      </c>
      <c r="L8" s="120">
        <v>360.00000000012733</v>
      </c>
      <c r="M8" s="122">
        <v>587287.26000020781</v>
      </c>
      <c r="N8" s="107">
        <f>K8+M8</f>
        <v>2305646.2800001288</v>
      </c>
      <c r="O8" s="105">
        <f>I8+N8</f>
        <v>25122843.900000025</v>
      </c>
      <c r="P8" s="107">
        <f>E8+G8+J8+L8</f>
        <v>21220.000000000025</v>
      </c>
      <c r="Q8" s="123">
        <f>R8+T8</f>
        <v>264</v>
      </c>
      <c r="R8" s="124">
        <v>215</v>
      </c>
      <c r="S8" s="124">
        <v>3863657.5</v>
      </c>
      <c r="T8" s="117">
        <v>49</v>
      </c>
      <c r="U8" s="117">
        <v>208013.82</v>
      </c>
      <c r="V8" s="115">
        <f>S8+U8</f>
        <v>4071671.32</v>
      </c>
      <c r="W8" s="126">
        <v>125.9958399999953</v>
      </c>
      <c r="X8" s="112"/>
      <c r="Y8" s="110">
        <v>0</v>
      </c>
      <c r="Z8" s="112">
        <v>50</v>
      </c>
      <c r="AA8" s="112"/>
      <c r="AB8" s="112">
        <v>0</v>
      </c>
      <c r="AC8" s="123">
        <f>W8+X8+Y8+Z8+AA8+AB8</f>
        <v>175.9958399999953</v>
      </c>
      <c r="AD8" s="110">
        <v>2003269.965439948</v>
      </c>
      <c r="AE8" s="113"/>
      <c r="AF8" s="129">
        <v>454.29999999993015</v>
      </c>
      <c r="AG8" s="131">
        <v>0</v>
      </c>
      <c r="AH8" s="130">
        <f>AF8+AG8</f>
        <v>454.29999999993015</v>
      </c>
      <c r="AI8" s="133">
        <v>3952409.9999993923</v>
      </c>
      <c r="AJ8" s="21"/>
    </row>
    <row r="9" spans="1:36" ht="15">
      <c r="A9" s="19"/>
      <c r="B9" s="81">
        <v>3</v>
      </c>
      <c r="C9" s="65">
        <v>43</v>
      </c>
      <c r="D9" s="65">
        <v>429</v>
      </c>
      <c r="E9" s="124">
        <v>17560.0000000004</v>
      </c>
      <c r="F9" s="124">
        <v>19097711.640000436</v>
      </c>
      <c r="G9" s="111">
        <v>3680.0000000000637</v>
      </c>
      <c r="H9" s="111">
        <v>6003380.8800001042</v>
      </c>
      <c r="I9" s="105">
        <f>F9+H9</f>
        <v>25101092.52000054</v>
      </c>
      <c r="J9" s="158">
        <v>1659.9999999998545</v>
      </c>
      <c r="K9" s="158">
        <v>1805364.5399998417</v>
      </c>
      <c r="L9" s="120">
        <v>399.99999999986358</v>
      </c>
      <c r="M9" s="122">
        <v>652541.39999977755</v>
      </c>
      <c r="N9" s="107">
        <f>K9+M9</f>
        <v>2457905.9399996195</v>
      </c>
      <c r="O9" s="105">
        <f>I9+N9</f>
        <v>27558998.460000157</v>
      </c>
      <c r="P9" s="107">
        <f>E9+G9+J9+L9</f>
        <v>23300.000000000182</v>
      </c>
      <c r="Q9" s="123">
        <f>R9+T9</f>
        <v>242</v>
      </c>
      <c r="R9" s="124">
        <v>187</v>
      </c>
      <c r="S9" s="124">
        <v>3360483.5</v>
      </c>
      <c r="T9" s="117">
        <v>55</v>
      </c>
      <c r="U9" s="117">
        <v>233484.90000000002</v>
      </c>
      <c r="V9" s="115">
        <f>S9+U9</f>
        <v>3593968.4</v>
      </c>
      <c r="W9" s="126">
        <v>123.74016000000468</v>
      </c>
      <c r="X9" s="112"/>
      <c r="Y9" s="110">
        <v>0</v>
      </c>
      <c r="Z9" s="112"/>
      <c r="AA9" s="112"/>
      <c r="AB9" s="112">
        <v>12</v>
      </c>
      <c r="AC9" s="123">
        <f>W9+X9+Y9+Z9+AA9+AB9</f>
        <v>135.74016000000466</v>
      </c>
      <c r="AD9" s="110">
        <v>1508808.6105600519</v>
      </c>
      <c r="AE9" s="113"/>
      <c r="AF9" s="129">
        <v>374.40000000002328</v>
      </c>
      <c r="AG9" s="131">
        <v>6344.2000000000007</v>
      </c>
      <c r="AH9" s="130">
        <f>AF9+AG9</f>
        <v>6718.600000000024</v>
      </c>
      <c r="AI9" s="133">
        <v>58451820.000000209</v>
      </c>
      <c r="AJ9" s="21"/>
    </row>
    <row r="10" spans="1:36" ht="15">
      <c r="A10" s="19"/>
      <c r="B10" s="64">
        <v>4</v>
      </c>
      <c r="C10" s="65">
        <v>65</v>
      </c>
      <c r="D10" s="65">
        <v>468</v>
      </c>
      <c r="E10" s="124">
        <v>17199.999999999818</v>
      </c>
      <c r="F10" s="124">
        <v>18706186.7999998</v>
      </c>
      <c r="G10" s="111">
        <v>3799.9999999999545</v>
      </c>
      <c r="H10" s="111">
        <v>6199143.2999999262</v>
      </c>
      <c r="I10" s="105">
        <f>F10+H10</f>
        <v>24905330.099999726</v>
      </c>
      <c r="J10" s="158">
        <v>1539.9999999999636</v>
      </c>
      <c r="K10" s="158">
        <v>1674856.2599999604</v>
      </c>
      <c r="L10" s="120">
        <v>440.00000000005457</v>
      </c>
      <c r="M10" s="122">
        <v>717795.54000008909</v>
      </c>
      <c r="N10" s="107">
        <f>K10+M10</f>
        <v>2392651.8000000496</v>
      </c>
      <c r="O10" s="105">
        <f>I10+N10</f>
        <v>27297981.899999775</v>
      </c>
      <c r="P10" s="107">
        <f>E10+G10+J10+L10</f>
        <v>22979.999999999793</v>
      </c>
      <c r="Q10" s="123">
        <f>R10+T10</f>
        <v>252</v>
      </c>
      <c r="R10" s="124">
        <v>202</v>
      </c>
      <c r="S10" s="124">
        <v>3630041</v>
      </c>
      <c r="T10" s="117">
        <v>50</v>
      </c>
      <c r="U10" s="117">
        <v>212259</v>
      </c>
      <c r="V10" s="115">
        <f>S10+U10</f>
        <v>3842300</v>
      </c>
      <c r="W10" s="126">
        <v>0</v>
      </c>
      <c r="X10" s="112"/>
      <c r="Y10" s="110">
        <v>0</v>
      </c>
      <c r="Z10" s="112"/>
      <c r="AA10" s="112"/>
      <c r="AB10" s="112">
        <v>0</v>
      </c>
      <c r="AC10" s="123">
        <f>W10+X10+Y10+Z10+AA10+AB10</f>
        <v>0</v>
      </c>
      <c r="AD10" s="110">
        <v>0</v>
      </c>
      <c r="AE10" s="113"/>
      <c r="AF10" s="129">
        <v>618.60000000000582</v>
      </c>
      <c r="AG10" s="131">
        <v>0</v>
      </c>
      <c r="AH10" s="130">
        <f>AF10+AG10</f>
        <v>618.60000000000582</v>
      </c>
      <c r="AI10" s="133">
        <v>5381820.0000000503</v>
      </c>
      <c r="AJ10" s="21"/>
    </row>
    <row r="11" spans="1:36" ht="15">
      <c r="A11" s="19"/>
      <c r="B11" s="81">
        <v>5</v>
      </c>
      <c r="C11" s="65">
        <v>71</v>
      </c>
      <c r="D11" s="65">
        <v>529</v>
      </c>
      <c r="E11" s="124">
        <v>17000</v>
      </c>
      <c r="F11" s="124">
        <v>18488673</v>
      </c>
      <c r="G11" s="111">
        <v>3599.9999999999091</v>
      </c>
      <c r="H11" s="111">
        <v>5872872.5999998525</v>
      </c>
      <c r="I11" s="105">
        <f>F11+H11</f>
        <v>24361545.599999852</v>
      </c>
      <c r="J11" s="158">
        <v>1960.0000000000364</v>
      </c>
      <c r="K11" s="158">
        <v>2131635.2400000393</v>
      </c>
      <c r="L11" s="120">
        <v>460.00000000003638</v>
      </c>
      <c r="M11" s="122">
        <v>750422.61000005936</v>
      </c>
      <c r="N11" s="107">
        <f>K11+M11</f>
        <v>2882057.8500000988</v>
      </c>
      <c r="O11" s="105">
        <f>I11+N11</f>
        <v>27243603.449999951</v>
      </c>
      <c r="P11" s="107">
        <f>E11+G11+J11+L11</f>
        <v>23019.999999999982</v>
      </c>
      <c r="Q11" s="123">
        <f>R11+T11</f>
        <v>386</v>
      </c>
      <c r="R11" s="124">
        <v>217</v>
      </c>
      <c r="S11" s="124">
        <v>3899598.5</v>
      </c>
      <c r="T11" s="117">
        <v>169</v>
      </c>
      <c r="U11" s="117">
        <v>717435.42</v>
      </c>
      <c r="V11" s="115">
        <f>S11+U11</f>
        <v>4617033.92</v>
      </c>
      <c r="W11" s="126">
        <v>140.53692000005626</v>
      </c>
      <c r="X11" s="112"/>
      <c r="Y11" s="110">
        <v>0</v>
      </c>
      <c r="Z11" s="112"/>
      <c r="AA11" s="112"/>
      <c r="AB11" s="112">
        <v>24</v>
      </c>
      <c r="AC11" s="123">
        <f>W11+X11+Y11+Z11+AA11+AB11</f>
        <v>164.53692000005626</v>
      </c>
      <c r="AD11" s="110">
        <v>1834181.5567206226</v>
      </c>
      <c r="AE11" s="113"/>
      <c r="AF11" s="129">
        <v>788.20000000006985</v>
      </c>
      <c r="AG11" s="131">
        <v>0</v>
      </c>
      <c r="AH11" s="130">
        <f>AF11+AG11</f>
        <v>788.20000000006985</v>
      </c>
      <c r="AI11" s="133">
        <v>6857340.0000006072</v>
      </c>
      <c r="AJ11" s="21"/>
    </row>
    <row r="12" spans="1:36" ht="15">
      <c r="A12" s="19"/>
      <c r="B12" s="64">
        <v>6</v>
      </c>
      <c r="C12" s="65">
        <v>110</v>
      </c>
      <c r="D12" s="65">
        <v>632</v>
      </c>
      <c r="E12" s="124">
        <v>17319.999999999709</v>
      </c>
      <c r="F12" s="124">
        <v>18836695.079999685</v>
      </c>
      <c r="G12" s="111">
        <v>3720.0000000000273</v>
      </c>
      <c r="H12" s="111">
        <v>6068635.0200000443</v>
      </c>
      <c r="I12" s="105">
        <f>F12+H12</f>
        <v>24905330.09999973</v>
      </c>
      <c r="J12" s="158">
        <v>1960.0000000000364</v>
      </c>
      <c r="K12" s="158">
        <v>2131635.2400000393</v>
      </c>
      <c r="L12" s="120">
        <v>500</v>
      </c>
      <c r="M12" s="122">
        <v>815676.75</v>
      </c>
      <c r="N12" s="107">
        <f>K12+M12</f>
        <v>2947311.9900000393</v>
      </c>
      <c r="O12" s="105">
        <f>I12+N12</f>
        <v>27852642.089999769</v>
      </c>
      <c r="P12" s="107">
        <f>E12+G12+J12+L12</f>
        <v>23499.999999999774</v>
      </c>
      <c r="Q12" s="123">
        <f>R12+T12</f>
        <v>266</v>
      </c>
      <c r="R12" s="124">
        <v>166</v>
      </c>
      <c r="S12" s="124">
        <v>2983103</v>
      </c>
      <c r="T12" s="117">
        <v>100</v>
      </c>
      <c r="U12" s="117">
        <v>424518</v>
      </c>
      <c r="V12" s="115">
        <f>S12+U12</f>
        <v>3407621</v>
      </c>
      <c r="W12" s="126">
        <v>134.33379999996481</v>
      </c>
      <c r="X12" s="112"/>
      <c r="Y12" s="110">
        <v>0</v>
      </c>
      <c r="Z12" s="112"/>
      <c r="AA12" s="112"/>
      <c r="AB12" s="112">
        <v>12</v>
      </c>
      <c r="AC12" s="123">
        <f>W12+X12+Y12+Z12+AA12+AB12</f>
        <v>146.33379999996481</v>
      </c>
      <c r="AD12" s="110">
        <v>1626037.8307996106</v>
      </c>
      <c r="AE12" s="113"/>
      <c r="AF12" s="129">
        <v>617.70000000004075</v>
      </c>
      <c r="AG12" s="131">
        <v>0</v>
      </c>
      <c r="AH12" s="130">
        <f>AF12+AG12</f>
        <v>617.70000000004075</v>
      </c>
      <c r="AI12" s="133">
        <v>5373990.0000003548</v>
      </c>
      <c r="AJ12" s="21"/>
    </row>
    <row r="13" spans="1:36" ht="15">
      <c r="A13" s="19"/>
      <c r="B13" s="81">
        <v>7</v>
      </c>
      <c r="C13" s="65">
        <v>122</v>
      </c>
      <c r="D13" s="65">
        <v>810</v>
      </c>
      <c r="E13" s="124">
        <v>18640.000000000327</v>
      </c>
      <c r="F13" s="124">
        <v>20272286.160000358</v>
      </c>
      <c r="G13" s="111">
        <v>3960.0000000000364</v>
      </c>
      <c r="H13" s="111">
        <v>6460159.8600000599</v>
      </c>
      <c r="I13" s="105">
        <f>F13+H13</f>
        <v>26732446.020000417</v>
      </c>
      <c r="J13" s="158">
        <v>2059.9999999994907</v>
      </c>
      <c r="K13" s="158">
        <v>2240392.139999446</v>
      </c>
      <c r="L13" s="120">
        <v>480.00000000001819</v>
      </c>
      <c r="M13" s="122">
        <v>783049.68000002974</v>
      </c>
      <c r="N13" s="107">
        <f>K13+M13</f>
        <v>3023441.819999476</v>
      </c>
      <c r="O13" s="105">
        <f>I13+N13</f>
        <v>29755887.839999892</v>
      </c>
      <c r="P13" s="107">
        <f>E13+G13+J13+L13</f>
        <v>25139.999999999873</v>
      </c>
      <c r="Q13" s="123">
        <f>R13+T13</f>
        <v>529</v>
      </c>
      <c r="R13" s="124">
        <v>252</v>
      </c>
      <c r="S13" s="124">
        <v>4528566</v>
      </c>
      <c r="T13" s="117">
        <v>277</v>
      </c>
      <c r="U13" s="117">
        <v>1175914.8600000001</v>
      </c>
      <c r="V13" s="115">
        <f>S13+U13</f>
        <v>5704480.8600000003</v>
      </c>
      <c r="W13" s="126">
        <v>145.0885600000164</v>
      </c>
      <c r="X13" s="112"/>
      <c r="Y13" s="110">
        <v>0</v>
      </c>
      <c r="Z13" s="112">
        <v>50</v>
      </c>
      <c r="AA13" s="112"/>
      <c r="AB13" s="112">
        <v>0</v>
      </c>
      <c r="AC13" s="123">
        <f>W13+X13+Y13+Z13+AA13+AB13</f>
        <v>195.0885600000164</v>
      </c>
      <c r="AD13" s="110">
        <v>2214550.0049601812</v>
      </c>
      <c r="AE13" s="113"/>
      <c r="AF13" s="129">
        <v>490.99999999991269</v>
      </c>
      <c r="AG13" s="131">
        <v>0</v>
      </c>
      <c r="AH13" s="130">
        <f>AF13+AG13</f>
        <v>490.99999999991269</v>
      </c>
      <c r="AI13" s="133">
        <v>4271699.99999924</v>
      </c>
      <c r="AJ13" s="21"/>
    </row>
    <row r="14" spans="1:36" ht="15">
      <c r="A14" s="19"/>
      <c r="B14" s="64">
        <v>8</v>
      </c>
      <c r="C14" s="65">
        <v>136</v>
      </c>
      <c r="D14" s="65">
        <v>861</v>
      </c>
      <c r="E14" s="124">
        <v>19079.999999999927</v>
      </c>
      <c r="F14" s="124">
        <v>20750816.519999921</v>
      </c>
      <c r="G14" s="111">
        <v>3640.0000000001</v>
      </c>
      <c r="H14" s="111">
        <v>5938126.7400001632</v>
      </c>
      <c r="I14" s="105">
        <f>F14+H14</f>
        <v>26688943.260000084</v>
      </c>
      <c r="J14" s="158">
        <v>2039.9999999999636</v>
      </c>
      <c r="K14" s="158">
        <v>2218640.7599999607</v>
      </c>
      <c r="L14" s="120">
        <v>500</v>
      </c>
      <c r="M14" s="122">
        <v>815676.75</v>
      </c>
      <c r="N14" s="107">
        <f>K14+M14</f>
        <v>3034317.5099999607</v>
      </c>
      <c r="O14" s="105">
        <f>I14+N14</f>
        <v>29723260.770000044</v>
      </c>
      <c r="P14" s="107">
        <f>E14+G14+J14+L14</f>
        <v>25259.999999999993</v>
      </c>
      <c r="Q14" s="123">
        <f>R14+T14</f>
        <v>449</v>
      </c>
      <c r="R14" s="124">
        <v>234</v>
      </c>
      <c r="S14" s="124">
        <v>4205097</v>
      </c>
      <c r="T14" s="117">
        <v>215</v>
      </c>
      <c r="U14" s="117">
        <v>912713.70000000007</v>
      </c>
      <c r="V14" s="115">
        <f>S14+U14</f>
        <v>5117810.7</v>
      </c>
      <c r="W14" s="126">
        <v>147.66648000001405</v>
      </c>
      <c r="X14" s="112"/>
      <c r="Y14" s="110">
        <v>150</v>
      </c>
      <c r="Z14" s="112"/>
      <c r="AA14" s="112"/>
      <c r="AB14" s="112">
        <v>12</v>
      </c>
      <c r="AC14" s="123">
        <f>W14+X14+Y14+Z14+AA14+AB14</f>
        <v>309.66648000001408</v>
      </c>
      <c r="AD14" s="110">
        <v>3600577.2676801551</v>
      </c>
      <c r="AE14" s="113"/>
      <c r="AF14" s="129">
        <v>381.60000000003492</v>
      </c>
      <c r="AG14" s="131">
        <v>0</v>
      </c>
      <c r="AH14" s="130">
        <f>AF14+AG14</f>
        <v>381.60000000003492</v>
      </c>
      <c r="AI14" s="133">
        <v>3319920.0000003036</v>
      </c>
      <c r="AJ14" s="21"/>
    </row>
    <row r="15" spans="1:36" ht="15">
      <c r="A15" s="19"/>
      <c r="B15" s="81">
        <v>9</v>
      </c>
      <c r="C15" s="65">
        <v>139</v>
      </c>
      <c r="D15" s="65">
        <v>762</v>
      </c>
      <c r="E15" s="124">
        <v>19239.999999999782</v>
      </c>
      <c r="F15" s="124">
        <v>20924827.55999976</v>
      </c>
      <c r="G15" s="111">
        <v>5079.9999999999272</v>
      </c>
      <c r="H15" s="111">
        <v>8287275.779999882</v>
      </c>
      <c r="I15" s="105">
        <f>F15+H15</f>
        <v>29212103.339999642</v>
      </c>
      <c r="J15" s="158">
        <v>2100.0000000003638</v>
      </c>
      <c r="K15" s="158">
        <v>2283894.9000003957</v>
      </c>
      <c r="L15" s="120">
        <v>500</v>
      </c>
      <c r="M15" s="122">
        <v>815676.75</v>
      </c>
      <c r="N15" s="107">
        <f>K15+M15</f>
        <v>3099571.6500003957</v>
      </c>
      <c r="O15" s="105">
        <f>I15+N15</f>
        <v>32311674.990000039</v>
      </c>
      <c r="P15" s="107">
        <f>E15+G15+J15+L15</f>
        <v>26920.000000000073</v>
      </c>
      <c r="Q15" s="123">
        <f>R15+T15</f>
        <v>472</v>
      </c>
      <c r="R15" s="124">
        <v>194</v>
      </c>
      <c r="S15" s="124">
        <v>3486277</v>
      </c>
      <c r="T15" s="117">
        <v>278</v>
      </c>
      <c r="U15" s="117">
        <v>1180160.04</v>
      </c>
      <c r="V15" s="115">
        <f>S15+U15</f>
        <v>4666437.04</v>
      </c>
      <c r="W15" s="126">
        <v>153.82931999995074</v>
      </c>
      <c r="X15" s="112"/>
      <c r="Y15" s="110">
        <v>150</v>
      </c>
      <c r="Z15" s="112"/>
      <c r="AA15" s="112"/>
      <c r="AB15" s="112">
        <v>60</v>
      </c>
      <c r="AC15" s="123">
        <f>W15+X15+Y15+Z15+AA15+AB15</f>
        <v>363.82931999995071</v>
      </c>
      <c r="AD15" s="110">
        <v>4226775.255119455</v>
      </c>
      <c r="AE15" s="113"/>
      <c r="AF15" s="129">
        <v>532.20000000001164</v>
      </c>
      <c r="AG15" s="131">
        <v>0</v>
      </c>
      <c r="AH15" s="130">
        <f>AF15+AG15</f>
        <v>532.20000000001164</v>
      </c>
      <c r="AI15" s="133">
        <v>4630140.0000001015</v>
      </c>
      <c r="AJ15" s="21"/>
    </row>
    <row r="16" spans="1:36" ht="15">
      <c r="A16" s="19"/>
      <c r="B16" s="64">
        <v>10</v>
      </c>
      <c r="C16" s="65">
        <v>110</v>
      </c>
      <c r="D16" s="65">
        <v>694</v>
      </c>
      <c r="E16" s="124">
        <v>19440.000000000509</v>
      </c>
      <c r="F16" s="124">
        <v>21142341.360000554</v>
      </c>
      <c r="G16" s="111">
        <v>3880.0000000001091</v>
      </c>
      <c r="H16" s="111">
        <v>6329651.5800001789</v>
      </c>
      <c r="I16" s="105">
        <f>F16+H16</f>
        <v>27471992.940000735</v>
      </c>
      <c r="J16" s="158">
        <v>2119.9999999998909</v>
      </c>
      <c r="K16" s="158">
        <v>2305646.2799998815</v>
      </c>
      <c r="L16" s="120">
        <v>480.00000000001819</v>
      </c>
      <c r="M16" s="122">
        <v>783049.68000002974</v>
      </c>
      <c r="N16" s="107">
        <f>K16+M16</f>
        <v>3088695.9599999115</v>
      </c>
      <c r="O16" s="105">
        <f>I16+N16</f>
        <v>30560688.900000647</v>
      </c>
      <c r="P16" s="107">
        <f>E16+G16+J16+L16</f>
        <v>25920.000000000528</v>
      </c>
      <c r="Q16" s="123">
        <f>R16+T16</f>
        <v>505</v>
      </c>
      <c r="R16" s="124">
        <v>236</v>
      </c>
      <c r="S16" s="124">
        <v>4241038</v>
      </c>
      <c r="T16" s="117">
        <v>269</v>
      </c>
      <c r="U16" s="117">
        <v>1141953.4200000002</v>
      </c>
      <c r="V16" s="115">
        <f>S16+U16</f>
        <v>5382991.4199999999</v>
      </c>
      <c r="W16" s="126">
        <v>139.44936000003983</v>
      </c>
      <c r="X16" s="112"/>
      <c r="Y16" s="110">
        <v>0</v>
      </c>
      <c r="Z16" s="112"/>
      <c r="AA16" s="112"/>
      <c r="AB16" s="112">
        <v>0</v>
      </c>
      <c r="AC16" s="123">
        <f>W16+X16+Y16+Z16+AA16+AB16</f>
        <v>139.44936000003983</v>
      </c>
      <c r="AD16" s="110">
        <v>1543146.6177604408</v>
      </c>
      <c r="AE16" s="113"/>
      <c r="AF16" s="129">
        <v>475.39999999993597</v>
      </c>
      <c r="AG16" s="131">
        <v>0</v>
      </c>
      <c r="AH16" s="130">
        <f>AF16+AG16</f>
        <v>475.39999999993597</v>
      </c>
      <c r="AI16" s="133">
        <v>4135979.9999994431</v>
      </c>
      <c r="AJ16" s="21"/>
    </row>
    <row r="17" spans="1:36" ht="15">
      <c r="A17" s="19"/>
      <c r="B17" s="81">
        <v>11</v>
      </c>
      <c r="C17" s="65">
        <v>121</v>
      </c>
      <c r="D17" s="65">
        <v>569</v>
      </c>
      <c r="E17" s="124">
        <v>19519.999999999527</v>
      </c>
      <c r="F17" s="124">
        <v>21229346.879999485</v>
      </c>
      <c r="G17" s="111">
        <v>4039.9999999999636</v>
      </c>
      <c r="H17" s="111">
        <v>6590668.139999941</v>
      </c>
      <c r="I17" s="105">
        <f>F17+H17</f>
        <v>27820015.019999426</v>
      </c>
      <c r="J17" s="158">
        <v>1960.0000000000364</v>
      </c>
      <c r="K17" s="158">
        <v>2131635.2400000393</v>
      </c>
      <c r="L17" s="120">
        <v>500</v>
      </c>
      <c r="M17" s="122">
        <v>815676.75</v>
      </c>
      <c r="N17" s="107">
        <f>K17+M17</f>
        <v>2947311.9900000393</v>
      </c>
      <c r="O17" s="105">
        <f>I17+N17</f>
        <v>30767327.009999465</v>
      </c>
      <c r="P17" s="107">
        <f>E17+G17+J17+L17</f>
        <v>26019.999999999527</v>
      </c>
      <c r="Q17" s="123">
        <f>R17+T17</f>
        <v>334</v>
      </c>
      <c r="R17" s="124">
        <v>237</v>
      </c>
      <c r="S17" s="124">
        <v>4259008.5</v>
      </c>
      <c r="T17" s="117">
        <v>97</v>
      </c>
      <c r="U17" s="117">
        <v>411782.46</v>
      </c>
      <c r="V17" s="115">
        <f>S17+U17</f>
        <v>4670790.96</v>
      </c>
      <c r="W17" s="126">
        <v>138.76459999998826</v>
      </c>
      <c r="X17" s="112"/>
      <c r="Y17" s="110">
        <v>150</v>
      </c>
      <c r="Z17" s="112"/>
      <c r="AA17" s="112"/>
      <c r="AB17" s="112">
        <v>0</v>
      </c>
      <c r="AC17" s="123">
        <f>W17+X17+Y17+Z17+AA17+AB17</f>
        <v>288.76459999998826</v>
      </c>
      <c r="AD17" s="110">
        <v>3362569.0635998701</v>
      </c>
      <c r="AE17" s="113"/>
      <c r="AF17" s="129">
        <v>611.20000000009895</v>
      </c>
      <c r="AG17" s="131">
        <v>0</v>
      </c>
      <c r="AH17" s="130">
        <f>AF17+AG17</f>
        <v>611.20000000009895</v>
      </c>
      <c r="AI17" s="133">
        <v>5317440.0000008605</v>
      </c>
      <c r="AJ17" s="21"/>
    </row>
    <row r="18" spans="1:36" ht="15">
      <c r="A18" s="19"/>
      <c r="B18" s="64">
        <v>12</v>
      </c>
      <c r="C18" s="65">
        <v>123</v>
      </c>
      <c r="D18" s="65">
        <v>884</v>
      </c>
      <c r="E18" s="124">
        <v>18239.999999999782</v>
      </c>
      <c r="F18" s="124">
        <v>19837258.55999976</v>
      </c>
      <c r="G18" s="111">
        <v>4359.9999999999</v>
      </c>
      <c r="H18" s="111">
        <v>7112701.2599998368</v>
      </c>
      <c r="I18" s="105">
        <f>F18+H18</f>
        <v>26949959.819999598</v>
      </c>
      <c r="J18" s="158">
        <v>2000</v>
      </c>
      <c r="K18" s="158">
        <v>2175138</v>
      </c>
      <c r="L18" s="120">
        <v>460.00000000003638</v>
      </c>
      <c r="M18" s="122">
        <v>750422.61000005936</v>
      </c>
      <c r="N18" s="107">
        <f>K18+M18</f>
        <v>2925560.6100000595</v>
      </c>
      <c r="O18" s="105">
        <f>I18+N18</f>
        <v>29875520.429999657</v>
      </c>
      <c r="P18" s="107">
        <f>E18+G18+J18+L18</f>
        <v>25059.999999999716</v>
      </c>
      <c r="Q18" s="123">
        <f>R18+T18</f>
        <v>346</v>
      </c>
      <c r="R18" s="124">
        <v>239</v>
      </c>
      <c r="S18" s="124">
        <v>4294949.5</v>
      </c>
      <c r="T18" s="117">
        <v>107</v>
      </c>
      <c r="U18" s="117">
        <v>454234.26</v>
      </c>
      <c r="V18" s="115">
        <f>S18+U18</f>
        <v>4749183.76</v>
      </c>
      <c r="W18" s="126">
        <v>131.43364000001876</v>
      </c>
      <c r="X18" s="112"/>
      <c r="Y18" s="110">
        <v>0</v>
      </c>
      <c r="Z18" s="112"/>
      <c r="AA18" s="112"/>
      <c r="AB18" s="112">
        <v>0</v>
      </c>
      <c r="AC18" s="123">
        <f>W18+X18+Y18+Z18+AA18+AB18</f>
        <v>131.43364000001876</v>
      </c>
      <c r="AD18" s="110">
        <v>1454444.6602402076</v>
      </c>
      <c r="AE18" s="113"/>
      <c r="AF18" s="129">
        <v>738.19999999992433</v>
      </c>
      <c r="AG18" s="131">
        <v>0</v>
      </c>
      <c r="AH18" s="130">
        <f>AF18+AG18</f>
        <v>738.19999999992433</v>
      </c>
      <c r="AI18" s="133">
        <v>6422339.9999993416</v>
      </c>
      <c r="AJ18" s="21"/>
    </row>
    <row r="19" spans="1:36" ht="15">
      <c r="A19" s="19"/>
      <c r="B19" s="81">
        <v>13</v>
      </c>
      <c r="C19" s="65">
        <v>79</v>
      </c>
      <c r="D19" s="65">
        <v>678</v>
      </c>
      <c r="E19" s="124">
        <v>19039.999999999964</v>
      </c>
      <c r="F19" s="124">
        <v>20707313.759999961</v>
      </c>
      <c r="G19" s="111">
        <v>3799.9999999999545</v>
      </c>
      <c r="H19" s="111">
        <v>6199143.2999999262</v>
      </c>
      <c r="I19" s="105">
        <f>F19+H19</f>
        <v>26906457.059999887</v>
      </c>
      <c r="J19" s="158">
        <v>1819.999999999709</v>
      </c>
      <c r="K19" s="158">
        <v>1979375.5799996837</v>
      </c>
      <c r="L19" s="120">
        <v>479.99999999979082</v>
      </c>
      <c r="M19" s="122">
        <v>783049.67999965884</v>
      </c>
      <c r="N19" s="107">
        <f>K19+M19</f>
        <v>2762425.2599993423</v>
      </c>
      <c r="O19" s="105">
        <f>I19+N19</f>
        <v>29668882.319999229</v>
      </c>
      <c r="P19" s="107">
        <f>E19+G19+J19+L19</f>
        <v>25139.999999999418</v>
      </c>
      <c r="Q19" s="123">
        <f>R19+T19</f>
        <v>303</v>
      </c>
      <c r="R19" s="124">
        <v>235</v>
      </c>
      <c r="S19" s="124">
        <v>4223067.5</v>
      </c>
      <c r="T19" s="117">
        <v>68</v>
      </c>
      <c r="U19" s="117">
        <v>288672.24</v>
      </c>
      <c r="V19" s="115">
        <f>S19+U19</f>
        <v>4511739.74</v>
      </c>
      <c r="W19" s="126">
        <v>138.68403999997184</v>
      </c>
      <c r="X19" s="112"/>
      <c r="Y19" s="110"/>
      <c r="Z19" s="112">
        <v>50</v>
      </c>
      <c r="AA19" s="112"/>
      <c r="AB19" s="112">
        <v>0</v>
      </c>
      <c r="AC19" s="123">
        <f>W19+X19+Y19+Z19+AA19+AB19</f>
        <v>188.68403999997184</v>
      </c>
      <c r="AD19" s="110">
        <v>2143677.5866396884</v>
      </c>
      <c r="AE19" s="113"/>
      <c r="AF19" s="129">
        <v>360.89999999996508</v>
      </c>
      <c r="AG19" s="131">
        <v>0</v>
      </c>
      <c r="AH19" s="130">
        <f>AF19+AG19</f>
        <v>360.89999999996508</v>
      </c>
      <c r="AI19" s="133">
        <v>3139829.9999996964</v>
      </c>
      <c r="AJ19" s="21"/>
    </row>
    <row r="20" spans="1:36" ht="15">
      <c r="A20" s="19"/>
      <c r="B20" s="64">
        <v>14</v>
      </c>
      <c r="C20" s="65">
        <v>74</v>
      </c>
      <c r="D20" s="65">
        <v>625</v>
      </c>
      <c r="E20" s="124">
        <v>18200.000000000728</v>
      </c>
      <c r="F20" s="124">
        <v>19793755.800000791</v>
      </c>
      <c r="G20" s="111">
        <v>3880.0000000001091</v>
      </c>
      <c r="H20" s="111">
        <v>6329651.5800001789</v>
      </c>
      <c r="I20" s="105">
        <f>F20+H20</f>
        <v>26123407.380000971</v>
      </c>
      <c r="J20" s="158">
        <v>2020.0000000004366</v>
      </c>
      <c r="K20" s="158">
        <v>2196889.3800004749</v>
      </c>
      <c r="L20" s="120">
        <v>500</v>
      </c>
      <c r="M20" s="122">
        <v>815676.75</v>
      </c>
      <c r="N20" s="107">
        <f>K20+M20</f>
        <v>3012566.1300004749</v>
      </c>
      <c r="O20" s="105">
        <f>I20+N20</f>
        <v>29135973.510001447</v>
      </c>
      <c r="P20" s="107">
        <f>E20+G20+J20+L20</f>
        <v>24600.000000001273</v>
      </c>
      <c r="Q20" s="123">
        <f>R20+T20</f>
        <v>347</v>
      </c>
      <c r="R20" s="124">
        <v>256</v>
      </c>
      <c r="S20" s="124">
        <v>4600448</v>
      </c>
      <c r="T20" s="117">
        <v>91</v>
      </c>
      <c r="U20" s="117">
        <v>386311.38</v>
      </c>
      <c r="V20" s="115">
        <f>S20+U20</f>
        <v>4986759.38</v>
      </c>
      <c r="W20" s="126">
        <v>139.85216000000469</v>
      </c>
      <c r="X20" s="112"/>
      <c r="Y20" s="110">
        <v>0</v>
      </c>
      <c r="Z20" s="112"/>
      <c r="AA20" s="112"/>
      <c r="AB20" s="112">
        <v>0</v>
      </c>
      <c r="AC20" s="123">
        <f>W20+X20+Y20+Z20+AA20+AB20</f>
        <v>139.85216000000469</v>
      </c>
      <c r="AD20" s="110">
        <v>1547604.0025600519</v>
      </c>
      <c r="AE20" s="113"/>
      <c r="AF20" s="129">
        <v>451.30000000004657</v>
      </c>
      <c r="AG20" s="131">
        <v>0</v>
      </c>
      <c r="AH20" s="130">
        <f>AF20+AG20</f>
        <v>451.30000000004657</v>
      </c>
      <c r="AI20" s="133">
        <v>3926310.0000004051</v>
      </c>
      <c r="AJ20" s="21"/>
    </row>
    <row r="21" spans="1:36" ht="15">
      <c r="A21" s="19"/>
      <c r="B21" s="81">
        <v>15</v>
      </c>
      <c r="C21" s="71">
        <v>71</v>
      </c>
      <c r="D21" s="71">
        <v>612</v>
      </c>
      <c r="E21" s="117">
        <v>18359.999999999673</v>
      </c>
      <c r="F21" s="117">
        <v>19967766.839999646</v>
      </c>
      <c r="G21" s="114">
        <v>4039.9999999999636</v>
      </c>
      <c r="H21" s="114">
        <v>6590668.139999941</v>
      </c>
      <c r="I21" s="105">
        <f>F21+H21</f>
        <v>26558434.979999587</v>
      </c>
      <c r="J21" s="114">
        <v>1859.9999999996726</v>
      </c>
      <c r="K21" s="114">
        <v>2022878.3399996439</v>
      </c>
      <c r="L21" s="114">
        <v>480.00000000001819</v>
      </c>
      <c r="M21" s="117">
        <v>783049.68000002974</v>
      </c>
      <c r="N21" s="107">
        <f>K21+M21</f>
        <v>2805928.0199996736</v>
      </c>
      <c r="O21" s="105">
        <f>I21+N21</f>
        <v>29364362.999999262</v>
      </c>
      <c r="P21" s="107">
        <f>E21+G21+J21+L21</f>
        <v>24739.999999999327</v>
      </c>
      <c r="Q21" s="123">
        <f>R21+T21</f>
        <v>190</v>
      </c>
      <c r="R21" s="124">
        <v>130</v>
      </c>
      <c r="S21" s="124">
        <v>2336165</v>
      </c>
      <c r="T21" s="117">
        <v>60</v>
      </c>
      <c r="U21" s="117">
        <v>254710.80000000002</v>
      </c>
      <c r="V21" s="115">
        <f>S21+U21</f>
        <v>2590875.7999999998</v>
      </c>
      <c r="W21" s="126">
        <v>133.85043999998356</v>
      </c>
      <c r="X21" s="112"/>
      <c r="Y21" s="110">
        <v>0</v>
      </c>
      <c r="Z21" s="112"/>
      <c r="AA21" s="112"/>
      <c r="AB21" s="112">
        <v>12</v>
      </c>
      <c r="AC21" s="123">
        <f>W21+X21+Y21+Z21+AA21+AB21</f>
        <v>145.85043999998356</v>
      </c>
      <c r="AD21" s="110">
        <v>1620688.969039818</v>
      </c>
      <c r="AE21" s="113"/>
      <c r="AF21" s="129">
        <v>335</v>
      </c>
      <c r="AG21" s="131">
        <v>0</v>
      </c>
      <c r="AH21" s="130">
        <f>AF21+AG21</f>
        <v>335</v>
      </c>
      <c r="AI21" s="133">
        <v>2914500</v>
      </c>
      <c r="AJ21" s="21"/>
    </row>
    <row r="22" spans="1:36" ht="15">
      <c r="A22" s="19"/>
      <c r="B22" s="64">
        <v>16</v>
      </c>
      <c r="C22" s="71">
        <v>68</v>
      </c>
      <c r="D22" s="71">
        <v>516</v>
      </c>
      <c r="E22" s="117">
        <v>18640.000000000327</v>
      </c>
      <c r="F22" s="117">
        <v>20272286.160000358</v>
      </c>
      <c r="G22" s="114">
        <v>3960.0000000000364</v>
      </c>
      <c r="H22" s="114">
        <v>6460159.8600000599</v>
      </c>
      <c r="I22" s="105">
        <f>F22+H22</f>
        <v>26732446.020000417</v>
      </c>
      <c r="J22" s="114">
        <v>1980.0000000004729</v>
      </c>
      <c r="K22" s="114">
        <v>2153386.6200005142</v>
      </c>
      <c r="L22" s="114">
        <v>480.00000000001819</v>
      </c>
      <c r="M22" s="117">
        <v>783049.68000002974</v>
      </c>
      <c r="N22" s="107">
        <f>K22+M22</f>
        <v>2936436.3000005437</v>
      </c>
      <c r="O22" s="105">
        <f>I22+N22</f>
        <v>29668882.320000961</v>
      </c>
      <c r="P22" s="107">
        <f>E22+G22+J22+L22</f>
        <v>25060.000000000855</v>
      </c>
      <c r="Q22" s="123">
        <f>R22+T22</f>
        <v>421</v>
      </c>
      <c r="R22" s="124">
        <v>256</v>
      </c>
      <c r="S22" s="124">
        <v>4600448</v>
      </c>
      <c r="T22" s="117">
        <v>165</v>
      </c>
      <c r="U22" s="117">
        <v>700454.70000000007</v>
      </c>
      <c r="V22" s="115">
        <f>S22+U22</f>
        <v>5300902.7</v>
      </c>
      <c r="W22" s="126">
        <v>152.78204000003046</v>
      </c>
      <c r="X22" s="112"/>
      <c r="Y22" s="110">
        <v>300</v>
      </c>
      <c r="Z22" s="112"/>
      <c r="AA22" s="112"/>
      <c r="AB22" s="112">
        <v>48</v>
      </c>
      <c r="AC22" s="123">
        <f>W22+X22+Y22+Z22+AA22+AB22</f>
        <v>500.78204000003046</v>
      </c>
      <c r="AD22" s="110">
        <v>5902686.0546403369</v>
      </c>
      <c r="AE22" s="113"/>
      <c r="AF22" s="129">
        <v>404.70000000001164</v>
      </c>
      <c r="AG22" s="131">
        <v>0</v>
      </c>
      <c r="AH22" s="130">
        <f>AF22+AG22</f>
        <v>404.70000000001164</v>
      </c>
      <c r="AI22" s="133">
        <v>3520890.0000001015</v>
      </c>
      <c r="AJ22" s="21"/>
    </row>
    <row r="23" spans="1:36" ht="15">
      <c r="A23" s="19"/>
      <c r="B23" s="81">
        <v>17</v>
      </c>
      <c r="C23" s="71">
        <v>81</v>
      </c>
      <c r="D23" s="71">
        <v>645</v>
      </c>
      <c r="E23" s="117">
        <v>18799.999999999272</v>
      </c>
      <c r="F23" s="117">
        <v>20446297.199999209</v>
      </c>
      <c r="G23" s="114">
        <v>4079.9999999999272</v>
      </c>
      <c r="H23" s="114">
        <v>6655922.279999882</v>
      </c>
      <c r="I23" s="105">
        <f>F23+H23</f>
        <v>27102219.479999091</v>
      </c>
      <c r="J23" s="114">
        <v>1939.9999999995998</v>
      </c>
      <c r="K23" s="114">
        <v>2109883.8599995649</v>
      </c>
      <c r="L23" s="114">
        <v>480.00000000001819</v>
      </c>
      <c r="M23" s="117">
        <v>783049.68000002974</v>
      </c>
      <c r="N23" s="107">
        <f>K23+M23</f>
        <v>2892933.5399995949</v>
      </c>
      <c r="O23" s="105">
        <f>I23+N23</f>
        <v>29995153.019998685</v>
      </c>
      <c r="P23" s="107">
        <f>E23+G23+J23+L23</f>
        <v>25299.999999998818</v>
      </c>
      <c r="Q23" s="123">
        <f>R23+T23</f>
        <v>292</v>
      </c>
      <c r="R23" s="124">
        <v>239</v>
      </c>
      <c r="S23" s="124">
        <v>4294949.5</v>
      </c>
      <c r="T23" s="117">
        <v>53</v>
      </c>
      <c r="U23" s="117">
        <v>224994.54</v>
      </c>
      <c r="V23" s="115">
        <f>S23+U23</f>
        <v>4519944.04</v>
      </c>
      <c r="W23" s="126">
        <v>125.0291199999742</v>
      </c>
      <c r="X23" s="112"/>
      <c r="Y23" s="110">
        <v>0</v>
      </c>
      <c r="Z23" s="112"/>
      <c r="AA23" s="112"/>
      <c r="AB23" s="112">
        <v>0</v>
      </c>
      <c r="AC23" s="123">
        <f>W23+X23+Y23+Z23+AA23+AB23</f>
        <v>125.0291199999742</v>
      </c>
      <c r="AD23" s="110">
        <v>1383572.2419197145</v>
      </c>
      <c r="AE23" s="113"/>
      <c r="AF23" s="129">
        <v>530.09999999994761</v>
      </c>
      <c r="AG23" s="131">
        <v>0</v>
      </c>
      <c r="AH23" s="130">
        <f>AF23+AG23</f>
        <v>530.09999999994761</v>
      </c>
      <c r="AI23" s="133">
        <v>4611869.9999995446</v>
      </c>
      <c r="AJ23" s="21"/>
    </row>
    <row r="24" spans="1:36" ht="15">
      <c r="A24" s="19"/>
      <c r="B24" s="64">
        <v>18</v>
      </c>
      <c r="C24" s="71">
        <v>92</v>
      </c>
      <c r="D24" s="71">
        <v>714</v>
      </c>
      <c r="E24" s="117">
        <v>20920.000000000073</v>
      </c>
      <c r="F24" s="117">
        <v>22751943.480000082</v>
      </c>
      <c r="G24" s="114">
        <v>4240.0000000000091</v>
      </c>
      <c r="H24" s="114">
        <v>6916938.8400000157</v>
      </c>
      <c r="I24" s="105">
        <f>F24+H24</f>
        <v>29668882.320000097</v>
      </c>
      <c r="J24" s="114">
        <v>1880.0000000001091</v>
      </c>
      <c r="K24" s="118">
        <v>2044629.7200001187</v>
      </c>
      <c r="L24" s="114">
        <v>480.00000000001819</v>
      </c>
      <c r="M24" s="117">
        <v>783049.68000002974</v>
      </c>
      <c r="N24" s="107">
        <f>K24+M24</f>
        <v>2827679.4000001485</v>
      </c>
      <c r="O24" s="105">
        <f>I24+N24</f>
        <v>32496561.720000245</v>
      </c>
      <c r="P24" s="107">
        <f>E24+G24+J24+L24</f>
        <v>27520.000000000207</v>
      </c>
      <c r="Q24" s="123">
        <f>R24+T24</f>
        <v>238</v>
      </c>
      <c r="R24" s="124">
        <v>154</v>
      </c>
      <c r="S24" s="124">
        <v>2767457</v>
      </c>
      <c r="T24" s="117">
        <v>84</v>
      </c>
      <c r="U24" s="117">
        <v>356595.12</v>
      </c>
      <c r="V24" s="115">
        <f>S24+U24</f>
        <v>3124052.12</v>
      </c>
      <c r="W24" s="126">
        <v>137.0728399999953</v>
      </c>
      <c r="X24" s="112"/>
      <c r="Y24" s="110"/>
      <c r="Z24" s="112"/>
      <c r="AA24" s="112"/>
      <c r="AB24" s="112">
        <v>0</v>
      </c>
      <c r="AC24" s="123">
        <f>W24+X24+Y24+Z24+AA24+AB24</f>
        <v>137.0728399999953</v>
      </c>
      <c r="AD24" s="110">
        <v>1516848.047439948</v>
      </c>
      <c r="AE24" s="113"/>
      <c r="AF24" s="129">
        <v>551.90000000002328</v>
      </c>
      <c r="AG24" s="131">
        <v>0</v>
      </c>
      <c r="AH24" s="130">
        <f>AF24+AG24</f>
        <v>551.90000000002328</v>
      </c>
      <c r="AI24" s="133">
        <v>4801530.000000203</v>
      </c>
      <c r="AJ24" s="21"/>
    </row>
    <row r="25" spans="1:36" ht="15">
      <c r="A25" s="19"/>
      <c r="B25" s="81">
        <v>19</v>
      </c>
      <c r="C25" s="71">
        <v>91</v>
      </c>
      <c r="D25" s="71">
        <v>825</v>
      </c>
      <c r="E25" s="117">
        <v>18920.000000000073</v>
      </c>
      <c r="F25" s="117">
        <v>20576805.480000082</v>
      </c>
      <c r="G25" s="114">
        <v>4160.0000000000819</v>
      </c>
      <c r="H25" s="114">
        <v>6786430.5600001346</v>
      </c>
      <c r="I25" s="105">
        <f>F25+H25</f>
        <v>27363236.040000215</v>
      </c>
      <c r="J25" s="114">
        <v>1920.0000000000728</v>
      </c>
      <c r="K25" s="114">
        <v>2088132.4800000791</v>
      </c>
      <c r="L25" s="114">
        <v>480.00000000001819</v>
      </c>
      <c r="M25" s="117">
        <v>783049.68000002974</v>
      </c>
      <c r="N25" s="107">
        <f>K25+M25</f>
        <v>2871182.1600001091</v>
      </c>
      <c r="O25" s="105">
        <f>I25+N25</f>
        <v>30234418.200000323</v>
      </c>
      <c r="P25" s="107">
        <f>E25+G25+J25+L25</f>
        <v>25480.000000000244</v>
      </c>
      <c r="Q25" s="123">
        <f>R25+T25</f>
        <v>307</v>
      </c>
      <c r="R25" s="124">
        <v>145</v>
      </c>
      <c r="S25" s="124">
        <v>2605722.5</v>
      </c>
      <c r="T25" s="117">
        <v>162</v>
      </c>
      <c r="U25" s="117">
        <v>687719.16</v>
      </c>
      <c r="V25" s="115">
        <f>S25+U25</f>
        <v>3293441.66</v>
      </c>
      <c r="W25" s="126">
        <v>144.52464000001874</v>
      </c>
      <c r="X25" s="112"/>
      <c r="Y25" s="110">
        <v>0</v>
      </c>
      <c r="Z25" s="112"/>
      <c r="AA25" s="112"/>
      <c r="AB25" s="112">
        <v>24</v>
      </c>
      <c r="AC25" s="123">
        <f>W25+X25+Y25+Z25+AA25+AB25</f>
        <v>168.52464000001874</v>
      </c>
      <c r="AD25" s="110">
        <v>1878309.6662402074</v>
      </c>
      <c r="AE25" s="113"/>
      <c r="AF25" s="129">
        <v>714.90000000005239</v>
      </c>
      <c r="AG25" s="131">
        <v>63.400000000000318</v>
      </c>
      <c r="AH25" s="130">
        <f>AF25+AG25</f>
        <v>778.30000000005271</v>
      </c>
      <c r="AI25" s="133">
        <v>6771210.0000004582</v>
      </c>
      <c r="AJ25" s="21"/>
    </row>
    <row r="26" spans="1:36" ht="15">
      <c r="A26" s="19"/>
      <c r="B26" s="64">
        <v>20</v>
      </c>
      <c r="C26" s="71">
        <v>90</v>
      </c>
      <c r="D26" s="71">
        <v>728</v>
      </c>
      <c r="E26" s="117">
        <v>18560.0000000004</v>
      </c>
      <c r="F26" s="117">
        <v>20185280.640000436</v>
      </c>
      <c r="G26" s="114">
        <v>4000</v>
      </c>
      <c r="H26" s="114">
        <v>6525414</v>
      </c>
      <c r="I26" s="105">
        <f>F26+H26</f>
        <v>26710694.640000436</v>
      </c>
      <c r="J26" s="114">
        <v>1920.0000000000728</v>
      </c>
      <c r="K26" s="114">
        <v>2088132.4800000791</v>
      </c>
      <c r="L26" s="114">
        <v>480.00000000001819</v>
      </c>
      <c r="M26" s="117">
        <v>783049.68000002974</v>
      </c>
      <c r="N26" s="107">
        <f>K26+M26</f>
        <v>2871182.1600001091</v>
      </c>
      <c r="O26" s="105">
        <f>I26+N26</f>
        <v>29581876.800000545</v>
      </c>
      <c r="P26" s="107">
        <f>E26+G26+J26+L26</f>
        <v>24960.000000000491</v>
      </c>
      <c r="Q26" s="123">
        <f>R26+T26</f>
        <v>379</v>
      </c>
      <c r="R26" s="124">
        <v>183</v>
      </c>
      <c r="S26" s="124">
        <v>3288601.5</v>
      </c>
      <c r="T26" s="117">
        <v>196</v>
      </c>
      <c r="U26" s="117">
        <v>832055.28</v>
      </c>
      <c r="V26" s="115">
        <f>S26+U26</f>
        <v>4120656.7800000003</v>
      </c>
      <c r="W26" s="126">
        <v>130.14467999999061</v>
      </c>
      <c r="X26" s="112"/>
      <c r="Y26" s="110">
        <v>0</v>
      </c>
      <c r="Z26" s="112">
        <v>50</v>
      </c>
      <c r="AA26" s="112"/>
      <c r="AB26" s="112">
        <v>12</v>
      </c>
      <c r="AC26" s="123">
        <f>W26+X26+Y26+Z26+AA26+AB26</f>
        <v>192.14467999999061</v>
      </c>
      <c r="AD26" s="110">
        <v>2188681.0288798958</v>
      </c>
      <c r="AE26" s="113"/>
      <c r="AF26" s="129">
        <v>555.09999999994761</v>
      </c>
      <c r="AG26" s="131">
        <v>696.10000000000014</v>
      </c>
      <c r="AH26" s="130">
        <f>AF26+AG26</f>
        <v>1251.1999999999477</v>
      </c>
      <c r="AI26" s="133">
        <v>10885439.999999546</v>
      </c>
      <c r="AJ26" s="21"/>
    </row>
    <row r="27" spans="1:36" ht="15">
      <c r="A27" s="19"/>
      <c r="B27" s="81">
        <v>21</v>
      </c>
      <c r="C27" s="65">
        <v>80</v>
      </c>
      <c r="D27" s="65">
        <v>749</v>
      </c>
      <c r="E27" s="124">
        <v>19319.999999999709</v>
      </c>
      <c r="F27" s="124">
        <v>21011833.079999685</v>
      </c>
      <c r="G27" s="111">
        <v>4000</v>
      </c>
      <c r="H27" s="111">
        <v>6525414</v>
      </c>
      <c r="I27" s="105">
        <f>F27+H27</f>
        <v>27537247.079999685</v>
      </c>
      <c r="J27" s="158">
        <v>1819.999999999709</v>
      </c>
      <c r="K27" s="158">
        <v>1979375.5799996837</v>
      </c>
      <c r="L27" s="120">
        <v>480.00000000001819</v>
      </c>
      <c r="M27" s="122">
        <v>783049.68000002974</v>
      </c>
      <c r="N27" s="107">
        <f>K27+M27</f>
        <v>2762425.2599997134</v>
      </c>
      <c r="O27" s="105">
        <f>I27+N27</f>
        <v>30299672.3399994</v>
      </c>
      <c r="P27" s="107">
        <f>E27+G27+J27+L27</f>
        <v>25619.999999999436</v>
      </c>
      <c r="Q27" s="123">
        <f>R27+T27</f>
        <v>466</v>
      </c>
      <c r="R27" s="124">
        <v>235</v>
      </c>
      <c r="S27" s="124">
        <v>4223067.5</v>
      </c>
      <c r="T27" s="117">
        <v>231</v>
      </c>
      <c r="U27" s="117">
        <v>980636.58000000007</v>
      </c>
      <c r="V27" s="115">
        <f>S27+U27</f>
        <v>5203704.08</v>
      </c>
      <c r="W27" s="126">
        <v>143.55791999999764</v>
      </c>
      <c r="X27" s="112"/>
      <c r="Y27" s="110">
        <v>50</v>
      </c>
      <c r="Z27" s="112"/>
      <c r="AA27" s="112"/>
      <c r="AB27" s="112">
        <v>24</v>
      </c>
      <c r="AC27" s="123">
        <f>W27+X27+Y27+Z27+AA27+AB27</f>
        <v>217.55791999999764</v>
      </c>
      <c r="AD27" s="110">
        <v>2476611.9427199736</v>
      </c>
      <c r="AE27" s="113"/>
      <c r="AF27" s="129">
        <v>456.69999999998254</v>
      </c>
      <c r="AG27" s="131">
        <v>0</v>
      </c>
      <c r="AH27" s="130">
        <f>AF27+AG27</f>
        <v>456.69999999998254</v>
      </c>
      <c r="AI27" s="133">
        <v>3973289.9999998482</v>
      </c>
      <c r="AJ27" s="21"/>
    </row>
    <row r="28" spans="1:36" ht="15">
      <c r="A28" s="19"/>
      <c r="B28" s="64">
        <v>22</v>
      </c>
      <c r="C28" s="65">
        <v>79</v>
      </c>
      <c r="D28" s="65">
        <v>859</v>
      </c>
      <c r="E28" s="124">
        <v>19239.999999999782</v>
      </c>
      <c r="F28" s="124">
        <v>20924827.55999976</v>
      </c>
      <c r="G28" s="111">
        <v>4240.0000000000091</v>
      </c>
      <c r="H28" s="111">
        <v>6916938.8400000157</v>
      </c>
      <c r="I28" s="105">
        <f>F28+H28</f>
        <v>27841766.399999775</v>
      </c>
      <c r="J28" s="158">
        <v>1819.999999999709</v>
      </c>
      <c r="K28" s="158">
        <v>1979375.5799996837</v>
      </c>
      <c r="L28" s="120">
        <v>500</v>
      </c>
      <c r="M28" s="122">
        <v>815676.75</v>
      </c>
      <c r="N28" s="107">
        <f>K28+M28</f>
        <v>2795052.3299996834</v>
      </c>
      <c r="O28" s="105">
        <f>I28+N28</f>
        <v>30636818.72999946</v>
      </c>
      <c r="P28" s="107">
        <f>E28+G28+J28+L28</f>
        <v>25799.999999999498</v>
      </c>
      <c r="Q28" s="123">
        <f>R28+T28</f>
        <v>351</v>
      </c>
      <c r="R28" s="124">
        <v>166</v>
      </c>
      <c r="S28" s="124">
        <v>2983103</v>
      </c>
      <c r="T28" s="117">
        <v>185</v>
      </c>
      <c r="U28" s="117">
        <v>785358.3</v>
      </c>
      <c r="V28" s="115">
        <f>S28+U28</f>
        <v>3768461.3</v>
      </c>
      <c r="W28" s="126">
        <v>140.89943999998357</v>
      </c>
      <c r="X28" s="112"/>
      <c r="Y28" s="110">
        <v>150</v>
      </c>
      <c r="Z28" s="112"/>
      <c r="AA28" s="112"/>
      <c r="AB28" s="112">
        <v>0</v>
      </c>
      <c r="AC28" s="123">
        <f>W28+X28+Y28+Z28+AA28+AB28</f>
        <v>290.89943999998354</v>
      </c>
      <c r="AD28" s="110">
        <v>3386193.2030398184</v>
      </c>
      <c r="AE28" s="113"/>
      <c r="AF28" s="129">
        <v>658.60000000000582</v>
      </c>
      <c r="AG28" s="131">
        <v>0</v>
      </c>
      <c r="AH28" s="130">
        <f>AF28+AG28</f>
        <v>658.60000000000582</v>
      </c>
      <c r="AI28" s="133">
        <v>5729820.0000000503</v>
      </c>
      <c r="AJ28" s="21"/>
    </row>
    <row r="29" spans="1:36" ht="15">
      <c r="A29" s="19"/>
      <c r="B29" s="81">
        <v>23</v>
      </c>
      <c r="C29" s="65">
        <v>77</v>
      </c>
      <c r="D29" s="65">
        <v>599</v>
      </c>
      <c r="E29" s="124">
        <v>19400.000000000546</v>
      </c>
      <c r="F29" s="124">
        <v>21098838.600000594</v>
      </c>
      <c r="G29" s="111">
        <v>4079.9999999999272</v>
      </c>
      <c r="H29" s="111">
        <v>6655922.279999882</v>
      </c>
      <c r="I29" s="105">
        <f>F29+H29</f>
        <v>27754760.880000476</v>
      </c>
      <c r="J29" s="158">
        <v>2000</v>
      </c>
      <c r="K29" s="158">
        <v>2175138</v>
      </c>
      <c r="L29" s="120">
        <v>500</v>
      </c>
      <c r="M29" s="122">
        <v>815676.75</v>
      </c>
      <c r="N29" s="107">
        <f>K29+M29</f>
        <v>2990814.75</v>
      </c>
      <c r="O29" s="105">
        <f>I29+N29</f>
        <v>30745575.630000476</v>
      </c>
      <c r="P29" s="107">
        <f>E29+G29+J29+L29</f>
        <v>25980.000000000473</v>
      </c>
      <c r="Q29" s="123">
        <f>R29+T29</f>
        <v>414</v>
      </c>
      <c r="R29" s="124">
        <v>214</v>
      </c>
      <c r="S29" s="124">
        <v>3845687</v>
      </c>
      <c r="T29" s="117">
        <v>200</v>
      </c>
      <c r="U29" s="117">
        <v>849036</v>
      </c>
      <c r="V29" s="115">
        <f>S29+U29</f>
        <v>4694723</v>
      </c>
      <c r="W29" s="126">
        <v>149.43880000002343</v>
      </c>
      <c r="X29" s="112"/>
      <c r="Y29" s="110">
        <v>150</v>
      </c>
      <c r="Z29" s="112"/>
      <c r="AA29" s="112"/>
      <c r="AB29" s="112">
        <v>12</v>
      </c>
      <c r="AC29" s="123">
        <f>W29+X29+Y29+Z29+AA29+AB29</f>
        <v>311.43880000002343</v>
      </c>
      <c r="AD29" s="110">
        <v>3620189.7608002592</v>
      </c>
      <c r="AE29" s="113"/>
      <c r="AF29" s="129">
        <v>500</v>
      </c>
      <c r="AG29" s="131">
        <v>0</v>
      </c>
      <c r="AH29" s="130">
        <f>AF29+AG29</f>
        <v>500</v>
      </c>
      <c r="AI29" s="133">
        <v>4350000</v>
      </c>
      <c r="AJ29" s="21"/>
    </row>
    <row r="30" spans="1:36" ht="15">
      <c r="A30" s="19"/>
      <c r="B30" s="64">
        <v>24</v>
      </c>
      <c r="C30" s="65">
        <v>80</v>
      </c>
      <c r="D30" s="65">
        <v>678</v>
      </c>
      <c r="E30" s="124">
        <v>19359.999999999673</v>
      </c>
      <c r="F30" s="124">
        <v>21055335.839999646</v>
      </c>
      <c r="G30" s="111">
        <v>4079.9999999999272</v>
      </c>
      <c r="H30" s="111">
        <v>6655922.279999882</v>
      </c>
      <c r="I30" s="105">
        <f>F30+H30</f>
        <v>27711258.119999528</v>
      </c>
      <c r="J30" s="158">
        <v>2020.0000000004366</v>
      </c>
      <c r="K30" s="158">
        <v>2196889.3800004749</v>
      </c>
      <c r="L30" s="120">
        <v>500</v>
      </c>
      <c r="M30" s="122">
        <v>815676.75</v>
      </c>
      <c r="N30" s="107">
        <f>K30+M30</f>
        <v>3012566.1300004749</v>
      </c>
      <c r="O30" s="105">
        <f>I30+N30</f>
        <v>30723824.250000004</v>
      </c>
      <c r="P30" s="107">
        <f>E30+G30+J30+L30</f>
        <v>25960.000000000036</v>
      </c>
      <c r="Q30" s="123">
        <f>R30+T30</f>
        <v>434</v>
      </c>
      <c r="R30" s="124">
        <v>200</v>
      </c>
      <c r="S30" s="124">
        <v>3594100</v>
      </c>
      <c r="T30" s="117">
        <v>234</v>
      </c>
      <c r="U30" s="117">
        <v>993372.12000000011</v>
      </c>
      <c r="V30" s="115">
        <f>S30+U30</f>
        <v>4587472.12</v>
      </c>
      <c r="W30" s="126">
        <v>146.90116000000467</v>
      </c>
      <c r="X30" s="112"/>
      <c r="Y30" s="110">
        <v>150</v>
      </c>
      <c r="Z30" s="112"/>
      <c r="AA30" s="112"/>
      <c r="AB30" s="112">
        <v>0</v>
      </c>
      <c r="AC30" s="123">
        <f>W30+X30+Y30+Z30+AA30+AB30</f>
        <v>296.90116000000467</v>
      </c>
      <c r="AD30" s="110">
        <v>3452608.2365600513</v>
      </c>
      <c r="AE30" s="113"/>
      <c r="AF30" s="129">
        <v>444.10000000003492</v>
      </c>
      <c r="AG30" s="131">
        <v>0</v>
      </c>
      <c r="AH30" s="130">
        <f>AF30+AG30</f>
        <v>444.10000000003492</v>
      </c>
      <c r="AI30" s="133">
        <v>3863670.0000003036</v>
      </c>
      <c r="AJ30" s="21"/>
    </row>
    <row r="31" spans="1:36" ht="15">
      <c r="A31" s="19"/>
      <c r="B31" s="81">
        <v>25</v>
      </c>
      <c r="C31" s="65">
        <v>79</v>
      </c>
      <c r="D31" s="65">
        <v>631</v>
      </c>
      <c r="E31" s="124">
        <v>20279.999999999745</v>
      </c>
      <c r="F31" s="124">
        <v>22055899.319999721</v>
      </c>
      <c r="G31" s="111">
        <v>4120.0000000001182</v>
      </c>
      <c r="H31" s="111">
        <v>6721176.4200001936</v>
      </c>
      <c r="I31" s="105">
        <f>F31+H31</f>
        <v>28777075.739999913</v>
      </c>
      <c r="J31" s="158">
        <v>1960.0000000000364</v>
      </c>
      <c r="K31" s="158">
        <v>2131635.2400000393</v>
      </c>
      <c r="L31" s="120">
        <v>500</v>
      </c>
      <c r="M31" s="122">
        <v>815676.75</v>
      </c>
      <c r="N31" s="107">
        <f>K31+M31</f>
        <v>2947311.9900000393</v>
      </c>
      <c r="O31" s="105">
        <f>I31+N31</f>
        <v>31724387.729999952</v>
      </c>
      <c r="P31" s="107">
        <f>E31+G31+J31+L31</f>
        <v>26859.999999999898</v>
      </c>
      <c r="Q31" s="123">
        <f>R31+T31</f>
        <v>365</v>
      </c>
      <c r="R31" s="124">
        <v>164</v>
      </c>
      <c r="S31" s="124">
        <v>2947162</v>
      </c>
      <c r="T31" s="117">
        <v>201</v>
      </c>
      <c r="U31" s="117">
        <v>853281.18</v>
      </c>
      <c r="V31" s="115">
        <f>S31+U31</f>
        <v>3800443.18</v>
      </c>
      <c r="W31" s="126">
        <v>139.12711999997418</v>
      </c>
      <c r="X31" s="112"/>
      <c r="Y31" s="110">
        <v>0</v>
      </c>
      <c r="Z31" s="112">
        <v>50</v>
      </c>
      <c r="AA31" s="112"/>
      <c r="AB31" s="112">
        <v>0</v>
      </c>
      <c r="AC31" s="123">
        <f>W31+X31+Y31+Z31+AA31+AB31</f>
        <v>189.12711999997418</v>
      </c>
      <c r="AD31" s="110">
        <v>2148580.7099197144</v>
      </c>
      <c r="AE31" s="113"/>
      <c r="AF31" s="129">
        <v>628.69999999995343</v>
      </c>
      <c r="AG31" s="131">
        <v>0</v>
      </c>
      <c r="AH31" s="130">
        <f>AF31+AG31</f>
        <v>628.69999999995343</v>
      </c>
      <c r="AI31" s="133">
        <v>5469689.9999995949</v>
      </c>
      <c r="AJ31" s="21"/>
    </row>
    <row r="32" spans="1:36" ht="15">
      <c r="A32" s="19"/>
      <c r="B32" s="64">
        <v>26</v>
      </c>
      <c r="C32" s="65">
        <v>100</v>
      </c>
      <c r="D32" s="65">
        <v>539</v>
      </c>
      <c r="E32" s="124">
        <v>19720.000000000255</v>
      </c>
      <c r="F32" s="124">
        <v>21446860.680000275</v>
      </c>
      <c r="G32" s="111">
        <v>4240.0000000000091</v>
      </c>
      <c r="H32" s="111">
        <v>6916938.8400000157</v>
      </c>
      <c r="I32" s="105">
        <f>F32+H32</f>
        <v>28363799.52000029</v>
      </c>
      <c r="J32" s="158">
        <v>2019.9999999995271</v>
      </c>
      <c r="K32" s="158">
        <v>2196889.3799994858</v>
      </c>
      <c r="L32" s="120">
        <v>519.99999999998181</v>
      </c>
      <c r="M32" s="122">
        <v>848303.81999997038</v>
      </c>
      <c r="N32" s="107">
        <f>K32+M32</f>
        <v>3045193.1999994563</v>
      </c>
      <c r="O32" s="105">
        <f>I32+N32</f>
        <v>31408992.719999745</v>
      </c>
      <c r="P32" s="107">
        <f>E32+G32+J32+L32</f>
        <v>26499.999999999771</v>
      </c>
      <c r="Q32" s="123">
        <f>R32+T32</f>
        <v>425</v>
      </c>
      <c r="R32" s="124">
        <v>127</v>
      </c>
      <c r="S32" s="124">
        <v>2282253.5</v>
      </c>
      <c r="T32" s="117">
        <v>298</v>
      </c>
      <c r="U32" s="117">
        <v>1265063.6400000001</v>
      </c>
      <c r="V32" s="115">
        <f>S32+U32</f>
        <v>3547317.14</v>
      </c>
      <c r="W32" s="126">
        <v>147.78732000000937</v>
      </c>
      <c r="X32" s="112"/>
      <c r="Y32" s="110">
        <v>150</v>
      </c>
      <c r="Z32" s="112"/>
      <c r="AA32" s="112"/>
      <c r="AB32" s="112">
        <v>12</v>
      </c>
      <c r="AC32" s="123">
        <f>W32+X32+Y32+Z32+AA32+AB32</f>
        <v>309.78732000000934</v>
      </c>
      <c r="AD32" s="110">
        <v>3601914.4831201038</v>
      </c>
      <c r="AE32" s="113"/>
      <c r="AF32" s="129">
        <v>598.60000000000582</v>
      </c>
      <c r="AG32" s="131">
        <v>0</v>
      </c>
      <c r="AH32" s="130">
        <f>AF32+AG32</f>
        <v>598.60000000000582</v>
      </c>
      <c r="AI32" s="133">
        <v>5207820.0000000503</v>
      </c>
      <c r="AJ32" s="21"/>
    </row>
    <row r="33" spans="1:36" ht="15">
      <c r="A33" s="19"/>
      <c r="B33" s="81">
        <v>27</v>
      </c>
      <c r="C33" s="65">
        <v>146</v>
      </c>
      <c r="D33" s="65">
        <v>860</v>
      </c>
      <c r="E33" s="124">
        <v>19480.000000000473</v>
      </c>
      <c r="F33" s="124">
        <v>21185844.120000515</v>
      </c>
      <c r="G33" s="111">
        <v>4440.0000000000546</v>
      </c>
      <c r="H33" s="111">
        <v>7243209.5400000904</v>
      </c>
      <c r="I33" s="105">
        <f>F33+H33</f>
        <v>28429053.660000607</v>
      </c>
      <c r="J33" s="158">
        <v>2040.0000000008731</v>
      </c>
      <c r="K33" s="158">
        <v>2218640.7600009497</v>
      </c>
      <c r="L33" s="120">
        <v>460.00000000003638</v>
      </c>
      <c r="M33" s="122">
        <v>750422.61000005936</v>
      </c>
      <c r="N33" s="107">
        <f>K33+M33</f>
        <v>2969063.3700010092</v>
      </c>
      <c r="O33" s="105">
        <f>I33+N33</f>
        <v>31398117.030001618</v>
      </c>
      <c r="P33" s="107">
        <f>E33+G33+J33+L33</f>
        <v>26420.000000001437</v>
      </c>
      <c r="Q33" s="123">
        <f>R33+T33</f>
        <v>347</v>
      </c>
      <c r="R33" s="124">
        <v>74</v>
      </c>
      <c r="S33" s="124">
        <v>1329817</v>
      </c>
      <c r="T33" s="117">
        <v>273</v>
      </c>
      <c r="U33" s="117">
        <v>1158934.1400000001</v>
      </c>
      <c r="V33" s="115">
        <f>S33+U33</f>
        <v>2488751.14</v>
      </c>
      <c r="W33" s="126">
        <v>157.09199999999998</v>
      </c>
      <c r="X33" s="112"/>
      <c r="Y33" s="110">
        <v>0</v>
      </c>
      <c r="Z33" s="112"/>
      <c r="AA33" s="112"/>
      <c r="AB33" s="112">
        <v>0</v>
      </c>
      <c r="AC33" s="123">
        <f>W33+X33+Y33+Z33+AA33+AB33</f>
        <v>157.09199999999998</v>
      </c>
      <c r="AD33" s="110">
        <v>1738380.0719999999</v>
      </c>
      <c r="AE33" s="113"/>
      <c r="AF33" s="129">
        <v>695.80000000001746</v>
      </c>
      <c r="AG33" s="131">
        <v>0</v>
      </c>
      <c r="AH33" s="130">
        <f>AF33+AG33</f>
        <v>695.80000000001746</v>
      </c>
      <c r="AI33" s="133">
        <v>6053460.0000001518</v>
      </c>
      <c r="AJ33" s="21"/>
    </row>
    <row r="34" spans="1:36" ht="15">
      <c r="A34" s="19"/>
      <c r="B34" s="64">
        <v>28</v>
      </c>
      <c r="C34" s="65">
        <v>146</v>
      </c>
      <c r="D34" s="65">
        <v>906</v>
      </c>
      <c r="E34" s="124">
        <v>20279.999999999745</v>
      </c>
      <c r="F34" s="124">
        <v>22055899.319999721</v>
      </c>
      <c r="G34" s="111">
        <v>4480.0000000000182</v>
      </c>
      <c r="H34" s="111">
        <v>7308463.6800000304</v>
      </c>
      <c r="I34" s="105">
        <f>F34+H34</f>
        <v>29364362.99999975</v>
      </c>
      <c r="J34" s="158">
        <v>2419.9999999991633</v>
      </c>
      <c r="K34" s="158">
        <v>2631916.9799990896</v>
      </c>
      <c r="L34" s="120">
        <v>519.99999999998181</v>
      </c>
      <c r="M34" s="122">
        <v>848303.81999997038</v>
      </c>
      <c r="N34" s="107">
        <f>K34+M34</f>
        <v>3480220.7999990601</v>
      </c>
      <c r="O34" s="105">
        <f>I34+N34</f>
        <v>32844583.799998812</v>
      </c>
      <c r="P34" s="107">
        <f>E34+G34+J34+L34</f>
        <v>27699.999999998909</v>
      </c>
      <c r="Q34" s="123">
        <f>R34+T34</f>
        <v>447.10000000000582</v>
      </c>
      <c r="R34" s="124">
        <v>230</v>
      </c>
      <c r="S34" s="124">
        <v>4133215</v>
      </c>
      <c r="T34" s="117">
        <v>217.10000000000582</v>
      </c>
      <c r="U34" s="117">
        <v>921628.57800002478</v>
      </c>
      <c r="V34" s="115">
        <f>S34+U34</f>
        <v>5054843.5780000249</v>
      </c>
      <c r="W34" s="126">
        <v>150.9694400000422</v>
      </c>
      <c r="X34" s="112"/>
      <c r="Y34" s="110">
        <v>0</v>
      </c>
      <c r="Z34" s="112"/>
      <c r="AA34" s="112"/>
      <c r="AB34" s="112">
        <v>12</v>
      </c>
      <c r="AC34" s="123">
        <f>W34+X34+Y34+Z34+AA34+AB34</f>
        <v>162.9694400000422</v>
      </c>
      <c r="AD34" s="110">
        <v>1810127.823040467</v>
      </c>
      <c r="AE34" s="113"/>
      <c r="AF34" s="129">
        <v>746.80000000007567</v>
      </c>
      <c r="AG34" s="131">
        <v>0</v>
      </c>
      <c r="AH34" s="130">
        <f>AF34+AG34</f>
        <v>746.80000000007567</v>
      </c>
      <c r="AI34" s="133">
        <v>6497160.0000006584</v>
      </c>
      <c r="AJ34" s="21"/>
    </row>
    <row r="35" spans="1:36" ht="15">
      <c r="A35" s="19"/>
      <c r="B35" s="81">
        <v>29</v>
      </c>
      <c r="C35" s="65">
        <v>146</v>
      </c>
      <c r="D35" s="65">
        <v>826</v>
      </c>
      <c r="E35" s="124">
        <v>20039.999999999964</v>
      </c>
      <c r="F35" s="124">
        <v>21794882.759999961</v>
      </c>
      <c r="G35" s="111">
        <v>4199.9999999998181</v>
      </c>
      <c r="H35" s="111">
        <v>6851684.699999704</v>
      </c>
      <c r="I35" s="105">
        <f>F35+H35</f>
        <v>28646567.459999666</v>
      </c>
      <c r="J35" s="158">
        <v>2200.0000000007276</v>
      </c>
      <c r="K35" s="158">
        <v>2392651.8000007914</v>
      </c>
      <c r="L35" s="120">
        <v>480.00000000001819</v>
      </c>
      <c r="M35" s="122">
        <v>783049.68000002974</v>
      </c>
      <c r="N35" s="107">
        <f>K35+M35</f>
        <v>3175701.4800008209</v>
      </c>
      <c r="O35" s="105">
        <f>I35+N35</f>
        <v>31822268.940000486</v>
      </c>
      <c r="P35" s="107">
        <f>E35+G35+J35+L35</f>
        <v>26920.000000000528</v>
      </c>
      <c r="Q35" s="123">
        <f>R35+T35</f>
        <v>446.29999999998836</v>
      </c>
      <c r="R35" s="124">
        <v>146</v>
      </c>
      <c r="S35" s="124">
        <v>2623693</v>
      </c>
      <c r="T35" s="117">
        <v>300.29999999998836</v>
      </c>
      <c r="U35" s="117">
        <v>1274827.5539999506</v>
      </c>
      <c r="V35" s="115">
        <f>S35+U35</f>
        <v>3898520.5539999506</v>
      </c>
      <c r="W35" s="126">
        <v>134.29351999998593</v>
      </c>
      <c r="X35" s="112"/>
      <c r="Y35" s="110">
        <v>150</v>
      </c>
      <c r="Z35" s="112"/>
      <c r="AA35" s="112"/>
      <c r="AB35" s="112">
        <v>12</v>
      </c>
      <c r="AC35" s="123">
        <f>W35+X35+Y35+Z35+AA35+AB35</f>
        <v>296.29351999998596</v>
      </c>
      <c r="AD35" s="110">
        <v>3452592.0923198443</v>
      </c>
      <c r="AE35" s="113"/>
      <c r="AF35" s="129">
        <v>636.39999999999418</v>
      </c>
      <c r="AG35" s="131">
        <v>0</v>
      </c>
      <c r="AH35" s="130">
        <f>AF35+AG35</f>
        <v>636.39999999999418</v>
      </c>
      <c r="AI35" s="133">
        <v>5536679.9999999497</v>
      </c>
      <c r="AJ35" s="21"/>
    </row>
    <row r="36" spans="1:36" ht="15">
      <c r="A36" s="19"/>
      <c r="B36" s="64">
        <v>30</v>
      </c>
      <c r="C36" s="65">
        <v>146</v>
      </c>
      <c r="D36" s="65">
        <v>819</v>
      </c>
      <c r="E36" s="124">
        <v>18599.999999999454</v>
      </c>
      <c r="F36" s="124">
        <v>20228783.399999406</v>
      </c>
      <c r="G36" s="111">
        <v>4320.0000000001637</v>
      </c>
      <c r="H36" s="111">
        <v>7047447.1200002674</v>
      </c>
      <c r="I36" s="105">
        <f>F36+H36</f>
        <v>27276230.519999675</v>
      </c>
      <c r="J36" s="158">
        <v>2319.999999999709</v>
      </c>
      <c r="K36" s="158">
        <v>2523160.0799996834</v>
      </c>
      <c r="L36" s="120">
        <v>440.00000000005457</v>
      </c>
      <c r="M36" s="122">
        <v>717795.54000008909</v>
      </c>
      <c r="N36" s="107">
        <f>K36+M36</f>
        <v>3240955.6199997724</v>
      </c>
      <c r="O36" s="105">
        <f>I36+N36</f>
        <v>30517186.139999449</v>
      </c>
      <c r="P36" s="107">
        <f>E36+G36+J36+L36</f>
        <v>25679.999999999382</v>
      </c>
      <c r="Q36" s="123">
        <f>R36+T36</f>
        <v>433.60000000000582</v>
      </c>
      <c r="R36" s="124">
        <v>85</v>
      </c>
      <c r="S36" s="124">
        <v>1527492.5</v>
      </c>
      <c r="T36" s="117">
        <v>348.60000000000582</v>
      </c>
      <c r="U36" s="117">
        <v>1479869.7480000248</v>
      </c>
      <c r="V36" s="115">
        <f>S36+U36</f>
        <v>3007362.2480000248</v>
      </c>
      <c r="W36" s="126">
        <v>128.21124000000702</v>
      </c>
      <c r="X36" s="112"/>
      <c r="Y36" s="110">
        <v>0</v>
      </c>
      <c r="Z36" s="112"/>
      <c r="AA36" s="112"/>
      <c r="AB36" s="112">
        <v>0</v>
      </c>
      <c r="AC36" s="123">
        <f>W36+X36+Y36+Z36+AA36+AB36</f>
        <v>128.21124000000702</v>
      </c>
      <c r="AD36" s="110">
        <v>1418785.5818400776</v>
      </c>
      <c r="AE36" s="113"/>
      <c r="AF36" s="129">
        <v>441.59999999988941</v>
      </c>
      <c r="AG36" s="131">
        <v>9.9999999999909051E-2</v>
      </c>
      <c r="AH36" s="130">
        <f>AF36+AG36</f>
        <v>441.69999999988931</v>
      </c>
      <c r="AI36" s="133">
        <v>3842789.999999037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2841</v>
      </c>
      <c r="D42" s="134">
        <f>SUM(D7:D36)</f>
        <v>20213</v>
      </c>
      <c r="E42" s="135">
        <f>SUM(E7:E36)</f>
        <v>563639.9999999993</v>
      </c>
      <c r="F42" s="135">
        <f>SUM(F7:F36)</f>
        <v>612997391.15999949</v>
      </c>
      <c r="G42" s="135">
        <f>SUM(G7:G36)</f>
        <v>121120.00000000013</v>
      </c>
      <c r="H42" s="135">
        <f>SUM(H7:H36)</f>
        <v>197589535.9200002</v>
      </c>
      <c r="I42" s="135">
        <f>SUM(I7:I36)</f>
        <v>810586927.07999945</v>
      </c>
      <c r="J42" s="135">
        <f>SUM(J7:J36)</f>
        <v>58760.000000000218</v>
      </c>
      <c r="K42" s="135">
        <f>SUM(K7:K36)</f>
        <v>63905554.440000251</v>
      </c>
      <c r="L42" s="135">
        <f>SUM(L7:L36)</f>
        <v>14300.000000000182</v>
      </c>
      <c r="M42" s="135">
        <f>SUM(M7:M36)</f>
        <v>23328355.050000295</v>
      </c>
      <c r="N42" s="135">
        <f>SUM(N7:N36)</f>
        <v>87233909.490000516</v>
      </c>
      <c r="O42" s="136">
        <f>SUM(O7:O36)</f>
        <v>897820836.57000017</v>
      </c>
      <c r="P42" s="137">
        <f>SUM(P7:P36)</f>
        <v>757820</v>
      </c>
      <c r="Q42" s="138">
        <f>SUM(Q7:Q36)</f>
        <v>10955</v>
      </c>
      <c r="R42" s="135">
        <f>SUM(R7:R36)</f>
        <v>5843</v>
      </c>
      <c r="S42" s="135">
        <f>SUM(S7:S36)</f>
        <v>105001631.5</v>
      </c>
      <c r="T42" s="135">
        <f>SUM(T7:T36)</f>
        <v>5112</v>
      </c>
      <c r="U42" s="135">
        <f>SUM(U7:U36)</f>
        <v>21701360.16</v>
      </c>
      <c r="V42" s="139">
        <f>SUM(V7:V36)</f>
        <v>126702991.66000001</v>
      </c>
      <c r="W42" s="140">
        <f>SUM(W7:W36)</f>
        <v>4054.7056400000192</v>
      </c>
      <c r="X42" s="135">
        <f>SUM(X7:X36)</f>
        <v>0</v>
      </c>
      <c r="Y42" s="135">
        <f>SUM(Y7:Y36)</f>
        <v>1550</v>
      </c>
      <c r="Z42" s="135">
        <f>SUM(Z7:Z36)</f>
        <v>250</v>
      </c>
      <c r="AA42" s="135">
        <f>SUM(AA7:AA36)</f>
        <v>0</v>
      </c>
      <c r="AB42" s="135">
        <f>SUM(AB7:AB36)</f>
        <v>300</v>
      </c>
      <c r="AC42" s="141">
        <f>SUM(AC7:AC36)</f>
        <v>6154.7056400000183</v>
      </c>
      <c r="AD42" s="141">
        <f>SUM(AD7:AD36)</f>
        <v>70280872.612240195</v>
      </c>
      <c r="AE42" s="142">
        <f>SUM(AE8:AE38)</f>
        <v>0</v>
      </c>
      <c r="AF42" s="135">
        <f>SUM(AF7:AF36)</f>
        <v>16295.599999999977</v>
      </c>
      <c r="AG42" s="135">
        <f>SUM(AG7:AG36)</f>
        <v>7103.8000000000011</v>
      </c>
      <c r="AH42" s="143">
        <f>SUM(AH7:AH36)</f>
        <v>23399.399999999976</v>
      </c>
      <c r="AI42" s="143">
        <f>SUM(AI7:AI36)</f>
        <v>203574779.99999982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1184.7415435987441</v>
      </c>
      <c r="Q44" s="43"/>
      <c r="R44" s="43"/>
      <c r="S44" s="43"/>
      <c r="T44" s="36"/>
      <c r="U44" s="36"/>
      <c r="V44" s="43">
        <f>V42/Q42</f>
        <v>11565.768293929714</v>
      </c>
      <c r="W44" s="43"/>
      <c r="X44" s="36"/>
      <c r="Y44" s="43"/>
      <c r="Z44" s="43"/>
      <c r="AA44" s="43"/>
      <c r="AB44" s="43"/>
      <c r="AC44" s="36">
        <f>AC42-W42</f>
        <v>2099.9999999999991</v>
      </c>
      <c r="AD44" s="36">
        <f>AD42/AC42</f>
        <v>11419.046941169388</v>
      </c>
      <c r="AE44" s="40"/>
      <c r="AF44" s="40"/>
      <c r="AG44" s="40"/>
      <c r="AH44" s="40"/>
      <c r="AI44" s="43">
        <f>AI42/AH42</f>
        <v>8700.0000000000018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