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2 - 2020" sheetId="1" r:id="rId3"/>
  </sheets>
  <definedNames>
    <definedName name="_xlnm.Print_Area" localSheetId="2">'2 - 2020'!$A$1:$J$36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E16" i="1"/>
  <c r="J10" i="2" l="1"/>
  <c r="I10" i="2"/>
  <c r="H10" i="2"/>
  <c r="F10" i="2"/>
  <c r="E10" i="2"/>
  <c r="E14" i="1" l="1"/>
  <c r="E15" i="1"/>
  <c r="G9" i="3" s="1"/>
  <c r="L9" i="3"/>
  <c r="K9" i="3"/>
  <c r="I9" i="3"/>
  <c r="E9" i="3"/>
  <c r="L8" i="3"/>
  <c r="K8" i="3"/>
  <c r="I8" i="3"/>
  <c r="G8" i="3"/>
  <c r="E8" i="3"/>
  <c r="J9" i="2" l="1"/>
  <c r="I9" i="2"/>
  <c r="H9" i="2"/>
  <c r="F9" i="2"/>
  <c r="E9" i="2"/>
  <c r="J8" i="2"/>
  <c r="I8" i="2"/>
  <c r="H8" i="2"/>
  <c r="F8" i="2"/>
  <c r="E8" i="2"/>
  <c r="E13" i="1" l="1"/>
  <c r="E12" i="1"/>
  <c r="G6" i="3" s="1"/>
  <c r="L6" i="3"/>
  <c r="K6" i="3"/>
  <c r="I6" i="3"/>
  <c r="E6" i="3"/>
  <c r="J6" i="2"/>
  <c r="I6" i="2"/>
  <c r="F6" i="2"/>
  <c r="E6" i="2"/>
  <c r="H6" i="2" l="1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E3" i="2"/>
  <c r="J3" i="2"/>
  <c r="I3" i="2"/>
  <c r="H3" i="2"/>
  <c r="F3" i="2"/>
  <c r="K2" i="3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7" i="3" l="1"/>
  <c r="K7" i="3"/>
  <c r="I7" i="3"/>
  <c r="G7" i="3"/>
  <c r="E7" i="3"/>
  <c r="J7" i="2"/>
  <c r="I7" i="2"/>
  <c r="H7" i="2"/>
  <c r="F7" i="2"/>
  <c r="E7" i="2"/>
  <c r="L2" i="3" l="1"/>
  <c r="I2" i="3"/>
  <c r="G2" i="3"/>
  <c r="E2" i="3"/>
  <c r="J2" i="2" l="1"/>
  <c r="F2" i="2"/>
  <c r="E2" i="2"/>
  <c r="J42" i="1" l="1"/>
  <c r="J45" i="1" s="1"/>
  <c r="I42" i="1"/>
  <c r="I43" i="1" s="1"/>
  <c r="I46" i="1" s="1"/>
  <c r="H42" i="1"/>
  <c r="G42" i="1"/>
  <c r="F42" i="1"/>
  <c r="E42" i="1"/>
  <c r="C42" i="1"/>
  <c r="B42" i="1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/>
  <c r="C46" i="1" s="1"/>
  <c r="L24" i="3" l="1"/>
  <c r="K24" i="3"/>
  <c r="I24" i="3"/>
  <c r="G24" i="3"/>
  <c r="E24" i="3"/>
  <c r="J24" i="2"/>
  <c r="I24" i="2"/>
  <c r="H24" i="2"/>
  <c r="F24" i="2"/>
  <c r="E24" i="2"/>
  <c r="L17" i="3" l="1"/>
  <c r="K17" i="3"/>
  <c r="I17" i="3"/>
  <c r="G17" i="3"/>
  <c r="E17" i="3"/>
  <c r="J17" i="2"/>
  <c r="I17" i="2"/>
  <c r="H17" i="2"/>
  <c r="F17" i="2"/>
  <c r="E17" i="2"/>
  <c r="I2" i="2" l="1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<sst xmlns="http://schemas.openxmlformats.org/spreadsheetml/2006/main" count="102" uniqueCount="39">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</sst>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P11" sqref="P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'2 - 2020'!B8-'2 - 2020'!B7+'2 - 2020'!C8-'2 - 2020'!C7</f>
        <v>8878</v>
      </c>
      <c r="F2" s="22">
        <v>0.11799999999999999</v>
      </c>
      <c r="G2" s="24">
        <f>(('2 - 2020'!E8-'2 - 2020'!E7)+('2 - 2020'!F8-'2 - 2020'!F7)+('2 - 2020'!G8-'2 - 2020'!G7))*1.81</f>
        <v>76.02</v>
      </c>
      <c r="H2" s="22">
        <v>0.99</v>
      </c>
      <c r="I2" s="24">
        <f>'2 - 2020'!J8-'2 - 2020'!J7</f>
        <v>10969</v>
      </c>
      <c r="J2" s="22">
        <v>8.1000000000000003E-2</v>
      </c>
      <c r="K2" s="46">
        <f>'2 - 2020'!H8-'2 - 2020'!H7</f>
        <v>0</v>
      </c>
      <c r="L2" s="24">
        <f>'2 - 2020'!I8-'2 - 2020'!I7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'2 - 2020'!B9-'2 - 2020'!B8+'2 - 2020'!C9-'2 - 2020'!C8</f>
        <v>8105</v>
      </c>
      <c r="F3" s="22">
        <v>0.11799999999999999</v>
      </c>
      <c r="G3" s="24">
        <f>(('2 - 2020'!E9-'2 - 2020'!E8)+('2 - 2020'!F9-'2 - 2020'!F8)+('2 - 2020'!G9-'2 - 2020'!G8))*1.81</f>
        <v>72.400000000000006</v>
      </c>
      <c r="H3" s="22">
        <v>0.99</v>
      </c>
      <c r="I3" s="24">
        <f>'2 - 2020'!J9-'2 - 2020'!J8</f>
        <v>10053</v>
      </c>
      <c r="J3" s="22">
        <v>8.1000000000000003E-2</v>
      </c>
      <c r="K3" s="46">
        <f>'2 - 2020'!H9-'2 - 2020'!H8</f>
        <v>0</v>
      </c>
      <c r="L3" s="24">
        <f>'2 - 2020'!I9-'2 - 2020'!I8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'2 - 2020'!B10-'2 - 2020'!B9+'2 - 2020'!C10-'2 - 2020'!C9</f>
        <v>8385</v>
      </c>
      <c r="F4" s="22">
        <v>0.11799999999999999</v>
      </c>
      <c r="G4" s="24">
        <f>(('2 - 2020'!E10-'2 - 2020'!E9)+('2 - 2020'!F10-'2 - 2020'!F9)+('2 - 2020'!G10-'2 - 2020'!G9))*1.81</f>
        <v>70.59</v>
      </c>
      <c r="H4" s="22">
        <v>0.99</v>
      </c>
      <c r="I4" s="24">
        <f>'2 - 2020'!J10-'2 - 2020'!J9</f>
        <v>9577</v>
      </c>
      <c r="J4" s="22">
        <v>8.1000000000000003E-2</v>
      </c>
      <c r="K4" s="46">
        <f>'2 - 2020'!H10-'2 - 2020'!H9</f>
        <v>0</v>
      </c>
      <c r="L4" s="24">
        <f>'2 - 2020'!I10-'2 - 2020'!I9</f>
        <v>84</v>
      </c>
      <c r="M4" s="23">
        <v>4.393629424766913</v>
      </c>
      <c r="N4" s="39">
        <v>56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'2 - 2020'!B11-'2 - 2020'!B10+'2 - 2020'!C11-'2 - 2020'!C10</f>
        <v>7972</v>
      </c>
      <c r="F5" s="22">
        <v>0.11799999999999999</v>
      </c>
      <c r="G5" s="24">
        <f>(('2 - 2020'!E11-'2 - 2020'!E10)+('2 - 2020'!F11-'2 - 2020'!F10)+('2 - 2020'!G11-'2 - 2020'!G10))*1.81</f>
        <v>70.59</v>
      </c>
      <c r="H5" s="22">
        <v>0.99</v>
      </c>
      <c r="I5" s="24">
        <f>'2 - 2020'!J11-'2 - 2020'!J10</f>
        <v>9537</v>
      </c>
      <c r="J5" s="22">
        <v>8.1000000000000003E-2</v>
      </c>
      <c r="K5" s="46">
        <f>'2 - 2020'!H11-'2 - 2020'!H10</f>
        <v>0</v>
      </c>
      <c r="L5" s="24">
        <f>'2 - 2020'!I11-'2 - 2020'!I10</f>
        <v>88</v>
      </c>
      <c r="M5" s="23">
        <v>4.393629424766913</v>
      </c>
      <c r="N5" s="39">
        <v>57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'2 - 2020'!B12-'2 - 2020'!B11+'2 - 2020'!C12-'2 - 2020'!C11</f>
        <v>8957</v>
      </c>
      <c r="F6" s="22">
        <v>0.11799999999999999</v>
      </c>
      <c r="G6" s="24">
        <f>(('2 - 2020'!E12-'2 - 2020'!E11)+('2 - 2020'!F12-'2 - 2020'!F11)+('2 - 2020'!G12-'2 - 2020'!G11))*1.81</f>
        <v>80.925099999998423</v>
      </c>
      <c r="H6" s="22">
        <v>0.99</v>
      </c>
      <c r="I6" s="24">
        <f>'2 - 2020'!J12-'2 - 2020'!J11</f>
        <v>11601</v>
      </c>
      <c r="J6" s="22">
        <v>8.1000000000000003E-2</v>
      </c>
      <c r="K6" s="46">
        <f>'2 - 2020'!H12-'2 - 2020'!H11</f>
        <v>0</v>
      </c>
      <c r="L6" s="24">
        <f>'2 - 2020'!I12-'2 - 2020'!I11</f>
        <v>88</v>
      </c>
      <c r="M6" s="23">
        <v>4.393629424766913</v>
      </c>
      <c r="N6" s="39">
        <v>56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'2 - 2020'!B13-'2 - 2020'!B12+'2 - 2020'!C13-'2 - 2020'!C12</f>
        <v>8079</v>
      </c>
      <c r="F7" s="22">
        <v>0.11799999999999999</v>
      </c>
      <c r="G7" s="24">
        <f>(('2 - 2020'!E13-'2 - 2020'!E12)+('2 - 2020'!F13-'2 - 2020'!F12)+('2 - 2020'!G13-'2 - 2020'!G12))*1.81</f>
        <v>71.114900000001583</v>
      </c>
      <c r="H7" s="22">
        <v>0.99</v>
      </c>
      <c r="I7" s="24">
        <f>'2 - 2020'!J13-'2 - 2020'!J12</f>
        <v>11179</v>
      </c>
      <c r="J7" s="22">
        <v>8.1000000000000003E-2</v>
      </c>
      <c r="K7" s="46">
        <f>'2 - 2020'!H13-'2 - 2020'!H12</f>
        <v>0</v>
      </c>
      <c r="L7" s="24">
        <f>'2 - 2020'!I13-'2 - 2020'!I12</f>
        <v>68</v>
      </c>
      <c r="M7" s="23">
        <v>4.393629424766913</v>
      </c>
      <c r="N7" s="39">
        <v>66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'2 - 2020'!B14-'2 - 2020'!B13+'2 - 2020'!C14-'2 - 2020'!C13</f>
        <v>7341</v>
      </c>
      <c r="F8" s="22">
        <v>0.11799999999999999</v>
      </c>
      <c r="G8" s="24">
        <f>(('2 - 2020'!E14-'2 - 2020'!E13)+('2 - 2020'!F14-'2 - 2020'!F13)+('2 - 2020'!G14-'2 - 2020'!G13))*1.81</f>
        <v>63.35</v>
      </c>
      <c r="H8" s="22">
        <v>0.99</v>
      </c>
      <c r="I8" s="24">
        <f>'2 - 2020'!J14-'2 - 2020'!J13</f>
        <v>10041</v>
      </c>
      <c r="J8" s="22">
        <v>8.1000000000000003E-2</v>
      </c>
      <c r="K8" s="46">
        <f>'2 - 2020'!H14-'2 - 2020'!H13</f>
        <v>0</v>
      </c>
      <c r="L8" s="24">
        <f>'2 - 2020'!I14-'2 - 2020'!I13</f>
        <v>68</v>
      </c>
      <c r="M8" s="23">
        <v>4.393629424766913</v>
      </c>
      <c r="N8" s="41">
        <v>66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'2 - 2020'!B15-'2 - 2020'!B14+'2 - 2020'!C15-'2 - 2020'!C14</f>
        <v>8121</v>
      </c>
      <c r="F9" s="22">
        <v>0.11799999999999999</v>
      </c>
      <c r="G9" s="24">
        <f>(('2 - 2020'!E15-'2 - 2020'!E14)+('2 - 2020'!F15-'2 - 2020'!F14)+('2 - 2020'!G15-'2 - 2020'!G14))*1.81</f>
        <v>73.884200000000305</v>
      </c>
      <c r="H9" s="22">
        <v>0.99</v>
      </c>
      <c r="I9" s="24">
        <f>'2 - 2020'!J15-'2 - 2020'!J14</f>
        <v>11389</v>
      </c>
      <c r="J9" s="22">
        <v>8.1000000000000003E-2</v>
      </c>
      <c r="K9" s="46">
        <f>'2 - 2020'!H15-'2 - 2020'!H14</f>
        <v>0</v>
      </c>
      <c r="L9" s="24">
        <f>'2 - 2020'!I15-'2 - 2020'!I14</f>
        <v>75</v>
      </c>
      <c r="M9" s="23">
        <v>4.393629424766913</v>
      </c>
      <c r="N9" s="39">
        <v>62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'2 - 2020'!B16-'2 - 2020'!B15+'2 - 2020'!C16-'2 - 2020'!C15</f>
        <v>8293</v>
      </c>
      <c r="F10" s="22">
        <v>0.11799999999999999</v>
      </c>
      <c r="G10" s="24">
        <f>(('2 - 2020'!E16-'2 - 2020'!E15)+('2 - 2020'!F16-'2 - 2020'!F15)+('2 - 2020'!G16-'2 - 2020'!G15))*1.81</f>
        <v>70.915799999999706</v>
      </c>
      <c r="H10" s="22">
        <v>0.99</v>
      </c>
      <c r="I10" s="24">
        <f>'2 - 2020'!J16-'2 - 2020'!J15</f>
        <v>11241</v>
      </c>
      <c r="J10" s="22">
        <v>8.1000000000000003E-2</v>
      </c>
      <c r="K10" s="46">
        <f>'2 - 2020'!H16-'2 - 2020'!H15</f>
        <v>0</v>
      </c>
      <c r="L10" s="24">
        <f>'2 - 2020'!I16-'2 - 2020'!I15</f>
        <v>73</v>
      </c>
      <c r="M10" s="23">
        <v>4.393629424766913</v>
      </c>
      <c r="N10" s="39">
        <v>64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v>0</v>
      </c>
      <c r="F11" s="22">
        <v>0.11799999999999999</v>
      </c>
      <c r="G11" s="24">
        <v>0</v>
      </c>
      <c r="H11" s="22">
        <v>0.99</v>
      </c>
      <c r="I11" s="24">
        <v>0</v>
      </c>
      <c r="J11" s="22">
        <v>8.1000000000000003E-2</v>
      </c>
      <c r="K11" s="46">
        <v>0</v>
      </c>
      <c r="L11" s="24">
        <v>0</v>
      </c>
      <c r="M11" s="23">
        <v>4.393629424766913</v>
      </c>
      <c r="N11" s="39"/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'2 - 2020'!B18-'2 - 2020'!B17+'2 - 2020'!C18-'2 - 2020'!C17</f>
        <v>0</v>
      </c>
      <c r="F12" s="22">
        <v>0.11799999999999999</v>
      </c>
      <c r="G12" s="24">
        <f>(('2 - 2020'!E18-'2 - 2020'!E17)+('2 - 2020'!F18-'2 - 2020'!F17)+('2 - 2020'!G18-'2 - 2020'!G17))*1.81</f>
        <v>0</v>
      </c>
      <c r="H12" s="22">
        <v>0.99</v>
      </c>
      <c r="I12" s="24">
        <f>'2 - 2020'!J18-'2 - 2020'!J17</f>
        <v>0</v>
      </c>
      <c r="J12" s="22">
        <v>8.1000000000000003E-2</v>
      </c>
      <c r="K12" s="46">
        <f>'2 - 2020'!H18-'2 - 2020'!H17</f>
        <v>0</v>
      </c>
      <c r="L12" s="24">
        <f>'2 - 2020'!I18-'2 - 2020'!I17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'2 - 2020'!B19-'2 - 2020'!B18+'2 - 2020'!C19-'2 - 2020'!C18</f>
        <v>0</v>
      </c>
      <c r="F13" s="22">
        <v>0.11799999999999999</v>
      </c>
      <c r="G13" s="24">
        <f>(('2 - 2020'!E19-'2 - 2020'!E18)+('2 - 2020'!F19-'2 - 2020'!F18)+('2 - 2020'!G19-'2 - 2020'!G18))*1.81</f>
        <v>0</v>
      </c>
      <c r="H13" s="22">
        <v>0.99</v>
      </c>
      <c r="I13" s="24">
        <f>'2 - 2020'!J19-'2 - 2020'!J18</f>
        <v>0</v>
      </c>
      <c r="J13" s="22">
        <v>8.1000000000000003E-2</v>
      </c>
      <c r="K13" s="46">
        <f>'2 - 2020'!H19-'2 - 2020'!H18</f>
        <v>0</v>
      </c>
      <c r="L13" s="24">
        <f>'2 - 2020'!I19-'2 - 2020'!I18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'2 - 2020'!B20-'2 - 2020'!B19+'2 - 2020'!C20-'2 - 2020'!C19</f>
        <v>0</v>
      </c>
      <c r="F14" s="22">
        <v>0.11799999999999999</v>
      </c>
      <c r="G14" s="24">
        <f>(('2 - 2020'!E20-'2 - 2020'!E19)+('2 - 2020'!F20-'2 - 2020'!F19)+('2 - 2020'!G20-'2 - 2020'!G19))*1.81</f>
        <v>0</v>
      </c>
      <c r="H14" s="22">
        <v>0.99</v>
      </c>
      <c r="I14" s="24">
        <f>'2 - 2020'!J20-'2 - 2020'!J19</f>
        <v>0</v>
      </c>
      <c r="J14" s="22">
        <v>8.1000000000000003E-2</v>
      </c>
      <c r="K14" s="46">
        <f>'2 - 2020'!H20-'2 - 2020'!H19</f>
        <v>0</v>
      </c>
      <c r="L14" s="24">
        <f>'2 - 2020'!I20-'2 - 2020'!I19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'2 - 2020'!B21-'2 - 2020'!B20+'2 - 2020'!C21-'2 - 2020'!C20</f>
        <v>0</v>
      </c>
      <c r="F15" s="22">
        <v>0.11799999999999999</v>
      </c>
      <c r="G15" s="24">
        <f>(('2 - 2020'!E21-'2 - 2020'!E20)+('2 - 2020'!F21-'2 - 2020'!F20)+('2 - 2020'!G21-'2 - 2020'!G20))*1.81</f>
        <v>0</v>
      </c>
      <c r="H15" s="22">
        <v>0.99</v>
      </c>
      <c r="I15" s="24">
        <f>'2 - 2020'!J21-'2 - 2020'!J20</f>
        <v>0</v>
      </c>
      <c r="J15" s="22">
        <v>8.1000000000000003E-2</v>
      </c>
      <c r="K15" s="46">
        <f>'2 - 2020'!H21-'2 - 2020'!H20</f>
        <v>0</v>
      </c>
      <c r="L15" s="24">
        <f>'2 - 2020'!I21-'2 - 2020'!I20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'2 - 2020'!B22-'2 - 2020'!B21+'2 - 2020'!C22-'2 - 2020'!C21</f>
        <v>0</v>
      </c>
      <c r="F16" s="22">
        <v>0.11799999999999999</v>
      </c>
      <c r="G16" s="24">
        <f>(('2 - 2020'!E22-'2 - 2020'!E21)+('2 - 2020'!F22-'2 - 2020'!F21)+('2 - 2020'!G22-'2 - 2020'!G21))*1.81</f>
        <v>0</v>
      </c>
      <c r="H16" s="22">
        <v>0.99</v>
      </c>
      <c r="I16" s="24">
        <f>'2 - 2020'!J22-'2 - 2020'!J21</f>
        <v>0</v>
      </c>
      <c r="J16" s="22">
        <v>8.1000000000000003E-2</v>
      </c>
      <c r="K16" s="46">
        <f>'2 - 2020'!H22-'2 - 2020'!H21</f>
        <v>0</v>
      </c>
      <c r="L16" s="24">
        <f>'2 - 2020'!I22-'2 - 2020'!I21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'2 - 2020'!B23-'2 - 2020'!B22+'2 - 2020'!C23-'2 - 2020'!C22</f>
        <v>0</v>
      </c>
      <c r="F17" s="22">
        <v>0.11799999999999999</v>
      </c>
      <c r="G17" s="24">
        <f>(('2 - 2020'!E23-'2 - 2020'!E22)+('2 - 2020'!F23-'2 - 2020'!F22)+('2 - 2020'!G23-'2 - 2020'!G22))*1.81</f>
        <v>0</v>
      </c>
      <c r="H17" s="22">
        <v>0.99</v>
      </c>
      <c r="I17" s="24">
        <f>'2 - 2020'!J23-'2 - 2020'!J22</f>
        <v>0</v>
      </c>
      <c r="J17" s="22">
        <v>8.1000000000000003E-2</v>
      </c>
      <c r="K17" s="46">
        <f>'2 - 2020'!H23-'2 - 2020'!H22</f>
        <v>0</v>
      </c>
      <c r="L17" s="24">
        <f>'2 - 2020'!I23-'2 - 2020'!I22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'2 - 2020'!B24-'2 - 2020'!B23+'2 - 2020'!C24-'2 - 2020'!C23</f>
        <v>0</v>
      </c>
      <c r="F18" s="22">
        <v>0.11799999999999999</v>
      </c>
      <c r="G18" s="24">
        <f>(('2 - 2020'!E24-'2 - 2020'!E23)+('2 - 2020'!F24-'2 - 2020'!F23)+('2 - 2020'!G24-'2 - 2020'!G23))*1.81</f>
        <v>0</v>
      </c>
      <c r="H18" s="22">
        <v>0.99</v>
      </c>
      <c r="I18" s="24">
        <f>'2 - 2020'!J24-'2 - 2020'!J23</f>
        <v>0</v>
      </c>
      <c r="J18" s="22">
        <v>8.1000000000000003E-2</v>
      </c>
      <c r="K18" s="46">
        <f>'2 - 2020'!H24-'2 - 2020'!H23</f>
        <v>0</v>
      </c>
      <c r="L18" s="24">
        <f>'2 - 2020'!I24-'2 - 2020'!I23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'2 - 2020'!B25-'2 - 2020'!B24+'2 - 2020'!C25-'2 - 2020'!C24</f>
        <v>0</v>
      </c>
      <c r="F19" s="22">
        <v>0.11799999999999999</v>
      </c>
      <c r="G19" s="24">
        <f>(('2 - 2020'!E25-'2 - 2020'!E24)+('2 - 2020'!F25-'2 - 2020'!F24)+('2 - 2020'!G25-'2 - 2020'!G24))*1.81</f>
        <v>0</v>
      </c>
      <c r="H19" s="22">
        <v>0.99</v>
      </c>
      <c r="I19" s="24">
        <f>'2 - 2020'!J25-'2 - 2020'!J24</f>
        <v>0</v>
      </c>
      <c r="J19" s="22">
        <v>8.1000000000000003E-2</v>
      </c>
      <c r="K19" s="46">
        <f>'2 - 2020'!H25-'2 - 2020'!H24</f>
        <v>0</v>
      </c>
      <c r="L19" s="24">
        <f>'2 - 2020'!I25-'2 - 2020'!I24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'2 - 2020'!B26-'2 - 2020'!B25+'2 - 2020'!C26-'2 - 2020'!C25</f>
        <v>0</v>
      </c>
      <c r="F20" s="22">
        <v>0.11799999999999999</v>
      </c>
      <c r="G20" s="24">
        <f>(('2 - 2020'!E26-'2 - 2020'!E25)+('2 - 2020'!F26-'2 - 2020'!F25)+('2 - 2020'!G26-'2 - 2020'!G25))*1.81</f>
        <v>0</v>
      </c>
      <c r="H20" s="22">
        <v>0.99</v>
      </c>
      <c r="I20" s="24">
        <f>'2 - 2020'!J26-'2 - 2020'!J25</f>
        <v>0</v>
      </c>
      <c r="J20" s="22">
        <v>8.1000000000000003E-2</v>
      </c>
      <c r="K20" s="46">
        <f>'2 - 2020'!H26-'2 - 2020'!H25</f>
        <v>0</v>
      </c>
      <c r="L20" s="24">
        <f>'2 - 2020'!I26-'2 - 2020'!I25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'2 - 2020'!B27-'2 - 2020'!B26+'2 - 2020'!C27-'2 - 2020'!C26</f>
        <v>0</v>
      </c>
      <c r="F21" s="22">
        <v>0.11799999999999999</v>
      </c>
      <c r="G21" s="24">
        <f>(('2 - 2020'!E27-'2 - 2020'!E26)+('2 - 2020'!F27-'2 - 2020'!F26)+('2 - 2020'!G27-'2 - 2020'!G26))*1.81</f>
        <v>0</v>
      </c>
      <c r="H21" s="22">
        <v>0.99</v>
      </c>
      <c r="I21" s="24">
        <f>'2 - 2020'!J27-'2 - 2020'!J26</f>
        <v>0</v>
      </c>
      <c r="J21" s="22">
        <v>8.1000000000000003E-2</v>
      </c>
      <c r="K21" s="46">
        <f>'2 - 2020'!H27-'2 - 2020'!H26</f>
        <v>0</v>
      </c>
      <c r="L21" s="24">
        <f>'2 - 2020'!I27-'2 - 2020'!I26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'2 - 2020'!B28-'2 - 2020'!B27+'2 - 2020'!C28-'2 - 2020'!C27</f>
        <v>0</v>
      </c>
      <c r="F22" s="22">
        <v>0.11799999999999999</v>
      </c>
      <c r="G22" s="24">
        <f>(('2 - 2020'!E28-'2 - 2020'!E27)+('2 - 2020'!F28-'2 - 2020'!F27)+('2 - 2020'!G28-'2 - 2020'!G27))*1.81</f>
        <v>0</v>
      </c>
      <c r="H22" s="22">
        <v>0.99</v>
      </c>
      <c r="I22" s="24">
        <f>'2 - 2020'!J28-'2 - 2020'!J27</f>
        <v>0</v>
      </c>
      <c r="J22" s="22">
        <v>8.1000000000000003E-2</v>
      </c>
      <c r="K22" s="46">
        <f>'2 - 2020'!H28-'2 - 2020'!H27</f>
        <v>0</v>
      </c>
      <c r="L22" s="24">
        <f>'2 - 2020'!I28-'2 - 2020'!I27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'2 - 2020'!B29-'2 - 2020'!B28+'2 - 2020'!C29-'2 - 2020'!C28</f>
        <v>0</v>
      </c>
      <c r="F23" s="22">
        <v>0.11799999999999999</v>
      </c>
      <c r="G23" s="24">
        <f>(('2 - 2020'!E29-'2 - 2020'!E28)+('2 - 2020'!F29-'2 - 2020'!F28)+('2 - 2020'!G29-'2 - 2020'!G28))*1.81</f>
        <v>0</v>
      </c>
      <c r="H23" s="22">
        <v>0.99</v>
      </c>
      <c r="I23" s="24">
        <f>'2 - 2020'!J29-'2 - 2020'!J28</f>
        <v>0</v>
      </c>
      <c r="J23" s="22">
        <v>8.1000000000000003E-2</v>
      </c>
      <c r="K23" s="46">
        <f>'2 - 2020'!H29-'2 - 2020'!H28</f>
        <v>0</v>
      </c>
      <c r="L23" s="24">
        <f>'2 - 2020'!I29-'2 - 2020'!I28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'2 - 2020'!B30-'2 - 2020'!B29+'2 - 2020'!C30-'2 - 2020'!C29</f>
        <v>0</v>
      </c>
      <c r="F24" s="22">
        <v>0.11799999999999999</v>
      </c>
      <c r="G24" s="24">
        <f>(('2 - 2020'!E30-'2 - 2020'!E29)+('2 - 2020'!F30-'2 - 2020'!F29)+('2 - 2020'!G30-'2 - 2020'!G29))*1.81</f>
        <v>0</v>
      </c>
      <c r="H24" s="22">
        <v>0.99</v>
      </c>
      <c r="I24" s="24">
        <f>'2 - 2020'!J30-'2 - 2020'!J29</f>
        <v>0</v>
      </c>
      <c r="J24" s="22">
        <v>8.1000000000000003E-2</v>
      </c>
      <c r="K24" s="46">
        <f>'2 - 2020'!H30-'2 - 2020'!H29</f>
        <v>0</v>
      </c>
      <c r="L24" s="24">
        <f>'2 - 2020'!I30-'2 - 2020'!I29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'2 - 2020'!B31-'2 - 2020'!B30+'2 - 2020'!C31-'2 - 2020'!C30</f>
        <v>0</v>
      </c>
      <c r="F25" s="22">
        <v>0.11799999999999999</v>
      </c>
      <c r="G25" s="24">
        <f>(('2 - 2020'!E31-'2 - 2020'!E30)+('2 - 2020'!F31-'2 - 2020'!F30)+('2 - 2020'!G31-'2 - 2020'!G30))*1.81</f>
        <v>0</v>
      </c>
      <c r="H25" s="22">
        <v>0.99</v>
      </c>
      <c r="I25" s="24">
        <f>'2 - 2020'!J31-'2 - 2020'!J30</f>
        <v>0</v>
      </c>
      <c r="J25" s="22">
        <v>8.1000000000000003E-2</v>
      </c>
      <c r="K25" s="46">
        <f>'2 - 2020'!H31-'2 - 2020'!H30</f>
        <v>0</v>
      </c>
      <c r="L25" s="24">
        <f>'2 - 2020'!I31-'2 - 2020'!I30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'2 - 2020'!B32-'2 - 2020'!B31+'2 - 2020'!C32-'2 - 2020'!C31</f>
        <v>0</v>
      </c>
      <c r="F26" s="22">
        <v>0.11799999999999999</v>
      </c>
      <c r="G26" s="24">
        <f>(('2 - 2020'!E32-'2 - 2020'!E31)+('2 - 2020'!F32-'2 - 2020'!F31)+('2 - 2020'!G32-'2 - 2020'!G31))*1.81</f>
        <v>0</v>
      </c>
      <c r="H26" s="22">
        <v>0.99</v>
      </c>
      <c r="I26" s="24">
        <f>'2 - 2020'!J32-'2 - 2020'!J31</f>
        <v>0</v>
      </c>
      <c r="J26" s="22">
        <v>8.1000000000000003E-2</v>
      </c>
      <c r="K26" s="46">
        <f>'2 - 2020'!H32-'2 - 2020'!H31</f>
        <v>0</v>
      </c>
      <c r="L26" s="24">
        <f>'2 - 2020'!I32-'2 - 2020'!I31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'2 - 2020'!B33-'2 - 2020'!B32+'2 - 2020'!C33-'2 - 2020'!C32</f>
        <v>0</v>
      </c>
      <c r="F27" s="22">
        <v>0.11799999999999999</v>
      </c>
      <c r="G27" s="24">
        <f>(('2 - 2020'!E33-'2 - 2020'!E32)+('2 - 2020'!F33-'2 - 2020'!F32)+('2 - 2020'!G33-'2 - 2020'!G32))*1.81</f>
        <v>0</v>
      </c>
      <c r="H27" s="22">
        <v>0.99</v>
      </c>
      <c r="I27" s="24">
        <f>'2 - 2020'!J33-'2 - 2020'!J32</f>
        <v>0</v>
      </c>
      <c r="J27" s="22">
        <v>8.1000000000000003E-2</v>
      </c>
      <c r="K27" s="46">
        <f>'2 - 2020'!H33-'2 - 2020'!H32</f>
        <v>0</v>
      </c>
      <c r="L27" s="24">
        <f>'2 - 2020'!I33-'2 - 2020'!I32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'2 - 2020'!B34-'2 - 2020'!B33+'2 - 2020'!C34-'2 - 2020'!C33</f>
        <v>0</v>
      </c>
      <c r="F28" s="22">
        <v>0.11799999999999999</v>
      </c>
      <c r="G28" s="24">
        <f>(('2 - 2020'!E34-'2 - 2020'!E33)+('2 - 2020'!F34-'2 - 2020'!F33)+('2 - 2020'!G34-'2 - 2020'!G33))*1.81</f>
        <v>0</v>
      </c>
      <c r="H28" s="22">
        <v>0.99</v>
      </c>
      <c r="I28" s="24">
        <f>'2 - 2020'!J34-'2 - 2020'!J33</f>
        <v>0</v>
      </c>
      <c r="J28" s="22">
        <v>8.1000000000000003E-2</v>
      </c>
      <c r="K28" s="46">
        <f>'2 - 2020'!H34-'2 - 2020'!H33</f>
        <v>0</v>
      </c>
      <c r="L28" s="24">
        <f>'2 - 2020'!I34-'2 - 2020'!I33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'2 - 2020'!B35-'2 - 2020'!B34+'2 - 2020'!C35-'2 - 2020'!C34</f>
        <v>0</v>
      </c>
      <c r="F29" s="22">
        <v>0.11799999999999999</v>
      </c>
      <c r="G29" s="24">
        <f>(('2 - 2020'!E35-'2 - 2020'!E34)+('2 - 2020'!F35-'2 - 2020'!F34)+('2 - 2020'!G35-'2 - 2020'!G34))*1.81</f>
        <v>0</v>
      </c>
      <c r="H29" s="22">
        <v>0.99</v>
      </c>
      <c r="I29" s="24">
        <f>'2 - 2020'!J35-'2 - 2020'!J34</f>
        <v>0</v>
      </c>
      <c r="J29" s="22">
        <v>8.1000000000000003E-2</v>
      </c>
      <c r="K29" s="46">
        <f>'2 - 2020'!H35-'2 - 2020'!H34</f>
        <v>0</v>
      </c>
      <c r="L29" s="24">
        <f>'2 - 2020'!I35-'2 - 2020'!I34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G22" sqref="G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</f>
        <v>3354</v>
      </c>
      <c r="F2" s="24">
        <f>'2 - 2020'!C8-'2 - 2020'!C7</f>
        <v>5524</v>
      </c>
      <c r="G2" s="22">
        <v>0.11799999999999999</v>
      </c>
      <c r="H2" s="24">
        <f>'2 - 2020'!E8-'2 - 2020'!E7</f>
        <v>5</v>
      </c>
      <c r="I2" s="24">
        <f>'2 - 2020'!F8-'2 - 2020'!F7</f>
        <v>4</v>
      </c>
      <c r="J2" s="24">
        <f>'2 - 2020'!G8-'2 - 2020'!G7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</f>
        <v>3042</v>
      </c>
      <c r="F3" s="24">
        <f>'2 - 2020'!C9-'2 - 2020'!C8</f>
        <v>5063</v>
      </c>
      <c r="G3" s="22">
        <v>0.11799999999999999</v>
      </c>
      <c r="H3" s="24">
        <f>'2 - 2020'!E9-'2 - 2020'!E8</f>
        <v>5</v>
      </c>
      <c r="I3" s="24">
        <f>'2 - 2020'!F9-'2 - 2020'!F8</f>
        <v>4</v>
      </c>
      <c r="J3" s="24">
        <f>'2 - 2020'!G9-'2 - 2020'!G8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'2 - 2020'!B10-'2 - 2020'!B9</f>
        <v>3032</v>
      </c>
      <c r="F4" s="24">
        <f>'2 - 2020'!C10-'2 - 2020'!C9</f>
        <v>5353</v>
      </c>
      <c r="G4" s="22">
        <v>0.11799999999999999</v>
      </c>
      <c r="H4" s="24">
        <f>'2 - 2020'!E10-'2 - 2020'!E9</f>
        <v>5</v>
      </c>
      <c r="I4" s="24">
        <f>'2 - 2020'!F10-'2 - 2020'!F9</f>
        <v>4</v>
      </c>
      <c r="J4" s="24">
        <f>'2 - 2020'!G10-'2 - 2020'!G9</f>
        <v>30</v>
      </c>
      <c r="K4" s="22">
        <v>0.74</v>
      </c>
      <c r="L4" s="39">
        <v>56</v>
      </c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'2 - 2020'!B11-'2 - 2020'!B10</f>
        <v>2838</v>
      </c>
      <c r="F5" s="24">
        <f>'2 - 2020'!C11-'2 - 2020'!C10</f>
        <v>5134</v>
      </c>
      <c r="G5" s="22">
        <v>0.11799999999999999</v>
      </c>
      <c r="H5" s="24">
        <f>'2 - 2020'!E11-'2 - 2020'!E10</f>
        <v>5</v>
      </c>
      <c r="I5" s="24">
        <f>'2 - 2020'!F11-'2 - 2020'!F10</f>
        <v>5</v>
      </c>
      <c r="J5" s="24">
        <f>'2 - 2020'!G11-'2 - 2020'!G10</f>
        <v>29</v>
      </c>
      <c r="K5" s="22">
        <v>0.74</v>
      </c>
      <c r="L5" s="39">
        <v>57</v>
      </c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'2 - 2020'!B12-'2 - 2020'!B11</f>
        <v>3217</v>
      </c>
      <c r="F6" s="24">
        <f>'2 - 2020'!C12-'2 - 2020'!C11</f>
        <v>5740</v>
      </c>
      <c r="G6" s="22">
        <v>0.11799999999999999</v>
      </c>
      <c r="H6" s="24">
        <f>'2 - 2020'!E12-'2 - 2020'!E11</f>
        <v>5</v>
      </c>
      <c r="I6" s="24">
        <f>'2 - 2020'!F12-'2 - 2020'!F11</f>
        <v>5</v>
      </c>
      <c r="J6" s="24">
        <f>'2 - 2020'!G12-'2 - 2020'!G11</f>
        <v>34.709999999999127</v>
      </c>
      <c r="K6" s="22">
        <v>0.74</v>
      </c>
      <c r="L6" s="39">
        <v>56</v>
      </c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'2 - 2020'!B13-'2 - 2020'!B12</f>
        <v>2876</v>
      </c>
      <c r="F7" s="24">
        <f>'2 - 2020'!C13-'2 - 2020'!C12</f>
        <v>5203</v>
      </c>
      <c r="G7" s="22">
        <v>0.11799999999999999</v>
      </c>
      <c r="H7" s="24">
        <f>'2 - 2020'!E13-'2 - 2020'!E12</f>
        <v>5</v>
      </c>
      <c r="I7" s="24">
        <f>'2 - 2020'!F13-'2 - 2020'!F12</f>
        <v>5</v>
      </c>
      <c r="J7" s="24">
        <f>'2 - 2020'!G13-'2 - 2020'!G12</f>
        <v>29.290000000000873</v>
      </c>
      <c r="K7" s="22">
        <v>0.74</v>
      </c>
      <c r="L7" s="39">
        <v>66</v>
      </c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'2 - 2020'!B14-'2 - 2020'!B13</f>
        <v>2614</v>
      </c>
      <c r="F8" s="24">
        <f>'2 - 2020'!C14-'2 - 2020'!C13</f>
        <v>4727</v>
      </c>
      <c r="G8" s="22">
        <v>0.11799999999999999</v>
      </c>
      <c r="H8" s="24">
        <f>'2 - 2020'!E14-'2 - 2020'!E13</f>
        <v>5</v>
      </c>
      <c r="I8" s="24">
        <f>'2 - 2020'!F14-'2 - 2020'!F13</f>
        <v>4</v>
      </c>
      <c r="J8" s="24">
        <f>'2 - 2020'!G14-'2 - 2020'!G13</f>
        <v>26</v>
      </c>
      <c r="K8" s="22">
        <v>0.74</v>
      </c>
      <c r="L8" s="39">
        <v>66</v>
      </c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'2 - 2020'!B15-'2 - 2020'!B14</f>
        <v>2858</v>
      </c>
      <c r="F9" s="24">
        <f>'2 - 2020'!C15-'2 - 2020'!C14</f>
        <v>5263</v>
      </c>
      <c r="G9" s="22">
        <v>0.11799999999999999</v>
      </c>
      <c r="H9" s="24">
        <f>'2 - 2020'!E15-'2 - 2020'!E14</f>
        <v>5</v>
      </c>
      <c r="I9" s="24">
        <f>'2 - 2020'!F15-'2 - 2020'!F14</f>
        <v>4.8200000000001637</v>
      </c>
      <c r="J9" s="24">
        <f>'2 - 2020'!G15-'2 - 2020'!G14</f>
        <v>31</v>
      </c>
      <c r="K9" s="22">
        <v>0.74</v>
      </c>
      <c r="L9" s="39">
        <v>62</v>
      </c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'2 - 2020'!B16-'2 - 2020'!B15</f>
        <v>2911</v>
      </c>
      <c r="F10" s="24">
        <f>'2 - 2020'!C16-'2 - 2020'!C15</f>
        <v>5382</v>
      </c>
      <c r="G10" s="22">
        <v>0.11799999999999999</v>
      </c>
      <c r="H10" s="24">
        <f>'2 - 2020'!E16-'2 - 2020'!E15</f>
        <v>5</v>
      </c>
      <c r="I10" s="24">
        <f>'2 - 2020'!F16-'2 - 2020'!F15</f>
        <v>4.1799999999998363</v>
      </c>
      <c r="J10" s="24">
        <f>'2 - 2020'!G16-'2 - 2020'!G15</f>
        <v>30</v>
      </c>
      <c r="K10" s="22">
        <v>0.74</v>
      </c>
      <c r="L10" s="39">
        <v>64</v>
      </c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v>0</v>
      </c>
      <c r="F11" s="24">
        <v>0</v>
      </c>
      <c r="G11" s="22">
        <v>0.11799999999999999</v>
      </c>
      <c r="H11" s="24">
        <v>0</v>
      </c>
      <c r="I11" s="24">
        <v>0</v>
      </c>
      <c r="J11" s="24">
        <v>0</v>
      </c>
      <c r="K11" s="22">
        <v>0.74</v>
      </c>
      <c r="L11" s="39"/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'2 - 2020'!B18-'2 - 2020'!B17</f>
        <v>0</v>
      </c>
      <c r="F12" s="24">
        <f>'2 - 2020'!C18-'2 - 2020'!C17</f>
        <v>0</v>
      </c>
      <c r="G12" s="22">
        <v>0.11799999999999999</v>
      </c>
      <c r="H12" s="24">
        <f>'2 - 2020'!E18-'2 - 2020'!E17</f>
        <v>0</v>
      </c>
      <c r="I12" s="24">
        <f>'2 - 2020'!F18-'2 - 2020'!F17</f>
        <v>0</v>
      </c>
      <c r="J12" s="24">
        <f>'2 - 2020'!G18-'2 - 2020'!G17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'2 - 2020'!B19-'2 - 2020'!B18</f>
        <v>0</v>
      </c>
      <c r="F13" s="24">
        <f>'2 - 2020'!C19-'2 - 2020'!C18</f>
        <v>0</v>
      </c>
      <c r="G13" s="22">
        <v>0.11799999999999999</v>
      </c>
      <c r="H13" s="24">
        <f>'2 - 2020'!E19-'2 - 2020'!E18</f>
        <v>0</v>
      </c>
      <c r="I13" s="24">
        <f>'2 - 2020'!F19-'2 - 2020'!F18</f>
        <v>0</v>
      </c>
      <c r="J13" s="24">
        <f>'2 - 2020'!G19-'2 - 2020'!G18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'2 - 2020'!B20-'2 - 2020'!B19</f>
        <v>0</v>
      </c>
      <c r="F14" s="24">
        <f>'2 - 2020'!C20-'2 - 2020'!C19</f>
        <v>0</v>
      </c>
      <c r="G14" s="22">
        <v>0.11799999999999999</v>
      </c>
      <c r="H14" s="24">
        <f>'2 - 2020'!E20-'2 - 2020'!E19</f>
        <v>0</v>
      </c>
      <c r="I14" s="24">
        <f>'2 - 2020'!F20-'2 - 2020'!F19</f>
        <v>0</v>
      </c>
      <c r="J14" s="24">
        <f>'2 - 2020'!G20-'2 - 2020'!G19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'2 - 2020'!B21-'2 - 2020'!B20</f>
        <v>0</v>
      </c>
      <c r="F15" s="24">
        <f>'2 - 2020'!C21-'2 - 2020'!C20</f>
        <v>0</v>
      </c>
      <c r="G15" s="22">
        <v>0.11799999999999999</v>
      </c>
      <c r="H15" s="24">
        <f>'2 - 2020'!E21-'2 - 2020'!E20</f>
        <v>0</v>
      </c>
      <c r="I15" s="24">
        <f>'2 - 2020'!F21-'2 - 2020'!F20</f>
        <v>0</v>
      </c>
      <c r="J15" s="24">
        <f>'2 - 2020'!G21-'2 - 2020'!G20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'2 - 2020'!B22-'2 - 2020'!B21</f>
        <v>0</v>
      </c>
      <c r="F16" s="24">
        <f>'2 - 2020'!C22-'2 - 2020'!C21</f>
        <v>0</v>
      </c>
      <c r="G16" s="22">
        <v>0.11799999999999999</v>
      </c>
      <c r="H16" s="24">
        <f>'2 - 2020'!E22-'2 - 2020'!E21</f>
        <v>0</v>
      </c>
      <c r="I16" s="24">
        <f>'2 - 2020'!F22-'2 - 2020'!F21</f>
        <v>0</v>
      </c>
      <c r="J16" s="24">
        <f>'2 - 2020'!G22-'2 - 2020'!G21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'2 - 2020'!B23-'2 - 2020'!B22</f>
        <v>0</v>
      </c>
      <c r="F17" s="24">
        <f>'2 - 2020'!C23-'2 - 2020'!C22</f>
        <v>0</v>
      </c>
      <c r="G17" s="22">
        <v>0.11799999999999999</v>
      </c>
      <c r="H17" s="24">
        <f>'2 - 2020'!E23-'2 - 2020'!E22</f>
        <v>0</v>
      </c>
      <c r="I17" s="24">
        <f>'2 - 2020'!F23-'2 - 2020'!F22</f>
        <v>0</v>
      </c>
      <c r="J17" s="24">
        <f>'2 - 2020'!G23-'2 - 2020'!G22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'2 - 2020'!B24-'2 - 2020'!B23</f>
        <v>0</v>
      </c>
      <c r="F18" s="24">
        <f>'2 - 2020'!C24-'2 - 2020'!C23</f>
        <v>0</v>
      </c>
      <c r="G18" s="22">
        <v>0.11799999999999999</v>
      </c>
      <c r="H18" s="24">
        <f>'2 - 2020'!E24-'2 - 2020'!E23</f>
        <v>0</v>
      </c>
      <c r="I18" s="24">
        <f>'2 - 2020'!F24-'2 - 2020'!F23</f>
        <v>0</v>
      </c>
      <c r="J18" s="24">
        <f>'2 - 2020'!G24-'2 - 2020'!G23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'2 - 2020'!B25-'2 - 2020'!B24</f>
        <v>0</v>
      </c>
      <c r="F19" s="24">
        <f>'2 - 2020'!C25-'2 - 2020'!C24</f>
        <v>0</v>
      </c>
      <c r="G19" s="22">
        <v>0.11799999999999999</v>
      </c>
      <c r="H19" s="24">
        <f>'2 - 2020'!E25-'2 - 2020'!E24</f>
        <v>0</v>
      </c>
      <c r="I19" s="24">
        <f>'2 - 2020'!F25-'2 - 2020'!F24</f>
        <v>0</v>
      </c>
      <c r="J19" s="24">
        <f>'2 - 2020'!G25-'2 - 2020'!G24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'2 - 2020'!B26-'2 - 2020'!B25</f>
        <v>0</v>
      </c>
      <c r="F20" s="24">
        <f>'2 - 2020'!C26-'2 - 2020'!C25</f>
        <v>0</v>
      </c>
      <c r="G20" s="22">
        <v>0.11799999999999999</v>
      </c>
      <c r="H20" s="24">
        <f>'2 - 2020'!E26-'2 - 2020'!E25</f>
        <v>0</v>
      </c>
      <c r="I20" s="24">
        <f>'2 - 2020'!F26-'2 - 2020'!F25</f>
        <v>0</v>
      </c>
      <c r="J20" s="24">
        <f>'2 - 2020'!G26-'2 - 2020'!G25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'2 - 2020'!B27-'2 - 2020'!B26</f>
        <v>0</v>
      </c>
      <c r="F21" s="24">
        <f>'2 - 2020'!C27-'2 - 2020'!C26</f>
        <v>0</v>
      </c>
      <c r="G21" s="22">
        <v>0.11799999999999999</v>
      </c>
      <c r="H21" s="24">
        <f>'2 - 2020'!E27-'2 - 2020'!E26</f>
        <v>0</v>
      </c>
      <c r="I21" s="24">
        <f>'2 - 2020'!F27-'2 - 2020'!F26</f>
        <v>0</v>
      </c>
      <c r="J21" s="24">
        <f>'2 - 2020'!G27-'2 - 2020'!G26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'2 - 2020'!B28-'2 - 2020'!B27</f>
        <v>0</v>
      </c>
      <c r="F22" s="24">
        <f>'2 - 2020'!C28-'2 - 2020'!C27</f>
        <v>0</v>
      </c>
      <c r="G22" s="22">
        <v>0.11799999999999999</v>
      </c>
      <c r="H22" s="24">
        <f>'2 - 2020'!E28-'2 - 2020'!E27</f>
        <v>0</v>
      </c>
      <c r="I22" s="24">
        <f>'2 - 2020'!F28-'2 - 2020'!F27</f>
        <v>0</v>
      </c>
      <c r="J22" s="24">
        <f>'2 - 2020'!G28-'2 - 2020'!G27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'2 - 2020'!B29-'2 - 2020'!B28</f>
        <v>0</v>
      </c>
      <c r="F23" s="24">
        <f>'2 - 2020'!C29-'2 - 2020'!C28</f>
        <v>0</v>
      </c>
      <c r="G23" s="22">
        <v>0.11799999999999999</v>
      </c>
      <c r="H23" s="24">
        <f>'2 - 2020'!E29-'2 - 2020'!E28</f>
        <v>0</v>
      </c>
      <c r="I23" s="24">
        <f>'2 - 2020'!F29-'2 - 2020'!F28</f>
        <v>0</v>
      </c>
      <c r="J23" s="24">
        <f>'2 - 2020'!G29-'2 - 2020'!G28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'2 - 2020'!B30-'2 - 2020'!B29</f>
        <v>0</v>
      </c>
      <c r="F24" s="24">
        <f>'2 - 2020'!C30-'2 - 2020'!C29</f>
        <v>0</v>
      </c>
      <c r="G24" s="22">
        <v>0.11799999999999999</v>
      </c>
      <c r="H24" s="24">
        <f>'2 - 2020'!E30-'2 - 2020'!E29</f>
        <v>0</v>
      </c>
      <c r="I24" s="24">
        <f>'2 - 2020'!F30-'2 - 2020'!F29</f>
        <v>0</v>
      </c>
      <c r="J24" s="24">
        <f>'2 - 2020'!G30-'2 - 2020'!G29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'2 - 2020'!B31-'2 - 2020'!B30</f>
        <v>0</v>
      </c>
      <c r="F25" s="24">
        <f>'2 - 2020'!C31-'2 - 2020'!C30</f>
        <v>0</v>
      </c>
      <c r="G25" s="22">
        <v>0.11799999999999999</v>
      </c>
      <c r="H25" s="24">
        <f>'2 - 2020'!E31-'2 - 2020'!E30</f>
        <v>0</v>
      </c>
      <c r="I25" s="24">
        <f>'2 - 2020'!F31-'2 - 2020'!F30</f>
        <v>0</v>
      </c>
      <c r="J25" s="24">
        <f>'2 - 2020'!G31-'2 - 2020'!G30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'2 - 2020'!B32-'2 - 2020'!B31</f>
        <v>0</v>
      </c>
      <c r="F26" s="24">
        <f>'2 - 2020'!C32-'2 - 2020'!C31</f>
        <v>0</v>
      </c>
      <c r="G26" s="22">
        <v>0.11799999999999999</v>
      </c>
      <c r="H26" s="24">
        <f>'2 - 2020'!E32-'2 - 2020'!E31</f>
        <v>0</v>
      </c>
      <c r="I26" s="24">
        <f>'2 - 2020'!F32-'2 - 2020'!F31</f>
        <v>0</v>
      </c>
      <c r="J26" s="24">
        <f>'2 - 2020'!G32-'2 - 2020'!G31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'2 - 2020'!B33-'2 - 2020'!B32</f>
        <v>0</v>
      </c>
      <c r="F27" s="24">
        <f>'2 - 2020'!C33-'2 - 2020'!C32</f>
        <v>0</v>
      </c>
      <c r="G27" s="22">
        <v>0.11799999999999999</v>
      </c>
      <c r="H27" s="24">
        <f>'2 - 2020'!E33-'2 - 2020'!E32</f>
        <v>0</v>
      </c>
      <c r="I27" s="24">
        <f>'2 - 2020'!F33-'2 - 2020'!F32</f>
        <v>0</v>
      </c>
      <c r="J27" s="24">
        <f>'2 - 2020'!G33-'2 - 2020'!G32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'2 - 2020'!B34-'2 - 2020'!B33</f>
        <v>0</v>
      </c>
      <c r="F28" s="24">
        <f>'2 - 2020'!C34-'2 - 2020'!C33</f>
        <v>0</v>
      </c>
      <c r="G28" s="22">
        <v>0.11799999999999999</v>
      </c>
      <c r="H28" s="24">
        <f>'2 - 2020'!E34-'2 - 2020'!E33</f>
        <v>0</v>
      </c>
      <c r="I28" s="24">
        <f>'2 - 2020'!F34-'2 - 2020'!F33</f>
        <v>0</v>
      </c>
      <c r="J28" s="24">
        <f>'2 - 2020'!G34-'2 - 2020'!G33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'2 - 2020'!B35-'2 - 2020'!B34</f>
        <v>0</v>
      </c>
      <c r="F29" s="24">
        <f>'2 - 2020'!C35-'2 - 2020'!C34</f>
        <v>0</v>
      </c>
      <c r="G29" s="22">
        <v>0.11799999999999999</v>
      </c>
      <c r="H29" s="24">
        <f>'2 - 2020'!E35-'2 - 2020'!E34</f>
        <v>0</v>
      </c>
      <c r="I29" s="24">
        <f>'2 - 2020'!F35-'2 - 2020'!F34</f>
        <v>0</v>
      </c>
      <c r="J29" s="24">
        <f>'2 - 2020'!G35-'2 - 2020'!G34</f>
        <v>0</v>
      </c>
      <c r="K29" s="22">
        <v>0.74</v>
      </c>
      <c r="L29" s="6"/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zoomScaleNormal="100" workbookViewId="0">
      <selection activeCell="E24" sqref="E24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/>
      <c r="L8" s="61"/>
      <c r="M8" s="37"/>
    </row>
    <row r="9" spans="1:17" s="14" customFormat="1" ht="12.95" customHeight="1" x14ac:dyDescent="0.25">
      <c r="A9" s="36">
        <f t="shared" ref="A9:A38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2"/>
      <c r="M9" s="37"/>
    </row>
    <row r="10" spans="1:17" s="14" customFormat="1" ht="12.95" customHeight="1" x14ac:dyDescent="0.25">
      <c r="A10" s="36">
        <f t="shared" si="0"/>
        <v>43864</v>
      </c>
      <c r="B10" s="15">
        <v>330681</v>
      </c>
      <c r="C10" s="15">
        <v>156273</v>
      </c>
      <c r="D10" s="16">
        <v>0.75</v>
      </c>
      <c r="E10" s="21">
        <v>13580</v>
      </c>
      <c r="F10" s="21">
        <v>3017</v>
      </c>
      <c r="G10" s="21">
        <v>25778</v>
      </c>
      <c r="H10" s="19">
        <v>14528</v>
      </c>
      <c r="I10" s="15">
        <v>109493</v>
      </c>
      <c r="J10" s="50">
        <v>44201857</v>
      </c>
      <c r="K10" s="18"/>
      <c r="L10" s="62"/>
      <c r="M10" s="37"/>
    </row>
    <row r="11" spans="1:17" s="14" customFormat="1" ht="12.95" customHeight="1" x14ac:dyDescent="0.25">
      <c r="A11" s="36">
        <f t="shared" si="0"/>
        <v>43865</v>
      </c>
      <c r="B11" s="15">
        <v>333519</v>
      </c>
      <c r="C11" s="15">
        <v>161407</v>
      </c>
      <c r="D11" s="16">
        <v>0.7</v>
      </c>
      <c r="E11" s="21">
        <v>13585</v>
      </c>
      <c r="F11" s="21">
        <v>3022</v>
      </c>
      <c r="G11" s="21">
        <v>25807</v>
      </c>
      <c r="H11" s="19">
        <v>14528</v>
      </c>
      <c r="I11" s="15">
        <v>109581</v>
      </c>
      <c r="J11" s="15">
        <v>44211394</v>
      </c>
      <c r="K11" s="18"/>
      <c r="L11" s="62"/>
      <c r="M11" s="37"/>
    </row>
    <row r="12" spans="1:17" s="14" customFormat="1" ht="12.95" customHeight="1" x14ac:dyDescent="0.25">
      <c r="A12" s="36">
        <f t="shared" si="0"/>
        <v>43866</v>
      </c>
      <c r="B12" s="19">
        <v>336736</v>
      </c>
      <c r="C12" s="19">
        <v>167147</v>
      </c>
      <c r="D12" s="16">
        <v>0.63</v>
      </c>
      <c r="E12" s="19">
        <f>E11+5</f>
        <v>13590</v>
      </c>
      <c r="F12" s="19">
        <v>3027</v>
      </c>
      <c r="G12" s="19">
        <v>25841.71</v>
      </c>
      <c r="H12" s="19">
        <v>14528</v>
      </c>
      <c r="I12" s="19">
        <v>109669</v>
      </c>
      <c r="J12" s="19">
        <v>44222995</v>
      </c>
      <c r="K12" s="18"/>
      <c r="L12" s="62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3">
        <v>339612</v>
      </c>
      <c r="C13" s="17">
        <v>172350</v>
      </c>
      <c r="D13" s="16">
        <v>0.57999999999999996</v>
      </c>
      <c r="E13" s="19">
        <f>E12+5</f>
        <v>13595</v>
      </c>
      <c r="F13" s="21">
        <v>3032</v>
      </c>
      <c r="G13" s="21">
        <v>25871</v>
      </c>
      <c r="H13" s="15">
        <v>14528</v>
      </c>
      <c r="I13" s="17">
        <v>109737</v>
      </c>
      <c r="J13" s="17">
        <v>44234174</v>
      </c>
      <c r="K13" s="18"/>
      <c r="L13" s="62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>
        <v>342226</v>
      </c>
      <c r="C14" s="15">
        <v>177077</v>
      </c>
      <c r="D14" s="16">
        <v>0.52</v>
      </c>
      <c r="E14" s="19">
        <f>E13+5</f>
        <v>13600</v>
      </c>
      <c r="F14" s="21">
        <v>3036</v>
      </c>
      <c r="G14" s="17">
        <v>25897</v>
      </c>
      <c r="H14" s="15">
        <v>14528</v>
      </c>
      <c r="I14" s="15">
        <v>109805</v>
      </c>
      <c r="J14" s="15">
        <v>44244215</v>
      </c>
      <c r="K14" s="18"/>
      <c r="L14" s="62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>
        <v>345084</v>
      </c>
      <c r="C15" s="15">
        <v>182340</v>
      </c>
      <c r="D15" s="16">
        <v>0.46</v>
      </c>
      <c r="E15" s="19">
        <f>E14+5</f>
        <v>13605</v>
      </c>
      <c r="F15" s="21">
        <v>3040.82</v>
      </c>
      <c r="G15" s="17">
        <v>25928</v>
      </c>
      <c r="H15" s="15">
        <v>14528</v>
      </c>
      <c r="I15" s="15">
        <v>109880</v>
      </c>
      <c r="J15" s="15">
        <v>44255604</v>
      </c>
      <c r="K15" s="18"/>
      <c r="L15" s="62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4">
        <v>347995</v>
      </c>
      <c r="C16" s="15">
        <v>187722</v>
      </c>
      <c r="D16" s="16">
        <v>0.4</v>
      </c>
      <c r="E16" s="19">
        <f>E15+5</f>
        <v>13610</v>
      </c>
      <c r="F16" s="21">
        <v>3045</v>
      </c>
      <c r="G16" s="17">
        <v>25958</v>
      </c>
      <c r="H16" s="15">
        <v>14528</v>
      </c>
      <c r="I16" s="15">
        <v>109953</v>
      </c>
      <c r="J16" s="15">
        <v>44266845</v>
      </c>
      <c r="K16" s="18"/>
      <c r="L16" s="62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/>
      <c r="C17" s="17"/>
      <c r="D17" s="25"/>
      <c r="E17" s="21"/>
      <c r="F17" s="21"/>
      <c r="G17" s="17"/>
      <c r="H17" s="15"/>
      <c r="I17" s="17"/>
      <c r="J17" s="17"/>
      <c r="K17" s="18"/>
      <c r="L17" s="62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2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2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2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2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2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2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2"/>
      <c r="M27" s="37"/>
    </row>
    <row r="28" spans="1:19" s="14" customFormat="1" ht="12.95" customHeight="1" x14ac:dyDescent="0.25">
      <c r="A28" s="36">
        <f t="shared" si="0"/>
        <v>43882</v>
      </c>
      <c r="B28" s="65"/>
      <c r="C28" s="47"/>
      <c r="D28" s="16"/>
      <c r="E28" s="48"/>
      <c r="F28" s="21"/>
      <c r="G28" s="48"/>
      <c r="H28" s="15"/>
      <c r="I28" s="47"/>
      <c r="J28" s="47"/>
      <c r="K28" s="18"/>
      <c r="L28" s="62"/>
      <c r="M28" s="37"/>
    </row>
    <row r="29" spans="1:19" s="14" customFormat="1" ht="12.95" customHeight="1" x14ac:dyDescent="0.25">
      <c r="A29" s="36">
        <f t="shared" si="0"/>
        <v>43883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2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2"/>
      <c r="M30" s="37"/>
    </row>
    <row r="31" spans="1:19" s="14" customFormat="1" ht="12.95" customHeight="1" x14ac:dyDescent="0.25">
      <c r="A31" s="36">
        <f t="shared" si="0"/>
        <v>43885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6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6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2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2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2"/>
      <c r="M35" s="37"/>
      <c r="N35" s="37"/>
      <c r="O35" s="37"/>
    </row>
    <row r="36" spans="1:16" s="14" customFormat="1" ht="12.95" customHeight="1" x14ac:dyDescent="0.25">
      <c r="A36" s="36">
        <f t="shared" si="0"/>
        <v>43890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62"/>
      <c r="N36" s="56"/>
      <c r="P36" s="37"/>
    </row>
    <row r="37" spans="1:16" s="14" customFormat="1" ht="12.95" customHeight="1" x14ac:dyDescent="0.25">
      <c r="A37" s="36">
        <f t="shared" si="0"/>
        <v>43891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62"/>
      <c r="M37" s="37"/>
      <c r="N37" s="37"/>
    </row>
    <row r="38" spans="1:16" s="14" customFormat="1" ht="12.95" customHeight="1" x14ac:dyDescent="0.25">
      <c r="A38" s="36">
        <f t="shared" si="0"/>
        <v>43892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7"/>
      <c r="M38" s="37"/>
      <c r="N38" s="37"/>
    </row>
    <row r="39" spans="1:16" x14ac:dyDescent="0.25">
      <c r="A39" s="38" t="s">
        <v>35</v>
      </c>
      <c r="B39" s="30">
        <f>B38-B7</f>
        <v>-321253</v>
      </c>
      <c r="C39" s="30">
        <f>C38-C7</f>
        <v>-140333</v>
      </c>
      <c r="D39" s="30">
        <f t="shared" ref="D39:H39" si="1">D38-D7</f>
        <v>-0.37</v>
      </c>
      <c r="E39" s="30">
        <f>E38-E7</f>
        <v>-13565</v>
      </c>
      <c r="F39" s="30">
        <f>F38-F7</f>
        <v>-3005</v>
      </c>
      <c r="G39" s="30">
        <f>G38-G7</f>
        <v>-25684</v>
      </c>
      <c r="H39" s="30">
        <f t="shared" si="1"/>
        <v>-14528</v>
      </c>
      <c r="I39" s="30">
        <f>I38-I7</f>
        <v>-109234</v>
      </c>
      <c r="J39" s="30">
        <f>J38-J7</f>
        <v>-44171258</v>
      </c>
      <c r="K39" s="30">
        <f t="shared" ref="K39" si="2">K37-K7</f>
        <v>0</v>
      </c>
    </row>
    <row r="40" spans="1:16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-24028093.745999999</v>
      </c>
      <c r="J40" s="24"/>
    </row>
    <row r="41" spans="1:16" hidden="1" x14ac:dyDescent="0.25">
      <c r="H41" s="14" t="s">
        <v>38</v>
      </c>
    </row>
    <row r="42" spans="1:16" s="57" customFormat="1" hidden="1" x14ac:dyDescent="0.25">
      <c r="B42" s="58">
        <f>B32-B10</f>
        <v>-330681</v>
      </c>
      <c r="C42" s="58">
        <f>C32-C10</f>
        <v>-156273</v>
      </c>
      <c r="E42" s="58">
        <f t="shared" ref="E42:J42" si="3">E32-E10</f>
        <v>-13580</v>
      </c>
      <c r="F42" s="58">
        <f t="shared" si="3"/>
        <v>-3017</v>
      </c>
      <c r="G42" s="58">
        <f t="shared" si="3"/>
        <v>-25778</v>
      </c>
      <c r="H42" s="58">
        <f t="shared" si="3"/>
        <v>-14528</v>
      </c>
      <c r="I42" s="58">
        <f t="shared" si="3"/>
        <v>-109493</v>
      </c>
      <c r="J42" s="58">
        <f t="shared" si="3"/>
        <v>-44201857</v>
      </c>
    </row>
    <row r="43" spans="1:16" hidden="1" x14ac:dyDescent="0.25">
      <c r="I43" s="20">
        <f>I42*219.969</f>
        <v>-24085065.717</v>
      </c>
      <c r="J43" s="22">
        <v>768611</v>
      </c>
    </row>
    <row r="44" spans="1:16" hidden="1" x14ac:dyDescent="0.25">
      <c r="C44" s="24">
        <f>C42+B42</f>
        <v>-486954</v>
      </c>
      <c r="I44" s="22">
        <v>450276.54300000001</v>
      </c>
    </row>
    <row r="45" spans="1:16" hidden="1" x14ac:dyDescent="0.25">
      <c r="C45" s="22">
        <v>178662</v>
      </c>
      <c r="J45" s="59">
        <f>SUM(J43-J42)/J42</f>
        <v>-1.017388658580566</v>
      </c>
    </row>
    <row r="46" spans="1:16" hidden="1" x14ac:dyDescent="0.25">
      <c r="C46" s="60">
        <f>SUM(C45-C44)/C44</f>
        <v>-1.366897078574157</v>
      </c>
      <c r="I46" s="59">
        <f>SUM(I44-I43)/I43</f>
        <v>-1.0186952590576568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2 - 2020</vt:lpstr>
      <vt:lpstr>'2 - 2020'!Print_Area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2021-02-09T04:21:58Z</dcterms:modified>
</cp:coreProperties>
</file>