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5BF4EEE2-E16E-40A5-A734-2A7EF27D2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L31" i="4"/>
  <c r="K35" i="1"/>
  <c r="H35" i="1"/>
  <c r="J35" i="1" s="1"/>
  <c r="L35" i="1"/>
  <c r="M35" i="1" l="1"/>
  <c r="N35" i="1" s="1"/>
  <c r="O35" i="1" s="1"/>
  <c r="I31" i="4" s="1"/>
  <c r="E31" i="4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O34" i="1" s="1"/>
  <c r="I30" i="4" s="1"/>
  <c r="J34" i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<sst xmlns="http://schemas.openxmlformats.org/spreadsheetml/2006/main" count="140" uniqueCount="66">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</sst>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7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19" fillId="4" borderId="29" xfId="2" applyNumberFormat="1" applyFont="1" applyFill="1" applyBorder="1" applyAlignment="1">
      <alignment horizontal="center" vertical="center" wrapText="1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0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30" fillId="0" borderId="9" xfId="0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0" fillId="0" borderId="9" xfId="1" applyNumberFormat="1" applyFont="1" applyFill="1" applyBorder="1" applyAlignment="1">
      <alignment horizontal="center" vertical="center"/>
    </xf>
    <xf numFmtId="1" fontId="1" fillId="0" borderId="9" xfId="1" applyNumberFormat="1" applyFont="1" applyFill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9" xfId="3" applyNumberForma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T5" sqref="T5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8" t="s">
        <v>62</v>
      </c>
      <c r="I1" s="98" t="s">
        <v>58</v>
      </c>
      <c r="J1" s="97" t="s">
        <v>63</v>
      </c>
      <c r="K1" s="108" t="s">
        <v>47</v>
      </c>
      <c r="L1" s="98" t="s">
        <v>64</v>
      </c>
      <c r="M1" s="98" t="s">
        <v>65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8</v>
      </c>
      <c r="D2" s="90">
        <v>2021</v>
      </c>
      <c r="E2" s="88">
        <f>Electricity!H6</f>
        <v>7672</v>
      </c>
      <c r="F2" s="88">
        <f>+Electricity!F6</f>
        <v>2744</v>
      </c>
      <c r="G2" s="88">
        <f>+Electricity!G6</f>
        <v>4928</v>
      </c>
      <c r="H2" s="123" t="s">
        <v>59</v>
      </c>
      <c r="I2" s="124">
        <f>+Electricity!O6</f>
        <v>9648622.1496000011</v>
      </c>
      <c r="J2" s="88">
        <f>Gas!D5</f>
        <v>21.43</v>
      </c>
      <c r="K2" s="88">
        <v>5362</v>
      </c>
      <c r="L2" s="88">
        <f>Water!C5</f>
        <v>171.21999999999971</v>
      </c>
      <c r="M2" s="124">
        <v>12500</v>
      </c>
      <c r="N2" s="88">
        <f>Electricity!C6</f>
        <v>15</v>
      </c>
      <c r="O2" s="88">
        <f>Electricity!D6</f>
        <v>132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8</v>
      </c>
      <c r="D3" s="90">
        <v>2021</v>
      </c>
      <c r="E3" s="88">
        <f>Electricity!H7</f>
        <v>16470</v>
      </c>
      <c r="F3" s="88">
        <f>+Electricity!F7</f>
        <v>2866</v>
      </c>
      <c r="G3" s="88">
        <f>+Electricity!G7</f>
        <v>13604</v>
      </c>
      <c r="H3" s="123" t="s">
        <v>59</v>
      </c>
      <c r="I3" s="124">
        <f>+Electricity!O7</f>
        <v>19099876.420200001</v>
      </c>
      <c r="J3" s="88">
        <f>Gas!D6</f>
        <v>35.44</v>
      </c>
      <c r="K3" s="88">
        <v>5362</v>
      </c>
      <c r="L3" s="88">
        <f>Water!C6</f>
        <v>118.80000000000146</v>
      </c>
      <c r="M3" s="124">
        <v>12500</v>
      </c>
      <c r="N3" s="88">
        <f>Electricity!C7</f>
        <v>16</v>
      </c>
      <c r="O3" s="88">
        <f>Electricity!D7</f>
        <v>102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8</v>
      </c>
      <c r="D4" s="90">
        <v>2021</v>
      </c>
      <c r="E4" s="88">
        <f>Electricity!H8</f>
        <v>19276</v>
      </c>
      <c r="F4" s="88">
        <f>+Electricity!F8</f>
        <v>3602</v>
      </c>
      <c r="G4" s="88">
        <f>+Electricity!G8</f>
        <v>15674</v>
      </c>
      <c r="H4" s="123" t="s">
        <v>59</v>
      </c>
      <c r="I4" s="124">
        <f>+Electricity!O8</f>
        <v>22486069.1118</v>
      </c>
      <c r="J4" s="88">
        <f>Gas!D7</f>
        <v>71.17</v>
      </c>
      <c r="K4" s="88">
        <v>5362</v>
      </c>
      <c r="L4" s="88">
        <f>Water!C7</f>
        <v>81.199999999998539</v>
      </c>
      <c r="M4" s="124">
        <v>12500</v>
      </c>
      <c r="N4" s="88">
        <f>Electricity!C8</f>
        <v>36</v>
      </c>
      <c r="O4" s="88">
        <f>Electricity!D8</f>
        <v>250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8</v>
      </c>
      <c r="D5" s="90">
        <v>2021</v>
      </c>
      <c r="E5" s="88">
        <f>Electricity!H9</f>
        <v>20504</v>
      </c>
      <c r="F5" s="88">
        <f>+Electricity!F9</f>
        <v>3478</v>
      </c>
      <c r="G5" s="88">
        <f>+Electricity!G9</f>
        <v>17026</v>
      </c>
      <c r="H5" s="123" t="s">
        <v>59</v>
      </c>
      <c r="I5" s="124">
        <f>+Electricity!O9</f>
        <v>23730020.176199999</v>
      </c>
      <c r="J5" s="88">
        <f>Gas!D8</f>
        <v>73.209999999999994</v>
      </c>
      <c r="K5" s="88">
        <v>5362</v>
      </c>
      <c r="L5" s="88">
        <f>Water!C8</f>
        <v>135.55999999999329</v>
      </c>
      <c r="M5" s="124">
        <v>12500</v>
      </c>
      <c r="N5" s="88">
        <f>Electricity!C9</f>
        <v>31</v>
      </c>
      <c r="O5" s="88">
        <f>Electricity!D9</f>
        <v>257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8</v>
      </c>
      <c r="D6" s="90">
        <v>2021</v>
      </c>
      <c r="E6" s="88">
        <f>Electricity!H10</f>
        <v>18566</v>
      </c>
      <c r="F6" s="88">
        <f>+Electricity!F10</f>
        <v>3292</v>
      </c>
      <c r="G6" s="88">
        <f>+Electricity!G10</f>
        <v>15274</v>
      </c>
      <c r="H6" s="123" t="s">
        <v>59</v>
      </c>
      <c r="I6" s="124">
        <f>+Electricity!O10</f>
        <v>21563240.9208</v>
      </c>
      <c r="J6" s="88">
        <f>Gas!D9</f>
        <v>85.93</v>
      </c>
      <c r="K6" s="88">
        <v>5362</v>
      </c>
      <c r="L6" s="88">
        <f>Water!C9</f>
        <v>114.9</v>
      </c>
      <c r="M6" s="124">
        <v>12500</v>
      </c>
      <c r="N6" s="88">
        <f>Electricity!C10</f>
        <v>71</v>
      </c>
      <c r="O6" s="88">
        <f>Electricity!D10</f>
        <v>305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8</v>
      </c>
      <c r="D7" s="90">
        <v>2021</v>
      </c>
      <c r="E7" s="88">
        <f>Electricity!H11</f>
        <v>19254</v>
      </c>
      <c r="F7" s="88">
        <f>+Electricity!F11</f>
        <v>3100</v>
      </c>
      <c r="G7" s="88">
        <f>+Electricity!G11</f>
        <v>16154</v>
      </c>
      <c r="H7" s="123" t="s">
        <v>59</v>
      </c>
      <c r="I7" s="124">
        <f>+Electricity!O11</f>
        <v>22194818.133599997</v>
      </c>
      <c r="J7" s="88">
        <f>Gas!D10</f>
        <v>70.13</v>
      </c>
      <c r="K7" s="88">
        <v>5362</v>
      </c>
      <c r="L7" s="88">
        <f>Water!C10</f>
        <v>94.420000000002617</v>
      </c>
      <c r="M7" s="124">
        <v>12500</v>
      </c>
      <c r="N7" s="88">
        <f>Electricity!C11</f>
        <v>63</v>
      </c>
      <c r="O7" s="88">
        <f>Electricity!D11</f>
        <v>597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8</v>
      </c>
      <c r="D8" s="90">
        <v>2021</v>
      </c>
      <c r="E8" s="88">
        <f>Electricity!H12</f>
        <v>17400</v>
      </c>
      <c r="F8" s="88">
        <f>+Electricity!F12</f>
        <v>2972</v>
      </c>
      <c r="G8" s="88">
        <f>+Electricity!G12</f>
        <v>14428</v>
      </c>
      <c r="H8" s="123" t="s">
        <v>59</v>
      </c>
      <c r="I8" s="124">
        <f>+Electricity!O12</f>
        <v>20148593.312399998</v>
      </c>
      <c r="J8" s="88">
        <f>Gas!D11</f>
        <v>22.66</v>
      </c>
      <c r="K8" s="88">
        <v>5362</v>
      </c>
      <c r="L8" s="88">
        <f>Water!C11</f>
        <v>148.4400000000125</v>
      </c>
      <c r="M8" s="124">
        <v>12500</v>
      </c>
      <c r="N8" s="88">
        <f>Electricity!C12</f>
        <v>49</v>
      </c>
      <c r="O8" s="88">
        <f>Electricity!D12</f>
        <v>350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8</v>
      </c>
      <c r="D9" s="90">
        <v>2021</v>
      </c>
      <c r="E9" s="88">
        <f>Electricity!H13</f>
        <v>17440</v>
      </c>
      <c r="F9" s="88">
        <f>+Electricity!F13</f>
        <v>2948</v>
      </c>
      <c r="G9" s="88">
        <f>+Electricity!G13</f>
        <v>14492</v>
      </c>
      <c r="H9" s="123" t="s">
        <v>59</v>
      </c>
      <c r="I9" s="124">
        <f>+Electricity!O13</f>
        <v>20178465.207600001</v>
      </c>
      <c r="J9" s="88">
        <f>Gas!D12</f>
        <v>29.86</v>
      </c>
      <c r="K9" s="88">
        <v>5362</v>
      </c>
      <c r="L9" s="88">
        <f>Water!C12</f>
        <v>118.57999999998864</v>
      </c>
      <c r="M9" s="124">
        <v>12500</v>
      </c>
      <c r="N9" s="88">
        <f>Electricity!C13</f>
        <v>30</v>
      </c>
      <c r="O9" s="88">
        <f>Electricity!D13</f>
        <v>256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8</v>
      </c>
      <c r="D10" s="90">
        <v>2021</v>
      </c>
      <c r="E10" s="88">
        <f>Electricity!H14</f>
        <v>16786</v>
      </c>
      <c r="F10" s="88">
        <f>+Electricity!F14</f>
        <v>2994</v>
      </c>
      <c r="G10" s="88">
        <f>+Electricity!G14</f>
        <v>13792</v>
      </c>
      <c r="H10" s="123" t="s">
        <v>59</v>
      </c>
      <c r="I10" s="124">
        <f>+Electricity!O14</f>
        <v>19505280.712199997</v>
      </c>
      <c r="J10" s="88">
        <f>Gas!D13</f>
        <v>26.3</v>
      </c>
      <c r="K10" s="88">
        <v>5362</v>
      </c>
      <c r="L10" s="88">
        <f>Water!C13</f>
        <v>112.40000000000728</v>
      </c>
      <c r="M10" s="124">
        <v>12500</v>
      </c>
      <c r="N10" s="88">
        <f>Electricity!C14</f>
        <v>20</v>
      </c>
      <c r="O10" s="88">
        <f>Electricity!D14</f>
        <v>136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8</v>
      </c>
      <c r="D11" s="90">
        <v>2021</v>
      </c>
      <c r="E11" s="88">
        <f>Electricity!H15</f>
        <v>16152</v>
      </c>
      <c r="F11" s="88">
        <f>+Electricity!F15</f>
        <v>4064</v>
      </c>
      <c r="G11" s="88">
        <f>+Electricity!G15</f>
        <v>12088</v>
      </c>
      <c r="H11" s="123" t="s">
        <v>59</v>
      </c>
      <c r="I11" s="124">
        <f>+Electricity!O15</f>
        <v>19399662.2256</v>
      </c>
      <c r="J11" s="88">
        <f>Gas!D14</f>
        <v>29</v>
      </c>
      <c r="K11" s="88">
        <v>5362</v>
      </c>
      <c r="L11" s="88">
        <f>Water!C14</f>
        <v>143.73999999999506</v>
      </c>
      <c r="M11" s="124">
        <v>12500</v>
      </c>
      <c r="N11" s="88">
        <f>Electricity!C15</f>
        <v>22</v>
      </c>
      <c r="O11" s="88">
        <f>Electricity!D15</f>
        <v>148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8</v>
      </c>
      <c r="D12" s="90">
        <v>2021</v>
      </c>
      <c r="E12" s="88">
        <f>Electricity!H16</f>
        <v>16028</v>
      </c>
      <c r="F12" s="88">
        <f>+Electricity!F16</f>
        <v>2812</v>
      </c>
      <c r="G12" s="88">
        <f>+Electricity!G16</f>
        <v>13216</v>
      </c>
      <c r="H12" s="123" t="s">
        <v>59</v>
      </c>
      <c r="I12" s="124">
        <f>+Electricity!O16</f>
        <v>18599522.1756</v>
      </c>
      <c r="J12" s="88">
        <f>Gas!D15</f>
        <v>19.71</v>
      </c>
      <c r="K12" s="88">
        <v>5362</v>
      </c>
      <c r="L12" s="88">
        <f>Water!C15</f>
        <v>85.600000000004371</v>
      </c>
      <c r="M12" s="124">
        <v>12500</v>
      </c>
      <c r="N12" s="88">
        <f>Electricity!C16</f>
        <v>16</v>
      </c>
      <c r="O12" s="88">
        <f>Electricity!D16</f>
        <v>102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8</v>
      </c>
      <c r="D13" s="90">
        <v>2021</v>
      </c>
      <c r="E13" s="88">
        <f>Electricity!H17</f>
        <v>16218</v>
      </c>
      <c r="F13" s="88">
        <f>+Electricity!F17</f>
        <v>2864</v>
      </c>
      <c r="G13" s="88">
        <f>+Electricity!G17</f>
        <v>13354</v>
      </c>
      <c r="H13" s="123" t="s">
        <v>59</v>
      </c>
      <c r="I13" s="124">
        <f>+Electricity!O17</f>
        <v>18829962.510000002</v>
      </c>
      <c r="J13" s="88">
        <f>Gas!D16</f>
        <v>35.229999999999997</v>
      </c>
      <c r="K13" s="88">
        <v>5362</v>
      </c>
      <c r="L13" s="88">
        <f>Water!C16</f>
        <v>110.27999999999592</v>
      </c>
      <c r="M13" s="124">
        <v>12500</v>
      </c>
      <c r="N13" s="88">
        <f>Electricity!C17</f>
        <v>23</v>
      </c>
      <c r="O13" s="88">
        <f>Electricity!D17</f>
        <v>116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8</v>
      </c>
      <c r="D14" s="90">
        <v>2021</v>
      </c>
      <c r="E14" s="88">
        <f>Electricity!H18</f>
        <v>16380</v>
      </c>
      <c r="F14" s="88">
        <f>+Electricity!F18</f>
        <v>2810</v>
      </c>
      <c r="G14" s="88">
        <f>+Electricity!G18</f>
        <v>13570</v>
      </c>
      <c r="H14" s="123" t="s">
        <v>59</v>
      </c>
      <c r="I14" s="124">
        <f>+Electricity!O18</f>
        <v>18973987.719000001</v>
      </c>
      <c r="J14" s="88">
        <f>Gas!D17</f>
        <v>14.82</v>
      </c>
      <c r="K14" s="88">
        <v>5362</v>
      </c>
      <c r="L14" s="88">
        <f>Water!C17</f>
        <v>121.16000000000349</v>
      </c>
      <c r="M14" s="124">
        <v>12500</v>
      </c>
      <c r="N14" s="88">
        <f>Electricity!C18</f>
        <v>32</v>
      </c>
      <c r="O14" s="88">
        <f>Electricity!D18</f>
        <v>149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8</v>
      </c>
      <c r="D15" s="90">
        <v>2021</v>
      </c>
      <c r="E15" s="88">
        <f>Electricity!H19</f>
        <v>16032</v>
      </c>
      <c r="F15" s="88">
        <f>+Electricity!F19</f>
        <v>2816</v>
      </c>
      <c r="G15" s="88">
        <f>+Electricity!G19</f>
        <v>13216</v>
      </c>
      <c r="H15" s="123" t="s">
        <v>59</v>
      </c>
      <c r="I15" s="124">
        <f>+Electricity!O19</f>
        <v>18605923.296</v>
      </c>
      <c r="J15" s="88">
        <f>Gas!D18</f>
        <v>29.7</v>
      </c>
      <c r="K15" s="88">
        <v>5362</v>
      </c>
      <c r="L15" s="88">
        <f>Water!C18</f>
        <v>99.4</v>
      </c>
      <c r="M15" s="124">
        <v>12500</v>
      </c>
      <c r="N15" s="88">
        <f>Electricity!C19</f>
        <v>25</v>
      </c>
      <c r="O15" s="88">
        <f>Electricity!D19</f>
        <v>172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8</v>
      </c>
      <c r="D16" s="90">
        <v>2021</v>
      </c>
      <c r="E16" s="88">
        <f>Electricity!H20</f>
        <v>16527</v>
      </c>
      <c r="F16" s="88">
        <f>+Electricity!F20</f>
        <v>2857</v>
      </c>
      <c r="G16" s="88">
        <f>+Electricity!G20</f>
        <v>13670</v>
      </c>
      <c r="H16" s="123" t="s">
        <v>59</v>
      </c>
      <c r="I16" s="124">
        <f>+Electricity!O20</f>
        <v>19155886.223699998</v>
      </c>
      <c r="J16" s="88">
        <f>Gas!D19</f>
        <v>63.39</v>
      </c>
      <c r="K16" s="88">
        <v>5362</v>
      </c>
      <c r="L16" s="88">
        <f>Water!C19</f>
        <v>120.79999999999563</v>
      </c>
      <c r="M16" s="124">
        <v>12500</v>
      </c>
      <c r="N16" s="88">
        <f>Electricity!C20</f>
        <v>26</v>
      </c>
      <c r="O16" s="88">
        <f>Electricity!D20</f>
        <v>142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8</v>
      </c>
      <c r="D17" s="90">
        <v>2021</v>
      </c>
      <c r="E17" s="88">
        <f>Electricity!H21</f>
        <v>16838</v>
      </c>
      <c r="F17" s="88">
        <f>+Electricity!F21</f>
        <v>2910</v>
      </c>
      <c r="G17" s="88">
        <f>+Electricity!G21</f>
        <v>13928</v>
      </c>
      <c r="H17" s="123" t="s">
        <v>59</v>
      </c>
      <c r="I17" s="124">
        <f>+Electricity!O21</f>
        <v>19515949.246199999</v>
      </c>
      <c r="J17" s="88">
        <f>Gas!D20</f>
        <v>59.01</v>
      </c>
      <c r="K17" s="88">
        <v>5362</v>
      </c>
      <c r="L17" s="88">
        <f>Water!C20</f>
        <v>122.00000000000145</v>
      </c>
      <c r="M17" s="124">
        <v>12500</v>
      </c>
      <c r="N17" s="88">
        <f>Electricity!C21</f>
        <v>37</v>
      </c>
      <c r="O17" s="88">
        <f>Electricity!D21</f>
        <v>179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8</v>
      </c>
      <c r="D18" s="90">
        <v>2021</v>
      </c>
      <c r="E18" s="88">
        <f>Electricity!H22</f>
        <v>16193</v>
      </c>
      <c r="F18" s="88">
        <f>+Electricity!F22</f>
        <v>2698</v>
      </c>
      <c r="G18" s="88">
        <f>+Electricity!G22</f>
        <v>13495</v>
      </c>
      <c r="H18" s="123" t="s">
        <v>59</v>
      </c>
      <c r="I18" s="124">
        <f>+Electricity!O22</f>
        <v>18714742.342799999</v>
      </c>
      <c r="J18" s="88">
        <f>Gas!D21</f>
        <v>34.409999999999997</v>
      </c>
      <c r="K18" s="88">
        <v>5362</v>
      </c>
      <c r="L18" s="88">
        <f>Water!C21</f>
        <v>86.30000000000291</v>
      </c>
      <c r="M18" s="124">
        <v>12500</v>
      </c>
      <c r="N18" s="88">
        <f>Electricity!C22</f>
        <v>23</v>
      </c>
      <c r="O18" s="88">
        <f>Electricity!D22</f>
        <v>182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8</v>
      </c>
      <c r="D19" s="90">
        <v>2021</v>
      </c>
      <c r="E19" s="88">
        <f>Electricity!H23</f>
        <v>16028</v>
      </c>
      <c r="F19" s="88">
        <f>+Electricity!F23</f>
        <v>2744</v>
      </c>
      <c r="G19" s="88">
        <f>+Electricity!G23</f>
        <v>13284</v>
      </c>
      <c r="H19" s="123" t="s">
        <v>59</v>
      </c>
      <c r="I19" s="124">
        <f>+Electricity!O23</f>
        <v>18563249.16</v>
      </c>
      <c r="J19" s="88">
        <f>Gas!D22</f>
        <v>29.77</v>
      </c>
      <c r="K19" s="88">
        <v>5362</v>
      </c>
      <c r="L19" s="88">
        <f>Water!C22</f>
        <v>55.399999999991266</v>
      </c>
      <c r="M19" s="124">
        <v>12500</v>
      </c>
      <c r="N19" s="88">
        <f>Electricity!C23</f>
        <v>18</v>
      </c>
      <c r="O19" s="88">
        <f>Electricity!D23</f>
        <v>184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8</v>
      </c>
      <c r="D20" s="90">
        <v>2021</v>
      </c>
      <c r="E20" s="88">
        <f>Electricity!H24</f>
        <v>15826</v>
      </c>
      <c r="F20" s="88">
        <f>+Electricity!F24</f>
        <v>2794</v>
      </c>
      <c r="G20" s="88">
        <f>+Electricity!G24</f>
        <v>13032</v>
      </c>
      <c r="H20" s="123" t="s">
        <v>59</v>
      </c>
      <c r="I20" s="124">
        <f>+Electricity!O24</f>
        <v>18374416.108199999</v>
      </c>
      <c r="J20" s="88">
        <f>Gas!D23</f>
        <v>40.950000000000003</v>
      </c>
      <c r="K20" s="88">
        <v>5362</v>
      </c>
      <c r="L20" s="88">
        <f>Water!C23</f>
        <v>144.20000000000437</v>
      </c>
      <c r="M20" s="124">
        <v>12500</v>
      </c>
      <c r="N20" s="88">
        <f>Electricity!C24</f>
        <v>26</v>
      </c>
      <c r="O20" s="88">
        <f>Electricity!D24</f>
        <v>154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8</v>
      </c>
      <c r="D21" s="90">
        <v>2021</v>
      </c>
      <c r="E21" s="88">
        <f>Electricity!H25</f>
        <v>15526</v>
      </c>
      <c r="F21" s="88">
        <f>+Electricity!F25</f>
        <v>2624</v>
      </c>
      <c r="G21" s="88">
        <f>+Electricity!G25</f>
        <v>12902</v>
      </c>
      <c r="H21" s="123" t="s">
        <v>59</v>
      </c>
      <c r="I21" s="124">
        <f>+Electricity!O25</f>
        <v>17963677.549200002</v>
      </c>
      <c r="J21" s="88">
        <f>Gas!D24</f>
        <v>49.02</v>
      </c>
      <c r="K21" s="88">
        <v>5362</v>
      </c>
      <c r="L21" s="88">
        <f>Water!C24</f>
        <v>142.99999999999855</v>
      </c>
      <c r="M21" s="124">
        <v>12500</v>
      </c>
      <c r="N21" s="88">
        <f>Electricity!C25</f>
        <v>29</v>
      </c>
      <c r="O21" s="88">
        <f>Electricity!D25</f>
        <v>131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8</v>
      </c>
      <c r="D22" s="90">
        <v>2021</v>
      </c>
      <c r="E22" s="88">
        <f>Electricity!H26</f>
        <v>15912</v>
      </c>
      <c r="F22" s="88">
        <f>+Electricity!F26</f>
        <v>3008</v>
      </c>
      <c r="G22" s="88">
        <f>+Electricity!G26</f>
        <v>12904</v>
      </c>
      <c r="H22" s="123" t="s">
        <v>59</v>
      </c>
      <c r="I22" s="124">
        <f>+Electricity!O26</f>
        <v>18580318.814400002</v>
      </c>
      <c r="J22" s="88">
        <f>Gas!D25</f>
        <v>15.64</v>
      </c>
      <c r="K22" s="88">
        <v>5362</v>
      </c>
      <c r="L22" s="88">
        <f>Water!C25</f>
        <v>124.90000000000146</v>
      </c>
      <c r="M22" s="124">
        <v>12500</v>
      </c>
      <c r="N22" s="88">
        <f>Electricity!C26</f>
        <v>51</v>
      </c>
      <c r="O22" s="88">
        <f>Electricity!D26</f>
        <v>200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8</v>
      </c>
      <c r="D23" s="90">
        <v>2021</v>
      </c>
      <c r="E23" s="88">
        <f>Electricity!H27</f>
        <v>18052</v>
      </c>
      <c r="F23" s="88">
        <f>+Electricity!F27</f>
        <v>3106</v>
      </c>
      <c r="G23" s="88">
        <f>+Electricity!G27</f>
        <v>14946</v>
      </c>
      <c r="H23" s="123" t="s">
        <v>59</v>
      </c>
      <c r="I23" s="124">
        <f>+Electricity!O27</f>
        <v>20915660.906999998</v>
      </c>
      <c r="J23" s="88">
        <f>Gas!D26</f>
        <v>51.05</v>
      </c>
      <c r="K23" s="88">
        <v>5362</v>
      </c>
      <c r="L23" s="88">
        <f>Water!C26</f>
        <v>158.99999999999272</v>
      </c>
      <c r="M23" s="124">
        <v>12500</v>
      </c>
      <c r="N23" s="88">
        <f>Electricity!C27</f>
        <v>23</v>
      </c>
      <c r="O23" s="88">
        <f>Electricity!D27</f>
        <v>230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8</v>
      </c>
      <c r="D24" s="90">
        <v>2021</v>
      </c>
      <c r="E24" s="88">
        <f>Electricity!H28</f>
        <v>17396</v>
      </c>
      <c r="F24" s="88">
        <f>+Electricity!F28</f>
        <v>3106</v>
      </c>
      <c r="G24" s="88">
        <f>+Electricity!G28</f>
        <v>14290</v>
      </c>
      <c r="H24" s="123" t="s">
        <v>59</v>
      </c>
      <c r="I24" s="124">
        <f>+Electricity!O28</f>
        <v>20215805.0766</v>
      </c>
      <c r="J24" s="88">
        <f>Gas!D27</f>
        <v>68.55</v>
      </c>
      <c r="K24" s="88">
        <v>5362</v>
      </c>
      <c r="L24" s="88">
        <f>Water!C27</f>
        <v>137.50000000000438</v>
      </c>
      <c r="M24" s="124">
        <v>12500</v>
      </c>
      <c r="N24" s="88">
        <f>Electricity!C28</f>
        <v>21</v>
      </c>
      <c r="O24" s="88">
        <f>Electricity!D28</f>
        <v>144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8</v>
      </c>
      <c r="D25" s="90">
        <v>2021</v>
      </c>
      <c r="E25" s="88">
        <f>Electricity!H29</f>
        <v>17628</v>
      </c>
      <c r="F25" s="88">
        <f>+Electricity!F29</f>
        <v>3138</v>
      </c>
      <c r="G25" s="88">
        <f>+Electricity!G29</f>
        <v>14490</v>
      </c>
      <c r="H25" s="123" t="s">
        <v>59</v>
      </c>
      <c r="I25" s="124">
        <f>+Electricity!O29</f>
        <v>20480384.719799999</v>
      </c>
      <c r="J25" s="88">
        <f>Gas!D28</f>
        <v>87.79</v>
      </c>
      <c r="K25" s="88">
        <v>5362</v>
      </c>
      <c r="L25" s="88">
        <f>Water!C28</f>
        <v>103.62000000001134</v>
      </c>
      <c r="M25" s="124">
        <v>12500</v>
      </c>
      <c r="N25" s="88">
        <f>Electricity!C29</f>
        <v>38</v>
      </c>
      <c r="O25" s="88">
        <f>Electricity!D29</f>
        <v>286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8</v>
      </c>
      <c r="D26" s="90">
        <v>2021</v>
      </c>
      <c r="E26" s="88">
        <f>Electricity!H30</f>
        <v>16964</v>
      </c>
      <c r="F26" s="88">
        <f>+Electricity!F30</f>
        <v>2940</v>
      </c>
      <c r="G26" s="88">
        <f>+Electricity!G30</f>
        <v>14024</v>
      </c>
      <c r="H26" s="123" t="s">
        <v>59</v>
      </c>
      <c r="I26" s="124">
        <f>+Electricity!O30</f>
        <v>19666375.575599998</v>
      </c>
      <c r="J26" s="88">
        <f>Gas!D29</f>
        <v>28.87</v>
      </c>
      <c r="K26" s="88">
        <v>5362</v>
      </c>
      <c r="L26" s="88">
        <f>Water!C29</f>
        <v>102.47999999998574</v>
      </c>
      <c r="M26" s="124">
        <v>12500</v>
      </c>
      <c r="N26" s="88">
        <f>Electricity!C30</f>
        <v>19</v>
      </c>
      <c r="O26" s="88">
        <f>Electricity!D30</f>
        <v>221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8</v>
      </c>
      <c r="D27" s="90">
        <v>2021</v>
      </c>
      <c r="E27" s="88">
        <f>Electricity!H31</f>
        <v>16698</v>
      </c>
      <c r="F27" s="88">
        <f>+Electricity!F31</f>
        <v>2920</v>
      </c>
      <c r="G27" s="88">
        <f>+Electricity!G31</f>
        <v>13778</v>
      </c>
      <c r="H27" s="123" t="s">
        <v>59</v>
      </c>
      <c r="I27" s="124">
        <f>+Electricity!O31</f>
        <v>19371924.037199996</v>
      </c>
      <c r="J27" s="88">
        <f>Gas!D30</f>
        <v>23.91</v>
      </c>
      <c r="K27" s="88">
        <v>5362</v>
      </c>
      <c r="L27" s="88">
        <f>Water!C30</f>
        <v>137.86000000000348</v>
      </c>
      <c r="M27" s="124">
        <v>12500</v>
      </c>
      <c r="N27" s="88">
        <f>Electricity!C31</f>
        <v>27</v>
      </c>
      <c r="O27" s="88">
        <f>Electricity!D31</f>
        <v>157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8</v>
      </c>
      <c r="D28" s="90">
        <v>2021</v>
      </c>
      <c r="E28" s="88">
        <f>Electricity!H32</f>
        <v>17158</v>
      </c>
      <c r="F28" s="88">
        <f>+Electricity!F32</f>
        <v>3018</v>
      </c>
      <c r="G28" s="88">
        <f>+Electricity!G32</f>
        <v>14140</v>
      </c>
      <c r="H28" s="123" t="s">
        <v>59</v>
      </c>
      <c r="I28" s="124">
        <f>+Electricity!O32</f>
        <v>19914952.417799998</v>
      </c>
      <c r="J28" s="88">
        <f>Gas!D31</f>
        <v>35.35</v>
      </c>
      <c r="K28" s="88">
        <v>5362</v>
      </c>
      <c r="L28" s="88">
        <f>Water!C31</f>
        <v>113.33999999999796</v>
      </c>
      <c r="M28" s="124">
        <v>12500</v>
      </c>
      <c r="N28" s="88">
        <f>Electricity!C32</f>
        <v>30</v>
      </c>
      <c r="O28" s="88">
        <f>Electricity!D32</f>
        <v>175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8</v>
      </c>
      <c r="D29" s="90">
        <v>2021</v>
      </c>
      <c r="E29" s="88">
        <f>Electricity!H33</f>
        <v>17470</v>
      </c>
      <c r="F29" s="88">
        <f>+Electricity!F33</f>
        <v>3100</v>
      </c>
      <c r="G29" s="88">
        <f>+Electricity!G33</f>
        <v>14370</v>
      </c>
      <c r="H29" s="123" t="s">
        <v>59</v>
      </c>
      <c r="I29" s="124">
        <f>+Electricity!O33</f>
        <v>20291551.668000001</v>
      </c>
      <c r="J29" s="88">
        <f>Gas!D32</f>
        <v>23.26</v>
      </c>
      <c r="K29" s="88">
        <v>5362</v>
      </c>
      <c r="L29" s="88">
        <f>Water!C32</f>
        <v>95.419999999998979</v>
      </c>
      <c r="M29" s="124">
        <v>12500</v>
      </c>
      <c r="N29" s="88">
        <f>Electricity!C33</f>
        <v>50</v>
      </c>
      <c r="O29" s="88">
        <f>Electricity!D33</f>
        <v>283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8</v>
      </c>
      <c r="D30" s="90">
        <v>2021</v>
      </c>
      <c r="E30" s="88">
        <f>Electricity!H34</f>
        <v>17396</v>
      </c>
      <c r="F30" s="88">
        <f>+Electricity!F34</f>
        <v>3092</v>
      </c>
      <c r="G30" s="88">
        <f>+Electricity!G34</f>
        <v>14304</v>
      </c>
      <c r="H30" s="123" t="s">
        <v>59</v>
      </c>
      <c r="I30" s="124">
        <f>+Electricity!O34</f>
        <v>20208337.102799997</v>
      </c>
      <c r="J30" s="88">
        <f>Gas!D33</f>
        <v>11.48</v>
      </c>
      <c r="K30" s="88">
        <v>5362</v>
      </c>
      <c r="L30" s="88">
        <f>Water!C33</f>
        <v>142.88000000000102</v>
      </c>
      <c r="M30" s="124">
        <v>12500</v>
      </c>
      <c r="N30" s="88">
        <f>Electricity!C34</f>
        <v>37</v>
      </c>
      <c r="O30" s="88">
        <f>Electricity!D34</f>
        <v>223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8</v>
      </c>
      <c r="D31" s="90">
        <v>2021</v>
      </c>
      <c r="E31" s="88">
        <f>Electricity!H35</f>
        <v>19126</v>
      </c>
      <c r="F31" s="88">
        <f>+Electricity!F35</f>
        <v>3210</v>
      </c>
      <c r="G31" s="88">
        <f>+Electricity!G35</f>
        <v>15916</v>
      </c>
      <c r="H31" s="123" t="s">
        <v>61</v>
      </c>
      <c r="I31" s="124">
        <f>+Electricity!O35</f>
        <v>22116937.8354</v>
      </c>
      <c r="J31" s="88">
        <f>Gas!D34</f>
        <v>59.79</v>
      </c>
      <c r="K31" s="88">
        <v>5363</v>
      </c>
      <c r="L31" s="88">
        <f>Water!C34</f>
        <v>114.02000000001135</v>
      </c>
      <c r="M31" s="124">
        <v>12501</v>
      </c>
      <c r="N31" s="88">
        <f>Electricity!C35</f>
        <v>39</v>
      </c>
      <c r="O31" s="88">
        <f>Electricity!D35</f>
        <v>310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8</v>
      </c>
      <c r="D32" s="90">
        <v>2021</v>
      </c>
      <c r="E32" s="88">
        <f>Electricity!H36</f>
        <v>17685</v>
      </c>
      <c r="F32" s="88">
        <f>+Electricity!F36</f>
        <v>3120</v>
      </c>
      <c r="G32" s="88">
        <f>+Electricity!G36</f>
        <v>14565</v>
      </c>
      <c r="H32" s="123" t="s">
        <v>59</v>
      </c>
      <c r="I32" s="124">
        <f>+Electricity!O36</f>
        <v>20531593.682999998</v>
      </c>
      <c r="J32" s="88">
        <f>Gas!D34</f>
        <v>59.79</v>
      </c>
      <c r="K32" s="88">
        <v>5362</v>
      </c>
      <c r="L32" s="88">
        <f>Water!C34</f>
        <v>114.02000000001135</v>
      </c>
      <c r="M32" s="124">
        <v>12500</v>
      </c>
      <c r="N32" s="88">
        <f>Electricity!C36</f>
        <v>19</v>
      </c>
      <c r="O32" s="88">
        <f>Electricity!D36</f>
        <v>137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9" activePane="bottomLeft" state="frozen"/>
      <selection pane="bottomLeft" activeCell="D17" sqref="D17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4" t="s">
        <v>43</v>
      </c>
      <c r="C1" s="175"/>
      <c r="D1" s="175"/>
      <c r="E1" s="175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6" t="s">
        <v>0</v>
      </c>
      <c r="C2" s="102"/>
      <c r="D2" s="102"/>
      <c r="E2" s="179" t="s">
        <v>12</v>
      </c>
      <c r="F2" s="181" t="s">
        <v>16</v>
      </c>
      <c r="G2" s="182"/>
      <c r="H2" s="182"/>
      <c r="I2" s="182"/>
      <c r="J2" s="182"/>
      <c r="K2" s="182"/>
      <c r="L2" s="182"/>
      <c r="M2" s="182"/>
      <c r="N2" s="182"/>
      <c r="O2" s="183"/>
      <c r="P2" s="2"/>
      <c r="Q2" s="2"/>
      <c r="R2" s="1"/>
      <c r="S2" s="1"/>
      <c r="T2" s="1"/>
    </row>
    <row r="3" spans="2:20" s="57" customFormat="1" ht="25.5" customHeight="1" x14ac:dyDescent="0.25">
      <c r="B3" s="177"/>
      <c r="C3" s="103"/>
      <c r="D3" s="103"/>
      <c r="E3" s="171"/>
      <c r="F3" s="54" t="s">
        <v>10</v>
      </c>
      <c r="G3" s="58" t="s">
        <v>19</v>
      </c>
      <c r="H3" s="58" t="s">
        <v>24</v>
      </c>
      <c r="I3" s="184" t="s">
        <v>23</v>
      </c>
      <c r="J3" s="185"/>
      <c r="K3" s="184" t="s">
        <v>25</v>
      </c>
      <c r="L3" s="186"/>
      <c r="M3" s="185"/>
      <c r="N3" s="170" t="s">
        <v>17</v>
      </c>
      <c r="O3" s="172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78"/>
      <c r="C4" s="104"/>
      <c r="D4" s="104"/>
      <c r="E4" s="180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1"/>
      <c r="O4" s="173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44409</v>
      </c>
      <c r="C6" s="131">
        <v>15</v>
      </c>
      <c r="D6" s="131">
        <v>132</v>
      </c>
      <c r="E6" s="115">
        <v>1035.78</v>
      </c>
      <c r="F6" s="116">
        <v>2744</v>
      </c>
      <c r="G6" s="117">
        <v>4928</v>
      </c>
      <c r="H6" s="118">
        <f t="shared" ref="H6:H35" si="0">G6+F6</f>
        <v>7672</v>
      </c>
      <c r="I6" s="118">
        <v>6320</v>
      </c>
      <c r="J6" s="118">
        <f>+H6-I6</f>
        <v>1352</v>
      </c>
      <c r="K6" s="118">
        <f>F6*1.5*E6</f>
        <v>4263270.4799999995</v>
      </c>
      <c r="L6" s="118">
        <f t="shared" ref="L6:L33" si="1">G6*E6</f>
        <v>5104323.84</v>
      </c>
      <c r="M6" s="118">
        <f t="shared" ref="M6:M33" si="2">L6+K6</f>
        <v>9367594.3200000003</v>
      </c>
      <c r="N6" s="118">
        <f>M6*0.03</f>
        <v>281027.8296</v>
      </c>
      <c r="O6" s="128">
        <f>M6+N6</f>
        <v>9648622.1496000011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44410</v>
      </c>
      <c r="C7" s="131">
        <v>16</v>
      </c>
      <c r="D7" s="131">
        <v>102</v>
      </c>
      <c r="E7" s="115">
        <v>1035.78</v>
      </c>
      <c r="F7" s="119">
        <v>2866</v>
      </c>
      <c r="G7" s="117">
        <v>13604</v>
      </c>
      <c r="H7" s="118">
        <f t="shared" si="0"/>
        <v>16470</v>
      </c>
      <c r="I7" s="118">
        <v>6291</v>
      </c>
      <c r="J7" s="118">
        <f t="shared" ref="J7:J33" si="3">+H7-I7</f>
        <v>10179</v>
      </c>
      <c r="K7" s="118">
        <f t="shared" ref="K7:K33" si="4">F7*1.5*E7</f>
        <v>4452818.22</v>
      </c>
      <c r="L7" s="118">
        <f t="shared" si="1"/>
        <v>14090751.119999999</v>
      </c>
      <c r="M7" s="118">
        <f t="shared" si="2"/>
        <v>18543569.34</v>
      </c>
      <c r="N7" s="118">
        <f>M7*0.03</f>
        <v>556307.08019999997</v>
      </c>
      <c r="O7" s="128">
        <f>M7+N7</f>
        <v>19099876.420200001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44411</v>
      </c>
      <c r="C8" s="131">
        <v>36</v>
      </c>
      <c r="D8" s="131">
        <v>250</v>
      </c>
      <c r="E8" s="115">
        <v>1035.78</v>
      </c>
      <c r="F8" s="119">
        <v>3602</v>
      </c>
      <c r="G8" s="117">
        <v>15674</v>
      </c>
      <c r="H8" s="118">
        <f t="shared" si="0"/>
        <v>19276</v>
      </c>
      <c r="I8" s="118">
        <v>7647</v>
      </c>
      <c r="J8" s="118">
        <f t="shared" si="3"/>
        <v>11629</v>
      </c>
      <c r="K8" s="118">
        <f t="shared" si="4"/>
        <v>5596319.3399999999</v>
      </c>
      <c r="L8" s="118">
        <f t="shared" si="1"/>
        <v>16234815.719999999</v>
      </c>
      <c r="M8" s="118">
        <f t="shared" si="2"/>
        <v>21831135.059999999</v>
      </c>
      <c r="N8" s="118">
        <f t="shared" ref="N8:N33" si="5">M8*0.03</f>
        <v>654934.0517999999</v>
      </c>
      <c r="O8" s="128">
        <f t="shared" ref="O8:O33" si="6">M8+N8</f>
        <v>22486069.1118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44412</v>
      </c>
      <c r="C9" s="131">
        <v>31</v>
      </c>
      <c r="D9" s="131">
        <v>257</v>
      </c>
      <c r="E9" s="115">
        <v>1035.78</v>
      </c>
      <c r="F9" s="119">
        <v>3478</v>
      </c>
      <c r="G9" s="117">
        <v>17026</v>
      </c>
      <c r="H9" s="118">
        <f t="shared" si="0"/>
        <v>20504</v>
      </c>
      <c r="I9" s="118">
        <v>8262</v>
      </c>
      <c r="J9" s="118">
        <f t="shared" si="3"/>
        <v>12242</v>
      </c>
      <c r="K9" s="118">
        <f t="shared" si="4"/>
        <v>5403664.2599999998</v>
      </c>
      <c r="L9" s="118">
        <f t="shared" si="1"/>
        <v>17635190.280000001</v>
      </c>
      <c r="M9" s="118">
        <f t="shared" si="2"/>
        <v>23038854.539999999</v>
      </c>
      <c r="N9" s="118">
        <f t="shared" si="5"/>
        <v>691165.63619999995</v>
      </c>
      <c r="O9" s="128">
        <f t="shared" si="6"/>
        <v>23730020.176199999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44413</v>
      </c>
      <c r="C10" s="131">
        <v>71</v>
      </c>
      <c r="D10" s="131">
        <v>305</v>
      </c>
      <c r="E10" s="115">
        <v>1035.78</v>
      </c>
      <c r="F10" s="119">
        <v>3292</v>
      </c>
      <c r="G10" s="117">
        <v>15274</v>
      </c>
      <c r="H10" s="118">
        <f t="shared" si="0"/>
        <v>18566</v>
      </c>
      <c r="I10" s="118">
        <v>7155</v>
      </c>
      <c r="J10" s="118">
        <f t="shared" si="3"/>
        <v>11411</v>
      </c>
      <c r="K10" s="118">
        <f t="shared" si="4"/>
        <v>5114681.6399999997</v>
      </c>
      <c r="L10" s="118">
        <f t="shared" si="1"/>
        <v>15820503.719999999</v>
      </c>
      <c r="M10" s="118">
        <f t="shared" si="2"/>
        <v>20935185.359999999</v>
      </c>
      <c r="N10" s="118">
        <f t="shared" si="5"/>
        <v>628055.56079999998</v>
      </c>
      <c r="O10" s="128">
        <f t="shared" si="6"/>
        <v>21563240.9208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44414</v>
      </c>
      <c r="C11" s="131">
        <v>63</v>
      </c>
      <c r="D11" s="131">
        <v>597</v>
      </c>
      <c r="E11" s="115">
        <v>1035.78</v>
      </c>
      <c r="F11" s="119">
        <v>3100</v>
      </c>
      <c r="G11" s="117">
        <v>16154</v>
      </c>
      <c r="H11" s="118">
        <f t="shared" si="0"/>
        <v>19254</v>
      </c>
      <c r="I11" s="118">
        <v>7442</v>
      </c>
      <c r="J11" s="118">
        <f t="shared" si="3"/>
        <v>11812</v>
      </c>
      <c r="K11" s="118">
        <f t="shared" si="4"/>
        <v>4816377</v>
      </c>
      <c r="L11" s="118">
        <f t="shared" si="1"/>
        <v>16731990.119999999</v>
      </c>
      <c r="M11" s="118">
        <f t="shared" si="2"/>
        <v>21548367.119999997</v>
      </c>
      <c r="N11" s="118">
        <f t="shared" si="5"/>
        <v>646451.01359999995</v>
      </c>
      <c r="O11" s="128">
        <f t="shared" si="6"/>
        <v>22194818.133599997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44415</v>
      </c>
      <c r="C12" s="131">
        <v>49</v>
      </c>
      <c r="D12" s="131">
        <v>350</v>
      </c>
      <c r="E12" s="115">
        <v>1035.78</v>
      </c>
      <c r="F12" s="119">
        <v>2972</v>
      </c>
      <c r="G12" s="117">
        <v>14428</v>
      </c>
      <c r="H12" s="118">
        <f t="shared" si="0"/>
        <v>17400</v>
      </c>
      <c r="I12" s="118">
        <v>6843</v>
      </c>
      <c r="J12" s="118">
        <f t="shared" si="3"/>
        <v>10557</v>
      </c>
      <c r="K12" s="118">
        <f t="shared" si="4"/>
        <v>4617507.24</v>
      </c>
      <c r="L12" s="118">
        <f t="shared" si="1"/>
        <v>14944233.84</v>
      </c>
      <c r="M12" s="118">
        <f t="shared" si="2"/>
        <v>19561741.079999998</v>
      </c>
      <c r="N12" s="118">
        <f t="shared" si="5"/>
        <v>586852.23239999998</v>
      </c>
      <c r="O12" s="128">
        <f t="shared" si="6"/>
        <v>20148593.312399998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44416</v>
      </c>
      <c r="C13" s="131">
        <v>30</v>
      </c>
      <c r="D13" s="131">
        <v>256</v>
      </c>
      <c r="E13" s="115">
        <v>1035.78</v>
      </c>
      <c r="F13" s="119">
        <v>2948</v>
      </c>
      <c r="G13" s="117">
        <v>14492</v>
      </c>
      <c r="H13" s="118">
        <f t="shared" si="0"/>
        <v>17440</v>
      </c>
      <c r="I13" s="118">
        <v>7101</v>
      </c>
      <c r="J13" s="118">
        <f t="shared" si="3"/>
        <v>10339</v>
      </c>
      <c r="K13" s="118">
        <f t="shared" si="4"/>
        <v>4580219.16</v>
      </c>
      <c r="L13" s="118">
        <f t="shared" si="1"/>
        <v>15010523.76</v>
      </c>
      <c r="M13" s="118">
        <f t="shared" si="2"/>
        <v>19590742.920000002</v>
      </c>
      <c r="N13" s="118">
        <f t="shared" si="5"/>
        <v>587722.28760000004</v>
      </c>
      <c r="O13" s="128">
        <f t="shared" si="6"/>
        <v>20178465.207600001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44417</v>
      </c>
      <c r="C14" s="131">
        <v>20</v>
      </c>
      <c r="D14" s="131">
        <v>136</v>
      </c>
      <c r="E14" s="115">
        <v>1035.78</v>
      </c>
      <c r="F14" s="119">
        <v>2994</v>
      </c>
      <c r="G14" s="117">
        <v>13792</v>
      </c>
      <c r="H14" s="118">
        <f t="shared" si="0"/>
        <v>16786</v>
      </c>
      <c r="I14" s="118">
        <v>6624</v>
      </c>
      <c r="J14" s="118">
        <f t="shared" si="3"/>
        <v>10162</v>
      </c>
      <c r="K14" s="118">
        <f t="shared" si="4"/>
        <v>4651687.9799999995</v>
      </c>
      <c r="L14" s="118">
        <f t="shared" si="1"/>
        <v>14285477.76</v>
      </c>
      <c r="M14" s="118">
        <f t="shared" si="2"/>
        <v>18937165.739999998</v>
      </c>
      <c r="N14" s="118">
        <f t="shared" si="5"/>
        <v>568114.97219999996</v>
      </c>
      <c r="O14" s="128">
        <f t="shared" si="6"/>
        <v>19505280.712199997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44418</v>
      </c>
      <c r="C15" s="131">
        <v>22</v>
      </c>
      <c r="D15" s="131">
        <v>148</v>
      </c>
      <c r="E15" s="115">
        <v>1035.78</v>
      </c>
      <c r="F15" s="119">
        <v>4064</v>
      </c>
      <c r="G15" s="117">
        <v>12088</v>
      </c>
      <c r="H15" s="118">
        <f t="shared" si="0"/>
        <v>16152</v>
      </c>
      <c r="I15" s="118">
        <v>6465</v>
      </c>
      <c r="J15" s="118">
        <f t="shared" si="3"/>
        <v>9687</v>
      </c>
      <c r="K15" s="118">
        <f t="shared" si="4"/>
        <v>6314114.8799999999</v>
      </c>
      <c r="L15" s="118">
        <f t="shared" si="1"/>
        <v>12520508.640000001</v>
      </c>
      <c r="M15" s="118">
        <f t="shared" si="2"/>
        <v>18834623.52</v>
      </c>
      <c r="N15" s="118">
        <f t="shared" si="5"/>
        <v>565038.70559999999</v>
      </c>
      <c r="O15" s="128">
        <f t="shared" si="6"/>
        <v>19399662.2256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44419</v>
      </c>
      <c r="C16" s="131">
        <v>16</v>
      </c>
      <c r="D16" s="131">
        <v>102</v>
      </c>
      <c r="E16" s="115">
        <v>1035.78</v>
      </c>
      <c r="F16" s="119">
        <v>2812</v>
      </c>
      <c r="G16" s="117">
        <v>13216</v>
      </c>
      <c r="H16" s="118">
        <f t="shared" si="0"/>
        <v>16028</v>
      </c>
      <c r="I16" s="118">
        <v>6128</v>
      </c>
      <c r="J16" s="118">
        <f t="shared" si="3"/>
        <v>9900</v>
      </c>
      <c r="K16" s="118">
        <f t="shared" si="4"/>
        <v>4368920.04</v>
      </c>
      <c r="L16" s="118">
        <f t="shared" si="1"/>
        <v>13688868.48</v>
      </c>
      <c r="M16" s="118">
        <f t="shared" si="2"/>
        <v>18057788.52</v>
      </c>
      <c r="N16" s="118">
        <f t="shared" si="5"/>
        <v>541733.65559999994</v>
      </c>
      <c r="O16" s="128">
        <f t="shared" si="6"/>
        <v>18599522.1756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44420</v>
      </c>
      <c r="C17" s="131">
        <v>23</v>
      </c>
      <c r="D17" s="131">
        <v>116</v>
      </c>
      <c r="E17" s="115">
        <v>1035.78</v>
      </c>
      <c r="F17" s="119">
        <v>2864</v>
      </c>
      <c r="G17" s="117">
        <v>13354</v>
      </c>
      <c r="H17" s="118">
        <f t="shared" si="0"/>
        <v>16218</v>
      </c>
      <c r="I17" s="118">
        <v>6157</v>
      </c>
      <c r="J17" s="118">
        <f t="shared" si="3"/>
        <v>10061</v>
      </c>
      <c r="K17" s="118">
        <f t="shared" si="4"/>
        <v>4449710.88</v>
      </c>
      <c r="L17" s="118">
        <f t="shared" si="1"/>
        <v>13831806.119999999</v>
      </c>
      <c r="M17" s="118">
        <f t="shared" si="2"/>
        <v>18281517</v>
      </c>
      <c r="N17" s="118">
        <f t="shared" si="5"/>
        <v>548445.51</v>
      </c>
      <c r="O17" s="128">
        <f t="shared" si="6"/>
        <v>18829962.510000002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44421</v>
      </c>
      <c r="C18" s="131">
        <v>32</v>
      </c>
      <c r="D18" s="131">
        <v>149</v>
      </c>
      <c r="E18" s="115">
        <v>1035.78</v>
      </c>
      <c r="F18" s="119">
        <v>2810</v>
      </c>
      <c r="G18" s="117">
        <v>13570</v>
      </c>
      <c r="H18" s="118">
        <f t="shared" si="0"/>
        <v>16380</v>
      </c>
      <c r="I18" s="118">
        <v>6567</v>
      </c>
      <c r="J18" s="118">
        <f t="shared" si="3"/>
        <v>9813</v>
      </c>
      <c r="K18" s="118">
        <f t="shared" si="4"/>
        <v>4365812.7</v>
      </c>
      <c r="L18" s="118">
        <f t="shared" si="1"/>
        <v>14055534.6</v>
      </c>
      <c r="M18" s="118">
        <f t="shared" si="2"/>
        <v>18421347.300000001</v>
      </c>
      <c r="N18" s="118">
        <f t="shared" si="5"/>
        <v>552640.41899999999</v>
      </c>
      <c r="O18" s="128">
        <f t="shared" si="6"/>
        <v>18973987.719000001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44422</v>
      </c>
      <c r="C19" s="131">
        <v>25</v>
      </c>
      <c r="D19" s="131">
        <v>172</v>
      </c>
      <c r="E19" s="115">
        <v>1035.78</v>
      </c>
      <c r="F19" s="119">
        <v>2816</v>
      </c>
      <c r="G19" s="117">
        <v>13216</v>
      </c>
      <c r="H19" s="118">
        <f t="shared" si="0"/>
        <v>16032</v>
      </c>
      <c r="I19" s="118">
        <v>6487</v>
      </c>
      <c r="J19" s="118">
        <f t="shared" si="3"/>
        <v>9545</v>
      </c>
      <c r="K19" s="118">
        <f t="shared" si="4"/>
        <v>4375134.72</v>
      </c>
      <c r="L19" s="118">
        <f t="shared" si="1"/>
        <v>13688868.48</v>
      </c>
      <c r="M19" s="118">
        <f t="shared" si="2"/>
        <v>18064003.199999999</v>
      </c>
      <c r="N19" s="118">
        <f t="shared" si="5"/>
        <v>541920.0959999999</v>
      </c>
      <c r="O19" s="128">
        <f t="shared" si="6"/>
        <v>18605923.296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44423</v>
      </c>
      <c r="C20" s="131">
        <v>26</v>
      </c>
      <c r="D20" s="131">
        <v>142</v>
      </c>
      <c r="E20" s="115">
        <v>1035.78</v>
      </c>
      <c r="F20" s="119">
        <v>2857</v>
      </c>
      <c r="G20" s="117">
        <v>13670</v>
      </c>
      <c r="H20" s="118">
        <f t="shared" si="0"/>
        <v>16527</v>
      </c>
      <c r="I20" s="118">
        <v>6388</v>
      </c>
      <c r="J20" s="118">
        <f t="shared" si="3"/>
        <v>10139</v>
      </c>
      <c r="K20" s="118">
        <f t="shared" si="4"/>
        <v>4438835.1899999995</v>
      </c>
      <c r="L20" s="118">
        <f t="shared" si="1"/>
        <v>14159112.6</v>
      </c>
      <c r="M20" s="118">
        <f t="shared" si="2"/>
        <v>18597947.789999999</v>
      </c>
      <c r="N20" s="118">
        <f t="shared" si="5"/>
        <v>557938.43369999994</v>
      </c>
      <c r="O20" s="128">
        <f t="shared" si="6"/>
        <v>19155886.223699998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44424</v>
      </c>
      <c r="C21" s="131">
        <v>37</v>
      </c>
      <c r="D21" s="131">
        <v>179</v>
      </c>
      <c r="E21" s="115">
        <v>1035.78</v>
      </c>
      <c r="F21" s="119">
        <v>2910</v>
      </c>
      <c r="G21" s="117">
        <v>13928</v>
      </c>
      <c r="H21" s="118">
        <f t="shared" si="0"/>
        <v>16838</v>
      </c>
      <c r="I21" s="118">
        <v>6588</v>
      </c>
      <c r="J21" s="118">
        <f t="shared" si="3"/>
        <v>10250</v>
      </c>
      <c r="K21" s="118">
        <f t="shared" si="4"/>
        <v>4521179.7</v>
      </c>
      <c r="L21" s="118">
        <f t="shared" si="1"/>
        <v>14426343.84</v>
      </c>
      <c r="M21" s="118">
        <f t="shared" si="2"/>
        <v>18947523.539999999</v>
      </c>
      <c r="N21" s="118">
        <f t="shared" si="5"/>
        <v>568425.7061999999</v>
      </c>
      <c r="O21" s="128">
        <f t="shared" si="6"/>
        <v>19515949.246199999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44425</v>
      </c>
      <c r="C22" s="131">
        <v>23</v>
      </c>
      <c r="D22" s="131">
        <v>182</v>
      </c>
      <c r="E22" s="115">
        <v>1035.78</v>
      </c>
      <c r="F22" s="119">
        <v>2698</v>
      </c>
      <c r="G22" s="117">
        <v>13495</v>
      </c>
      <c r="H22" s="118">
        <f t="shared" si="0"/>
        <v>16193</v>
      </c>
      <c r="I22" s="118">
        <v>6673</v>
      </c>
      <c r="J22" s="118">
        <f t="shared" si="3"/>
        <v>9520</v>
      </c>
      <c r="K22" s="118">
        <f t="shared" si="4"/>
        <v>4191801.6599999997</v>
      </c>
      <c r="L22" s="118">
        <f t="shared" si="1"/>
        <v>13977851.1</v>
      </c>
      <c r="M22" s="118">
        <f t="shared" si="2"/>
        <v>18169652.759999998</v>
      </c>
      <c r="N22" s="118">
        <f t="shared" si="5"/>
        <v>545089.58279999997</v>
      </c>
      <c r="O22" s="128">
        <f t="shared" si="6"/>
        <v>18714742.342799999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44426</v>
      </c>
      <c r="C23" s="131">
        <v>18</v>
      </c>
      <c r="D23" s="131">
        <v>184</v>
      </c>
      <c r="E23" s="115">
        <v>1035.78</v>
      </c>
      <c r="F23" s="119">
        <v>2744</v>
      </c>
      <c r="G23" s="117">
        <v>13284</v>
      </c>
      <c r="H23" s="118">
        <f t="shared" si="0"/>
        <v>16028</v>
      </c>
      <c r="I23" s="118">
        <v>6348</v>
      </c>
      <c r="J23" s="118">
        <f t="shared" si="3"/>
        <v>9680</v>
      </c>
      <c r="K23" s="118">
        <f t="shared" si="4"/>
        <v>4263270.4799999995</v>
      </c>
      <c r="L23" s="118">
        <f t="shared" si="1"/>
        <v>13759301.52</v>
      </c>
      <c r="M23" s="118">
        <f t="shared" si="2"/>
        <v>18022572</v>
      </c>
      <c r="N23" s="118">
        <f t="shared" si="5"/>
        <v>540677.16</v>
      </c>
      <c r="O23" s="128">
        <f t="shared" si="6"/>
        <v>18563249.16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44427</v>
      </c>
      <c r="C24" s="131">
        <v>26</v>
      </c>
      <c r="D24" s="131">
        <v>154</v>
      </c>
      <c r="E24" s="115">
        <v>1035.78</v>
      </c>
      <c r="F24" s="119">
        <v>2794</v>
      </c>
      <c r="G24" s="117">
        <v>13032</v>
      </c>
      <c r="H24" s="118">
        <f t="shared" si="0"/>
        <v>15826</v>
      </c>
      <c r="I24" s="118">
        <v>6249</v>
      </c>
      <c r="J24" s="118">
        <f t="shared" si="3"/>
        <v>9577</v>
      </c>
      <c r="K24" s="118">
        <f t="shared" si="4"/>
        <v>4340953.9799999995</v>
      </c>
      <c r="L24" s="118">
        <f t="shared" si="1"/>
        <v>13498284.959999999</v>
      </c>
      <c r="M24" s="118">
        <f t="shared" si="2"/>
        <v>17839238.939999998</v>
      </c>
      <c r="N24" s="118">
        <f t="shared" si="5"/>
        <v>535177.16819999996</v>
      </c>
      <c r="O24" s="128">
        <f t="shared" si="6"/>
        <v>18374416.108199999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44428</v>
      </c>
      <c r="C25" s="131">
        <v>29</v>
      </c>
      <c r="D25" s="131">
        <v>131</v>
      </c>
      <c r="E25" s="115">
        <v>1035.78</v>
      </c>
      <c r="F25" s="119">
        <v>2624</v>
      </c>
      <c r="G25" s="117">
        <v>12902</v>
      </c>
      <c r="H25" s="118">
        <f t="shared" si="0"/>
        <v>15526</v>
      </c>
      <c r="I25" s="118">
        <v>6167</v>
      </c>
      <c r="J25" s="118">
        <f t="shared" si="3"/>
        <v>9359</v>
      </c>
      <c r="K25" s="118">
        <f t="shared" si="4"/>
        <v>4076830.08</v>
      </c>
      <c r="L25" s="118">
        <f t="shared" si="1"/>
        <v>13363633.560000001</v>
      </c>
      <c r="M25" s="118">
        <f t="shared" si="2"/>
        <v>17440463.640000001</v>
      </c>
      <c r="N25" s="118">
        <f t="shared" si="5"/>
        <v>523213.90919999999</v>
      </c>
      <c r="O25" s="128">
        <f t="shared" si="6"/>
        <v>17963677.549200002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44429</v>
      </c>
      <c r="C26" s="131">
        <v>51</v>
      </c>
      <c r="D26" s="131">
        <v>200</v>
      </c>
      <c r="E26" s="115">
        <v>1035.78</v>
      </c>
      <c r="F26" s="119">
        <v>3008</v>
      </c>
      <c r="G26" s="117">
        <v>12904</v>
      </c>
      <c r="H26" s="118">
        <f t="shared" si="0"/>
        <v>15912</v>
      </c>
      <c r="I26" s="118">
        <v>6202</v>
      </c>
      <c r="J26" s="118">
        <f t="shared" si="3"/>
        <v>9710</v>
      </c>
      <c r="K26" s="118">
        <f t="shared" si="4"/>
        <v>4673439.3600000003</v>
      </c>
      <c r="L26" s="118">
        <f t="shared" si="1"/>
        <v>13365705.119999999</v>
      </c>
      <c r="M26" s="118">
        <f t="shared" si="2"/>
        <v>18039144.48</v>
      </c>
      <c r="N26" s="118">
        <f t="shared" si="5"/>
        <v>541174.33440000005</v>
      </c>
      <c r="O26" s="128">
        <f t="shared" si="6"/>
        <v>18580318.814400002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44430</v>
      </c>
      <c r="C27" s="131">
        <v>23</v>
      </c>
      <c r="D27" s="131">
        <v>230</v>
      </c>
      <c r="E27" s="115">
        <v>1035.78</v>
      </c>
      <c r="F27" s="119">
        <v>3106</v>
      </c>
      <c r="G27" s="117">
        <v>14946</v>
      </c>
      <c r="H27" s="118">
        <f t="shared" si="0"/>
        <v>18052</v>
      </c>
      <c r="I27" s="118">
        <v>7482</v>
      </c>
      <c r="J27" s="118">
        <f t="shared" si="3"/>
        <v>10570</v>
      </c>
      <c r="K27" s="118">
        <f t="shared" si="4"/>
        <v>4825699.0199999996</v>
      </c>
      <c r="L27" s="118">
        <f t="shared" si="1"/>
        <v>15480767.879999999</v>
      </c>
      <c r="M27" s="118">
        <f t="shared" si="2"/>
        <v>20306466.899999999</v>
      </c>
      <c r="N27" s="118">
        <f t="shared" si="5"/>
        <v>609194.00699999998</v>
      </c>
      <c r="O27" s="128">
        <f t="shared" si="6"/>
        <v>20915660.906999998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44431</v>
      </c>
      <c r="C28" s="131">
        <v>21</v>
      </c>
      <c r="D28" s="131">
        <v>144</v>
      </c>
      <c r="E28" s="115">
        <v>1035.78</v>
      </c>
      <c r="F28" s="119">
        <v>3106</v>
      </c>
      <c r="G28" s="117">
        <v>14290</v>
      </c>
      <c r="H28" s="118">
        <f t="shared" si="0"/>
        <v>17396</v>
      </c>
      <c r="I28" s="118">
        <v>7291</v>
      </c>
      <c r="J28" s="118">
        <f t="shared" si="3"/>
        <v>10105</v>
      </c>
      <c r="K28" s="118">
        <f t="shared" si="4"/>
        <v>4825699.0199999996</v>
      </c>
      <c r="L28" s="118">
        <f t="shared" si="1"/>
        <v>14801296.199999999</v>
      </c>
      <c r="M28" s="118">
        <f t="shared" si="2"/>
        <v>19626995.219999999</v>
      </c>
      <c r="N28" s="118">
        <f t="shared" si="5"/>
        <v>588809.85659999994</v>
      </c>
      <c r="O28" s="128">
        <f t="shared" si="6"/>
        <v>20215805.0766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44432</v>
      </c>
      <c r="C29" s="131">
        <v>38</v>
      </c>
      <c r="D29" s="131">
        <v>286</v>
      </c>
      <c r="E29" s="115">
        <v>1035.78</v>
      </c>
      <c r="F29" s="119">
        <v>3138</v>
      </c>
      <c r="G29" s="117">
        <v>14490</v>
      </c>
      <c r="H29" s="118">
        <f t="shared" si="0"/>
        <v>17628</v>
      </c>
      <c r="I29" s="118">
        <v>6809</v>
      </c>
      <c r="J29" s="118">
        <f t="shared" si="3"/>
        <v>10819</v>
      </c>
      <c r="K29" s="118">
        <f t="shared" si="4"/>
        <v>4875416.46</v>
      </c>
      <c r="L29" s="118">
        <f t="shared" si="1"/>
        <v>15008452.199999999</v>
      </c>
      <c r="M29" s="118">
        <f t="shared" si="2"/>
        <v>19883868.66</v>
      </c>
      <c r="N29" s="118">
        <f t="shared" si="5"/>
        <v>596516.05979999993</v>
      </c>
      <c r="O29" s="128">
        <f t="shared" si="6"/>
        <v>20480384.719799999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44433</v>
      </c>
      <c r="C30" s="131">
        <v>19</v>
      </c>
      <c r="D30" s="131">
        <v>221</v>
      </c>
      <c r="E30" s="115">
        <v>1035.78</v>
      </c>
      <c r="F30" s="119">
        <v>2940</v>
      </c>
      <c r="G30" s="117">
        <v>14024</v>
      </c>
      <c r="H30" s="118">
        <f t="shared" si="0"/>
        <v>16964</v>
      </c>
      <c r="I30" s="118">
        <v>6554</v>
      </c>
      <c r="J30" s="118">
        <f t="shared" si="3"/>
        <v>10410</v>
      </c>
      <c r="K30" s="118">
        <f t="shared" si="4"/>
        <v>4567789.8</v>
      </c>
      <c r="L30" s="118">
        <f t="shared" si="1"/>
        <v>14525778.719999999</v>
      </c>
      <c r="M30" s="118">
        <f t="shared" si="2"/>
        <v>19093568.52</v>
      </c>
      <c r="N30" s="118">
        <f t="shared" si="5"/>
        <v>572807.05559999996</v>
      </c>
      <c r="O30" s="128">
        <f t="shared" si="6"/>
        <v>19666375.575599998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44434</v>
      </c>
      <c r="C31" s="131">
        <v>27</v>
      </c>
      <c r="D31" s="131">
        <v>157</v>
      </c>
      <c r="E31" s="115">
        <v>1035.78</v>
      </c>
      <c r="F31" s="119">
        <v>2920</v>
      </c>
      <c r="G31" s="117">
        <v>13778</v>
      </c>
      <c r="H31" s="118">
        <f t="shared" si="0"/>
        <v>16698</v>
      </c>
      <c r="I31" s="118">
        <v>6480</v>
      </c>
      <c r="J31" s="118">
        <f t="shared" si="3"/>
        <v>10218</v>
      </c>
      <c r="K31" s="118">
        <f t="shared" si="4"/>
        <v>4536716.3999999994</v>
      </c>
      <c r="L31" s="118">
        <f t="shared" si="1"/>
        <v>14270976.84</v>
      </c>
      <c r="M31" s="118">
        <f t="shared" si="2"/>
        <v>18807693.239999998</v>
      </c>
      <c r="N31" s="118">
        <f t="shared" si="5"/>
        <v>564230.79719999991</v>
      </c>
      <c r="O31" s="128">
        <f t="shared" si="6"/>
        <v>19371924.037199996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44435</v>
      </c>
      <c r="C32" s="131">
        <v>30</v>
      </c>
      <c r="D32" s="131">
        <v>175</v>
      </c>
      <c r="E32" s="115">
        <v>1035.78</v>
      </c>
      <c r="F32" s="119">
        <v>3018</v>
      </c>
      <c r="G32" s="117">
        <v>14140</v>
      </c>
      <c r="H32" s="118">
        <f t="shared" si="0"/>
        <v>17158</v>
      </c>
      <c r="I32" s="118">
        <v>6821</v>
      </c>
      <c r="J32" s="118">
        <f t="shared" si="3"/>
        <v>10337</v>
      </c>
      <c r="K32" s="118">
        <f t="shared" si="4"/>
        <v>4688976.0599999996</v>
      </c>
      <c r="L32" s="118">
        <f t="shared" si="1"/>
        <v>14645929.199999999</v>
      </c>
      <c r="M32" s="118">
        <f t="shared" si="2"/>
        <v>19334905.259999998</v>
      </c>
      <c r="N32" s="118">
        <f t="shared" si="5"/>
        <v>580047.15779999993</v>
      </c>
      <c r="O32" s="128">
        <f t="shared" si="6"/>
        <v>19914952.417799998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44436</v>
      </c>
      <c r="C33" s="131">
        <v>50</v>
      </c>
      <c r="D33" s="131">
        <v>283</v>
      </c>
      <c r="E33" s="115">
        <v>1035.78</v>
      </c>
      <c r="F33" s="119">
        <v>3100</v>
      </c>
      <c r="G33" s="117">
        <v>14370</v>
      </c>
      <c r="H33" s="118">
        <f t="shared" si="0"/>
        <v>17470</v>
      </c>
      <c r="I33" s="118">
        <v>6784</v>
      </c>
      <c r="J33" s="118">
        <f t="shared" si="3"/>
        <v>10686</v>
      </c>
      <c r="K33" s="118">
        <f t="shared" si="4"/>
        <v>4816377</v>
      </c>
      <c r="L33" s="118">
        <f t="shared" si="1"/>
        <v>14884158.6</v>
      </c>
      <c r="M33" s="118">
        <f t="shared" si="2"/>
        <v>19700535.600000001</v>
      </c>
      <c r="N33" s="118">
        <f t="shared" si="5"/>
        <v>591016.06799999997</v>
      </c>
      <c r="O33" s="128">
        <f t="shared" si="6"/>
        <v>20291551.668000001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44437</v>
      </c>
      <c r="C34" s="131">
        <v>37</v>
      </c>
      <c r="D34" s="131">
        <v>223</v>
      </c>
      <c r="E34" s="115">
        <v>1035.78</v>
      </c>
      <c r="F34" s="119">
        <v>3092</v>
      </c>
      <c r="G34" s="117">
        <v>14304</v>
      </c>
      <c r="H34" s="118">
        <f t="shared" si="0"/>
        <v>17396</v>
      </c>
      <c r="I34" s="118">
        <v>7059</v>
      </c>
      <c r="J34" s="118">
        <f t="shared" ref="J34:J35" si="7">+H34-I34</f>
        <v>10337</v>
      </c>
      <c r="K34" s="118">
        <f t="shared" ref="K34:K36" si="8">F34*1.5*E34</f>
        <v>4803947.6399999997</v>
      </c>
      <c r="L34" s="118">
        <f t="shared" ref="L34:L36" si="9">G34*E34</f>
        <v>14815797.119999999</v>
      </c>
      <c r="M34" s="118">
        <f t="shared" ref="M34:M36" si="10">L34+K34</f>
        <v>19619744.759999998</v>
      </c>
      <c r="N34" s="118">
        <f t="shared" ref="N34:N36" si="11">M34*0.03</f>
        <v>588592.34279999987</v>
      </c>
      <c r="O34" s="128">
        <f t="shared" ref="O34:O36" si="12">M34+N34</f>
        <v>20208337.102799997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44438</v>
      </c>
      <c r="C35" s="134">
        <v>39</v>
      </c>
      <c r="D35" s="134">
        <v>310</v>
      </c>
      <c r="E35" s="115">
        <v>1035.78</v>
      </c>
      <c r="F35" s="164">
        <v>3210</v>
      </c>
      <c r="G35" s="165">
        <v>15916</v>
      </c>
      <c r="H35" s="118">
        <f t="shared" si="0"/>
        <v>19126</v>
      </c>
      <c r="I35" s="168">
        <v>7836</v>
      </c>
      <c r="J35" s="135">
        <f t="shared" si="7"/>
        <v>11290</v>
      </c>
      <c r="K35" s="118">
        <f t="shared" si="8"/>
        <v>4987280.7</v>
      </c>
      <c r="L35" s="135">
        <f t="shared" si="9"/>
        <v>16485474.48</v>
      </c>
      <c r="M35" s="118">
        <f t="shared" si="10"/>
        <v>21472755.18</v>
      </c>
      <c r="N35" s="118">
        <f t="shared" ref="N35" si="13">M35*0.03</f>
        <v>644182.65539999993</v>
      </c>
      <c r="O35" s="128">
        <f t="shared" ref="O35" si="14">M35+N35</f>
        <v>22116937.8354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44439</v>
      </c>
      <c r="C36" s="132">
        <v>19</v>
      </c>
      <c r="D36" s="132">
        <v>137</v>
      </c>
      <c r="E36" s="120">
        <v>1035.78</v>
      </c>
      <c r="F36" s="166">
        <v>3120</v>
      </c>
      <c r="G36" s="167">
        <v>14565</v>
      </c>
      <c r="H36" s="121">
        <f>G36+F36</f>
        <v>17685</v>
      </c>
      <c r="I36" s="169">
        <v>6894</v>
      </c>
      <c r="J36" s="121">
        <f>+H36-I36</f>
        <v>10791</v>
      </c>
      <c r="K36" s="121">
        <f t="shared" si="8"/>
        <v>4847450.3999999994</v>
      </c>
      <c r="L36" s="121">
        <f t="shared" si="9"/>
        <v>15086135.699999999</v>
      </c>
      <c r="M36" s="121">
        <f t="shared" si="10"/>
        <v>19933586.099999998</v>
      </c>
      <c r="N36" s="121">
        <f t="shared" si="11"/>
        <v>598007.58299999987</v>
      </c>
      <c r="O36" s="129">
        <f t="shared" si="12"/>
        <v>20531593.682999998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3">
        <f>SUM(D6:D36)</f>
        <v>6410</v>
      </c>
      <c r="E37" s="130" t="s">
        <v>2</v>
      </c>
      <c r="F37" s="122">
        <f t="shared" ref="F37:O37" si="15">SUM(F6:F36)</f>
        <v>93747</v>
      </c>
      <c r="G37" s="122">
        <f t="shared" si="15"/>
        <v>428854</v>
      </c>
      <c r="H37" s="122">
        <f t="shared" si="15"/>
        <v>522601</v>
      </c>
      <c r="I37" s="122">
        <f t="shared" si="15"/>
        <v>210114</v>
      </c>
      <c r="J37" s="122">
        <f t="shared" si="15"/>
        <v>312487</v>
      </c>
      <c r="K37" s="122">
        <f t="shared" si="15"/>
        <v>145651901.48999998</v>
      </c>
      <c r="L37" s="122">
        <f t="shared" si="15"/>
        <v>444198396.11999995</v>
      </c>
      <c r="M37" s="122">
        <f t="shared" si="15"/>
        <v>589850297.61000013</v>
      </c>
      <c r="N37" s="122">
        <f t="shared" si="15"/>
        <v>17695508.928299997</v>
      </c>
      <c r="O37" s="122">
        <f t="shared" si="15"/>
        <v>607545806.53830004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F40" sqref="F40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3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6"/>
  </cols>
  <sheetData>
    <row r="1" spans="1:43" ht="15" customHeight="1" x14ac:dyDescent="0.25">
      <c r="B1" s="187" t="s">
        <v>4</v>
      </c>
      <c r="C1" s="187"/>
      <c r="D1" s="187"/>
      <c r="E1" s="187"/>
      <c r="F1" s="187"/>
      <c r="G1" s="187"/>
    </row>
    <row r="2" spans="1:43" ht="15" customHeight="1" x14ac:dyDescent="0.25">
      <c r="B2" s="187"/>
      <c r="C2" s="187"/>
      <c r="D2" s="187"/>
      <c r="E2" s="187"/>
      <c r="F2" s="187"/>
      <c r="G2" s="187"/>
    </row>
    <row r="3" spans="1:43" s="149" customFormat="1" ht="27" customHeight="1" x14ac:dyDescent="0.3">
      <c r="A3" s="147"/>
      <c r="B3" s="188" t="s">
        <v>0</v>
      </c>
      <c r="C3" s="148" t="s">
        <v>32</v>
      </c>
      <c r="D3" s="189" t="s">
        <v>34</v>
      </c>
      <c r="E3" s="189"/>
      <c r="F3" s="189"/>
      <c r="G3" s="189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</row>
    <row r="4" spans="1:43" s="149" customFormat="1" ht="27" customHeight="1" x14ac:dyDescent="0.3">
      <c r="A4" s="147"/>
      <c r="B4" s="188"/>
      <c r="C4" s="148" t="s">
        <v>33</v>
      </c>
      <c r="D4" s="148" t="s">
        <v>31</v>
      </c>
      <c r="E4" s="150" t="s">
        <v>8</v>
      </c>
      <c r="F4" s="148" t="s">
        <v>42</v>
      </c>
      <c r="G4" s="148" t="s">
        <v>5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</row>
    <row r="5" spans="1:43" ht="15.75" x14ac:dyDescent="0.25">
      <c r="B5" s="33">
        <v>44409</v>
      </c>
      <c r="C5" s="110">
        <v>171.21999999999971</v>
      </c>
      <c r="D5" s="112">
        <v>10.69999999999709</v>
      </c>
      <c r="E5" s="113">
        <v>139.90000000000146</v>
      </c>
      <c r="F5" s="113">
        <v>20.620000000001166</v>
      </c>
      <c r="G5" s="113">
        <v>103.10000000000582</v>
      </c>
    </row>
    <row r="6" spans="1:43" ht="15.75" x14ac:dyDescent="0.25">
      <c r="B6" s="33">
        <v>44410</v>
      </c>
      <c r="C6" s="110">
        <v>118.80000000000146</v>
      </c>
      <c r="D6" s="112">
        <v>11</v>
      </c>
      <c r="E6" s="113">
        <v>96.400000000001455</v>
      </c>
      <c r="F6" s="113">
        <v>11.4</v>
      </c>
      <c r="G6" s="113">
        <v>57</v>
      </c>
    </row>
    <row r="7" spans="1:43" ht="15.75" x14ac:dyDescent="0.25">
      <c r="B7" s="33">
        <v>44411</v>
      </c>
      <c r="C7" s="110">
        <v>81.199999999998539</v>
      </c>
      <c r="D7" s="112">
        <v>13.900000000001455</v>
      </c>
      <c r="E7" s="113">
        <v>57.69999999999709</v>
      </c>
      <c r="F7" s="113">
        <v>9.6000000000000014</v>
      </c>
      <c r="G7" s="113">
        <v>48</v>
      </c>
    </row>
    <row r="8" spans="1:43" ht="15.75" x14ac:dyDescent="0.25">
      <c r="B8" s="33">
        <v>44412</v>
      </c>
      <c r="C8" s="110">
        <v>135.55999999999329</v>
      </c>
      <c r="D8" s="112">
        <v>8.5999999999985448</v>
      </c>
      <c r="E8" s="113">
        <v>107.19999999999709</v>
      </c>
      <c r="F8" s="113">
        <v>19.759999999997675</v>
      </c>
      <c r="G8" s="113">
        <v>98.799999999988358</v>
      </c>
    </row>
    <row r="9" spans="1:43" ht="15.75" x14ac:dyDescent="0.25">
      <c r="B9" s="33">
        <v>44413</v>
      </c>
      <c r="C9" s="110">
        <v>114.9</v>
      </c>
      <c r="D9" s="112">
        <v>16.900000000001455</v>
      </c>
      <c r="E9" s="113">
        <v>85.099999999998545</v>
      </c>
      <c r="F9" s="113">
        <v>12.9</v>
      </c>
      <c r="G9" s="113">
        <v>64.5</v>
      </c>
    </row>
    <row r="10" spans="1:43" ht="15.75" x14ac:dyDescent="0.25">
      <c r="B10" s="33">
        <v>44414</v>
      </c>
      <c r="C10" s="110">
        <v>94.420000000002617</v>
      </c>
      <c r="D10" s="112">
        <v>23.400000000001455</v>
      </c>
      <c r="E10" s="113">
        <v>62</v>
      </c>
      <c r="F10" s="113">
        <v>9.0200000000011649</v>
      </c>
      <c r="G10" s="113">
        <v>45.100000000005821</v>
      </c>
    </row>
    <row r="11" spans="1:43" ht="15.75" x14ac:dyDescent="0.25">
      <c r="B11" s="33">
        <v>44415</v>
      </c>
      <c r="C11" s="110">
        <v>148.4400000000125</v>
      </c>
      <c r="D11" s="112">
        <v>23.80000000000291</v>
      </c>
      <c r="E11" s="113">
        <v>116.00000000000728</v>
      </c>
      <c r="F11" s="113">
        <v>8.6400000000023294</v>
      </c>
      <c r="G11" s="113">
        <v>43.200000000011642</v>
      </c>
    </row>
    <row r="12" spans="1:43" ht="15.75" x14ac:dyDescent="0.25">
      <c r="B12" s="33">
        <v>44416</v>
      </c>
      <c r="C12" s="110">
        <v>118.57999999998864</v>
      </c>
      <c r="D12" s="112">
        <v>23.799999999995634</v>
      </c>
      <c r="E12" s="113">
        <v>86.899999999994179</v>
      </c>
      <c r="F12" s="113">
        <v>7.8799999999988364</v>
      </c>
      <c r="G12" s="113">
        <v>39.399999999994179</v>
      </c>
    </row>
    <row r="13" spans="1:43" ht="15.75" x14ac:dyDescent="0.25">
      <c r="B13" s="33">
        <v>44417</v>
      </c>
      <c r="C13" s="110">
        <v>112.40000000000728</v>
      </c>
      <c r="D13" s="112">
        <v>22.599999999998545</v>
      </c>
      <c r="E13" s="113">
        <v>81.900000000008731</v>
      </c>
      <c r="F13" s="113">
        <v>7.9</v>
      </c>
      <c r="G13" s="113">
        <v>39.5</v>
      </c>
    </row>
    <row r="14" spans="1:43" ht="15.75" x14ac:dyDescent="0.25">
      <c r="B14" s="33">
        <v>44418</v>
      </c>
      <c r="C14" s="110">
        <v>143.73999999999506</v>
      </c>
      <c r="D14" s="112">
        <v>35.400000000001455</v>
      </c>
      <c r="E14" s="113">
        <v>75.19999999999709</v>
      </c>
      <c r="F14" s="113">
        <v>33.139999999996512</v>
      </c>
      <c r="G14" s="113">
        <v>165.69999999998254</v>
      </c>
    </row>
    <row r="15" spans="1:43" ht="15.75" x14ac:dyDescent="0.25">
      <c r="B15" s="33">
        <v>44419</v>
      </c>
      <c r="C15" s="110">
        <v>85.600000000004371</v>
      </c>
      <c r="D15" s="112">
        <v>19.900000000001455</v>
      </c>
      <c r="E15" s="113">
        <v>56.30000000000291</v>
      </c>
      <c r="F15" s="113">
        <v>9.4</v>
      </c>
      <c r="G15" s="113">
        <v>47</v>
      </c>
    </row>
    <row r="16" spans="1:43" ht="15.75" x14ac:dyDescent="0.25">
      <c r="B16" s="33">
        <v>44420</v>
      </c>
      <c r="C16" s="110">
        <v>110.27999999999592</v>
      </c>
      <c r="D16" s="112">
        <v>13</v>
      </c>
      <c r="E16" s="113">
        <v>83.099999999991269</v>
      </c>
      <c r="F16" s="113">
        <v>14.180000000004657</v>
      </c>
      <c r="G16" s="113">
        <v>70.900000000023283</v>
      </c>
    </row>
    <row r="17" spans="2:7" ht="15.75" x14ac:dyDescent="0.25">
      <c r="B17" s="33">
        <v>44421</v>
      </c>
      <c r="C17" s="110">
        <v>121.16000000000349</v>
      </c>
      <c r="D17" s="112">
        <v>21.099999999998545</v>
      </c>
      <c r="E17" s="113">
        <v>90.500000000007276</v>
      </c>
      <c r="F17" s="113">
        <v>9.5599999999976717</v>
      </c>
      <c r="G17" s="113">
        <v>47.799999999988358</v>
      </c>
    </row>
    <row r="18" spans="2:7" ht="15.75" x14ac:dyDescent="0.25">
      <c r="B18" s="33">
        <v>44422</v>
      </c>
      <c r="C18" s="110">
        <v>99.4</v>
      </c>
      <c r="D18" s="112">
        <v>10.200000000004366</v>
      </c>
      <c r="E18" s="113">
        <v>73.799999999995634</v>
      </c>
      <c r="F18" s="113">
        <v>15.4</v>
      </c>
      <c r="G18" s="113">
        <v>77</v>
      </c>
    </row>
    <row r="19" spans="2:7" ht="15.75" x14ac:dyDescent="0.25">
      <c r="B19" s="33">
        <v>44423</v>
      </c>
      <c r="C19" s="110">
        <v>120.79999999999563</v>
      </c>
      <c r="D19" s="112">
        <v>23.799999999995634</v>
      </c>
      <c r="E19" s="113">
        <v>85</v>
      </c>
      <c r="F19" s="113">
        <v>12</v>
      </c>
      <c r="G19" s="113">
        <v>60</v>
      </c>
    </row>
    <row r="20" spans="2:7" ht="15.75" x14ac:dyDescent="0.25">
      <c r="B20" s="33">
        <v>44424</v>
      </c>
      <c r="C20" s="110">
        <v>122.00000000000145</v>
      </c>
      <c r="D20" s="112">
        <v>21</v>
      </c>
      <c r="E20" s="113">
        <v>88.400000000001455</v>
      </c>
      <c r="F20" s="113">
        <v>12.600000000000001</v>
      </c>
      <c r="G20" s="113">
        <v>63</v>
      </c>
    </row>
    <row r="21" spans="2:7" ht="15.75" x14ac:dyDescent="0.25">
      <c r="B21" s="33">
        <v>44425</v>
      </c>
      <c r="C21" s="110">
        <v>86.30000000000291</v>
      </c>
      <c r="D21" s="112">
        <v>11.80000000000291</v>
      </c>
      <c r="E21" s="113">
        <v>60</v>
      </c>
      <c r="F21" s="113">
        <v>14.5</v>
      </c>
      <c r="G21" s="113">
        <v>72.5</v>
      </c>
    </row>
    <row r="22" spans="2:7" ht="15.75" x14ac:dyDescent="0.25">
      <c r="B22" s="33">
        <v>44426</v>
      </c>
      <c r="C22" s="110">
        <v>55.399999999991266</v>
      </c>
      <c r="D22" s="112">
        <v>10.599999999998545</v>
      </c>
      <c r="E22" s="113">
        <v>30.499999999992724</v>
      </c>
      <c r="F22" s="113">
        <v>14.3</v>
      </c>
      <c r="G22" s="113">
        <v>71.5</v>
      </c>
    </row>
    <row r="23" spans="2:7" ht="15.75" x14ac:dyDescent="0.25">
      <c r="B23" s="33">
        <v>44427</v>
      </c>
      <c r="C23" s="110">
        <v>144.20000000000437</v>
      </c>
      <c r="D23" s="112">
        <v>15</v>
      </c>
      <c r="E23" s="113">
        <v>118.20000000000437</v>
      </c>
      <c r="F23" s="113">
        <v>11</v>
      </c>
      <c r="G23" s="113">
        <v>55</v>
      </c>
    </row>
    <row r="24" spans="2:7" ht="15.75" x14ac:dyDescent="0.25">
      <c r="B24" s="33">
        <v>44428</v>
      </c>
      <c r="C24" s="110">
        <v>142.99999999999855</v>
      </c>
      <c r="D24" s="112">
        <v>15.19999999999709</v>
      </c>
      <c r="E24" s="113">
        <v>117.40000000000146</v>
      </c>
      <c r="F24" s="113">
        <v>10.4</v>
      </c>
      <c r="G24" s="113">
        <v>52</v>
      </c>
    </row>
    <row r="25" spans="2:7" ht="15.75" x14ac:dyDescent="0.25">
      <c r="B25" s="33">
        <v>44429</v>
      </c>
      <c r="C25" s="110">
        <v>124.90000000000146</v>
      </c>
      <c r="D25" s="112">
        <v>16.900000000001455</v>
      </c>
      <c r="E25" s="113">
        <v>98</v>
      </c>
      <c r="F25" s="113">
        <v>10</v>
      </c>
      <c r="G25" s="113">
        <v>50</v>
      </c>
    </row>
    <row r="26" spans="2:7" ht="15.75" x14ac:dyDescent="0.25">
      <c r="B26" s="33">
        <v>44430</v>
      </c>
      <c r="C26" s="110">
        <v>158.99999999999272</v>
      </c>
      <c r="D26" s="112">
        <v>44</v>
      </c>
      <c r="E26" s="113">
        <v>98.999999999992724</v>
      </c>
      <c r="F26" s="113">
        <v>16</v>
      </c>
      <c r="G26" s="113">
        <v>80</v>
      </c>
    </row>
    <row r="27" spans="2:7" ht="15.75" x14ac:dyDescent="0.25">
      <c r="B27" s="33">
        <v>44431</v>
      </c>
      <c r="C27" s="110">
        <v>137.50000000000438</v>
      </c>
      <c r="D27" s="112">
        <v>19</v>
      </c>
      <c r="E27" s="113">
        <v>104.70000000000437</v>
      </c>
      <c r="F27" s="113">
        <v>13.8</v>
      </c>
      <c r="G27" s="113">
        <v>69</v>
      </c>
    </row>
    <row r="28" spans="2:7" ht="15.75" x14ac:dyDescent="0.25">
      <c r="B28" s="33">
        <v>44432</v>
      </c>
      <c r="C28" s="110">
        <v>103.62000000001134</v>
      </c>
      <c r="D28" s="112">
        <v>6.2000000000043656</v>
      </c>
      <c r="E28" s="113">
        <v>83.100000000005821</v>
      </c>
      <c r="F28" s="113">
        <v>14.320000000001166</v>
      </c>
      <c r="G28" s="113">
        <v>71.600000000005821</v>
      </c>
    </row>
    <row r="29" spans="2:7" ht="15.75" x14ac:dyDescent="0.25">
      <c r="B29" s="33">
        <v>44433</v>
      </c>
      <c r="C29" s="110">
        <v>102.47999999998574</v>
      </c>
      <c r="D29" s="112">
        <v>5.6999999999970896</v>
      </c>
      <c r="E29" s="113">
        <v>82.699999999989814</v>
      </c>
      <c r="F29" s="113">
        <v>14.079999999998837</v>
      </c>
      <c r="G29" s="113">
        <v>70.399999999994179</v>
      </c>
    </row>
    <row r="30" spans="2:7" ht="15.75" x14ac:dyDescent="0.25">
      <c r="B30" s="33">
        <v>44434</v>
      </c>
      <c r="C30" s="110">
        <v>137.86000000000348</v>
      </c>
      <c r="D30" s="112">
        <v>38.5</v>
      </c>
      <c r="E30" s="113">
        <v>87.600000000005821</v>
      </c>
      <c r="F30" s="113">
        <v>11.759999999997673</v>
      </c>
      <c r="G30" s="113">
        <v>58.799999999988358</v>
      </c>
    </row>
    <row r="31" spans="2:7" ht="15.75" x14ac:dyDescent="0.25">
      <c r="B31" s="33">
        <v>44435</v>
      </c>
      <c r="C31" s="110">
        <v>113.33999999999796</v>
      </c>
      <c r="D31" s="112">
        <v>25.099999999998545</v>
      </c>
      <c r="E31" s="113">
        <v>80.19999999999709</v>
      </c>
      <c r="F31" s="113">
        <v>8.040000000002328</v>
      </c>
      <c r="G31" s="113">
        <v>40.200000000011642</v>
      </c>
    </row>
    <row r="32" spans="2:7" ht="15.75" x14ac:dyDescent="0.25">
      <c r="B32" s="33">
        <v>44436</v>
      </c>
      <c r="C32" s="110">
        <v>95.419999999998979</v>
      </c>
      <c r="D32" s="112">
        <v>8.9000000000014552</v>
      </c>
      <c r="E32" s="113">
        <v>83.499999999996362</v>
      </c>
      <c r="F32" s="113">
        <v>3.0200000000011644</v>
      </c>
      <c r="G32" s="113">
        <v>15.100000000005821</v>
      </c>
    </row>
    <row r="33" spans="2:9" ht="15.75" x14ac:dyDescent="0.25">
      <c r="B33" s="33">
        <v>44437</v>
      </c>
      <c r="C33" s="110">
        <v>142.88000000000102</v>
      </c>
      <c r="D33" s="112">
        <v>51.599999999998545</v>
      </c>
      <c r="E33" s="113">
        <v>63.500000000003638</v>
      </c>
      <c r="F33" s="113">
        <v>27.779999999998836</v>
      </c>
      <c r="G33" s="113">
        <v>138.89999999999418</v>
      </c>
    </row>
    <row r="34" spans="2:9" ht="15.75" x14ac:dyDescent="0.25">
      <c r="B34" s="33">
        <v>44438</v>
      </c>
      <c r="C34" s="110">
        <v>114.02000000001135</v>
      </c>
      <c r="D34" s="112">
        <v>5.7000000000043656</v>
      </c>
      <c r="E34" s="113">
        <v>93.600000000005821</v>
      </c>
      <c r="F34" s="113">
        <v>14.720000000001164</v>
      </c>
      <c r="G34" s="113">
        <v>73.600000000005821</v>
      </c>
    </row>
    <row r="35" spans="2:9" ht="15.75" x14ac:dyDescent="0.25">
      <c r="B35" s="33">
        <v>44439</v>
      </c>
      <c r="C35" s="110">
        <v>93.079999999996659</v>
      </c>
      <c r="D35" s="112">
        <v>17.69999999999709</v>
      </c>
      <c r="E35" s="113">
        <v>66.700000000000728</v>
      </c>
      <c r="F35" s="113">
        <v>8.6799999999988362</v>
      </c>
      <c r="G35" s="113">
        <v>43.399999999994179</v>
      </c>
    </row>
    <row r="36" spans="2:9" x14ac:dyDescent="0.25">
      <c r="B36" s="151"/>
      <c r="C36" s="151"/>
      <c r="D36" s="136"/>
      <c r="E36" s="136"/>
      <c r="F36" s="136"/>
      <c r="G36" s="136"/>
    </row>
    <row r="37" spans="2:9" ht="21" x14ac:dyDescent="0.35">
      <c r="B37" s="152"/>
      <c r="C37" s="82">
        <f>+D37+E37+F37</f>
        <v>3651.5000000000023</v>
      </c>
      <c r="D37" s="38">
        <f>SUM(D5:D35)</f>
        <v>591</v>
      </c>
      <c r="E37" s="38">
        <f>SUM(E5:E35)</f>
        <v>2654.1000000000022</v>
      </c>
      <c r="F37" s="38">
        <f>SUM(F5:F35)</f>
        <v>406.40000000000009</v>
      </c>
      <c r="G37" s="38">
        <f>SUM(G5:G35)</f>
        <v>2032</v>
      </c>
    </row>
    <row r="38" spans="2:9" x14ac:dyDescent="0.25">
      <c r="I38" s="154"/>
    </row>
    <row r="39" spans="2:9" x14ac:dyDescent="0.25">
      <c r="I39" s="154"/>
    </row>
    <row r="40" spans="2:9" ht="15.75" thickBot="1" x14ac:dyDescent="0.3"/>
    <row r="41" spans="2:9" ht="21.75" thickBot="1" x14ac:dyDescent="0.4">
      <c r="B41" s="155" t="s">
        <v>35</v>
      </c>
      <c r="C41" s="155"/>
      <c r="D41" s="139"/>
      <c r="E41" s="140"/>
      <c r="F41" s="140"/>
      <c r="G41" s="156"/>
      <c r="H41" s="157"/>
    </row>
    <row r="42" spans="2:9" x14ac:dyDescent="0.25">
      <c r="G42" s="158"/>
    </row>
    <row r="43" spans="2:9" x14ac:dyDescent="0.25">
      <c r="G43" s="158"/>
    </row>
    <row r="44" spans="2:9" ht="15.75" x14ac:dyDescent="0.25">
      <c r="B44" s="159" t="s">
        <v>6</v>
      </c>
      <c r="C44" s="159"/>
      <c r="E44" s="153" t="s">
        <v>36</v>
      </c>
      <c r="G44" s="160">
        <v>12500</v>
      </c>
      <c r="H44" s="157"/>
    </row>
    <row r="45" spans="2:9" ht="15.75" x14ac:dyDescent="0.25">
      <c r="B45" s="159"/>
      <c r="C45" s="159"/>
      <c r="G45" s="158"/>
      <c r="H45" s="157"/>
    </row>
    <row r="46" spans="2:9" ht="16.5" thickBot="1" x14ac:dyDescent="0.3">
      <c r="B46" s="159"/>
      <c r="C46" s="159"/>
      <c r="G46" s="158"/>
      <c r="H46" s="157"/>
    </row>
    <row r="47" spans="2:9" ht="27" thickBot="1" x14ac:dyDescent="0.3">
      <c r="B47" s="159" t="s">
        <v>7</v>
      </c>
      <c r="C47" s="159"/>
      <c r="G47" s="161">
        <f>+G41*G44</f>
        <v>0</v>
      </c>
      <c r="H47" s="162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E31" sqref="E31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0" t="s">
        <v>60</v>
      </c>
      <c r="C1" s="190"/>
      <c r="D1" s="190"/>
      <c r="E1" s="190"/>
      <c r="F1" s="190"/>
      <c r="G1" s="190"/>
      <c r="H1" s="190"/>
    </row>
    <row r="2" spans="1:45" ht="15" customHeight="1" x14ac:dyDescent="0.25">
      <c r="B2" s="190"/>
      <c r="C2" s="190"/>
      <c r="D2" s="190"/>
      <c r="E2" s="190"/>
      <c r="F2" s="190"/>
      <c r="G2" s="190"/>
      <c r="H2" s="190"/>
    </row>
    <row r="3" spans="1:45" s="84" customFormat="1" ht="33" customHeight="1" x14ac:dyDescent="0.35">
      <c r="A3" s="83"/>
      <c r="B3" s="191" t="s">
        <v>0</v>
      </c>
      <c r="C3" s="195" t="s">
        <v>30</v>
      </c>
      <c r="D3" s="196"/>
      <c r="E3" s="192" t="s">
        <v>38</v>
      </c>
      <c r="F3" s="193"/>
      <c r="G3" s="193"/>
      <c r="H3" s="194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1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44409</v>
      </c>
      <c r="C5" s="125">
        <v>0.78</v>
      </c>
      <c r="D5" s="125">
        <v>21.43</v>
      </c>
      <c r="E5" s="34"/>
      <c r="F5" s="34"/>
      <c r="G5" s="34"/>
      <c r="H5" s="34"/>
      <c r="I5" s="35"/>
    </row>
    <row r="6" spans="1:45" ht="15.75" x14ac:dyDescent="0.25">
      <c r="B6" s="33">
        <v>44410</v>
      </c>
      <c r="C6" s="125">
        <v>1.3</v>
      </c>
      <c r="D6" s="125">
        <v>35.44</v>
      </c>
      <c r="E6" s="34"/>
      <c r="F6" s="34"/>
      <c r="G6" s="34"/>
      <c r="H6" s="34"/>
      <c r="I6" s="35"/>
    </row>
    <row r="7" spans="1:45" ht="15.75" x14ac:dyDescent="0.25">
      <c r="B7" s="33">
        <v>44411</v>
      </c>
      <c r="C7" s="125">
        <v>2.6</v>
      </c>
      <c r="D7" s="125">
        <v>71.17</v>
      </c>
      <c r="E7" s="34"/>
      <c r="F7" s="34"/>
      <c r="G7" s="34"/>
      <c r="H7" s="34"/>
      <c r="I7" s="35"/>
    </row>
    <row r="8" spans="1:45" ht="15.75" x14ac:dyDescent="0.25">
      <c r="B8" s="33">
        <v>44412</v>
      </c>
      <c r="C8" s="125">
        <v>2.68</v>
      </c>
      <c r="D8" s="125">
        <v>73.209999999999994</v>
      </c>
      <c r="E8" s="34"/>
      <c r="F8" s="34"/>
      <c r="G8" s="34"/>
      <c r="H8" s="34"/>
      <c r="I8" s="35"/>
    </row>
    <row r="9" spans="1:45" ht="15.75" x14ac:dyDescent="0.25">
      <c r="B9" s="33">
        <v>44413</v>
      </c>
      <c r="C9" s="125">
        <v>3.14</v>
      </c>
      <c r="D9" s="125">
        <v>85.93</v>
      </c>
      <c r="E9" s="34"/>
      <c r="F9" s="34"/>
      <c r="G9" s="34"/>
      <c r="H9" s="34"/>
      <c r="I9" s="35"/>
    </row>
    <row r="10" spans="1:45" ht="15.75" x14ac:dyDescent="0.25">
      <c r="B10" s="33">
        <v>44414</v>
      </c>
      <c r="C10" s="125">
        <v>2.57</v>
      </c>
      <c r="D10" s="125">
        <v>70.13</v>
      </c>
      <c r="E10" s="34"/>
      <c r="F10" s="34"/>
      <c r="G10" s="34"/>
      <c r="H10" s="34"/>
      <c r="I10" s="35"/>
    </row>
    <row r="11" spans="1:45" ht="15.75" x14ac:dyDescent="0.25">
      <c r="B11" s="33">
        <v>44415</v>
      </c>
      <c r="C11" s="125">
        <v>0.83</v>
      </c>
      <c r="D11" s="125">
        <v>22.66</v>
      </c>
      <c r="E11" s="34"/>
      <c r="F11" s="34"/>
      <c r="G11" s="34"/>
      <c r="H11" s="34"/>
      <c r="I11" s="35"/>
    </row>
    <row r="12" spans="1:45" ht="15.75" x14ac:dyDescent="0.25">
      <c r="B12" s="33">
        <v>44416</v>
      </c>
      <c r="C12" s="125">
        <v>1.0900000000000001</v>
      </c>
      <c r="D12" s="125">
        <v>29.86</v>
      </c>
      <c r="E12" s="34"/>
      <c r="F12" s="34"/>
      <c r="G12" s="34"/>
      <c r="H12" s="34"/>
      <c r="I12" s="35"/>
    </row>
    <row r="13" spans="1:45" ht="15.75" x14ac:dyDescent="0.25">
      <c r="B13" s="33">
        <v>44417</v>
      </c>
      <c r="C13" s="125">
        <v>0.96</v>
      </c>
      <c r="D13" s="125">
        <v>26.3</v>
      </c>
      <c r="E13" s="34"/>
      <c r="F13" s="34"/>
      <c r="G13" s="34"/>
      <c r="H13" s="34"/>
      <c r="I13" s="35"/>
    </row>
    <row r="14" spans="1:45" ht="15.75" x14ac:dyDescent="0.25">
      <c r="B14" s="33">
        <v>44418</v>
      </c>
      <c r="C14" s="125">
        <v>1.06</v>
      </c>
      <c r="D14" s="125">
        <v>29</v>
      </c>
      <c r="E14" s="34"/>
      <c r="F14" s="34"/>
      <c r="G14" s="34"/>
      <c r="H14" s="34"/>
      <c r="I14" s="35"/>
    </row>
    <row r="15" spans="1:45" ht="15.75" x14ac:dyDescent="0.25">
      <c r="B15" s="33">
        <v>44419</v>
      </c>
      <c r="C15" s="125">
        <v>0.72</v>
      </c>
      <c r="D15" s="125">
        <v>19.71</v>
      </c>
      <c r="E15" s="34"/>
      <c r="F15" s="34"/>
      <c r="G15" s="34"/>
      <c r="H15" s="34"/>
      <c r="I15" s="35"/>
    </row>
    <row r="16" spans="1:45" ht="15.75" x14ac:dyDescent="0.25">
      <c r="B16" s="33">
        <v>44420</v>
      </c>
      <c r="C16" s="125">
        <v>1.28</v>
      </c>
      <c r="D16" s="125">
        <v>35.229999999999997</v>
      </c>
      <c r="E16" s="34"/>
      <c r="F16" s="34"/>
      <c r="G16" s="34"/>
      <c r="H16" s="34"/>
      <c r="I16" s="35"/>
    </row>
    <row r="17" spans="2:9" ht="15.75" x14ac:dyDescent="0.25">
      <c r="B17" s="33">
        <v>44421</v>
      </c>
      <c r="C17" s="125">
        <v>0.54</v>
      </c>
      <c r="D17" s="125">
        <v>14.82</v>
      </c>
      <c r="E17" s="34"/>
      <c r="F17" s="34"/>
      <c r="G17" s="34"/>
      <c r="H17" s="34"/>
      <c r="I17" s="35"/>
    </row>
    <row r="18" spans="2:9" ht="15.75" x14ac:dyDescent="0.25">
      <c r="B18" s="33">
        <v>44422</v>
      </c>
      <c r="C18" s="125">
        <v>1.0900000000000001</v>
      </c>
      <c r="D18" s="125">
        <v>29.7</v>
      </c>
      <c r="E18" s="34"/>
      <c r="F18" s="34"/>
      <c r="G18" s="34"/>
      <c r="H18" s="34"/>
      <c r="I18" s="35"/>
    </row>
    <row r="19" spans="2:9" ht="15.75" x14ac:dyDescent="0.25">
      <c r="B19" s="33">
        <v>44423</v>
      </c>
      <c r="C19" s="125">
        <v>2.33</v>
      </c>
      <c r="D19" s="125">
        <v>63.39</v>
      </c>
      <c r="E19" s="34"/>
      <c r="F19" s="34"/>
      <c r="G19" s="34"/>
      <c r="H19" s="34"/>
      <c r="I19" s="35"/>
    </row>
    <row r="20" spans="2:9" ht="15.75" x14ac:dyDescent="0.25">
      <c r="B20" s="33">
        <v>44424</v>
      </c>
      <c r="C20" s="125">
        <v>2.17</v>
      </c>
      <c r="D20" s="125">
        <v>59.01</v>
      </c>
      <c r="E20" s="34"/>
      <c r="F20" s="34"/>
      <c r="G20" s="34"/>
      <c r="H20" s="34"/>
      <c r="I20" s="35"/>
    </row>
    <row r="21" spans="2:9" ht="15.75" x14ac:dyDescent="0.25">
      <c r="B21" s="33">
        <v>44425</v>
      </c>
      <c r="C21" s="125">
        <v>1.26</v>
      </c>
      <c r="D21" s="125">
        <v>34.409999999999997</v>
      </c>
      <c r="E21" s="34"/>
      <c r="F21" s="34"/>
      <c r="G21" s="34"/>
      <c r="H21" s="34"/>
      <c r="I21" s="35"/>
    </row>
    <row r="22" spans="2:9" ht="15.75" x14ac:dyDescent="0.25">
      <c r="B22" s="33">
        <v>44426</v>
      </c>
      <c r="C22" s="125">
        <v>1.0900000000000001</v>
      </c>
      <c r="D22" s="125">
        <v>29.77</v>
      </c>
      <c r="E22" s="34"/>
      <c r="F22" s="34"/>
      <c r="G22" s="34"/>
      <c r="H22" s="34"/>
      <c r="I22" s="35"/>
    </row>
    <row r="23" spans="2:9" ht="15.75" x14ac:dyDescent="0.25">
      <c r="B23" s="33">
        <v>44427</v>
      </c>
      <c r="C23" s="126">
        <v>1.5</v>
      </c>
      <c r="D23" s="126">
        <v>40.950000000000003</v>
      </c>
      <c r="E23" s="34"/>
      <c r="F23" s="34"/>
      <c r="G23" s="34"/>
      <c r="H23" s="34"/>
      <c r="I23" s="35"/>
    </row>
    <row r="24" spans="2:9" ht="15.75" x14ac:dyDescent="0.25">
      <c r="B24" s="33">
        <v>44428</v>
      </c>
      <c r="C24" s="126">
        <v>1.8</v>
      </c>
      <c r="D24" s="126">
        <v>49.02</v>
      </c>
      <c r="E24" s="34"/>
      <c r="F24" s="34"/>
      <c r="G24" s="34"/>
      <c r="H24" s="34"/>
      <c r="I24" s="35"/>
    </row>
    <row r="25" spans="2:9" ht="15.75" x14ac:dyDescent="0.25">
      <c r="B25" s="33">
        <v>44429</v>
      </c>
      <c r="C25" s="127">
        <v>0.56999999999999995</v>
      </c>
      <c r="D25" s="127">
        <v>15.64</v>
      </c>
      <c r="E25" s="34"/>
      <c r="F25" s="34"/>
      <c r="G25" s="34"/>
      <c r="H25" s="34"/>
      <c r="I25" s="35"/>
    </row>
    <row r="26" spans="2:9" ht="15.75" x14ac:dyDescent="0.25">
      <c r="B26" s="33">
        <v>44430</v>
      </c>
      <c r="C26" s="126">
        <v>1.88</v>
      </c>
      <c r="D26" s="126">
        <v>51.05</v>
      </c>
      <c r="E26" s="34"/>
      <c r="F26" s="34"/>
      <c r="G26" s="34"/>
      <c r="H26" s="34"/>
      <c r="I26" s="35"/>
    </row>
    <row r="27" spans="2:9" ht="15.75" x14ac:dyDescent="0.25">
      <c r="B27" s="33">
        <v>44431</v>
      </c>
      <c r="C27" s="126">
        <v>2.52</v>
      </c>
      <c r="D27" s="126">
        <v>68.55</v>
      </c>
      <c r="E27" s="34"/>
      <c r="F27" s="34"/>
      <c r="G27" s="34"/>
      <c r="H27" s="34"/>
      <c r="I27" s="35"/>
    </row>
    <row r="28" spans="2:9" ht="15.75" x14ac:dyDescent="0.25">
      <c r="B28" s="33">
        <v>44432</v>
      </c>
      <c r="C28" s="126">
        <v>3.12</v>
      </c>
      <c r="D28" s="126">
        <v>87.79</v>
      </c>
      <c r="E28" s="34"/>
      <c r="F28" s="34"/>
      <c r="G28" s="34"/>
      <c r="H28" s="34"/>
      <c r="I28" s="35"/>
    </row>
    <row r="29" spans="2:9" ht="15.75" x14ac:dyDescent="0.25">
      <c r="B29" s="33">
        <v>44433</v>
      </c>
      <c r="C29" s="126">
        <v>1.06</v>
      </c>
      <c r="D29" s="126">
        <v>28.87</v>
      </c>
      <c r="E29" s="34"/>
      <c r="F29" s="34"/>
      <c r="G29" s="34"/>
      <c r="H29" s="34"/>
      <c r="I29" s="35"/>
    </row>
    <row r="30" spans="2:9" ht="15.75" x14ac:dyDescent="0.25">
      <c r="B30" s="33">
        <v>44434</v>
      </c>
      <c r="C30" s="126">
        <v>0.88</v>
      </c>
      <c r="D30" s="126">
        <v>23.91</v>
      </c>
      <c r="E30" s="34"/>
      <c r="F30" s="34"/>
      <c r="G30" s="34"/>
      <c r="H30" s="34"/>
      <c r="I30" s="35"/>
    </row>
    <row r="31" spans="2:9" ht="15.75" x14ac:dyDescent="0.25">
      <c r="B31" s="33">
        <v>44435</v>
      </c>
      <c r="C31" s="127">
        <v>1.3</v>
      </c>
      <c r="D31" s="127">
        <v>35.35</v>
      </c>
      <c r="E31" s="34"/>
      <c r="F31" s="34"/>
      <c r="G31" s="34"/>
      <c r="H31" s="34"/>
      <c r="I31" s="35"/>
    </row>
    <row r="32" spans="2:9" ht="15.75" x14ac:dyDescent="0.25">
      <c r="B32" s="33">
        <v>44436</v>
      </c>
      <c r="C32" s="127">
        <v>0.85</v>
      </c>
      <c r="D32" s="127">
        <v>23.26</v>
      </c>
      <c r="E32" s="34"/>
      <c r="F32" s="34"/>
      <c r="G32" s="34"/>
      <c r="H32" s="34"/>
      <c r="I32" s="35"/>
    </row>
    <row r="33" spans="2:12" ht="15.75" x14ac:dyDescent="0.25">
      <c r="B33" s="33">
        <v>44437</v>
      </c>
      <c r="C33" s="127">
        <v>0.42</v>
      </c>
      <c r="D33" s="127">
        <v>11.48</v>
      </c>
      <c r="E33" s="34"/>
      <c r="F33" s="34"/>
      <c r="G33" s="34"/>
      <c r="H33" s="34"/>
      <c r="I33" s="35"/>
    </row>
    <row r="34" spans="2:12" ht="15.75" x14ac:dyDescent="0.25">
      <c r="B34" s="33">
        <v>44438</v>
      </c>
      <c r="C34" s="126">
        <v>2.21</v>
      </c>
      <c r="D34" s="126">
        <v>59.79</v>
      </c>
      <c r="E34" s="34"/>
      <c r="F34" s="34"/>
      <c r="G34" s="34"/>
      <c r="H34" s="34"/>
      <c r="I34" s="35"/>
    </row>
    <row r="35" spans="2:12" ht="15.75" x14ac:dyDescent="0.25">
      <c r="B35" s="33">
        <v>44439</v>
      </c>
      <c r="C35" s="125">
        <v>1.7</v>
      </c>
      <c r="D35" s="125">
        <v>48.7</v>
      </c>
      <c r="E35" s="34"/>
      <c r="F35" s="34"/>
      <c r="G35" s="34"/>
      <c r="H35" s="34"/>
      <c r="I35" s="35"/>
    </row>
    <row r="36" spans="2:12" x14ac:dyDescent="0.25">
      <c r="B36" s="36"/>
      <c r="C36" s="136"/>
      <c r="D36" s="136"/>
      <c r="E36" s="136"/>
      <c r="F36" s="136"/>
      <c r="G36" s="136"/>
      <c r="H36" s="136"/>
    </row>
    <row r="37" spans="2:12" ht="18.75" x14ac:dyDescent="0.3">
      <c r="B37" s="37"/>
      <c r="C37" s="137">
        <f>SUM(C5:C35)</f>
        <v>47.300000000000011</v>
      </c>
      <c r="D37" s="137">
        <f>SUM(D5:D35)</f>
        <v>1295.53</v>
      </c>
      <c r="E37" s="137">
        <f t="shared" ref="E37:H37" si="0">SUM(E5:E35)</f>
        <v>0</v>
      </c>
      <c r="F37" s="137">
        <f t="shared" si="0"/>
        <v>0</v>
      </c>
      <c r="G37" s="137">
        <f t="shared" si="0"/>
        <v>0</v>
      </c>
      <c r="H37" s="137">
        <f t="shared" si="0"/>
        <v>0</v>
      </c>
      <c r="I37" s="35"/>
      <c r="L37" s="35"/>
    </row>
    <row r="38" spans="2:12" x14ac:dyDescent="0.25">
      <c r="C38" s="138"/>
      <c r="D38" s="138"/>
      <c r="E38" s="138"/>
      <c r="F38" s="138"/>
      <c r="G38" s="138"/>
      <c r="H38" s="138">
        <f>H37*80%</f>
        <v>0</v>
      </c>
      <c r="J38" s="35"/>
      <c r="K38" s="40"/>
    </row>
    <row r="39" spans="2:12" x14ac:dyDescent="0.25">
      <c r="C39" s="138"/>
      <c r="D39" s="138"/>
      <c r="E39" s="138"/>
      <c r="F39" s="138"/>
      <c r="G39" s="138"/>
      <c r="H39" s="138"/>
    </row>
    <row r="40" spans="2:12" ht="15.75" x14ac:dyDescent="0.25">
      <c r="B40" s="41"/>
      <c r="C40" s="139"/>
      <c r="D40" s="139"/>
      <c r="E40" s="140"/>
      <c r="F40" s="140"/>
      <c r="G40" s="140"/>
      <c r="H40" s="140"/>
      <c r="J40" s="42"/>
      <c r="K40" s="35"/>
    </row>
    <row r="41" spans="2:12" x14ac:dyDescent="0.25">
      <c r="C41" s="138"/>
      <c r="D41" s="138"/>
      <c r="E41" s="138"/>
      <c r="F41" s="138"/>
      <c r="G41" s="138"/>
      <c r="H41" s="138"/>
    </row>
    <row r="42" spans="2:12" x14ac:dyDescent="0.25">
      <c r="C42" s="138"/>
      <c r="D42" s="138"/>
      <c r="E42" s="138"/>
      <c r="F42" s="138"/>
      <c r="G42" s="138"/>
      <c r="H42" s="138"/>
    </row>
    <row r="43" spans="2:12" ht="21" x14ac:dyDescent="0.35">
      <c r="C43" s="141" t="s">
        <v>6</v>
      </c>
      <c r="D43" s="142" t="s">
        <v>40</v>
      </c>
      <c r="E43" s="143">
        <v>10.199999999999999</v>
      </c>
      <c r="F43" s="138"/>
      <c r="G43" s="138"/>
      <c r="H43" s="138"/>
      <c r="J43" s="43"/>
    </row>
    <row r="44" spans="2:12" ht="21" x14ac:dyDescent="0.35">
      <c r="C44" s="144" t="s">
        <v>41</v>
      </c>
      <c r="D44" s="142" t="s">
        <v>37</v>
      </c>
      <c r="E44" s="143">
        <v>350</v>
      </c>
      <c r="F44" s="138"/>
      <c r="G44" s="138"/>
      <c r="H44" s="138"/>
      <c r="J44" s="44"/>
    </row>
    <row r="45" spans="2:12" ht="21" x14ac:dyDescent="0.35">
      <c r="C45" s="144"/>
      <c r="D45" s="142"/>
      <c r="E45" s="143"/>
      <c r="F45" s="138"/>
      <c r="G45" s="138"/>
      <c r="H45" s="138"/>
    </row>
    <row r="46" spans="2:12" ht="21" x14ac:dyDescent="0.35">
      <c r="C46" s="141" t="s">
        <v>7</v>
      </c>
      <c r="D46" s="142" t="s">
        <v>40</v>
      </c>
      <c r="E46" s="145">
        <f>IF(C37&gt;E44,(C37*E43),(E44*E43))</f>
        <v>3569.9999999999995</v>
      </c>
      <c r="F46" s="138"/>
      <c r="G46" s="138"/>
      <c r="H46" s="138"/>
    </row>
    <row r="47" spans="2:12" x14ac:dyDescent="0.25">
      <c r="C47" s="138"/>
      <c r="D47" s="138"/>
      <c r="E47" s="138"/>
      <c r="F47" s="138"/>
      <c r="G47" s="138"/>
      <c r="H47" s="138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2021-09-07T12:12:40Z</dcterms:modified>
</cp:coreProperties>
</file>