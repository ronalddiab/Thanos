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OMINGO\OneDrive - ACCOR\Desktop\25h Engineering - ARGIE\Budget\2024\utitility reading 2024\"/>
    </mc:Choice>
  </mc:AlternateContent>
  <xr:revisionPtr revIDLastSave="39" documentId="8_{5A9CD38F-6435-42F7-B247-CE2D98CD87B6}" xr6:coauthVersionLast="36" xr6:coauthVersionMax="47" xr10:uidLastSave="{55EC064A-1862-467F-9B47-66F36FE1121E}"/>
  <bookViews>
    <workbookView xWindow="-90" yWindow="-90" windowWidth="18195" windowHeight="11475" tabRatio="500" firstSheet="1" activeTab="19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externalReferences>
    <externalReference r:id="rId41"/>
  </externalReference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E20" i="1"/>
  <c r="E21" i="1"/>
  <c r="E22" i="1"/>
  <c r="E23" i="1"/>
  <c r="E24" i="1"/>
  <c r="E25" i="1"/>
  <c r="E26" i="1"/>
  <c r="E27" i="1"/>
  <c r="E28" i="1"/>
  <c r="E29" i="1"/>
  <c r="E30" i="1"/>
  <c r="D10" i="4"/>
  <c r="D7" i="4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K25" i="36"/>
  <c r="K28" i="36" s="1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E16" i="34"/>
  <c r="E15" i="34"/>
  <c r="E14" i="34"/>
  <c r="E13" i="34"/>
  <c r="E10" i="34"/>
  <c r="D10" i="34"/>
  <c r="F10" i="34" s="1"/>
  <c r="F11" i="34" s="1"/>
  <c r="G11" i="34" s="1"/>
  <c r="G29" i="34" s="1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F7" i="33" s="1"/>
  <c r="F8" i="33" s="1"/>
  <c r="G8" i="33" s="1"/>
  <c r="G28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F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E18" i="29"/>
  <c r="D18" i="30" s="1"/>
  <c r="E17" i="29"/>
  <c r="D17" i="30" s="1"/>
  <c r="F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F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D17" i="27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F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D16" i="23"/>
  <c r="F16" i="23" s="1"/>
  <c r="E15" i="23"/>
  <c r="D15" i="24" s="1"/>
  <c r="E14" i="23"/>
  <c r="D14" i="24" s="1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F14" i="21" s="1"/>
  <c r="E13" i="20"/>
  <c r="D13" i="21" s="1"/>
  <c r="E10" i="20"/>
  <c r="D10" i="21" s="1"/>
  <c r="F10" i="21" s="1"/>
  <c r="F11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E17" i="17"/>
  <c r="D17" i="18" s="1"/>
  <c r="F17" i="18" s="1"/>
  <c r="E16" i="17"/>
  <c r="D16" i="18" s="1"/>
  <c r="E15" i="17"/>
  <c r="D15" i="18" s="1"/>
  <c r="E14" i="17"/>
  <c r="D14" i="18" s="1"/>
  <c r="F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F17" i="17" s="1"/>
  <c r="E16" i="16"/>
  <c r="D16" i="17" s="1"/>
  <c r="F16" i="17" s="1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6" s="1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I18" i="1" s="1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G16" i="1" s="1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E13" i="1" s="1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E12" i="1" s="1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G7" i="1" s="1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2"/>
  <c r="K2" i="1" s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G25" i="1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I7" i="1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E19" i="1" l="1"/>
  <c r="F16" i="18"/>
  <c r="F18" i="18"/>
  <c r="E18" i="1"/>
  <c r="F13" i="18"/>
  <c r="E17" i="1"/>
  <c r="E16" i="1"/>
  <c r="F13" i="16"/>
  <c r="E15" i="1"/>
  <c r="F13" i="14"/>
  <c r="F7" i="13"/>
  <c r="F8" i="13" s="1"/>
  <c r="F15" i="12"/>
  <c r="E14" i="1"/>
  <c r="F22" i="13"/>
  <c r="F23" i="13" s="1"/>
  <c r="G23" i="13" s="1"/>
  <c r="G31" i="13" s="1"/>
  <c r="E11" i="1"/>
  <c r="E7" i="1"/>
  <c r="E10" i="1"/>
  <c r="E9" i="1"/>
  <c r="E8" i="1"/>
  <c r="F22" i="10"/>
  <c r="F31" i="10" s="1"/>
  <c r="D47" i="35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18" i="14"/>
  <c r="F18" i="21"/>
  <c r="F13" i="28"/>
  <c r="F13" i="30"/>
  <c r="D22" i="33"/>
  <c r="F22" i="33" s="1"/>
  <c r="F31" i="33" s="1"/>
  <c r="H28" i="36"/>
  <c r="N25" i="36" s="1"/>
  <c r="N28" i="36" s="1"/>
  <c r="D22" i="11"/>
  <c r="F22" i="11" s="1"/>
  <c r="F7" i="9"/>
  <c r="F8" i="9" s="1"/>
  <c r="F10" i="19"/>
  <c r="F11" i="19" s="1"/>
  <c r="G11" i="19" s="1"/>
  <c r="G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F19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G8" i="29"/>
  <c r="G28" i="29" s="1"/>
  <c r="F7" i="24"/>
  <c r="F8" i="24" s="1"/>
  <c r="G8" i="24" s="1"/>
  <c r="G28" i="24" s="1"/>
  <c r="F29" i="5"/>
  <c r="F29" i="21"/>
  <c r="G11" i="21"/>
  <c r="G29" i="21" s="1"/>
  <c r="F23" i="8"/>
  <c r="G23" i="8" s="1"/>
  <c r="G31" i="8" s="1"/>
  <c r="F31" i="8"/>
  <c r="G8" i="13"/>
  <c r="G28" i="13" s="1"/>
  <c r="F28" i="13"/>
  <c r="G8" i="4"/>
  <c r="G28" i="4" s="1"/>
  <c r="F28" i="4"/>
  <c r="F28" i="9"/>
  <c r="G8" i="9"/>
  <c r="G28" i="9" s="1"/>
  <c r="G11" i="7"/>
  <c r="G29" i="7" s="1"/>
  <c r="F29" i="7"/>
  <c r="F14" i="12"/>
  <c r="F29" i="19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5"/>
  <c r="D7" i="19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D16" i="11"/>
  <c r="F16" i="11" s="1"/>
  <c r="F29" i="11"/>
  <c r="D16" i="15"/>
  <c r="F16" i="15" s="1"/>
  <c r="F16" i="14"/>
  <c r="F15" i="22"/>
  <c r="D15" i="23"/>
  <c r="F15" i="23" s="1"/>
  <c r="G11" i="28"/>
  <c r="G29" i="28" s="1"/>
  <c r="F29" i="28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F19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D15" i="29"/>
  <c r="F15" i="29" s="1"/>
  <c r="F19" i="29" s="1"/>
  <c r="F15" i="30"/>
  <c r="F19" i="30" s="1"/>
  <c r="F10" i="31"/>
  <c r="F11" i="31" s="1"/>
  <c r="F31" i="35"/>
  <c r="F31" i="36"/>
  <c r="D18" i="11"/>
  <c r="F18" i="11" s="1"/>
  <c r="F10" i="12"/>
  <c r="F11" i="12" s="1"/>
  <c r="F14" i="16"/>
  <c r="F19" i="16" s="1"/>
  <c r="F13" i="17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F29" i="17" l="1"/>
  <c r="F19" i="17"/>
  <c r="F19" i="14"/>
  <c r="F29" i="14"/>
  <c r="F23" i="10"/>
  <c r="G23" i="10" s="1"/>
  <c r="G31" i="10" s="1"/>
  <c r="F19" i="9"/>
  <c r="F19" i="34"/>
  <c r="F19" i="26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32" i="33"/>
  <c r="F30" i="28"/>
  <c r="G19" i="28"/>
  <c r="G30" i="28" s="1"/>
  <c r="G32" i="28" s="1"/>
  <c r="F30" i="14"/>
  <c r="G19" i="14"/>
  <c r="G30" i="14" s="1"/>
  <c r="G19" i="21"/>
  <c r="G30" i="21" s="1"/>
  <c r="F30" i="21"/>
  <c r="F30" i="16"/>
  <c r="G19" i="16"/>
  <c r="G30" i="16" s="1"/>
  <c r="G19" i="24"/>
  <c r="G30" i="24" s="1"/>
  <c r="F30" i="24"/>
  <c r="F19" i="11"/>
  <c r="F29" i="25"/>
  <c r="G11" i="25"/>
  <c r="G29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G32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30" i="9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F30" i="12" l="1"/>
  <c r="G32" i="9"/>
  <c r="G32" i="25"/>
  <c r="F30" i="32"/>
  <c r="G19" i="4"/>
  <c r="G30" i="4" s="1"/>
  <c r="G32" i="4" s="1"/>
  <c r="F30" i="23"/>
  <c r="G19" i="7"/>
  <c r="G30" i="7" s="1"/>
  <c r="G32" i="7" s="1"/>
  <c r="G32" i="16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<sst xmlns="http://schemas.openxmlformats.org/spreadsheetml/2006/main" count="2461" uniqueCount="181">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</sst>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_-* #,##0.00_-;\-* #,##0.00_-;_-* \-??_-;_-@_-"/>
    <numFmt numFmtId="172" formatCode="#,##0.000"/>
    <numFmt numFmtId="173" formatCode="&quot;AED&quot;#,##0.00"/>
  </numFmts>
  <fonts count="47" x14ac:knownFonts="1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42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39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1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2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3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4" fontId="45" fillId="0" borderId="8" xfId="1" applyNumberFormat="1" applyFont="1" applyBorder="1" applyAlignment="1" applyProtection="1">
      <alignment vertical="center"/>
    </xf>
    <xf numFmtId="168" fontId="46" fillId="8" borderId="8" xfId="1" applyFont="1" applyFill="1" applyBorder="1" applyProtection="1"/>
    <xf numFmtId="166" fontId="0" fillId="0" borderId="10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cor-my.sharepoint.com/personal/argie_domingo_ennismore_com/Documents/Desktop/25h%20Engineering%20-%20ARGIE/Budget/2024/utitility%20reading%202024/25h-Dubai-Daily-HEP-Jan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Me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nov. 19 to dec. "/>
      <sheetName val="dec. 1 to 31"/>
      <sheetName val="board 1 - 31"/>
      <sheetName val="DAILY PRINTING"/>
      <sheetName val="DAILY PRINTING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7">
          <cell r="E7">
            <v>54087.8</v>
          </cell>
        </row>
        <row r="10">
          <cell r="E10">
            <v>208995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M6" sqref="M6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275"/>
    <col min="12" max="12" width="11.5703125" style="5"/>
    <col min="13" max="13" width="11.5703125" style="6"/>
    <col min="14" max="16384" width="11.5703125" style="2"/>
  </cols>
  <sheetData>
    <row r="1" spans="1:15" s="7" customFormat="1" ht="60.75" thickBot="1" x14ac:dyDescent="0.3">
      <c r="A1" s="285" t="s">
        <v>0</v>
      </c>
      <c r="B1" s="285" t="s">
        <v>1</v>
      </c>
      <c r="C1" s="286" t="s">
        <v>2</v>
      </c>
      <c r="D1" s="285" t="s">
        <v>3</v>
      </c>
      <c r="E1" s="287" t="s">
        <v>4</v>
      </c>
      <c r="F1" s="288" t="s">
        <v>5</v>
      </c>
      <c r="G1" s="287" t="s">
        <v>6</v>
      </c>
      <c r="H1" s="288" t="s">
        <v>7</v>
      </c>
      <c r="I1" s="287" t="s">
        <v>8</v>
      </c>
      <c r="J1" s="289" t="s">
        <v>177</v>
      </c>
      <c r="K1" s="290" t="s">
        <v>175</v>
      </c>
      <c r="L1" s="289" t="s">
        <v>176</v>
      </c>
      <c r="M1" s="291" t="s">
        <v>9</v>
      </c>
      <c r="N1" s="287" t="s">
        <v>10</v>
      </c>
    </row>
    <row r="2" spans="1:15" ht="15.75" thickTop="1" x14ac:dyDescent="0.25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15863.380000000034</v>
      </c>
      <c r="H2" s="12">
        <v>2.5</v>
      </c>
      <c r="I2" s="6">
        <f>Submetering!L2</f>
        <v>100305.864</v>
      </c>
      <c r="J2" s="5">
        <v>0.06</v>
      </c>
      <c r="K2" s="275">
        <f>Submetering!K2</f>
        <v>12909.035999998343</v>
      </c>
      <c r="L2" s="5">
        <v>1.1399999999999999</v>
      </c>
      <c r="M2" s="6">
        <f>INT('Daily Meter'!O6*434/100)</f>
        <v>330</v>
      </c>
      <c r="N2" s="2" t="s">
        <v>12</v>
      </c>
      <c r="O2" s="7"/>
    </row>
    <row r="3" spans="1:15" x14ac:dyDescent="0.2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2">
        <v>2.5</v>
      </c>
      <c r="I3" s="6">
        <f>Submetering!L3</f>
        <v>36954.792000000001</v>
      </c>
      <c r="J3" s="5">
        <v>0.06</v>
      </c>
      <c r="K3" s="275">
        <f>Submetering!K3</f>
        <v>6852.5940000016544</v>
      </c>
      <c r="L3" s="5">
        <v>1.1399999999999999</v>
      </c>
      <c r="M3" s="6">
        <f>INT('Daily Meter'!O7*434/100)</f>
        <v>236</v>
      </c>
      <c r="N3" s="2" t="s">
        <v>12</v>
      </c>
      <c r="O3" s="7"/>
    </row>
    <row r="4" spans="1:15" x14ac:dyDescent="0.2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2">
        <v>2.5</v>
      </c>
      <c r="I4" s="6">
        <f>Submetering!L4</f>
        <v>38714.544000000002</v>
      </c>
      <c r="J4" s="5">
        <v>0.06</v>
      </c>
      <c r="K4" s="275">
        <f>Submetering!K4</f>
        <v>5999.5739999995858</v>
      </c>
      <c r="L4" s="5">
        <v>1.1399999999999999</v>
      </c>
      <c r="M4" s="6">
        <f>INT('Daily Meter'!O8*434/100)</f>
        <v>209</v>
      </c>
      <c r="N4" s="2" t="s">
        <v>12</v>
      </c>
      <c r="O4" s="7"/>
    </row>
    <row r="5" spans="1:15" x14ac:dyDescent="0.2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2">
        <v>2.5</v>
      </c>
      <c r="I5" s="6">
        <f>Submetering!L5</f>
        <v>38054.637000000002</v>
      </c>
      <c r="J5" s="5">
        <v>0.06</v>
      </c>
      <c r="K5" s="275">
        <f>Submetering!K5</f>
        <v>5146.5539999995854</v>
      </c>
      <c r="L5" s="5">
        <v>1.1399999999999999</v>
      </c>
      <c r="M5" s="6">
        <f>INT('Daily Meter'!O9*434/100)</f>
        <v>306</v>
      </c>
      <c r="N5" s="2" t="s">
        <v>12</v>
      </c>
      <c r="O5" s="7"/>
    </row>
    <row r="6" spans="1:15" x14ac:dyDescent="0.2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2">
        <v>2.5</v>
      </c>
      <c r="I6" s="6">
        <f>Submetering!L6</f>
        <v>36514.853999999999</v>
      </c>
      <c r="J6" s="5">
        <v>0.06</v>
      </c>
      <c r="K6" s="275">
        <f>Submetering!K6</f>
        <v>4919.0820000008271</v>
      </c>
      <c r="L6" s="5">
        <v>1.1399999999999999</v>
      </c>
      <c r="M6" s="6">
        <f>INT('Daily Meter'!O10*434/100)</f>
        <v>379</v>
      </c>
      <c r="N6" s="2" t="s">
        <v>12</v>
      </c>
      <c r="O6" s="7"/>
    </row>
    <row r="7" spans="1:15" x14ac:dyDescent="0.2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Submetering!E7+Submetering!F7+Submetering!G7+Submetering!H7+Submetering!I7+Submetering!J7</f>
        <v>16895.999999999476</v>
      </c>
      <c r="F7" s="5">
        <v>0.44</v>
      </c>
      <c r="G7" s="6">
        <f>Submetering!M7</f>
        <v>476.5600000000108</v>
      </c>
      <c r="H7" s="12">
        <v>2.5</v>
      </c>
      <c r="I7" s="6">
        <f>Submetering!L7</f>
        <v>43113.923999999999</v>
      </c>
      <c r="J7" s="5">
        <v>0.06</v>
      </c>
      <c r="K7" s="275">
        <f>Submetering!K7</f>
        <v>5146.5539999995854</v>
      </c>
      <c r="L7" s="5">
        <v>1.1399999999999999</v>
      </c>
      <c r="M7" s="6">
        <f>INT('Daily Meter'!O11*434/100)</f>
        <v>395</v>
      </c>
      <c r="N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Submetering!E8+Submetering!F8+Submetering!G8+Submetering!H8+Submetering!I8+Submetering!J8</f>
        <v>16751.999999999607</v>
      </c>
      <c r="F8" s="5">
        <v>0.44</v>
      </c>
      <c r="G8" s="6">
        <f>Submetering!M8</f>
        <v>505.42000000002156</v>
      </c>
      <c r="H8" s="12">
        <v>2.5</v>
      </c>
      <c r="I8" s="6">
        <f>Submetering!L8</f>
        <v>40254.326999999997</v>
      </c>
      <c r="J8" s="5">
        <v>0.06</v>
      </c>
      <c r="K8" s="275">
        <f>Submetering!K8</f>
        <v>5260.29</v>
      </c>
      <c r="L8" s="5">
        <v>1.1399999999999999</v>
      </c>
      <c r="M8" s="6">
        <f>INT('Daily Meter'!O12*434/100)</f>
        <v>396</v>
      </c>
      <c r="N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Submetering!E9+Submetering!F9+Submetering!G9+Submetering!H9+Submetering!I9+Submetering!J9</f>
        <v>16991.999999999825</v>
      </c>
      <c r="F9" s="5">
        <v>0.44</v>
      </c>
      <c r="G9" s="6">
        <f>Submetering!M9</f>
        <v>510.22999999997847</v>
      </c>
      <c r="H9" s="12">
        <v>2.5</v>
      </c>
      <c r="I9" s="6">
        <f>Submetering!L9</f>
        <v>42454.017</v>
      </c>
      <c r="J9" s="5">
        <v>0.06</v>
      </c>
      <c r="K9" s="275">
        <f>Submetering!K9</f>
        <v>5004.3839999995862</v>
      </c>
      <c r="L9" s="5">
        <v>1.1399999999999999</v>
      </c>
      <c r="M9" s="6">
        <f>INT('Daily Meter'!O13*434/100)</f>
        <v>409</v>
      </c>
      <c r="N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Submetering!E10+Submetering!F10+Submetering!G10+Submetering!H10+Submetering!I10+Submetering!J10</f>
        <v>17280.000000000437</v>
      </c>
      <c r="F10" s="5">
        <v>0.44</v>
      </c>
      <c r="G10" s="6">
        <f>Submetering!M10</f>
        <v>496.17000000002156</v>
      </c>
      <c r="H10" s="12">
        <v>2.5</v>
      </c>
      <c r="I10" s="6">
        <f>Submetering!L10</f>
        <v>34975.070999999996</v>
      </c>
      <c r="J10" s="5">
        <v>0.06</v>
      </c>
      <c r="K10" s="275">
        <f>Submetering!K10</f>
        <v>5061.2520000008271</v>
      </c>
      <c r="L10" s="5">
        <v>1.1399999999999999</v>
      </c>
      <c r="M10" s="6">
        <f>INT('Daily Meter'!O14*434/100)</f>
        <v>391</v>
      </c>
      <c r="N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Submetering!E11+Submetering!F11+Submetering!G11+Submetering!H11+Submetering!I11+Submetering!J11</f>
        <v>17136.000000000131</v>
      </c>
      <c r="F11" s="5">
        <v>0.44</v>
      </c>
      <c r="G11" s="6">
        <f>Submetering!M11</f>
        <v>563.87999999997851</v>
      </c>
      <c r="H11" s="12">
        <v>2.5</v>
      </c>
      <c r="I11" s="6">
        <f>Submetering!L11</f>
        <v>60931.413</v>
      </c>
      <c r="J11" s="5">
        <v>0.06</v>
      </c>
      <c r="K11" s="275">
        <f>Submetering!K11</f>
        <v>5061.251999998758</v>
      </c>
      <c r="L11" s="5">
        <v>1.1399999999999999</v>
      </c>
      <c r="M11" s="6">
        <f>INT('Daily Meter'!O15*434/100)</f>
        <v>353</v>
      </c>
      <c r="N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Submetering!E12+Submetering!F12+Submetering!G12+Submetering!H12+Submetering!I12+Submetering!J12</f>
        <v>17375.999999999694</v>
      </c>
      <c r="F12" s="5">
        <v>0.44</v>
      </c>
      <c r="G12" s="6">
        <f>Submetering!M12</f>
        <v>507.27000000002158</v>
      </c>
      <c r="H12" s="12">
        <v>2.5</v>
      </c>
      <c r="I12" s="6">
        <f>Submetering!L12</f>
        <v>56092.095000000001</v>
      </c>
      <c r="J12" s="5">
        <v>0.06</v>
      </c>
      <c r="K12" s="275">
        <f>Submetering!K12</f>
        <v>5374.0260000004137</v>
      </c>
      <c r="L12" s="5">
        <v>1.1399999999999999</v>
      </c>
      <c r="M12" s="6">
        <f>INT('Daily Meter'!O16*434/100)</f>
        <v>384</v>
      </c>
      <c r="N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Submetering!E13+Submetering!F13+Submetering!G13+Submetering!H13+Submetering!I13+Submetering!J13</f>
        <v>16607.999999999738</v>
      </c>
      <c r="F13" s="5">
        <v>0.44</v>
      </c>
      <c r="G13" s="6">
        <f>Submetering!M13</f>
        <v>522.43999999998925</v>
      </c>
      <c r="H13" s="12">
        <v>2.5</v>
      </c>
      <c r="I13" s="6">
        <f>Submetering!L13</f>
        <v>46193.49</v>
      </c>
      <c r="J13" s="5">
        <v>0.06</v>
      </c>
      <c r="K13" s="275">
        <f>Submetering!K13</f>
        <v>4663.1760000004133</v>
      </c>
      <c r="L13" s="5">
        <v>1.1399999999999999</v>
      </c>
      <c r="M13" s="6">
        <f>INT('Daily Meter'!O17*434/100)</f>
        <v>345</v>
      </c>
      <c r="N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Submetering!E14+Submetering!F14+Submetering!G14+Submetering!H14+Submetering!I14+Submetering!J14</f>
        <v>16704.000000000742</v>
      </c>
      <c r="F14" s="5">
        <v>0.44</v>
      </c>
      <c r="G14" s="6">
        <f>Submetering!M14</f>
        <v>550.92999999997846</v>
      </c>
      <c r="H14" s="12">
        <v>2.5</v>
      </c>
      <c r="I14" s="6">
        <f>Submetering!L14</f>
        <v>38054.637000000002</v>
      </c>
      <c r="J14" s="5">
        <v>0.06</v>
      </c>
      <c r="K14" s="275">
        <f>Submetering!K14</f>
        <v>5032.8179999991717</v>
      </c>
      <c r="L14" s="5">
        <v>1.1399999999999999</v>
      </c>
      <c r="M14" s="6">
        <f>INT('Daily Meter'!O18*434/100)</f>
        <v>329</v>
      </c>
      <c r="N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Submetering!E15+Submetering!F15+Submetering!G15+Submetering!H15+Submetering!I15+Submetering!J15</f>
        <v>16560</v>
      </c>
      <c r="F15" s="5">
        <v>0.44</v>
      </c>
      <c r="G15" s="6">
        <f>Submetering!M15</f>
        <v>526.88000000003228</v>
      </c>
      <c r="H15" s="12">
        <v>2.5</v>
      </c>
      <c r="I15" s="6">
        <f>Submetering!L15</f>
        <v>41134.203000000001</v>
      </c>
      <c r="J15" s="5">
        <v>0.06</v>
      </c>
      <c r="K15" s="275">
        <f>Submetering!K15</f>
        <v>5487.7620000008274</v>
      </c>
      <c r="L15" s="5">
        <v>1.1399999999999999</v>
      </c>
      <c r="M15" s="6">
        <f>INT('Daily Meter'!O19*434/100)</f>
        <v>327</v>
      </c>
      <c r="N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Submetering!E16+Submetering!F16+Submetering!G16+Submetering!H16+Submetering!I16+Submetering!J16</f>
        <v>16751.999999999607</v>
      </c>
      <c r="F16" s="5">
        <v>0.44</v>
      </c>
      <c r="G16" s="6">
        <f>Submetering!M16</f>
        <v>455.83999999998923</v>
      </c>
      <c r="H16" s="12">
        <v>2.5</v>
      </c>
      <c r="I16" s="6">
        <f>Submetering!L16</f>
        <v>33875.226000000002</v>
      </c>
      <c r="J16" s="5">
        <v>0.06</v>
      </c>
      <c r="K16" s="275">
        <f>Submetering!K16</f>
        <v>6170.1779999991722</v>
      </c>
      <c r="L16" s="5">
        <v>1.1399999999999999</v>
      </c>
      <c r="M16" s="6">
        <f>INT('Daily Meter'!O20*434/100)</f>
        <v>333</v>
      </c>
      <c r="N16" s="2" t="s">
        <v>12</v>
      </c>
    </row>
    <row r="17" spans="1:14" x14ac:dyDescent="0.25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Submetering!E17+Submetering!F17+Submetering!G17+Submetering!H17+Submetering!I17+Submetering!J17</f>
        <v>16896.000000000131</v>
      </c>
      <c r="F17" s="5">
        <v>0.44</v>
      </c>
      <c r="G17" s="6">
        <f>Submetering!M17</f>
        <v>481.37000000002155</v>
      </c>
      <c r="H17" s="12">
        <v>2.5</v>
      </c>
      <c r="I17" s="6">
        <f>Submetering!L17</f>
        <v>41134.203000000001</v>
      </c>
      <c r="J17" s="5">
        <v>0.06</v>
      </c>
      <c r="K17" s="275">
        <f>Submetering!K17</f>
        <v>7023.1980000012409</v>
      </c>
      <c r="L17" s="5">
        <v>1.1399999999999999</v>
      </c>
      <c r="M17" s="6">
        <f>INT('Daily Meter'!O21*434/100)</f>
        <v>337</v>
      </c>
      <c r="N17" s="2" t="s">
        <v>12</v>
      </c>
    </row>
    <row r="18" spans="1:14" x14ac:dyDescent="0.25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Submetering!E18+Submetering!F18+Submetering!G18+Submetering!H18+Submetering!I18+Submetering!J18</f>
        <v>17279.999999999782</v>
      </c>
      <c r="F18" s="5">
        <v>0.44</v>
      </c>
      <c r="G18" s="6">
        <f>Submetering!M18</f>
        <v>438.81999999996771</v>
      </c>
      <c r="H18" s="12">
        <v>2.5</v>
      </c>
      <c r="I18" s="6">
        <f>Submetering!L18</f>
        <v>34535.133000000002</v>
      </c>
      <c r="J18" s="5">
        <v>0.06</v>
      </c>
      <c r="K18" s="275">
        <f>Submetering!K18</f>
        <v>7762.4819999987576</v>
      </c>
      <c r="L18" s="5">
        <v>1.1399999999999999</v>
      </c>
      <c r="M18" s="6">
        <f>INT('Daily Meter'!O22*434/100)</f>
        <v>0</v>
      </c>
      <c r="N18" s="2" t="s">
        <v>12</v>
      </c>
    </row>
    <row r="19" spans="1:14" x14ac:dyDescent="0.25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Submetering!E19+Submetering!F19+Submetering!G19+Submetering!H19+Submetering!I19+Submetering!J19</f>
        <v>#VALUE!</v>
      </c>
      <c r="F19" s="5">
        <v>0.44</v>
      </c>
      <c r="G19" s="6" t="e">
        <f>Submetering!M19</f>
        <v>#VALUE!</v>
      </c>
      <c r="H19" s="12">
        <v>2.5</v>
      </c>
      <c r="I19" s="6" t="e">
        <f>Submetering!L19</f>
        <v>#VALUE!</v>
      </c>
      <c r="J19" s="5">
        <v>0.06</v>
      </c>
      <c r="K19" s="275" t="e">
        <f>Submetering!K19</f>
        <v>#VALUE!</v>
      </c>
      <c r="L19" s="5">
        <v>1.1399999999999999</v>
      </c>
      <c r="M19" s="6" t="e">
        <f>INT('Daily Meter'!O23*434/100)</f>
        <v>#VALUE!</v>
      </c>
      <c r="N19" s="2" t="s">
        <v>12</v>
      </c>
    </row>
    <row r="20" spans="1:14" x14ac:dyDescent="0.25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Submetering!E20+Submetering!F20+Submetering!G20+Submetering!H20+Submetering!I20+Submetering!J20</f>
        <v>#VALUE!</v>
      </c>
      <c r="F20" s="5">
        <v>0.44</v>
      </c>
      <c r="G20" s="6" t="e">
        <f>Submetering!M20</f>
        <v>#VALUE!</v>
      </c>
      <c r="H20" s="12">
        <v>2.5</v>
      </c>
      <c r="I20" s="6" t="e">
        <f>Submetering!L20</f>
        <v>#VALUE!</v>
      </c>
      <c r="J20" s="5">
        <v>0.06</v>
      </c>
      <c r="K20" s="275" t="e">
        <f>Submetering!K20</f>
        <v>#VALUE!</v>
      </c>
      <c r="L20" s="5">
        <v>1.1399999999999999</v>
      </c>
      <c r="M20" s="6" t="e">
        <f>INT('Daily Meter'!O24*434/100)</f>
        <v>#VALUE!</v>
      </c>
      <c r="N20" s="2" t="s">
        <v>12</v>
      </c>
    </row>
    <row r="21" spans="1:14" x14ac:dyDescent="0.25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Submetering!E21+Submetering!F21+Submetering!G21+Submetering!H21+Submetering!I21+Submetering!J21</f>
        <v>#VALUE!</v>
      </c>
      <c r="F21" s="5">
        <v>0.44</v>
      </c>
      <c r="G21" s="6" t="e">
        <f>Submetering!M21</f>
        <v>#VALUE!</v>
      </c>
      <c r="H21" s="12">
        <v>2.5</v>
      </c>
      <c r="I21" s="6" t="e">
        <f>Submetering!L21</f>
        <v>#VALUE!</v>
      </c>
      <c r="J21" s="5">
        <v>0.06</v>
      </c>
      <c r="K21" s="275" t="e">
        <f>Submetering!K21</f>
        <v>#VALUE!</v>
      </c>
      <c r="L21" s="5">
        <v>1.1399999999999999</v>
      </c>
      <c r="M21" s="6" t="e">
        <f>INT('Daily Meter'!O25*434/100)</f>
        <v>#VALUE!</v>
      </c>
      <c r="N21" s="2" t="s">
        <v>12</v>
      </c>
    </row>
    <row r="22" spans="1:14" x14ac:dyDescent="0.25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Submetering!E22+Submetering!F22+Submetering!G22+Submetering!H22+Submetering!I22+Submetering!J22</f>
        <v>#VALUE!</v>
      </c>
      <c r="F22" s="5">
        <v>0.44</v>
      </c>
      <c r="G22" s="6" t="e">
        <f>Submetering!M22</f>
        <v>#VALUE!</v>
      </c>
      <c r="H22" s="12">
        <v>2.5</v>
      </c>
      <c r="I22" s="6" t="e">
        <f>Submetering!L22</f>
        <v>#VALUE!</v>
      </c>
      <c r="J22" s="5">
        <v>0.06</v>
      </c>
      <c r="K22" s="275" t="e">
        <f>Submetering!K22</f>
        <v>#VALUE!</v>
      </c>
      <c r="L22" s="5">
        <v>1.1399999999999999</v>
      </c>
      <c r="M22" s="6" t="e">
        <f>INT('Daily Meter'!O26*434/100)</f>
        <v>#VALUE!</v>
      </c>
      <c r="N22" s="2" t="s">
        <v>12</v>
      </c>
    </row>
    <row r="23" spans="1:14" x14ac:dyDescent="0.2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Submetering!E23+Submetering!F23+Submetering!G23+Submetering!H23+Submetering!I23+Submetering!J23</f>
        <v>#VALUE!</v>
      </c>
      <c r="F23" s="5">
        <v>0.44</v>
      </c>
      <c r="G23" s="6" t="e">
        <f>Submetering!M23</f>
        <v>#VALUE!</v>
      </c>
      <c r="H23" s="12">
        <v>2.5</v>
      </c>
      <c r="I23" s="6" t="e">
        <f>Submetering!L23</f>
        <v>#VALUE!</v>
      </c>
      <c r="J23" s="5">
        <v>0.06</v>
      </c>
      <c r="K23" s="275" t="e">
        <f>Submetering!K23</f>
        <v>#VALUE!</v>
      </c>
      <c r="L23" s="5">
        <v>1.1399999999999999</v>
      </c>
      <c r="M23" s="6" t="e">
        <f>INT('Daily Meter'!O27*434/100)</f>
        <v>#VALUE!</v>
      </c>
      <c r="N23" s="2" t="s">
        <v>12</v>
      </c>
    </row>
    <row r="24" spans="1:14" x14ac:dyDescent="0.2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Submetering!E24+Submetering!F24+Submetering!G24+Submetering!H24+Submetering!I24+Submetering!J24</f>
        <v>#VALUE!</v>
      </c>
      <c r="F24" s="5">
        <v>0.44</v>
      </c>
      <c r="G24" s="6" t="e">
        <f>Submetering!M24</f>
        <v>#VALUE!</v>
      </c>
      <c r="H24" s="12">
        <v>2.5</v>
      </c>
      <c r="I24" s="6" t="e">
        <f>Submetering!L24</f>
        <v>#VALUE!</v>
      </c>
      <c r="J24" s="5">
        <v>0.06</v>
      </c>
      <c r="K24" s="275" t="e">
        <f>Submetering!K24</f>
        <v>#VALUE!</v>
      </c>
      <c r="L24" s="5">
        <v>1.1399999999999999</v>
      </c>
      <c r="M24" s="6" t="e">
        <f>INT('Daily Meter'!O28*434/100)</f>
        <v>#VALUE!</v>
      </c>
      <c r="N24" s="2" t="s">
        <v>12</v>
      </c>
    </row>
    <row r="25" spans="1:14" x14ac:dyDescent="0.2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Submetering!E25+Submetering!F25+Submetering!G25+Submetering!H25+Submetering!I25+Submetering!J25</f>
        <v>#VALUE!</v>
      </c>
      <c r="F25" s="5">
        <v>0.44</v>
      </c>
      <c r="G25" s="6" t="e">
        <f>Submetering!M25</f>
        <v>#VALUE!</v>
      </c>
      <c r="H25" s="12">
        <v>2.5</v>
      </c>
      <c r="I25" s="6" t="e">
        <f>Submetering!L25</f>
        <v>#VALUE!</v>
      </c>
      <c r="J25" s="5">
        <v>0.06</v>
      </c>
      <c r="K25" s="275" t="e">
        <f>Submetering!K25</f>
        <v>#VALUE!</v>
      </c>
      <c r="L25" s="5">
        <v>1.1399999999999999</v>
      </c>
      <c r="M25" s="6" t="e">
        <f>INT('Daily Meter'!O29*434/100)</f>
        <v>#VALUE!</v>
      </c>
      <c r="N25" s="2" t="s">
        <v>12</v>
      </c>
    </row>
    <row r="26" spans="1:14" x14ac:dyDescent="0.2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Submetering!E26+Submetering!F26+Submetering!G26+Submetering!H26+Submetering!I26+Submetering!J26</f>
        <v>#VALUE!</v>
      </c>
      <c r="F26" s="5">
        <v>0.44</v>
      </c>
      <c r="G26" s="6" t="e">
        <f>Submetering!M26</f>
        <v>#VALUE!</v>
      </c>
      <c r="H26" s="12">
        <v>2.5</v>
      </c>
      <c r="I26" s="6" t="e">
        <f>Submetering!L26</f>
        <v>#VALUE!</v>
      </c>
      <c r="J26" s="5">
        <v>0.06</v>
      </c>
      <c r="K26" s="275" t="e">
        <f>Submetering!K26</f>
        <v>#VALUE!</v>
      </c>
      <c r="L26" s="5">
        <v>1.1399999999999999</v>
      </c>
      <c r="M26" s="6" t="e">
        <f>INT('Daily Meter'!O30*434/100)</f>
        <v>#VALUE!</v>
      </c>
      <c r="N26" s="2" t="s">
        <v>12</v>
      </c>
    </row>
    <row r="27" spans="1:14" x14ac:dyDescent="0.2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Submetering!E27+Submetering!F27+Submetering!G27+Submetering!H27+Submetering!I27+Submetering!J27</f>
        <v>#VALUE!</v>
      </c>
      <c r="F27" s="5">
        <v>0.44</v>
      </c>
      <c r="G27" s="6" t="e">
        <f>Submetering!M27</f>
        <v>#VALUE!</v>
      </c>
      <c r="H27" s="12">
        <v>2.5</v>
      </c>
      <c r="I27" s="6" t="e">
        <f>Submetering!L27</f>
        <v>#VALUE!</v>
      </c>
      <c r="J27" s="5">
        <v>0.06</v>
      </c>
      <c r="K27" s="275" t="e">
        <f>Submetering!K27</f>
        <v>#VALUE!</v>
      </c>
      <c r="L27" s="5">
        <v>1.1399999999999999</v>
      </c>
      <c r="M27" s="6" t="e">
        <f>INT('Daily Meter'!O31*434/100)</f>
        <v>#VALUE!</v>
      </c>
      <c r="N27" s="2" t="s">
        <v>12</v>
      </c>
    </row>
    <row r="28" spans="1:14" x14ac:dyDescent="0.2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Submetering!E28+Submetering!F28+Submetering!G28+Submetering!H28+Submetering!I28+Submetering!J28</f>
        <v>#VALUE!</v>
      </c>
      <c r="F28" s="5">
        <v>0.44</v>
      </c>
      <c r="G28" s="6" t="e">
        <f>Submetering!M28</f>
        <v>#VALUE!</v>
      </c>
      <c r="H28" s="12">
        <v>2.5</v>
      </c>
      <c r="I28" s="6" t="e">
        <f>Submetering!L28</f>
        <v>#VALUE!</v>
      </c>
      <c r="J28" s="5">
        <v>0.06</v>
      </c>
      <c r="K28" s="275" t="e">
        <f>Submetering!K28</f>
        <v>#VALUE!</v>
      </c>
      <c r="L28" s="5">
        <v>1.1399999999999999</v>
      </c>
      <c r="M28" s="6" t="e">
        <f>INT('Daily Meter'!O32*434/100)</f>
        <v>#VALUE!</v>
      </c>
      <c r="N28" s="2" t="s">
        <v>12</v>
      </c>
    </row>
    <row r="29" spans="1:14" x14ac:dyDescent="0.2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Submetering!E29+Submetering!F29+Submetering!G29+Submetering!H29+Submetering!I29+Submetering!J29</f>
        <v>#VALUE!</v>
      </c>
      <c r="F29" s="5">
        <v>0.44</v>
      </c>
      <c r="G29" s="6" t="e">
        <f>Submetering!M29</f>
        <v>#VALUE!</v>
      </c>
      <c r="H29" s="12">
        <v>2.5</v>
      </c>
      <c r="I29" s="6" t="e">
        <f>Submetering!L29</f>
        <v>#VALUE!</v>
      </c>
      <c r="J29" s="5">
        <v>0.06</v>
      </c>
      <c r="K29" s="275" t="e">
        <f>Submetering!K29</f>
        <v>#VALUE!</v>
      </c>
      <c r="L29" s="5">
        <v>1.1399999999999999</v>
      </c>
      <c r="M29" s="6" t="e">
        <f>INT('Daily Meter'!O33*434/100)</f>
        <v>#VALUE!</v>
      </c>
      <c r="N29" s="2" t="s">
        <v>12</v>
      </c>
    </row>
    <row r="30" spans="1:14" x14ac:dyDescent="0.2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Submetering!E30+Submetering!F30+Submetering!G30+Submetering!H30+Submetering!I30+Submetering!J30</f>
        <v>#VALUE!</v>
      </c>
      <c r="F30" s="5">
        <v>0.44</v>
      </c>
      <c r="G30" s="6" t="e">
        <f>Submetering!M30</f>
        <v>#VALUE!</v>
      </c>
      <c r="H30" s="12">
        <v>2.5</v>
      </c>
      <c r="I30" s="6" t="e">
        <f>Submetering!L30</f>
        <v>#VALUE!</v>
      </c>
      <c r="J30" s="5">
        <v>0.06</v>
      </c>
      <c r="K30" s="275" t="e">
        <f>Submetering!K30</f>
        <v>#VALUE!</v>
      </c>
      <c r="L30" s="5">
        <v>1.1399999999999999</v>
      </c>
      <c r="M30" s="6" t="e">
        <f>INT('Daily Meter'!O34*434/100)</f>
        <v>#VALUE!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opLeftCell="B1" zoomScaleNormal="100" workbookViewId="0">
      <selection activeCell="N4" sqref="N4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 x14ac:dyDescent="0.2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 x14ac:dyDescent="0.2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12909.035999998343</v>
      </c>
      <c r="L2" s="6">
        <f>IF(('Daily Meter'!C6-'1'!D10)&lt;0,"0",'Daily Meter'!C6-'1'!D10)*219.969</f>
        <v>100305.864</v>
      </c>
      <c r="M2" s="6">
        <f>IF(('Daily Meter'!N6-'1'!D22)&lt;0,"0",'Daily Meter'!N6-'1'!D22)*3.7</f>
        <v>15863.380000000034</v>
      </c>
      <c r="N2" s="6">
        <f>Total!M2</f>
        <v>330</v>
      </c>
      <c r="O2" s="2" t="s">
        <v>12</v>
      </c>
    </row>
    <row r="3" spans="1:15" x14ac:dyDescent="0.2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 t="s">
        <v>12</v>
      </c>
    </row>
    <row r="4" spans="1:15" x14ac:dyDescent="0.2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 t="s">
        <v>12</v>
      </c>
    </row>
    <row r="5" spans="1:15" x14ac:dyDescent="0.2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 t="s">
        <v>12</v>
      </c>
    </row>
    <row r="6" spans="1:15" x14ac:dyDescent="0.2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379</v>
      </c>
      <c r="O6" s="2" t="s">
        <v>12</v>
      </c>
    </row>
    <row r="7" spans="1:15" x14ac:dyDescent="0.2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IF(('Daily Meter'!H11-'Daily Meter'!H10)&lt;0,"0",'Daily Meter'!H11-'Daily Meter'!H10)*480</f>
        <v>3264.0000000000873</v>
      </c>
      <c r="F7" s="6">
        <f>IF(('Daily Meter'!I11-'Daily Meter'!I10)&lt;0,"0",'Daily Meter'!I11-'Daily Meter'!I10)*480</f>
        <v>2207.9999999997381</v>
      </c>
      <c r="G7" s="6">
        <f>IF(('Daily Meter'!J11-'Daily Meter'!J10)&lt;0,"0",'Daily Meter'!J11-'Daily Meter'!J10)*480</f>
        <v>2304.0000000000873</v>
      </c>
      <c r="H7" s="6">
        <f>IF(('Daily Meter'!K11-'Daily Meter'!K10)&lt;0,"0",'Daily Meter'!K11-'Daily Meter'!K10)*480</f>
        <v>1344.0000000000873</v>
      </c>
      <c r="I7" s="6">
        <f>IF(('Daily Meter'!L11-'Daily Meter'!L10)&lt;0,"0",'Daily Meter'!L11-'Daily Meter'!L10)*480</f>
        <v>2160</v>
      </c>
      <c r="J7" s="6">
        <f>IF(('Daily Meter'!M11-'Daily Meter'!M10)&lt;0,"0",'Daily Meter'!M11-'Daily Meter'!M10)*480</f>
        <v>5615.9999999994761</v>
      </c>
      <c r="K7" s="6">
        <f>IF(('Daily Meter'!B11-'Daily Meter'!B10)&lt;0,"0",'Daily Meter'!B11-'Daily Meter'!B10)*284.34</f>
        <v>5146.5539999995854</v>
      </c>
      <c r="L7" s="6">
        <f>IF(('Daily Meter'!C11-'Daily Meter'!C10)&lt;0,"0",'Daily Meter'!C11-'Daily Meter'!C10)*219.969</f>
        <v>43113.923999999999</v>
      </c>
      <c r="M7" s="6">
        <f>IF(('Daily Meter'!N11-'Daily Meter'!N10)&lt;0,"0",'Daily Meter'!N11-'Daily Meter'!N10)*3.7</f>
        <v>476.5600000000108</v>
      </c>
      <c r="N7" s="6">
        <f>Total!M7</f>
        <v>395</v>
      </c>
      <c r="O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IF(('Daily Meter'!H12-'Daily Meter'!H11)&lt;0,"0",'Daily Meter'!H12-'Daily Meter'!H11)*480</f>
        <v>3263.9999999996508</v>
      </c>
      <c r="F8" s="6">
        <f>IF(('Daily Meter'!I12-'Daily Meter'!I11)&lt;0,"0",'Daily Meter'!I12-'Daily Meter'!I11)*480</f>
        <v>2160</v>
      </c>
      <c r="G8" s="6">
        <f>IF(('Daily Meter'!J12-'Daily Meter'!J11)&lt;0,"0",'Daily Meter'!J12-'Daily Meter'!J11)*480</f>
        <v>2207.9999999997381</v>
      </c>
      <c r="H8" s="6">
        <f>IF(('Daily Meter'!K12-'Daily Meter'!K11)&lt;0,"0",'Daily Meter'!K12-'Daily Meter'!K11)*480</f>
        <v>1343.999999999869</v>
      </c>
      <c r="I8" s="6">
        <f>IF(('Daily Meter'!L12-'Daily Meter'!L11)&lt;0,"0",'Daily Meter'!L12-'Daily Meter'!L11)*480</f>
        <v>2160</v>
      </c>
      <c r="J8" s="6">
        <f>IF(('Daily Meter'!M12-'Daily Meter'!M11)&lt;0,"0",'Daily Meter'!M12-'Daily Meter'!M11)*480</f>
        <v>5616.0000000003492</v>
      </c>
      <c r="K8" s="6">
        <f>IF(('Daily Meter'!B12-'Daily Meter'!B11)&lt;0,"0",'Daily Meter'!B12-'Daily Meter'!B11)*284.34</f>
        <v>5260.29</v>
      </c>
      <c r="L8" s="6">
        <f>IF(('Daily Meter'!C12-'Daily Meter'!C11)&lt;0,"0",'Daily Meter'!C12-'Daily Meter'!C11)*219.969</f>
        <v>40254.326999999997</v>
      </c>
      <c r="M8" s="6">
        <f>IF(('Daily Meter'!N12-'Daily Meter'!N11)&lt;0,"0",'Daily Meter'!N12-'Daily Meter'!N11)*3.7</f>
        <v>505.42000000002156</v>
      </c>
      <c r="N8" s="6">
        <f>Total!M8</f>
        <v>396</v>
      </c>
      <c r="O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IF(('Daily Meter'!H13-'Daily Meter'!H12)&lt;0,"0",'Daily Meter'!H13-'Daily Meter'!H12)*480</f>
        <v>3312.0000000002619</v>
      </c>
      <c r="F9" s="6">
        <f>IF(('Daily Meter'!I13-'Daily Meter'!I12)&lt;0,"0",'Daily Meter'!I13-'Daily Meter'!I12)*480</f>
        <v>2064.0000000000873</v>
      </c>
      <c r="G9" s="6">
        <f>IF(('Daily Meter'!J13-'Daily Meter'!J12)&lt;0,"0",'Daily Meter'!J13-'Daily Meter'!J12)*480</f>
        <v>2208.0000000001746</v>
      </c>
      <c r="H9" s="6">
        <f>IF(('Daily Meter'!K13-'Daily Meter'!K12)&lt;0,"0",'Daily Meter'!K13-'Daily Meter'!K12)*480</f>
        <v>1344.0000000000873</v>
      </c>
      <c r="I9" s="6">
        <f>IF(('Daily Meter'!L13-'Daily Meter'!L12)&lt;0,"0",'Daily Meter'!L13-'Daily Meter'!L12)*480</f>
        <v>2207.9999999997381</v>
      </c>
      <c r="J9" s="6">
        <f>IF(('Daily Meter'!M13-'Daily Meter'!M12)&lt;0,"0",'Daily Meter'!M13-'Daily Meter'!M12)*480</f>
        <v>5855.9999999994761</v>
      </c>
      <c r="K9" s="6">
        <f>IF(('Daily Meter'!B13-'Daily Meter'!B12)&lt;0,"0",'Daily Meter'!B13-'Daily Meter'!B12)*284.34</f>
        <v>5004.3839999995862</v>
      </c>
      <c r="L9" s="6">
        <f>IF(('Daily Meter'!C13-'Daily Meter'!C12)&lt;0,"0",'Daily Meter'!C13-'Daily Meter'!C12)*219.969</f>
        <v>42454.017</v>
      </c>
      <c r="M9" s="6">
        <f>IF(('Daily Meter'!N13-'Daily Meter'!N12)&lt;0,"0",'Daily Meter'!N13-'Daily Meter'!N12)*3.7</f>
        <v>510.22999999997847</v>
      </c>
      <c r="N9" s="6">
        <f>Total!M9</f>
        <v>409</v>
      </c>
      <c r="O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IF(('Daily Meter'!H14-'Daily Meter'!H13)&lt;0,"0",'Daily Meter'!H14-'Daily Meter'!H13)*480</f>
        <v>3360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2255.9999999999127</v>
      </c>
      <c r="H10" s="6">
        <f>IF(('Daily Meter'!K14-'Daily Meter'!K13)&lt;0,"0",'Daily Meter'!K14-'Daily Meter'!K13)*480</f>
        <v>1440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5061.2520000008271</v>
      </c>
      <c r="L10" s="6">
        <f>IF(('Daily Meter'!C14-'Daily Meter'!C13)&lt;0,"0",'Daily Meter'!C14-'Daily Meter'!C13)*219.969</f>
        <v>34975.070999999996</v>
      </c>
      <c r="M10" s="6">
        <f>IF(('Daily Meter'!N14-'Daily Meter'!N13)&lt;0,"0",'Daily Meter'!N14-'Daily Meter'!N13)*3.7</f>
        <v>496.17000000002156</v>
      </c>
      <c r="N10" s="6">
        <f>Total!M10</f>
        <v>391</v>
      </c>
      <c r="O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2160</v>
      </c>
      <c r="G11" s="6">
        <f>IF(('Daily Meter'!J15-'Daily Meter'!J14)&lt;0,"0",'Daily Meter'!J15-'Daily Meter'!J14)*480</f>
        <v>2352.0000000002619</v>
      </c>
      <c r="H11" s="6">
        <f>IF(('Daily Meter'!K15-'Daily Meter'!K14)&lt;0,"0",'Daily Meter'!K15-'Daily Meter'!K14)*480</f>
        <v>1343.999999999869</v>
      </c>
      <c r="I11" s="6">
        <f>IF(('Daily Meter'!L15-'Daily Meter'!L14)&lt;0,"0",'Daily Meter'!L15-'Daily Meter'!L14)*480</f>
        <v>2255.9999999999127</v>
      </c>
      <c r="J11" s="6">
        <f>IF(('Daily Meter'!M15-'Daily Meter'!M14)&lt;0,"0",'Daily Meter'!M15-'Daily Meter'!M14)*480</f>
        <v>5520</v>
      </c>
      <c r="K11" s="6">
        <f>IF(('Daily Meter'!B15-'Daily Meter'!B14)&lt;0,"0",'Daily Meter'!B15-'Daily Meter'!B14)*284.34</f>
        <v>5061.251999998758</v>
      </c>
      <c r="L11" s="6">
        <f>IF(('Daily Meter'!C15-'Daily Meter'!C14)&lt;0,"0",'Daily Meter'!C15-'Daily Meter'!C14)*219.969</f>
        <v>60931.413</v>
      </c>
      <c r="M11" s="6">
        <f>IF(('Daily Meter'!N15-'Daily Meter'!N14)&lt;0,"0",'Daily Meter'!N15-'Daily Meter'!N14)*3.7</f>
        <v>563.87999999997851</v>
      </c>
      <c r="N11" s="6">
        <f>Total!M11</f>
        <v>353</v>
      </c>
      <c r="O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IF(('Daily Meter'!H16-'Daily Meter'!H15)&lt;0,"0",'Daily Meter'!H16-'Daily Meter'!H15)*480</f>
        <v>3551.9999999998254</v>
      </c>
      <c r="F12" s="6">
        <f>IF(('Daily Meter'!I16-'Daily Meter'!I15)&lt;0,"0",'Daily Meter'!I16-'Daily Meter'!I15)*480</f>
        <v>2111.9999999998254</v>
      </c>
      <c r="G12" s="6">
        <f>IF(('Daily Meter'!J16-'Daily Meter'!J15)&lt;0,"0",'Daily Meter'!J16-'Daily Meter'!J15)*480</f>
        <v>2303.9999999996508</v>
      </c>
      <c r="H12" s="6">
        <f>IF(('Daily Meter'!K16-'Daily Meter'!K15)&lt;0,"0",'Daily Meter'!K16-'Daily Meter'!K15)*480</f>
        <v>1536.000000000131</v>
      </c>
      <c r="I12" s="6">
        <f>IF(('Daily Meter'!L16-'Daily Meter'!L15)&lt;0,"0",'Daily Meter'!L16-'Daily Meter'!L15)*480</f>
        <v>2255.9999999999127</v>
      </c>
      <c r="J12" s="6">
        <f>IF(('Daily Meter'!M16-'Daily Meter'!M15)&lt;0,"0",'Daily Meter'!M16-'Daily Meter'!M15)*480</f>
        <v>5616.0000000003492</v>
      </c>
      <c r="K12" s="6">
        <f>IF(('Daily Meter'!B16-'Daily Meter'!B15)&lt;0,"0",'Daily Meter'!B16-'Daily Meter'!B15)*284.34</f>
        <v>5374.0260000004137</v>
      </c>
      <c r="L12" s="6">
        <f>IF(('Daily Meter'!C16-'Daily Meter'!C15)&lt;0,"0",'Daily Meter'!C16-'Daily Meter'!C15)*219.969</f>
        <v>56092.095000000001</v>
      </c>
      <c r="M12" s="6">
        <f>IF(('Daily Meter'!N16-'Daily Meter'!N15)&lt;0,"0",'Daily Meter'!N16-'Daily Meter'!N15)*3.7</f>
        <v>507.27000000002158</v>
      </c>
      <c r="N12" s="6">
        <f>Total!M12</f>
        <v>384</v>
      </c>
      <c r="O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IF(('Daily Meter'!H17-'Daily Meter'!H16)&lt;0,"0",'Daily Meter'!H17-'Daily Meter'!H16)*480</f>
        <v>3408.0000000001746</v>
      </c>
      <c r="F13" s="6">
        <f>IF(('Daily Meter'!I17-'Daily Meter'!I16)&lt;0,"0",'Daily Meter'!I17-'Daily Meter'!I16)*480</f>
        <v>1920</v>
      </c>
      <c r="G13" s="6">
        <f>IF(('Daily Meter'!J17-'Daily Meter'!J16)&lt;0,"0",'Daily Meter'!J17-'Daily Meter'!J16)*480</f>
        <v>2160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2208.0000000001746</v>
      </c>
      <c r="J13" s="6">
        <f>IF(('Daily Meter'!M17-'Daily Meter'!M16)&lt;0,"0",'Daily Meter'!M17-'Daily Meter'!M16)*480</f>
        <v>5615.9999999994761</v>
      </c>
      <c r="K13" s="6">
        <f>IF(('Daily Meter'!B17-'Daily Meter'!B16)&lt;0,"0",'Daily Meter'!B17-'Daily Meter'!B16)*284.34</f>
        <v>4663.1760000004133</v>
      </c>
      <c r="L13" s="6">
        <f>IF(('Daily Meter'!C17-'Daily Meter'!C16)&lt;0,"0",'Daily Meter'!C17-'Daily Meter'!C16)*219.969</f>
        <v>46193.49</v>
      </c>
      <c r="M13" s="6">
        <f>IF(('Daily Meter'!N17-'Daily Meter'!N16)&lt;0,"0",'Daily Meter'!N17-'Daily Meter'!N16)*3.7</f>
        <v>522.43999999998925</v>
      </c>
      <c r="N13" s="6">
        <f>Total!M13</f>
        <v>345</v>
      </c>
      <c r="O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IF(('Daily Meter'!H18-'Daily Meter'!H17)&lt;0,"0",'Daily Meter'!H18-'Daily Meter'!H17)*480</f>
        <v>3407.9999999997381</v>
      </c>
      <c r="F14" s="6">
        <f>IF(('Daily Meter'!I18-'Daily Meter'!I17)&lt;0,"0",'Daily Meter'!I18-'Daily Meter'!I17)*480</f>
        <v>2064.0000000000873</v>
      </c>
      <c r="G14" s="6">
        <f>IF(('Daily Meter'!J18-'Daily Meter'!J17)&lt;0,"0",'Daily Meter'!J18-'Daily Meter'!J17)*480</f>
        <v>2112.0000000002619</v>
      </c>
      <c r="H14" s="6">
        <f>IF(('Daily Meter'!K18-'Daily Meter'!K17)&lt;0,"0",'Daily Meter'!K18-'Daily Meter'!K17)*480</f>
        <v>1296.000000000131</v>
      </c>
      <c r="I14" s="6">
        <f>IF(('Daily Meter'!L18-'Daily Meter'!L17)&lt;0,"0",'Daily Meter'!L18-'Daily Meter'!L17)*480</f>
        <v>2160</v>
      </c>
      <c r="J14" s="6">
        <f>IF(('Daily Meter'!M18-'Daily Meter'!M17)&lt;0,"0",'Daily Meter'!M18-'Daily Meter'!M17)*480</f>
        <v>5664.0000000005239</v>
      </c>
      <c r="K14" s="6">
        <f>IF(('Daily Meter'!B18-'Daily Meter'!B17)&lt;0,"0",'Daily Meter'!B18-'Daily Meter'!B17)*284.34</f>
        <v>5032.8179999991717</v>
      </c>
      <c r="L14" s="6">
        <f>IF(('Daily Meter'!C18-'Daily Meter'!C17)&lt;0,"0",'Daily Meter'!C18-'Daily Meter'!C17)*219.969</f>
        <v>38054.637000000002</v>
      </c>
      <c r="M14" s="6">
        <f>IF(('Daily Meter'!N18-'Daily Meter'!N17)&lt;0,"0",'Daily Meter'!N18-'Daily Meter'!N17)*3.7</f>
        <v>550.92999999997846</v>
      </c>
      <c r="N14" s="6">
        <f>Total!M14</f>
        <v>329</v>
      </c>
      <c r="O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IF(('Daily Meter'!H19-'Daily Meter'!H18)&lt;0,"0",'Daily Meter'!H19-'Daily Meter'!H18)*480</f>
        <v>3408.0000000001746</v>
      </c>
      <c r="F15" s="6">
        <f>IF(('Daily Meter'!I19-'Daily Meter'!I18)&lt;0,"0",'Daily Meter'!I19-'Daily Meter'!I18)*480</f>
        <v>2111.9999999998254</v>
      </c>
      <c r="G15" s="6">
        <f>IF(('Daily Meter'!J19-'Daily Meter'!J18)&lt;0,"0",'Daily Meter'!J19-'Daily Meter'!J18)*480</f>
        <v>2015.9999999999127</v>
      </c>
      <c r="H15" s="6">
        <f>IF(('Daily Meter'!K19-'Daily Meter'!K18)&lt;0,"0",'Daily Meter'!K19-'Daily Meter'!K18)*480</f>
        <v>1295.9999999999127</v>
      </c>
      <c r="I15" s="6">
        <f>IF(('Daily Meter'!L19-'Daily Meter'!L18)&lt;0,"0",'Daily Meter'!L19-'Daily Meter'!L18)*480</f>
        <v>2160</v>
      </c>
      <c r="J15" s="6">
        <f>IF(('Daily Meter'!M19-'Daily Meter'!M18)&lt;0,"0",'Daily Meter'!M19-'Daily Meter'!M18)*480</f>
        <v>5568.0000000001746</v>
      </c>
      <c r="K15" s="6">
        <f>IF(('Daily Meter'!B19-'Daily Meter'!B18)&lt;0,"0",'Daily Meter'!B19-'Daily Meter'!B18)*284.34</f>
        <v>5487.7620000008274</v>
      </c>
      <c r="L15" s="6">
        <f>IF(('Daily Meter'!C19-'Daily Meter'!C18)&lt;0,"0",'Daily Meter'!C19-'Daily Meter'!C18)*219.969</f>
        <v>41134.203000000001</v>
      </c>
      <c r="M15" s="6">
        <f>IF(('Daily Meter'!N19-'Daily Meter'!N18)&lt;0,"0",'Daily Meter'!N19-'Daily Meter'!N18)*3.7</f>
        <v>526.88000000003228</v>
      </c>
      <c r="N15" s="6">
        <f>Total!M15</f>
        <v>327</v>
      </c>
      <c r="O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IF(('Daily Meter'!H20-'Daily Meter'!H19)&lt;0,"0",'Daily Meter'!H20-'Daily Meter'!H19)*480</f>
        <v>3407.9999999997381</v>
      </c>
      <c r="F16" s="6">
        <f>IF(('Daily Meter'!I20-'Daily Meter'!I19)&lt;0,"0",'Daily Meter'!I20-'Daily Meter'!I19)*480</f>
        <v>2064.0000000000873</v>
      </c>
      <c r="G16" s="6">
        <f>IF(('Daily Meter'!J20-'Daily Meter'!J19)&lt;0,"0",'Daily Meter'!J20-'Daily Meter'!J19)*480</f>
        <v>2064.0000000000873</v>
      </c>
      <c r="H16" s="6">
        <f>IF(('Daily Meter'!K20-'Daily Meter'!K19)&lt;0,"0",'Daily Meter'!K20-'Daily Meter'!K19)*480</f>
        <v>1392.0000000000437</v>
      </c>
      <c r="I16" s="6">
        <f>IF(('Daily Meter'!L20-'Daily Meter'!L19)&lt;0,"0",'Daily Meter'!L20-'Daily Meter'!L19)*480</f>
        <v>2160</v>
      </c>
      <c r="J16" s="6">
        <f>IF(('Daily Meter'!M20-'Daily Meter'!M19)&lt;0,"0",'Daily Meter'!M20-'Daily Meter'!M19)*480</f>
        <v>5663.9999999996508</v>
      </c>
      <c r="K16" s="6">
        <f>IF(('Daily Meter'!B20-'Daily Meter'!B19)&lt;0,"0",'Daily Meter'!B20-'Daily Meter'!B19)*284.34</f>
        <v>6170.1779999991722</v>
      </c>
      <c r="L16" s="6">
        <f>IF(('Daily Meter'!C20-'Daily Meter'!C19)&lt;0,"0",'Daily Meter'!C20-'Daily Meter'!C19)*219.969</f>
        <v>33875.226000000002</v>
      </c>
      <c r="M16" s="6">
        <f>IF(('Daily Meter'!N20-'Daily Meter'!N19)&lt;0,"0",'Daily Meter'!N20-'Daily Meter'!N19)*3.7</f>
        <v>455.83999999998923</v>
      </c>
      <c r="N16" s="6">
        <f>Total!M16</f>
        <v>333</v>
      </c>
      <c r="O16" s="2" t="s">
        <v>12</v>
      </c>
    </row>
    <row r="17" spans="1:15" x14ac:dyDescent="0.25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IF(('Daily Meter'!H21-'Daily Meter'!H20)&lt;0,"0",'Daily Meter'!H21-'Daily Meter'!H20)*480</f>
        <v>3360</v>
      </c>
      <c r="F17" s="6">
        <f>IF(('Daily Meter'!I21-'Daily Meter'!I20)&lt;0,"0",'Daily Meter'!I21-'Daily Meter'!I20)*480</f>
        <v>2111.9999999998254</v>
      </c>
      <c r="G17" s="6">
        <f>IF(('Daily Meter'!J21-'Daily Meter'!J20)&lt;0,"0",'Daily Meter'!J21-'Daily Meter'!J20)*480</f>
        <v>2015.9999999999127</v>
      </c>
      <c r="H17" s="6">
        <f>IF(('Daily Meter'!K21-'Daily Meter'!K20)&lt;0,"0",'Daily Meter'!K21-'Daily Meter'!K20)*480</f>
        <v>1392.0000000000437</v>
      </c>
      <c r="I17" s="6">
        <f>IF(('Daily Meter'!L21-'Daily Meter'!L20)&lt;0,"0",'Daily Meter'!L21-'Daily Meter'!L20)*480</f>
        <v>2160</v>
      </c>
      <c r="J17" s="6">
        <f>IF(('Daily Meter'!M21-'Daily Meter'!M20)&lt;0,"0",'Daily Meter'!M21-'Daily Meter'!M20)*480</f>
        <v>5856.0000000003492</v>
      </c>
      <c r="K17" s="6">
        <f>IF(('Daily Meter'!B21-'Daily Meter'!B20)&lt;0,"0",'Daily Meter'!B21-'Daily Meter'!B20)*284.34</f>
        <v>7023.1980000012409</v>
      </c>
      <c r="L17" s="6">
        <f>IF(('Daily Meter'!C21-'Daily Meter'!C20)&lt;0,"0",'Daily Meter'!C21-'Daily Meter'!C20)*219.969</f>
        <v>41134.203000000001</v>
      </c>
      <c r="M17" s="6">
        <f>IF(('Daily Meter'!N21-'Daily Meter'!N20)&lt;0,"0",'Daily Meter'!N21-'Daily Meter'!N20)*3.7</f>
        <v>481.37000000002155</v>
      </c>
      <c r="N17" s="6">
        <f>Total!M17</f>
        <v>337</v>
      </c>
      <c r="O17" s="2" t="s">
        <v>12</v>
      </c>
    </row>
    <row r="18" spans="1:15" x14ac:dyDescent="0.25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IF(('Daily Meter'!H22-'Daily Meter'!H21)&lt;0,"0",'Daily Meter'!H22-'Daily Meter'!H21)*480</f>
        <v>3504.0000000000873</v>
      </c>
      <c r="F18" s="6">
        <f>IF(('Daily Meter'!I22-'Daily Meter'!I21)&lt;0,"0",'Daily Meter'!I22-'Daily Meter'!I21)*480</f>
        <v>2112.0000000002619</v>
      </c>
      <c r="G18" s="6">
        <f>IF(('Daily Meter'!J22-'Daily Meter'!J21)&lt;0,"0",'Daily Meter'!J22-'Daily Meter'!J21)*480</f>
        <v>2111.9999999998254</v>
      </c>
      <c r="H18" s="6">
        <f>IF(('Daily Meter'!K22-'Daily Meter'!K21)&lt;0,"0",'Daily Meter'!K22-'Daily Meter'!K21)*480</f>
        <v>1487.9999999999563</v>
      </c>
      <c r="I18" s="6">
        <f>IF(('Daily Meter'!L22-'Daily Meter'!L21)&lt;0,"0",'Daily Meter'!L22-'Daily Meter'!L21)*480</f>
        <v>2208.0000000001746</v>
      </c>
      <c r="J18" s="6">
        <f>IF(('Daily Meter'!M22-'Daily Meter'!M21)&lt;0,"0",'Daily Meter'!M22-'Daily Meter'!M21)*480</f>
        <v>5855.9999999994761</v>
      </c>
      <c r="K18" s="6">
        <f>IF(('Daily Meter'!B22-'Daily Meter'!B21)&lt;0,"0",'Daily Meter'!B22-'Daily Meter'!B21)*284.34</f>
        <v>7762.4819999987576</v>
      </c>
      <c r="L18" s="6">
        <f>IF(('Daily Meter'!C22-'Daily Meter'!C21)&lt;0,"0",'Daily Meter'!C22-'Daily Meter'!C21)*219.969</f>
        <v>34535.133000000002</v>
      </c>
      <c r="M18" s="6">
        <f>IF(('Daily Meter'!N22-'Daily Meter'!N21)&lt;0,"0",'Daily Meter'!N22-'Daily Meter'!N21)*3.7</f>
        <v>438.81999999996771</v>
      </c>
      <c r="N18" s="6">
        <f>Total!M18</f>
        <v>0</v>
      </c>
      <c r="O18" s="2" t="s">
        <v>12</v>
      </c>
    </row>
    <row r="19" spans="1:15" x14ac:dyDescent="0.25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IF(('Daily Meter'!H23-'Daily Meter'!H22)&lt;0,"0",'Daily Meter'!H23-'Daily Meter'!H22)*480</f>
        <v>#VALUE!</v>
      </c>
      <c r="F19" s="6" t="e">
        <f>IF(('Daily Meter'!I23-'Daily Meter'!I22)&lt;0,"0",'Daily Meter'!I23-'Daily Meter'!I22)*480</f>
        <v>#VALUE!</v>
      </c>
      <c r="G19" s="6" t="e">
        <f>IF(('Daily Meter'!J23-'Daily Meter'!J22)&lt;0,"0",'Daily Meter'!J23-'Daily Meter'!J22)*480</f>
        <v>#VALUE!</v>
      </c>
      <c r="H19" s="6" t="e">
        <f>IF(('Daily Meter'!K23-'Daily Meter'!K22)&lt;0,"0",'Daily Meter'!K23-'Daily Meter'!K22)*480</f>
        <v>#VALUE!</v>
      </c>
      <c r="I19" s="6" t="e">
        <f>IF(('Daily Meter'!L23-'Daily Meter'!L22)&lt;0,"0",'Daily Meter'!L23-'Daily Meter'!L22)*480</f>
        <v>#VALUE!</v>
      </c>
      <c r="J19" s="6" t="e">
        <f>IF(('Daily Meter'!M23-'Daily Meter'!M22)&lt;0,"0",'Daily Meter'!M23-'Daily Meter'!M22)*480</f>
        <v>#VALUE!</v>
      </c>
      <c r="K19" s="6" t="e">
        <f>IF(('Daily Meter'!B23-'Daily Meter'!B22)&lt;0,"0",'Daily Meter'!B23-'Daily Meter'!B22)*284.34</f>
        <v>#VALUE!</v>
      </c>
      <c r="L19" s="6" t="e">
        <f>IF(('Daily Meter'!C23-'Daily Meter'!C22)&lt;0,"0",'Daily Meter'!C23-'Daily Meter'!C22)*219.969</f>
        <v>#VALUE!</v>
      </c>
      <c r="M19" s="6" t="e">
        <f>IF(('Daily Meter'!N23-'Daily Meter'!N22)&lt;0,"0",'Daily Meter'!N23-'Daily Meter'!N22)*3.7</f>
        <v>#VALUE!</v>
      </c>
      <c r="N19" s="6" t="e">
        <f>Total!M19</f>
        <v>#VALUE!</v>
      </c>
      <c r="O19" s="2" t="s">
        <v>12</v>
      </c>
    </row>
    <row r="20" spans="1:15" x14ac:dyDescent="0.25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IF(('Daily Meter'!H24-'Daily Meter'!H23)&lt;0,"0",'Daily Meter'!H24-'Daily Meter'!H23)*480</f>
        <v>#VALUE!</v>
      </c>
      <c r="F20" s="6" t="e">
        <f>IF(('Daily Meter'!I24-'Daily Meter'!I23)&lt;0,"0",'Daily Meter'!I24-'Daily Meter'!I23)*480</f>
        <v>#VALUE!</v>
      </c>
      <c r="G20" s="6" t="e">
        <f>IF(('Daily Meter'!J24-'Daily Meter'!J23)&lt;0,"0",'Daily Meter'!J24-'Daily Meter'!J23)*480</f>
        <v>#VALUE!</v>
      </c>
      <c r="H20" s="6" t="e">
        <f>IF(('Daily Meter'!K24-'Daily Meter'!K23)&lt;0,"0",'Daily Meter'!K24-'Daily Meter'!K23)*480</f>
        <v>#VALUE!</v>
      </c>
      <c r="I20" s="6" t="e">
        <f>IF(('Daily Meter'!L24-'Daily Meter'!L23)&lt;0,"0",'Daily Meter'!L24-'Daily Meter'!L23)*480</f>
        <v>#VALUE!</v>
      </c>
      <c r="J20" s="6" t="e">
        <f>IF(('Daily Meter'!M24-'Daily Meter'!M23)&lt;0,"0",'Daily Meter'!M24-'Daily Meter'!M23)*480</f>
        <v>#VALUE!</v>
      </c>
      <c r="K20" s="6" t="e">
        <f>IF(('Daily Meter'!B24-'Daily Meter'!B23)&lt;0,"0",'Daily Meter'!B24-'Daily Meter'!B23)*284.34</f>
        <v>#VALUE!</v>
      </c>
      <c r="L20" s="6" t="e">
        <f>IF(('Daily Meter'!C24-'Daily Meter'!C23)&lt;0,"0",'Daily Meter'!C24-'Daily Meter'!C23)*219.969</f>
        <v>#VALUE!</v>
      </c>
      <c r="M20" s="6" t="e">
        <f>IF(('Daily Meter'!N24-'Daily Meter'!N23)&lt;0,"0",'Daily Meter'!N24-'Daily Meter'!N23)*3.7</f>
        <v>#VALUE!</v>
      </c>
      <c r="N20" s="6" t="e">
        <f>Total!M20</f>
        <v>#VALUE!</v>
      </c>
      <c r="O20" s="2" t="s">
        <v>12</v>
      </c>
    </row>
    <row r="21" spans="1:15" x14ac:dyDescent="0.25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IF(('Daily Meter'!H25-'Daily Meter'!H24)&lt;0,"0",'Daily Meter'!H25-'Daily Meter'!H24)*480</f>
        <v>#VALUE!</v>
      </c>
      <c r="F21" s="6" t="e">
        <f>IF(('Daily Meter'!I25-'Daily Meter'!I24)&lt;0,"0",'Daily Meter'!I25-'Daily Meter'!I24)*480</f>
        <v>#VALUE!</v>
      </c>
      <c r="G21" s="6" t="e">
        <f>IF(('Daily Meter'!J25-'Daily Meter'!J24)&lt;0,"0",'Daily Meter'!J25-'Daily Meter'!J24)*480</f>
        <v>#VALUE!</v>
      </c>
      <c r="H21" s="6" t="e">
        <f>IF(('Daily Meter'!K25-'Daily Meter'!K24)&lt;0,"0",'Daily Meter'!K25-'Daily Meter'!K24)*480</f>
        <v>#VALUE!</v>
      </c>
      <c r="I21" s="6" t="e">
        <f>IF(('Daily Meter'!L25-'Daily Meter'!L24)&lt;0,"0",'Daily Meter'!L25-'Daily Meter'!L24)*480</f>
        <v>#VALUE!</v>
      </c>
      <c r="J21" s="6" t="e">
        <f>IF(('Daily Meter'!M25-'Daily Meter'!M24)&lt;0,"0",'Daily Meter'!M25-'Daily Meter'!M24)*480</f>
        <v>#VALUE!</v>
      </c>
      <c r="K21" s="6" t="e">
        <f>IF(('Daily Meter'!B25-'Daily Meter'!B24)&lt;0,"0",'Daily Meter'!B25-'Daily Meter'!B24)*284.34</f>
        <v>#VALUE!</v>
      </c>
      <c r="L21" s="6" t="e">
        <f>IF(('Daily Meter'!C25-'Daily Meter'!C24)&lt;0,"0",'Daily Meter'!C25-'Daily Meter'!C24)*219.969</f>
        <v>#VALUE!</v>
      </c>
      <c r="M21" s="6" t="e">
        <f>IF(('Daily Meter'!N25-'Daily Meter'!N24)&lt;0,"0",'Daily Meter'!N25-'Daily Meter'!N24)*3.7</f>
        <v>#VALUE!</v>
      </c>
      <c r="N21" s="6" t="e">
        <f>Total!M21</f>
        <v>#VALUE!</v>
      </c>
      <c r="O21" s="2" t="s">
        <v>12</v>
      </c>
    </row>
    <row r="22" spans="1:15" x14ac:dyDescent="0.25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IF(('Daily Meter'!H26-'Daily Meter'!H25)&lt;0,"0",'Daily Meter'!H26-'Daily Meter'!H25)*480</f>
        <v>#VALUE!</v>
      </c>
      <c r="F22" s="6" t="e">
        <f>IF(('Daily Meter'!I26-'Daily Meter'!I25)&lt;0,"0",'Daily Meter'!I26-'Daily Meter'!I25)*480</f>
        <v>#VALUE!</v>
      </c>
      <c r="G22" s="6" t="e">
        <f>IF(('Daily Meter'!J26-'Daily Meter'!J25)&lt;0,"0",'Daily Meter'!J26-'Daily Meter'!J25)*480</f>
        <v>#VALUE!</v>
      </c>
      <c r="H22" s="6" t="e">
        <f>IF(('Daily Meter'!K26-'Daily Meter'!K25)&lt;0,"0",'Daily Meter'!K26-'Daily Meter'!K25)*480</f>
        <v>#VALUE!</v>
      </c>
      <c r="I22" s="6" t="e">
        <f>IF(('Daily Meter'!L26-'Daily Meter'!L25)&lt;0,"0",'Daily Meter'!L26-'Daily Meter'!L25)*480</f>
        <v>#VALUE!</v>
      </c>
      <c r="J22" s="6" t="e">
        <f>IF(('Daily Meter'!M26-'Daily Meter'!M25)&lt;0,"0",'Daily Meter'!M26-'Daily Meter'!M25)*480</f>
        <v>#VALUE!</v>
      </c>
      <c r="K22" s="6" t="e">
        <f>IF(('Daily Meter'!B26-'Daily Meter'!B25)&lt;0,"0",'Daily Meter'!B26-'Daily Meter'!B25)*284.34</f>
        <v>#VALUE!</v>
      </c>
      <c r="L22" s="6" t="e">
        <f>IF(('Daily Meter'!C26-'Daily Meter'!C25)&lt;0,"0",'Daily Meter'!C26-'Daily Meter'!C25)*219.969</f>
        <v>#VALUE!</v>
      </c>
      <c r="M22" s="6" t="e">
        <f>IF(('Daily Meter'!N26-'Daily Meter'!N25)&lt;0,"0",'Daily Meter'!N26-'Daily Meter'!N25)*3.7</f>
        <v>#VALUE!</v>
      </c>
      <c r="N22" s="6" t="e">
        <f>Total!M22</f>
        <v>#VALUE!</v>
      </c>
      <c r="O22" s="2" t="s">
        <v>12</v>
      </c>
    </row>
    <row r="23" spans="1:15" x14ac:dyDescent="0.2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IF(('Daily Meter'!H27-'Daily Meter'!H26)&lt;0,"0",'Daily Meter'!H27-'Daily Meter'!H26)*480</f>
        <v>#VALUE!</v>
      </c>
      <c r="F23" s="6" t="e">
        <f>IF(('Daily Meter'!I27-'Daily Meter'!I26)&lt;0,"0",'Daily Meter'!I27-'Daily Meter'!I26)*480</f>
        <v>#VALUE!</v>
      </c>
      <c r="G23" s="6" t="e">
        <f>IF(('Daily Meter'!J27-'Daily Meter'!J26)&lt;0,"0",'Daily Meter'!J27-'Daily Meter'!J26)*480</f>
        <v>#VALUE!</v>
      </c>
      <c r="H23" s="6" t="e">
        <f>IF(('Daily Meter'!K27-'Daily Meter'!K26)&lt;0,"0",'Daily Meter'!K27-'Daily Meter'!K26)*480</f>
        <v>#VALUE!</v>
      </c>
      <c r="I23" s="6" t="e">
        <f>IF(('Daily Meter'!L27-'Daily Meter'!L26)&lt;0,"0",'Daily Meter'!L27-'Daily Meter'!L26)*480</f>
        <v>#VALUE!</v>
      </c>
      <c r="J23" s="6" t="e">
        <f>IF(('Daily Meter'!M27-'Daily Meter'!M26)&lt;0,"0",'Daily Meter'!M27-'Daily Meter'!M26)*480</f>
        <v>#VALUE!</v>
      </c>
      <c r="K23" s="6" t="e">
        <f>IF(('Daily Meter'!B27-'Daily Meter'!B26)&lt;0,"0",'Daily Meter'!B27-'Daily Meter'!B26)*284.34</f>
        <v>#VALUE!</v>
      </c>
      <c r="L23" s="6" t="e">
        <f>IF(('Daily Meter'!C27-'Daily Meter'!C26)&lt;0,"0",'Daily Meter'!C27-'Daily Meter'!C26)*219.969</f>
        <v>#VALUE!</v>
      </c>
      <c r="M23" s="6" t="e">
        <f>IF(('Daily Meter'!N27-'Daily Meter'!N26)&lt;0,"0",'Daily Meter'!N27-'Daily Meter'!N26)*3.7</f>
        <v>#VALUE!</v>
      </c>
      <c r="N23" s="6" t="e">
        <f>Total!M23</f>
        <v>#VALUE!</v>
      </c>
      <c r="O23" s="2" t="s">
        <v>12</v>
      </c>
    </row>
    <row r="24" spans="1:15" x14ac:dyDescent="0.2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IF(('Daily Meter'!H28-'Daily Meter'!H27)&lt;0,"0",'Daily Meter'!H28-'Daily Meter'!H27)*480</f>
        <v>#VALUE!</v>
      </c>
      <c r="F24" s="6" t="e">
        <f>IF(('Daily Meter'!I28-'Daily Meter'!I27)&lt;0,"0",'Daily Meter'!I28-'Daily Meter'!I27)*480</f>
        <v>#VALUE!</v>
      </c>
      <c r="G24" s="6" t="e">
        <f>IF(('Daily Meter'!J28-'Daily Meter'!J27)&lt;0,"0",'Daily Meter'!J28-'Daily Meter'!J27)*480</f>
        <v>#VALUE!</v>
      </c>
      <c r="H24" s="6" t="e">
        <f>IF(('Daily Meter'!K28-'Daily Meter'!K27)&lt;0,"0",'Daily Meter'!K28-'Daily Meter'!K27)*480</f>
        <v>#VALUE!</v>
      </c>
      <c r="I24" s="6" t="e">
        <f>IF(('Daily Meter'!L28-'Daily Meter'!L27)&lt;0,"0",'Daily Meter'!L28-'Daily Meter'!L27)*480</f>
        <v>#VALUE!</v>
      </c>
      <c r="J24" s="6" t="e">
        <f>IF(('Daily Meter'!M28-'Daily Meter'!M27)&lt;0,"0",'Daily Meter'!M28-'Daily Meter'!M27)*480</f>
        <v>#VALUE!</v>
      </c>
      <c r="K24" s="6" t="e">
        <f>IF(('Daily Meter'!B28-'Daily Meter'!B27)&lt;0,"0",'Daily Meter'!B28-'Daily Meter'!B27)*284.34</f>
        <v>#VALUE!</v>
      </c>
      <c r="L24" s="6" t="e">
        <f>IF(('Daily Meter'!C28-'Daily Meter'!C27)&lt;0,"0",'Daily Meter'!C28-'Daily Meter'!C27)*219.969</f>
        <v>#VALUE!</v>
      </c>
      <c r="M24" s="6" t="e">
        <f>IF(('Daily Meter'!N28-'Daily Meter'!N27)&lt;0,"0",'Daily Meter'!N28-'Daily Meter'!N27)*3.7</f>
        <v>#VALUE!</v>
      </c>
      <c r="N24" s="6" t="e">
        <f>Total!M24</f>
        <v>#VALUE!</v>
      </c>
      <c r="O24" s="2" t="s">
        <v>12</v>
      </c>
    </row>
    <row r="25" spans="1:15" x14ac:dyDescent="0.2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IF(('Daily Meter'!H29-'Daily Meter'!H28)&lt;0,"0",'Daily Meter'!H29-'Daily Meter'!H28)*480</f>
        <v>#VALUE!</v>
      </c>
      <c r="F25" s="6" t="e">
        <f>IF(('Daily Meter'!I29-'Daily Meter'!I28)&lt;0,"0",'Daily Meter'!I29-'Daily Meter'!I28)*480</f>
        <v>#VALUE!</v>
      </c>
      <c r="G25" s="6" t="e">
        <f>IF(('Daily Meter'!J29-'Daily Meter'!J28)&lt;0,"0",'Daily Meter'!J29-'Daily Meter'!J28)*480</f>
        <v>#VALUE!</v>
      </c>
      <c r="H25" s="6" t="e">
        <f>IF(('Daily Meter'!K29-'Daily Meter'!K28)&lt;0,"0",'Daily Meter'!K29-'Daily Meter'!K28)*480</f>
        <v>#VALUE!</v>
      </c>
      <c r="I25" s="6" t="e">
        <f>IF(('Daily Meter'!L29-'Daily Meter'!L28)&lt;0,"0",'Daily Meter'!L29-'Daily Meter'!L28)*480</f>
        <v>#VALUE!</v>
      </c>
      <c r="J25" s="6" t="e">
        <f>IF(('Daily Meter'!M29-'Daily Meter'!M28)&lt;0,"0",'Daily Meter'!M29-'Daily Meter'!M28)*480</f>
        <v>#VALUE!</v>
      </c>
      <c r="K25" s="6" t="e">
        <f>IF(('Daily Meter'!B29-'Daily Meter'!B28)&lt;0,"0",'Daily Meter'!B29-'Daily Meter'!B28)*284.34</f>
        <v>#VALUE!</v>
      </c>
      <c r="L25" s="6" t="e">
        <f>IF(('Daily Meter'!C29-'Daily Meter'!C28)&lt;0,"0",'Daily Meter'!C29-'Daily Meter'!C28)*219.969</f>
        <v>#VALUE!</v>
      </c>
      <c r="M25" s="6" t="e">
        <f>IF(('Daily Meter'!N29-'Daily Meter'!N28)&lt;0,"0",'Daily Meter'!N29-'Daily Meter'!N28)*3.7</f>
        <v>#VALUE!</v>
      </c>
      <c r="N25" s="6" t="e">
        <f>Total!M25</f>
        <v>#VALUE!</v>
      </c>
      <c r="O25" s="2" t="s">
        <v>12</v>
      </c>
    </row>
    <row r="26" spans="1:15" x14ac:dyDescent="0.2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IF(('Daily Meter'!H30-'Daily Meter'!H29)&lt;0,"0",'Daily Meter'!H30-'Daily Meter'!H29)*480</f>
        <v>#VALUE!</v>
      </c>
      <c r="F26" s="6" t="e">
        <f>IF(('Daily Meter'!I30-'Daily Meter'!I29)&lt;0,"0",'Daily Meter'!I30-'Daily Meter'!I29)*480</f>
        <v>#VALUE!</v>
      </c>
      <c r="G26" s="6" t="e">
        <f>IF(('Daily Meter'!J30-'Daily Meter'!J29)&lt;0,"0",'Daily Meter'!J30-'Daily Meter'!J29)*480</f>
        <v>#VALUE!</v>
      </c>
      <c r="H26" s="6" t="e">
        <f>IF(('Daily Meter'!K30-'Daily Meter'!K29)&lt;0,"0",'Daily Meter'!K30-'Daily Meter'!K29)*480</f>
        <v>#VALUE!</v>
      </c>
      <c r="I26" s="6" t="e">
        <f>IF(('Daily Meter'!L30-'Daily Meter'!L29)&lt;0,"0",'Daily Meter'!L30-'Daily Meter'!L29)*480</f>
        <v>#VALUE!</v>
      </c>
      <c r="J26" s="6" t="e">
        <f>IF(('Daily Meter'!M30-'Daily Meter'!M29)&lt;0,"0",'Daily Meter'!M30-'Daily Meter'!M29)*480</f>
        <v>#VALUE!</v>
      </c>
      <c r="K26" s="6" t="e">
        <f>IF(('Daily Meter'!B30-'Daily Meter'!B29)&lt;0,"0",'Daily Meter'!B30-'Daily Meter'!B29)*284.34</f>
        <v>#VALUE!</v>
      </c>
      <c r="L26" s="6" t="e">
        <f>IF(('Daily Meter'!C30-'Daily Meter'!C29)&lt;0,"0",'Daily Meter'!C30-'Daily Meter'!C29)*219.969</f>
        <v>#VALUE!</v>
      </c>
      <c r="M26" s="6" t="e">
        <f>IF(('Daily Meter'!N30-'Daily Meter'!N29)&lt;0,"0",'Daily Meter'!N30-'Daily Meter'!N29)*3.7</f>
        <v>#VALUE!</v>
      </c>
      <c r="N26" s="6" t="e">
        <f>Total!M26</f>
        <v>#VALUE!</v>
      </c>
      <c r="O26" s="2" t="s">
        <v>12</v>
      </c>
    </row>
    <row r="27" spans="1:15" x14ac:dyDescent="0.2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IF(('Daily Meter'!H31-'Daily Meter'!H30)&lt;0,"0",'Daily Meter'!H31-'Daily Meter'!H30)*480</f>
        <v>#VALUE!</v>
      </c>
      <c r="F27" s="6" t="e">
        <f>IF(('Daily Meter'!I31-'Daily Meter'!I30)&lt;0,"0",'Daily Meter'!I31-'Daily Meter'!I30)*480</f>
        <v>#VALUE!</v>
      </c>
      <c r="G27" s="6" t="e">
        <f>IF(('Daily Meter'!J31-'Daily Meter'!J30)&lt;0,"0",'Daily Meter'!J31-'Daily Meter'!J30)*480</f>
        <v>#VALUE!</v>
      </c>
      <c r="H27" s="6" t="e">
        <f>IF(('Daily Meter'!K31-'Daily Meter'!K30)&lt;0,"0",'Daily Meter'!K31-'Daily Meter'!K30)*480</f>
        <v>#VALUE!</v>
      </c>
      <c r="I27" s="6" t="e">
        <f>IF(('Daily Meter'!L31-'Daily Meter'!L30)&lt;0,"0",'Daily Meter'!L31-'Daily Meter'!L30)*480</f>
        <v>#VALUE!</v>
      </c>
      <c r="J27" s="6" t="e">
        <f>IF(('Daily Meter'!M31-'Daily Meter'!M30)&lt;0,"0",'Daily Meter'!M31-'Daily Meter'!M30)*480</f>
        <v>#VALUE!</v>
      </c>
      <c r="K27" s="6" t="e">
        <f>IF(('Daily Meter'!B31-'Daily Meter'!B30)&lt;0,"0",'Daily Meter'!B31-'Daily Meter'!B30)*284.34</f>
        <v>#VALUE!</v>
      </c>
      <c r="L27" s="6" t="e">
        <f>IF(('Daily Meter'!C31-'Daily Meter'!C30)&lt;0,"0",'Daily Meter'!C31-'Daily Meter'!C30)*219.969</f>
        <v>#VALUE!</v>
      </c>
      <c r="M27" s="6" t="e">
        <f>IF(('Daily Meter'!N31-'Daily Meter'!N30)&lt;0,"0",'Daily Meter'!N31-'Daily Meter'!N30)*3.7</f>
        <v>#VALUE!</v>
      </c>
      <c r="N27" s="6" t="e">
        <f>Total!M27</f>
        <v>#VALUE!</v>
      </c>
      <c r="O27" s="2" t="s">
        <v>12</v>
      </c>
    </row>
    <row r="28" spans="1:15" x14ac:dyDescent="0.2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 t="e">
        <f>Total!M28</f>
        <v>#VALUE!</v>
      </c>
      <c r="O28" s="2" t="s">
        <v>12</v>
      </c>
    </row>
    <row r="29" spans="1:15" x14ac:dyDescent="0.2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 t="e">
        <f>Total!M29</f>
        <v>#VALUE!</v>
      </c>
      <c r="O29" s="2" t="s">
        <v>12</v>
      </c>
    </row>
    <row r="30" spans="1:15" x14ac:dyDescent="0.2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 t="e">
        <f>Total!M30</f>
        <v>#VALUE!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7" activePane="bottomRight" state="frozen"/>
      <selection pane="topRight" activeCell="B1" sqref="B1"/>
      <selection pane="bottomLeft" activeCell="A5" sqref="A5"/>
      <selection pane="bottomRight" activeCell="N27" sqref="N27"/>
    </sheetView>
  </sheetViews>
  <sheetFormatPr defaultColWidth="8.5703125" defaultRowHeight="15" x14ac:dyDescent="0.2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 x14ac:dyDescent="0.25">
      <c r="A1" s="300" t="s">
        <v>180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Q1" s="16" t="s">
        <v>22</v>
      </c>
    </row>
    <row r="2" spans="1:17" s="13" customFormat="1" x14ac:dyDescent="0.25">
      <c r="A2" s="17"/>
      <c r="B2" s="18" t="s">
        <v>23</v>
      </c>
      <c r="C2" s="301" t="s">
        <v>24</v>
      </c>
      <c r="D2" s="301"/>
      <c r="E2" s="301"/>
      <c r="F2" s="301"/>
      <c r="G2" s="301"/>
      <c r="H2" s="302" t="s">
        <v>25</v>
      </c>
      <c r="I2" s="302"/>
      <c r="J2" s="302"/>
      <c r="K2" s="302"/>
      <c r="L2" s="302"/>
      <c r="M2" s="302"/>
      <c r="N2" s="303" t="s">
        <v>26</v>
      </c>
      <c r="O2" s="304" t="s">
        <v>27</v>
      </c>
    </row>
    <row r="3" spans="1:17" s="13" customFormat="1" x14ac:dyDescent="0.25">
      <c r="A3" s="305" t="s">
        <v>28</v>
      </c>
      <c r="B3" s="19" t="s">
        <v>29</v>
      </c>
      <c r="C3" s="20" t="s">
        <v>30</v>
      </c>
      <c r="D3" s="306" t="s">
        <v>31</v>
      </c>
      <c r="E3" s="306"/>
      <c r="F3" s="307" t="s">
        <v>32</v>
      </c>
      <c r="G3" s="307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303"/>
      <c r="O3" s="304"/>
    </row>
    <row r="4" spans="1:17" s="13" customFormat="1" x14ac:dyDescent="0.25">
      <c r="A4" s="305"/>
      <c r="B4" s="19" t="s">
        <v>36</v>
      </c>
      <c r="C4" s="22" t="s">
        <v>37</v>
      </c>
      <c r="D4" s="308" t="s">
        <v>38</v>
      </c>
      <c r="E4" s="308"/>
      <c r="F4" s="309" t="s">
        <v>39</v>
      </c>
      <c r="G4" s="309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 x14ac:dyDescent="0.25">
      <c r="A5" s="305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 x14ac:dyDescent="0.25">
      <c r="A6" s="26">
        <v>1</v>
      </c>
      <c r="B6" s="276">
        <v>54133.2</v>
      </c>
      <c r="C6" s="277">
        <v>209451</v>
      </c>
      <c r="D6" s="278"/>
      <c r="E6" s="278"/>
      <c r="F6" s="278"/>
      <c r="G6" s="279"/>
      <c r="H6" s="276">
        <v>6780</v>
      </c>
      <c r="I6" s="276">
        <v>4090.6</v>
      </c>
      <c r="J6" s="27">
        <v>4372.8999999999996</v>
      </c>
      <c r="K6" s="276">
        <v>2449.1</v>
      </c>
      <c r="L6" s="276">
        <v>5712.9</v>
      </c>
      <c r="M6" s="276">
        <v>15367.6</v>
      </c>
      <c r="N6" s="276">
        <v>94274.8</v>
      </c>
      <c r="O6" s="280">
        <v>76.040000000000006</v>
      </c>
    </row>
    <row r="7" spans="1:17" x14ac:dyDescent="0.25">
      <c r="A7" s="28">
        <v>2</v>
      </c>
      <c r="B7" s="27">
        <v>54157.3</v>
      </c>
      <c r="C7" s="281">
        <v>209619</v>
      </c>
      <c r="D7" s="282"/>
      <c r="E7" s="282"/>
      <c r="F7" s="282"/>
      <c r="G7" s="283"/>
      <c r="H7" s="27">
        <v>6787</v>
      </c>
      <c r="I7" s="27">
        <v>4095</v>
      </c>
      <c r="J7" s="27">
        <v>4377.3999999999996</v>
      </c>
      <c r="K7" s="27">
        <v>2451.9</v>
      </c>
      <c r="L7" s="27">
        <v>5717.4</v>
      </c>
      <c r="M7" s="27">
        <v>15379.6</v>
      </c>
      <c r="N7" s="27">
        <v>94415.1</v>
      </c>
      <c r="O7" s="284">
        <v>54.38</v>
      </c>
    </row>
    <row r="8" spans="1:17" x14ac:dyDescent="0.25">
      <c r="A8" s="28">
        <v>3</v>
      </c>
      <c r="B8" s="27">
        <v>54178.400000000001</v>
      </c>
      <c r="C8" s="281">
        <v>209795</v>
      </c>
      <c r="D8" s="282"/>
      <c r="E8" s="282"/>
      <c r="F8" s="282"/>
      <c r="G8" s="283"/>
      <c r="H8" s="27">
        <v>6794.2</v>
      </c>
      <c r="I8" s="27">
        <v>4099.5</v>
      </c>
      <c r="J8" s="27">
        <v>4382.1000000000004</v>
      </c>
      <c r="K8" s="27">
        <v>2454.6999999999998</v>
      </c>
      <c r="L8" s="27">
        <v>5721.9</v>
      </c>
      <c r="M8" s="27">
        <v>15391.6</v>
      </c>
      <c r="N8" s="27">
        <v>94548.5</v>
      </c>
      <c r="O8" s="284">
        <v>48.16</v>
      </c>
    </row>
    <row r="9" spans="1:17" x14ac:dyDescent="0.25">
      <c r="A9" s="28">
        <v>4</v>
      </c>
      <c r="B9" s="27">
        <v>54196.5</v>
      </c>
      <c r="C9" s="281">
        <v>209968</v>
      </c>
      <c r="D9" s="282"/>
      <c r="E9" s="282"/>
      <c r="F9" s="282"/>
      <c r="G9" s="283"/>
      <c r="H9" s="27">
        <v>6801</v>
      </c>
      <c r="I9" s="27">
        <v>4103.8</v>
      </c>
      <c r="J9" s="27">
        <v>4387.1000000000004</v>
      </c>
      <c r="K9" s="27">
        <v>2457.6</v>
      </c>
      <c r="L9" s="27">
        <v>5726.4</v>
      </c>
      <c r="M9" s="27">
        <v>15403.6</v>
      </c>
      <c r="N9" s="27">
        <v>94681.3</v>
      </c>
      <c r="O9" s="284">
        <v>70.510000000000005</v>
      </c>
    </row>
    <row r="10" spans="1:17" x14ac:dyDescent="0.25">
      <c r="A10" s="28">
        <v>5</v>
      </c>
      <c r="B10" s="292">
        <v>54213.8</v>
      </c>
      <c r="C10" s="293">
        <v>210134</v>
      </c>
      <c r="D10" s="294"/>
      <c r="E10" s="294"/>
      <c r="F10" s="294"/>
      <c r="G10" s="295"/>
      <c r="H10" s="292">
        <v>6807.8</v>
      </c>
      <c r="I10" s="292">
        <v>4108.1000000000004</v>
      </c>
      <c r="J10" s="292">
        <v>4392</v>
      </c>
      <c r="K10" s="292">
        <v>2460.5</v>
      </c>
      <c r="L10" s="292">
        <v>5730.8</v>
      </c>
      <c r="M10" s="292">
        <v>15415.7</v>
      </c>
      <c r="N10" s="292">
        <v>94807.9</v>
      </c>
      <c r="O10" s="296">
        <v>87.33</v>
      </c>
    </row>
    <row r="11" spans="1:17" x14ac:dyDescent="0.25">
      <c r="A11" s="28">
        <v>6</v>
      </c>
      <c r="B11" s="292">
        <v>54231.9</v>
      </c>
      <c r="C11" s="293">
        <v>210330</v>
      </c>
      <c r="D11" s="294"/>
      <c r="E11" s="294"/>
      <c r="F11" s="294"/>
      <c r="G11" s="295"/>
      <c r="H11" s="292">
        <v>6814.6</v>
      </c>
      <c r="I11" s="292">
        <v>4112.7</v>
      </c>
      <c r="J11" s="292">
        <v>4396.8</v>
      </c>
      <c r="K11" s="292">
        <v>2463.3000000000002</v>
      </c>
      <c r="L11" s="292">
        <v>5735.3</v>
      </c>
      <c r="M11" s="292">
        <v>15427.4</v>
      </c>
      <c r="N11" s="292">
        <v>94936.7</v>
      </c>
      <c r="O11" s="296">
        <v>91.24</v>
      </c>
    </row>
    <row r="12" spans="1:17" x14ac:dyDescent="0.25">
      <c r="A12" s="28">
        <v>7</v>
      </c>
      <c r="B12" s="292">
        <v>54250.400000000001</v>
      </c>
      <c r="C12" s="293">
        <v>210513</v>
      </c>
      <c r="D12" s="294"/>
      <c r="E12" s="294"/>
      <c r="F12" s="294"/>
      <c r="G12" s="295"/>
      <c r="H12" s="292">
        <v>6821.4</v>
      </c>
      <c r="I12" s="292">
        <v>4117.2</v>
      </c>
      <c r="J12" s="292">
        <v>4401.3999999999996</v>
      </c>
      <c r="K12" s="292">
        <v>2466.1</v>
      </c>
      <c r="L12" s="292">
        <v>5739.8</v>
      </c>
      <c r="M12" s="292">
        <v>15439.1</v>
      </c>
      <c r="N12" s="292">
        <v>95073.3</v>
      </c>
      <c r="O12" s="299">
        <v>91.27</v>
      </c>
    </row>
    <row r="13" spans="1:17" x14ac:dyDescent="0.25">
      <c r="A13" s="28">
        <v>8</v>
      </c>
      <c r="B13" s="27">
        <v>54268</v>
      </c>
      <c r="C13" s="27">
        <v>210706</v>
      </c>
      <c r="D13" s="27"/>
      <c r="E13" s="27"/>
      <c r="F13" s="27"/>
      <c r="G13" s="27"/>
      <c r="H13" s="27">
        <v>6828.3</v>
      </c>
      <c r="I13" s="27">
        <v>4121.5</v>
      </c>
      <c r="J13" s="27">
        <v>4406</v>
      </c>
      <c r="K13" s="27">
        <v>2468.9</v>
      </c>
      <c r="L13" s="27">
        <v>5744.4</v>
      </c>
      <c r="M13" s="27">
        <v>15451.3</v>
      </c>
      <c r="N13" s="27">
        <v>95211.199999999997</v>
      </c>
      <c r="O13" s="299">
        <v>94.24</v>
      </c>
    </row>
    <row r="14" spans="1:17" x14ac:dyDescent="0.25">
      <c r="A14" s="28">
        <v>9</v>
      </c>
      <c r="B14" s="292">
        <v>54285.8</v>
      </c>
      <c r="C14" s="293">
        <v>210865</v>
      </c>
      <c r="D14" s="294"/>
      <c r="E14" s="294"/>
      <c r="F14" s="294"/>
      <c r="G14" s="295"/>
      <c r="H14" s="292">
        <v>6835.3</v>
      </c>
      <c r="I14" s="292">
        <v>4126.1000000000004</v>
      </c>
      <c r="J14" s="292">
        <v>4410.7</v>
      </c>
      <c r="K14" s="292">
        <v>2471.9</v>
      </c>
      <c r="L14" s="292">
        <v>5749</v>
      </c>
      <c r="M14" s="292">
        <v>15463.4</v>
      </c>
      <c r="N14" s="292">
        <v>95345.3</v>
      </c>
      <c r="O14" s="296">
        <v>90.32</v>
      </c>
    </row>
    <row r="15" spans="1:17" x14ac:dyDescent="0.25">
      <c r="A15" s="28">
        <v>10</v>
      </c>
      <c r="B15" s="292">
        <v>54303.6</v>
      </c>
      <c r="C15" s="293">
        <v>211142</v>
      </c>
      <c r="D15" s="294"/>
      <c r="E15" s="294"/>
      <c r="F15" s="294"/>
      <c r="G15" s="295"/>
      <c r="H15" s="292">
        <v>6842.6</v>
      </c>
      <c r="I15" s="292">
        <v>4130.6000000000004</v>
      </c>
      <c r="J15" s="292">
        <v>4415.6000000000004</v>
      </c>
      <c r="K15" s="292">
        <v>2474.6999999999998</v>
      </c>
      <c r="L15" s="292">
        <v>5753.7</v>
      </c>
      <c r="M15" s="292">
        <v>15474.9</v>
      </c>
      <c r="N15" s="292">
        <v>95497.7</v>
      </c>
      <c r="O15" s="296">
        <v>81.34</v>
      </c>
    </row>
    <row r="16" spans="1:17" x14ac:dyDescent="0.25">
      <c r="A16" s="28">
        <v>11</v>
      </c>
      <c r="B16" s="292">
        <v>54322.5</v>
      </c>
      <c r="C16" s="293">
        <v>211397</v>
      </c>
      <c r="D16" s="294"/>
      <c r="E16" s="294"/>
      <c r="F16" s="294"/>
      <c r="G16" s="295"/>
      <c r="H16" s="292">
        <v>6850</v>
      </c>
      <c r="I16" s="292">
        <v>4135</v>
      </c>
      <c r="J16" s="292">
        <v>4420.3999999999996</v>
      </c>
      <c r="K16" s="292">
        <v>2477.9</v>
      </c>
      <c r="L16" s="292">
        <v>5758.4</v>
      </c>
      <c r="M16" s="292">
        <v>15486.6</v>
      </c>
      <c r="N16" s="292">
        <v>95634.8</v>
      </c>
      <c r="O16" s="296">
        <v>88.48</v>
      </c>
    </row>
    <row r="17" spans="1:17" x14ac:dyDescent="0.25">
      <c r="A17" s="28">
        <v>12</v>
      </c>
      <c r="B17" s="292">
        <v>54338.9</v>
      </c>
      <c r="C17" s="293">
        <v>211607</v>
      </c>
      <c r="D17" s="294"/>
      <c r="E17" s="294"/>
      <c r="F17" s="294"/>
      <c r="G17" s="295"/>
      <c r="H17" s="292">
        <v>6857.1</v>
      </c>
      <c r="I17" s="292">
        <v>4139</v>
      </c>
      <c r="J17" s="292">
        <v>4424.8999999999996</v>
      </c>
      <c r="K17" s="292">
        <v>2480.6</v>
      </c>
      <c r="L17" s="292">
        <v>5763</v>
      </c>
      <c r="M17" s="292">
        <v>15498.3</v>
      </c>
      <c r="N17" s="292">
        <v>95776</v>
      </c>
      <c r="O17" s="296">
        <v>79.72</v>
      </c>
    </row>
    <row r="18" spans="1:17" x14ac:dyDescent="0.25">
      <c r="A18" s="28">
        <v>13</v>
      </c>
      <c r="B18" s="292">
        <v>54356.6</v>
      </c>
      <c r="C18" s="293">
        <v>211780</v>
      </c>
      <c r="D18" s="294"/>
      <c r="E18" s="294"/>
      <c r="F18" s="294"/>
      <c r="G18" s="295"/>
      <c r="H18" s="292">
        <v>6864.2</v>
      </c>
      <c r="I18" s="292">
        <v>4143.3</v>
      </c>
      <c r="J18" s="292">
        <v>4429.3</v>
      </c>
      <c r="K18" s="292">
        <v>2483.3000000000002</v>
      </c>
      <c r="L18" s="292">
        <v>5767.5</v>
      </c>
      <c r="M18" s="292">
        <v>15510.1</v>
      </c>
      <c r="N18" s="292">
        <v>95924.9</v>
      </c>
      <c r="O18" s="296">
        <v>75.81</v>
      </c>
    </row>
    <row r="19" spans="1:17" x14ac:dyDescent="0.25">
      <c r="A19" s="28">
        <v>14</v>
      </c>
      <c r="B19" s="292">
        <v>54375.9</v>
      </c>
      <c r="C19" s="293">
        <v>211967</v>
      </c>
      <c r="D19" s="294"/>
      <c r="E19" s="294"/>
      <c r="F19" s="294"/>
      <c r="G19" s="295"/>
      <c r="H19" s="292">
        <v>6871.3</v>
      </c>
      <c r="I19" s="292">
        <v>4147.7</v>
      </c>
      <c r="J19" s="292">
        <v>4433.5</v>
      </c>
      <c r="K19" s="292">
        <v>2486</v>
      </c>
      <c r="L19" s="292">
        <v>5772</v>
      </c>
      <c r="M19" s="292">
        <v>15521.7</v>
      </c>
      <c r="N19" s="292">
        <v>96067.3</v>
      </c>
      <c r="O19" s="296">
        <v>75.349999999999994</v>
      </c>
    </row>
    <row r="20" spans="1:17" x14ac:dyDescent="0.25">
      <c r="A20" s="28">
        <v>15</v>
      </c>
      <c r="B20" s="292">
        <v>54397.599999999999</v>
      </c>
      <c r="C20" s="293">
        <v>212121</v>
      </c>
      <c r="D20" s="294"/>
      <c r="E20" s="294"/>
      <c r="F20" s="294"/>
      <c r="G20" s="295"/>
      <c r="H20" s="292">
        <v>6878.4</v>
      </c>
      <c r="I20" s="292">
        <v>4152</v>
      </c>
      <c r="J20" s="292">
        <v>4437.8</v>
      </c>
      <c r="K20" s="292">
        <v>2488.9</v>
      </c>
      <c r="L20" s="292">
        <v>5776.5</v>
      </c>
      <c r="M20" s="292">
        <v>15533.5</v>
      </c>
      <c r="N20" s="292">
        <v>96190.5</v>
      </c>
      <c r="O20" s="296">
        <v>76.73</v>
      </c>
    </row>
    <row r="21" spans="1:17" x14ac:dyDescent="0.25">
      <c r="A21" s="28">
        <v>16</v>
      </c>
      <c r="B21" s="27">
        <v>54422.3</v>
      </c>
      <c r="C21" s="27">
        <v>212308</v>
      </c>
      <c r="D21" s="27"/>
      <c r="E21" s="27"/>
      <c r="F21" s="27"/>
      <c r="G21" s="27"/>
      <c r="H21" s="27">
        <v>6885.4</v>
      </c>
      <c r="I21" s="27">
        <v>4156.3999999999996</v>
      </c>
      <c r="J21" s="27">
        <v>4442</v>
      </c>
      <c r="K21" s="27">
        <v>2491.8000000000002</v>
      </c>
      <c r="L21" s="27">
        <v>5781</v>
      </c>
      <c r="M21" s="27">
        <v>15545.7</v>
      </c>
      <c r="N21" s="27">
        <v>96320.6</v>
      </c>
      <c r="O21" s="299">
        <v>77.650000000000006</v>
      </c>
    </row>
    <row r="22" spans="1:17" x14ac:dyDescent="0.25">
      <c r="A22" s="28">
        <v>17</v>
      </c>
      <c r="B22" s="27">
        <v>54449.599999999999</v>
      </c>
      <c r="C22" s="27">
        <v>212465</v>
      </c>
      <c r="D22" s="27"/>
      <c r="E22" s="27"/>
      <c r="F22" s="27"/>
      <c r="G22" s="27"/>
      <c r="H22" s="27">
        <v>6892.7</v>
      </c>
      <c r="I22" s="27">
        <v>4160.8</v>
      </c>
      <c r="J22" s="27">
        <v>4446.3999999999996</v>
      </c>
      <c r="K22" s="27">
        <v>2494.9</v>
      </c>
      <c r="L22" s="27">
        <v>5785.6</v>
      </c>
      <c r="M22" s="27">
        <v>15557.9</v>
      </c>
      <c r="N22" s="27">
        <v>96439.2</v>
      </c>
      <c r="O22" s="299"/>
    </row>
    <row r="23" spans="1:17" x14ac:dyDescent="0.25">
      <c r="A23" s="28">
        <v>18</v>
      </c>
      <c r="B23" s="27" t="s">
        <v>12</v>
      </c>
      <c r="C23" s="27" t="s">
        <v>12</v>
      </c>
      <c r="D23" s="27" t="s">
        <v>12</v>
      </c>
      <c r="E23" s="27" t="s">
        <v>12</v>
      </c>
      <c r="F23" s="27" t="s">
        <v>12</v>
      </c>
      <c r="G23" s="27" t="s">
        <v>12</v>
      </c>
      <c r="H23" s="27" t="s">
        <v>12</v>
      </c>
      <c r="I23" s="27" t="s">
        <v>12</v>
      </c>
      <c r="J23" s="27" t="s">
        <v>12</v>
      </c>
      <c r="K23" s="27" t="s">
        <v>12</v>
      </c>
      <c r="L23" s="27" t="s">
        <v>12</v>
      </c>
      <c r="M23" s="27" t="s">
        <v>12</v>
      </c>
      <c r="N23" s="27" t="s">
        <v>12</v>
      </c>
      <c r="O23" s="299" t="s">
        <v>12</v>
      </c>
      <c r="P23" s="29"/>
      <c r="Q23" s="29"/>
    </row>
    <row r="24" spans="1:17" x14ac:dyDescent="0.25">
      <c r="A24" s="28">
        <v>19</v>
      </c>
      <c r="B24" s="27" t="s">
        <v>12</v>
      </c>
      <c r="C24" s="27" t="s">
        <v>12</v>
      </c>
      <c r="D24" s="27" t="s">
        <v>12</v>
      </c>
      <c r="E24" s="27" t="s">
        <v>12</v>
      </c>
      <c r="F24" s="27" t="s">
        <v>12</v>
      </c>
      <c r="G24" s="27" t="s">
        <v>12</v>
      </c>
      <c r="H24" s="27" t="s">
        <v>12</v>
      </c>
      <c r="I24" s="27" t="s">
        <v>12</v>
      </c>
      <c r="J24" s="27" t="s">
        <v>12</v>
      </c>
      <c r="K24" s="27" t="s">
        <v>12</v>
      </c>
      <c r="L24" s="27" t="s">
        <v>12</v>
      </c>
      <c r="M24" s="27" t="s">
        <v>12</v>
      </c>
      <c r="N24" s="27" t="s">
        <v>12</v>
      </c>
      <c r="O24" s="299" t="s">
        <v>12</v>
      </c>
    </row>
    <row r="25" spans="1:17" x14ac:dyDescent="0.25">
      <c r="A25" s="28">
        <v>20</v>
      </c>
      <c r="B25" s="27" t="s">
        <v>12</v>
      </c>
      <c r="C25" s="27" t="s">
        <v>12</v>
      </c>
      <c r="D25" s="27" t="s">
        <v>12</v>
      </c>
      <c r="E25" s="27" t="s">
        <v>12</v>
      </c>
      <c r="F25" s="27" t="s">
        <v>12</v>
      </c>
      <c r="G25" s="27" t="s">
        <v>12</v>
      </c>
      <c r="H25" s="27" t="s">
        <v>12</v>
      </c>
      <c r="I25" s="27" t="s">
        <v>12</v>
      </c>
      <c r="J25" s="27" t="s">
        <v>12</v>
      </c>
      <c r="K25" s="27" t="s">
        <v>12</v>
      </c>
      <c r="L25" s="27" t="s">
        <v>12</v>
      </c>
      <c r="M25" s="27" t="s">
        <v>12</v>
      </c>
      <c r="N25" s="27" t="s">
        <v>12</v>
      </c>
      <c r="O25" s="299" t="s">
        <v>12</v>
      </c>
    </row>
    <row r="26" spans="1:17" x14ac:dyDescent="0.25">
      <c r="A26" s="28">
        <v>21</v>
      </c>
      <c r="B26" s="27" t="s">
        <v>12</v>
      </c>
      <c r="C26" s="27" t="s">
        <v>12</v>
      </c>
      <c r="D26" s="27" t="s">
        <v>12</v>
      </c>
      <c r="E26" s="27" t="s">
        <v>12</v>
      </c>
      <c r="F26" s="27" t="s">
        <v>12</v>
      </c>
      <c r="G26" s="27" t="s">
        <v>12</v>
      </c>
      <c r="H26" s="27" t="s">
        <v>12</v>
      </c>
      <c r="I26" s="27" t="s">
        <v>12</v>
      </c>
      <c r="J26" s="27" t="s">
        <v>12</v>
      </c>
      <c r="K26" s="27" t="s">
        <v>12</v>
      </c>
      <c r="L26" s="27" t="s">
        <v>12</v>
      </c>
      <c r="M26" s="27" t="s">
        <v>12</v>
      </c>
      <c r="N26" s="27" t="s">
        <v>12</v>
      </c>
      <c r="O26" s="299" t="s">
        <v>12</v>
      </c>
    </row>
    <row r="27" spans="1:17" x14ac:dyDescent="0.25">
      <c r="A27" s="28">
        <v>22</v>
      </c>
      <c r="B27" s="27" t="s">
        <v>12</v>
      </c>
      <c r="C27" s="27" t="s">
        <v>12</v>
      </c>
      <c r="D27" s="27" t="s">
        <v>12</v>
      </c>
      <c r="E27" s="27" t="s">
        <v>12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27" t="s">
        <v>12</v>
      </c>
      <c r="L27" s="27" t="s">
        <v>12</v>
      </c>
      <c r="M27" s="27" t="s">
        <v>12</v>
      </c>
      <c r="N27" s="27" t="s">
        <v>12</v>
      </c>
      <c r="O27" s="299" t="s">
        <v>12</v>
      </c>
    </row>
    <row r="28" spans="1:17" x14ac:dyDescent="0.25">
      <c r="A28" s="28">
        <v>23</v>
      </c>
      <c r="B28" s="27" t="s">
        <v>12</v>
      </c>
      <c r="C28" s="27" t="s">
        <v>12</v>
      </c>
      <c r="D28" s="27" t="s">
        <v>12</v>
      </c>
      <c r="E28" s="27" t="s">
        <v>12</v>
      </c>
      <c r="F28" s="27" t="s">
        <v>12</v>
      </c>
      <c r="G28" s="27" t="s">
        <v>12</v>
      </c>
      <c r="H28" s="27" t="s">
        <v>12</v>
      </c>
      <c r="I28" s="27" t="s">
        <v>12</v>
      </c>
      <c r="J28" s="27" t="s">
        <v>12</v>
      </c>
      <c r="K28" s="27" t="s">
        <v>12</v>
      </c>
      <c r="L28" s="27" t="s">
        <v>12</v>
      </c>
      <c r="M28" s="27" t="s">
        <v>12</v>
      </c>
      <c r="N28" s="27" t="s">
        <v>12</v>
      </c>
      <c r="O28" s="299" t="s">
        <v>12</v>
      </c>
    </row>
    <row r="29" spans="1:17" x14ac:dyDescent="0.25">
      <c r="A29" s="28">
        <v>24</v>
      </c>
      <c r="B29" s="27" t="s">
        <v>12</v>
      </c>
      <c r="C29" s="27" t="s">
        <v>12</v>
      </c>
      <c r="D29" s="27" t="s">
        <v>12</v>
      </c>
      <c r="E29" s="27" t="s">
        <v>12</v>
      </c>
      <c r="F29" s="27" t="s">
        <v>12</v>
      </c>
      <c r="G29" s="27" t="s">
        <v>12</v>
      </c>
      <c r="H29" s="27" t="s">
        <v>12</v>
      </c>
      <c r="I29" s="27" t="s">
        <v>12</v>
      </c>
      <c r="J29" s="27" t="s">
        <v>12</v>
      </c>
      <c r="K29" s="27" t="s">
        <v>12</v>
      </c>
      <c r="L29" s="27" t="s">
        <v>12</v>
      </c>
      <c r="M29" s="27" t="s">
        <v>12</v>
      </c>
      <c r="N29" s="27" t="s">
        <v>12</v>
      </c>
      <c r="O29" s="299" t="s">
        <v>12</v>
      </c>
      <c r="P29" s="30"/>
    </row>
    <row r="30" spans="1:17" x14ac:dyDescent="0.25">
      <c r="A30" s="28">
        <v>25</v>
      </c>
      <c r="B30" s="27" t="s">
        <v>12</v>
      </c>
      <c r="C30" s="27" t="s">
        <v>12</v>
      </c>
      <c r="D30" s="27" t="s">
        <v>12</v>
      </c>
      <c r="E30" s="27" t="s">
        <v>12</v>
      </c>
      <c r="F30" s="27" t="s">
        <v>12</v>
      </c>
      <c r="G30" s="27" t="s">
        <v>12</v>
      </c>
      <c r="H30" s="27" t="s">
        <v>12</v>
      </c>
      <c r="I30" s="27" t="s">
        <v>12</v>
      </c>
      <c r="J30" s="27" t="s">
        <v>12</v>
      </c>
      <c r="K30" s="27" t="s">
        <v>12</v>
      </c>
      <c r="L30" s="27" t="s">
        <v>12</v>
      </c>
      <c r="M30" s="27" t="s">
        <v>12</v>
      </c>
      <c r="N30" s="27" t="s">
        <v>12</v>
      </c>
      <c r="O30" s="299" t="s">
        <v>12</v>
      </c>
      <c r="P30" s="31"/>
      <c r="Q30" s="31"/>
    </row>
    <row r="31" spans="1:17" x14ac:dyDescent="0.25">
      <c r="A31" s="28">
        <v>26</v>
      </c>
      <c r="B31" s="27" t="s">
        <v>12</v>
      </c>
      <c r="C31" s="27" t="s">
        <v>12</v>
      </c>
      <c r="D31" s="27" t="s">
        <v>12</v>
      </c>
      <c r="E31" s="27" t="s">
        <v>12</v>
      </c>
      <c r="F31" s="27" t="s">
        <v>12</v>
      </c>
      <c r="G31" s="27" t="s">
        <v>12</v>
      </c>
      <c r="H31" s="27" t="s">
        <v>12</v>
      </c>
      <c r="I31" s="27" t="s">
        <v>12</v>
      </c>
      <c r="J31" s="27" t="s">
        <v>12</v>
      </c>
      <c r="K31" s="27" t="s">
        <v>12</v>
      </c>
      <c r="L31" s="27" t="s">
        <v>12</v>
      </c>
      <c r="M31" s="27" t="s">
        <v>12</v>
      </c>
      <c r="N31" s="27" t="s">
        <v>12</v>
      </c>
      <c r="O31" s="299" t="s">
        <v>12</v>
      </c>
    </row>
    <row r="32" spans="1:17" x14ac:dyDescent="0.25">
      <c r="A32" s="28">
        <v>27</v>
      </c>
      <c r="B32" s="27" t="s">
        <v>12</v>
      </c>
      <c r="C32" s="27" t="s">
        <v>12</v>
      </c>
      <c r="D32" s="27" t="s">
        <v>12</v>
      </c>
      <c r="E32" s="27" t="s">
        <v>12</v>
      </c>
      <c r="F32" s="27" t="s">
        <v>12</v>
      </c>
      <c r="G32" s="27" t="s">
        <v>12</v>
      </c>
      <c r="H32" s="27" t="s">
        <v>12</v>
      </c>
      <c r="I32" s="27" t="s">
        <v>12</v>
      </c>
      <c r="J32" s="27" t="s">
        <v>12</v>
      </c>
      <c r="K32" s="27" t="s">
        <v>12</v>
      </c>
      <c r="L32" s="27" t="s">
        <v>12</v>
      </c>
      <c r="M32" s="27" t="s">
        <v>12</v>
      </c>
      <c r="N32" s="27" t="s">
        <v>12</v>
      </c>
      <c r="O32" s="299" t="s">
        <v>12</v>
      </c>
    </row>
    <row r="33" spans="1:17" x14ac:dyDescent="0.25">
      <c r="A33" s="28">
        <v>28</v>
      </c>
      <c r="B33" s="27" t="s">
        <v>12</v>
      </c>
      <c r="C33" s="27" t="s">
        <v>12</v>
      </c>
      <c r="D33" s="27" t="s">
        <v>12</v>
      </c>
      <c r="E33" s="27" t="s">
        <v>12</v>
      </c>
      <c r="F33" s="27" t="s">
        <v>12</v>
      </c>
      <c r="G33" s="27" t="s">
        <v>12</v>
      </c>
      <c r="H33" s="27" t="s">
        <v>12</v>
      </c>
      <c r="I33" s="27" t="s">
        <v>12</v>
      </c>
      <c r="J33" s="27" t="s">
        <v>12</v>
      </c>
      <c r="K33" s="27" t="s">
        <v>12</v>
      </c>
      <c r="L33" s="27" t="s">
        <v>12</v>
      </c>
      <c r="M33" s="27" t="s">
        <v>12</v>
      </c>
      <c r="N33" s="27" t="s">
        <v>12</v>
      </c>
      <c r="O33" s="299" t="s">
        <v>12</v>
      </c>
    </row>
    <row r="34" spans="1:17" x14ac:dyDescent="0.25">
      <c r="A34" s="28">
        <v>29</v>
      </c>
      <c r="B34" s="27" t="s">
        <v>12</v>
      </c>
      <c r="C34" s="27" t="s">
        <v>12</v>
      </c>
      <c r="D34" s="27" t="s">
        <v>12</v>
      </c>
      <c r="E34" s="27" t="s">
        <v>12</v>
      </c>
      <c r="F34" s="27" t="s">
        <v>12</v>
      </c>
      <c r="G34" s="27" t="s">
        <v>12</v>
      </c>
      <c r="H34" s="27" t="s">
        <v>12</v>
      </c>
      <c r="I34" s="27" t="s">
        <v>12</v>
      </c>
      <c r="J34" s="27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99" t="s">
        <v>12</v>
      </c>
    </row>
    <row r="35" spans="1:17" x14ac:dyDescent="0.25">
      <c r="A35" s="28">
        <v>30</v>
      </c>
      <c r="B35" s="27" t="s">
        <v>12</v>
      </c>
      <c r="C35" s="27" t="s">
        <v>12</v>
      </c>
      <c r="D35" s="27" t="s">
        <v>12</v>
      </c>
      <c r="E35" s="27" t="s">
        <v>12</v>
      </c>
      <c r="F35" s="27" t="s">
        <v>12</v>
      </c>
      <c r="G35" s="27" t="s">
        <v>12</v>
      </c>
      <c r="H35" s="27" t="s">
        <v>12</v>
      </c>
      <c r="I35" s="27" t="s">
        <v>12</v>
      </c>
      <c r="J35" s="27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99" t="s">
        <v>12</v>
      </c>
    </row>
    <row r="36" spans="1:17" x14ac:dyDescent="0.25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 x14ac:dyDescent="0.25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78.66062500000001</v>
      </c>
    </row>
    <row r="38" spans="1:17" x14ac:dyDescent="0.25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sqref="A1:G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">
        <v>179</v>
      </c>
      <c r="C3" s="40">
        <v>1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 t="s">
        <v>178</v>
      </c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>
        <f>'[1]30'!E7</f>
        <v>54087.8</v>
      </c>
      <c r="E7" s="61">
        <f>'Daily Meter'!B6</f>
        <v>54133.2</v>
      </c>
      <c r="F7" s="62">
        <f>E7-D7</f>
        <v>45.399999999994179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>
        <f>F7*284.34</f>
        <v>12909.035999998343</v>
      </c>
      <c r="G8" s="66">
        <f>F8*0.63</f>
        <v>8132.692679998956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>
        <f>'[1]30'!E10</f>
        <v>208995</v>
      </c>
      <c r="E10" s="61">
        <f>'Daily Meter'!C6</f>
        <v>209451</v>
      </c>
      <c r="F10" s="62">
        <f>E10-D10</f>
        <v>456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100305.864</v>
      </c>
      <c r="G11" s="74">
        <f>F11*0.06</f>
        <v>6018.3518400000003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  <c r="H12" t="s">
        <v>12</v>
      </c>
    </row>
    <row r="13" spans="1:8" x14ac:dyDescent="0.25">
      <c r="A13" s="55">
        <v>1</v>
      </c>
      <c r="B13" s="57" t="s">
        <v>13</v>
      </c>
      <c r="C13" s="55" t="s">
        <v>67</v>
      </c>
      <c r="D13" s="60">
        <v>6773</v>
      </c>
      <c r="E13" s="61">
        <f>'Daily Meter'!H6</f>
        <v>6780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v>4086.5</v>
      </c>
      <c r="E14" s="61">
        <f>'Daily Meter'!I6</f>
        <v>4090.6</v>
      </c>
      <c r="F14" s="62">
        <f t="shared" si="0"/>
        <v>1967.9999999999563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v>4368.5</v>
      </c>
      <c r="E15" s="61">
        <f>'Daily Meter'!J6</f>
        <v>4372.8999999999996</v>
      </c>
      <c r="F15" s="62">
        <f t="shared" si="0"/>
        <v>2111.9999999998254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v>2446.3000000000002</v>
      </c>
      <c r="E16" s="61">
        <f>'Daily Meter'!K6</f>
        <v>2449.1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v>5708.3</v>
      </c>
      <c r="E17" s="61">
        <f>'Daily Meter'!L6</f>
        <v>5712.9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v>15355.7</v>
      </c>
      <c r="E18" s="61">
        <f>'Daily Meter'!M6</f>
        <v>15367.6</v>
      </c>
      <c r="F18" s="62">
        <f t="shared" si="0"/>
        <v>5711.9999999998254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16703.999999999214</v>
      </c>
      <c r="G19" s="66">
        <f>F19*0.43</f>
        <v>7182.7199999996619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v>89987.4</v>
      </c>
      <c r="E22" s="61">
        <f>'Daily Meter'!N6</f>
        <v>94274.8</v>
      </c>
      <c r="F22" s="85">
        <f>E22-D22</f>
        <v>4287.4000000000087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15863.380000000034</v>
      </c>
      <c r="G23" s="89">
        <f>F23*2.5</f>
        <v>39658.450000000084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12909.035999998343</v>
      </c>
      <c r="G28" s="99">
        <f>G8</f>
        <v>8132.692679998956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100305.864</v>
      </c>
      <c r="G29" s="99">
        <f>G11</f>
        <v>6018.3518400000003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16703.999999999214</v>
      </c>
      <c r="G30" s="99">
        <f>G19</f>
        <v>7182.7199999996619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4287.4000000000087</v>
      </c>
      <c r="G31" s="99">
        <f>G23</f>
        <v>39658.450000000084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60992.214519998699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'1'!E7</f>
        <v>54133.2</v>
      </c>
      <c r="E7" s="61">
        <f>'Daily Meter'!B7</f>
        <v>54157.3</v>
      </c>
      <c r="F7" s="62">
        <f>E7-D7</f>
        <v>24.100000000005821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6852.5940000016544</v>
      </c>
      <c r="G8" s="66">
        <f>F8*0.63</f>
        <v>4317.1342200010422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'1'!E10</f>
        <v>209451</v>
      </c>
      <c r="E10" s="61">
        <f>'Daily Meter'!C7</f>
        <v>209619</v>
      </c>
      <c r="F10" s="62">
        <f>E10-D10</f>
        <v>168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36954.792000000001</v>
      </c>
      <c r="G11" s="74">
        <f>F11*0.06</f>
        <v>2217.2875199999999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'1'!E13</f>
        <v>6780</v>
      </c>
      <c r="E13" s="61">
        <f>'Daily Meter'!H7</f>
        <v>6787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'1'!E14</f>
        <v>4090.6</v>
      </c>
      <c r="E14" s="61">
        <f>'Daily Meter'!I7</f>
        <v>4095</v>
      </c>
      <c r="F14" s="62">
        <f t="shared" si="0"/>
        <v>2112.0000000000437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'1'!E15</f>
        <v>4372.8999999999996</v>
      </c>
      <c r="E15" s="61">
        <f>'Daily Meter'!J7</f>
        <v>4377.3999999999996</v>
      </c>
      <c r="F15" s="62">
        <f t="shared" si="0"/>
        <v>2160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'1'!E16</f>
        <v>2449.1</v>
      </c>
      <c r="E16" s="61">
        <f>'Daily Meter'!K7</f>
        <v>2451.9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'1'!E17</f>
        <v>5712.9</v>
      </c>
      <c r="E17" s="61">
        <f>'Daily Meter'!L7</f>
        <v>5717.4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'1'!E18</f>
        <v>15367.6</v>
      </c>
      <c r="E18" s="61">
        <f>'Daily Meter'!M7</f>
        <v>15379.6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'1'!E22</f>
        <v>94274.8</v>
      </c>
      <c r="E22" s="61">
        <f>'Daily Meter'!N7</f>
        <v>94415.1</v>
      </c>
      <c r="F22" s="85">
        <f>E22-D22</f>
        <v>140.30000000000291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519.11000000001081</v>
      </c>
      <c r="G23" s="89">
        <f>F23*2.5</f>
        <v>1297.7750000000269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6852.5940000016544</v>
      </c>
      <c r="G28" s="99">
        <f>G8</f>
        <v>4317.1342200010422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36954.792000000001</v>
      </c>
      <c r="G29" s="99">
        <f>G11</f>
        <v>2217.2875199999999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140.30000000000291</v>
      </c>
      <c r="G31" s="99">
        <f>G23</f>
        <v>1297.7750000000269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15097.476740001126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3</v>
      </c>
      <c r="D3" s="42" t="s">
        <v>48</v>
      </c>
      <c r="E3" s="43">
        <f>'Daily Meter'!O8</f>
        <v>48.16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'2'!E7</f>
        <v>54157.3</v>
      </c>
      <c r="E7" s="61">
        <f>'Daily Meter'!B8</f>
        <v>54178.400000000001</v>
      </c>
      <c r="F7" s="62">
        <f>E7-D7</f>
        <v>21.099999999998545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5999.5739999995858</v>
      </c>
      <c r="G8" s="66">
        <f>F8*0.63</f>
        <v>3779.731619999739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'2'!E10</f>
        <v>209619</v>
      </c>
      <c r="E10" s="61">
        <f>'Daily Meter'!C8</f>
        <v>209795</v>
      </c>
      <c r="F10" s="62">
        <f>E10-D10</f>
        <v>176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38714.544000000002</v>
      </c>
      <c r="G11" s="74">
        <f>F11*0.06</f>
        <v>2322.87264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'2'!E13</f>
        <v>6787</v>
      </c>
      <c r="E13" s="61">
        <f>'Daily Meter'!H8</f>
        <v>6794.2</v>
      </c>
      <c r="F13" s="62">
        <f t="shared" ref="F13:F18" si="0">(E13-D13)*480</f>
        <v>3455.9999999999127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'2'!E14</f>
        <v>4095</v>
      </c>
      <c r="E14" s="61">
        <f>'Daily Meter'!I8</f>
        <v>4099.5</v>
      </c>
      <c r="F14" s="62">
        <f t="shared" si="0"/>
        <v>2160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'2'!E15</f>
        <v>4377.3999999999996</v>
      </c>
      <c r="E15" s="61">
        <f>'Daily Meter'!J8</f>
        <v>4382.1000000000004</v>
      </c>
      <c r="F15" s="62">
        <f t="shared" si="0"/>
        <v>2256.0000000003492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'2'!E16</f>
        <v>2451.9</v>
      </c>
      <c r="E16" s="61">
        <f>'Daily Meter'!K8</f>
        <v>2454.6999999999998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'2'!E17</f>
        <v>5717.4</v>
      </c>
      <c r="E17" s="61">
        <f>'Daily Meter'!L8</f>
        <v>5721.9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'2'!E18</f>
        <v>15379.6</v>
      </c>
      <c r="E18" s="61">
        <f>'Daily Meter'!M8</f>
        <v>15391.6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'2'!E22</f>
        <v>94415.1</v>
      </c>
      <c r="E22" s="61">
        <f>'Daily Meter'!N8</f>
        <v>94548.5</v>
      </c>
      <c r="F22" s="85">
        <f>E22-D22</f>
        <v>133.39999999999418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493.5799999999785</v>
      </c>
      <c r="G23" s="89">
        <f>F23*2.5</f>
        <v>1233.9499999999462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5999.5739999995858</v>
      </c>
      <c r="G28" s="99">
        <f>G8</f>
        <v>3779.731619999739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38714.544000000002</v>
      </c>
      <c r="G29" s="99">
        <f>G11</f>
        <v>2322.87264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133.39999999999418</v>
      </c>
      <c r="G31" s="99">
        <f>G23</f>
        <v>1233.9499999999462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14705.034259999742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4</v>
      </c>
      <c r="D3" s="42" t="s">
        <v>48</v>
      </c>
      <c r="E3" s="43">
        <f>'Daily Meter'!O9</f>
        <v>70.510000000000005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'3'!E7</f>
        <v>54178.400000000001</v>
      </c>
      <c r="E7" s="61">
        <f>'Daily Meter'!B9</f>
        <v>54196.5</v>
      </c>
      <c r="F7" s="62">
        <f>E7-D7</f>
        <v>18.099999999998545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'3'!E10</f>
        <v>209795</v>
      </c>
      <c r="E10" s="61">
        <f>'Daily Meter'!C9</f>
        <v>209968</v>
      </c>
      <c r="F10" s="62">
        <f>E10-D10</f>
        <v>173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'3'!E13</f>
        <v>6794.2</v>
      </c>
      <c r="E13" s="61">
        <f>'Daily Meter'!H9</f>
        <v>6801</v>
      </c>
      <c r="F13" s="62">
        <f t="shared" ref="F13:F18" si="0">(E13-D13)*480</f>
        <v>3264.0000000000873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'3'!E14</f>
        <v>4099.5</v>
      </c>
      <c r="E14" s="61">
        <f>'Daily Meter'!I9</f>
        <v>4103.8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'3'!E15</f>
        <v>4382.1000000000004</v>
      </c>
      <c r="E15" s="61">
        <f>'Daily Meter'!J9</f>
        <v>4387.1000000000004</v>
      </c>
      <c r="F15" s="62">
        <f t="shared" si="0"/>
        <v>2400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'3'!E16</f>
        <v>2454.6999999999998</v>
      </c>
      <c r="E16" s="61">
        <f>'Daily Meter'!K9</f>
        <v>2457.6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'3'!E17</f>
        <v>5721.9</v>
      </c>
      <c r="E17" s="61">
        <f>'Daily Meter'!L9</f>
        <v>5726.4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'3'!E18</f>
        <v>15391.6</v>
      </c>
      <c r="E18" s="61">
        <f>'Daily Meter'!M9</f>
        <v>15403.6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17040.000000000218</v>
      </c>
      <c r="G19" s="66">
        <f>F19*0.43</f>
        <v>7327.2000000000935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'3'!E22</f>
        <v>94548.5</v>
      </c>
      <c r="E22" s="61">
        <f>'Daily Meter'!N9</f>
        <v>94681.3</v>
      </c>
      <c r="F22" s="85">
        <f>E22-D22</f>
        <v>132.80000000000291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491.36000000001081</v>
      </c>
      <c r="G23" s="89">
        <f>F23*2.5</f>
        <v>1228.4000000000269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17040.000000000218</v>
      </c>
      <c r="G30" s="99">
        <f>G19</f>
        <v>7327.2000000000935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132.80000000000291</v>
      </c>
      <c r="G31" s="99">
        <f>G23</f>
        <v>1228.4000000000269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14081.20723999986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5</v>
      </c>
      <c r="D3" s="42" t="s">
        <v>48</v>
      </c>
      <c r="E3" s="43">
        <f>'Daily Meter'!O10</f>
        <v>87.33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'4'!E7</f>
        <v>54196.5</v>
      </c>
      <c r="E7" s="61">
        <f>'Daily Meter'!B10</f>
        <v>54213.8</v>
      </c>
      <c r="F7" s="62">
        <f>E7-D7</f>
        <v>17.30000000000291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4919.0820000008271</v>
      </c>
      <c r="G8" s="66">
        <f>F8*0.63</f>
        <v>3099.021660000521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'4'!E10</f>
        <v>209968</v>
      </c>
      <c r="E10" s="61">
        <f>'Daily Meter'!C10</f>
        <v>210134</v>
      </c>
      <c r="F10" s="62">
        <f>E10-D10</f>
        <v>166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36514.853999999999</v>
      </c>
      <c r="G11" s="74">
        <f>F11*0.06</f>
        <v>2190.8912399999999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'4'!E13</f>
        <v>6801</v>
      </c>
      <c r="E13" s="61">
        <f>'Daily Meter'!H10</f>
        <v>6807.8</v>
      </c>
      <c r="F13" s="62">
        <f t="shared" ref="F13:F18" si="0">(E13-D13)*480</f>
        <v>3264.0000000000873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'4'!E14</f>
        <v>4103.8</v>
      </c>
      <c r="E14" s="61">
        <f>'Daily Meter'!I10</f>
        <v>4108.1000000000004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'4'!E15</f>
        <v>4387.1000000000004</v>
      </c>
      <c r="E15" s="61">
        <f>'Daily Meter'!J10</f>
        <v>4392</v>
      </c>
      <c r="F15" s="62">
        <f t="shared" si="0"/>
        <v>2351.9999999998254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'4'!E16</f>
        <v>2457.6</v>
      </c>
      <c r="E16" s="61">
        <f>'Daily Meter'!K10</f>
        <v>2460.5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'4'!E17</f>
        <v>5726.4</v>
      </c>
      <c r="E17" s="61">
        <f>'Daily Meter'!L10</f>
        <v>5730.8</v>
      </c>
      <c r="F17" s="62">
        <f t="shared" si="0"/>
        <v>2112.0000000002619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'4'!E18</f>
        <v>15403.6</v>
      </c>
      <c r="E18" s="61">
        <f>'Daily Meter'!M10</f>
        <v>15415.7</v>
      </c>
      <c r="F18" s="62">
        <f t="shared" si="0"/>
        <v>5808.0000000001746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16992.00000000048</v>
      </c>
      <c r="G19" s="66">
        <f>F19*0.43</f>
        <v>7306.5600000002059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'4'!E22</f>
        <v>94681.3</v>
      </c>
      <c r="E22" s="61">
        <f>'Daily Meter'!N10</f>
        <v>94807.9</v>
      </c>
      <c r="F22" s="85">
        <f>E22-D22</f>
        <v>126.59999999999127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468.41999999996773</v>
      </c>
      <c r="G23" s="89">
        <f>F23*2.5</f>
        <v>1171.0499999999192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4919.0820000008271</v>
      </c>
      <c r="G28" s="99">
        <f>G8</f>
        <v>3099.021660000521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36514.853999999999</v>
      </c>
      <c r="G29" s="99">
        <f>G11</f>
        <v>2190.8912399999999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16992.00000000048</v>
      </c>
      <c r="G30" s="99">
        <f>G19</f>
        <v>7306.5600000002059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126.59999999999127</v>
      </c>
      <c r="G31" s="99">
        <f>G23</f>
        <v>1171.0499999999192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13767.522900000647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6</v>
      </c>
      <c r="D3" s="42" t="s">
        <v>48</v>
      </c>
      <c r="E3" s="43">
        <f>'Daily Meter'!O11</f>
        <v>91.24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'5'!E7</f>
        <v>54213.8</v>
      </c>
      <c r="E7" s="61">
        <f>'Daily Meter'!B11</f>
        <v>54231.9</v>
      </c>
      <c r="F7" s="62">
        <f>E7-D7</f>
        <v>18.099999999998545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'5'!E10</f>
        <v>210134</v>
      </c>
      <c r="E10" s="61">
        <f>'Daily Meter'!C11</f>
        <v>210330</v>
      </c>
      <c r="F10" s="62">
        <f>E10-D10</f>
        <v>196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43113.923999999999</v>
      </c>
      <c r="G11" s="74">
        <f>F11*0.06</f>
        <v>2586.8354399999998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'5'!E13</f>
        <v>6807.8</v>
      </c>
      <c r="E13" s="61">
        <f>'Daily Meter'!H11</f>
        <v>6814.6</v>
      </c>
      <c r="F13" s="62">
        <f t="shared" ref="F13:F18" si="0">(E13-D13)*480</f>
        <v>3264.0000000000873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'5'!E14</f>
        <v>4108.1000000000004</v>
      </c>
      <c r="E14" s="61">
        <f>'Daily Meter'!I11</f>
        <v>4112.7</v>
      </c>
      <c r="F14" s="62">
        <f t="shared" si="0"/>
        <v>2207.9999999997381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'5'!E15</f>
        <v>4392</v>
      </c>
      <c r="E15" s="61">
        <f>'Daily Meter'!J11</f>
        <v>4396.8</v>
      </c>
      <c r="F15" s="62">
        <f t="shared" si="0"/>
        <v>2304.0000000000873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'5'!E16</f>
        <v>2460.5</v>
      </c>
      <c r="E16" s="61">
        <f>'Daily Meter'!K11</f>
        <v>2463.3000000000002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'5'!E17</f>
        <v>5730.8</v>
      </c>
      <c r="E17" s="61">
        <f>'Daily Meter'!L11</f>
        <v>5735.3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'5'!E18</f>
        <v>15415.7</v>
      </c>
      <c r="E18" s="61">
        <f>'Daily Meter'!M11</f>
        <v>15427.4</v>
      </c>
      <c r="F18" s="62">
        <f t="shared" si="0"/>
        <v>5615.9999999994761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16895.999999999476</v>
      </c>
      <c r="G19" s="66">
        <f>F19*0.43</f>
        <v>7265.2799999997742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'5'!E22</f>
        <v>94807.9</v>
      </c>
      <c r="E22" s="61">
        <f>'Daily Meter'!N11</f>
        <v>94936.7</v>
      </c>
      <c r="F22" s="85">
        <f>E22-D22</f>
        <v>128.80000000000291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476.5600000000108</v>
      </c>
      <c r="G23" s="89">
        <f>F23*2.5</f>
        <v>1191.4000000000269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43113.923999999999</v>
      </c>
      <c r="G29" s="99">
        <f>G11</f>
        <v>2586.8354399999998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16895.999999999476</v>
      </c>
      <c r="G30" s="99">
        <f>G19</f>
        <v>7265.2799999997742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128.80000000000291</v>
      </c>
      <c r="G31" s="99">
        <f>G23</f>
        <v>1191.4000000000269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14285.844459999538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7</v>
      </c>
      <c r="D3" s="42" t="s">
        <v>48</v>
      </c>
      <c r="E3" s="43">
        <f>'Daily Meter'!O12</f>
        <v>91.27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'6'!E7</f>
        <v>54231.9</v>
      </c>
      <c r="E7" s="61">
        <f>'Daily Meter'!B12</f>
        <v>54250.400000000001</v>
      </c>
      <c r="F7" s="62">
        <f>E7-D7</f>
        <v>18.5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5260.29</v>
      </c>
      <c r="G8" s="66">
        <f>F8*0.63</f>
        <v>3313.9827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'6'!E10</f>
        <v>210330</v>
      </c>
      <c r="E10" s="61">
        <f>'Daily Meter'!C12</f>
        <v>210513</v>
      </c>
      <c r="F10" s="62">
        <f>E10-D10</f>
        <v>183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40254.326999999997</v>
      </c>
      <c r="G11" s="74">
        <f>F11*0.06</f>
        <v>2415.2596199999998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'6'!E13</f>
        <v>6814.6</v>
      </c>
      <c r="E13" s="61">
        <f>'Daily Meter'!H12</f>
        <v>6821.4</v>
      </c>
      <c r="F13" s="62">
        <f t="shared" ref="F13:F18" si="0">(E13-D13)*480</f>
        <v>3263.9999999996508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'6'!E14</f>
        <v>4112.7</v>
      </c>
      <c r="E14" s="61">
        <f>'Daily Meter'!I12</f>
        <v>4117.2</v>
      </c>
      <c r="F14" s="62">
        <f t="shared" si="0"/>
        <v>2160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'6'!E15</f>
        <v>4396.8</v>
      </c>
      <c r="E15" s="61">
        <f>'Daily Meter'!J12</f>
        <v>4401.3999999999996</v>
      </c>
      <c r="F15" s="62">
        <f t="shared" si="0"/>
        <v>2207.9999999997381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'6'!E16</f>
        <v>2463.3000000000002</v>
      </c>
      <c r="E16" s="61">
        <f>'Daily Meter'!K12</f>
        <v>2466.1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'6'!E17</f>
        <v>5735.3</v>
      </c>
      <c r="E17" s="61">
        <f>'Daily Meter'!L12</f>
        <v>5739.8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'6'!E18</f>
        <v>15427.4</v>
      </c>
      <c r="E18" s="61">
        <f>'Daily Meter'!M12</f>
        <v>15439.1</v>
      </c>
      <c r="F18" s="62">
        <f t="shared" si="0"/>
        <v>5616.0000000003492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16751.999999999607</v>
      </c>
      <c r="G19" s="66">
        <f>F19*0.43</f>
        <v>7203.3599999998305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'6'!E22</f>
        <v>94936.7</v>
      </c>
      <c r="E22" s="61">
        <f>'Daily Meter'!N12</f>
        <v>95073.3</v>
      </c>
      <c r="F22" s="85">
        <f>E22-D22</f>
        <v>136.60000000000582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505.42000000002156</v>
      </c>
      <c r="G23" s="89">
        <f>F23*2.5</f>
        <v>1263.5500000000538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5260.29</v>
      </c>
      <c r="G28" s="99">
        <f>G8</f>
        <v>3313.9827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40254.326999999997</v>
      </c>
      <c r="G29" s="99">
        <f>G11</f>
        <v>2415.2596199999998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16751.999999999607</v>
      </c>
      <c r="G30" s="99">
        <f>G19</f>
        <v>7203.3599999998305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136.60000000000582</v>
      </c>
      <c r="G31" s="99">
        <f>G23</f>
        <v>1263.5500000000538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14196.152319999885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H29" sqref="H29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8</v>
      </c>
      <c r="D3" s="42" t="s">
        <v>48</v>
      </c>
      <c r="E3" s="43">
        <f>'Daily Meter'!O13</f>
        <v>94.24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'7'!E7</f>
        <v>54250.400000000001</v>
      </c>
      <c r="E7" s="61">
        <f>'Daily Meter'!B13</f>
        <v>54268</v>
      </c>
      <c r="F7" s="62">
        <f>E7-D7</f>
        <v>17.599999999998545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5004.3839999995862</v>
      </c>
      <c r="G8" s="66">
        <f>F8*0.63</f>
        <v>3152.7619199997393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'7'!E10</f>
        <v>210513</v>
      </c>
      <c r="E10" s="61">
        <f>'Daily Meter'!C13</f>
        <v>210706</v>
      </c>
      <c r="F10" s="62">
        <f>E10-D10</f>
        <v>193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42454.017</v>
      </c>
      <c r="G11" s="74">
        <f>F11*0.06</f>
        <v>2547.2410199999999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'7'!E13</f>
        <v>6821.4</v>
      </c>
      <c r="E13" s="61">
        <f>'Daily Meter'!H13</f>
        <v>6828.3</v>
      </c>
      <c r="F13" s="62">
        <f t="shared" ref="F13:F18" si="0">(E13-D13)*480</f>
        <v>3312.0000000002619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'7'!E14</f>
        <v>4117.2</v>
      </c>
      <c r="E14" s="61">
        <f>'Daily Meter'!I13</f>
        <v>4121.5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'7'!E15</f>
        <v>4401.3999999999996</v>
      </c>
      <c r="E15" s="61">
        <f>'Daily Meter'!J13</f>
        <v>4406</v>
      </c>
      <c r="F15" s="62">
        <f t="shared" si="0"/>
        <v>2208.0000000001746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'7'!E16</f>
        <v>2466.1</v>
      </c>
      <c r="E16" s="61">
        <f>'Daily Meter'!K13</f>
        <v>2468.9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'7'!E17</f>
        <v>5739.8</v>
      </c>
      <c r="E17" s="61">
        <f>'Daily Meter'!L13</f>
        <v>5744.4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'7'!E18</f>
        <v>15439.1</v>
      </c>
      <c r="E18" s="61">
        <f>'Daily Meter'!M13</f>
        <v>15451.3</v>
      </c>
      <c r="F18" s="62">
        <f t="shared" si="0"/>
        <v>5855.9999999994761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16991.999999999825</v>
      </c>
      <c r="G19" s="66">
        <f>F19*0.43</f>
        <v>7306.5599999999249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'7'!E22</f>
        <v>95073.3</v>
      </c>
      <c r="E22" s="61">
        <f>'Daily Meter'!N13</f>
        <v>95211.199999999997</v>
      </c>
      <c r="F22" s="85">
        <f>E22-D22</f>
        <v>137.89999999999418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510.22999999997847</v>
      </c>
      <c r="G23" s="89">
        <f>F23*2.5</f>
        <v>1275.5749999999462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5004.3839999995862</v>
      </c>
      <c r="G28" s="99">
        <f>G8</f>
        <v>3152.7619199997393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42454.017</v>
      </c>
      <c r="G29" s="99">
        <f>G11</f>
        <v>2547.2410199999999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16991.999999999825</v>
      </c>
      <c r="G30" s="99">
        <f>G19</f>
        <v>7306.5599999999249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137.89999999999418</v>
      </c>
      <c r="G31" s="99">
        <f>G23</f>
        <v>1275.5749999999462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14282.137939999611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9</v>
      </c>
      <c r="D3" s="42" t="s">
        <v>48</v>
      </c>
      <c r="E3" s="43">
        <f>'Daily Meter'!O14</f>
        <v>90.32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'8'!E7</f>
        <v>54268</v>
      </c>
      <c r="E7" s="61">
        <f>'Daily Meter'!B14</f>
        <v>54285.8</v>
      </c>
      <c r="F7" s="62">
        <f>E7-D7</f>
        <v>17.80000000000291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5061.2520000008271</v>
      </c>
      <c r="G8" s="66">
        <f>F8*0.63</f>
        <v>3188.5887600005212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'8'!E10</f>
        <v>210706</v>
      </c>
      <c r="E10" s="61">
        <f>'Daily Meter'!C14</f>
        <v>210865</v>
      </c>
      <c r="F10" s="62">
        <f>E10-D10</f>
        <v>159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34975.070999999996</v>
      </c>
      <c r="G11" s="74">
        <f>F11*0.06</f>
        <v>2098.5042599999997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'8'!E13</f>
        <v>6828.3</v>
      </c>
      <c r="E13" s="61">
        <f>'Daily Meter'!H14</f>
        <v>6835.3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'8'!E14</f>
        <v>4121.5</v>
      </c>
      <c r="E14" s="61">
        <f>'Daily Meter'!I14</f>
        <v>4126.1000000000004</v>
      </c>
      <c r="F14" s="62">
        <f t="shared" si="0"/>
        <v>2208.0000000001746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'8'!E15</f>
        <v>4406</v>
      </c>
      <c r="E15" s="61">
        <f>'Daily Meter'!J14</f>
        <v>4410.7</v>
      </c>
      <c r="F15" s="62">
        <f t="shared" si="0"/>
        <v>2255.9999999999127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'8'!E16</f>
        <v>2468.9</v>
      </c>
      <c r="E16" s="61">
        <f>'Daily Meter'!K14</f>
        <v>2471.9</v>
      </c>
      <c r="F16" s="62">
        <f t="shared" si="0"/>
        <v>1440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'8'!E17</f>
        <v>5744.4</v>
      </c>
      <c r="E17" s="61">
        <f>'Daily Meter'!L14</f>
        <v>5749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'8'!E18</f>
        <v>15451.3</v>
      </c>
      <c r="E18" s="61">
        <f>'Daily Meter'!M14</f>
        <v>15463.4</v>
      </c>
      <c r="F18" s="62">
        <f t="shared" si="0"/>
        <v>5808.0000000001746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17280.000000000437</v>
      </c>
      <c r="G19" s="66">
        <f>F19*0.43</f>
        <v>7430.4000000001879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'8'!E22</f>
        <v>95211.199999999997</v>
      </c>
      <c r="E22" s="61">
        <f>'Daily Meter'!N14</f>
        <v>95345.3</v>
      </c>
      <c r="F22" s="85">
        <f>E22-D22</f>
        <v>134.10000000000582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496.17000000002156</v>
      </c>
      <c r="G23" s="89">
        <f>F23*2.5</f>
        <v>1240.4250000000538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5061.2520000008271</v>
      </c>
      <c r="G28" s="99">
        <f>G8</f>
        <v>3188.5887600005212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34975.070999999996</v>
      </c>
      <c r="G29" s="99">
        <f>G11</f>
        <v>2098.5042599999997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17280.000000000437</v>
      </c>
      <c r="G30" s="99">
        <f>G19</f>
        <v>7430.4000000001879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134.10000000000582</v>
      </c>
      <c r="G31" s="99">
        <f>G23</f>
        <v>1240.4250000000538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13957.918020000761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10</v>
      </c>
      <c r="D3" s="42" t="s">
        <v>48</v>
      </c>
      <c r="E3" s="43">
        <f>'Daily Meter'!O15</f>
        <v>81.34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'9'!E7</f>
        <v>54285.8</v>
      </c>
      <c r="E7" s="61">
        <f>'Daily Meter'!B15</f>
        <v>54303.6</v>
      </c>
      <c r="F7" s="62">
        <f>E7-D7</f>
        <v>17.799999999995634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5061.251999998758</v>
      </c>
      <c r="G8" s="66">
        <f>F8*0.63</f>
        <v>3188.5887599992175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'9'!E10</f>
        <v>210865</v>
      </c>
      <c r="E10" s="61">
        <f>'Daily Meter'!C15</f>
        <v>211142</v>
      </c>
      <c r="F10" s="62">
        <f>E10-D10</f>
        <v>277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60931.413</v>
      </c>
      <c r="G11" s="74">
        <f>F11*0.06</f>
        <v>3655.8847799999999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'9'!E13</f>
        <v>6835.3</v>
      </c>
      <c r="E13" s="61">
        <f>'Daily Meter'!H15</f>
        <v>6842.6</v>
      </c>
      <c r="F13" s="62">
        <f t="shared" ref="F13:F18" si="0">(E13-D13)*480</f>
        <v>3504.0000000000873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'9'!E14</f>
        <v>4126.1000000000004</v>
      </c>
      <c r="E14" s="61">
        <f>'Daily Meter'!I15</f>
        <v>4130.6000000000004</v>
      </c>
      <c r="F14" s="62">
        <f t="shared" si="0"/>
        <v>2160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'9'!E15</f>
        <v>4410.7</v>
      </c>
      <c r="E15" s="61">
        <f>'Daily Meter'!J15</f>
        <v>4415.6000000000004</v>
      </c>
      <c r="F15" s="62">
        <f t="shared" si="0"/>
        <v>2352.0000000002619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'9'!E16</f>
        <v>2471.9</v>
      </c>
      <c r="E16" s="61">
        <f>'Daily Meter'!K15</f>
        <v>2474.6999999999998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'9'!E17</f>
        <v>5749</v>
      </c>
      <c r="E17" s="61">
        <f>'Daily Meter'!L15</f>
        <v>5753.7</v>
      </c>
      <c r="F17" s="62">
        <f t="shared" si="0"/>
        <v>2255.9999999999127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'9'!E18</f>
        <v>15463.4</v>
      </c>
      <c r="E18" s="61">
        <f>'Daily Meter'!M15</f>
        <v>15474.9</v>
      </c>
      <c r="F18" s="62">
        <f t="shared" si="0"/>
        <v>5520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'9'!E22</f>
        <v>95345.3</v>
      </c>
      <c r="E22" s="61">
        <f>'Daily Meter'!N15</f>
        <v>95497.7</v>
      </c>
      <c r="F22" s="85">
        <f>E22-D22</f>
        <v>152.39999999999418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563.87999999997851</v>
      </c>
      <c r="G23" s="89">
        <f>F23*2.5</f>
        <v>1409.6999999999462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5061.251999998758</v>
      </c>
      <c r="G28" s="99">
        <f>G8</f>
        <v>3188.5887599992175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60931.413</v>
      </c>
      <c r="G29" s="99">
        <f>G11</f>
        <v>3655.8847799999999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152.39999999999418</v>
      </c>
      <c r="G31" s="99">
        <f>G23</f>
        <v>1409.6999999999462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15622.653539999219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11</v>
      </c>
      <c r="D3" s="42" t="s">
        <v>48</v>
      </c>
      <c r="E3" s="43">
        <f>'Daily Meter'!O16</f>
        <v>88.48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'10'!E7</f>
        <v>54303.6</v>
      </c>
      <c r="E7" s="61">
        <f>'Daily Meter'!B16</f>
        <v>54322.5</v>
      </c>
      <c r="F7" s="62">
        <f>E7-D7</f>
        <v>18.900000000001455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5374.0260000004137</v>
      </c>
      <c r="G8" s="66">
        <f>F8*0.63</f>
        <v>3385.6363800002605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'10'!E10</f>
        <v>211142</v>
      </c>
      <c r="E10" s="61">
        <f>'Daily Meter'!C16</f>
        <v>211397</v>
      </c>
      <c r="F10" s="62">
        <f>E10-D10</f>
        <v>255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56092.095000000001</v>
      </c>
      <c r="G11" s="74">
        <f>F11*0.06</f>
        <v>3365.5257000000001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'10'!E13</f>
        <v>6842.6</v>
      </c>
      <c r="E13" s="61">
        <f>'Daily Meter'!H16</f>
        <v>6850</v>
      </c>
      <c r="F13" s="62">
        <f t="shared" ref="F13:F18" si="0">(E13-D13)*480</f>
        <v>3551.9999999998254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'10'!E14</f>
        <v>4130.6000000000004</v>
      </c>
      <c r="E14" s="61">
        <f>'Daily Meter'!I16</f>
        <v>4135</v>
      </c>
      <c r="F14" s="62">
        <f t="shared" si="0"/>
        <v>2111.9999999998254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'10'!E15</f>
        <v>4415.6000000000004</v>
      </c>
      <c r="E15" s="61">
        <f>'Daily Meter'!J16</f>
        <v>4420.3999999999996</v>
      </c>
      <c r="F15" s="62">
        <f t="shared" si="0"/>
        <v>2303.9999999996508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'10'!E16</f>
        <v>2474.6999999999998</v>
      </c>
      <c r="E16" s="61">
        <f>'Daily Meter'!K16</f>
        <v>2477.9</v>
      </c>
      <c r="F16" s="62">
        <f t="shared" si="0"/>
        <v>1536.000000000131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'10'!E17</f>
        <v>5753.7</v>
      </c>
      <c r="E17" s="61">
        <f>'Daily Meter'!L16</f>
        <v>5758.4</v>
      </c>
      <c r="F17" s="62">
        <f t="shared" si="0"/>
        <v>2255.9999999999127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'10'!E18</f>
        <v>15474.9</v>
      </c>
      <c r="E18" s="61">
        <f>'Daily Meter'!M16</f>
        <v>15486.6</v>
      </c>
      <c r="F18" s="62">
        <f t="shared" si="0"/>
        <v>5616.0000000003492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17375.999999999694</v>
      </c>
      <c r="G19" s="66">
        <f>F19*0.43</f>
        <v>7471.6799999998684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'10'!E22</f>
        <v>95497.7</v>
      </c>
      <c r="E22" s="61">
        <f>'Daily Meter'!N16</f>
        <v>95634.8</v>
      </c>
      <c r="F22" s="85">
        <f>E22-D22</f>
        <v>137.10000000000582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507.27000000002158</v>
      </c>
      <c r="G23" s="89">
        <f>F23*2.5</f>
        <v>1268.1750000000538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5374.0260000004137</v>
      </c>
      <c r="G28" s="99">
        <f>G8</f>
        <v>3385.6363800002605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56092.095000000001</v>
      </c>
      <c r="G29" s="99">
        <f>G11</f>
        <v>3365.5257000000001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17375.999999999694</v>
      </c>
      <c r="G30" s="99">
        <f>G19</f>
        <v>7471.6799999998684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137.10000000000582</v>
      </c>
      <c r="G31" s="99">
        <f>G23</f>
        <v>1268.1750000000538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15491.017080000183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12</v>
      </c>
      <c r="D3" s="42" t="s">
        <v>48</v>
      </c>
      <c r="E3" s="43">
        <f>'Daily Meter'!O17</f>
        <v>79.72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'11'!E7</f>
        <v>54322.5</v>
      </c>
      <c r="E7" s="61">
        <f>'Daily Meter'!B17</f>
        <v>54338.9</v>
      </c>
      <c r="F7" s="62">
        <f>E7-D7</f>
        <v>16.400000000001455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4663.1760000004133</v>
      </c>
      <c r="G8" s="66">
        <f>F8*0.63</f>
        <v>2937.8008800002603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'11'!E10</f>
        <v>211397</v>
      </c>
      <c r="E10" s="61">
        <f>'Daily Meter'!C17</f>
        <v>211607</v>
      </c>
      <c r="F10" s="62">
        <f>E10-D10</f>
        <v>210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46193.49</v>
      </c>
      <c r="G11" s="74">
        <f>F11*0.06</f>
        <v>2771.6093999999998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'11'!E13</f>
        <v>6850</v>
      </c>
      <c r="E13" s="61">
        <f>'Daily Meter'!H17</f>
        <v>6857.1</v>
      </c>
      <c r="F13" s="62">
        <f t="shared" ref="F13:F18" si="0">(E13-D13)*480</f>
        <v>3408.0000000001746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'11'!E14</f>
        <v>4135</v>
      </c>
      <c r="E14" s="61">
        <f>'Daily Meter'!I17</f>
        <v>4139</v>
      </c>
      <c r="F14" s="62">
        <f t="shared" si="0"/>
        <v>1920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'11'!E15</f>
        <v>4420.3999999999996</v>
      </c>
      <c r="E15" s="61">
        <f>'Daily Meter'!J17</f>
        <v>4424.8999999999996</v>
      </c>
      <c r="F15" s="62">
        <f t="shared" si="0"/>
        <v>2160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'11'!E16</f>
        <v>2477.9</v>
      </c>
      <c r="E16" s="61">
        <f>'Daily Meter'!K17</f>
        <v>2480.6</v>
      </c>
      <c r="F16" s="62">
        <f t="shared" si="0"/>
        <v>1295.9999999999127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'11'!E17</f>
        <v>5758.4</v>
      </c>
      <c r="E17" s="61">
        <f>'Daily Meter'!L17</f>
        <v>5763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'11'!E18</f>
        <v>15486.6</v>
      </c>
      <c r="E18" s="61">
        <f>'Daily Meter'!M17</f>
        <v>15498.3</v>
      </c>
      <c r="F18" s="62">
        <f t="shared" si="0"/>
        <v>5615.9999999994761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16607.999999999738</v>
      </c>
      <c r="G19" s="66">
        <f>F19*0.43</f>
        <v>7141.4399999998868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'11'!E22</f>
        <v>95634.8</v>
      </c>
      <c r="E22" s="61">
        <f>'Daily Meter'!N17</f>
        <v>95776</v>
      </c>
      <c r="F22" s="85">
        <f>E22-D22</f>
        <v>141.19999999999709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522.43999999998925</v>
      </c>
      <c r="G23" s="89">
        <f>F23*2.5</f>
        <v>1306.0999999999731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4663.1760000004133</v>
      </c>
      <c r="G28" s="99">
        <f>G8</f>
        <v>2937.8008800002603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46193.49</v>
      </c>
      <c r="G29" s="99">
        <f>G11</f>
        <v>2771.6093999999998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16607.999999999738</v>
      </c>
      <c r="G30" s="99">
        <f>G19</f>
        <v>7141.4399999998868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141.19999999999709</v>
      </c>
      <c r="G31" s="99">
        <f>G23</f>
        <v>1306.0999999999731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14156.950280000121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13</v>
      </c>
      <c r="D3" s="42" t="s">
        <v>48</v>
      </c>
      <c r="E3" s="43">
        <f>'Daily Meter'!O18</f>
        <v>75.81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'12'!E7</f>
        <v>54338.9</v>
      </c>
      <c r="E7" s="61">
        <f>'Daily Meter'!B18</f>
        <v>54356.6</v>
      </c>
      <c r="F7" s="62">
        <f>E7-D7</f>
        <v>17.69999999999709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5032.8179999991717</v>
      </c>
      <c r="G8" s="66">
        <f>F8*0.63</f>
        <v>3170.6753399994782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'12'!E10</f>
        <v>211607</v>
      </c>
      <c r="E10" s="61">
        <f>'Daily Meter'!C18</f>
        <v>211780</v>
      </c>
      <c r="F10" s="62">
        <f>E10-D10</f>
        <v>173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38054.637000000002</v>
      </c>
      <c r="G11" s="74">
        <f>F11*0.06</f>
        <v>2283.2782200000001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'12'!E13</f>
        <v>6857.1</v>
      </c>
      <c r="E13" s="61">
        <f>'Daily Meter'!H18</f>
        <v>6864.2</v>
      </c>
      <c r="F13" s="62">
        <f t="shared" ref="F13:F18" si="0">(E13-D13)*480</f>
        <v>3407.9999999997381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'12'!E14</f>
        <v>4139</v>
      </c>
      <c r="E14" s="61">
        <f>'Daily Meter'!I18</f>
        <v>4143.3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'12'!E15</f>
        <v>4424.8999999999996</v>
      </c>
      <c r="E15" s="61">
        <f>'Daily Meter'!J18</f>
        <v>4429.3</v>
      </c>
      <c r="F15" s="62">
        <f t="shared" si="0"/>
        <v>2112.0000000002619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'12'!E16</f>
        <v>2480.6</v>
      </c>
      <c r="E16" s="61">
        <f>'Daily Meter'!K18</f>
        <v>2483.3000000000002</v>
      </c>
      <c r="F16" s="62">
        <f t="shared" si="0"/>
        <v>1296.000000000131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'12'!E17</f>
        <v>5763</v>
      </c>
      <c r="E17" s="61">
        <f>'Daily Meter'!L18</f>
        <v>5767.5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'12'!E18</f>
        <v>15498.3</v>
      </c>
      <c r="E18" s="61">
        <f>'Daily Meter'!M18</f>
        <v>15510.1</v>
      </c>
      <c r="F18" s="62">
        <f t="shared" si="0"/>
        <v>5664.0000000005239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16704.000000000742</v>
      </c>
      <c r="G19" s="66">
        <f>F19*0.43</f>
        <v>7182.7200000003186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'12'!E22</f>
        <v>95776</v>
      </c>
      <c r="E22" s="61">
        <f>'Daily Meter'!N18</f>
        <v>95924.9</v>
      </c>
      <c r="F22" s="85">
        <f>E22-D22</f>
        <v>148.89999999999418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550.92999999997846</v>
      </c>
      <c r="G23" s="89">
        <f>F23*2.5</f>
        <v>1377.3249999999462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5032.8179999991717</v>
      </c>
      <c r="G28" s="99">
        <f>G8</f>
        <v>3170.6753399994782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16704.000000000742</v>
      </c>
      <c r="G30" s="99">
        <f>G19</f>
        <v>7182.7200000003186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148.89999999999418</v>
      </c>
      <c r="G31" s="99">
        <f>G23</f>
        <v>1377.3249999999462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14013.998559999742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14</v>
      </c>
      <c r="D3" s="42" t="s">
        <v>48</v>
      </c>
      <c r="E3" s="43">
        <f>'Daily Meter'!O19</f>
        <v>75.349999999999994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'13'!E7</f>
        <v>54356.6</v>
      </c>
      <c r="E7" s="61">
        <f>'Daily Meter'!B19</f>
        <v>54375.9</v>
      </c>
      <c r="F7" s="62">
        <f>E7-D7</f>
        <v>19.30000000000291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5487.7620000008274</v>
      </c>
      <c r="G8" s="66">
        <f>F8*0.63</f>
        <v>3457.2900600005214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'13'!E10</f>
        <v>211780</v>
      </c>
      <c r="E10" s="61">
        <f>'Daily Meter'!C19</f>
        <v>211967</v>
      </c>
      <c r="F10" s="62">
        <f>E10-D10</f>
        <v>187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41134.203000000001</v>
      </c>
      <c r="G11" s="74">
        <f>F11*0.06</f>
        <v>2468.0521800000001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'13'!E13</f>
        <v>6864.2</v>
      </c>
      <c r="E13" s="61">
        <f>'Daily Meter'!H19</f>
        <v>6871.3</v>
      </c>
      <c r="F13" s="62">
        <f t="shared" ref="F13:F18" si="0">(E13-D13)*480</f>
        <v>3408.0000000001746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'13'!E14</f>
        <v>4143.3</v>
      </c>
      <c r="E14" s="61">
        <f>'Daily Meter'!I19</f>
        <v>4147.7</v>
      </c>
      <c r="F14" s="62">
        <f t="shared" si="0"/>
        <v>2111.9999999998254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'13'!E15</f>
        <v>4429.3</v>
      </c>
      <c r="E15" s="61">
        <f>'Daily Meter'!J19</f>
        <v>4433.5</v>
      </c>
      <c r="F15" s="62">
        <f t="shared" si="0"/>
        <v>2015.9999999999127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'13'!E16</f>
        <v>2483.3000000000002</v>
      </c>
      <c r="E16" s="61">
        <f>'Daily Meter'!K19</f>
        <v>2486</v>
      </c>
      <c r="F16" s="62">
        <f t="shared" si="0"/>
        <v>1295.9999999999127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'13'!E17</f>
        <v>5767.5</v>
      </c>
      <c r="E17" s="61">
        <f>'Daily Meter'!L19</f>
        <v>5772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'13'!E18</f>
        <v>15510.1</v>
      </c>
      <c r="E18" s="61">
        <f>'Daily Meter'!M19</f>
        <v>15521.7</v>
      </c>
      <c r="F18" s="62">
        <f t="shared" si="0"/>
        <v>5568.0000000001746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16560</v>
      </c>
      <c r="G19" s="66">
        <f>F19*0.43</f>
        <v>7120.8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'13'!E22</f>
        <v>95924.9</v>
      </c>
      <c r="E22" s="61">
        <f>'Daily Meter'!N19</f>
        <v>96067.3</v>
      </c>
      <c r="F22" s="85">
        <f>E22-D22</f>
        <v>142.40000000000873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526.88000000003228</v>
      </c>
      <c r="G23" s="89">
        <f>F23*2.5</f>
        <v>1317.2000000000808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5487.7620000008274</v>
      </c>
      <c r="G28" s="99">
        <f>G8</f>
        <v>3457.2900600005214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16560</v>
      </c>
      <c r="G30" s="99">
        <f>G19</f>
        <v>7120.8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142.40000000000873</v>
      </c>
      <c r="G31" s="99">
        <f>G23</f>
        <v>1317.2000000000808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14363.342240000602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15</v>
      </c>
      <c r="D3" s="42" t="s">
        <v>48</v>
      </c>
      <c r="E3" s="43">
        <f>'Daily Meter'!O20</f>
        <v>76.73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'14'!E7</f>
        <v>54375.9</v>
      </c>
      <c r="E7" s="61">
        <f>'Daily Meter'!B20</f>
        <v>54397.599999999999</v>
      </c>
      <c r="F7" s="62">
        <f>E7-D7</f>
        <v>21.69999999999709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6170.1779999991722</v>
      </c>
      <c r="G8" s="66">
        <f>F8*0.63</f>
        <v>3887.2121399994785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'14'!E10</f>
        <v>211967</v>
      </c>
      <c r="E10" s="61">
        <f>'Daily Meter'!C20</f>
        <v>212121</v>
      </c>
      <c r="F10" s="62">
        <f>E10-D10</f>
        <v>154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33875.226000000002</v>
      </c>
      <c r="G11" s="74">
        <f>F11*0.06</f>
        <v>2032.5135600000001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'14'!E13</f>
        <v>6871.3</v>
      </c>
      <c r="E13" s="61">
        <f>'Daily Meter'!H20</f>
        <v>6878.4</v>
      </c>
      <c r="F13" s="62">
        <f t="shared" ref="F13:F18" si="0">(E13-D13)*480</f>
        <v>3407.9999999997381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'14'!E14</f>
        <v>4147.7</v>
      </c>
      <c r="E14" s="61">
        <f>'Daily Meter'!I20</f>
        <v>4152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'14'!E15</f>
        <v>4433.5</v>
      </c>
      <c r="E15" s="61">
        <f>'Daily Meter'!J20</f>
        <v>4437.8</v>
      </c>
      <c r="F15" s="62">
        <f t="shared" si="0"/>
        <v>2064.0000000000873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'14'!E16</f>
        <v>2486</v>
      </c>
      <c r="E16" s="61">
        <f>'Daily Meter'!K20</f>
        <v>2488.9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'14'!E17</f>
        <v>5772</v>
      </c>
      <c r="E17" s="61">
        <f>'Daily Meter'!L20</f>
        <v>5776.5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'14'!E18</f>
        <v>15521.7</v>
      </c>
      <c r="E18" s="61">
        <f>'Daily Meter'!M20</f>
        <v>15533.5</v>
      </c>
      <c r="F18" s="62">
        <f t="shared" si="0"/>
        <v>5663.9999999996508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16751.999999999607</v>
      </c>
      <c r="G19" s="66">
        <f>F19*0.43</f>
        <v>7203.3599999998305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'14'!E22</f>
        <v>96067.3</v>
      </c>
      <c r="E22" s="61">
        <f>'Daily Meter'!N20</f>
        <v>96190.5</v>
      </c>
      <c r="F22" s="85">
        <f>E22-D22</f>
        <v>123.19999999999709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455.83999999998923</v>
      </c>
      <c r="G23" s="89">
        <f>F23*2.5</f>
        <v>1139.5999999999731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6170.1779999991722</v>
      </c>
      <c r="G28" s="99">
        <f>G8</f>
        <v>3887.2121399994785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33875.226000000002</v>
      </c>
      <c r="G29" s="99">
        <f>G11</f>
        <v>2032.5135600000001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16751.999999999607</v>
      </c>
      <c r="G30" s="99">
        <f>G19</f>
        <v>7203.3599999998305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123.19999999999709</v>
      </c>
      <c r="G31" s="99">
        <f>G23</f>
        <v>1139.5999999999731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14262.685699999281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16</v>
      </c>
      <c r="D3" s="42" t="s">
        <v>48</v>
      </c>
      <c r="E3" s="43">
        <f>'Daily Meter'!O21</f>
        <v>77.650000000000006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'15'!E7</f>
        <v>54397.599999999999</v>
      </c>
      <c r="E7" s="61">
        <f>'Daily Meter'!B21</f>
        <v>54422.3</v>
      </c>
      <c r="F7" s="62">
        <f>E7-D7</f>
        <v>24.700000000004366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7023.1980000012409</v>
      </c>
      <c r="G8" s="66">
        <f>F8*0.63</f>
        <v>4424.6147400007821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'15'!E10</f>
        <v>212121</v>
      </c>
      <c r="E10" s="61">
        <f>'Daily Meter'!C21</f>
        <v>212308</v>
      </c>
      <c r="F10" s="62">
        <f>E10-D10</f>
        <v>187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41134.203000000001</v>
      </c>
      <c r="G11" s="74">
        <f>F11*0.06</f>
        <v>2468.0521800000001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'15'!E13</f>
        <v>6878.4</v>
      </c>
      <c r="E13" s="61">
        <f>'Daily Meter'!H21</f>
        <v>6885.4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'15'!E14</f>
        <v>4152</v>
      </c>
      <c r="E14" s="61">
        <f>'Daily Meter'!I21</f>
        <v>4156.3999999999996</v>
      </c>
      <c r="F14" s="62">
        <f t="shared" si="0"/>
        <v>2111.9999999998254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'15'!E15</f>
        <v>4437.8</v>
      </c>
      <c r="E15" s="61">
        <f>'Daily Meter'!J21</f>
        <v>4442</v>
      </c>
      <c r="F15" s="62">
        <f t="shared" si="0"/>
        <v>2015.9999999999127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'15'!E16</f>
        <v>2488.9</v>
      </c>
      <c r="E16" s="61">
        <f>'Daily Meter'!K21</f>
        <v>2491.8000000000002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'15'!E17</f>
        <v>5776.5</v>
      </c>
      <c r="E17" s="61">
        <f>'Daily Meter'!L21</f>
        <v>5781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'15'!E18</f>
        <v>15533.5</v>
      </c>
      <c r="E18" s="61">
        <f>'Daily Meter'!M21</f>
        <v>15545.7</v>
      </c>
      <c r="F18" s="62">
        <f t="shared" si="0"/>
        <v>5856.0000000003492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'15'!E22</f>
        <v>96190.5</v>
      </c>
      <c r="E22" s="61">
        <f>'Daily Meter'!N21</f>
        <v>96320.6</v>
      </c>
      <c r="F22" s="85">
        <f>E22-D22</f>
        <v>130.10000000000582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481.37000000002155</v>
      </c>
      <c r="G23" s="89">
        <f>F23*2.5</f>
        <v>1203.4250000000538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7023.1980000012409</v>
      </c>
      <c r="G28" s="99">
        <f>G8</f>
        <v>4424.6147400007821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130.10000000000582</v>
      </c>
      <c r="G31" s="99">
        <f>G23</f>
        <v>1203.4250000000538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15361.371920000893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tabSelected="1"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17</v>
      </c>
      <c r="D3" s="42" t="s">
        <v>48</v>
      </c>
      <c r="E3" s="43">
        <f>'Daily Meter'!O22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'16'!E7</f>
        <v>54422.3</v>
      </c>
      <c r="E7" s="61">
        <f>'Daily Meter'!B22</f>
        <v>54449.599999999999</v>
      </c>
      <c r="F7" s="62">
        <f>E7-D7</f>
        <v>27.299999999995634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7762.4819999987576</v>
      </c>
      <c r="G8" s="66">
        <f>F8*0.63</f>
        <v>4890.3636599992169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'16'!E10</f>
        <v>212308</v>
      </c>
      <c r="E10" s="61">
        <f>'Daily Meter'!C22</f>
        <v>212465</v>
      </c>
      <c r="F10" s="62">
        <f>E10-D10</f>
        <v>157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34535.133000000002</v>
      </c>
      <c r="G11" s="74">
        <f>F11*0.06</f>
        <v>2072.1079800000002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'16'!E13</f>
        <v>6885.4</v>
      </c>
      <c r="E13" s="61">
        <f>'Daily Meter'!H22</f>
        <v>6892.7</v>
      </c>
      <c r="F13" s="62">
        <f t="shared" ref="F13:F18" si="0">(E13-D13)*480</f>
        <v>3504.0000000000873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'16'!E14</f>
        <v>4156.3999999999996</v>
      </c>
      <c r="E14" s="61">
        <f>'Daily Meter'!I22</f>
        <v>4160.8</v>
      </c>
      <c r="F14" s="62">
        <f t="shared" si="0"/>
        <v>2112.0000000002619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'16'!E15</f>
        <v>4442</v>
      </c>
      <c r="E15" s="61">
        <f>'Daily Meter'!J22</f>
        <v>4446.3999999999996</v>
      </c>
      <c r="F15" s="62">
        <f t="shared" si="0"/>
        <v>2111.9999999998254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'16'!E16</f>
        <v>2491.8000000000002</v>
      </c>
      <c r="E16" s="61">
        <f>'Daily Meter'!K22</f>
        <v>2494.9</v>
      </c>
      <c r="F16" s="62">
        <f t="shared" si="0"/>
        <v>1487.9999999999563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'16'!E17</f>
        <v>5781</v>
      </c>
      <c r="E17" s="61">
        <f>'Daily Meter'!L22</f>
        <v>5785.6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'16'!E18</f>
        <v>15545.7</v>
      </c>
      <c r="E18" s="61">
        <f>'Daily Meter'!M22</f>
        <v>15557.9</v>
      </c>
      <c r="F18" s="62">
        <f t="shared" si="0"/>
        <v>5855.9999999994761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17279.999999999782</v>
      </c>
      <c r="G19" s="66">
        <f>F19*0.43</f>
        <v>7430.399999999906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'16'!E22</f>
        <v>96320.6</v>
      </c>
      <c r="E22" s="61">
        <f>'Daily Meter'!N22</f>
        <v>96439.2</v>
      </c>
      <c r="F22" s="85">
        <f>E22-D22</f>
        <v>118.59999999999127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438.81999999996771</v>
      </c>
      <c r="G23" s="89">
        <f>F23*2.5</f>
        <v>1097.0499999999192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7762.4819999987576</v>
      </c>
      <c r="G28" s="99">
        <f>G8</f>
        <v>4890.3636599992169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34535.133000000002</v>
      </c>
      <c r="G29" s="99">
        <f>G11</f>
        <v>2072.1079800000002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17279.999999999782</v>
      </c>
      <c r="G30" s="99">
        <f>G19</f>
        <v>7430.399999999906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118.59999999999127</v>
      </c>
      <c r="G31" s="99">
        <f>G23</f>
        <v>1097.0499999999192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15489.921639999044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18</v>
      </c>
      <c r="D3" s="42" t="s">
        <v>48</v>
      </c>
      <c r="E3" s="43" t="str">
        <f>'Daily Meter'!O23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'17'!E7</f>
        <v>54449.599999999999</v>
      </c>
      <c r="E7" s="61" t="str">
        <f>'Daily Meter'!B23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'17'!E10</f>
        <v>212465</v>
      </c>
      <c r="E10" s="61" t="str">
        <f>'Daily Meter'!C23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'17'!E13</f>
        <v>6892.7</v>
      </c>
      <c r="E13" s="61" t="str">
        <f>'Daily Meter'!H23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'17'!E14</f>
        <v>4160.8</v>
      </c>
      <c r="E14" s="61" t="str">
        <f>'Daily Meter'!I23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'17'!E15</f>
        <v>4446.3999999999996</v>
      </c>
      <c r="E15" s="61" t="str">
        <f>'Daily Meter'!J23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'17'!E16</f>
        <v>2494.9</v>
      </c>
      <c r="E16" s="61" t="str">
        <f>'Daily Meter'!K23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'17'!E17</f>
        <v>5785.6</v>
      </c>
      <c r="E17" s="61" t="str">
        <f>'Daily Meter'!L23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'17'!E18</f>
        <v>15557.9</v>
      </c>
      <c r="E18" s="61" t="str">
        <f>'Daily Meter'!M23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'17'!E22</f>
        <v>96439.2</v>
      </c>
      <c r="E22" s="61" t="str">
        <f>'Daily Meter'!N23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19</v>
      </c>
      <c r="D3" s="42" t="s">
        <v>48</v>
      </c>
      <c r="E3" s="43" t="str">
        <f>'Daily Meter'!O24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 t="str">
        <f>'18'!E7</f>
        <v xml:space="preserve"> </v>
      </c>
      <c r="E7" s="61" t="str">
        <f>'Daily Meter'!B24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 t="str">
        <f>'18'!E10</f>
        <v xml:space="preserve"> </v>
      </c>
      <c r="E10" s="61" t="str">
        <f>'Daily Meter'!C24</f>
        <v xml:space="preserve"> </v>
      </c>
      <c r="F10" s="62" t="e">
        <f>E10-D10</f>
        <v>#VALUE!</v>
      </c>
      <c r="G10" s="71"/>
      <c r="H10" s="30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 t="str">
        <f>'18'!E13</f>
        <v xml:space="preserve"> </v>
      </c>
      <c r="E13" s="61" t="str">
        <f>'Daily Meter'!H24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 t="str">
        <f>'18'!E14</f>
        <v xml:space="preserve"> </v>
      </c>
      <c r="E14" s="61" t="str">
        <f>'Daily Meter'!I24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 t="str">
        <f>'18'!E15</f>
        <v xml:space="preserve"> </v>
      </c>
      <c r="E15" s="61" t="str">
        <f>'Daily Meter'!J24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 t="str">
        <f>'18'!E16</f>
        <v xml:space="preserve"> </v>
      </c>
      <c r="E16" s="61" t="str">
        <f>'Daily Meter'!K24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 t="str">
        <f>'18'!E17</f>
        <v xml:space="preserve"> </v>
      </c>
      <c r="E17" s="61" t="str">
        <f>'Daily Meter'!L24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 t="str">
        <f>'18'!E18</f>
        <v xml:space="preserve"> </v>
      </c>
      <c r="E18" s="61" t="str">
        <f>'Daily Meter'!M24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 t="str">
        <f>'18'!E22</f>
        <v xml:space="preserve"> </v>
      </c>
      <c r="E22" s="61" t="str">
        <f>'Daily Meter'!N24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20</v>
      </c>
      <c r="D3" s="42" t="s">
        <v>48</v>
      </c>
      <c r="E3" s="43" t="str">
        <f>'Daily Meter'!O25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 t="str">
        <f>'19'!E7</f>
        <v xml:space="preserve"> </v>
      </c>
      <c r="E7" s="61" t="str">
        <f>'Daily Meter'!B25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 t="str">
        <f>'19'!E10</f>
        <v xml:space="preserve"> </v>
      </c>
      <c r="E10" s="61" t="str">
        <f>'Daily Meter'!C25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 t="str">
        <f>'19'!E13</f>
        <v xml:space="preserve"> </v>
      </c>
      <c r="E13" s="61" t="str">
        <f>'Daily Meter'!H25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 t="str">
        <f>'19'!E14</f>
        <v xml:space="preserve"> </v>
      </c>
      <c r="E14" s="61" t="str">
        <f>'Daily Meter'!I25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 t="str">
        <f>'19'!E15</f>
        <v xml:space="preserve"> </v>
      </c>
      <c r="E15" s="61" t="str">
        <f>'Daily Meter'!J25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 t="str">
        <f>'19'!E16</f>
        <v xml:space="preserve"> </v>
      </c>
      <c r="E16" s="61" t="str">
        <f>'Daily Meter'!K25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 t="str">
        <f>'19'!E17</f>
        <v xml:space="preserve"> </v>
      </c>
      <c r="E17" s="61" t="str">
        <f>'Daily Meter'!L25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 t="str">
        <f>'19'!E18</f>
        <v xml:space="preserve"> </v>
      </c>
      <c r="E18" s="61" t="str">
        <f>'Daily Meter'!M25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 t="str">
        <f>'19'!E22</f>
        <v xml:space="preserve"> </v>
      </c>
      <c r="E22" s="61" t="str">
        <f>'Daily Meter'!N25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21</v>
      </c>
      <c r="D3" s="42" t="s">
        <v>48</v>
      </c>
      <c r="E3" s="43" t="str">
        <f>'Daily Meter'!O26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 t="str">
        <f>'20'!E7</f>
        <v xml:space="preserve"> </v>
      </c>
      <c r="E7" s="61" t="str">
        <f>'Daily Meter'!B26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 t="str">
        <f>'20'!E10</f>
        <v xml:space="preserve"> </v>
      </c>
      <c r="E10" s="61" t="str">
        <f>'Daily Meter'!C26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 t="str">
        <f>'20'!E13</f>
        <v xml:space="preserve"> </v>
      </c>
      <c r="E13" s="61" t="str">
        <f>'Daily Meter'!H26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 t="str">
        <f>'20'!E14</f>
        <v xml:space="preserve"> </v>
      </c>
      <c r="E14" s="61" t="str">
        <f>'Daily Meter'!I26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 t="str">
        <f>'20'!E15</f>
        <v xml:space="preserve"> </v>
      </c>
      <c r="E15" s="61" t="str">
        <f>'Daily Meter'!J26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 t="str">
        <f>'20'!E16</f>
        <v xml:space="preserve"> </v>
      </c>
      <c r="E16" s="61" t="str">
        <f>'Daily Meter'!K26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 t="str">
        <f>'20'!E17</f>
        <v xml:space="preserve"> </v>
      </c>
      <c r="E17" s="61" t="str">
        <f>'Daily Meter'!L26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 t="str">
        <f>'20'!E18</f>
        <v xml:space="preserve"> </v>
      </c>
      <c r="E18" s="61" t="str">
        <f>'Daily Meter'!M26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 t="str">
        <f>'20'!E22</f>
        <v xml:space="preserve"> </v>
      </c>
      <c r="E22" s="61" t="str">
        <f>'Daily Meter'!N26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22</v>
      </c>
      <c r="D3" s="42" t="s">
        <v>48</v>
      </c>
      <c r="E3" s="43" t="str">
        <f>'Daily Meter'!O27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 t="str">
        <f>'21'!E7</f>
        <v xml:space="preserve"> </v>
      </c>
      <c r="E7" s="61" t="str">
        <f>'Daily Meter'!B27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 t="str">
        <f>'21'!E10</f>
        <v xml:space="preserve"> </v>
      </c>
      <c r="E10" s="61" t="str">
        <f>'Daily Meter'!C27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 t="str">
        <f>'21'!E13</f>
        <v xml:space="preserve"> </v>
      </c>
      <c r="E13" s="61" t="str">
        <f>'Daily Meter'!H27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 t="str">
        <f>'21'!E14</f>
        <v xml:space="preserve"> </v>
      </c>
      <c r="E14" s="61" t="str">
        <f>'Daily Meter'!I27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 t="str">
        <f>'21'!E15</f>
        <v xml:space="preserve"> </v>
      </c>
      <c r="E15" s="61" t="str">
        <f>'Daily Meter'!J27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 t="str">
        <f>'21'!E16</f>
        <v xml:space="preserve"> </v>
      </c>
      <c r="E16" s="61" t="str">
        <f>'Daily Meter'!K27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 t="str">
        <f>'21'!E17</f>
        <v xml:space="preserve"> </v>
      </c>
      <c r="E17" s="61" t="str">
        <f>'Daily Meter'!L27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 t="str">
        <f>'21'!E18</f>
        <v xml:space="preserve"> </v>
      </c>
      <c r="E18" s="61" t="str">
        <f>'Daily Meter'!M27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 t="str">
        <f>'21'!E22</f>
        <v xml:space="preserve"> </v>
      </c>
      <c r="E22" s="61" t="str">
        <f>'Daily Meter'!N27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23</v>
      </c>
      <c r="D3" s="42" t="s">
        <v>48</v>
      </c>
      <c r="E3" s="43" t="str">
        <f>'Daily Meter'!O28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 t="str">
        <f>'22'!E7</f>
        <v xml:space="preserve"> </v>
      </c>
      <c r="E7" s="61" t="str">
        <f>'Daily Meter'!B28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 t="str">
        <f>'22'!E10</f>
        <v xml:space="preserve"> </v>
      </c>
      <c r="E10" s="61" t="str">
        <f>'Daily Meter'!C28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  <c r="H11" s="30"/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 t="str">
        <f>'22'!E13</f>
        <v xml:space="preserve"> </v>
      </c>
      <c r="E13" s="61" t="str">
        <f>'Daily Meter'!H28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 t="str">
        <f>'22'!E14</f>
        <v xml:space="preserve"> </v>
      </c>
      <c r="E14" s="61" t="str">
        <f>'Daily Meter'!I28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 t="str">
        <f>'22'!E15</f>
        <v xml:space="preserve"> </v>
      </c>
      <c r="E15" s="61" t="str">
        <f>'Daily Meter'!J28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 t="str">
        <f>'22'!E16</f>
        <v xml:space="preserve"> </v>
      </c>
      <c r="E16" s="61" t="str">
        <f>'Daily Meter'!K28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 t="str">
        <f>'22'!E17</f>
        <v xml:space="preserve"> </v>
      </c>
      <c r="E17" s="61" t="str">
        <f>'Daily Meter'!L28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 t="str">
        <f>'22'!E18</f>
        <v xml:space="preserve"> </v>
      </c>
      <c r="E18" s="61" t="str">
        <f>'Daily Meter'!M28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 t="str">
        <f>'22'!E22</f>
        <v xml:space="preserve"> </v>
      </c>
      <c r="E22" s="61" t="str">
        <f>'Daily Meter'!N28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24</v>
      </c>
      <c r="D3" s="42" t="s">
        <v>48</v>
      </c>
      <c r="E3" s="43" t="str">
        <f>'Daily Meter'!O29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 t="str">
        <f>'23'!E7</f>
        <v xml:space="preserve"> </v>
      </c>
      <c r="E7" s="61" t="str">
        <f>'Daily Meter'!B29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 t="str">
        <f>'23'!E10</f>
        <v xml:space="preserve"> </v>
      </c>
      <c r="E10" s="61" t="str">
        <f>'Daily Meter'!C29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 t="str">
        <f>'23'!E13</f>
        <v xml:space="preserve"> </v>
      </c>
      <c r="E13" s="61" t="str">
        <f>'Daily Meter'!H29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 t="str">
        <f>'23'!E14</f>
        <v xml:space="preserve"> </v>
      </c>
      <c r="E14" s="61" t="str">
        <f>'Daily Meter'!I29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 t="str">
        <f>'23'!E15</f>
        <v xml:space="preserve"> </v>
      </c>
      <c r="E15" s="61" t="str">
        <f>'Daily Meter'!J29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 t="str">
        <f>'23'!E16</f>
        <v xml:space="preserve"> </v>
      </c>
      <c r="E16" s="61" t="str">
        <f>'Daily Meter'!K29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 t="str">
        <f>'23'!E17</f>
        <v xml:space="preserve"> </v>
      </c>
      <c r="E17" s="61" t="str">
        <f>'Daily Meter'!L29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 t="str">
        <f>'23'!E18</f>
        <v xml:space="preserve"> </v>
      </c>
      <c r="E18" s="61" t="str">
        <f>'Daily Meter'!M29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 t="str">
        <f>'23'!E22</f>
        <v xml:space="preserve"> </v>
      </c>
      <c r="E22" s="61" t="str">
        <f>'Daily Meter'!N29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25</v>
      </c>
      <c r="D3" s="42" t="s">
        <v>48</v>
      </c>
      <c r="E3" s="43" t="str">
        <f>'Daily Meter'!O30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'24'!E7</f>
        <v xml:space="preserve"> </v>
      </c>
      <c r="E7" s="104" t="str">
        <f>'Daily Meter'!B30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'24'!E10</f>
        <v xml:space="preserve"> </v>
      </c>
      <c r="E10" s="104" t="str">
        <f>'Daily Meter'!C30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'24'!E13</f>
        <v xml:space="preserve"> </v>
      </c>
      <c r="E13" s="104" t="str">
        <f>'Daily Meter'!H30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'24'!E14</f>
        <v xml:space="preserve"> </v>
      </c>
      <c r="E14" s="104" t="str">
        <f>'Daily Meter'!I30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'24'!E15</f>
        <v xml:space="preserve"> </v>
      </c>
      <c r="E15" s="104" t="str">
        <f>'Daily Meter'!J30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'24'!E16</f>
        <v xml:space="preserve"> </v>
      </c>
      <c r="E16" s="104" t="str">
        <f>'Daily Meter'!K30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'24'!E17</f>
        <v xml:space="preserve"> </v>
      </c>
      <c r="E17" s="104" t="str">
        <f>'Daily Meter'!L30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'24'!E18</f>
        <v xml:space="preserve"> </v>
      </c>
      <c r="E18" s="104" t="str">
        <f>'Daily Meter'!M30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'24'!E22</f>
        <v xml:space="preserve"> </v>
      </c>
      <c r="E22" s="104" t="str">
        <f>'Daily Meter'!N30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51"/>
      <c r="G24" s="89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105"/>
      <c r="D26" s="312" t="s">
        <v>75</v>
      </c>
      <c r="E26" s="312"/>
      <c r="F26" s="312"/>
      <c r="G26" s="312"/>
      <c r="H26" s="96"/>
    </row>
    <row r="27" spans="1:11" ht="21" x14ac:dyDescent="0.25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x14ac:dyDescent="0.25">
      <c r="A28" s="91"/>
      <c r="B28" s="91"/>
      <c r="C28" s="92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x14ac:dyDescent="0.25">
      <c r="A29" s="91"/>
      <c r="B29" s="91"/>
      <c r="C29" s="92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x14ac:dyDescent="0.25">
      <c r="A30" s="91"/>
      <c r="B30" s="91"/>
      <c r="C30" s="92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x14ac:dyDescent="0.25">
      <c r="A31" s="91"/>
      <c r="B31" s="91"/>
      <c r="C31" s="92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1"/>
    </row>
    <row r="32" spans="1:11" x14ac:dyDescent="0.25">
      <c r="D32" s="91"/>
      <c r="E32" s="91"/>
      <c r="F32" s="100" t="s">
        <v>86</v>
      </c>
      <c r="G32" s="101" t="e">
        <f>SUM(G28:G31)</f>
        <v>#VALUE!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26</v>
      </c>
      <c r="D3" s="42" t="s">
        <v>48</v>
      </c>
      <c r="E3" s="43" t="str">
        <f>'Daily Meter'!O31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'25'!E7:E7</f>
        <v xml:space="preserve"> </v>
      </c>
      <c r="E7" s="61" t="str">
        <f>'Daily Meter'!B31</f>
        <v xml:space="preserve"> </v>
      </c>
      <c r="F7" s="106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'25'!E10</f>
        <v xml:space="preserve"> </v>
      </c>
      <c r="E10" s="61" t="str">
        <f>'Daily Meter'!C31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'25'!E13</f>
        <v xml:space="preserve"> </v>
      </c>
      <c r="E13" s="61" t="str">
        <f>'Daily Meter'!H31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'25'!E14</f>
        <v xml:space="preserve"> </v>
      </c>
      <c r="E14" s="61" t="str">
        <f>'Daily Meter'!I31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'25'!E15</f>
        <v xml:space="preserve"> </v>
      </c>
      <c r="E15" s="61" t="str">
        <f>'Daily Meter'!J31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'25'!E16</f>
        <v xml:space="preserve"> </v>
      </c>
      <c r="E16" s="61" t="str">
        <f>'Daily Meter'!K31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'25'!E17</f>
        <v xml:space="preserve"> </v>
      </c>
      <c r="E17" s="61" t="str">
        <f>'Daily Meter'!L31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'25'!E18</f>
        <v xml:space="preserve"> </v>
      </c>
      <c r="E18" s="61" t="str">
        <f>'Daily Meter'!M31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'25'!E22</f>
        <v xml:space="preserve"> </v>
      </c>
      <c r="E22" s="61" t="str">
        <f>'Daily Meter'!N31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27</v>
      </c>
      <c r="D3" s="42" t="s">
        <v>48</v>
      </c>
      <c r="E3" s="43" t="str">
        <f>'Daily Meter'!O32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'26'!E7</f>
        <v xml:space="preserve"> </v>
      </c>
      <c r="E7" s="61" t="str">
        <f>'Daily Meter'!B32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'26'!E10</f>
        <v xml:space="preserve"> </v>
      </c>
      <c r="E10" s="61" t="str">
        <f>'Daily Meter'!C32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'26'!E13</f>
        <v xml:space="preserve"> </v>
      </c>
      <c r="E13" s="61" t="str">
        <f>'Daily Meter'!H32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'26'!E14</f>
        <v xml:space="preserve"> </v>
      </c>
      <c r="E14" s="61" t="str">
        <f>'Daily Meter'!I32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'26'!E15</f>
        <v xml:space="preserve"> </v>
      </c>
      <c r="E15" s="61" t="str">
        <f>'Daily Meter'!J32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'26'!E16</f>
        <v xml:space="preserve"> </v>
      </c>
      <c r="E16" s="61" t="str">
        <f>'Daily Meter'!K32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'26'!E17</f>
        <v xml:space="preserve"> </v>
      </c>
      <c r="E17" s="61" t="str">
        <f>'Daily Meter'!L32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'26'!E18</f>
        <v xml:space="preserve"> </v>
      </c>
      <c r="E18" s="61" t="str">
        <f>'Daily Meter'!M32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'26'!E22</f>
        <v xml:space="preserve"> </v>
      </c>
      <c r="E22" s="61" t="str">
        <f>'Daily Meter'!N32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28</v>
      </c>
      <c r="D3" s="42" t="s">
        <v>48</v>
      </c>
      <c r="E3" s="43" t="str">
        <f>'Daily Meter'!O33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'27'!E7</f>
        <v xml:space="preserve"> </v>
      </c>
      <c r="E7" s="61" t="str">
        <f>'Daily Meter'!B33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'27'!E10</f>
        <v xml:space="preserve"> </v>
      </c>
      <c r="E10" s="61" t="str">
        <f>'Daily Meter'!C33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'27'!E13</f>
        <v xml:space="preserve"> </v>
      </c>
      <c r="E13" s="61" t="str">
        <f>'Daily Meter'!H33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'27'!E14</f>
        <v xml:space="preserve"> </v>
      </c>
      <c r="E14" s="61" t="str">
        <f>'Daily Meter'!I33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'27'!E15</f>
        <v xml:space="preserve"> </v>
      </c>
      <c r="E15" s="61" t="str">
        <f>'Daily Meter'!J33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'27'!E16</f>
        <v xml:space="preserve"> </v>
      </c>
      <c r="E16" s="61" t="str">
        <f>'Daily Meter'!K33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'27'!E17</f>
        <v xml:space="preserve"> </v>
      </c>
      <c r="E17" s="61" t="str">
        <f>'Daily Meter'!L33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'27'!E18</f>
        <v xml:space="preserve"> </v>
      </c>
      <c r="E18" s="61" t="str">
        <f>'Daily Meter'!M33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'27'!E22</f>
        <v xml:space="preserve"> </v>
      </c>
      <c r="E22" s="61" t="str">
        <f>'Daily Meter'!N33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29</v>
      </c>
      <c r="D3" s="42" t="s">
        <v>48</v>
      </c>
      <c r="E3" s="43" t="str">
        <f>'Daily Meter'!O34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'28'!E7</f>
        <v xml:space="preserve"> </v>
      </c>
      <c r="E7" s="61" t="str">
        <f>'Daily Meter'!B34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'28'!E10</f>
        <v xml:space="preserve"> </v>
      </c>
      <c r="E10" s="61" t="str">
        <f>'Daily Meter'!C34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'28'!E13</f>
        <v xml:space="preserve"> </v>
      </c>
      <c r="E13" s="61" t="str">
        <f>'Daily Meter'!H34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'28'!E14</f>
        <v xml:space="preserve"> </v>
      </c>
      <c r="E14" s="61" t="str">
        <f>'Daily Meter'!I34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'28'!E15</f>
        <v xml:space="preserve"> </v>
      </c>
      <c r="E15" s="61" t="str">
        <f>'Daily Meter'!J34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'28'!E16</f>
        <v xml:space="preserve"> </v>
      </c>
      <c r="E16" s="61" t="str">
        <f>'Daily Meter'!K34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'28'!E17</f>
        <v xml:space="preserve"> </v>
      </c>
      <c r="E17" s="61" t="str">
        <f>'Daily Meter'!L34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'28'!E18</f>
        <v xml:space="preserve"> </v>
      </c>
      <c r="E18" s="61" t="str">
        <f>'Daily Meter'!M34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'28'!E22</f>
        <v xml:space="preserve"> </v>
      </c>
      <c r="E22" s="61" t="str">
        <f>'Daily Meter'!N34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30</v>
      </c>
      <c r="D3" s="42" t="s">
        <v>48</v>
      </c>
      <c r="E3" s="43" t="str">
        <f>'Daily Meter'!O35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'29'!E7</f>
        <v xml:space="preserve"> </v>
      </c>
      <c r="E7" s="61" t="str">
        <f>'Daily Meter'!B35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'29'!E10</f>
        <v xml:space="preserve"> </v>
      </c>
      <c r="E10" s="61" t="str">
        <f>'Daily Meter'!C35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'29'!E13</f>
        <v xml:space="preserve"> </v>
      </c>
      <c r="E13" s="61" t="str">
        <f>'Daily Meter'!H35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'29'!E14</f>
        <v xml:space="preserve"> </v>
      </c>
      <c r="E14" s="61" t="str">
        <f>'Daily Meter'!I35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'29'!E15</f>
        <v xml:space="preserve"> </v>
      </c>
      <c r="E15" s="61" t="str">
        <f>'Daily Meter'!J35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'29'!E16</f>
        <v xml:space="preserve"> </v>
      </c>
      <c r="E16" s="61" t="str">
        <f>'Daily Meter'!K35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'29'!E17</f>
        <v xml:space="preserve"> </v>
      </c>
      <c r="E17" s="61" t="str">
        <f>'Daily Meter'!L35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'29'!E18</f>
        <v xml:space="preserve"> </v>
      </c>
      <c r="E18" s="61" t="str">
        <f>'Daily Meter'!M35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'29'!E22</f>
        <v xml:space="preserve"> </v>
      </c>
      <c r="E22" s="61" t="str">
        <f>'Daily Meter'!N35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31</v>
      </c>
      <c r="D3" s="42" t="s">
        <v>48</v>
      </c>
      <c r="E3" s="43">
        <f>'Daily Meter'!O37</f>
        <v>78.66062500000001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'30'!E7</f>
        <v xml:space="preserve"> </v>
      </c>
      <c r="E7" s="61">
        <f>'Daily Meter'!B36</f>
        <v>0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'30'!E10</f>
        <v xml:space="preserve"> </v>
      </c>
      <c r="E10" s="61">
        <f>'Daily Meter'!C36</f>
        <v>0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'30'!E13</f>
        <v xml:space="preserve"> </v>
      </c>
      <c r="E13" s="61">
        <f>'Daily Meter'!H36</f>
        <v>0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'30'!E14</f>
        <v xml:space="preserve"> </v>
      </c>
      <c r="E14" s="61">
        <f>'Daily Meter'!I36</f>
        <v>0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'30'!E15</f>
        <v xml:space="preserve"> </v>
      </c>
      <c r="E15" s="61">
        <f>'Daily Meter'!J36</f>
        <v>0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'30'!E16</f>
        <v xml:space="preserve"> </v>
      </c>
      <c r="E16" s="61">
        <f>'Daily Meter'!K36</f>
        <v>0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'30'!E17</f>
        <v xml:space="preserve"> </v>
      </c>
      <c r="E17" s="61">
        <f>'Daily Meter'!L36</f>
        <v>0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'30'!E18</f>
        <v xml:space="preserve"> </v>
      </c>
      <c r="E18" s="61">
        <f>'Daily Meter'!M36</f>
        <v>0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'30'!E22</f>
        <v xml:space="preserve"> </v>
      </c>
      <c r="E22" s="61">
        <f>'Daily Meter'!N36</f>
        <v>0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40625" defaultRowHeight="15" x14ac:dyDescent="0.25"/>
  <cols>
    <col min="1" max="1" width="5.5703125" style="44" customWidth="1"/>
    <col min="2" max="2" width="37.5703125" style="44" customWidth="1"/>
    <col min="3" max="3" width="21.5703125" style="44" customWidth="1"/>
    <col min="4" max="4" width="21.140625" style="44" customWidth="1"/>
    <col min="5" max="5" width="21.5703125" style="44" customWidth="1"/>
    <col min="6" max="6" width="20.85546875" style="107" customWidth="1"/>
    <col min="7" max="8" width="20" style="107" customWidth="1"/>
    <col min="9" max="16384" width="9.140625" style="44"/>
  </cols>
  <sheetData>
    <row r="1" spans="1:16" ht="15" customHeight="1" x14ac:dyDescent="0.25">
      <c r="A1" s="314" t="s">
        <v>45</v>
      </c>
      <c r="B1" s="314"/>
      <c r="C1" s="314"/>
      <c r="D1" s="314"/>
      <c r="E1" s="314"/>
      <c r="F1" s="314"/>
      <c r="G1" s="314"/>
      <c r="H1" s="108"/>
      <c r="P1" s="16" t="s">
        <v>22</v>
      </c>
    </row>
    <row r="2" spans="1:16" ht="12" customHeight="1" x14ac:dyDescent="0.25">
      <c r="A2" s="314"/>
      <c r="B2" s="314"/>
      <c r="C2" s="314"/>
      <c r="D2" s="314"/>
      <c r="E2" s="314"/>
      <c r="F2" s="314"/>
      <c r="G2" s="314"/>
      <c r="H2" s="108"/>
    </row>
    <row r="3" spans="1:16" ht="18" x14ac:dyDescent="0.25">
      <c r="A3" s="315" t="s">
        <v>47</v>
      </c>
      <c r="B3" s="315"/>
      <c r="C3" s="315"/>
      <c r="D3" s="315"/>
      <c r="E3" s="315"/>
      <c r="F3" s="315"/>
      <c r="G3" s="315"/>
      <c r="H3" s="108"/>
      <c r="P3" s="16" t="s">
        <v>46</v>
      </c>
    </row>
    <row r="4" spans="1:16" ht="18" x14ac:dyDescent="0.25">
      <c r="A4" s="316" t="s">
        <v>87</v>
      </c>
      <c r="B4" s="316"/>
      <c r="C4" s="316"/>
      <c r="D4" s="109" t="s">
        <v>88</v>
      </c>
      <c r="E4" s="110"/>
      <c r="F4" s="111" t="s">
        <v>89</v>
      </c>
      <c r="G4" s="317"/>
      <c r="H4" s="317"/>
    </row>
    <row r="5" spans="1:16" ht="27.75" customHeight="1" x14ac:dyDescent="0.25">
      <c r="A5" s="318" t="s">
        <v>49</v>
      </c>
      <c r="B5" s="319" t="s">
        <v>50</v>
      </c>
      <c r="C5" s="113"/>
      <c r="D5" s="115" t="s">
        <v>90</v>
      </c>
      <c r="E5" s="115" t="s">
        <v>91</v>
      </c>
      <c r="F5" s="320" t="s">
        <v>92</v>
      </c>
      <c r="G5" s="320" t="s">
        <v>93</v>
      </c>
      <c r="H5" s="320" t="s">
        <v>94</v>
      </c>
    </row>
    <row r="6" spans="1:16" ht="24" customHeight="1" x14ac:dyDescent="0.25">
      <c r="A6" s="318"/>
      <c r="B6" s="319"/>
      <c r="C6" s="116"/>
      <c r="D6" s="117" t="s">
        <v>95</v>
      </c>
      <c r="E6" s="117" t="s">
        <v>96</v>
      </c>
      <c r="F6" s="320"/>
      <c r="G6" s="320"/>
      <c r="H6" s="320"/>
    </row>
    <row r="7" spans="1:16" x14ac:dyDescent="0.25">
      <c r="A7" s="118">
        <v>1</v>
      </c>
      <c r="B7" s="119" t="s">
        <v>55</v>
      </c>
      <c r="C7" s="120"/>
      <c r="D7" s="56"/>
      <c r="E7" s="56"/>
      <c r="F7" s="121"/>
      <c r="G7" s="121"/>
      <c r="H7" s="121"/>
    </row>
    <row r="8" spans="1:16" x14ac:dyDescent="0.25">
      <c r="A8" s="120"/>
      <c r="B8" s="56" t="s">
        <v>56</v>
      </c>
      <c r="C8" s="120" t="s">
        <v>57</v>
      </c>
      <c r="D8" s="61">
        <v>53103.1</v>
      </c>
      <c r="E8" s="61">
        <v>53103.1</v>
      </c>
      <c r="F8" s="122">
        <f>E8-D8</f>
        <v>0</v>
      </c>
      <c r="G8" s="122"/>
      <c r="H8" s="122"/>
    </row>
    <row r="9" spans="1:16" ht="15.75" x14ac:dyDescent="0.25">
      <c r="A9" s="120"/>
      <c r="B9" s="56"/>
      <c r="C9" s="68" t="s">
        <v>97</v>
      </c>
      <c r="D9" s="123"/>
      <c r="E9" s="123"/>
      <c r="F9" s="124">
        <f>F8*284.35</f>
        <v>0</v>
      </c>
      <c r="G9" s="124"/>
      <c r="H9" s="125"/>
    </row>
    <row r="10" spans="1:16" ht="15.75" customHeight="1" x14ac:dyDescent="0.25">
      <c r="A10" s="120"/>
      <c r="B10" s="126" t="s">
        <v>98</v>
      </c>
      <c r="C10" s="321"/>
      <c r="D10" s="321"/>
      <c r="E10" s="321"/>
      <c r="F10" s="128">
        <f>F9*0.568</f>
        <v>0</v>
      </c>
      <c r="G10" s="129"/>
      <c r="H10" s="129"/>
    </row>
    <row r="11" spans="1:16" x14ac:dyDescent="0.25">
      <c r="A11" s="120"/>
      <c r="B11" s="126" t="s">
        <v>99</v>
      </c>
      <c r="C11" s="321"/>
      <c r="D11" s="321"/>
      <c r="E11" s="321"/>
      <c r="F11" s="128">
        <f>F9*0.075</f>
        <v>0</v>
      </c>
      <c r="G11" s="129"/>
      <c r="H11" s="129"/>
    </row>
    <row r="12" spans="1:16" ht="15.75" customHeight="1" x14ac:dyDescent="0.25">
      <c r="A12" s="120"/>
      <c r="B12" s="130" t="s">
        <v>100</v>
      </c>
      <c r="C12" s="322"/>
      <c r="D12" s="322"/>
      <c r="E12" s="322"/>
      <c r="F12" s="132">
        <f>F10+F11</f>
        <v>0</v>
      </c>
      <c r="G12" s="133">
        <f>'dec. 1 to 31'!G12</f>
        <v>250000</v>
      </c>
      <c r="H12" s="134"/>
    </row>
    <row r="13" spans="1:16" ht="15.75" customHeight="1" x14ac:dyDescent="0.25">
      <c r="A13" s="120"/>
      <c r="B13" s="130" t="s">
        <v>101</v>
      </c>
      <c r="C13" s="322"/>
      <c r="D13" s="322"/>
      <c r="E13" s="322"/>
      <c r="F13" s="132">
        <f>(3082.2*30)</f>
        <v>92466</v>
      </c>
      <c r="G13" s="133">
        <f>'dec. 1 to 31'!G13</f>
        <v>95548.2</v>
      </c>
      <c r="H13" s="134">
        <f>F13</f>
        <v>92466</v>
      </c>
    </row>
    <row r="14" spans="1:16" ht="15.75" customHeight="1" x14ac:dyDescent="0.25">
      <c r="A14" s="120"/>
      <c r="B14" s="323"/>
      <c r="C14" s="323"/>
      <c r="D14" s="323"/>
      <c r="E14" s="323"/>
      <c r="F14" s="135">
        <f>SUM(F12+F13)</f>
        <v>92466</v>
      </c>
      <c r="G14" s="136">
        <f>SUM(G12:G13)</f>
        <v>345548.2</v>
      </c>
      <c r="H14" s="129">
        <f>SUM(H12:H13)</f>
        <v>92466</v>
      </c>
    </row>
    <row r="15" spans="1:16" x14ac:dyDescent="0.25">
      <c r="A15" s="118" t="s">
        <v>59</v>
      </c>
      <c r="B15" s="119" t="s">
        <v>60</v>
      </c>
      <c r="C15" s="324"/>
      <c r="D15" s="324"/>
      <c r="E15" s="324"/>
      <c r="F15" s="137"/>
      <c r="G15" s="138" t="s">
        <v>102</v>
      </c>
      <c r="H15" s="139">
        <f>(F14-H14)</f>
        <v>0</v>
      </c>
    </row>
    <row r="16" spans="1:16" ht="14.25" customHeight="1" x14ac:dyDescent="0.25">
      <c r="A16" s="68"/>
      <c r="B16" s="69" t="s">
        <v>61</v>
      </c>
      <c r="C16" s="70" t="s">
        <v>62</v>
      </c>
      <c r="D16" s="61"/>
      <c r="E16" s="61"/>
      <c r="F16" s="122">
        <f>E16-D16</f>
        <v>0</v>
      </c>
      <c r="G16" s="325" t="s">
        <v>103</v>
      </c>
      <c r="H16" s="325"/>
    </row>
    <row r="17" spans="1:8" ht="28.5" x14ac:dyDescent="0.25">
      <c r="A17" s="68"/>
      <c r="B17" s="69"/>
      <c r="C17" s="70" t="s">
        <v>104</v>
      </c>
      <c r="D17" s="61"/>
      <c r="E17" s="61"/>
      <c r="F17" s="140">
        <f>F16*219.969</f>
        <v>0</v>
      </c>
      <c r="G17" s="141"/>
      <c r="H17" s="137"/>
    </row>
    <row r="18" spans="1:8" x14ac:dyDescent="0.25">
      <c r="A18" s="68"/>
      <c r="B18" s="126" t="s">
        <v>105</v>
      </c>
      <c r="C18" s="321"/>
      <c r="D18" s="321"/>
      <c r="E18" s="321"/>
      <c r="F18" s="142">
        <v>350</v>
      </c>
      <c r="G18" s="143"/>
      <c r="H18" s="137"/>
    </row>
    <row r="19" spans="1:8" x14ac:dyDescent="0.25">
      <c r="A19" s="68"/>
      <c r="B19" s="126" t="s">
        <v>106</v>
      </c>
      <c r="C19" s="321"/>
      <c r="D19" s="321"/>
      <c r="E19" s="321"/>
      <c r="F19" s="142">
        <v>400</v>
      </c>
      <c r="G19" s="143"/>
      <c r="H19" s="137"/>
    </row>
    <row r="20" spans="1:8" x14ac:dyDescent="0.25">
      <c r="A20" s="68"/>
      <c r="B20" s="126" t="s">
        <v>107</v>
      </c>
      <c r="C20" s="321"/>
      <c r="D20" s="321"/>
      <c r="E20" s="321"/>
      <c r="F20" s="142">
        <f>SUM(F17-20000)*0.046</f>
        <v>-920</v>
      </c>
      <c r="G20" s="143"/>
      <c r="H20" s="137"/>
    </row>
    <row r="21" spans="1:8" x14ac:dyDescent="0.25">
      <c r="A21" s="68"/>
      <c r="B21" s="126" t="s">
        <v>108</v>
      </c>
      <c r="C21" s="321"/>
      <c r="D21" s="321"/>
      <c r="E21" s="321"/>
      <c r="F21" s="144">
        <f>F17*0.005</f>
        <v>0</v>
      </c>
      <c r="G21" s="143"/>
      <c r="H21" s="137"/>
    </row>
    <row r="22" spans="1:8" x14ac:dyDescent="0.25">
      <c r="A22" s="68"/>
      <c r="B22" s="126" t="s">
        <v>109</v>
      </c>
      <c r="C22" s="321"/>
      <c r="D22" s="321"/>
      <c r="E22" s="321"/>
      <c r="F22" s="144">
        <f>F17*0.01</f>
        <v>0</v>
      </c>
      <c r="G22" s="143"/>
      <c r="H22" s="137"/>
    </row>
    <row r="23" spans="1:8" x14ac:dyDescent="0.25">
      <c r="A23" s="68"/>
      <c r="B23" s="130" t="s">
        <v>100</v>
      </c>
      <c r="C23" s="326"/>
      <c r="D23" s="326"/>
      <c r="E23" s="326"/>
      <c r="F23" s="146">
        <f>SUM(F18:F22)</f>
        <v>-170</v>
      </c>
      <c r="G23" s="147">
        <f>'dec. 1 to 31'!G23</f>
        <v>59385</v>
      </c>
      <c r="H23" s="137"/>
    </row>
    <row r="24" spans="1:8" x14ac:dyDescent="0.25">
      <c r="A24" s="118" t="s">
        <v>65</v>
      </c>
      <c r="B24" s="119" t="s">
        <v>66</v>
      </c>
      <c r="C24" s="324"/>
      <c r="D24" s="324"/>
      <c r="E24" s="324"/>
      <c r="F24" s="148"/>
      <c r="G24" s="149"/>
      <c r="H24" s="137"/>
    </row>
    <row r="25" spans="1:8" x14ac:dyDescent="0.25">
      <c r="A25" s="120">
        <v>1</v>
      </c>
      <c r="B25" s="56" t="s">
        <v>13</v>
      </c>
      <c r="C25" s="120" t="s">
        <v>67</v>
      </c>
      <c r="D25" s="61"/>
      <c r="E25" s="61"/>
      <c r="F25" s="122">
        <f t="shared" ref="F25:F30" si="0">(E25-D25)*480</f>
        <v>0</v>
      </c>
      <c r="G25" s="104"/>
      <c r="H25" s="137"/>
    </row>
    <row r="26" spans="1:8" x14ac:dyDescent="0.25">
      <c r="A26" s="120">
        <v>2</v>
      </c>
      <c r="B26" s="56" t="s">
        <v>14</v>
      </c>
      <c r="C26" s="120" t="s">
        <v>67</v>
      </c>
      <c r="D26" s="61"/>
      <c r="E26" s="61"/>
      <c r="F26" s="122">
        <f t="shared" si="0"/>
        <v>0</v>
      </c>
      <c r="G26" s="104"/>
      <c r="H26" s="137"/>
    </row>
    <row r="27" spans="1:8" x14ac:dyDescent="0.25">
      <c r="A27" s="120">
        <v>3</v>
      </c>
      <c r="B27" s="56" t="s">
        <v>15</v>
      </c>
      <c r="C27" s="120" t="s">
        <v>67</v>
      </c>
      <c r="D27" s="61"/>
      <c r="E27" s="61"/>
      <c r="F27" s="122">
        <f t="shared" si="0"/>
        <v>0</v>
      </c>
      <c r="G27" s="104"/>
      <c r="H27" s="137"/>
    </row>
    <row r="28" spans="1:8" x14ac:dyDescent="0.25">
      <c r="A28" s="120">
        <v>4</v>
      </c>
      <c r="B28" s="56" t="s">
        <v>16</v>
      </c>
      <c r="C28" s="120" t="s">
        <v>67</v>
      </c>
      <c r="D28" s="61"/>
      <c r="E28" s="61"/>
      <c r="F28" s="122">
        <f t="shared" si="0"/>
        <v>0</v>
      </c>
      <c r="G28" s="104"/>
      <c r="H28" s="137"/>
    </row>
    <row r="29" spans="1:8" x14ac:dyDescent="0.25">
      <c r="A29" s="120">
        <v>5</v>
      </c>
      <c r="B29" s="56" t="s">
        <v>17</v>
      </c>
      <c r="C29" s="120" t="s">
        <v>67</v>
      </c>
      <c r="D29" s="61"/>
      <c r="E29" s="61"/>
      <c r="F29" s="122">
        <f t="shared" si="0"/>
        <v>0</v>
      </c>
      <c r="G29" s="104"/>
      <c r="H29" s="137"/>
    </row>
    <row r="30" spans="1:8" x14ac:dyDescent="0.25">
      <c r="A30" s="120">
        <v>6</v>
      </c>
      <c r="B30" s="56" t="s">
        <v>18</v>
      </c>
      <c r="C30" s="120" t="s">
        <v>67</v>
      </c>
      <c r="D30" s="61"/>
      <c r="E30" s="61"/>
      <c r="F30" s="122">
        <f t="shared" si="0"/>
        <v>0</v>
      </c>
      <c r="G30" s="104"/>
      <c r="H30" s="137"/>
    </row>
    <row r="31" spans="1:8" x14ac:dyDescent="0.25">
      <c r="A31" s="120"/>
      <c r="B31" s="150" t="s">
        <v>110</v>
      </c>
      <c r="C31" s="324"/>
      <c r="D31" s="324"/>
      <c r="E31" s="324"/>
      <c r="F31" s="151">
        <f>SUM(F25:F30)</f>
        <v>0</v>
      </c>
      <c r="G31" s="152"/>
      <c r="H31" s="137"/>
    </row>
    <row r="32" spans="1:8" x14ac:dyDescent="0.25">
      <c r="A32" s="56"/>
      <c r="B32" s="126" t="s">
        <v>111</v>
      </c>
      <c r="C32" s="321"/>
      <c r="D32" s="321"/>
      <c r="E32" s="321"/>
      <c r="F32" s="128">
        <v>460</v>
      </c>
      <c r="G32" s="153"/>
      <c r="H32" s="137"/>
    </row>
    <row r="33" spans="1:8" x14ac:dyDescent="0.25">
      <c r="A33" s="56"/>
      <c r="B33" s="126" t="s">
        <v>112</v>
      </c>
      <c r="C33" s="321"/>
      <c r="D33" s="321"/>
      <c r="E33" s="321"/>
      <c r="F33" s="128">
        <v>560</v>
      </c>
      <c r="G33" s="153"/>
      <c r="H33" s="137"/>
    </row>
    <row r="34" spans="1:8" x14ac:dyDescent="0.25">
      <c r="A34" s="56"/>
      <c r="B34" s="126" t="s">
        <v>113</v>
      </c>
      <c r="C34" s="321"/>
      <c r="D34" s="321"/>
      <c r="E34" s="321"/>
      <c r="F34" s="128">
        <v>640</v>
      </c>
      <c r="G34" s="153"/>
      <c r="H34" s="137"/>
    </row>
    <row r="35" spans="1:8" x14ac:dyDescent="0.25">
      <c r="A35" s="56"/>
      <c r="B35" s="126" t="s">
        <v>114</v>
      </c>
      <c r="C35" s="321"/>
      <c r="D35" s="321"/>
      <c r="E35" s="321"/>
      <c r="F35" s="128">
        <f>SUM(F31-6000)*0.38</f>
        <v>-2280</v>
      </c>
      <c r="G35" s="153"/>
      <c r="H35" s="137"/>
    </row>
    <row r="36" spans="1:8" x14ac:dyDescent="0.25">
      <c r="A36" s="56"/>
      <c r="B36" s="126" t="s">
        <v>115</v>
      </c>
      <c r="C36" s="321"/>
      <c r="D36" s="321"/>
      <c r="E36" s="321"/>
      <c r="F36" s="128">
        <f>F31*0.065</f>
        <v>0</v>
      </c>
      <c r="G36" s="153"/>
      <c r="H36" s="137"/>
    </row>
    <row r="37" spans="1:8" x14ac:dyDescent="0.25">
      <c r="A37" s="56"/>
      <c r="B37" s="130" t="s">
        <v>100</v>
      </c>
      <c r="C37" s="327"/>
      <c r="D37" s="327"/>
      <c r="E37" s="327"/>
      <c r="F37" s="132">
        <f>SUM(F32:F36)</f>
        <v>-620</v>
      </c>
      <c r="G37" s="155">
        <f>'dec. 1 to 31'!G37</f>
        <v>281577</v>
      </c>
      <c r="H37" s="137"/>
    </row>
    <row r="38" spans="1:8" x14ac:dyDescent="0.25">
      <c r="A38" s="118" t="s">
        <v>69</v>
      </c>
      <c r="B38" s="119" t="s">
        <v>70</v>
      </c>
      <c r="C38" s="156"/>
      <c r="D38" s="156"/>
      <c r="E38" s="156"/>
      <c r="F38" s="148"/>
      <c r="G38" s="149"/>
      <c r="H38" s="137"/>
    </row>
    <row r="39" spans="1:8" x14ac:dyDescent="0.25">
      <c r="A39" s="120">
        <v>1</v>
      </c>
      <c r="B39" s="156" t="s">
        <v>71</v>
      </c>
      <c r="C39" s="328"/>
      <c r="D39" s="328"/>
      <c r="E39" s="328"/>
      <c r="F39" s="151"/>
      <c r="G39" s="152"/>
      <c r="H39" s="137"/>
    </row>
    <row r="40" spans="1:8" x14ac:dyDescent="0.25">
      <c r="A40" s="120"/>
      <c r="B40" s="156"/>
      <c r="C40" s="157" t="s">
        <v>116</v>
      </c>
      <c r="D40" s="61"/>
      <c r="E40" s="61"/>
      <c r="F40" s="124">
        <f>E40-D40</f>
        <v>0</v>
      </c>
      <c r="G40" s="152"/>
      <c r="H40" s="137"/>
    </row>
    <row r="41" spans="1:8" x14ac:dyDescent="0.25">
      <c r="A41" s="120"/>
      <c r="B41" s="156"/>
      <c r="C41" s="158" t="s">
        <v>117</v>
      </c>
      <c r="D41" s="61"/>
      <c r="E41" s="61"/>
      <c r="F41" s="151">
        <f>F40*3.7</f>
        <v>0</v>
      </c>
      <c r="G41" s="152"/>
      <c r="H41" s="137"/>
    </row>
    <row r="42" spans="1:8" x14ac:dyDescent="0.25">
      <c r="A42" s="120"/>
      <c r="B42" s="130" t="s">
        <v>118</v>
      </c>
      <c r="C42" s="327"/>
      <c r="D42" s="327"/>
      <c r="E42" s="327"/>
      <c r="F42" s="132">
        <f>F41*2.5</f>
        <v>0</v>
      </c>
      <c r="G42" s="159">
        <f>'dec. 1 to 31'!G42</f>
        <v>13040</v>
      </c>
      <c r="H42" s="137"/>
    </row>
    <row r="43" spans="1:8" x14ac:dyDescent="0.25">
      <c r="A43" s="160"/>
      <c r="B43" s="160"/>
      <c r="C43" s="161"/>
      <c r="D43" s="160"/>
      <c r="E43" s="160"/>
      <c r="F43" s="162"/>
      <c r="G43" s="162"/>
      <c r="H43" s="162"/>
    </row>
    <row r="44" spans="1:8" ht="21" x14ac:dyDescent="0.25">
      <c r="A44" s="94"/>
      <c r="B44" s="329" t="s">
        <v>75</v>
      </c>
      <c r="C44" s="329"/>
      <c r="D44" s="329"/>
      <c r="E44" s="329"/>
      <c r="F44" s="105"/>
      <c r="G44" s="105"/>
      <c r="H44" s="105"/>
    </row>
    <row r="45" spans="1:8" ht="21" x14ac:dyDescent="0.25">
      <c r="A45" s="94"/>
      <c r="B45" s="163" t="s">
        <v>76</v>
      </c>
      <c r="C45" s="163" t="s">
        <v>77</v>
      </c>
      <c r="D45" s="163" t="s">
        <v>78</v>
      </c>
      <c r="E45" s="163" t="s">
        <v>119</v>
      </c>
      <c r="F45" s="105"/>
      <c r="G45" s="105"/>
      <c r="H45" s="105"/>
    </row>
    <row r="46" spans="1:8" x14ac:dyDescent="0.25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  <c r="H46" s="164"/>
    </row>
    <row r="47" spans="1:8" x14ac:dyDescent="0.25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  <c r="H47" s="164"/>
    </row>
    <row r="48" spans="1:8" x14ac:dyDescent="0.25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  <c r="H48" s="164"/>
    </row>
    <row r="49" spans="1:8" x14ac:dyDescent="0.25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  <c r="H49" s="164"/>
    </row>
    <row r="50" spans="1:8" ht="15.75" x14ac:dyDescent="0.2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  <c r="H50" s="167"/>
    </row>
  </sheetData>
  <mergeCells count="33"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  <mergeCell ref="C21:E21"/>
    <mergeCell ref="C22:E22"/>
    <mergeCell ref="C23:E23"/>
    <mergeCell ref="C24:E24"/>
    <mergeCell ref="C31:E31"/>
    <mergeCell ref="C15:E15"/>
    <mergeCell ref="G16:H16"/>
    <mergeCell ref="C18:E18"/>
    <mergeCell ref="C19:E19"/>
    <mergeCell ref="C20:E20"/>
    <mergeCell ref="C10:E10"/>
    <mergeCell ref="C11:E11"/>
    <mergeCell ref="C12:E12"/>
    <mergeCell ref="C13:E13"/>
    <mergeCell ref="B14:E14"/>
    <mergeCell ref="A1:G2"/>
    <mergeCell ref="A3:G3"/>
    <mergeCell ref="A4:C4"/>
    <mergeCell ref="G4:H4"/>
    <mergeCell ref="A5:A6"/>
    <mergeCell ref="B5:B6"/>
    <mergeCell ref="F5:F6"/>
    <mergeCell ref="G5:G6"/>
    <mergeCell ref="H5:H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40625" defaultRowHeight="15" x14ac:dyDescent="0.25"/>
  <cols>
    <col min="1" max="1" width="5.5703125" style="44" customWidth="1"/>
    <col min="2" max="2" width="38.28515625" style="44" customWidth="1"/>
    <col min="3" max="3" width="21.5703125" style="44" customWidth="1"/>
    <col min="4" max="4" width="20.140625" style="44" customWidth="1"/>
    <col min="5" max="5" width="20.28515625" style="44" customWidth="1"/>
    <col min="6" max="6" width="21.28515625" style="107" customWidth="1"/>
    <col min="7" max="7" width="20" style="107" customWidth="1"/>
    <col min="8" max="10" width="9.140625" style="44"/>
    <col min="11" max="16" width="10.5703125" style="44" customWidth="1"/>
    <col min="17" max="16384" width="9.140625" style="44"/>
  </cols>
  <sheetData>
    <row r="1" spans="1:14" ht="15" customHeight="1" x14ac:dyDescent="0.25">
      <c r="A1" s="331" t="s">
        <v>45</v>
      </c>
      <c r="B1" s="331"/>
      <c r="C1" s="331"/>
      <c r="D1" s="331"/>
      <c r="E1" s="331"/>
      <c r="F1" s="331"/>
      <c r="G1" s="331"/>
    </row>
    <row r="2" spans="1:14" ht="10.5" customHeight="1" x14ac:dyDescent="0.25">
      <c r="A2" s="331"/>
      <c r="B2" s="331"/>
      <c r="C2" s="331"/>
      <c r="D2" s="331"/>
      <c r="E2" s="331"/>
      <c r="F2" s="331"/>
      <c r="G2" s="331"/>
    </row>
    <row r="3" spans="1:14" ht="21.75" customHeight="1" x14ac:dyDescent="0.25">
      <c r="A3" s="332" t="s">
        <v>47</v>
      </c>
      <c r="B3" s="332"/>
      <c r="C3" s="332"/>
      <c r="D3" s="332"/>
      <c r="E3" s="332"/>
      <c r="F3" s="332"/>
      <c r="G3" s="332"/>
    </row>
    <row r="4" spans="1:14" ht="36" x14ac:dyDescent="0.25">
      <c r="A4" s="333" t="s">
        <v>123</v>
      </c>
      <c r="B4" s="333"/>
      <c r="C4" s="168" t="s">
        <v>124</v>
      </c>
      <c r="D4" s="112"/>
      <c r="E4" s="169" t="s">
        <v>88</v>
      </c>
      <c r="F4" s="334"/>
      <c r="G4" s="334"/>
    </row>
    <row r="5" spans="1:14" ht="27.75" customHeight="1" x14ac:dyDescent="0.25">
      <c r="A5" s="170" t="s">
        <v>49</v>
      </c>
      <c r="B5" s="114" t="s">
        <v>50</v>
      </c>
      <c r="C5" s="113"/>
      <c r="D5" s="115" t="s">
        <v>90</v>
      </c>
      <c r="E5" s="115" t="s">
        <v>91</v>
      </c>
      <c r="F5" s="335" t="s">
        <v>125</v>
      </c>
      <c r="G5" s="336" t="s">
        <v>93</v>
      </c>
      <c r="N5" s="16"/>
    </row>
    <row r="6" spans="1:14" ht="21.75" customHeight="1" x14ac:dyDescent="0.25">
      <c r="A6" s="171"/>
      <c r="B6" s="172"/>
      <c r="C6" s="116"/>
      <c r="D6" s="117" t="s">
        <v>126</v>
      </c>
      <c r="E6" s="117" t="s">
        <v>127</v>
      </c>
      <c r="F6" s="335"/>
      <c r="G6" s="336"/>
    </row>
    <row r="7" spans="1:14" x14ac:dyDescent="0.25">
      <c r="A7" s="173">
        <v>1</v>
      </c>
      <c r="B7" s="119" t="s">
        <v>55</v>
      </c>
      <c r="C7" s="120"/>
      <c r="D7" s="56"/>
      <c r="E7" s="56"/>
      <c r="F7" s="174"/>
      <c r="G7" s="175"/>
      <c r="N7" s="16" t="s">
        <v>22</v>
      </c>
    </row>
    <row r="8" spans="1:14" x14ac:dyDescent="0.25">
      <c r="A8" s="176"/>
      <c r="B8" s="56" t="s">
        <v>56</v>
      </c>
      <c r="C8" s="120" t="s">
        <v>57</v>
      </c>
      <c r="D8" s="61">
        <v>53446.3</v>
      </c>
      <c r="E8" s="61">
        <v>53446.3</v>
      </c>
      <c r="F8" s="177">
        <f>E8-D8</f>
        <v>0</v>
      </c>
      <c r="G8" s="178"/>
    </row>
    <row r="9" spans="1:14" ht="15.75" x14ac:dyDescent="0.25">
      <c r="A9" s="176"/>
      <c r="B9" s="56"/>
      <c r="C9" s="68" t="s">
        <v>97</v>
      </c>
      <c r="D9" s="123"/>
      <c r="E9" s="123"/>
      <c r="F9" s="179">
        <f>F8*284.35</f>
        <v>0</v>
      </c>
      <c r="G9" s="180"/>
    </row>
    <row r="10" spans="1:14" ht="15.75" x14ac:dyDescent="0.25">
      <c r="A10" s="176"/>
      <c r="B10" s="126" t="s">
        <v>98</v>
      </c>
      <c r="C10" s="127"/>
      <c r="D10" s="181"/>
      <c r="E10" s="181"/>
      <c r="F10" s="182">
        <f>F9*0.568</f>
        <v>0</v>
      </c>
      <c r="G10" s="183"/>
    </row>
    <row r="11" spans="1:14" ht="15.75" x14ac:dyDescent="0.25">
      <c r="A11" s="176"/>
      <c r="B11" s="126" t="s">
        <v>99</v>
      </c>
      <c r="C11" s="127"/>
      <c r="D11" s="181"/>
      <c r="E11" s="181"/>
      <c r="F11" s="182">
        <f>F9*0.075</f>
        <v>0</v>
      </c>
      <c r="G11" s="183"/>
    </row>
    <row r="12" spans="1:14" ht="15.75" x14ac:dyDescent="0.25">
      <c r="A12" s="176"/>
      <c r="B12" s="130" t="s">
        <v>100</v>
      </c>
      <c r="C12" s="131"/>
      <c r="D12" s="184"/>
      <c r="E12" s="184"/>
      <c r="F12" s="185">
        <f>F10+F11</f>
        <v>0</v>
      </c>
      <c r="G12" s="133">
        <v>250000</v>
      </c>
    </row>
    <row r="13" spans="1:14" ht="15.75" x14ac:dyDescent="0.25">
      <c r="A13" s="176"/>
      <c r="B13" s="130" t="s">
        <v>128</v>
      </c>
      <c r="C13" s="131"/>
      <c r="D13" s="184"/>
      <c r="E13" s="184"/>
      <c r="F13" s="185">
        <f>(3082.2*30)</f>
        <v>92466</v>
      </c>
      <c r="G13" s="133">
        <v>95548.2</v>
      </c>
    </row>
    <row r="14" spans="1:14" ht="15.75" x14ac:dyDescent="0.25">
      <c r="A14" s="176"/>
      <c r="B14" s="186"/>
      <c r="C14" s="68"/>
      <c r="D14" s="123"/>
      <c r="E14" s="123"/>
      <c r="F14" s="187">
        <f>(F12+F13)</f>
        <v>92466</v>
      </c>
      <c r="G14" s="136">
        <f>SUM(G12:G13)</f>
        <v>345548.2</v>
      </c>
    </row>
    <row r="15" spans="1:14" x14ac:dyDescent="0.25">
      <c r="A15" s="173" t="s">
        <v>59</v>
      </c>
      <c r="B15" s="119" t="s">
        <v>60</v>
      </c>
      <c r="C15" s="120"/>
      <c r="D15" s="61"/>
      <c r="E15" s="61"/>
      <c r="F15" s="188"/>
      <c r="G15" s="189"/>
    </row>
    <row r="16" spans="1:14" x14ac:dyDescent="0.25">
      <c r="A16" s="190"/>
      <c r="B16" s="69" t="s">
        <v>61</v>
      </c>
      <c r="C16" s="70" t="s">
        <v>62</v>
      </c>
      <c r="D16" s="61">
        <v>203437</v>
      </c>
      <c r="E16" s="61">
        <v>203437</v>
      </c>
      <c r="F16" s="177">
        <f>E16-D16</f>
        <v>0</v>
      </c>
      <c r="G16" s="178"/>
    </row>
    <row r="17" spans="1:16" ht="28.5" x14ac:dyDescent="0.25">
      <c r="A17" s="190"/>
      <c r="B17" s="69"/>
      <c r="C17" s="70" t="s">
        <v>129</v>
      </c>
      <c r="D17" s="61"/>
      <c r="E17" s="61"/>
      <c r="F17" s="191">
        <f>F16*219.969</f>
        <v>0</v>
      </c>
      <c r="G17" s="192"/>
    </row>
    <row r="18" spans="1:16" x14ac:dyDescent="0.25">
      <c r="A18" s="190"/>
      <c r="B18" s="126" t="s">
        <v>105</v>
      </c>
      <c r="C18" s="193"/>
      <c r="D18" s="194"/>
      <c r="E18" s="194"/>
      <c r="F18" s="144">
        <v>350</v>
      </c>
      <c r="G18" s="195"/>
    </row>
    <row r="19" spans="1:16" x14ac:dyDescent="0.25">
      <c r="A19" s="190"/>
      <c r="B19" s="126" t="s">
        <v>106</v>
      </c>
      <c r="C19" s="193"/>
      <c r="D19" s="194"/>
      <c r="E19" s="194"/>
      <c r="F19" s="144">
        <v>400</v>
      </c>
      <c r="G19" s="195"/>
    </row>
    <row r="20" spans="1:16" x14ac:dyDescent="0.25">
      <c r="A20" s="190"/>
      <c r="B20" s="126" t="s">
        <v>107</v>
      </c>
      <c r="C20" s="193"/>
      <c r="D20" s="194"/>
      <c r="E20" s="194"/>
      <c r="F20" s="144">
        <f>SUM(F17-20000)*0.046</f>
        <v>-920</v>
      </c>
      <c r="G20" s="195"/>
    </row>
    <row r="21" spans="1:16" x14ac:dyDescent="0.25">
      <c r="A21" s="190"/>
      <c r="B21" s="126" t="s">
        <v>108</v>
      </c>
      <c r="C21" s="193"/>
      <c r="D21" s="194"/>
      <c r="E21" s="194"/>
      <c r="F21" s="144">
        <f>F17*0.005</f>
        <v>0</v>
      </c>
      <c r="G21" s="195"/>
    </row>
    <row r="22" spans="1:16" x14ac:dyDescent="0.25">
      <c r="A22" s="190"/>
      <c r="B22" s="126" t="s">
        <v>109</v>
      </c>
      <c r="C22" s="193"/>
      <c r="D22" s="194"/>
      <c r="E22" s="194"/>
      <c r="F22" s="144">
        <f>F17*0.01</f>
        <v>0</v>
      </c>
      <c r="G22" s="195"/>
    </row>
    <row r="23" spans="1:16" x14ac:dyDescent="0.25">
      <c r="A23" s="190"/>
      <c r="B23" s="130" t="s">
        <v>100</v>
      </c>
      <c r="C23" s="145"/>
      <c r="D23" s="196"/>
      <c r="E23" s="196"/>
      <c r="F23" s="197">
        <f>SUM(F18:F22)</f>
        <v>-170</v>
      </c>
      <c r="G23" s="198">
        <v>59385</v>
      </c>
    </row>
    <row r="24" spans="1:16" x14ac:dyDescent="0.25">
      <c r="A24" s="173" t="s">
        <v>65</v>
      </c>
      <c r="B24" s="119" t="s">
        <v>66</v>
      </c>
      <c r="C24" s="120"/>
      <c r="D24" s="61"/>
      <c r="E24" s="61"/>
      <c r="F24" s="199"/>
      <c r="G24" s="200"/>
      <c r="K24" s="201">
        <v>1</v>
      </c>
      <c r="L24" s="201">
        <v>2</v>
      </c>
      <c r="M24" s="201">
        <v>3</v>
      </c>
      <c r="N24" s="201">
        <v>4</v>
      </c>
      <c r="O24" s="201">
        <v>6</v>
      </c>
      <c r="P24" s="201">
        <v>7</v>
      </c>
    </row>
    <row r="25" spans="1:16" x14ac:dyDescent="0.25">
      <c r="A25" s="176">
        <v>1</v>
      </c>
      <c r="B25" s="56" t="s">
        <v>130</v>
      </c>
      <c r="C25" s="120" t="s">
        <v>67</v>
      </c>
      <c r="D25" s="61">
        <v>6559.3</v>
      </c>
      <c r="E25" s="61">
        <v>6559.3</v>
      </c>
      <c r="F25" s="177">
        <f t="shared" ref="F25:F30" si="0">(E25-D25)*480</f>
        <v>0</v>
      </c>
      <c r="G25" s="178"/>
      <c r="H25" s="44">
        <f t="shared" ref="H25:H30" si="1">(F25*0.065)</f>
        <v>0</v>
      </c>
      <c r="K25" s="44">
        <f>H25</f>
        <v>0</v>
      </c>
      <c r="L25" s="44">
        <f>H26</f>
        <v>0</v>
      </c>
      <c r="M25" s="44">
        <f>H27</f>
        <v>0</v>
      </c>
      <c r="N25" s="44">
        <f>H28</f>
        <v>0</v>
      </c>
      <c r="O25" s="44">
        <f>H29</f>
        <v>0</v>
      </c>
      <c r="P25" s="44">
        <f>H30</f>
        <v>0</v>
      </c>
    </row>
    <row r="26" spans="1:16" x14ac:dyDescent="0.25">
      <c r="A26" s="176">
        <v>2</v>
      </c>
      <c r="B26" s="56" t="s">
        <v>131</v>
      </c>
      <c r="C26" s="120" t="s">
        <v>67</v>
      </c>
      <c r="D26" s="61">
        <v>3966.1</v>
      </c>
      <c r="E26" s="61">
        <v>3966.1</v>
      </c>
      <c r="F26" s="177">
        <f t="shared" si="0"/>
        <v>0</v>
      </c>
      <c r="G26" s="178"/>
      <c r="H26" s="44">
        <f t="shared" si="1"/>
        <v>0</v>
      </c>
      <c r="K26" s="44">
        <v>1660</v>
      </c>
      <c r="L26" s="44">
        <v>1660</v>
      </c>
      <c r="M26" s="44">
        <v>1660</v>
      </c>
      <c r="N26" s="44">
        <v>1660</v>
      </c>
      <c r="O26" s="44">
        <v>1660</v>
      </c>
      <c r="P26" s="44">
        <v>1660</v>
      </c>
    </row>
    <row r="27" spans="1:16" x14ac:dyDescent="0.25">
      <c r="A27" s="176">
        <v>3</v>
      </c>
      <c r="B27" s="56" t="s">
        <v>132</v>
      </c>
      <c r="C27" s="120" t="s">
        <v>67</v>
      </c>
      <c r="D27" s="61">
        <v>4228.8999999999996</v>
      </c>
      <c r="E27" s="61">
        <v>4228.8999999999996</v>
      </c>
      <c r="F27" s="177">
        <f t="shared" si="0"/>
        <v>0</v>
      </c>
      <c r="G27" s="178"/>
      <c r="H27" s="44">
        <f t="shared" si="1"/>
        <v>0</v>
      </c>
      <c r="K27" s="202">
        <f>SUM(F25-6000)*0.38</f>
        <v>-2280</v>
      </c>
      <c r="L27" s="202">
        <f>SUM(F26-6000)*0.38</f>
        <v>-2280</v>
      </c>
      <c r="M27" s="202">
        <f>SUM(F27-6000)*0.38</f>
        <v>-2280</v>
      </c>
      <c r="N27" s="202">
        <f>SUM(F28-6000)*0.38</f>
        <v>-2280</v>
      </c>
      <c r="O27" s="202">
        <f>SUM(F29-6000)*0.38</f>
        <v>-2280</v>
      </c>
      <c r="P27" s="202">
        <f>SUM(F30-6000)*0.38</f>
        <v>-2280</v>
      </c>
    </row>
    <row r="28" spans="1:16" x14ac:dyDescent="0.25">
      <c r="A28" s="176">
        <v>4</v>
      </c>
      <c r="B28" s="56" t="s">
        <v>133</v>
      </c>
      <c r="C28" s="120" t="s">
        <v>67</v>
      </c>
      <c r="D28" s="61">
        <v>2358.9</v>
      </c>
      <c r="E28" s="61">
        <v>2358.9</v>
      </c>
      <c r="F28" s="177">
        <f t="shared" si="0"/>
        <v>0</v>
      </c>
      <c r="G28" s="178"/>
      <c r="H28" s="44">
        <f t="shared" si="1"/>
        <v>0</v>
      </c>
      <c r="K28" s="203">
        <f t="shared" ref="K28:P28" si="2">SUM(K25:K27)</f>
        <v>-620</v>
      </c>
      <c r="L28" s="203">
        <f t="shared" si="2"/>
        <v>-620</v>
      </c>
      <c r="M28" s="203">
        <f t="shared" si="2"/>
        <v>-620</v>
      </c>
      <c r="N28" s="203">
        <f t="shared" si="2"/>
        <v>-620</v>
      </c>
      <c r="O28" s="203">
        <f t="shared" si="2"/>
        <v>-620</v>
      </c>
      <c r="P28" s="203">
        <f t="shared" si="2"/>
        <v>-620</v>
      </c>
    </row>
    <row r="29" spans="1:16" x14ac:dyDescent="0.25">
      <c r="A29" s="176">
        <v>5</v>
      </c>
      <c r="B29" s="56" t="s">
        <v>134</v>
      </c>
      <c r="C29" s="120" t="s">
        <v>67</v>
      </c>
      <c r="D29" s="61">
        <v>5569.2</v>
      </c>
      <c r="E29" s="61">
        <v>5569.2</v>
      </c>
      <c r="F29" s="177">
        <f t="shared" si="0"/>
        <v>0</v>
      </c>
      <c r="G29" s="178"/>
      <c r="H29" s="44">
        <f t="shared" si="1"/>
        <v>0</v>
      </c>
    </row>
    <row r="30" spans="1:16" x14ac:dyDescent="0.25">
      <c r="A30" s="176">
        <v>6</v>
      </c>
      <c r="B30" s="56" t="s">
        <v>135</v>
      </c>
      <c r="C30" s="120" t="s">
        <v>67</v>
      </c>
      <c r="D30" s="61">
        <v>15010.6</v>
      </c>
      <c r="E30" s="61">
        <v>15010.6</v>
      </c>
      <c r="F30" s="177">
        <f t="shared" si="0"/>
        <v>0</v>
      </c>
      <c r="G30" s="178"/>
      <c r="H30" s="44">
        <f t="shared" si="1"/>
        <v>0</v>
      </c>
    </row>
    <row r="31" spans="1:16" x14ac:dyDescent="0.25">
      <c r="A31" s="176"/>
      <c r="B31" s="150" t="s">
        <v>110</v>
      </c>
      <c r="C31" s="120"/>
      <c r="D31" s="61"/>
      <c r="E31" s="61"/>
      <c r="F31" s="204">
        <f>SUM(F25:F30)</f>
        <v>0</v>
      </c>
      <c r="G31" s="205"/>
    </row>
    <row r="32" spans="1:16" x14ac:dyDescent="0.25">
      <c r="A32" s="206"/>
      <c r="B32" s="126" t="s">
        <v>111</v>
      </c>
      <c r="C32" s="207"/>
      <c r="D32" s="208"/>
      <c r="E32" s="208"/>
      <c r="F32" s="182">
        <v>460</v>
      </c>
      <c r="G32" s="183"/>
    </row>
    <row r="33" spans="1:7" x14ac:dyDescent="0.25">
      <c r="A33" s="206"/>
      <c r="B33" s="126" t="s">
        <v>112</v>
      </c>
      <c r="C33" s="207"/>
      <c r="D33" s="208"/>
      <c r="E33" s="208"/>
      <c r="F33" s="182">
        <v>560</v>
      </c>
      <c r="G33" s="183"/>
    </row>
    <row r="34" spans="1:7" x14ac:dyDescent="0.25">
      <c r="A34" s="206"/>
      <c r="B34" s="126" t="s">
        <v>113</v>
      </c>
      <c r="C34" s="207"/>
      <c r="D34" s="208"/>
      <c r="E34" s="208"/>
      <c r="F34" s="182">
        <v>640</v>
      </c>
      <c r="G34" s="183"/>
    </row>
    <row r="35" spans="1:7" x14ac:dyDescent="0.25">
      <c r="A35" s="206"/>
      <c r="B35" s="126" t="s">
        <v>114</v>
      </c>
      <c r="C35" s="207"/>
      <c r="D35" s="208"/>
      <c r="E35" s="208"/>
      <c r="F35" s="182">
        <f>SUM(F31-6000)*0.38</f>
        <v>-2280</v>
      </c>
      <c r="G35" s="183"/>
    </row>
    <row r="36" spans="1:7" x14ac:dyDescent="0.25">
      <c r="A36" s="206"/>
      <c r="B36" s="126" t="s">
        <v>115</v>
      </c>
      <c r="C36" s="207"/>
      <c r="D36" s="208"/>
      <c r="E36" s="208"/>
      <c r="F36" s="182">
        <f>F31*0.065</f>
        <v>0</v>
      </c>
      <c r="G36" s="183"/>
    </row>
    <row r="37" spans="1:7" x14ac:dyDescent="0.25">
      <c r="A37" s="206"/>
      <c r="B37" s="130" t="s">
        <v>100</v>
      </c>
      <c r="C37" s="154"/>
      <c r="D37" s="209"/>
      <c r="E37" s="209"/>
      <c r="F37" s="185">
        <f>SUM(F32:F36)</f>
        <v>-620</v>
      </c>
      <c r="G37" s="133">
        <v>281577</v>
      </c>
    </row>
    <row r="38" spans="1:7" x14ac:dyDescent="0.25">
      <c r="A38" s="173" t="s">
        <v>69</v>
      </c>
      <c r="B38" s="119" t="s">
        <v>70</v>
      </c>
      <c r="C38" s="120"/>
      <c r="D38" s="82"/>
      <c r="E38" s="82"/>
      <c r="F38" s="199"/>
      <c r="G38" s="200"/>
    </row>
    <row r="39" spans="1:7" x14ac:dyDescent="0.25">
      <c r="A39" s="176">
        <v>1</v>
      </c>
      <c r="B39" s="156" t="s">
        <v>71</v>
      </c>
      <c r="C39" s="158"/>
      <c r="D39" s="61"/>
      <c r="E39" s="61"/>
      <c r="F39" s="204"/>
      <c r="G39" s="205"/>
    </row>
    <row r="40" spans="1:7" x14ac:dyDescent="0.25">
      <c r="A40" s="176"/>
      <c r="B40" s="156"/>
      <c r="C40" s="157" t="s">
        <v>116</v>
      </c>
      <c r="D40" s="61">
        <v>89987.4</v>
      </c>
      <c r="E40" s="61">
        <v>89987.4</v>
      </c>
      <c r="F40" s="179">
        <f>E40-D40</f>
        <v>0</v>
      </c>
      <c r="G40" s="205"/>
    </row>
    <row r="41" spans="1:7" x14ac:dyDescent="0.25">
      <c r="A41" s="176"/>
      <c r="B41" s="156"/>
      <c r="C41" s="158" t="s">
        <v>117</v>
      </c>
      <c r="D41" s="61"/>
      <c r="E41" s="61"/>
      <c r="F41" s="151">
        <f>F40*3.7</f>
        <v>0</v>
      </c>
      <c r="G41" s="205"/>
    </row>
    <row r="42" spans="1:7" x14ac:dyDescent="0.25">
      <c r="A42" s="210"/>
      <c r="B42" s="211" t="s">
        <v>118</v>
      </c>
      <c r="C42" s="212"/>
      <c r="D42" s="213"/>
      <c r="E42" s="213"/>
      <c r="F42" s="214">
        <f>F41*2.5</f>
        <v>0</v>
      </c>
      <c r="G42" s="215">
        <v>13040</v>
      </c>
    </row>
    <row r="43" spans="1:7" ht="11.25" customHeight="1" x14ac:dyDescent="0.25">
      <c r="A43" s="160"/>
      <c r="B43" s="160"/>
      <c r="C43" s="161"/>
      <c r="D43" s="160"/>
      <c r="E43" s="160"/>
      <c r="F43" s="162"/>
      <c r="G43" s="162"/>
    </row>
    <row r="44" spans="1:7" ht="18.75" customHeight="1" x14ac:dyDescent="0.25">
      <c r="A44" s="94"/>
      <c r="B44" s="330" t="s">
        <v>75</v>
      </c>
      <c r="C44" s="330"/>
      <c r="D44" s="330"/>
      <c r="E44" s="330"/>
      <c r="F44" s="105"/>
      <c r="G44" s="105"/>
    </row>
    <row r="45" spans="1:7" ht="18.75" customHeight="1" x14ac:dyDescent="0.25">
      <c r="A45" s="94"/>
      <c r="B45" s="216" t="s">
        <v>76</v>
      </c>
      <c r="C45" s="216" t="s">
        <v>77</v>
      </c>
      <c r="D45" s="216" t="s">
        <v>78</v>
      </c>
      <c r="E45" s="216" t="s">
        <v>119</v>
      </c>
      <c r="F45" s="105"/>
      <c r="G45" s="105"/>
    </row>
    <row r="46" spans="1:7" x14ac:dyDescent="0.25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</row>
    <row r="47" spans="1:7" x14ac:dyDescent="0.25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</row>
    <row r="48" spans="1:7" x14ac:dyDescent="0.25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</row>
    <row r="49" spans="1:7" x14ac:dyDescent="0.25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</row>
    <row r="50" spans="1:7" ht="15.75" x14ac:dyDescent="0.2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40625" defaultRowHeight="25.5" x14ac:dyDescent="0.25"/>
  <cols>
    <col min="1" max="1" width="39.42578125" style="217" customWidth="1"/>
    <col min="2" max="32" width="16.7109375" style="218" customWidth="1"/>
    <col min="33" max="35" width="9.140625" style="218"/>
    <col min="36" max="36" width="24.7109375" style="218" customWidth="1"/>
    <col min="37" max="16384" width="9.140625" style="218"/>
  </cols>
  <sheetData>
    <row r="1" spans="1:43" x14ac:dyDescent="0.25">
      <c r="A1" s="219" t="s">
        <v>22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</row>
    <row r="2" spans="1:43" x14ac:dyDescent="0.25">
      <c r="A2" s="221" t="s">
        <v>136</v>
      </c>
      <c r="B2" s="222">
        <v>1</v>
      </c>
      <c r="C2" s="222">
        <v>2</v>
      </c>
      <c r="D2" s="222">
        <v>3</v>
      </c>
      <c r="E2" s="222">
        <v>4</v>
      </c>
      <c r="F2" s="222">
        <v>5</v>
      </c>
      <c r="G2" s="222">
        <v>6</v>
      </c>
      <c r="H2" s="222">
        <v>7</v>
      </c>
      <c r="I2" s="222">
        <v>8</v>
      </c>
      <c r="J2" s="222">
        <v>9</v>
      </c>
      <c r="K2" s="222">
        <v>10</v>
      </c>
      <c r="L2" s="222">
        <v>11</v>
      </c>
      <c r="M2" s="222">
        <v>12</v>
      </c>
      <c r="N2" s="222">
        <v>13</v>
      </c>
      <c r="O2" s="222">
        <v>14</v>
      </c>
      <c r="P2" s="222">
        <v>15</v>
      </c>
      <c r="Q2" s="222">
        <v>16</v>
      </c>
      <c r="R2" s="222">
        <v>17</v>
      </c>
      <c r="S2" s="222">
        <v>18</v>
      </c>
      <c r="T2" s="222">
        <v>19</v>
      </c>
      <c r="U2" s="222">
        <v>20</v>
      </c>
      <c r="V2" s="222">
        <v>21</v>
      </c>
      <c r="W2" s="222">
        <v>22</v>
      </c>
      <c r="X2" s="222">
        <v>23</v>
      </c>
      <c r="Y2" s="222">
        <v>24</v>
      </c>
      <c r="Z2" s="222">
        <v>25</v>
      </c>
      <c r="AA2" s="222">
        <v>26</v>
      </c>
      <c r="AB2" s="222">
        <v>27</v>
      </c>
      <c r="AC2" s="222">
        <v>28</v>
      </c>
      <c r="AD2" s="222">
        <v>29</v>
      </c>
      <c r="AE2" s="222">
        <v>30</v>
      </c>
      <c r="AF2" s="222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</row>
    <row r="3" spans="1:43" x14ac:dyDescent="0.25">
      <c r="A3" s="223" t="s">
        <v>137</v>
      </c>
      <c r="B3" s="224">
        <v>0.91469999999999996</v>
      </c>
      <c r="C3" s="224">
        <v>0.871</v>
      </c>
      <c r="D3" s="224">
        <v>0.94010000000000005</v>
      </c>
      <c r="E3" s="224">
        <v>0.63590000000000002</v>
      </c>
      <c r="F3" s="224">
        <v>0.65669999999999995</v>
      </c>
      <c r="G3" s="224">
        <v>0.67049999999999998</v>
      </c>
      <c r="H3" s="224">
        <v>0.5968</v>
      </c>
      <c r="I3" s="224">
        <v>0.65439999999999998</v>
      </c>
      <c r="J3" s="224">
        <v>0.71889999999999998</v>
      </c>
      <c r="K3" s="224">
        <v>0.76500000000000001</v>
      </c>
      <c r="L3" s="224">
        <v>0.55069999999999997</v>
      </c>
      <c r="M3" s="224">
        <v>0.65669999999999995</v>
      </c>
      <c r="N3" s="224">
        <v>0.77190000000000003</v>
      </c>
      <c r="O3" s="224">
        <v>0.85019999999999996</v>
      </c>
      <c r="P3" s="224">
        <v>0.7903</v>
      </c>
      <c r="Q3" s="224">
        <v>0.61750000000000005</v>
      </c>
      <c r="R3" s="224">
        <v>0.52759999999999996</v>
      </c>
      <c r="S3" s="224">
        <v>0.46539999999999998</v>
      </c>
      <c r="T3" s="224">
        <v>0.44700000000000001</v>
      </c>
      <c r="U3" s="224">
        <v>0.5161</v>
      </c>
      <c r="V3" s="224">
        <v>0.59909999999999997</v>
      </c>
      <c r="W3" s="224">
        <v>0.74650000000000005</v>
      </c>
      <c r="X3" s="224"/>
      <c r="Y3" s="224"/>
      <c r="Z3" s="224"/>
      <c r="AA3" s="224"/>
      <c r="AB3" s="224"/>
      <c r="AC3" s="224"/>
      <c r="AD3" s="224"/>
      <c r="AE3" s="224"/>
      <c r="AF3" s="224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</row>
    <row r="4" spans="1:43" x14ac:dyDescent="0.25">
      <c r="A4" s="337"/>
      <c r="B4" s="337"/>
      <c r="C4" s="337"/>
      <c r="D4" s="337"/>
      <c r="E4" s="337"/>
      <c r="F4" s="337"/>
      <c r="G4" s="337"/>
      <c r="H4" s="337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</row>
    <row r="5" spans="1:43" x14ac:dyDescent="0.25">
      <c r="A5" s="226" t="s">
        <v>25</v>
      </c>
      <c r="B5" s="222" t="s">
        <v>121</v>
      </c>
      <c r="C5" s="222" t="s">
        <v>121</v>
      </c>
      <c r="D5" s="222" t="s">
        <v>121</v>
      </c>
      <c r="E5" s="222" t="s">
        <v>121</v>
      </c>
      <c r="F5" s="222" t="s">
        <v>121</v>
      </c>
      <c r="G5" s="222" t="s">
        <v>121</v>
      </c>
      <c r="H5" s="222" t="s">
        <v>121</v>
      </c>
      <c r="I5" s="222" t="s">
        <v>121</v>
      </c>
      <c r="J5" s="222" t="s">
        <v>121</v>
      </c>
      <c r="K5" s="222" t="s">
        <v>121</v>
      </c>
      <c r="L5" s="222" t="s">
        <v>121</v>
      </c>
      <c r="M5" s="222" t="s">
        <v>121</v>
      </c>
      <c r="N5" s="222" t="s">
        <v>121</v>
      </c>
      <c r="O5" s="222" t="s">
        <v>121</v>
      </c>
      <c r="P5" s="222" t="s">
        <v>121</v>
      </c>
      <c r="Q5" s="222" t="s">
        <v>121</v>
      </c>
      <c r="R5" s="222" t="s">
        <v>121</v>
      </c>
      <c r="S5" s="222" t="s">
        <v>121</v>
      </c>
      <c r="T5" s="222" t="s">
        <v>121</v>
      </c>
      <c r="U5" s="222" t="s">
        <v>121</v>
      </c>
      <c r="V5" s="222" t="s">
        <v>121</v>
      </c>
      <c r="W5" s="222" t="s">
        <v>121</v>
      </c>
      <c r="X5" s="222" t="s">
        <v>121</v>
      </c>
      <c r="Y5" s="222" t="s">
        <v>121</v>
      </c>
      <c r="Z5" s="222" t="s">
        <v>121</v>
      </c>
      <c r="AA5" s="222" t="s">
        <v>121</v>
      </c>
      <c r="AB5" s="222" t="s">
        <v>121</v>
      </c>
      <c r="AC5" s="222" t="s">
        <v>121</v>
      </c>
      <c r="AD5" s="222" t="s">
        <v>121</v>
      </c>
      <c r="AE5" s="222" t="s">
        <v>121</v>
      </c>
      <c r="AF5" s="222" t="s">
        <v>121</v>
      </c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</row>
    <row r="6" spans="1:43" x14ac:dyDescent="0.25">
      <c r="A6" s="227" t="s">
        <v>138</v>
      </c>
      <c r="B6" s="228">
        <v>3552</v>
      </c>
      <c r="C6" s="228">
        <v>3600</v>
      </c>
      <c r="D6" s="228">
        <v>3456</v>
      </c>
      <c r="E6" s="228">
        <v>3312</v>
      </c>
      <c r="F6" s="228">
        <v>3408</v>
      </c>
      <c r="G6" s="228">
        <v>3408</v>
      </c>
      <c r="H6" s="228">
        <v>3264</v>
      </c>
      <c r="I6" s="228">
        <v>3360</v>
      </c>
      <c r="J6" s="228">
        <v>3360</v>
      </c>
      <c r="K6" s="228">
        <v>3408</v>
      </c>
      <c r="L6" s="228">
        <v>3504</v>
      </c>
      <c r="M6" s="228">
        <v>3264</v>
      </c>
      <c r="N6" s="228">
        <v>3312</v>
      </c>
      <c r="O6" s="228">
        <v>3216</v>
      </c>
      <c r="P6" s="228">
        <v>3360</v>
      </c>
      <c r="Q6" s="228">
        <v>3360</v>
      </c>
      <c r="R6" s="228">
        <v>3360</v>
      </c>
      <c r="S6" s="228">
        <v>3168</v>
      </c>
      <c r="T6" s="228">
        <v>3360</v>
      </c>
      <c r="U6" s="228">
        <v>3120</v>
      </c>
      <c r="V6" s="228">
        <v>3168</v>
      </c>
      <c r="W6" s="228">
        <v>3168</v>
      </c>
      <c r="X6" s="228"/>
      <c r="Y6" s="228"/>
      <c r="Z6" s="228"/>
      <c r="AA6" s="228"/>
      <c r="AB6" s="228"/>
      <c r="AC6" s="228"/>
      <c r="AD6" s="228"/>
      <c r="AE6" s="228"/>
      <c r="AF6" s="228"/>
      <c r="AG6" s="229"/>
      <c r="AH6" s="220"/>
    </row>
    <row r="7" spans="1:43" x14ac:dyDescent="0.25">
      <c r="A7" s="227" t="s">
        <v>139</v>
      </c>
      <c r="B7" s="228">
        <v>2208</v>
      </c>
      <c r="C7" s="228">
        <v>2256</v>
      </c>
      <c r="D7" s="228">
        <v>2208</v>
      </c>
      <c r="E7" s="228">
        <v>2160</v>
      </c>
      <c r="F7" s="228">
        <v>2160</v>
      </c>
      <c r="G7" s="228">
        <v>2256</v>
      </c>
      <c r="H7" s="228">
        <v>2160</v>
      </c>
      <c r="I7" s="228">
        <v>2160</v>
      </c>
      <c r="J7" s="228">
        <v>2160</v>
      </c>
      <c r="K7" s="228">
        <v>2160</v>
      </c>
      <c r="L7" s="228">
        <v>2112</v>
      </c>
      <c r="M7" s="228">
        <v>2160</v>
      </c>
      <c r="N7" s="228">
        <v>2208</v>
      </c>
      <c r="O7" s="228">
        <v>2112</v>
      </c>
      <c r="P7" s="228">
        <v>2160</v>
      </c>
      <c r="Q7" s="228">
        <v>2112</v>
      </c>
      <c r="R7" s="228">
        <v>2064</v>
      </c>
      <c r="S7" s="228">
        <v>1968</v>
      </c>
      <c r="T7" s="228">
        <v>2064</v>
      </c>
      <c r="U7" s="228">
        <v>2064</v>
      </c>
      <c r="V7" s="228">
        <v>2112</v>
      </c>
      <c r="W7" s="228">
        <v>1920</v>
      </c>
      <c r="X7" s="228"/>
      <c r="Y7" s="228"/>
      <c r="Z7" s="228"/>
      <c r="AA7" s="228"/>
      <c r="AB7" s="228"/>
      <c r="AC7" s="228"/>
      <c r="AD7" s="228"/>
      <c r="AE7" s="228"/>
      <c r="AF7" s="228"/>
      <c r="AG7" s="229"/>
      <c r="AH7" s="220"/>
    </row>
    <row r="8" spans="1:43" x14ac:dyDescent="0.25">
      <c r="A8" s="227" t="s">
        <v>140</v>
      </c>
      <c r="B8" s="228">
        <v>2112</v>
      </c>
      <c r="C8" s="228">
        <v>2112</v>
      </c>
      <c r="D8" s="228">
        <v>2112</v>
      </c>
      <c r="E8" s="228">
        <v>2112</v>
      </c>
      <c r="F8" s="228">
        <v>2112</v>
      </c>
      <c r="G8" s="228">
        <v>2016</v>
      </c>
      <c r="H8" s="228">
        <v>2112</v>
      </c>
      <c r="I8" s="228">
        <v>2112</v>
      </c>
      <c r="J8" s="228">
        <v>2160</v>
      </c>
      <c r="K8" s="228">
        <v>2112</v>
      </c>
      <c r="L8" s="228">
        <v>2208</v>
      </c>
      <c r="M8" s="228">
        <v>2112</v>
      </c>
      <c r="N8" s="228">
        <v>2064</v>
      </c>
      <c r="O8" s="228">
        <v>2064</v>
      </c>
      <c r="P8" s="228">
        <v>2256</v>
      </c>
      <c r="Q8" s="228">
        <v>2256</v>
      </c>
      <c r="R8" s="228">
        <v>2160</v>
      </c>
      <c r="S8" s="228">
        <v>2208</v>
      </c>
      <c r="T8" s="228">
        <v>2256</v>
      </c>
      <c r="U8" s="228">
        <v>2064</v>
      </c>
      <c r="V8" s="228">
        <v>2064</v>
      </c>
      <c r="W8" s="228">
        <v>2160</v>
      </c>
      <c r="X8" s="228"/>
      <c r="Y8" s="228"/>
      <c r="Z8" s="228"/>
      <c r="AA8" s="228"/>
      <c r="AB8" s="228"/>
      <c r="AC8" s="228"/>
      <c r="AD8" s="228"/>
      <c r="AE8" s="228"/>
      <c r="AF8" s="228"/>
      <c r="AG8" s="229"/>
      <c r="AH8" s="220"/>
    </row>
    <row r="9" spans="1:43" x14ac:dyDescent="0.25">
      <c r="A9" s="227" t="s">
        <v>141</v>
      </c>
      <c r="B9" s="228">
        <v>1632</v>
      </c>
      <c r="C9" s="228">
        <v>1440</v>
      </c>
      <c r="D9" s="228">
        <v>1680</v>
      </c>
      <c r="E9" s="228">
        <v>1488</v>
      </c>
      <c r="F9" s="228">
        <v>1296</v>
      </c>
      <c r="G9" s="228">
        <v>1363.2</v>
      </c>
      <c r="H9" s="228">
        <v>1324.8</v>
      </c>
      <c r="I9" s="228">
        <v>1536</v>
      </c>
      <c r="J9" s="228">
        <v>1440</v>
      </c>
      <c r="K9" s="228">
        <v>1440</v>
      </c>
      <c r="L9" s="228">
        <v>1392</v>
      </c>
      <c r="M9" s="228">
        <v>1344</v>
      </c>
      <c r="N9" s="228">
        <v>1344</v>
      </c>
      <c r="O9" s="228">
        <v>1200</v>
      </c>
      <c r="P9" s="228">
        <v>1536</v>
      </c>
      <c r="Q9" s="228">
        <v>1344</v>
      </c>
      <c r="R9" s="228">
        <v>1536</v>
      </c>
      <c r="S9" s="228">
        <v>1248</v>
      </c>
      <c r="T9" s="228">
        <v>1344</v>
      </c>
      <c r="U9" s="228">
        <v>1296</v>
      </c>
      <c r="V9" s="228">
        <v>1296</v>
      </c>
      <c r="W9" s="228">
        <v>1296</v>
      </c>
      <c r="X9" s="228"/>
      <c r="Y9" s="228"/>
      <c r="Z9" s="228"/>
      <c r="AA9" s="228"/>
      <c r="AB9" s="228"/>
      <c r="AC9" s="228"/>
      <c r="AD9" s="228"/>
      <c r="AE9" s="228"/>
      <c r="AF9" s="228"/>
      <c r="AG9" s="229"/>
      <c r="AH9" s="220"/>
    </row>
    <row r="10" spans="1:43" x14ac:dyDescent="0.25">
      <c r="A10" s="227" t="s">
        <v>142</v>
      </c>
      <c r="B10" s="228">
        <v>2208</v>
      </c>
      <c r="C10" s="228">
        <v>2256</v>
      </c>
      <c r="D10" s="228">
        <v>2256</v>
      </c>
      <c r="E10" s="228">
        <v>2208</v>
      </c>
      <c r="F10" s="228">
        <v>2160</v>
      </c>
      <c r="G10" s="228">
        <v>2160</v>
      </c>
      <c r="H10" s="228">
        <v>2160</v>
      </c>
      <c r="I10" s="228">
        <v>2160</v>
      </c>
      <c r="J10" s="228">
        <v>2208</v>
      </c>
      <c r="K10" s="228">
        <v>2208</v>
      </c>
      <c r="L10" s="228">
        <v>2208</v>
      </c>
      <c r="M10" s="228">
        <v>2160</v>
      </c>
      <c r="N10" s="228">
        <v>2112</v>
      </c>
      <c r="O10" s="228">
        <v>2160</v>
      </c>
      <c r="P10" s="228">
        <v>2160</v>
      </c>
      <c r="Q10" s="228">
        <v>2160</v>
      </c>
      <c r="R10" s="228">
        <v>2160</v>
      </c>
      <c r="S10" s="228">
        <v>2160</v>
      </c>
      <c r="T10" s="228">
        <v>2160</v>
      </c>
      <c r="U10" s="228">
        <v>2064</v>
      </c>
      <c r="V10" s="228">
        <v>2160</v>
      </c>
      <c r="W10" s="228">
        <v>2160</v>
      </c>
      <c r="X10" s="228"/>
      <c r="Y10" s="228"/>
      <c r="Z10" s="228"/>
      <c r="AA10" s="228"/>
      <c r="AB10" s="228"/>
      <c r="AC10" s="228"/>
      <c r="AD10" s="228"/>
      <c r="AE10" s="228"/>
      <c r="AF10" s="228"/>
      <c r="AG10" s="229"/>
      <c r="AH10" s="220"/>
    </row>
    <row r="11" spans="1:43" x14ac:dyDescent="0.25">
      <c r="A11" s="227" t="s">
        <v>143</v>
      </c>
      <c r="B11" s="228">
        <v>5280</v>
      </c>
      <c r="C11" s="228">
        <v>5568</v>
      </c>
      <c r="D11" s="228">
        <v>5616</v>
      </c>
      <c r="E11" s="228">
        <v>5712</v>
      </c>
      <c r="F11" s="228">
        <v>5472</v>
      </c>
      <c r="G11" s="228">
        <v>5712</v>
      </c>
      <c r="H11" s="228">
        <v>5616</v>
      </c>
      <c r="I11" s="228">
        <v>5424</v>
      </c>
      <c r="J11" s="228">
        <v>5184</v>
      </c>
      <c r="K11" s="228">
        <v>5376</v>
      </c>
      <c r="L11" s="228">
        <v>5280</v>
      </c>
      <c r="M11" s="228">
        <v>5520</v>
      </c>
      <c r="N11" s="228">
        <v>5424</v>
      </c>
      <c r="O11" s="228">
        <v>5136</v>
      </c>
      <c r="P11" s="228">
        <v>5376</v>
      </c>
      <c r="Q11" s="228">
        <v>5568</v>
      </c>
      <c r="R11" s="228">
        <v>5712</v>
      </c>
      <c r="S11" s="228">
        <v>5424</v>
      </c>
      <c r="T11" s="228">
        <v>5376</v>
      </c>
      <c r="U11" s="228">
        <v>5280</v>
      </c>
      <c r="V11" s="228">
        <v>5280</v>
      </c>
      <c r="W11" s="228">
        <v>5280</v>
      </c>
      <c r="X11" s="228"/>
      <c r="Y11" s="228"/>
      <c r="Z11" s="228"/>
      <c r="AA11" s="228"/>
      <c r="AB11" s="228"/>
      <c r="AC11" s="228"/>
      <c r="AD11" s="228"/>
      <c r="AE11" s="228"/>
      <c r="AF11" s="228"/>
      <c r="AG11" s="229"/>
      <c r="AH11" s="220"/>
    </row>
    <row r="12" spans="1:43" s="232" customFormat="1" x14ac:dyDescent="0.25">
      <c r="A12" s="230" t="s">
        <v>144</v>
      </c>
      <c r="B12" s="231">
        <f t="shared" ref="B12:AF12" si="0">SUM(B6:B11)</f>
        <v>16992</v>
      </c>
      <c r="C12" s="231">
        <f t="shared" si="0"/>
        <v>17232</v>
      </c>
      <c r="D12" s="231">
        <f t="shared" si="0"/>
        <v>17328</v>
      </c>
      <c r="E12" s="231">
        <f t="shared" si="0"/>
        <v>16992</v>
      </c>
      <c r="F12" s="231">
        <f t="shared" si="0"/>
        <v>16608</v>
      </c>
      <c r="G12" s="231">
        <f t="shared" si="0"/>
        <v>16915.2</v>
      </c>
      <c r="H12" s="231">
        <f t="shared" si="0"/>
        <v>16636.8</v>
      </c>
      <c r="I12" s="231">
        <f t="shared" si="0"/>
        <v>16752</v>
      </c>
      <c r="J12" s="231">
        <f t="shared" si="0"/>
        <v>16512</v>
      </c>
      <c r="K12" s="231">
        <f t="shared" si="0"/>
        <v>16704</v>
      </c>
      <c r="L12" s="231">
        <f t="shared" si="0"/>
        <v>16704</v>
      </c>
      <c r="M12" s="231">
        <f t="shared" si="0"/>
        <v>16560</v>
      </c>
      <c r="N12" s="231">
        <f t="shared" si="0"/>
        <v>16464</v>
      </c>
      <c r="O12" s="231">
        <f t="shared" si="0"/>
        <v>15888</v>
      </c>
      <c r="P12" s="231">
        <f t="shared" si="0"/>
        <v>16848</v>
      </c>
      <c r="Q12" s="231">
        <f t="shared" si="0"/>
        <v>16800</v>
      </c>
      <c r="R12" s="231">
        <f t="shared" si="0"/>
        <v>16992</v>
      </c>
      <c r="S12" s="231">
        <f t="shared" si="0"/>
        <v>16176</v>
      </c>
      <c r="T12" s="231">
        <f t="shared" si="0"/>
        <v>16560</v>
      </c>
      <c r="U12" s="231">
        <f t="shared" si="0"/>
        <v>15888</v>
      </c>
      <c r="V12" s="231">
        <f t="shared" si="0"/>
        <v>16080</v>
      </c>
      <c r="W12" s="231">
        <f t="shared" si="0"/>
        <v>15984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  <c r="AD12" s="231">
        <f t="shared" si="0"/>
        <v>0</v>
      </c>
      <c r="AE12" s="231">
        <f t="shared" si="0"/>
        <v>0</v>
      </c>
      <c r="AF12" s="231">
        <f t="shared" si="0"/>
        <v>0</v>
      </c>
    </row>
    <row r="13" spans="1:43" x14ac:dyDescent="0.25">
      <c r="A13" s="226" t="s">
        <v>24</v>
      </c>
      <c r="B13" s="222" t="s">
        <v>64</v>
      </c>
      <c r="C13" s="222" t="s">
        <v>64</v>
      </c>
      <c r="D13" s="222" t="s">
        <v>64</v>
      </c>
      <c r="E13" s="222" t="s">
        <v>64</v>
      </c>
      <c r="F13" s="222" t="s">
        <v>64</v>
      </c>
      <c r="G13" s="222" t="s">
        <v>64</v>
      </c>
      <c r="H13" s="222" t="s">
        <v>64</v>
      </c>
      <c r="I13" s="222" t="s">
        <v>64</v>
      </c>
      <c r="J13" s="222" t="s">
        <v>64</v>
      </c>
      <c r="K13" s="222" t="s">
        <v>64</v>
      </c>
      <c r="L13" s="222" t="s">
        <v>64</v>
      </c>
      <c r="M13" s="222" t="s">
        <v>64</v>
      </c>
      <c r="N13" s="222" t="s">
        <v>64</v>
      </c>
      <c r="O13" s="222" t="s">
        <v>64</v>
      </c>
      <c r="P13" s="222" t="s">
        <v>64</v>
      </c>
      <c r="Q13" s="222" t="s">
        <v>64</v>
      </c>
      <c r="R13" s="222" t="s">
        <v>64</v>
      </c>
      <c r="S13" s="222" t="s">
        <v>64</v>
      </c>
      <c r="T13" s="222" t="s">
        <v>64</v>
      </c>
      <c r="U13" s="222" t="s">
        <v>64</v>
      </c>
      <c r="V13" s="222" t="s">
        <v>64</v>
      </c>
      <c r="W13" s="222" t="s">
        <v>64</v>
      </c>
      <c r="X13" s="222" t="s">
        <v>64</v>
      </c>
      <c r="Y13" s="222" t="s">
        <v>64</v>
      </c>
      <c r="Z13" s="222" t="s">
        <v>64</v>
      </c>
      <c r="AA13" s="222" t="s">
        <v>64</v>
      </c>
      <c r="AB13" s="222" t="s">
        <v>64</v>
      </c>
      <c r="AC13" s="222" t="s">
        <v>64</v>
      </c>
      <c r="AD13" s="222" t="s">
        <v>64</v>
      </c>
      <c r="AE13" s="222" t="s">
        <v>64</v>
      </c>
      <c r="AF13" s="222" t="s">
        <v>64</v>
      </c>
    </row>
    <row r="14" spans="1:43" x14ac:dyDescent="0.25">
      <c r="A14" s="227" t="s">
        <v>145</v>
      </c>
      <c r="B14" s="233">
        <v>25736.37</v>
      </c>
      <c r="C14" s="233">
        <v>60271.51</v>
      </c>
      <c r="D14" s="233">
        <v>62471.199999999997</v>
      </c>
      <c r="E14" s="233">
        <v>49493.03</v>
      </c>
      <c r="F14" s="233">
        <v>42673.99</v>
      </c>
      <c r="G14" s="233">
        <v>36954.79</v>
      </c>
      <c r="H14" s="233">
        <v>67750.45</v>
      </c>
      <c r="I14" s="233">
        <v>37614.699999999997</v>
      </c>
      <c r="J14" s="233">
        <v>59391.63</v>
      </c>
      <c r="K14" s="233">
        <v>41134.199999999997</v>
      </c>
      <c r="L14" s="233">
        <v>39374.449999999997</v>
      </c>
      <c r="M14" s="233">
        <v>38494.58</v>
      </c>
      <c r="N14" s="233">
        <v>37394.730000000003</v>
      </c>
      <c r="O14" s="233">
        <v>41134.199999999997</v>
      </c>
      <c r="P14" s="233">
        <v>35195.040000000001</v>
      </c>
      <c r="Q14" s="233">
        <v>38934.51</v>
      </c>
      <c r="R14" s="233">
        <v>40474.300000000003</v>
      </c>
      <c r="S14" s="233">
        <v>41574.14</v>
      </c>
      <c r="T14" s="233">
        <v>40914.230000000003</v>
      </c>
      <c r="U14" s="233">
        <v>33215.32</v>
      </c>
      <c r="V14" s="233">
        <v>36074.92</v>
      </c>
      <c r="W14" s="233">
        <v>36954.79</v>
      </c>
      <c r="X14" s="233"/>
      <c r="Y14" s="233"/>
      <c r="Z14" s="233"/>
      <c r="AA14" s="233"/>
      <c r="AB14" s="233"/>
      <c r="AC14" s="233"/>
      <c r="AD14" s="233"/>
      <c r="AE14" s="233"/>
      <c r="AF14" s="233"/>
    </row>
    <row r="15" spans="1:43" x14ac:dyDescent="0.25">
      <c r="A15" s="337"/>
      <c r="B15" s="337"/>
      <c r="C15" s="337"/>
      <c r="D15" s="337"/>
      <c r="E15" s="337"/>
      <c r="F15" s="337"/>
      <c r="G15" s="337"/>
      <c r="H15" s="337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34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</row>
    <row r="16" spans="1:43" x14ac:dyDescent="0.25">
      <c r="A16" s="226" t="s">
        <v>146</v>
      </c>
      <c r="B16" s="222" t="s">
        <v>147</v>
      </c>
      <c r="C16" s="222" t="s">
        <v>147</v>
      </c>
      <c r="D16" s="222" t="s">
        <v>147</v>
      </c>
      <c r="E16" s="222" t="s">
        <v>147</v>
      </c>
      <c r="F16" s="222" t="s">
        <v>147</v>
      </c>
      <c r="G16" s="222" t="s">
        <v>147</v>
      </c>
      <c r="H16" s="222" t="s">
        <v>147</v>
      </c>
      <c r="I16" s="222" t="s">
        <v>147</v>
      </c>
      <c r="J16" s="222" t="s">
        <v>147</v>
      </c>
      <c r="K16" s="222" t="s">
        <v>147</v>
      </c>
      <c r="L16" s="222" t="s">
        <v>147</v>
      </c>
      <c r="M16" s="222" t="s">
        <v>147</v>
      </c>
      <c r="N16" s="222" t="s">
        <v>147</v>
      </c>
      <c r="O16" s="222" t="s">
        <v>147</v>
      </c>
      <c r="P16" s="222" t="s">
        <v>147</v>
      </c>
      <c r="Q16" s="222" t="s">
        <v>147</v>
      </c>
      <c r="R16" s="222" t="s">
        <v>147</v>
      </c>
      <c r="S16" s="222" t="s">
        <v>147</v>
      </c>
      <c r="T16" s="222" t="s">
        <v>147</v>
      </c>
      <c r="U16" s="222" t="s">
        <v>147</v>
      </c>
      <c r="V16" s="222" t="s">
        <v>147</v>
      </c>
      <c r="W16" s="222" t="s">
        <v>147</v>
      </c>
      <c r="X16" s="222" t="s">
        <v>147</v>
      </c>
      <c r="Y16" s="222" t="s">
        <v>147</v>
      </c>
      <c r="Z16" s="222" t="s">
        <v>147</v>
      </c>
      <c r="AA16" s="222" t="s">
        <v>147</v>
      </c>
      <c r="AB16" s="222" t="s">
        <v>147</v>
      </c>
      <c r="AC16" s="222" t="s">
        <v>147</v>
      </c>
      <c r="AD16" s="222" t="s">
        <v>147</v>
      </c>
      <c r="AE16" s="222" t="s">
        <v>147</v>
      </c>
      <c r="AF16" s="222" t="s">
        <v>147</v>
      </c>
    </row>
    <row r="17" spans="1:43" ht="51" x14ac:dyDescent="0.25">
      <c r="A17" s="227" t="s">
        <v>148</v>
      </c>
      <c r="B17" s="235">
        <v>9212.6200000000008</v>
      </c>
      <c r="C17" s="235">
        <v>9468.52</v>
      </c>
      <c r="D17" s="235">
        <v>9553.82</v>
      </c>
      <c r="E17" s="235">
        <v>10236.24</v>
      </c>
      <c r="F17" s="235">
        <v>9269.48</v>
      </c>
      <c r="G17" s="235">
        <v>8501.77</v>
      </c>
      <c r="H17" s="235">
        <v>8388.0300000000007</v>
      </c>
      <c r="I17" s="235">
        <v>8274.2900000000009</v>
      </c>
      <c r="J17" s="235">
        <v>7904.65</v>
      </c>
      <c r="K17" s="235">
        <v>8188.99</v>
      </c>
      <c r="L17" s="235">
        <v>7535.01</v>
      </c>
      <c r="M17" s="235">
        <v>6824.16</v>
      </c>
      <c r="N17" s="235">
        <v>6454.52</v>
      </c>
      <c r="O17" s="235">
        <v>6198.61</v>
      </c>
      <c r="P17" s="235">
        <v>6681.99</v>
      </c>
      <c r="Q17" s="235">
        <v>6824.16</v>
      </c>
      <c r="R17" s="235">
        <v>6511.39</v>
      </c>
      <c r="S17" s="235">
        <v>6141.74</v>
      </c>
      <c r="T17" s="235">
        <v>5914.27</v>
      </c>
      <c r="U17" s="235">
        <v>5601.5</v>
      </c>
      <c r="V17" s="235">
        <v>5800.54</v>
      </c>
      <c r="W17" s="235">
        <v>5942.71</v>
      </c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43" x14ac:dyDescent="0.25">
      <c r="A18" s="337"/>
      <c r="B18" s="337"/>
      <c r="C18" s="337"/>
      <c r="D18" s="337"/>
      <c r="E18" s="337"/>
      <c r="F18" s="337"/>
      <c r="G18" s="337"/>
      <c r="H18" s="337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</row>
    <row r="19" spans="1:43" x14ac:dyDescent="0.25">
      <c r="A19" s="226" t="s">
        <v>149</v>
      </c>
      <c r="B19" s="222" t="s">
        <v>150</v>
      </c>
      <c r="C19" s="222" t="s">
        <v>150</v>
      </c>
      <c r="D19" s="222" t="s">
        <v>150</v>
      </c>
      <c r="E19" s="222" t="s">
        <v>150</v>
      </c>
      <c r="F19" s="222" t="s">
        <v>150</v>
      </c>
      <c r="G19" s="222" t="s">
        <v>150</v>
      </c>
      <c r="H19" s="222" t="s">
        <v>150</v>
      </c>
      <c r="I19" s="222" t="s">
        <v>150</v>
      </c>
      <c r="J19" s="222" t="s">
        <v>150</v>
      </c>
      <c r="K19" s="222" t="s">
        <v>150</v>
      </c>
      <c r="L19" s="222" t="s">
        <v>150</v>
      </c>
      <c r="M19" s="222" t="s">
        <v>150</v>
      </c>
      <c r="N19" s="222" t="s">
        <v>150</v>
      </c>
      <c r="O19" s="222" t="s">
        <v>150</v>
      </c>
      <c r="P19" s="222" t="s">
        <v>150</v>
      </c>
      <c r="Q19" s="222" t="s">
        <v>150</v>
      </c>
      <c r="R19" s="222" t="s">
        <v>150</v>
      </c>
      <c r="S19" s="222" t="s">
        <v>150</v>
      </c>
      <c r="T19" s="222" t="s">
        <v>150</v>
      </c>
      <c r="U19" s="222" t="s">
        <v>150</v>
      </c>
      <c r="V19" s="222" t="s">
        <v>150</v>
      </c>
      <c r="W19" s="222" t="s">
        <v>150</v>
      </c>
      <c r="X19" s="222" t="s">
        <v>150</v>
      </c>
      <c r="Y19" s="222" t="s">
        <v>150</v>
      </c>
      <c r="Z19" s="222" t="s">
        <v>150</v>
      </c>
      <c r="AA19" s="222" t="s">
        <v>150</v>
      </c>
      <c r="AB19" s="222" t="s">
        <v>150</v>
      </c>
      <c r="AC19" s="222" t="s">
        <v>150</v>
      </c>
      <c r="AD19" s="222" t="s">
        <v>150</v>
      </c>
      <c r="AE19" s="222" t="s">
        <v>150</v>
      </c>
      <c r="AF19" s="222" t="s">
        <v>150</v>
      </c>
    </row>
    <row r="20" spans="1:43" x14ac:dyDescent="0.25">
      <c r="A20" s="227" t="s">
        <v>151</v>
      </c>
      <c r="B20" s="235">
        <v>503.94</v>
      </c>
      <c r="C20" s="235">
        <v>560.17999999999995</v>
      </c>
      <c r="D20" s="235">
        <v>508.38</v>
      </c>
      <c r="E20" s="235">
        <v>530.58000000000004</v>
      </c>
      <c r="F20" s="235">
        <v>499.87</v>
      </c>
      <c r="G20" s="235">
        <v>458.43</v>
      </c>
      <c r="H20" s="235">
        <v>464.72</v>
      </c>
      <c r="I20" s="235">
        <v>508.75</v>
      </c>
      <c r="J20" s="235">
        <v>497.65</v>
      </c>
      <c r="K20" s="235">
        <v>482.11</v>
      </c>
      <c r="L20" s="235">
        <v>478.04</v>
      </c>
      <c r="M20" s="235">
        <v>450.29</v>
      </c>
      <c r="N20" s="235">
        <v>479.89</v>
      </c>
      <c r="O20" s="235">
        <v>488.4</v>
      </c>
      <c r="P20" s="235">
        <v>530.21</v>
      </c>
      <c r="Q20" s="235">
        <v>562.4</v>
      </c>
      <c r="R20" s="235">
        <v>488.77</v>
      </c>
      <c r="S20" s="235">
        <v>481.37</v>
      </c>
      <c r="T20" s="235">
        <v>438.45</v>
      </c>
      <c r="U20" s="235">
        <v>433.27</v>
      </c>
      <c r="V20" s="235">
        <v>444</v>
      </c>
      <c r="W20" s="235">
        <v>481.37</v>
      </c>
      <c r="X20" s="235"/>
      <c r="Y20" s="235"/>
      <c r="Z20" s="235"/>
      <c r="AA20" s="235"/>
      <c r="AB20" s="235"/>
      <c r="AC20" s="235"/>
      <c r="AD20" s="235"/>
      <c r="AE20" s="235"/>
      <c r="AF20" s="235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7109375" defaultRowHeight="50.25" x14ac:dyDescent="0.25"/>
  <cols>
    <col min="1" max="1" width="35.85546875" style="236" customWidth="1"/>
    <col min="2" max="16384" width="35.7109375" style="236"/>
  </cols>
  <sheetData>
    <row r="1" spans="1:14" ht="72" customHeight="1" x14ac:dyDescent="0.25">
      <c r="A1" s="237"/>
      <c r="B1" s="238"/>
      <c r="C1" s="239"/>
      <c r="D1" s="240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72" customHeight="1" x14ac:dyDescent="0.25">
      <c r="A2" s="242"/>
      <c r="B2" s="243"/>
      <c r="C2" s="239"/>
      <c r="D2" s="240"/>
      <c r="E2" s="244"/>
    </row>
    <row r="3" spans="1:14" ht="72" customHeight="1" x14ac:dyDescent="0.25">
      <c r="A3" s="245"/>
      <c r="B3" s="246"/>
      <c r="C3" s="239"/>
      <c r="D3" s="240"/>
      <c r="E3" s="244"/>
    </row>
    <row r="4" spans="1:14" ht="72" customHeight="1" x14ac:dyDescent="0.25">
      <c r="A4" s="245"/>
      <c r="B4" s="246"/>
      <c r="C4" s="239"/>
      <c r="D4" s="240"/>
      <c r="E4" s="244"/>
    </row>
    <row r="5" spans="1:14" ht="72" customHeight="1" x14ac:dyDescent="0.25">
      <c r="A5" s="247"/>
      <c r="B5" s="248"/>
      <c r="C5" s="239"/>
      <c r="D5" s="240"/>
      <c r="E5" s="244"/>
    </row>
    <row r="6" spans="1:14" ht="6.75" customHeight="1" x14ac:dyDescent="0.25">
      <c r="A6" s="249"/>
      <c r="B6" s="249"/>
      <c r="C6" s="250"/>
      <c r="D6" s="250"/>
      <c r="E6" s="244"/>
    </row>
    <row r="7" spans="1:14" ht="72" customHeight="1" x14ac:dyDescent="0.25">
      <c r="A7" s="251"/>
      <c r="B7" s="252"/>
      <c r="C7" s="253"/>
      <c r="D7" s="254"/>
      <c r="E7" s="244"/>
    </row>
    <row r="8" spans="1:14" ht="72" customHeight="1" x14ac:dyDescent="0.25">
      <c r="A8" s="255"/>
      <c r="B8" s="256"/>
      <c r="C8" s="253"/>
      <c r="D8" s="254"/>
      <c r="E8" s="244"/>
    </row>
    <row r="9" spans="1:14" ht="72" customHeight="1" x14ac:dyDescent="0.25">
      <c r="A9" s="255"/>
      <c r="B9" s="256"/>
      <c r="C9" s="253"/>
      <c r="D9" s="254"/>
      <c r="E9" s="244"/>
    </row>
    <row r="10" spans="1:14" ht="72" customHeight="1" x14ac:dyDescent="0.25">
      <c r="A10" s="255"/>
      <c r="B10" s="256"/>
      <c r="C10" s="253"/>
      <c r="D10" s="254"/>
      <c r="E10" s="244"/>
    </row>
    <row r="11" spans="1:14" ht="72" customHeight="1" x14ac:dyDescent="0.25">
      <c r="A11" s="257"/>
      <c r="B11" s="258"/>
      <c r="C11" s="253"/>
      <c r="D11" s="254"/>
      <c r="E11" s="244"/>
    </row>
    <row r="12" spans="1:14" ht="60" customHeight="1" x14ac:dyDescent="0.25">
      <c r="A12" s="246"/>
      <c r="B12" s="238"/>
      <c r="C12" s="250"/>
      <c r="D12" s="250"/>
      <c r="E12" s="244"/>
    </row>
    <row r="13" spans="1:14" ht="60" customHeight="1" x14ac:dyDescent="0.25">
      <c r="A13" s="246"/>
      <c r="B13" s="246"/>
      <c r="C13" s="250"/>
      <c r="D13" s="250"/>
      <c r="E13" s="244"/>
    </row>
    <row r="14" spans="1:14" ht="60" customHeight="1" x14ac:dyDescent="0.25">
      <c r="A14" s="248"/>
      <c r="B14" s="238"/>
    </row>
    <row r="15" spans="1:14" ht="64.5" customHeight="1" x14ac:dyDescent="0.25">
      <c r="A15" s="259" t="s">
        <v>137</v>
      </c>
      <c r="B15" s="259" t="s">
        <v>137</v>
      </c>
      <c r="C15" s="259" t="s">
        <v>137</v>
      </c>
      <c r="D15" s="259" t="s">
        <v>137</v>
      </c>
      <c r="E15" s="259" t="s">
        <v>137</v>
      </c>
      <c r="F15" s="259" t="s">
        <v>137</v>
      </c>
    </row>
    <row r="16" spans="1:14" ht="64.5" customHeight="1" x14ac:dyDescent="0.25">
      <c r="A16" s="260" t="s">
        <v>152</v>
      </c>
      <c r="B16" s="260" t="s">
        <v>152</v>
      </c>
      <c r="C16" s="260" t="s">
        <v>152</v>
      </c>
      <c r="D16" s="260" t="s">
        <v>152</v>
      </c>
      <c r="E16" s="260" t="s">
        <v>152</v>
      </c>
      <c r="F16" s="260" t="s">
        <v>152</v>
      </c>
    </row>
    <row r="17" spans="1:6" ht="64.5" customHeight="1" x14ac:dyDescent="0.25">
      <c r="A17" s="260" t="s">
        <v>153</v>
      </c>
      <c r="B17" s="260" t="s">
        <v>153</v>
      </c>
      <c r="C17" s="260" t="s">
        <v>153</v>
      </c>
      <c r="D17" s="260" t="s">
        <v>153</v>
      </c>
      <c r="E17" s="260" t="s">
        <v>153</v>
      </c>
      <c r="F17" s="260" t="s">
        <v>153</v>
      </c>
    </row>
    <row r="18" spans="1:6" ht="64.5" customHeight="1" x14ac:dyDescent="0.25">
      <c r="A18" s="260" t="s">
        <v>154</v>
      </c>
      <c r="B18" s="260" t="s">
        <v>154</v>
      </c>
      <c r="C18" s="260" t="s">
        <v>154</v>
      </c>
      <c r="D18" s="260" t="s">
        <v>154</v>
      </c>
      <c r="E18" s="260" t="s">
        <v>154</v>
      </c>
      <c r="F18" s="260" t="s">
        <v>154</v>
      </c>
    </row>
    <row r="19" spans="1:6" ht="64.5" customHeight="1" x14ac:dyDescent="0.25">
      <c r="A19" s="260" t="s">
        <v>155</v>
      </c>
      <c r="B19" s="260" t="s">
        <v>155</v>
      </c>
      <c r="C19" s="260" t="s">
        <v>155</v>
      </c>
      <c r="D19" s="260" t="s">
        <v>155</v>
      </c>
      <c r="E19" s="260" t="s">
        <v>155</v>
      </c>
      <c r="F19" s="260" t="s">
        <v>155</v>
      </c>
    </row>
    <row r="21" spans="1:6" ht="75" customHeight="1" x14ac:dyDescent="0.25">
      <c r="A21" s="261" t="s">
        <v>156</v>
      </c>
      <c r="B21" s="262"/>
      <c r="C21" s="261" t="s">
        <v>156</v>
      </c>
      <c r="D21" s="262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7109375" defaultRowHeight="50.25" x14ac:dyDescent="0.25"/>
  <cols>
    <col min="1" max="4" width="35.7109375" style="236"/>
    <col min="5" max="5" width="32.85546875" style="236" customWidth="1"/>
    <col min="6" max="6" width="35.7109375" style="236"/>
    <col min="7" max="7" width="6.7109375" style="236" customWidth="1"/>
    <col min="8" max="16384" width="35.7109375" style="236"/>
  </cols>
  <sheetData>
    <row r="1" spans="1:12" ht="75" customHeight="1" x14ac:dyDescent="0.25">
      <c r="A1" s="263"/>
      <c r="B1" s="249"/>
      <c r="C1" s="241"/>
      <c r="D1" s="241"/>
      <c r="E1" s="264" t="s">
        <v>156</v>
      </c>
      <c r="F1" s="339"/>
      <c r="G1" s="339"/>
      <c r="H1" s="241"/>
      <c r="I1" s="241"/>
      <c r="J1" s="241"/>
      <c r="K1" s="241"/>
      <c r="L1" s="241"/>
    </row>
    <row r="2" spans="1:12" ht="69.75" customHeight="1" x14ac:dyDescent="0.25">
      <c r="A2" s="265"/>
      <c r="B2" s="249"/>
      <c r="C2" s="244"/>
      <c r="E2" s="264" t="s">
        <v>157</v>
      </c>
      <c r="F2" s="340" t="s">
        <v>158</v>
      </c>
      <c r="G2" s="340"/>
      <c r="H2" s="266"/>
    </row>
    <row r="3" spans="1:12" ht="69.75" customHeight="1" x14ac:dyDescent="0.25">
      <c r="A3" s="265"/>
      <c r="B3" s="249"/>
      <c r="C3" s="244"/>
      <c r="E3" s="267" t="s">
        <v>159</v>
      </c>
      <c r="F3" s="341">
        <v>1292977.78</v>
      </c>
      <c r="G3" s="341"/>
      <c r="H3" s="268"/>
    </row>
    <row r="4" spans="1:12" ht="69.75" customHeight="1" x14ac:dyDescent="0.25">
      <c r="A4" s="265"/>
      <c r="B4" s="269"/>
      <c r="C4" s="244"/>
      <c r="E4" s="270" t="s">
        <v>160</v>
      </c>
      <c r="F4" s="338">
        <v>553296</v>
      </c>
      <c r="G4" s="338"/>
      <c r="H4" s="268"/>
    </row>
    <row r="5" spans="1:12" ht="69.75" customHeight="1" x14ac:dyDescent="0.25">
      <c r="A5" s="265"/>
      <c r="B5" s="271"/>
      <c r="C5" s="244"/>
      <c r="E5" s="270" t="s">
        <v>161</v>
      </c>
      <c r="F5" s="338">
        <v>528379</v>
      </c>
      <c r="G5" s="338"/>
      <c r="H5" s="268"/>
    </row>
    <row r="6" spans="1:12" ht="69.75" customHeight="1" x14ac:dyDescent="0.25">
      <c r="A6" s="265"/>
      <c r="B6" s="271"/>
      <c r="C6" s="244"/>
      <c r="E6" s="270" t="s">
        <v>162</v>
      </c>
      <c r="F6" s="338">
        <v>13436.55</v>
      </c>
      <c r="G6" s="338"/>
      <c r="H6" s="272"/>
    </row>
    <row r="7" spans="1:12" ht="60" customHeight="1" x14ac:dyDescent="0.25">
      <c r="A7" s="265"/>
      <c r="B7" s="273"/>
    </row>
    <row r="8" spans="1:12" ht="60" customHeight="1" x14ac:dyDescent="0.25">
      <c r="A8" s="265"/>
      <c r="B8" s="273"/>
    </row>
    <row r="10" spans="1:12" ht="64.5" customHeight="1" x14ac:dyDescent="0.25">
      <c r="A10" s="274" t="s">
        <v>163</v>
      </c>
      <c r="B10" s="274" t="s">
        <v>164</v>
      </c>
      <c r="C10" s="274" t="s">
        <v>163</v>
      </c>
      <c r="D10" s="274" t="s">
        <v>164</v>
      </c>
    </row>
    <row r="11" spans="1:12" ht="64.5" customHeight="1" x14ac:dyDescent="0.25">
      <c r="A11" s="274" t="s">
        <v>165</v>
      </c>
      <c r="B11" s="274" t="s">
        <v>166</v>
      </c>
      <c r="C11" s="274" t="s">
        <v>165</v>
      </c>
      <c r="D11" s="274" t="s">
        <v>166</v>
      </c>
    </row>
    <row r="12" spans="1:12" ht="64.5" customHeight="1" x14ac:dyDescent="0.25">
      <c r="A12" s="274" t="s">
        <v>167</v>
      </c>
      <c r="B12" s="274" t="s">
        <v>168</v>
      </c>
      <c r="C12" s="274" t="s">
        <v>167</v>
      </c>
      <c r="D12" s="274" t="s">
        <v>168</v>
      </c>
    </row>
    <row r="13" spans="1:12" ht="64.5" customHeight="1" x14ac:dyDescent="0.25">
      <c r="A13" s="274" t="s">
        <v>169</v>
      </c>
      <c r="B13" s="274" t="s">
        <v>170</v>
      </c>
      <c r="C13" s="274" t="s">
        <v>169</v>
      </c>
      <c r="D13" s="274" t="s">
        <v>170</v>
      </c>
    </row>
    <row r="14" spans="1:12" ht="64.5" customHeight="1" x14ac:dyDescent="0.25">
      <c r="A14" s="274" t="s">
        <v>171</v>
      </c>
      <c r="B14" s="274" t="s">
        <v>172</v>
      </c>
      <c r="C14" s="274" t="s">
        <v>171</v>
      </c>
      <c r="D14" s="274" t="s">
        <v>172</v>
      </c>
    </row>
    <row r="15" spans="1:12" ht="60" customHeight="1" x14ac:dyDescent="0.25">
      <c r="A15" s="274" t="s">
        <v>173</v>
      </c>
      <c r="B15" s="274" t="s">
        <v>174</v>
      </c>
      <c r="C15" s="274" t="s">
        <v>173</v>
      </c>
      <c r="D15" s="274" t="s">
        <v>174</v>
      </c>
    </row>
    <row r="16" spans="1:12" ht="75" customHeight="1" x14ac:dyDescent="0.25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703125" defaultRowHeight="15" x14ac:dyDescent="0.25"/>
  <sheetData>
    <row r="3" spans="2:22" x14ac:dyDescent="0.25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 x14ac:dyDescent="0.25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 x14ac:dyDescent="0.25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 x14ac:dyDescent="0.25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 x14ac:dyDescent="0.25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 x14ac:dyDescent="0.25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 x14ac:dyDescent="0.25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 x14ac:dyDescent="0.25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Argie DOMINGO</cp:lastModifiedBy>
  <cp:revision>4</cp:revision>
  <cp:lastPrinted>2024-02-08T05:42:03Z</cp:lastPrinted>
  <dcterms:created xsi:type="dcterms:W3CDTF">2015-06-05T18:17:20Z</dcterms:created>
  <dcterms:modified xsi:type="dcterms:W3CDTF">2024-02-17T05:37:07Z</dcterms:modified>
  <dc:language>en-IN</dc:language>
</cp:coreProperties>
</file>