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ED72CFCC-CB5F-4B73-A416-7F02782F998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8" l="1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<sst xmlns="http://schemas.openxmlformats.org/spreadsheetml/2006/main" count="201" uniqueCount="128">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</sst>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-32171</c:v>
                </c:pt>
                <c:pt idx="7">
                  <c:v>0.12927556498537307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5019.6999999999971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0" sqref="I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>
        <v>22029.999999999745</v>
      </c>
      <c r="F20" s="48">
        <v>0.14000000000000001</v>
      </c>
      <c r="G20" s="107">
        <v>6495</v>
      </c>
      <c r="H20" s="48">
        <v>0.4453480216384178</v>
      </c>
      <c r="I20" s="65">
        <v>256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415100.00000000012</v>
      </c>
      <c r="F33" s="104">
        <v>0</v>
      </c>
      <c r="G33" s="101">
        <f>SUM(G2:G32)</f>
        <v>117597</v>
      </c>
      <c r="H33" s="102">
        <v>0</v>
      </c>
      <c r="I33" s="103">
        <f>SUM(I2:I32)</f>
        <v>5019.6999999999971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609</v>
      </c>
      <c r="N33" s="106">
        <f t="shared" si="1"/>
        <v>1520</v>
      </c>
      <c r="O33" s="106">
        <f t="shared" si="1"/>
        <v>4084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T23" sqref="T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/>
      <c r="W21" s="71"/>
      <c r="X21" s="71"/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/>
      <c r="W22" s="71"/>
      <c r="X22" s="71"/>
      <c r="Y22" s="17"/>
    </row>
    <row r="23" spans="1:25" ht="21" customHeight="1" x14ac:dyDescent="0.25">
      <c r="A23" s="8">
        <v>44275</v>
      </c>
      <c r="B23" s="1">
        <v>845.61</v>
      </c>
      <c r="C23" s="1">
        <v>206.69</v>
      </c>
      <c r="D23" s="1">
        <v>7231712.7999999998</v>
      </c>
      <c r="E23" s="1">
        <v>7863999.1600000001</v>
      </c>
      <c r="F23" s="1">
        <v>2.129</v>
      </c>
      <c r="G23" s="1">
        <v>651.57000000000005</v>
      </c>
      <c r="H23" s="1">
        <v>548.48</v>
      </c>
      <c r="I23" s="1">
        <v>202.87</v>
      </c>
      <c r="J23" s="1">
        <v>294.7</v>
      </c>
      <c r="K23" s="1">
        <v>312.11</v>
      </c>
      <c r="L23" s="1">
        <v>213.37</v>
      </c>
      <c r="M23" s="1">
        <v>440.39</v>
      </c>
      <c r="N23" s="1">
        <v>391.64</v>
      </c>
      <c r="O23" s="1">
        <v>125.87</v>
      </c>
      <c r="P23" s="1">
        <v>513.66</v>
      </c>
      <c r="Q23" s="1">
        <v>384.51</v>
      </c>
      <c r="R23" s="1">
        <v>127.2</v>
      </c>
      <c r="S23" s="1">
        <v>101.66</v>
      </c>
      <c r="T23" s="1">
        <v>373.13</v>
      </c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609</v>
      </c>
      <c r="W35" s="78">
        <f>SUM(W4:W34)</f>
        <v>1520</v>
      </c>
      <c r="X35" s="78">
        <f>SUM(X4:X34)</f>
        <v>4084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G41" sqref="G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22029.999999999745</v>
      </c>
      <c r="C22" s="4">
        <f>('Kwh Reading'!T23-'Kwh Reading'!T22)*1000</f>
        <v>269.99999999998181</v>
      </c>
      <c r="D22" s="2">
        <f>('Kwh Reading'!F23-'Kwh Reading'!F22)*1000000</f>
        <v>2299.9999999999686</v>
      </c>
      <c r="E22" s="2">
        <f>('Kwh Reading'!C23-'Kwh Reading'!C22)*1000</f>
        <v>240.00000000000909</v>
      </c>
      <c r="F22" s="2">
        <f>('Kwh Reading'!J23-'Kwh Reading'!J22)*1000</f>
        <v>159.99999999996817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230.00000000000398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</f>
        <v>1210.0000000000364</v>
      </c>
      <c r="M22" s="2">
        <f>('Kwh Reading'!M23-'Kwh Reading'!M22)*1000</f>
        <v>579.99999999998408</v>
      </c>
      <c r="N22" s="2">
        <f>('Kwh Reading'!H23-'Kwh Reading'!H22)*1000</f>
        <v>789.99999999996362</v>
      </c>
      <c r="O22" s="2">
        <f>('Kwh Reading'!P23-'Kwh Reading'!P22)*1000</f>
        <v>939.99999999994088</v>
      </c>
      <c r="P22" s="2">
        <f>('Kwh Reading'!G23-'Kwh Reading'!G22)*1000</f>
        <v>840.00000000003183</v>
      </c>
      <c r="Q22" s="2">
        <f>('Kwh Reading'!Q23-'Kwh Reading'!Q22)*1000</f>
        <v>649.99999999997726</v>
      </c>
      <c r="R22" s="2">
        <f>('Kwh Reading'!N23-'Kwh Reading'!N22)*1000</f>
        <v>769.99999999998181</v>
      </c>
      <c r="S22" s="34">
        <f>'Kwh Reading'!E23-'Kwh Reading'!E22</f>
        <v>2445.9500000001863</v>
      </c>
      <c r="T22" s="34">
        <f>'Kwh Reading'!D23-'Kwh Reading'!D22</f>
        <v>2060.2800000002608</v>
      </c>
      <c r="U22" s="27">
        <f>('Kwh Reading'!O23-'Kwh Reading'!O22)*1000</f>
        <v>210.00000000000796</v>
      </c>
      <c r="V22" s="16">
        <f t="shared" si="0"/>
        <v>7513.7699999994511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-373130</v>
      </c>
      <c r="D23" s="2">
        <f>('Kwh Reading'!F24-'Kwh Reading'!F23)*1000000</f>
        <v>-2129000</v>
      </c>
      <c r="E23" s="2">
        <f>('Kwh Reading'!C24-'Kwh Reading'!C23)*1000</f>
        <v>-206690</v>
      </c>
      <c r="F23" s="2">
        <f>('Kwh Reading'!J24-'Kwh Reading'!J23)*1000</f>
        <v>-294700</v>
      </c>
      <c r="G23" s="2">
        <f>('Kwh Reading'!K24-'Kwh Reading'!K23)*1000</f>
        <v>-312110</v>
      </c>
      <c r="H23" s="2">
        <f>('Kwh Reading'!L24-'Kwh Reading'!L23)*1000</f>
        <v>-213370</v>
      </c>
      <c r="I23" s="2">
        <f>('Kwh Reading'!R24-'Kwh Reading'!R23)*1000</f>
        <v>-127200</v>
      </c>
      <c r="J23" s="2">
        <f>('Kwh Reading'!S24-'Kwh Reading'!S23)*1000</f>
        <v>-101660</v>
      </c>
      <c r="K23" s="2">
        <f>('Kwh Reading'!I24-'Kwh Reading'!I23)*1000</f>
        <v>-202870</v>
      </c>
      <c r="L23" s="2">
        <f>('Kwh Reading'!B24-'Kwh Reading'!B23)*1000</f>
        <v>-845610</v>
      </c>
      <c r="M23" s="2">
        <f>('Kwh Reading'!M24-'Kwh Reading'!M23)*1000</f>
        <v>-440390</v>
      </c>
      <c r="N23" s="2">
        <f>('Kwh Reading'!H24-'Kwh Reading'!H23)*1000</f>
        <v>-548480</v>
      </c>
      <c r="O23" s="2">
        <f>('Kwh Reading'!P24-'Kwh Reading'!P23)*1000</f>
        <v>-513659.99999999994</v>
      </c>
      <c r="P23" s="2">
        <f>('Kwh Reading'!G24-'Kwh Reading'!G23)*1000</f>
        <v>-651570</v>
      </c>
      <c r="Q23" s="2">
        <f>('Kwh Reading'!Q24-'Kwh Reading'!Q23)*1000</f>
        <v>-384510</v>
      </c>
      <c r="R23" s="2">
        <f>('Kwh Reading'!N24-'Kwh Reading'!N23)*1000</f>
        <v>-391640</v>
      </c>
      <c r="S23" s="34">
        <f>'Kwh Reading'!E24-'Kwh Reading'!E23</f>
        <v>-7863999.1600000001</v>
      </c>
      <c r="T23" s="34">
        <f>'Kwh Reading'!D24-'Kwh Reading'!D23</f>
        <v>-7231712.7999999998</v>
      </c>
      <c r="U23" s="27">
        <f>('Kwh Reading'!O24-'Kwh Reading'!O23)*1000</f>
        <v>-125870</v>
      </c>
      <c r="V23" s="16">
        <f t="shared" si="0"/>
        <v>22958171.960000001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415100.00000000023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-290290.00000000006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-370650</v>
      </c>
      <c r="R35" s="75">
        <f t="shared" si="5"/>
        <v>-376040.00000000006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23071413.220000003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22029.999999999745</v>
      </c>
      <c r="C21" s="1">
        <f>'Kwh Consumption'!C22</f>
        <v>269.99999999998181</v>
      </c>
      <c r="D21" s="1">
        <f>'Kwh Consumption'!D22</f>
        <v>2299.9999999999686</v>
      </c>
      <c r="E21" s="1">
        <f>'Kwh Consumption'!E22</f>
        <v>240.00000000000909</v>
      </c>
      <c r="F21" s="1">
        <f>('Kwh Consumption'!F22+'Kwh Consumption'!G22+'Kwh Consumption'!H22)</f>
        <v>599.99999999996589</v>
      </c>
      <c r="G21" s="16">
        <f>('Kwh Consumption'!I22+'Kwh Consumption'!J22)</f>
        <v>359.99999999999943</v>
      </c>
      <c r="H21" s="1">
        <f>('Kwh Consumption'!K22+'Kwh Consumption'!L22)</f>
        <v>1460.0000000000364</v>
      </c>
      <c r="I21" s="1">
        <f>('Kwh Consumption'!M22+'Kwh Consumption'!N22+'Kwh Consumption'!O22+'Kwh Consumption'!P22+'Kwh Consumption'!Q22+'Kwh Consumption'!R22)</f>
        <v>4569.9999999998799</v>
      </c>
      <c r="J21" s="1">
        <f>('Kwh Consumption'!S22+'Kwh Consumption'!T22)</f>
        <v>4506.230000000447</v>
      </c>
      <c r="K21" s="1">
        <f>'Kwh Consumption'!U22</f>
        <v>210.00000000000796</v>
      </c>
      <c r="L21" s="32">
        <f t="shared" si="0"/>
        <v>7513.7699999994502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-373130</v>
      </c>
      <c r="D22" s="1">
        <f>'Kwh Consumption'!D23</f>
        <v>-2129000</v>
      </c>
      <c r="E22" s="1">
        <f>'Kwh Consumption'!E23</f>
        <v>-206690</v>
      </c>
      <c r="F22" s="1">
        <f>('Kwh Consumption'!F23+'Kwh Consumption'!G23+'Kwh Consumption'!H23)</f>
        <v>-820180</v>
      </c>
      <c r="G22" s="16">
        <f>('Kwh Consumption'!I23+'Kwh Consumption'!J23)</f>
        <v>-228860</v>
      </c>
      <c r="H22" s="1">
        <f>('Kwh Consumption'!K23+'Kwh Consumption'!L23)</f>
        <v>-1048480</v>
      </c>
      <c r="I22" s="1">
        <f>('Kwh Consumption'!M23+'Kwh Consumption'!N23+'Kwh Consumption'!O23+'Kwh Consumption'!P23+'Kwh Consumption'!Q23+'Kwh Consumption'!R23)</f>
        <v>-2930250</v>
      </c>
      <c r="J22" s="1">
        <f>('Kwh Consumption'!S23+'Kwh Consumption'!T23)</f>
        <v>-15095711.960000001</v>
      </c>
      <c r="K22" s="1">
        <f>'Kwh Consumption'!U23</f>
        <v>-125870</v>
      </c>
      <c r="L22" s="32">
        <f t="shared" si="0"/>
        <v>22958171.960000001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415100.00000000012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-14999702.220000003</v>
      </c>
      <c r="K34" s="75">
        <f t="shared" si="1"/>
        <v>-121340</v>
      </c>
      <c r="L34" s="75">
        <f t="shared" si="1"/>
        <v>23071413.220000003</v>
      </c>
      <c r="M34" s="84">
        <f>C34+D34+E34+F34+G34+H34+I34+J34+K34+L34</f>
        <v>415100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-2099958.3108000006</v>
      </c>
      <c r="K36" s="75">
        <f>K34*B36</f>
        <v>-16987.600000000002</v>
      </c>
      <c r="L36" s="75">
        <f>L34*B36</f>
        <v>3229997.8508000006</v>
      </c>
      <c r="M36" s="84">
        <f>C36+D36+E36+F36+G36+H36+I36+J36+K36+L36</f>
        <v>58114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3084.1999999999648</v>
      </c>
      <c r="D21" s="1">
        <f>'Kwh Consumption'!C22*' Kwh area wise $ '!B21</f>
        <v>37.799999999997461</v>
      </c>
      <c r="E21" s="1">
        <f>'Kwh Consumption'!D22*' Kwh area wise $ '!B21</f>
        <v>321.99999999999562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83.999999999995239</v>
      </c>
      <c r="H21" s="16">
        <f>('Kwh Consumption'!I22+'Kwh Consumption'!J22)*' Kwh area wise $ '!B21</f>
        <v>50.399999999999928</v>
      </c>
      <c r="I21" s="1">
        <f>('Kwh Consumption'!K22+'Kwh Consumption'!L22)*' Kwh area wise $ '!B21</f>
        <v>204.40000000000512</v>
      </c>
      <c r="J21" s="1">
        <f>('Kwh Consumption'!M22+'Kwh Consumption'!N22+'Kwh Consumption'!O22+'Kwh Consumption'!P22+'Kwh Consumption'!Q22+'Kwh Consumption'!R22)*' Kwh area wise $ '!B21</f>
        <v>639.79999999998324</v>
      </c>
      <c r="K21" s="1">
        <f>('Kwh Consumption'!S22+'Kwh Consumption'!T22)*' Kwh area wise $ '!B21</f>
        <v>630.87220000006266</v>
      </c>
      <c r="L21" s="1">
        <f>'Kwh Consumption'!U22*' Kwh area wise $ '!B21</f>
        <v>29.400000000001118</v>
      </c>
      <c r="M21" s="1">
        <f>'Kwh Consumption'!V22*' Kwh area wise $ '!B21</f>
        <v>1051.9277999999233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-52238.200000000004</v>
      </c>
      <c r="E22" s="1">
        <f>'Kwh Consumption'!D23*' Kwh area wise $ '!B22</f>
        <v>-298060</v>
      </c>
      <c r="F22" s="1">
        <f>'Kwh Consumption'!E23*' Kwh area wise $ '!B22</f>
        <v>-28936.600000000002</v>
      </c>
      <c r="G22" s="1">
        <f>('Kwh Consumption'!F23+'Kwh Consumption'!G23+'Kwh Consumption'!H23)*' Kwh area wise $ '!B22</f>
        <v>-114825.20000000001</v>
      </c>
      <c r="H22" s="16">
        <f>('Kwh Consumption'!I23+'Kwh Consumption'!J23)*' Kwh area wise $ '!B22</f>
        <v>-32040.400000000001</v>
      </c>
      <c r="I22" s="1">
        <f>('Kwh Consumption'!K23+'Kwh Consumption'!L23)*' Kwh area wise $ '!B22</f>
        <v>-146787.20000000001</v>
      </c>
      <c r="J22" s="1">
        <f>('Kwh Consumption'!M23+'Kwh Consumption'!N23+'Kwh Consumption'!O23+'Kwh Consumption'!P23+'Kwh Consumption'!Q23+'Kwh Consumption'!R23)*' Kwh area wise $ '!B22</f>
        <v>-410235.00000000006</v>
      </c>
      <c r="K22" s="1">
        <f>('Kwh Consumption'!S23+'Kwh Consumption'!T23)*' Kwh area wise $ '!B22</f>
        <v>-2113399.6744000004</v>
      </c>
      <c r="L22" s="1">
        <f>'Kwh Consumption'!U23*' Kwh area wise $ '!B22</f>
        <v>-17621.800000000003</v>
      </c>
      <c r="M22" s="1">
        <f>'Kwh Consumption'!V23*' Kwh area wise $ '!B22</f>
        <v>3214144.0744000003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58114.000000000036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3229997.8508000006</v>
      </c>
      <c r="N34" s="84">
        <f>D34+E34+F34+G34+H34+I34+J34+K34+L34+M34</f>
        <v>58114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2" sqref="R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5763</v>
      </c>
    </row>
    <row r="22" spans="1:22" x14ac:dyDescent="0.25">
      <c r="A22" s="54">
        <v>44275</v>
      </c>
      <c r="B22" s="33">
        <v>149110</v>
      </c>
      <c r="C22" s="56">
        <v>106285</v>
      </c>
      <c r="D22" s="55">
        <v>194010</v>
      </c>
      <c r="E22" s="55">
        <v>241684</v>
      </c>
      <c r="F22" s="55">
        <v>66858</v>
      </c>
      <c r="G22" s="55">
        <v>109792</v>
      </c>
      <c r="H22" s="33">
        <v>47564</v>
      </c>
      <c r="I22" s="55">
        <v>58771</v>
      </c>
      <c r="J22" s="55">
        <v>18881</v>
      </c>
      <c r="K22" s="55">
        <v>1024</v>
      </c>
      <c r="L22" s="55">
        <v>16655</v>
      </c>
      <c r="M22" s="55">
        <v>22712</v>
      </c>
      <c r="N22" s="55">
        <v>6817</v>
      </c>
      <c r="O22" s="55">
        <v>1584</v>
      </c>
      <c r="P22" s="55">
        <v>26109</v>
      </c>
      <c r="Q22" s="33">
        <v>217</v>
      </c>
      <c r="R22" s="55">
        <v>5765</v>
      </c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148</v>
      </c>
      <c r="H21" s="89">
        <f t="shared" si="4"/>
        <v>0.40547945205479452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6</v>
      </c>
      <c r="N21" s="92">
        <f t="shared" si="7"/>
        <v>1.643835616438356E-2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256</v>
      </c>
      <c r="C22" s="66">
        <f>('Water Reading'!B22-'Water Reading'!B21)+('Water Reading'!C22-'Water Reading'!C21)</f>
        <v>299</v>
      </c>
      <c r="D22" s="67">
        <f t="shared" si="2"/>
        <v>1.16796875</v>
      </c>
      <c r="E22" s="87">
        <f>'Water Reading'!H22-'Water Reading'!H21</f>
        <v>36</v>
      </c>
      <c r="F22" s="89">
        <f t="shared" si="3"/>
        <v>0.12040133779264214</v>
      </c>
      <c r="G22" s="93">
        <f>('Water Reading'!D22-'Water Reading'!D21)-('Water Reading'!R22-'Water Reading'!R21)-('Water Reading'!Q22-'Water Reading'!Q21)</f>
        <v>108</v>
      </c>
      <c r="H22" s="89">
        <f t="shared" si="4"/>
        <v>0.3612040133779264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27</v>
      </c>
      <c r="L22" s="68">
        <f t="shared" si="6"/>
        <v>9.0301003344481601E-2</v>
      </c>
      <c r="M22" s="90">
        <f>'Water Reading'!R22-'Water Reading'!R21</f>
        <v>2</v>
      </c>
      <c r="N22" s="92">
        <f t="shared" si="7"/>
        <v>6.688963210702341E-3</v>
      </c>
      <c r="O22" s="90">
        <f>'Water Reading'!Q22-'Water Reading'!Q21</f>
        <v>2</v>
      </c>
      <c r="P22" s="99">
        <f t="shared" si="8"/>
        <v>6.688963210702341E-3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54</v>
      </c>
      <c r="T22" s="100">
        <f t="shared" si="10"/>
        <v>0.1806020066889632</v>
      </c>
      <c r="U22" s="90">
        <f>'Water Reading'!G22-'Water Reading'!G21</f>
        <v>19</v>
      </c>
      <c r="V22" s="100">
        <f t="shared" si="11"/>
        <v>6.354515050167224E-2</v>
      </c>
      <c r="W22" s="90">
        <f>'Water Reading'!J22-'Water Reading'!J21</f>
        <v>11</v>
      </c>
      <c r="X22" s="100">
        <f t="shared" si="12"/>
        <v>3.678929765886288E-2</v>
      </c>
      <c r="Y22" s="66">
        <f t="shared" si="0"/>
        <v>259</v>
      </c>
      <c r="Z22" s="67">
        <f t="shared" si="1"/>
        <v>1.01171875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-255395</v>
      </c>
      <c r="D23" s="67" t="e">
        <f t="shared" si="2"/>
        <v>#DIV/0!</v>
      </c>
      <c r="E23" s="87">
        <f>'Water Reading'!H23-'Water Reading'!H22</f>
        <v>-47564</v>
      </c>
      <c r="F23" s="89">
        <f t="shared" si="3"/>
        <v>0.18623700542297225</v>
      </c>
      <c r="G23" s="93">
        <f>('Water Reading'!D23-'Water Reading'!D22)-('Water Reading'!R23-'Water Reading'!R22)-('Water Reading'!Q23-'Water Reading'!Q22)</f>
        <v>-188028</v>
      </c>
      <c r="H23" s="89">
        <f t="shared" si="4"/>
        <v>0.73622428003680573</v>
      </c>
      <c r="I23" s="90">
        <f>'Water Reading'!P23-'Water Reading'!P22</f>
        <v>-26109</v>
      </c>
      <c r="J23" s="68">
        <f t="shared" si="5"/>
        <v>0.102229879206719</v>
      </c>
      <c r="K23" s="90">
        <f>('Water Reading'!I23-'Water Reading'!I22)-('Water Reading'!P23-'Water Reading'!P22)</f>
        <v>-32662</v>
      </c>
      <c r="L23" s="68">
        <f t="shared" si="6"/>
        <v>0.12788817322187201</v>
      </c>
      <c r="M23" s="90">
        <f>'Water Reading'!R23-'Water Reading'!R22</f>
        <v>-5765</v>
      </c>
      <c r="N23" s="92">
        <f t="shared" si="7"/>
        <v>2.2572877307699836E-2</v>
      </c>
      <c r="O23" s="90">
        <f>'Water Reading'!Q23-'Water Reading'!Q22</f>
        <v>-217</v>
      </c>
      <c r="P23" s="99">
        <f t="shared" si="8"/>
        <v>8.4966424558037545E-4</v>
      </c>
      <c r="Q23" s="91">
        <f>'Water Reading'!F23-'Water Reading'!F22</f>
        <v>-66858</v>
      </c>
      <c r="R23" s="100">
        <f t="shared" si="9"/>
        <v>0.26178272871434444</v>
      </c>
      <c r="S23" s="94">
        <f>'Water Reading'!E23-'Water Reading'!E22</f>
        <v>-241684</v>
      </c>
      <c r="T23" s="100">
        <f t="shared" si="10"/>
        <v>0.94631453239100216</v>
      </c>
      <c r="U23" s="90">
        <f>'Water Reading'!G23-'Water Reading'!G22</f>
        <v>-109792</v>
      </c>
      <c r="V23" s="100">
        <f t="shared" si="11"/>
        <v>0.42989095322931148</v>
      </c>
      <c r="W23" s="90">
        <f>'Water Reading'!J23-'Water Reading'!J22</f>
        <v>-18881</v>
      </c>
      <c r="X23" s="100">
        <f t="shared" si="12"/>
        <v>7.3928620372364376E-2</v>
      </c>
      <c r="Y23" s="66">
        <f t="shared" si="0"/>
        <v>-737560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5019.6999999999971</v>
      </c>
      <c r="C35" s="75">
        <f>SUM(C4:C34)</f>
        <v>-248856</v>
      </c>
      <c r="D35" s="96">
        <f>C35/B35</f>
        <v>-49.575871067992139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-32171</v>
      </c>
      <c r="L35" s="95">
        <f>K35/C35</f>
        <v>0.12927556498537307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-731740</v>
      </c>
      <c r="Z35" s="95">
        <f t="shared" si="1"/>
        <v>-145.77365181186136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2021-03-20T05:25:03Z</dcterms:modified>
  <cp:category/>
  <cp:contentStatus/>
</cp:coreProperties>
</file>