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<sst xmlns="http://schemas.openxmlformats.org/spreadsheetml/2006/main" count="106" uniqueCount="33">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</sst>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G17" sqref="G1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2020</v>
      </c>
      <c r="E2" s="20">
        <f>Submetering!E2</f>
        <v>4245.75</v>
      </c>
      <c r="F2" s="16">
        <v>0.12</v>
      </c>
      <c r="G2" s="20">
        <f>Submetering!F2+Submetering!G2</f>
        <v>66.000000000000014</v>
      </c>
      <c r="H2" s="16">
        <v>0.71</v>
      </c>
      <c r="I2" s="20">
        <f>Submetering!J2+Submetering!I2+Submetering!H2</f>
        <v>24.811501661099999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2020</v>
      </c>
      <c r="E3" s="20">
        <f>Submetering!E3</f>
        <v>4050</v>
      </c>
      <c r="F3" s="16">
        <v>0.12</v>
      </c>
      <c r="G3" s="20">
        <f>Submetering!F3+Submetering!G3</f>
        <v>70</v>
      </c>
      <c r="H3" s="16">
        <v>0.71</v>
      </c>
      <c r="I3" s="20">
        <f>Submetering!J3+Submetering!I3+Submetering!H3</f>
        <v>22.032498338899998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5</v>
      </c>
      <c r="D4" s="9">
        <v>2020</v>
      </c>
      <c r="E4" s="20">
        <f>Submetering!E4</f>
        <v>4241.25</v>
      </c>
      <c r="F4" s="16">
        <v>0.12</v>
      </c>
      <c r="G4" s="20">
        <f>Submetering!F4+Submetering!G4</f>
        <v>50</v>
      </c>
      <c r="H4" s="16">
        <v>0.71</v>
      </c>
      <c r="I4" s="20">
        <f>Submetering!J4+Submetering!I4+Submetering!H4</f>
        <v>22.941849162</v>
      </c>
      <c r="J4" s="16">
        <v>2.3196172978505634</v>
      </c>
      <c r="K4" s="20">
        <f>Submetering!K4</f>
        <v>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2020</v>
      </c>
      <c r="E5" s="20">
        <f>Submetering!E5</f>
        <v>4371.75</v>
      </c>
      <c r="F5" s="16">
        <v>0.12</v>
      </c>
      <c r="G5" s="20">
        <f>Submetering!F5+Submetering!G5</f>
        <v>22.000000000000004</v>
      </c>
      <c r="H5" s="16">
        <v>0.71</v>
      </c>
      <c r="I5" s="20">
        <f>Submetering!J5+Submetering!I5+Submetering!H5</f>
        <v>22.637268087100001</v>
      </c>
      <c r="J5" s="16">
        <v>2.3196172978505634</v>
      </c>
      <c r="K5" s="20">
        <f>Submetering!K5</f>
        <v>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2020</v>
      </c>
      <c r="E6" s="20">
        <f>Submetering!E6</f>
        <v>4619.25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23.191882750800001</v>
      </c>
      <c r="J6" s="16">
        <v>2.3196172978505634</v>
      </c>
      <c r="K6" s="20">
        <f>Submetering!K6</f>
        <v>5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2020</v>
      </c>
      <c r="E7" s="20">
        <f>Submetering!E7</f>
        <v>4783.5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26.581</v>
      </c>
      <c r="J7" s="16">
        <v>2.3196172978505634</v>
      </c>
      <c r="K7" s="20">
        <f>Submetering!K7</f>
        <v>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2020</v>
      </c>
      <c r="E8" s="20">
        <f>Submetering!E8</f>
        <v>4855.5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23.875132753000003</v>
      </c>
      <c r="J8" s="16">
        <v>2.3196172978505634</v>
      </c>
      <c r="K8" s="20">
        <f>Submetering!K8</f>
        <v>3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2020</v>
      </c>
      <c r="E9" s="20">
        <f>Submetering!E9</f>
        <v>4911.75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37.738867247000002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2020</v>
      </c>
      <c r="E10" s="20">
        <f>Submetering!E10</f>
        <v>4830.75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33.018000000000001</v>
      </c>
      <c r="J10" s="16">
        <v>2.3196172978505634</v>
      </c>
      <c r="K10" s="20">
        <f>Submetering!K10</f>
        <v>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2020</v>
      </c>
      <c r="E11" s="20">
        <f>Submetering!E11</f>
        <v>5019.75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28.465960132899998</v>
      </c>
      <c r="J11" s="16">
        <v>2.3196172978505634</v>
      </c>
      <c r="K11" s="20">
        <f>Submetering!K11</f>
        <v>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2020</v>
      </c>
      <c r="E12" s="20">
        <f>Submetering!E12</f>
        <v>5859</v>
      </c>
      <c r="F12" s="16">
        <v>0.12</v>
      </c>
      <c r="G12" s="20">
        <f>Submetering!F12+Submetering!G12</f>
        <v>11</v>
      </c>
      <c r="H12" s="16">
        <v>0.71</v>
      </c>
      <c r="I12" s="20">
        <f>Submetering!J12+Submetering!I12+Submetering!H12</f>
        <v>60.072323817700003</v>
      </c>
      <c r="J12" s="16">
        <v>2.3196172978505634</v>
      </c>
      <c r="K12" s="20">
        <f>Submetering!K12</f>
        <v>3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2020</v>
      </c>
      <c r="E13" s="20">
        <f>Submetering!E13</f>
        <v>5739.75</v>
      </c>
      <c r="F13" s="16">
        <v>0.12</v>
      </c>
      <c r="G13" s="20">
        <f>Submetering!F13+Submetering!G13</f>
        <v>12.000000000000002</v>
      </c>
      <c r="H13" s="16">
        <v>0.71</v>
      </c>
      <c r="I13" s="20">
        <f>Submetering!J13+Submetering!I13+Submetering!H13</f>
        <v>37.393716049399998</v>
      </c>
      <c r="J13" s="16">
        <v>2.3196172978505634</v>
      </c>
      <c r="K13" s="20">
        <f>Submetering!K13</f>
        <v>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2020</v>
      </c>
      <c r="E14" s="20">
        <f>Submetering!E14</f>
        <v>5555.25</v>
      </c>
      <c r="F14" s="16">
        <v>0.12</v>
      </c>
      <c r="G14" s="20">
        <f>Submetering!F14+Submetering!G14</f>
        <v>151.00000000000003</v>
      </c>
      <c r="H14" s="16">
        <v>0.71</v>
      </c>
      <c r="I14" s="20">
        <f>Submetering!J14+Submetering!I14+Submetering!H14</f>
        <v>36.379499436300009</v>
      </c>
      <c r="J14" s="16">
        <v>2.3196172978505634</v>
      </c>
      <c r="K14" s="20">
        <f>Submetering!K14</f>
        <v>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2020</v>
      </c>
      <c r="E15" s="20">
        <f>Submetering!E15</f>
        <v>5548.5</v>
      </c>
      <c r="F15" s="16">
        <v>0.12</v>
      </c>
      <c r="G15" s="20">
        <f>Submetering!F15+Submetering!G15</f>
        <v>240.73318632897198</v>
      </c>
      <c r="H15" s="16">
        <v>0.71</v>
      </c>
      <c r="I15" s="20">
        <f>Submetering!J15+Submetering!I15+Submetering!H15</f>
        <v>36.771512801900002</v>
      </c>
      <c r="J15" s="16">
        <v>2.3196172978505634</v>
      </c>
      <c r="K15" s="20">
        <f>Submetering!K15</f>
        <v>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2020</v>
      </c>
      <c r="E16" s="20">
        <f>Submetering!E16</f>
        <v>5604.75</v>
      </c>
      <c r="F16" s="16">
        <v>0.12</v>
      </c>
      <c r="G16" s="20">
        <f>Submetering!F16+Submetering!G16</f>
        <v>71.266813671401877</v>
      </c>
      <c r="H16" s="16">
        <v>0.71</v>
      </c>
      <c r="I16" s="20">
        <f>Submetering!J16+Submetering!I16+Submetering!H16</f>
        <v>40.550332744899997</v>
      </c>
      <c r="J16" s="16">
        <v>2.3196172978505634</v>
      </c>
      <c r="K16" s="20">
        <f>Submetering!K16</f>
        <v>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2020</v>
      </c>
      <c r="E17" s="20">
        <f>Submetering!E17</f>
        <v>5591.25</v>
      </c>
      <c r="F17" s="16">
        <v>0.12</v>
      </c>
      <c r="G17" s="20">
        <f>Submetering!F17+Submetering!G16</f>
        <v>2</v>
      </c>
      <c r="H17" s="16">
        <v>0.71</v>
      </c>
      <c r="I17" s="20">
        <f>Submetering!J17+Submetering!I17+Submetering!H17</f>
        <v>40.587655016900001</v>
      </c>
      <c r="J17" s="16">
        <v>2.3196172978505634</v>
      </c>
      <c r="K17" s="20">
        <f>Submetering!K17</f>
        <v>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2020</v>
      </c>
      <c r="E18" s="20">
        <f>Submetering!E18</f>
        <v>5901.75</v>
      </c>
      <c r="F18" s="16">
        <v>0.12</v>
      </c>
      <c r="G18" s="20">
        <f>Submetering!F18+Submetering!G17</f>
        <v>1.4581451118130841</v>
      </c>
      <c r="H18" s="16">
        <v>0.71</v>
      </c>
      <c r="I18" s="20">
        <f>Submetering!J18+Submetering!I18+Submetering!H18</f>
        <v>36.6665938529</v>
      </c>
      <c r="J18" s="16">
        <v>2.3196172978505634</v>
      </c>
      <c r="K18" s="20">
        <f>Submetering!K18</f>
        <v>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2020</v>
      </c>
      <c r="E19" s="20">
        <f>Submetering!E19</f>
        <v>6045.75</v>
      </c>
      <c r="F19" s="16">
        <v>0.12</v>
      </c>
      <c r="G19" s="20">
        <f>Submetering!F19+Submetering!G18</f>
        <v>0.54185488818224303</v>
      </c>
      <c r="H19" s="16">
        <v>0.71</v>
      </c>
      <c r="I19" s="20">
        <f>Submetering!J19+Submetering!I19+Submetering!H19</f>
        <v>40.557406147099996</v>
      </c>
      <c r="J19" s="16">
        <v>2.3196172978505634</v>
      </c>
      <c r="K19" s="20">
        <f>Submetering!K19</f>
        <v>4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11.233486660560748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20" sqref="K2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2020</v>
      </c>
      <c r="E2" s="20">
        <v>4245.75</v>
      </c>
      <c r="F2" s="20">
        <v>66.000000000000014</v>
      </c>
      <c r="G2" s="20">
        <v>0</v>
      </c>
      <c r="H2" s="20">
        <v>0.41199999999999998</v>
      </c>
      <c r="I2" s="20">
        <v>6</v>
      </c>
      <c r="J2" s="20">
        <v>18.3995016611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2020</v>
      </c>
      <c r="E3" s="20">
        <v>4050</v>
      </c>
      <c r="F3" s="20">
        <v>70</v>
      </c>
      <c r="G3" s="20">
        <v>0</v>
      </c>
      <c r="H3" s="20">
        <v>0.432</v>
      </c>
      <c r="I3" s="20">
        <v>8</v>
      </c>
      <c r="J3" s="20">
        <v>13.6004983389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5</v>
      </c>
      <c r="D4" s="6">
        <v>2020</v>
      </c>
      <c r="E4" s="20">
        <v>4241.25</v>
      </c>
      <c r="F4" s="20">
        <v>50</v>
      </c>
      <c r="G4" s="20">
        <v>0</v>
      </c>
      <c r="H4" s="20">
        <v>0.52900000000000003</v>
      </c>
      <c r="I4" s="20">
        <v>7</v>
      </c>
      <c r="J4" s="20">
        <v>15.412849162000001</v>
      </c>
      <c r="K4" s="20">
        <v>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2020</v>
      </c>
      <c r="E5" s="20">
        <v>4371.75</v>
      </c>
      <c r="F5" s="20">
        <v>22.000000000000004</v>
      </c>
      <c r="G5" s="20">
        <v>0</v>
      </c>
      <c r="H5" s="20">
        <v>0.64200000000000002</v>
      </c>
      <c r="I5" s="20">
        <v>7</v>
      </c>
      <c r="J5" s="20">
        <v>14.995268087099999</v>
      </c>
      <c r="K5" s="20">
        <v>7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2020</v>
      </c>
      <c r="E6" s="20">
        <v>4619.25</v>
      </c>
      <c r="F6" s="20">
        <v>0</v>
      </c>
      <c r="G6" s="20">
        <v>0</v>
      </c>
      <c r="H6" s="20">
        <v>0.6</v>
      </c>
      <c r="I6" s="20">
        <v>6</v>
      </c>
      <c r="J6" s="20">
        <v>16.5918827508</v>
      </c>
      <c r="K6" s="20">
        <v>5</v>
      </c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2020</v>
      </c>
      <c r="E7" s="20">
        <v>4783.5</v>
      </c>
      <c r="F7" s="20">
        <v>0</v>
      </c>
      <c r="G7" s="20">
        <v>0</v>
      </c>
      <c r="H7" s="20">
        <v>0.58099999999999996</v>
      </c>
      <c r="I7" s="20">
        <v>9</v>
      </c>
      <c r="J7" s="20">
        <v>17</v>
      </c>
      <c r="K7" s="20">
        <v>3</v>
      </c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2020</v>
      </c>
      <c r="E8" s="20">
        <v>4855.5</v>
      </c>
      <c r="F8" s="20">
        <v>0</v>
      </c>
      <c r="G8" s="20">
        <v>0</v>
      </c>
      <c r="H8" s="20">
        <v>0.46300000000000002</v>
      </c>
      <c r="I8" s="20">
        <v>7</v>
      </c>
      <c r="J8" s="20">
        <v>16.412132753000002</v>
      </c>
      <c r="K8" s="20">
        <v>3</v>
      </c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2020</v>
      </c>
      <c r="E9" s="20">
        <v>4911.75</v>
      </c>
      <c r="F9" s="20">
        <v>0</v>
      </c>
      <c r="G9" s="20">
        <v>0</v>
      </c>
      <c r="H9" s="20">
        <v>6.1509999999999998</v>
      </c>
      <c r="I9" s="6">
        <v>10</v>
      </c>
      <c r="J9" s="20">
        <v>21.587867246999998</v>
      </c>
      <c r="K9" s="20">
        <v>3</v>
      </c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2020</v>
      </c>
      <c r="E10" s="20">
        <v>4830.75</v>
      </c>
      <c r="F10" s="20">
        <v>0</v>
      </c>
      <c r="G10" s="20">
        <v>0</v>
      </c>
      <c r="H10" s="20">
        <v>3.0179999999999998</v>
      </c>
      <c r="I10" s="6">
        <v>12</v>
      </c>
      <c r="J10" s="20">
        <v>18</v>
      </c>
      <c r="K10" s="20">
        <v>4</v>
      </c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2020</v>
      </c>
      <c r="E11" s="20">
        <v>5019.75</v>
      </c>
      <c r="F11" s="20">
        <v>0</v>
      </c>
      <c r="G11" s="20">
        <v>0</v>
      </c>
      <c r="H11" s="20">
        <v>1.054</v>
      </c>
      <c r="I11" s="6">
        <v>11</v>
      </c>
      <c r="J11" s="20">
        <v>16.411960132899999</v>
      </c>
      <c r="K11" s="20">
        <v>5</v>
      </c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2020</v>
      </c>
      <c r="E12" s="20">
        <v>5859</v>
      </c>
      <c r="F12" s="20">
        <v>11</v>
      </c>
      <c r="G12" s="20">
        <v>0</v>
      </c>
      <c r="H12" s="20">
        <v>1.0669999999999999</v>
      </c>
      <c r="I12" s="20">
        <v>19</v>
      </c>
      <c r="J12" s="20">
        <v>40.005323817700003</v>
      </c>
      <c r="K12" s="20">
        <v>3</v>
      </c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2020</v>
      </c>
      <c r="E13" s="20">
        <v>5739.75</v>
      </c>
      <c r="F13" s="20">
        <v>12.000000000000002</v>
      </c>
      <c r="G13" s="20">
        <v>0</v>
      </c>
      <c r="H13" s="20">
        <v>0.81100000000000005</v>
      </c>
      <c r="I13" s="20">
        <v>17</v>
      </c>
      <c r="J13" s="20">
        <v>19.582716049399998</v>
      </c>
      <c r="K13" s="20">
        <v>9</v>
      </c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2020</v>
      </c>
      <c r="E14" s="20">
        <v>5555.25</v>
      </c>
      <c r="F14" s="20">
        <v>151.00000000000003</v>
      </c>
      <c r="G14" s="20">
        <v>0</v>
      </c>
      <c r="H14" s="20">
        <v>0.96799999999999997</v>
      </c>
      <c r="I14" s="20">
        <v>17</v>
      </c>
      <c r="J14" s="20">
        <v>18.411499436300002</v>
      </c>
      <c r="K14" s="20">
        <v>9</v>
      </c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2020</v>
      </c>
      <c r="E15" s="20">
        <v>5548.5</v>
      </c>
      <c r="F15" s="20">
        <v>240.73318632897198</v>
      </c>
      <c r="G15" s="20">
        <v>0</v>
      </c>
      <c r="H15" s="20">
        <v>0.76800000000000002</v>
      </c>
      <c r="I15" s="20">
        <v>16</v>
      </c>
      <c r="J15" s="20">
        <v>20.003512801900001</v>
      </c>
      <c r="K15" s="20">
        <v>6</v>
      </c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2020</v>
      </c>
      <c r="E16" s="20">
        <v>5604.75</v>
      </c>
      <c r="F16" s="20">
        <v>69.266813671401877</v>
      </c>
      <c r="G16" s="20">
        <v>2</v>
      </c>
      <c r="H16" s="20">
        <v>1.5529999999999999</v>
      </c>
      <c r="I16" s="20">
        <v>17</v>
      </c>
      <c r="J16" s="20">
        <v>21.9973327449</v>
      </c>
      <c r="K16" s="20">
        <v>7</v>
      </c>
    </row>
    <row r="17" spans="1:11" x14ac:dyDescent="0.25">
      <c r="A17" s="17" t="s">
        <v>32</v>
      </c>
      <c r="B17" s="6">
        <f t="shared" si="0"/>
        <v>16</v>
      </c>
      <c r="C17" s="6">
        <v>5</v>
      </c>
      <c r="D17" s="6">
        <v>2020</v>
      </c>
      <c r="E17" s="20">
        <v>5591.25</v>
      </c>
      <c r="F17" s="20">
        <v>0</v>
      </c>
      <c r="G17" s="20">
        <v>1.4581451118130841</v>
      </c>
      <c r="H17" s="20">
        <v>1</v>
      </c>
      <c r="I17" s="20">
        <v>19</v>
      </c>
      <c r="J17" s="20">
        <v>20.587655016900001</v>
      </c>
      <c r="K17" s="20">
        <v>8</v>
      </c>
    </row>
    <row r="18" spans="1:11" x14ac:dyDescent="0.25">
      <c r="A18" s="17" t="s">
        <v>32</v>
      </c>
      <c r="B18" s="6">
        <f t="shared" si="0"/>
        <v>17</v>
      </c>
      <c r="C18" s="6">
        <v>5</v>
      </c>
      <c r="D18" s="6">
        <v>2020</v>
      </c>
      <c r="E18" s="20">
        <v>5901.75</v>
      </c>
      <c r="F18" s="20">
        <v>0</v>
      </c>
      <c r="G18" s="20">
        <v>0.54185488818224303</v>
      </c>
      <c r="H18" s="20">
        <v>1.2470000000000001</v>
      </c>
      <c r="I18" s="20">
        <v>15</v>
      </c>
      <c r="J18" s="20">
        <v>20.4195938529</v>
      </c>
      <c r="K18" s="20">
        <v>3</v>
      </c>
    </row>
    <row r="19" spans="1:11" x14ac:dyDescent="0.25">
      <c r="A19" s="17" t="s">
        <v>32</v>
      </c>
      <c r="B19" s="6">
        <f t="shared" si="0"/>
        <v>18</v>
      </c>
      <c r="C19" s="6">
        <v>5</v>
      </c>
      <c r="D19" s="6">
        <v>2020</v>
      </c>
      <c r="E19" s="20">
        <v>6045.75</v>
      </c>
      <c r="F19" s="20">
        <v>0</v>
      </c>
      <c r="G19" s="20">
        <v>11.233486660560748</v>
      </c>
      <c r="H19" s="20">
        <v>0.97699999999999998</v>
      </c>
      <c r="I19" s="20">
        <v>18</v>
      </c>
      <c r="J19" s="20">
        <v>21.5804061471</v>
      </c>
      <c r="K19" s="20">
        <v>4</v>
      </c>
    </row>
    <row r="20" spans="1:11" x14ac:dyDescent="0.25">
      <c r="A20" s="17" t="s">
        <v>32</v>
      </c>
      <c r="B20" s="6">
        <f t="shared" si="0"/>
        <v>19</v>
      </c>
      <c r="C20" s="6">
        <v>5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5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5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5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5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5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5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5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5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5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5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2020-05-19T12:21:11Z</dcterms:modified>
</cp:coreProperties>
</file>