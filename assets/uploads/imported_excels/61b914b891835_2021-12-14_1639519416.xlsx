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<sst xmlns="http://schemas.openxmlformats.org/spreadsheetml/2006/main" count="128" uniqueCount="49">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</sst>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52200</v>
      </c>
      <c r="F6" s="11">
        <v>5.0000000000000001E-3</v>
      </c>
      <c r="G6" s="12">
        <f>Submetering!R6</f>
        <v>837.71123299999988</v>
      </c>
      <c r="H6" s="11">
        <v>0.52800000000000002</v>
      </c>
      <c r="I6" s="12">
        <f>Hotel!B11</f>
        <v>102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53820</v>
      </c>
      <c r="F7" s="11">
        <v>5.0000000000000001E-3</v>
      </c>
      <c r="G7" s="12">
        <f>Submetering!R7</f>
        <v>684.78066899999999</v>
      </c>
      <c r="H7" s="11">
        <v>0.52800000000000002</v>
      </c>
      <c r="I7" s="12">
        <f>Hotel!B12</f>
        <v>102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55630</v>
      </c>
      <c r="F8" s="11">
        <v>5.0000000000000001E-3</v>
      </c>
      <c r="G8" s="12">
        <f>Submetering!R8</f>
        <v>601.50164899999993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53440</v>
      </c>
      <c r="F9" s="11">
        <v>5.0000000000000001E-3</v>
      </c>
      <c r="G9" s="12">
        <f>Submetering!R9</f>
        <v>782.44424700000002</v>
      </c>
      <c r="H9" s="11">
        <v>0.52800000000000002</v>
      </c>
      <c r="I9" s="12">
        <f>Hotel!B14</f>
        <v>145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52580</v>
      </c>
      <c r="F10" s="11">
        <v>5.0000000000000001E-3</v>
      </c>
      <c r="G10" s="12">
        <f>Submetering!R10</f>
        <v>715.82103099999995</v>
      </c>
      <c r="H10" s="11">
        <v>0.52800000000000002</v>
      </c>
      <c r="I10" s="12">
        <f>Hotel!B15</f>
        <v>181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54390</v>
      </c>
      <c r="F11" s="11">
        <v>5.0000000000000001E-3</v>
      </c>
      <c r="G11" s="12">
        <f>Submetering!R11</f>
        <v>658.28279900000007</v>
      </c>
      <c r="H11" s="11">
        <v>0.52800000000000002</v>
      </c>
      <c r="I11" s="12">
        <f>Hotel!B16</f>
        <v>220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52920</v>
      </c>
      <c r="F12" s="11">
        <v>5.0000000000000001E-3</v>
      </c>
      <c r="G12" s="12">
        <f>Submetering!R12</f>
        <v>795.69318199999998</v>
      </c>
      <c r="H12" s="11">
        <v>0.52800000000000002</v>
      </c>
      <c r="I12" s="12">
        <f>Hotel!B17</f>
        <v>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52670</v>
      </c>
      <c r="F13" s="11">
        <v>5.0000000000000001E-3</v>
      </c>
      <c r="G13" s="12">
        <f>Submetering!R13</f>
        <v>764.27427899999998</v>
      </c>
      <c r="H13" s="11">
        <v>0.52800000000000002</v>
      </c>
      <c r="I13" s="12">
        <f>Hotel!B18</f>
        <v>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49785</v>
      </c>
      <c r="F14" s="11">
        <v>5.0000000000000001E-3</v>
      </c>
      <c r="G14" s="12">
        <f>Submetering!R14</f>
        <v>741.18327799999997</v>
      </c>
      <c r="H14" s="11">
        <v>0.52800000000000002</v>
      </c>
      <c r="I14" s="12">
        <f>Hotel!B19</f>
        <v>95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580</v>
      </c>
      <c r="F6" s="4">
        <f>Hotel!R11</f>
        <v>1880</v>
      </c>
      <c r="G6" s="4">
        <f>Hotel!S11</f>
        <v>2690</v>
      </c>
      <c r="H6" s="4">
        <f>Hotel!T11</f>
        <v>1390</v>
      </c>
      <c r="I6" s="4">
        <f>Hotel!U11</f>
        <v>4700</v>
      </c>
      <c r="J6" s="4">
        <f>Hotel!V11</f>
        <v>3810</v>
      </c>
      <c r="K6" s="4">
        <f>Hotel!W11</f>
        <v>2710</v>
      </c>
      <c r="L6" s="4">
        <f>Hotel!X11</f>
        <v>4340</v>
      </c>
      <c r="M6" s="4">
        <f>Hotel!Y11</f>
        <v>5770</v>
      </c>
      <c r="N6" s="4">
        <f>Hotel!Z11</f>
        <v>2750</v>
      </c>
      <c r="O6" s="4">
        <f>Hotel!AA11</f>
        <v>3160</v>
      </c>
      <c r="P6" s="4">
        <f>Hotel!AB11</f>
        <v>7240</v>
      </c>
      <c r="Q6" s="4">
        <f>Hotel!AC11</f>
        <v>11180</v>
      </c>
      <c r="R6" s="4">
        <f>Hotel!AV11*0.00378541*100</f>
        <v>837.71123299999988</v>
      </c>
      <c r="S6" s="4">
        <f>Hotel!B11</f>
        <v>102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1040</v>
      </c>
      <c r="F7" s="4">
        <f>Hotel!R12</f>
        <v>4890</v>
      </c>
      <c r="G7" s="4">
        <f>Hotel!S12</f>
        <v>1310</v>
      </c>
      <c r="H7" s="4">
        <f>Hotel!T12</f>
        <v>1600</v>
      </c>
      <c r="I7" s="4">
        <f>Hotel!U12</f>
        <v>4700</v>
      </c>
      <c r="J7" s="4">
        <f>Hotel!V12</f>
        <v>3800</v>
      </c>
      <c r="K7" s="4">
        <f>Hotel!W12</f>
        <v>2580</v>
      </c>
      <c r="L7" s="4">
        <f>Hotel!X12</f>
        <v>4590</v>
      </c>
      <c r="M7" s="4">
        <f>Hotel!Y12</f>
        <v>5870</v>
      </c>
      <c r="N7" s="4">
        <f>Hotel!Z12</f>
        <v>2680</v>
      </c>
      <c r="O7" s="4">
        <f>Hotel!AA12</f>
        <v>2980</v>
      </c>
      <c r="P7" s="4">
        <f>Hotel!AB12</f>
        <v>7070</v>
      </c>
      <c r="Q7" s="4">
        <f>Hotel!AC12</f>
        <v>10710</v>
      </c>
      <c r="R7" s="4">
        <f>Hotel!AV12*0.00378541*100</f>
        <v>684.78066899999999</v>
      </c>
      <c r="S7" s="4">
        <f>Hotel!B12</f>
        <v>102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550</v>
      </c>
      <c r="F8" s="4">
        <f>Hotel!R13</f>
        <v>9800</v>
      </c>
      <c r="G8" s="4">
        <f>Hotel!S13</f>
        <v>0</v>
      </c>
      <c r="H8" s="4">
        <f>Hotel!T13</f>
        <v>1290</v>
      </c>
      <c r="I8" s="4">
        <f>Hotel!U13</f>
        <v>4440</v>
      </c>
      <c r="J8" s="4">
        <f>Hotel!V13</f>
        <v>3740</v>
      </c>
      <c r="K8" s="4">
        <f>Hotel!W13</f>
        <v>2470</v>
      </c>
      <c r="L8" s="4">
        <f>Hotel!X13</f>
        <v>4810</v>
      </c>
      <c r="M8" s="4">
        <f>Hotel!Y13</f>
        <v>5880</v>
      </c>
      <c r="N8" s="4">
        <f>Hotel!Z13</f>
        <v>2540</v>
      </c>
      <c r="O8" s="4">
        <f>Hotel!AA13</f>
        <v>3060</v>
      </c>
      <c r="P8" s="4">
        <f>Hotel!AB13</f>
        <v>7080</v>
      </c>
      <c r="Q8" s="4">
        <f>Hotel!AC13</f>
        <v>9970</v>
      </c>
      <c r="R8" s="4">
        <f>Hotel!AV13*0.00378541*100</f>
        <v>601.50164899999993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590</v>
      </c>
      <c r="F9" s="4">
        <f>Hotel!R14</f>
        <v>3200</v>
      </c>
      <c r="G9" s="4">
        <f>Hotel!S14</f>
        <v>2500</v>
      </c>
      <c r="H9" s="4">
        <f>Hotel!T14</f>
        <v>1540</v>
      </c>
      <c r="I9" s="4">
        <f>Hotel!U14</f>
        <v>4760</v>
      </c>
      <c r="J9" s="4">
        <f>Hotel!V14</f>
        <v>3830</v>
      </c>
      <c r="K9" s="4">
        <f>Hotel!W14</f>
        <v>2600</v>
      </c>
      <c r="L9" s="4">
        <f>Hotel!X14</f>
        <v>4880</v>
      </c>
      <c r="M9" s="4">
        <f>Hotel!Y14</f>
        <v>5940</v>
      </c>
      <c r="N9" s="4">
        <f>Hotel!Z14</f>
        <v>2760</v>
      </c>
      <c r="O9" s="4">
        <f>Hotel!AA14</f>
        <v>3240</v>
      </c>
      <c r="P9" s="4">
        <f>Hotel!AB14</f>
        <v>7410</v>
      </c>
      <c r="Q9" s="4">
        <f>Hotel!AC14</f>
        <v>10190</v>
      </c>
      <c r="R9" s="4">
        <f>Hotel!AV14*0.00378541*100</f>
        <v>782.44424700000002</v>
      </c>
      <c r="S9" s="4">
        <f>Hotel!B14</f>
        <v>145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580</v>
      </c>
      <c r="F10" s="4">
        <f>Hotel!R15</f>
        <v>1850</v>
      </c>
      <c r="G10" s="4">
        <f>Hotel!S15</f>
        <v>2920</v>
      </c>
      <c r="H10" s="4">
        <f>Hotel!T15</f>
        <v>1390</v>
      </c>
      <c r="I10" s="4">
        <f>Hotel!U15</f>
        <v>4800</v>
      </c>
      <c r="J10" s="4">
        <f>Hotel!V15</f>
        <v>3950</v>
      </c>
      <c r="K10" s="4">
        <f>Hotel!W15</f>
        <v>2690</v>
      </c>
      <c r="L10" s="4">
        <f>Hotel!X15</f>
        <v>4740</v>
      </c>
      <c r="M10" s="4">
        <f>Hotel!Y15</f>
        <v>6110</v>
      </c>
      <c r="N10" s="4">
        <f>Hotel!Z15</f>
        <v>2830</v>
      </c>
      <c r="O10" s="4">
        <f>Hotel!AA15</f>
        <v>3440</v>
      </c>
      <c r="P10" s="4">
        <f>Hotel!AB15</f>
        <v>7310</v>
      </c>
      <c r="Q10" s="4">
        <f>Hotel!AC15</f>
        <v>9970</v>
      </c>
      <c r="R10" s="4">
        <f>Hotel!AV15*0.00378541*100</f>
        <v>715.82103099999995</v>
      </c>
      <c r="S10" s="4">
        <f>Hotel!B15</f>
        <v>181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590</v>
      </c>
      <c r="F11" s="4">
        <f>Hotel!R16</f>
        <v>1890</v>
      </c>
      <c r="G11" s="4">
        <f>Hotel!S16</f>
        <v>2780</v>
      </c>
      <c r="H11" s="4">
        <f>Hotel!T16</f>
        <v>1420</v>
      </c>
      <c r="I11" s="4">
        <f>Hotel!U16</f>
        <v>5130</v>
      </c>
      <c r="J11" s="4">
        <f>Hotel!V16</f>
        <v>4310</v>
      </c>
      <c r="K11" s="4">
        <f>Hotel!W16</f>
        <v>2490</v>
      </c>
      <c r="L11" s="4">
        <f>Hotel!X16</f>
        <v>4960</v>
      </c>
      <c r="M11" s="4">
        <f>Hotel!Y16</f>
        <v>6500</v>
      </c>
      <c r="N11" s="4">
        <f>Hotel!Z16</f>
        <v>2930</v>
      </c>
      <c r="O11" s="4">
        <f>Hotel!AA16</f>
        <v>3520</v>
      </c>
      <c r="P11" s="4">
        <f>Hotel!AB16</f>
        <v>7250</v>
      </c>
      <c r="Q11" s="4">
        <f>Hotel!AC16</f>
        <v>10620</v>
      </c>
      <c r="R11" s="4">
        <f>Hotel!AV16*0.00378541*100</f>
        <v>658.28279900000007</v>
      </c>
      <c r="S11" s="4">
        <f>Hotel!B16</f>
        <v>220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580</v>
      </c>
      <c r="F12" s="4">
        <f>Hotel!R17</f>
        <v>1850</v>
      </c>
      <c r="G12" s="4">
        <f>Hotel!S17</f>
        <v>2630</v>
      </c>
      <c r="H12" s="4">
        <f>Hotel!T17</f>
        <v>1390</v>
      </c>
      <c r="I12" s="4">
        <f>Hotel!U17</f>
        <v>4890</v>
      </c>
      <c r="J12" s="4">
        <f>Hotel!V17</f>
        <v>4020</v>
      </c>
      <c r="K12" s="4">
        <f>Hotel!W17</f>
        <v>2510</v>
      </c>
      <c r="L12" s="4">
        <f>Hotel!X17</f>
        <v>4980</v>
      </c>
      <c r="M12" s="4">
        <f>Hotel!Y17</f>
        <v>6360</v>
      </c>
      <c r="N12" s="4">
        <f>Hotel!Z17</f>
        <v>2690</v>
      </c>
      <c r="O12" s="4">
        <f>Hotel!AA17</f>
        <v>3220</v>
      </c>
      <c r="P12" s="4">
        <f>Hotel!AB17</f>
        <v>7140</v>
      </c>
      <c r="Q12" s="4">
        <f>Hotel!AC17</f>
        <v>10660</v>
      </c>
      <c r="R12" s="4">
        <f>Hotel!AV17*0.00378541*100</f>
        <v>795.69318199999998</v>
      </c>
      <c r="S12" s="4">
        <f>Hotel!B17</f>
        <v>90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600</v>
      </c>
      <c r="F13" s="4">
        <f>Hotel!R18</f>
        <v>1940</v>
      </c>
      <c r="G13" s="4">
        <f>Hotel!S18</f>
        <v>2610</v>
      </c>
      <c r="H13" s="4">
        <f>Hotel!T18</f>
        <v>1410</v>
      </c>
      <c r="I13" s="4">
        <f>Hotel!U18</f>
        <v>5080</v>
      </c>
      <c r="J13" s="4">
        <f>Hotel!V18</f>
        <v>4230</v>
      </c>
      <c r="K13" s="4">
        <f>Hotel!W18</f>
        <v>2710</v>
      </c>
      <c r="L13" s="4">
        <f>Hotel!X18</f>
        <v>4860</v>
      </c>
      <c r="M13" s="4">
        <f>Hotel!Y18</f>
        <v>6360</v>
      </c>
      <c r="N13" s="4">
        <f>Hotel!Z18</f>
        <v>2570</v>
      </c>
      <c r="O13" s="4">
        <f>Hotel!AA18</f>
        <v>3370</v>
      </c>
      <c r="P13" s="4">
        <f>Hotel!AB18</f>
        <v>7330</v>
      </c>
      <c r="Q13" s="4">
        <f>Hotel!AC18</f>
        <v>9600</v>
      </c>
      <c r="R13" s="4">
        <f>Hotel!AV18*0.00378541*100</f>
        <v>764.27427899999998</v>
      </c>
      <c r="S13" s="4">
        <f>Hotel!B18</f>
        <v>95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570</v>
      </c>
      <c r="F14" s="4">
        <f>Hotel!R19</f>
        <v>1810</v>
      </c>
      <c r="G14" s="4">
        <f>Hotel!S19</f>
        <v>2440</v>
      </c>
      <c r="H14" s="4">
        <f>Hotel!T19</f>
        <v>1330</v>
      </c>
      <c r="I14" s="4">
        <f>Hotel!U19</f>
        <v>4640</v>
      </c>
      <c r="J14" s="4">
        <f>Hotel!V19</f>
        <v>3920</v>
      </c>
      <c r="K14" s="4">
        <f>Hotel!W19</f>
        <v>2350</v>
      </c>
      <c r="L14" s="4">
        <f>Hotel!X19</f>
        <v>5130</v>
      </c>
      <c r="M14" s="4">
        <f>Hotel!Y19</f>
        <v>6014</v>
      </c>
      <c r="N14" s="4">
        <f>Hotel!Z19</f>
        <v>2430</v>
      </c>
      <c r="O14" s="4">
        <f>Hotel!AA19</f>
        <v>3140</v>
      </c>
      <c r="P14" s="4">
        <f>Hotel!AB19</f>
        <v>6820</v>
      </c>
      <c r="Q14" s="4">
        <f>Hotel!AC19</f>
        <v>9191</v>
      </c>
      <c r="R14" s="4">
        <f>Hotel!AV19*0.00378541*100</f>
        <v>741.18327799999997</v>
      </c>
      <c r="S14" s="4">
        <f>Hotel!B19</f>
        <v>95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K24" sqref="AK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>
        <v>102</v>
      </c>
      <c r="C11" s="24">
        <v>7449570</v>
      </c>
      <c r="D11" s="24">
        <v>17648450</v>
      </c>
      <c r="E11" s="24">
        <v>3156760</v>
      </c>
      <c r="F11" s="24">
        <v>3796400</v>
      </c>
      <c r="G11" s="24">
        <v>11161910</v>
      </c>
      <c r="H11" s="24">
        <v>6175120</v>
      </c>
      <c r="I11" s="24">
        <v>5508840</v>
      </c>
      <c r="J11" s="24">
        <v>6695190</v>
      </c>
      <c r="K11" s="24">
        <v>10161000</v>
      </c>
      <c r="L11" s="24">
        <v>4297670</v>
      </c>
      <c r="M11" s="24">
        <v>8458320</v>
      </c>
      <c r="N11" s="24">
        <v>13317430</v>
      </c>
      <c r="O11" s="24">
        <v>18463060</v>
      </c>
      <c r="Q11" s="37">
        <f t="shared" si="17"/>
        <v>580</v>
      </c>
      <c r="R11" s="37">
        <f t="shared" si="18"/>
        <v>1880</v>
      </c>
      <c r="S11" s="37">
        <f t="shared" si="16"/>
        <v>2690</v>
      </c>
      <c r="T11" s="37">
        <f t="shared" si="19"/>
        <v>1390</v>
      </c>
      <c r="U11" s="37">
        <f t="shared" si="20"/>
        <v>4700</v>
      </c>
      <c r="V11" s="37">
        <f t="shared" si="21"/>
        <v>3810</v>
      </c>
      <c r="W11" s="37">
        <f t="shared" si="22"/>
        <v>2710</v>
      </c>
      <c r="X11" s="37">
        <f t="shared" si="23"/>
        <v>4340</v>
      </c>
      <c r="Y11" s="37">
        <f t="shared" si="24"/>
        <v>5770</v>
      </c>
      <c r="Z11" s="37">
        <f t="shared" si="25"/>
        <v>2750</v>
      </c>
      <c r="AA11" s="37">
        <f t="shared" si="26"/>
        <v>3160</v>
      </c>
      <c r="AB11" s="37">
        <f t="shared" si="27"/>
        <v>7240</v>
      </c>
      <c r="AC11" s="37">
        <f t="shared" si="28"/>
        <v>11180</v>
      </c>
      <c r="AD11" s="35">
        <f t="shared" si="29"/>
        <v>52200</v>
      </c>
      <c r="AF11" s="20">
        <f t="shared" si="1"/>
        <v>2.9</v>
      </c>
      <c r="AG11" s="20">
        <f t="shared" si="2"/>
        <v>9.4</v>
      </c>
      <c r="AH11" s="20">
        <f t="shared" si="3"/>
        <v>13.450000000000001</v>
      </c>
      <c r="AI11" s="20">
        <f t="shared" si="4"/>
        <v>6.95</v>
      </c>
      <c r="AJ11" s="20">
        <f t="shared" si="5"/>
        <v>23.5</v>
      </c>
      <c r="AK11" s="20">
        <f t="shared" si="6"/>
        <v>19.05</v>
      </c>
      <c r="AL11" s="20">
        <f t="shared" si="7"/>
        <v>13.55</v>
      </c>
      <c r="AM11" s="20">
        <f t="shared" si="8"/>
        <v>21.7</v>
      </c>
      <c r="AN11" s="20">
        <f t="shared" si="9"/>
        <v>28.85</v>
      </c>
      <c r="AO11" s="20">
        <f t="shared" si="10"/>
        <v>13.75</v>
      </c>
      <c r="AP11" s="20">
        <f t="shared" si="11"/>
        <v>15.8</v>
      </c>
      <c r="AQ11" s="20">
        <f t="shared" si="12"/>
        <v>36.200000000000003</v>
      </c>
      <c r="AR11" s="20">
        <f t="shared" si="13"/>
        <v>55.9</v>
      </c>
      <c r="AS11" s="35">
        <f t="shared" si="30"/>
        <v>261</v>
      </c>
      <c r="AU11" s="47">
        <v>413206</v>
      </c>
      <c r="AV11" s="37">
        <f t="shared" si="31"/>
        <v>2213</v>
      </c>
      <c r="AW11" s="35">
        <f t="shared" si="14"/>
        <v>4.4260000000000002</v>
      </c>
    </row>
    <row r="12" spans="1:49" x14ac:dyDescent="0.25">
      <c r="A12" s="23">
        <v>44536</v>
      </c>
      <c r="B12" s="40">
        <v>102</v>
      </c>
      <c r="C12" s="49">
        <v>7450610</v>
      </c>
      <c r="D12" s="24">
        <v>17653340</v>
      </c>
      <c r="E12" s="24">
        <v>3158070</v>
      </c>
      <c r="F12" s="24">
        <v>3798000</v>
      </c>
      <c r="G12" s="24">
        <v>11166610</v>
      </c>
      <c r="H12" s="24">
        <v>6178920</v>
      </c>
      <c r="I12" s="24">
        <v>5511420</v>
      </c>
      <c r="J12" s="24">
        <v>6699780</v>
      </c>
      <c r="K12" s="24">
        <v>10166870</v>
      </c>
      <c r="L12" s="24">
        <v>4300350</v>
      </c>
      <c r="M12" s="24">
        <v>8461300</v>
      </c>
      <c r="N12" s="24">
        <v>13324500</v>
      </c>
      <c r="O12" s="24">
        <v>18473770</v>
      </c>
      <c r="Q12" s="37">
        <f t="shared" si="17"/>
        <v>1040</v>
      </c>
      <c r="R12" s="37">
        <f t="shared" si="18"/>
        <v>4890</v>
      </c>
      <c r="S12" s="37">
        <f t="shared" si="16"/>
        <v>1310</v>
      </c>
      <c r="T12" s="37">
        <f t="shared" ref="T12:W14" si="32">IF((F12-F11&lt;0), "0",F12-F11)</f>
        <v>1600</v>
      </c>
      <c r="U12" s="37">
        <f t="shared" si="32"/>
        <v>4700</v>
      </c>
      <c r="V12" s="37">
        <f t="shared" si="32"/>
        <v>3800</v>
      </c>
      <c r="W12" s="37">
        <f t="shared" si="32"/>
        <v>2580</v>
      </c>
      <c r="X12" s="37">
        <f t="shared" si="23"/>
        <v>4590</v>
      </c>
      <c r="Y12" s="37">
        <f t="shared" si="24"/>
        <v>5870</v>
      </c>
      <c r="Z12" s="37">
        <f>IF((L12-L11&lt;0), "0",L12-L11)</f>
        <v>2680</v>
      </c>
      <c r="AA12" s="37">
        <f t="shared" si="26"/>
        <v>2980</v>
      </c>
      <c r="AB12" s="37">
        <f t="shared" si="27"/>
        <v>7070</v>
      </c>
      <c r="AC12" s="37">
        <f t="shared" si="28"/>
        <v>10710</v>
      </c>
      <c r="AD12" s="35">
        <f t="shared" si="29"/>
        <v>53820</v>
      </c>
      <c r="AF12" s="20">
        <f t="shared" si="1"/>
        <v>5.2</v>
      </c>
      <c r="AG12" s="20">
        <f t="shared" si="2"/>
        <v>24.45</v>
      </c>
      <c r="AH12" s="20">
        <f t="shared" si="3"/>
        <v>6.55</v>
      </c>
      <c r="AI12" s="20">
        <f t="shared" si="4"/>
        <v>8</v>
      </c>
      <c r="AJ12" s="20">
        <f t="shared" si="5"/>
        <v>23.5</v>
      </c>
      <c r="AK12" s="20">
        <f t="shared" si="6"/>
        <v>19</v>
      </c>
      <c r="AL12" s="20">
        <f t="shared" si="7"/>
        <v>12.9</v>
      </c>
      <c r="AM12" s="20">
        <f t="shared" si="8"/>
        <v>22.95</v>
      </c>
      <c r="AN12" s="20">
        <f t="shared" si="9"/>
        <v>29.35</v>
      </c>
      <c r="AO12" s="20">
        <f t="shared" si="10"/>
        <v>13.4</v>
      </c>
      <c r="AP12" s="20">
        <f t="shared" si="11"/>
        <v>14.9</v>
      </c>
      <c r="AQ12" s="20">
        <f t="shared" si="12"/>
        <v>35.35</v>
      </c>
      <c r="AR12" s="20">
        <f t="shared" si="13"/>
        <v>53.550000000000004</v>
      </c>
      <c r="AS12" s="35">
        <f t="shared" si="30"/>
        <v>269.10000000000002</v>
      </c>
      <c r="AU12" s="47">
        <v>415015</v>
      </c>
      <c r="AV12" s="37">
        <f t="shared" si="31"/>
        <v>1809</v>
      </c>
      <c r="AW12" s="35">
        <f t="shared" si="14"/>
        <v>3.6179999999999999</v>
      </c>
    </row>
    <row r="13" spans="1:49" x14ac:dyDescent="0.25">
      <c r="A13" s="23">
        <v>44537</v>
      </c>
      <c r="B13" s="40">
        <v>109</v>
      </c>
      <c r="C13" s="24">
        <v>7451160</v>
      </c>
      <c r="D13" s="24">
        <v>17663140</v>
      </c>
      <c r="E13" s="24">
        <v>3158070</v>
      </c>
      <c r="F13" s="24">
        <v>3799290</v>
      </c>
      <c r="G13" s="24">
        <v>11171050</v>
      </c>
      <c r="H13" s="24">
        <v>6182660</v>
      </c>
      <c r="I13" s="24">
        <v>5513890</v>
      </c>
      <c r="J13" s="24">
        <v>6704590</v>
      </c>
      <c r="K13" s="24">
        <v>10172750</v>
      </c>
      <c r="L13" s="24">
        <v>4302890</v>
      </c>
      <c r="M13" s="24">
        <v>8464360</v>
      </c>
      <c r="N13" s="24">
        <v>13331580</v>
      </c>
      <c r="O13" s="24">
        <v>18483740</v>
      </c>
      <c r="Q13" s="37">
        <f t="shared" si="17"/>
        <v>550</v>
      </c>
      <c r="R13" s="37">
        <f t="shared" si="18"/>
        <v>9800</v>
      </c>
      <c r="S13" s="37">
        <f t="shared" si="16"/>
        <v>0</v>
      </c>
      <c r="T13" s="37">
        <f t="shared" si="32"/>
        <v>1290</v>
      </c>
      <c r="U13" s="37">
        <f t="shared" si="32"/>
        <v>4440</v>
      </c>
      <c r="V13" s="37">
        <f t="shared" si="32"/>
        <v>3740</v>
      </c>
      <c r="W13" s="37">
        <f t="shared" si="32"/>
        <v>2470</v>
      </c>
      <c r="X13" s="37">
        <f t="shared" si="23"/>
        <v>4810</v>
      </c>
      <c r="Y13" s="37">
        <f t="shared" si="24"/>
        <v>5880</v>
      </c>
      <c r="Z13" s="37">
        <f>IF((L13-L12&lt;0), "0",L13-L12)</f>
        <v>2540</v>
      </c>
      <c r="AA13" s="37">
        <f t="shared" si="26"/>
        <v>3060</v>
      </c>
      <c r="AB13" s="37">
        <f t="shared" si="27"/>
        <v>7080</v>
      </c>
      <c r="AC13" s="37">
        <f t="shared" si="28"/>
        <v>9970</v>
      </c>
      <c r="AD13" s="35">
        <f t="shared" si="29"/>
        <v>55630</v>
      </c>
      <c r="AF13" s="20">
        <f t="shared" si="1"/>
        <v>2.75</v>
      </c>
      <c r="AG13" s="20">
        <f t="shared" si="2"/>
        <v>49</v>
      </c>
      <c r="AH13" s="20">
        <f t="shared" si="3"/>
        <v>0</v>
      </c>
      <c r="AI13" s="20">
        <f t="shared" si="4"/>
        <v>6.45</v>
      </c>
      <c r="AJ13" s="20">
        <f t="shared" si="5"/>
        <v>22.2</v>
      </c>
      <c r="AK13" s="20">
        <f t="shared" si="6"/>
        <v>18.7</v>
      </c>
      <c r="AL13" s="20">
        <f t="shared" si="7"/>
        <v>12.35</v>
      </c>
      <c r="AM13" s="20">
        <f t="shared" si="8"/>
        <v>24.05</v>
      </c>
      <c r="AN13" s="20">
        <f t="shared" si="9"/>
        <v>29.400000000000002</v>
      </c>
      <c r="AO13" s="20">
        <f t="shared" si="10"/>
        <v>12.700000000000001</v>
      </c>
      <c r="AP13" s="20">
        <f t="shared" si="11"/>
        <v>15.3</v>
      </c>
      <c r="AQ13" s="20">
        <f t="shared" si="12"/>
        <v>35.4</v>
      </c>
      <c r="AR13" s="20">
        <f t="shared" si="13"/>
        <v>49.85</v>
      </c>
      <c r="AS13" s="35">
        <f t="shared" si="30"/>
        <v>278.15000000000003</v>
      </c>
      <c r="AU13" s="47">
        <v>416604</v>
      </c>
      <c r="AV13" s="37">
        <f t="shared" si="31"/>
        <v>1589</v>
      </c>
      <c r="AW13" s="35">
        <f t="shared" si="14"/>
        <v>3.1779999999999999</v>
      </c>
    </row>
    <row r="14" spans="1:49" x14ac:dyDescent="0.25">
      <c r="A14" s="23">
        <v>44538</v>
      </c>
      <c r="B14" s="40">
        <v>145</v>
      </c>
      <c r="C14" s="24">
        <v>7451750</v>
      </c>
      <c r="D14" s="24">
        <v>17666340</v>
      </c>
      <c r="E14" s="24">
        <v>3160570</v>
      </c>
      <c r="F14" s="24">
        <v>3800830</v>
      </c>
      <c r="G14" s="24">
        <v>11175810</v>
      </c>
      <c r="H14" s="24">
        <v>6186490</v>
      </c>
      <c r="I14" s="24">
        <v>5516490</v>
      </c>
      <c r="J14" s="24">
        <v>6709470</v>
      </c>
      <c r="K14" s="24">
        <v>10178690</v>
      </c>
      <c r="L14" s="24">
        <v>4305650</v>
      </c>
      <c r="M14" s="24">
        <v>8467600</v>
      </c>
      <c r="N14" s="24">
        <v>13338990</v>
      </c>
      <c r="O14" s="24">
        <v>18493930</v>
      </c>
      <c r="P14" s="53"/>
      <c r="Q14" s="37">
        <f t="shared" si="17"/>
        <v>590</v>
      </c>
      <c r="R14" s="37">
        <f t="shared" si="18"/>
        <v>3200</v>
      </c>
      <c r="S14" s="37">
        <f t="shared" si="16"/>
        <v>2500</v>
      </c>
      <c r="T14" s="37">
        <f t="shared" si="32"/>
        <v>1540</v>
      </c>
      <c r="U14" s="37">
        <f t="shared" si="32"/>
        <v>4760</v>
      </c>
      <c r="V14" s="37">
        <f t="shared" si="32"/>
        <v>3830</v>
      </c>
      <c r="W14" s="37">
        <f t="shared" si="32"/>
        <v>2600</v>
      </c>
      <c r="X14" s="37">
        <f t="shared" si="23"/>
        <v>4880</v>
      </c>
      <c r="Y14" s="37">
        <f t="shared" si="24"/>
        <v>5940</v>
      </c>
      <c r="Z14" s="37">
        <f>IF((L14-L13&lt;0), "0",L14-L13)</f>
        <v>2760</v>
      </c>
      <c r="AA14" s="37">
        <f t="shared" si="26"/>
        <v>3240</v>
      </c>
      <c r="AB14" s="37">
        <f t="shared" si="27"/>
        <v>7410</v>
      </c>
      <c r="AC14" s="37">
        <f t="shared" si="28"/>
        <v>10190</v>
      </c>
      <c r="AD14" s="35">
        <f t="shared" si="29"/>
        <v>53440</v>
      </c>
      <c r="AF14" s="20">
        <f t="shared" si="1"/>
        <v>2.95</v>
      </c>
      <c r="AG14" s="20">
        <f t="shared" si="2"/>
        <v>16</v>
      </c>
      <c r="AH14" s="20">
        <f t="shared" si="3"/>
        <v>12.5</v>
      </c>
      <c r="AI14" s="20">
        <f t="shared" si="4"/>
        <v>7.7</v>
      </c>
      <c r="AJ14" s="20">
        <f t="shared" si="5"/>
        <v>23.8</v>
      </c>
      <c r="AK14" s="20">
        <f t="shared" si="6"/>
        <v>19.150000000000002</v>
      </c>
      <c r="AL14" s="20">
        <f t="shared" si="7"/>
        <v>13</v>
      </c>
      <c r="AM14" s="20">
        <f t="shared" si="8"/>
        <v>24.400000000000002</v>
      </c>
      <c r="AN14" s="20">
        <f t="shared" si="9"/>
        <v>29.7</v>
      </c>
      <c r="AO14" s="20">
        <f t="shared" si="10"/>
        <v>13.8</v>
      </c>
      <c r="AP14" s="20">
        <f t="shared" si="11"/>
        <v>16.2</v>
      </c>
      <c r="AQ14" s="20">
        <f t="shared" si="12"/>
        <v>37.050000000000004</v>
      </c>
      <c r="AR14" s="20">
        <f t="shared" si="13"/>
        <v>50.95</v>
      </c>
      <c r="AS14" s="35">
        <f t="shared" si="30"/>
        <v>267.20000000000005</v>
      </c>
      <c r="AU14" s="47">
        <v>418671</v>
      </c>
      <c r="AV14" s="37">
        <f t="shared" si="31"/>
        <v>2067</v>
      </c>
      <c r="AW14" s="35">
        <f t="shared" si="14"/>
        <v>4.1340000000000003</v>
      </c>
    </row>
    <row r="15" spans="1:49" x14ac:dyDescent="0.25">
      <c r="A15" s="23">
        <v>44539</v>
      </c>
      <c r="B15" s="40">
        <v>181</v>
      </c>
      <c r="C15" s="24">
        <v>7452330</v>
      </c>
      <c r="D15" s="24">
        <v>17668190</v>
      </c>
      <c r="E15" s="24">
        <v>3163490</v>
      </c>
      <c r="F15" s="24">
        <v>3802220</v>
      </c>
      <c r="G15" s="24">
        <v>11180610</v>
      </c>
      <c r="H15" s="24">
        <v>6190440</v>
      </c>
      <c r="I15" s="24">
        <v>5519180</v>
      </c>
      <c r="J15" s="24">
        <v>6714210</v>
      </c>
      <c r="K15" s="24">
        <v>10184800</v>
      </c>
      <c r="L15" s="24">
        <v>4308480</v>
      </c>
      <c r="M15" s="24">
        <v>8471040</v>
      </c>
      <c r="N15" s="24">
        <v>13346300</v>
      </c>
      <c r="O15" s="24">
        <v>18503900</v>
      </c>
      <c r="Q15" s="37">
        <f t="shared" si="17"/>
        <v>580</v>
      </c>
      <c r="R15" s="37">
        <f t="shared" si="18"/>
        <v>1850</v>
      </c>
      <c r="S15" s="37">
        <f t="shared" si="16"/>
        <v>2920</v>
      </c>
      <c r="T15" s="37">
        <f t="shared" si="19"/>
        <v>1390</v>
      </c>
      <c r="U15" s="37">
        <f t="shared" si="20"/>
        <v>4800</v>
      </c>
      <c r="V15" s="37">
        <f t="shared" si="21"/>
        <v>3950</v>
      </c>
      <c r="W15" s="37">
        <f t="shared" si="22"/>
        <v>2690</v>
      </c>
      <c r="X15" s="37">
        <f t="shared" si="23"/>
        <v>4740</v>
      </c>
      <c r="Y15" s="37">
        <f t="shared" si="24"/>
        <v>6110</v>
      </c>
      <c r="Z15" s="37">
        <f t="shared" si="25"/>
        <v>2830</v>
      </c>
      <c r="AA15" s="37">
        <f t="shared" si="26"/>
        <v>3440</v>
      </c>
      <c r="AB15" s="37">
        <f t="shared" si="27"/>
        <v>7310</v>
      </c>
      <c r="AC15" s="37">
        <f t="shared" si="28"/>
        <v>9970</v>
      </c>
      <c r="AD15" s="35">
        <f t="shared" si="29"/>
        <v>52580</v>
      </c>
      <c r="AF15" s="20">
        <f t="shared" si="1"/>
        <v>2.9</v>
      </c>
      <c r="AG15" s="20">
        <f t="shared" si="2"/>
        <v>9.25</v>
      </c>
      <c r="AH15" s="20">
        <f t="shared" si="3"/>
        <v>14.6</v>
      </c>
      <c r="AI15" s="20">
        <f t="shared" si="4"/>
        <v>6.95</v>
      </c>
      <c r="AJ15" s="20">
        <f t="shared" si="5"/>
        <v>24</v>
      </c>
      <c r="AK15" s="20">
        <f t="shared" si="6"/>
        <v>19.75</v>
      </c>
      <c r="AL15" s="20">
        <f t="shared" si="7"/>
        <v>13.450000000000001</v>
      </c>
      <c r="AM15" s="20">
        <f t="shared" si="8"/>
        <v>23.7</v>
      </c>
      <c r="AN15" s="20">
        <f t="shared" si="9"/>
        <v>30.55</v>
      </c>
      <c r="AO15" s="20">
        <f t="shared" si="10"/>
        <v>14.15</v>
      </c>
      <c r="AP15" s="20">
        <f t="shared" si="11"/>
        <v>17.2</v>
      </c>
      <c r="AQ15" s="20">
        <f t="shared" si="12"/>
        <v>36.550000000000004</v>
      </c>
      <c r="AR15" s="20">
        <f t="shared" si="13"/>
        <v>49.85</v>
      </c>
      <c r="AS15" s="35">
        <f t="shared" si="30"/>
        <v>262.90000000000003</v>
      </c>
      <c r="AU15" s="47">
        <v>420562</v>
      </c>
      <c r="AV15" s="37">
        <f t="shared" si="31"/>
        <v>1891</v>
      </c>
      <c r="AW15" s="35">
        <f t="shared" si="14"/>
        <v>3.782</v>
      </c>
    </row>
    <row r="16" spans="1:49" x14ac:dyDescent="0.25">
      <c r="A16" s="23">
        <v>44540</v>
      </c>
      <c r="B16" s="40">
        <v>220</v>
      </c>
      <c r="C16" s="24">
        <v>7452920</v>
      </c>
      <c r="D16" s="24">
        <v>17670080</v>
      </c>
      <c r="E16" s="24">
        <v>3166270</v>
      </c>
      <c r="F16" s="24">
        <v>3803640</v>
      </c>
      <c r="G16" s="24">
        <v>11185740</v>
      </c>
      <c r="H16" s="24">
        <v>6194750</v>
      </c>
      <c r="I16" s="24">
        <v>5521670</v>
      </c>
      <c r="J16" s="24">
        <v>6719170</v>
      </c>
      <c r="K16" s="24">
        <v>10191300</v>
      </c>
      <c r="L16" s="24">
        <v>4311410</v>
      </c>
      <c r="M16" s="24">
        <v>8474560</v>
      </c>
      <c r="N16" s="24">
        <v>13353550</v>
      </c>
      <c r="O16" s="24">
        <v>18514520</v>
      </c>
      <c r="Q16" s="37">
        <f t="shared" si="17"/>
        <v>590</v>
      </c>
      <c r="R16" s="37">
        <f t="shared" si="18"/>
        <v>1890</v>
      </c>
      <c r="S16" s="37">
        <f t="shared" si="16"/>
        <v>2780</v>
      </c>
      <c r="T16" s="37">
        <f t="shared" si="19"/>
        <v>1420</v>
      </c>
      <c r="U16" s="37">
        <f t="shared" si="20"/>
        <v>5130</v>
      </c>
      <c r="V16" s="37">
        <f t="shared" si="21"/>
        <v>4310</v>
      </c>
      <c r="W16" s="37">
        <f t="shared" si="22"/>
        <v>2490</v>
      </c>
      <c r="X16" s="37">
        <f t="shared" si="23"/>
        <v>4960</v>
      </c>
      <c r="Y16" s="37">
        <f t="shared" si="24"/>
        <v>6500</v>
      </c>
      <c r="Z16" s="37">
        <f t="shared" si="25"/>
        <v>2930</v>
      </c>
      <c r="AA16" s="37">
        <f t="shared" si="26"/>
        <v>3520</v>
      </c>
      <c r="AB16" s="37">
        <f t="shared" si="27"/>
        <v>7250</v>
      </c>
      <c r="AC16" s="37">
        <f t="shared" si="28"/>
        <v>10620</v>
      </c>
      <c r="AD16" s="35">
        <f t="shared" si="29"/>
        <v>54390</v>
      </c>
      <c r="AF16" s="20">
        <f t="shared" si="1"/>
        <v>2.95</v>
      </c>
      <c r="AG16" s="20">
        <f t="shared" si="2"/>
        <v>9.4500000000000011</v>
      </c>
      <c r="AH16" s="20">
        <f t="shared" si="3"/>
        <v>13.9</v>
      </c>
      <c r="AI16" s="20">
        <f t="shared" si="4"/>
        <v>7.1000000000000005</v>
      </c>
      <c r="AJ16" s="20">
        <f t="shared" si="5"/>
        <v>25.650000000000002</v>
      </c>
      <c r="AK16" s="20">
        <f t="shared" si="6"/>
        <v>21.55</v>
      </c>
      <c r="AL16" s="20">
        <f t="shared" si="7"/>
        <v>12.450000000000001</v>
      </c>
      <c r="AM16" s="20">
        <f t="shared" si="8"/>
        <v>24.8</v>
      </c>
      <c r="AN16" s="20">
        <f t="shared" si="9"/>
        <v>32.5</v>
      </c>
      <c r="AO16" s="20">
        <f t="shared" si="10"/>
        <v>14.65</v>
      </c>
      <c r="AP16" s="20">
        <f t="shared" si="11"/>
        <v>17.600000000000001</v>
      </c>
      <c r="AQ16" s="20">
        <f t="shared" si="12"/>
        <v>36.25</v>
      </c>
      <c r="AR16" s="20">
        <f t="shared" si="13"/>
        <v>53.1</v>
      </c>
      <c r="AS16" s="35">
        <f t="shared" si="30"/>
        <v>271.95000000000005</v>
      </c>
      <c r="AU16" s="47">
        <v>422301</v>
      </c>
      <c r="AV16" s="37">
        <f t="shared" si="31"/>
        <v>1739</v>
      </c>
      <c r="AW16" s="35">
        <f t="shared" si="14"/>
        <v>3.4780000000000002</v>
      </c>
    </row>
    <row r="17" spans="1:49" x14ac:dyDescent="0.25">
      <c r="A17" s="23">
        <v>44541</v>
      </c>
      <c r="B17" s="40">
        <v>90</v>
      </c>
      <c r="C17" s="24">
        <v>7453500</v>
      </c>
      <c r="D17" s="24">
        <v>17671930</v>
      </c>
      <c r="E17" s="24">
        <v>3168900</v>
      </c>
      <c r="F17" s="24">
        <v>3805030</v>
      </c>
      <c r="G17" s="24">
        <v>11190630</v>
      </c>
      <c r="H17" s="24">
        <v>6198770</v>
      </c>
      <c r="I17" s="24">
        <v>5524180</v>
      </c>
      <c r="J17" s="24">
        <v>6724150</v>
      </c>
      <c r="K17" s="24">
        <v>10197660</v>
      </c>
      <c r="L17" s="24">
        <v>4314100</v>
      </c>
      <c r="M17" s="24">
        <v>8477780</v>
      </c>
      <c r="N17" s="24">
        <v>13360690</v>
      </c>
      <c r="O17" s="24">
        <v>18525180</v>
      </c>
      <c r="Q17" s="37">
        <f t="shared" si="17"/>
        <v>580</v>
      </c>
      <c r="R17" s="37">
        <f t="shared" si="18"/>
        <v>1850</v>
      </c>
      <c r="S17" s="37">
        <f t="shared" si="16"/>
        <v>2630</v>
      </c>
      <c r="T17" s="37">
        <f t="shared" si="19"/>
        <v>1390</v>
      </c>
      <c r="U17" s="37">
        <f t="shared" si="20"/>
        <v>4890</v>
      </c>
      <c r="V17" s="37">
        <f t="shared" si="21"/>
        <v>4020</v>
      </c>
      <c r="W17" s="37">
        <f t="shared" si="22"/>
        <v>2510</v>
      </c>
      <c r="X17" s="37">
        <f t="shared" si="23"/>
        <v>4980</v>
      </c>
      <c r="Y17" s="37">
        <f t="shared" si="24"/>
        <v>6360</v>
      </c>
      <c r="Z17" s="37">
        <f t="shared" si="25"/>
        <v>2690</v>
      </c>
      <c r="AA17" s="37">
        <f t="shared" si="26"/>
        <v>3220</v>
      </c>
      <c r="AB17" s="37">
        <f t="shared" si="27"/>
        <v>7140</v>
      </c>
      <c r="AC17" s="37">
        <f t="shared" si="28"/>
        <v>10660</v>
      </c>
      <c r="AD17" s="35">
        <f t="shared" si="29"/>
        <v>52920</v>
      </c>
      <c r="AF17" s="20">
        <f t="shared" si="1"/>
        <v>2.9</v>
      </c>
      <c r="AG17" s="20">
        <f t="shared" si="2"/>
        <v>9.25</v>
      </c>
      <c r="AH17" s="20">
        <f t="shared" si="3"/>
        <v>13.15</v>
      </c>
      <c r="AI17" s="20">
        <f t="shared" si="4"/>
        <v>6.95</v>
      </c>
      <c r="AJ17" s="20">
        <f t="shared" si="5"/>
        <v>24.45</v>
      </c>
      <c r="AK17" s="20">
        <f t="shared" si="6"/>
        <v>20.100000000000001</v>
      </c>
      <c r="AL17" s="20">
        <f t="shared" si="7"/>
        <v>12.55</v>
      </c>
      <c r="AM17" s="20">
        <f t="shared" si="8"/>
        <v>24.900000000000002</v>
      </c>
      <c r="AN17" s="20">
        <f t="shared" si="9"/>
        <v>31.8</v>
      </c>
      <c r="AO17" s="20">
        <f t="shared" si="10"/>
        <v>13.450000000000001</v>
      </c>
      <c r="AP17" s="20">
        <f t="shared" si="11"/>
        <v>16.100000000000001</v>
      </c>
      <c r="AQ17" s="20">
        <f t="shared" si="12"/>
        <v>35.700000000000003</v>
      </c>
      <c r="AR17" s="20">
        <f t="shared" si="13"/>
        <v>53.300000000000004</v>
      </c>
      <c r="AS17" s="35">
        <f t="shared" si="30"/>
        <v>264.60000000000002</v>
      </c>
      <c r="AU17" s="47">
        <v>424403</v>
      </c>
      <c r="AV17" s="37">
        <f t="shared" si="31"/>
        <v>2102</v>
      </c>
      <c r="AW17" s="35">
        <f t="shared" si="14"/>
        <v>4.2039999999999997</v>
      </c>
    </row>
    <row r="18" spans="1:49" x14ac:dyDescent="0.25">
      <c r="A18" s="23">
        <v>44542</v>
      </c>
      <c r="B18" s="40">
        <v>95</v>
      </c>
      <c r="C18" s="24">
        <v>7454100</v>
      </c>
      <c r="D18" s="24">
        <v>17673870</v>
      </c>
      <c r="E18" s="24">
        <v>3171510</v>
      </c>
      <c r="F18" s="24">
        <v>3806440</v>
      </c>
      <c r="G18" s="24">
        <v>11195710</v>
      </c>
      <c r="H18" s="24">
        <v>6203000</v>
      </c>
      <c r="I18" s="24">
        <v>5526890</v>
      </c>
      <c r="J18" s="24">
        <v>6729010</v>
      </c>
      <c r="K18" s="24">
        <v>10204020</v>
      </c>
      <c r="L18" s="24">
        <v>4316670</v>
      </c>
      <c r="M18" s="24">
        <v>8481150</v>
      </c>
      <c r="N18" s="24">
        <v>13368020</v>
      </c>
      <c r="O18" s="24">
        <v>18534780</v>
      </c>
      <c r="Q18" s="37">
        <f t="shared" si="17"/>
        <v>600</v>
      </c>
      <c r="R18" s="37">
        <f t="shared" si="18"/>
        <v>1940</v>
      </c>
      <c r="S18" s="37">
        <f t="shared" si="16"/>
        <v>2610</v>
      </c>
      <c r="T18" s="37">
        <f t="shared" si="19"/>
        <v>1410</v>
      </c>
      <c r="U18" s="37">
        <f t="shared" si="20"/>
        <v>5080</v>
      </c>
      <c r="V18" s="37">
        <f t="shared" si="21"/>
        <v>4230</v>
      </c>
      <c r="W18" s="37">
        <f t="shared" si="22"/>
        <v>2710</v>
      </c>
      <c r="X18" s="37">
        <f t="shared" si="23"/>
        <v>4860</v>
      </c>
      <c r="Y18" s="37">
        <f t="shared" si="24"/>
        <v>6360</v>
      </c>
      <c r="Z18" s="37">
        <f t="shared" si="25"/>
        <v>2570</v>
      </c>
      <c r="AA18" s="37">
        <f t="shared" si="26"/>
        <v>3370</v>
      </c>
      <c r="AB18" s="37">
        <f t="shared" si="27"/>
        <v>7330</v>
      </c>
      <c r="AC18" s="37">
        <f t="shared" si="28"/>
        <v>9600</v>
      </c>
      <c r="AD18" s="35">
        <f t="shared" si="29"/>
        <v>52670</v>
      </c>
      <c r="AF18" s="20">
        <f t="shared" si="1"/>
        <v>3</v>
      </c>
      <c r="AG18" s="20">
        <f t="shared" si="2"/>
        <v>9.7000000000000011</v>
      </c>
      <c r="AH18" s="20">
        <f t="shared" si="3"/>
        <v>13.05</v>
      </c>
      <c r="AI18" s="20">
        <f t="shared" si="4"/>
        <v>7.05</v>
      </c>
      <c r="AJ18" s="20">
        <f t="shared" si="5"/>
        <v>25.400000000000002</v>
      </c>
      <c r="AK18" s="20">
        <f t="shared" si="6"/>
        <v>21.150000000000002</v>
      </c>
      <c r="AL18" s="20">
        <f t="shared" si="7"/>
        <v>13.55</v>
      </c>
      <c r="AM18" s="20">
        <f t="shared" si="8"/>
        <v>24.3</v>
      </c>
      <c r="AN18" s="20">
        <f t="shared" si="9"/>
        <v>31.8</v>
      </c>
      <c r="AO18" s="20">
        <f t="shared" si="10"/>
        <v>12.85</v>
      </c>
      <c r="AP18" s="20">
        <f t="shared" si="11"/>
        <v>16.850000000000001</v>
      </c>
      <c r="AQ18" s="20">
        <f t="shared" si="12"/>
        <v>36.65</v>
      </c>
      <c r="AR18" s="20">
        <f t="shared" si="13"/>
        <v>48</v>
      </c>
      <c r="AS18" s="35">
        <f t="shared" si="30"/>
        <v>263.35000000000002</v>
      </c>
      <c r="AU18" s="47">
        <v>426422</v>
      </c>
      <c r="AV18" s="37">
        <f t="shared" si="31"/>
        <v>2019</v>
      </c>
      <c r="AW18" s="35">
        <f t="shared" si="14"/>
        <v>4.0380000000000003</v>
      </c>
    </row>
    <row r="19" spans="1:49" x14ac:dyDescent="0.25">
      <c r="A19" s="23">
        <v>44543</v>
      </c>
      <c r="B19" s="40">
        <v>95</v>
      </c>
      <c r="C19" s="24">
        <v>7454670</v>
      </c>
      <c r="D19" s="24">
        <v>17675680</v>
      </c>
      <c r="E19" s="24">
        <v>3173950</v>
      </c>
      <c r="F19" s="24">
        <v>3807770</v>
      </c>
      <c r="G19" s="24">
        <v>11200350</v>
      </c>
      <c r="H19" s="24">
        <v>6206920</v>
      </c>
      <c r="I19" s="24">
        <v>5529240</v>
      </c>
      <c r="J19" s="24">
        <v>6734140</v>
      </c>
      <c r="K19" s="24">
        <v>10210034</v>
      </c>
      <c r="L19" s="24">
        <v>4319100</v>
      </c>
      <c r="M19" s="24">
        <v>8484290</v>
      </c>
      <c r="N19" s="24">
        <v>13374840</v>
      </c>
      <c r="O19" s="24">
        <v>18543971</v>
      </c>
      <c r="Q19" s="37">
        <f t="shared" si="17"/>
        <v>570</v>
      </c>
      <c r="R19" s="37">
        <f t="shared" si="18"/>
        <v>1810</v>
      </c>
      <c r="S19" s="37">
        <f t="shared" si="16"/>
        <v>2440</v>
      </c>
      <c r="T19" s="37">
        <f t="shared" si="19"/>
        <v>1330</v>
      </c>
      <c r="U19" s="37">
        <f t="shared" si="20"/>
        <v>4640</v>
      </c>
      <c r="V19" s="37">
        <f t="shared" si="21"/>
        <v>3920</v>
      </c>
      <c r="W19" s="37">
        <f t="shared" si="22"/>
        <v>2350</v>
      </c>
      <c r="X19" s="37">
        <f t="shared" si="23"/>
        <v>5130</v>
      </c>
      <c r="Y19" s="37">
        <f t="shared" si="24"/>
        <v>6014</v>
      </c>
      <c r="Z19" s="37">
        <f t="shared" si="25"/>
        <v>2430</v>
      </c>
      <c r="AA19" s="37">
        <f t="shared" si="26"/>
        <v>3140</v>
      </c>
      <c r="AB19" s="37">
        <f t="shared" si="27"/>
        <v>6820</v>
      </c>
      <c r="AC19" s="37">
        <f t="shared" si="28"/>
        <v>9191</v>
      </c>
      <c r="AD19" s="35">
        <f t="shared" si="29"/>
        <v>49785</v>
      </c>
      <c r="AF19" s="20">
        <f t="shared" si="1"/>
        <v>2.85</v>
      </c>
      <c r="AG19" s="20">
        <f t="shared" si="2"/>
        <v>9.0500000000000007</v>
      </c>
      <c r="AH19" s="20">
        <f t="shared" si="3"/>
        <v>12.200000000000001</v>
      </c>
      <c r="AI19" s="20">
        <f t="shared" si="4"/>
        <v>6.65</v>
      </c>
      <c r="AJ19" s="20">
        <f t="shared" si="5"/>
        <v>23.2</v>
      </c>
      <c r="AK19" s="20">
        <f t="shared" si="6"/>
        <v>19.600000000000001</v>
      </c>
      <c r="AL19" s="20">
        <f t="shared" si="7"/>
        <v>11.75</v>
      </c>
      <c r="AM19" s="20">
        <f t="shared" si="8"/>
        <v>25.650000000000002</v>
      </c>
      <c r="AN19" s="20">
        <f t="shared" si="9"/>
        <v>30.07</v>
      </c>
      <c r="AO19" s="20">
        <f t="shared" si="10"/>
        <v>12.15</v>
      </c>
      <c r="AP19" s="20">
        <f t="shared" si="11"/>
        <v>15.700000000000001</v>
      </c>
      <c r="AQ19" s="20">
        <f t="shared" si="12"/>
        <v>34.1</v>
      </c>
      <c r="AR19" s="20">
        <f t="shared" si="13"/>
        <v>45.954999999999998</v>
      </c>
      <c r="AS19" s="35">
        <f t="shared" si="30"/>
        <v>248.92500000000001</v>
      </c>
      <c r="AU19" s="47">
        <v>428380</v>
      </c>
      <c r="AV19" s="37">
        <f t="shared" si="31"/>
        <v>1958</v>
      </c>
      <c r="AW19" s="35">
        <f t="shared" si="14"/>
        <v>3.9159999999999999</v>
      </c>
    </row>
    <row r="20" spans="1:49" x14ac:dyDescent="0.25">
      <c r="A20" s="23">
        <v>44544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 t="str">
        <f t="shared" si="17"/>
        <v>0</v>
      </c>
      <c r="R20" s="37" t="str">
        <f t="shared" si="18"/>
        <v>0</v>
      </c>
      <c r="S20" s="37" t="str">
        <f t="shared" si="16"/>
        <v>0</v>
      </c>
      <c r="T20" s="37" t="str">
        <f t="shared" si="19"/>
        <v>0</v>
      </c>
      <c r="U20" s="37" t="str">
        <f t="shared" si="20"/>
        <v>0</v>
      </c>
      <c r="V20" s="37" t="str">
        <f t="shared" si="21"/>
        <v>0</v>
      </c>
      <c r="W20" s="37" t="str">
        <f t="shared" si="22"/>
        <v>0</v>
      </c>
      <c r="X20" s="37" t="str">
        <f t="shared" si="23"/>
        <v>0</v>
      </c>
      <c r="Y20" s="37" t="str">
        <f t="shared" si="24"/>
        <v>0</v>
      </c>
      <c r="Z20" s="37" t="str">
        <f t="shared" si="25"/>
        <v>0</v>
      </c>
      <c r="AA20" s="37" t="str">
        <f t="shared" si="26"/>
        <v>0</v>
      </c>
      <c r="AB20" s="37" t="str">
        <f t="shared" si="27"/>
        <v>0</v>
      </c>
      <c r="AC20" s="37" t="str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 t="str">
        <f t="shared" si="31"/>
        <v>0</v>
      </c>
      <c r="AW20" s="35">
        <f t="shared" si="14"/>
        <v>0</v>
      </c>
    </row>
    <row r="21" spans="1:49" x14ac:dyDescent="0.25">
      <c r="A21" s="23">
        <v>44545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44546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44547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44558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8140</v>
      </c>
      <c r="R38" s="38">
        <f t="shared" ref="R38:AD38" si="62">SUM(R7:R37)</f>
        <v>35630</v>
      </c>
      <c r="S38" s="38">
        <f t="shared" si="62"/>
        <v>30670</v>
      </c>
      <c r="T38" s="38">
        <f t="shared" si="62"/>
        <v>18010</v>
      </c>
      <c r="U38" s="38">
        <f t="shared" si="62"/>
        <v>62080</v>
      </c>
      <c r="V38" s="38">
        <f t="shared" si="62"/>
        <v>51140</v>
      </c>
      <c r="W38" s="38">
        <f t="shared" si="62"/>
        <v>32490</v>
      </c>
      <c r="X38" s="38">
        <f t="shared" si="62"/>
        <v>60930</v>
      </c>
      <c r="Y38" s="38">
        <f t="shared" si="62"/>
        <v>76144</v>
      </c>
      <c r="Z38" s="38">
        <f t="shared" si="62"/>
        <v>34220</v>
      </c>
      <c r="AA38" s="38">
        <f t="shared" si="62"/>
        <v>41470</v>
      </c>
      <c r="AB38" s="38">
        <f t="shared" si="62"/>
        <v>90640</v>
      </c>
      <c r="AC38" s="38">
        <f t="shared" si="62"/>
        <v>137361</v>
      </c>
      <c r="AD38" s="38">
        <f t="shared" si="62"/>
        <v>678925</v>
      </c>
      <c r="AF38" s="35">
        <f>SUM(AF7:AF37)</f>
        <v>40.700000000000003</v>
      </c>
      <c r="AG38" s="35">
        <f t="shared" ref="AG38:AS38" si="63">SUM(AG7:AG37)</f>
        <v>178.14999999999998</v>
      </c>
      <c r="AH38" s="35">
        <f t="shared" si="63"/>
        <v>153.35</v>
      </c>
      <c r="AI38" s="35">
        <f t="shared" si="63"/>
        <v>90.050000000000011</v>
      </c>
      <c r="AJ38" s="35">
        <f t="shared" si="63"/>
        <v>310.39999999999998</v>
      </c>
      <c r="AK38" s="35">
        <f t="shared" si="63"/>
        <v>255.70000000000002</v>
      </c>
      <c r="AL38" s="35">
        <f t="shared" si="63"/>
        <v>162.45000000000002</v>
      </c>
      <c r="AM38" s="35">
        <f t="shared" si="63"/>
        <v>304.64999999999998</v>
      </c>
      <c r="AN38" s="35">
        <f t="shared" si="63"/>
        <v>380.71999999999997</v>
      </c>
      <c r="AO38" s="35">
        <f t="shared" si="63"/>
        <v>171.1</v>
      </c>
      <c r="AP38" s="35">
        <f t="shared" si="63"/>
        <v>207.34999999999997</v>
      </c>
      <c r="AQ38" s="35">
        <f t="shared" si="63"/>
        <v>453.20000000000005</v>
      </c>
      <c r="AR38" s="35">
        <f t="shared" si="63"/>
        <v>686.80500000000006</v>
      </c>
      <c r="AS38" s="35">
        <f t="shared" si="63"/>
        <v>3394.6250000000009</v>
      </c>
      <c r="AU38" s="48"/>
      <c r="AV38" s="35">
        <f>SUM(AV7:AV34)</f>
        <v>24849</v>
      </c>
      <c r="AW38" s="35">
        <f>SUM(AW7:AW34)</f>
        <v>49.697999999999993</v>
      </c>
    </row>
    <row r="39" spans="1:49" x14ac:dyDescent="0.25">
      <c r="D39">
        <v>5.0000000000000001E-3</v>
      </c>
      <c r="AV39" s="36">
        <f>AV38*0.00378541*1000</f>
        <v>94063.653090000007</v>
      </c>
    </row>
    <row r="40" spans="1:49" x14ac:dyDescent="0.25">
      <c r="D40">
        <v>2E-3</v>
      </c>
      <c r="AV40">
        <f>AV39/31</f>
        <v>3034.3113900000003</v>
      </c>
    </row>
    <row r="41" spans="1:49" x14ac:dyDescent="0.25">
      <c r="AV41">
        <f>AV38*0.00378541</f>
        <v>94.063653090000003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2021-12-14T22:02:29Z</dcterms:modified>
</cp:coreProperties>
</file>