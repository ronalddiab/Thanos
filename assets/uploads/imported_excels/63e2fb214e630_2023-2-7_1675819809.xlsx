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C:\Users\jose.pech\OneDrive - Four Seasons Hotels Limited\documentos 2023\energeticos\"/>
    </mc:Choice>
  </mc:AlternateContent>
  <xr:revisionPtr revIDLastSave="26" documentId="8_{A874EFC7-ACD6-41A5-A144-1BB2288D5D08}" xr6:coauthVersionLast="36" xr6:coauthVersionMax="36" xr10:uidLastSave="{3C417EB1-CF1C-4FFF-8B3F-0049474D53D1}"/>
  <bookViews>
    <workbookView xWindow="0" yWindow="0" windowWidth="28800" windowHeight="12225" xr2:uid="{00000000-000D-0000-FFFF-FFFF00000000}"/>
  </bookViews>
  <sheets>
    <sheet name="Monthly Data" sheetId="1" r:id="rId1"/>
  </sheets>
  <calcPr calcId="191029"/>
</workbook>
</file>

<file path=xl/calcChain.xml><?xml version="1.0" encoding="utf-8"?>
<calcChain xmlns="http://schemas.openxmlformats.org/spreadsheetml/2006/main">
  <c r="X63" i="1" l="1"/>
  <c r="X64" i="1"/>
  <c r="X65" i="1"/>
  <c r="X66" i="1"/>
  <c r="X67" i="1"/>
  <c r="X68" i="1"/>
  <c r="X69" i="1"/>
  <c r="X70" i="1"/>
  <c r="X71" i="1"/>
  <c r="X72" i="1"/>
  <c r="X73" i="1"/>
  <c r="X62" i="1"/>
  <c r="T64" i="1"/>
  <c r="T65" i="1"/>
  <c r="T66" i="1"/>
  <c r="T67" i="1"/>
  <c r="T68" i="1"/>
  <c r="T69" i="1"/>
  <c r="T70" i="1"/>
  <c r="T71" i="1"/>
  <c r="T72" i="1"/>
  <c r="T73" i="1"/>
  <c r="T63" i="1"/>
  <c r="T62" i="1"/>
  <c r="J63" i="1"/>
  <c r="J64" i="1"/>
  <c r="J65" i="1"/>
  <c r="J66" i="1"/>
  <c r="J67" i="1"/>
  <c r="J68" i="1"/>
  <c r="J69" i="1"/>
  <c r="J70" i="1"/>
  <c r="J71" i="1"/>
  <c r="J72" i="1"/>
  <c r="J73" i="1"/>
  <c r="J62" i="1"/>
  <c r="F63" i="1"/>
  <c r="F64" i="1"/>
  <c r="F65" i="1"/>
  <c r="F66" i="1"/>
  <c r="F67" i="1"/>
  <c r="F68" i="1"/>
  <c r="F69" i="1"/>
  <c r="F70" i="1"/>
  <c r="F71" i="1"/>
  <c r="F72" i="1"/>
  <c r="F73" i="1"/>
  <c r="F62" i="1"/>
  <c r="AD62" i="1" l="1"/>
  <c r="R62" i="1" l="1"/>
  <c r="AD61" i="1" l="1"/>
  <c r="AD60" i="1" l="1"/>
  <c r="R60" i="1" l="1"/>
  <c r="AD58" i="1" l="1"/>
  <c r="AD57" i="1" l="1"/>
  <c r="AD56" i="1" l="1"/>
  <c r="AD55" i="1" l="1"/>
  <c r="AD54" i="1" l="1"/>
  <c r="AD53" i="1" l="1"/>
  <c r="AD52" i="1" l="1"/>
  <c r="AD51" i="1" l="1"/>
  <c r="AD50" i="1" l="1"/>
  <c r="R26" i="1" l="1"/>
  <c r="R27" i="1"/>
  <c r="R28" i="1"/>
  <c r="R29" i="1"/>
  <c r="R30" i="1"/>
  <c r="R31" i="1"/>
  <c r="R32" i="1"/>
  <c r="R33" i="1"/>
  <c r="R34" i="1"/>
  <c r="R35" i="1"/>
  <c r="R36" i="1"/>
  <c r="R37" i="1"/>
  <c r="R39" i="1" l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1" i="1"/>
  <c r="R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tc={F787D419-3694-4549-9918-8B7B31B312A0}</author>
    <author>tc={8119A2D5-7693-43E0-ABE3-D38B0CAF7E23}</author>
    <author>tc={9C473CA5-FE86-416E-9D27-722A0E174AAE}</author>
    <author>Jose Pech</author>
  </authors>
  <commentList>
    <comment ref="E1" authorId="0" shapeId="0" xr:uid="{F787D419-3694-4549-9918-8B7B31B312A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Use your local currency tariff . Do not change labels</t>
        </r>
      </text>
    </comment>
    <comment ref="F1" authorId="1" shapeId="0" xr:uid="{8119A2D5-7693-43E0-ABE3-D38B0CAF7E23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You put here the consumption budgeted</t>
        </r>
      </text>
    </comment>
    <comment ref="G1" authorId="2" shapeId="0" xr:uid="{9C473CA5-FE86-416E-9D27-722A0E174AAE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You put here the Total budgeted Cost</t>
        </r>
      </text>
    </comment>
    <comment ref="L1" authorId="3" shapeId="0" xr:uid="{22982AE1-15B9-479E-93EE-2AD2E7857D17}">
      <text>
        <r>
          <rPr>
            <b/>
            <sz val="9"/>
            <color indexed="81"/>
            <rFont val="Tahoma"/>
            <family val="2"/>
          </rPr>
          <t>Jose Pech:</t>
        </r>
        <r>
          <rPr>
            <sz val="9"/>
            <color indexed="81"/>
            <rFont val="Tahoma"/>
            <family val="2"/>
          </rPr>
          <t xml:space="preserve">
 PROPANE</t>
        </r>
      </text>
    </comment>
  </commentList>
</comments>
</file>

<file path=xl/sharedStrings.xml><?xml version="1.0" encoding="utf-8"?>
<sst xmlns="http://schemas.openxmlformats.org/spreadsheetml/2006/main" count="290" uniqueCount="32">
  <si>
    <t>Month</t>
  </si>
  <si>
    <t>Year</t>
  </si>
  <si>
    <t>Purchased Electricity Kwh</t>
  </si>
  <si>
    <t>Water Utility Supply (m3) m3</t>
  </si>
  <si>
    <t>Water Utility Supply (m3) $/m3</t>
  </si>
  <si>
    <t>Water Total Budgeted</t>
  </si>
  <si>
    <t>Water Total Budgeted Cost ($)</t>
  </si>
  <si>
    <t>Room Nights</t>
  </si>
  <si>
    <t>Total Guests</t>
  </si>
  <si>
    <t xml:space="preserve"> </t>
  </si>
  <si>
    <t>Los Cabos</t>
  </si>
  <si>
    <t>FOREX</t>
  </si>
  <si>
    <t>Site Name</t>
  </si>
  <si>
    <t>Purchased Electricity Tariff ($/Kwh)</t>
  </si>
  <si>
    <t xml:space="preserve">Electricity Total Budgeted </t>
  </si>
  <si>
    <t xml:space="preserve">Electricity Total Budgeted Cost ($) </t>
  </si>
  <si>
    <t>LPG Total Budgeted</t>
  </si>
  <si>
    <t>LPG Total Budgeted Cost ($)</t>
  </si>
  <si>
    <t>LPG Kitchen (Liters)</t>
  </si>
  <si>
    <t>Food Covers</t>
  </si>
  <si>
    <t>Laundry Load</t>
  </si>
  <si>
    <t>LPG Hot-Water Boilers (Liters)</t>
  </si>
  <si>
    <t>Fuel Oil Total Budgeted</t>
  </si>
  <si>
    <t>Fuel Oil Total Budgeted Cost ($)</t>
  </si>
  <si>
    <t>LPG Total supply (liter)</t>
  </si>
  <si>
    <t>LPG  Total Supply  $/Liters</t>
  </si>
  <si>
    <t>LPG Steam Boilers (Liters)</t>
  </si>
  <si>
    <t>Fuel Oil Others (Liter) Liter</t>
  </si>
  <si>
    <t>Fuel Oil Others (Liter) $/Liter</t>
  </si>
  <si>
    <t>LPG Kitchen $/Liters</t>
  </si>
  <si>
    <t>LPG Hot-Water Boilers $/Liters</t>
  </si>
  <si>
    <t>LPG Steam Boilers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</si>
</sst>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$&quot;* #,##0.000_);_(&quot;$&quot;* \(#,##0.000\);_(&quot;$&quot;* &quot;-&quot;???_);_(@_)"/>
    <numFmt numFmtId="166" formatCode="0.0000"/>
    <numFmt numFmtId="167" formatCode="0.000"/>
  </numFmts>
  <fonts count="13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 applyFill="0" applyProtection="0"/>
    <xf numFmtId="44" fontId="5" fillId="0" borderId="0" applyFont="0" applyFill="0" applyBorder="0" applyAlignment="0" applyProtection="0"/>
    <xf numFmtId="0" fontId="4" fillId="0" borderId="0" applyFill="0" applyProtection="0"/>
    <xf numFmtId="44" fontId="4" fillId="0" borderId="0" applyFont="0" applyFill="0" applyBorder="0" applyAlignment="0" applyProtection="0"/>
    <xf numFmtId="164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7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0" xfId="0" applyFont="1" applyFill="1" applyProtection="1"/>
    <xf numFmtId="0" fontId="4" fillId="0" borderId="0" xfId="0" applyFont="1" applyFill="1" applyProtection="1"/>
    <xf numFmtId="0" fontId="0" fillId="0" borderId="0" xfId="0"/>
    <xf numFmtId="44" fontId="3" fillId="0" borderId="0" xfId="1" applyFont="1" applyFill="1" applyProtection="1"/>
    <xf numFmtId="3" fontId="3" fillId="0" borderId="0" xfId="0" applyNumberFormat="1" applyFont="1" applyFill="1" applyProtection="1"/>
    <xf numFmtId="3" fontId="4" fillId="0" borderId="0" xfId="0" applyNumberFormat="1" applyFont="1" applyFill="1" applyProtection="1"/>
    <xf numFmtId="0" fontId="4" fillId="0" borderId="0" xfId="2" applyFill="1" applyProtection="1"/>
    <xf numFmtId="0" fontId="1" fillId="0" borderId="0" xfId="2" applyFont="1" applyFill="1" applyAlignment="1" applyProtection="1">
      <alignment horizontal="center" vertical="center" wrapText="1"/>
    </xf>
    <xf numFmtId="0" fontId="4" fillId="0" borderId="0" xfId="2" applyFill="1" applyAlignment="1" applyProtection="1">
      <alignment horizontal="center"/>
    </xf>
    <xf numFmtId="0" fontId="9" fillId="0" borderId="1" xfId="0" applyFont="1" applyBorder="1" applyAlignment="1">
      <alignment horizontal="center" vertical="center"/>
    </xf>
    <xf numFmtId="1" fontId="0" fillId="0" borderId="0" xfId="0" applyNumberFormat="1" applyFill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4" applyNumberFormat="1" applyFont="1" applyAlignment="1">
      <alignment horizontal="center"/>
    </xf>
    <xf numFmtId="165" fontId="0" fillId="0" borderId="0" xfId="0" applyNumberFormat="1" applyFill="1" applyProtection="1"/>
    <xf numFmtId="1" fontId="3" fillId="0" borderId="0" xfId="0" applyNumberFormat="1" applyFont="1" applyAlignment="1">
      <alignment horizontal="center"/>
    </xf>
    <xf numFmtId="0" fontId="10" fillId="0" borderId="0" xfId="0" applyFont="1" applyFill="1" applyAlignment="1" applyProtection="1">
      <alignment horizontal="center" vertical="center" wrapText="1"/>
    </xf>
    <xf numFmtId="0" fontId="0" fillId="0" borderId="0" xfId="0" applyFill="1" applyProtection="1"/>
    <xf numFmtId="0" fontId="2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Protection="1"/>
    <xf numFmtId="166" fontId="4" fillId="0" borderId="0" xfId="0" applyNumberFormat="1" applyFont="1"/>
    <xf numFmtId="3" fontId="3" fillId="0" borderId="0" xfId="0" applyNumberFormat="1" applyFont="1" applyFill="1" applyProtection="1"/>
    <xf numFmtId="3" fontId="4" fillId="0" borderId="0" xfId="0" applyNumberFormat="1" applyFont="1" applyFill="1" applyProtection="1"/>
    <xf numFmtId="1" fontId="0" fillId="0" borderId="0" xfId="0" applyNumberFormat="1" applyAlignment="1">
      <alignment horizontal="center"/>
    </xf>
    <xf numFmtId="2" fontId="0" fillId="0" borderId="0" xfId="7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Protection="1"/>
    <xf numFmtId="0" fontId="4" fillId="0" borderId="0" xfId="2" applyFill="1" applyAlignment="1" applyProtection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67" fontId="0" fillId="0" borderId="0" xfId="4" applyNumberFormat="1" applyFont="1" applyFill="1" applyProtection="1"/>
    <xf numFmtId="167" fontId="0" fillId="0" borderId="0" xfId="0" applyNumberFormat="1" applyFill="1" applyAlignment="1" applyProtection="1">
      <alignment horizontal="center"/>
    </xf>
    <xf numFmtId="1" fontId="0" fillId="0" borderId="0" xfId="4" applyNumberFormat="1" applyFont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2" fontId="0" fillId="0" borderId="0" xfId="4" applyNumberFormat="1" applyFont="1" applyFill="1" applyAlignment="1" applyProtection="1">
      <alignment horizontal="center"/>
    </xf>
    <xf numFmtId="1" fontId="0" fillId="0" borderId="0" xfId="4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1" fontId="3" fillId="0" borderId="0" xfId="0" applyNumberFormat="1" applyFont="1" applyFill="1" applyAlignment="1" applyProtection="1">
      <alignment horizontal="center"/>
    </xf>
    <xf numFmtId="1" fontId="12" fillId="0" borderId="0" xfId="0" applyNumberFormat="1" applyFont="1" applyFill="1" applyBorder="1" applyAlignment="1">
      <alignment horizontal="center" vertical="top"/>
    </xf>
    <xf numFmtId="0" fontId="0" fillId="2" borderId="0" xfId="0" applyFill="1"/>
    <xf numFmtId="1" fontId="0" fillId="2" borderId="0" xfId="0" applyNumberFormat="1" applyFill="1"/>
    <xf numFmtId="1" fontId="0" fillId="2" borderId="0" xfId="0" applyNumberFormat="1" applyFill="1" applyAlignment="1" applyProtection="1">
      <alignment horizontal="center"/>
    </xf>
    <xf numFmtId="2" fontId="0" fillId="2" borderId="0" xfId="4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center"/>
    </xf>
    <xf numFmtId="1" fontId="12" fillId="2" borderId="0" xfId="0" applyNumberFormat="1" applyFont="1" applyFill="1" applyBorder="1" applyAlignment="1">
      <alignment horizontal="center" vertical="top"/>
    </xf>
    <xf numFmtId="2" fontId="0" fillId="2" borderId="0" xfId="0" applyNumberFormat="1" applyFill="1" applyAlignment="1" applyProtection="1">
      <alignment horizontal="center"/>
    </xf>
  </cellXfs>
  <cellStyles count="8">
    <cellStyle name="Comma" xfId="4" builtinId="3"/>
    <cellStyle name="Comma 2" xfId="7" xr:uid="{00000000-0005-0000-0000-000031000000}"/>
    <cellStyle name="Currency" xfId="1" builtinId="4"/>
    <cellStyle name="Currency 2" xfId="3" xr:uid="{E0E4AAA4-DBD1-4A15-AB5A-61D176179B50}"/>
    <cellStyle name="Currency 2 2" xfId="6" xr:uid="{E0E4AAA4-DBD1-4A15-AB5A-61D176179B50}"/>
    <cellStyle name="Currency 3" xfId="5" xr:uid="{00000000-0005-0000-0000-000032000000}"/>
    <cellStyle name="Normal" xfId="0" builtinId="0"/>
    <cellStyle name="Normal 2" xfId="2" xr:uid="{B2B1FE09-C84C-45AF-9BD0-D97C466819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nald Diab" id="{B6F12E4F-2E5B-4BFB-B757-8D3FF1537A3B}" userId="a9752443a9c9f39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1-02-02T08:22:12.45" personId="{B6F12E4F-2E5B-4BFB-B757-8D3FF1537A3B}" id="{F787D419-3694-4549-9918-8B7B31B312A0}">
    <text>Use your local currency tariff . Do not change labels</text>
  </threadedComment>
  <threadedComment ref="F1" dT="2021-02-02T08:22:32.71" personId="{B6F12E4F-2E5B-4BFB-B757-8D3FF1537A3B}" id="{8119A2D5-7693-43E0-ABE3-D38B0CAF7E23}">
    <text>You put here the consumption budgeted</text>
  </threadedComment>
  <threadedComment ref="G1" dT="2021-02-02T08:22:46.84" personId="{B6F12E4F-2E5B-4BFB-B757-8D3FF1537A3B}" id="{9C473CA5-FE86-416E-9D27-722A0E174AAE}">
    <text>You put here the Total budgeted Cost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9"/>
  <sheetViews>
    <sheetView tabSelected="1" showRuler="0" topLeftCell="N1" zoomScale="90" zoomScaleNormal="90" workbookViewId="0">
      <pane ySplit="25" topLeftCell="A40" activePane="bottomLeft" state="frozen"/>
      <selection pane="bottomLeft" activeCell="AF51" sqref="AF51"/>
    </sheetView>
  </sheetViews>
  <sheetFormatPr defaultRowHeight="15" x14ac:dyDescent="0.25"/>
  <cols>
    <col min="1" max="1" width="12.42578125" style="5" bestFit="1" customWidth="1"/>
    <col min="2" max="2" width="11.5703125" style="5"/>
    <col min="3" max="3" width="13.42578125" style="5" customWidth="1"/>
    <col min="4" max="5" width="15" customWidth="1"/>
    <col min="6" max="7" width="15" style="3" customWidth="1"/>
    <col min="8" max="9" width="15" customWidth="1"/>
    <col min="10" max="11" width="15" style="3" customWidth="1"/>
    <col min="12" max="12" width="15" customWidth="1"/>
    <col min="13" max="13" width="15" style="32" customWidth="1"/>
    <col min="14" max="14" width="15" customWidth="1"/>
    <col min="15" max="15" width="15" style="32" customWidth="1"/>
    <col min="16" max="16" width="15" customWidth="1"/>
    <col min="17" max="18" width="15" style="32" customWidth="1"/>
    <col min="19" max="19" width="15" customWidth="1"/>
    <col min="20" max="25" width="15" style="3" customWidth="1"/>
    <col min="26" max="29" width="15" customWidth="1"/>
    <col min="32" max="32" width="17.7109375" bestFit="1" customWidth="1"/>
  </cols>
  <sheetData>
    <row r="1" spans="1:30" s="1" customFormat="1" ht="60.95" customHeight="1" x14ac:dyDescent="0.25">
      <c r="A1" s="12" t="s">
        <v>12</v>
      </c>
      <c r="B1" s="12" t="s">
        <v>0</v>
      </c>
      <c r="C1" s="12" t="s">
        <v>1</v>
      </c>
      <c r="D1" s="1" t="s">
        <v>2</v>
      </c>
      <c r="E1" s="1" t="s">
        <v>13</v>
      </c>
      <c r="F1" s="2" t="s">
        <v>14</v>
      </c>
      <c r="G1" s="2" t="s">
        <v>15</v>
      </c>
      <c r="H1" s="1" t="s">
        <v>3</v>
      </c>
      <c r="I1" s="1" t="s">
        <v>4</v>
      </c>
      <c r="J1" s="2" t="s">
        <v>5</v>
      </c>
      <c r="K1" s="2" t="s">
        <v>6</v>
      </c>
      <c r="L1" s="1" t="s">
        <v>18</v>
      </c>
      <c r="M1" s="33" t="s">
        <v>29</v>
      </c>
      <c r="N1" s="1" t="s">
        <v>21</v>
      </c>
      <c r="O1" s="33" t="s">
        <v>30</v>
      </c>
      <c r="P1" s="1" t="s">
        <v>26</v>
      </c>
      <c r="Q1" s="33" t="s">
        <v>31</v>
      </c>
      <c r="R1" s="33" t="s">
        <v>24</v>
      </c>
      <c r="S1" s="1" t="s">
        <v>25</v>
      </c>
      <c r="T1" s="2" t="s">
        <v>16</v>
      </c>
      <c r="U1" s="2" t="s">
        <v>17</v>
      </c>
      <c r="V1" s="19" t="s">
        <v>27</v>
      </c>
      <c r="W1" s="19" t="s">
        <v>28</v>
      </c>
      <c r="X1" s="21" t="s">
        <v>22</v>
      </c>
      <c r="Y1" s="21" t="s">
        <v>23</v>
      </c>
      <c r="Z1" s="1" t="s">
        <v>7</v>
      </c>
      <c r="AA1" s="1" t="s">
        <v>8</v>
      </c>
      <c r="AB1" s="1" t="s">
        <v>19</v>
      </c>
      <c r="AC1" s="19" t="s">
        <v>20</v>
      </c>
      <c r="AD1" s="10" t="s">
        <v>11</v>
      </c>
    </row>
    <row r="2" spans="1:30" hidden="1" x14ac:dyDescent="0.25">
      <c r="A2" s="5" t="s">
        <v>10</v>
      </c>
      <c r="B2" s="13">
        <v>1</v>
      </c>
      <c r="C2" s="13">
        <v>2018</v>
      </c>
      <c r="D2" s="3"/>
      <c r="E2" s="3"/>
      <c r="H2" s="4" t="s">
        <v>9</v>
      </c>
      <c r="I2" s="4" t="s">
        <v>9</v>
      </c>
      <c r="L2" s="4" t="s">
        <v>9</v>
      </c>
      <c r="M2" s="34"/>
      <c r="N2" s="4" t="s">
        <v>9</v>
      </c>
      <c r="O2" s="34"/>
      <c r="P2" s="4"/>
      <c r="Q2" s="34"/>
      <c r="R2" s="34"/>
      <c r="S2" s="4"/>
      <c r="V2" s="22" t="s">
        <v>9</v>
      </c>
      <c r="W2" s="22" t="s">
        <v>9</v>
      </c>
      <c r="X2" s="20"/>
      <c r="Y2" s="23"/>
      <c r="Z2" s="4" t="s">
        <v>9</v>
      </c>
      <c r="AA2" s="4" t="s">
        <v>9</v>
      </c>
      <c r="AB2" s="4"/>
      <c r="AC2" s="4"/>
    </row>
    <row r="3" spans="1:30" hidden="1" x14ac:dyDescent="0.25">
      <c r="A3" s="5" t="s">
        <v>10</v>
      </c>
      <c r="B3" s="13">
        <v>2</v>
      </c>
      <c r="C3" s="13">
        <v>2018</v>
      </c>
      <c r="D3" s="3"/>
      <c r="E3" s="3"/>
      <c r="H3" s="4" t="s">
        <v>9</v>
      </c>
      <c r="I3" s="4" t="s">
        <v>9</v>
      </c>
      <c r="L3" s="4" t="s">
        <v>9</v>
      </c>
      <c r="M3" s="34"/>
      <c r="N3" s="4" t="s">
        <v>9</v>
      </c>
      <c r="O3" s="34"/>
      <c r="P3" s="4"/>
      <c r="Q3" s="34"/>
      <c r="R3" s="34"/>
      <c r="S3" s="4"/>
      <c r="V3" s="22" t="s">
        <v>9</v>
      </c>
      <c r="W3" s="22" t="s">
        <v>9</v>
      </c>
      <c r="X3" s="20"/>
      <c r="Y3" s="23"/>
      <c r="Z3" s="4" t="s">
        <v>9</v>
      </c>
      <c r="AA3" s="4" t="s">
        <v>9</v>
      </c>
      <c r="AB3" s="4"/>
      <c r="AC3" s="4"/>
    </row>
    <row r="4" spans="1:30" hidden="1" x14ac:dyDescent="0.25">
      <c r="A4" s="5" t="s">
        <v>10</v>
      </c>
      <c r="B4" s="13">
        <v>3</v>
      </c>
      <c r="C4" s="13">
        <v>2018</v>
      </c>
      <c r="D4" s="3"/>
      <c r="E4" s="3"/>
      <c r="H4" s="4" t="s">
        <v>9</v>
      </c>
      <c r="I4" s="4" t="s">
        <v>9</v>
      </c>
      <c r="L4" s="4" t="s">
        <v>9</v>
      </c>
      <c r="M4" s="34"/>
      <c r="N4" s="4" t="s">
        <v>9</v>
      </c>
      <c r="O4" s="34"/>
      <c r="P4" s="4"/>
      <c r="Q4" s="34"/>
      <c r="R4" s="34"/>
      <c r="S4" s="4"/>
      <c r="V4" s="22" t="s">
        <v>9</v>
      </c>
      <c r="W4" s="22" t="s">
        <v>9</v>
      </c>
      <c r="X4" s="20"/>
      <c r="Y4" s="23"/>
      <c r="Z4" s="4" t="s">
        <v>9</v>
      </c>
      <c r="AA4" s="4" t="s">
        <v>9</v>
      </c>
      <c r="AB4" s="4"/>
      <c r="AC4" s="4"/>
    </row>
    <row r="5" spans="1:30" hidden="1" x14ac:dyDescent="0.25">
      <c r="A5" s="5" t="s">
        <v>10</v>
      </c>
      <c r="B5" s="13">
        <v>4</v>
      </c>
      <c r="C5" s="13">
        <v>2018</v>
      </c>
      <c r="D5" s="3"/>
      <c r="E5" s="3"/>
      <c r="H5" s="4" t="s">
        <v>9</v>
      </c>
      <c r="I5" s="4" t="s">
        <v>9</v>
      </c>
      <c r="L5" s="4" t="s">
        <v>9</v>
      </c>
      <c r="M5" s="34"/>
      <c r="N5" s="4" t="s">
        <v>9</v>
      </c>
      <c r="O5" s="34"/>
      <c r="P5" s="4"/>
      <c r="Q5" s="34"/>
      <c r="R5" s="34"/>
      <c r="S5" s="4"/>
      <c r="V5" s="22" t="s">
        <v>9</v>
      </c>
      <c r="W5" s="22" t="s">
        <v>9</v>
      </c>
      <c r="X5" s="20"/>
      <c r="Y5" s="23"/>
      <c r="Z5" s="4" t="s">
        <v>9</v>
      </c>
      <c r="AA5" s="4" t="s">
        <v>9</v>
      </c>
      <c r="AB5" s="4"/>
      <c r="AC5" s="4"/>
    </row>
    <row r="6" spans="1:30" hidden="1" x14ac:dyDescent="0.25">
      <c r="A6" s="5" t="s">
        <v>10</v>
      </c>
      <c r="B6" s="13">
        <v>5</v>
      </c>
      <c r="C6" s="13">
        <v>2018</v>
      </c>
      <c r="D6" s="3"/>
      <c r="E6" s="3"/>
      <c r="H6" s="4" t="s">
        <v>9</v>
      </c>
      <c r="I6" s="4" t="s">
        <v>9</v>
      </c>
      <c r="L6" s="4" t="s">
        <v>9</v>
      </c>
      <c r="M6" s="34"/>
      <c r="N6" s="4" t="s">
        <v>9</v>
      </c>
      <c r="O6" s="34"/>
      <c r="P6" s="4"/>
      <c r="Q6" s="34"/>
      <c r="R6" s="34"/>
      <c r="S6" s="4"/>
      <c r="V6" s="22" t="s">
        <v>9</v>
      </c>
      <c r="W6" s="22" t="s">
        <v>9</v>
      </c>
      <c r="X6" s="20"/>
      <c r="Y6" s="23"/>
      <c r="Z6" s="4" t="s">
        <v>9</v>
      </c>
      <c r="AA6" s="4" t="s">
        <v>9</v>
      </c>
      <c r="AB6" s="4"/>
      <c r="AC6" s="4"/>
    </row>
    <row r="7" spans="1:30" hidden="1" x14ac:dyDescent="0.25">
      <c r="A7" s="5" t="s">
        <v>10</v>
      </c>
      <c r="B7" s="13">
        <v>6</v>
      </c>
      <c r="C7" s="13">
        <v>2018</v>
      </c>
      <c r="D7" s="3"/>
      <c r="E7" s="3"/>
      <c r="H7" s="4" t="s">
        <v>9</v>
      </c>
      <c r="I7" s="4" t="s">
        <v>9</v>
      </c>
      <c r="L7" s="4" t="s">
        <v>9</v>
      </c>
      <c r="M7" s="34"/>
      <c r="N7" s="4" t="s">
        <v>9</v>
      </c>
      <c r="O7" s="34"/>
      <c r="P7" s="4"/>
      <c r="Q7" s="34"/>
      <c r="R7" s="34"/>
      <c r="S7" s="4"/>
      <c r="V7" s="22" t="s">
        <v>9</v>
      </c>
      <c r="W7" s="22" t="s">
        <v>9</v>
      </c>
      <c r="X7" s="20"/>
      <c r="Y7" s="23"/>
      <c r="Z7" s="4" t="s">
        <v>9</v>
      </c>
      <c r="AA7" s="4" t="s">
        <v>9</v>
      </c>
      <c r="AB7" s="4"/>
      <c r="AC7" s="4"/>
    </row>
    <row r="8" spans="1:30" hidden="1" x14ac:dyDescent="0.25">
      <c r="A8" s="5" t="s">
        <v>10</v>
      </c>
      <c r="B8" s="13">
        <v>7</v>
      </c>
      <c r="C8" s="13">
        <v>2018</v>
      </c>
      <c r="D8" s="3"/>
      <c r="E8" s="3"/>
      <c r="H8" s="4" t="s">
        <v>9</v>
      </c>
      <c r="I8" s="4" t="s">
        <v>9</v>
      </c>
      <c r="L8" s="4" t="s">
        <v>9</v>
      </c>
      <c r="M8" s="34"/>
      <c r="N8" s="4" t="s">
        <v>9</v>
      </c>
      <c r="O8" s="34"/>
      <c r="P8" s="4"/>
      <c r="Q8" s="34"/>
      <c r="R8" s="34"/>
      <c r="S8" s="4"/>
      <c r="V8" s="22" t="s">
        <v>9</v>
      </c>
      <c r="W8" s="22" t="s">
        <v>9</v>
      </c>
      <c r="X8" s="20"/>
      <c r="Y8" s="23"/>
      <c r="Z8" s="4" t="s">
        <v>9</v>
      </c>
      <c r="AA8" s="4" t="s">
        <v>9</v>
      </c>
      <c r="AB8" s="4"/>
      <c r="AC8" s="4"/>
    </row>
    <row r="9" spans="1:30" hidden="1" x14ac:dyDescent="0.25">
      <c r="A9" s="5" t="s">
        <v>10</v>
      </c>
      <c r="B9" s="13">
        <v>8</v>
      </c>
      <c r="C9" s="13">
        <v>2018</v>
      </c>
      <c r="D9" s="3"/>
      <c r="E9" s="3"/>
      <c r="H9" s="4" t="s">
        <v>9</v>
      </c>
      <c r="I9" s="4" t="s">
        <v>9</v>
      </c>
      <c r="L9" s="4" t="s">
        <v>9</v>
      </c>
      <c r="M9" s="34"/>
      <c r="N9" s="4" t="s">
        <v>9</v>
      </c>
      <c r="O9" s="34"/>
      <c r="P9" s="4"/>
      <c r="Q9" s="34"/>
      <c r="R9" s="34"/>
      <c r="S9" s="4"/>
      <c r="V9" s="22" t="s">
        <v>9</v>
      </c>
      <c r="W9" s="22" t="s">
        <v>9</v>
      </c>
      <c r="X9" s="20"/>
      <c r="Y9" s="23"/>
      <c r="Z9" s="4" t="s">
        <v>9</v>
      </c>
      <c r="AA9" s="4" t="s">
        <v>9</v>
      </c>
      <c r="AB9" s="4"/>
      <c r="AC9" s="4"/>
    </row>
    <row r="10" spans="1:30" hidden="1" x14ac:dyDescent="0.25">
      <c r="A10" s="5" t="s">
        <v>10</v>
      </c>
      <c r="B10" s="13">
        <v>9</v>
      </c>
      <c r="C10" s="13">
        <v>2018</v>
      </c>
      <c r="D10" s="3"/>
      <c r="E10" s="3"/>
      <c r="H10" s="4" t="s">
        <v>9</v>
      </c>
      <c r="I10" s="4" t="s">
        <v>9</v>
      </c>
      <c r="L10" s="4" t="s">
        <v>9</v>
      </c>
      <c r="M10" s="34"/>
      <c r="N10" s="4" t="s">
        <v>9</v>
      </c>
      <c r="O10" s="34"/>
      <c r="P10" s="4"/>
      <c r="Q10" s="34"/>
      <c r="R10" s="34"/>
      <c r="S10" s="4"/>
      <c r="V10" s="22" t="s">
        <v>9</v>
      </c>
      <c r="W10" s="22" t="s">
        <v>9</v>
      </c>
      <c r="X10" s="20"/>
      <c r="Y10" s="23"/>
      <c r="Z10" s="4" t="s">
        <v>9</v>
      </c>
      <c r="AA10" s="4" t="s">
        <v>9</v>
      </c>
      <c r="AB10" s="4"/>
      <c r="AC10" s="4"/>
    </row>
    <row r="11" spans="1:30" hidden="1" x14ac:dyDescent="0.25">
      <c r="A11" s="5" t="s">
        <v>10</v>
      </c>
      <c r="B11" s="13">
        <v>10</v>
      </c>
      <c r="C11" s="13">
        <v>2018</v>
      </c>
      <c r="D11" s="3"/>
      <c r="E11" s="3"/>
      <c r="H11" s="4" t="s">
        <v>9</v>
      </c>
      <c r="I11" s="4" t="s">
        <v>9</v>
      </c>
      <c r="L11" s="4" t="s">
        <v>9</v>
      </c>
      <c r="M11" s="34"/>
      <c r="N11" s="4" t="s">
        <v>9</v>
      </c>
      <c r="O11" s="34"/>
      <c r="P11" s="4"/>
      <c r="Q11" s="34"/>
      <c r="R11" s="34"/>
      <c r="S11" s="4"/>
      <c r="V11" s="22" t="s">
        <v>9</v>
      </c>
      <c r="W11" s="22" t="s">
        <v>9</v>
      </c>
      <c r="X11" s="20"/>
      <c r="Y11" s="23"/>
      <c r="Z11" s="4" t="s">
        <v>9</v>
      </c>
      <c r="AA11" s="4" t="s">
        <v>9</v>
      </c>
      <c r="AB11" s="4"/>
      <c r="AC11" s="4"/>
    </row>
    <row r="12" spans="1:30" hidden="1" x14ac:dyDescent="0.25">
      <c r="A12" s="5" t="s">
        <v>10</v>
      </c>
      <c r="B12" s="13">
        <v>11</v>
      </c>
      <c r="C12" s="13">
        <v>2018</v>
      </c>
      <c r="D12" s="3"/>
      <c r="E12" s="3"/>
      <c r="H12" s="4" t="s">
        <v>9</v>
      </c>
      <c r="I12" s="4" t="s">
        <v>9</v>
      </c>
      <c r="L12" s="4" t="s">
        <v>9</v>
      </c>
      <c r="M12" s="34"/>
      <c r="N12" s="4" t="s">
        <v>9</v>
      </c>
      <c r="O12" s="34"/>
      <c r="P12" s="4"/>
      <c r="Q12" s="34"/>
      <c r="R12" s="34"/>
      <c r="S12" s="4"/>
      <c r="V12" s="22" t="s">
        <v>9</v>
      </c>
      <c r="W12" s="22" t="s">
        <v>9</v>
      </c>
      <c r="X12" s="20"/>
      <c r="Y12" s="23"/>
      <c r="Z12" s="4" t="s">
        <v>9</v>
      </c>
      <c r="AA12" s="4" t="s">
        <v>9</v>
      </c>
      <c r="AB12" s="4"/>
      <c r="AC12" s="4"/>
    </row>
    <row r="13" spans="1:30" hidden="1" x14ac:dyDescent="0.25">
      <c r="A13" s="5" t="s">
        <v>10</v>
      </c>
      <c r="B13" s="13">
        <v>12</v>
      </c>
      <c r="C13" s="13">
        <v>2018</v>
      </c>
      <c r="D13" s="3"/>
      <c r="E13" s="3"/>
      <c r="H13" s="4" t="s">
        <v>9</v>
      </c>
      <c r="I13" s="4" t="s">
        <v>9</v>
      </c>
      <c r="L13" s="4" t="s">
        <v>9</v>
      </c>
      <c r="M13" s="34"/>
      <c r="N13" s="4" t="s">
        <v>9</v>
      </c>
      <c r="O13" s="34"/>
      <c r="P13" s="4"/>
      <c r="Q13" s="34"/>
      <c r="R13" s="34"/>
      <c r="S13" s="4"/>
      <c r="V13" s="22" t="s">
        <v>9</v>
      </c>
      <c r="W13" s="22" t="s">
        <v>9</v>
      </c>
      <c r="X13" s="20"/>
      <c r="Y13" s="23"/>
      <c r="Z13" s="4" t="s">
        <v>9</v>
      </c>
      <c r="AA13" s="4" t="s">
        <v>9</v>
      </c>
      <c r="AB13" s="4"/>
      <c r="AC13" s="4"/>
    </row>
    <row r="14" spans="1:30" hidden="1" x14ac:dyDescent="0.25">
      <c r="A14" s="5" t="s">
        <v>10</v>
      </c>
      <c r="B14" s="13">
        <v>1</v>
      </c>
      <c r="C14" s="13">
        <v>2019</v>
      </c>
      <c r="D14" s="3"/>
      <c r="E14" s="3"/>
      <c r="H14" s="4" t="s">
        <v>9</v>
      </c>
      <c r="I14" s="4" t="s">
        <v>9</v>
      </c>
      <c r="L14" s="4" t="s">
        <v>9</v>
      </c>
      <c r="M14" s="34"/>
      <c r="N14" s="4" t="s">
        <v>9</v>
      </c>
      <c r="O14" s="34"/>
      <c r="P14" s="4"/>
      <c r="Q14" s="34"/>
      <c r="R14" s="34"/>
      <c r="S14" s="4"/>
      <c r="V14" s="22" t="s">
        <v>9</v>
      </c>
      <c r="W14" s="22" t="s">
        <v>9</v>
      </c>
      <c r="X14" s="20"/>
      <c r="Y14" s="23"/>
      <c r="Z14" s="4" t="s">
        <v>9</v>
      </c>
      <c r="AA14" s="4" t="s">
        <v>9</v>
      </c>
      <c r="AB14" s="4"/>
      <c r="AC14" s="4"/>
    </row>
    <row r="15" spans="1:30" hidden="1" x14ac:dyDescent="0.25">
      <c r="A15" s="5" t="s">
        <v>10</v>
      </c>
      <c r="B15" s="13">
        <v>2</v>
      </c>
      <c r="C15" s="13">
        <v>2019</v>
      </c>
      <c r="D15" s="3"/>
      <c r="E15" s="3"/>
      <c r="H15" s="4" t="s">
        <v>9</v>
      </c>
      <c r="I15" s="4" t="s">
        <v>9</v>
      </c>
      <c r="L15" s="4" t="s">
        <v>9</v>
      </c>
      <c r="M15" s="34"/>
      <c r="N15" s="4" t="s">
        <v>9</v>
      </c>
      <c r="O15" s="34"/>
      <c r="P15" s="4"/>
      <c r="Q15" s="34"/>
      <c r="R15" s="34"/>
      <c r="S15" s="4"/>
      <c r="V15" s="22" t="s">
        <v>9</v>
      </c>
      <c r="W15" s="22" t="s">
        <v>9</v>
      </c>
      <c r="X15" s="20"/>
      <c r="Y15" s="23"/>
      <c r="Z15" s="4" t="s">
        <v>9</v>
      </c>
      <c r="AA15" s="4" t="s">
        <v>9</v>
      </c>
      <c r="AB15" s="4"/>
      <c r="AC15" s="4"/>
    </row>
    <row r="16" spans="1:30" hidden="1" x14ac:dyDescent="0.25">
      <c r="A16" s="5" t="s">
        <v>10</v>
      </c>
      <c r="B16" s="13">
        <v>3</v>
      </c>
      <c r="C16" s="13">
        <v>2019</v>
      </c>
      <c r="D16" s="3"/>
      <c r="E16" s="3"/>
      <c r="H16" s="4" t="s">
        <v>9</v>
      </c>
      <c r="I16" s="4" t="s">
        <v>9</v>
      </c>
      <c r="L16" s="4" t="s">
        <v>9</v>
      </c>
      <c r="M16" s="34"/>
      <c r="N16" s="4" t="s">
        <v>9</v>
      </c>
      <c r="O16" s="34"/>
      <c r="P16" s="4"/>
      <c r="Q16" s="34"/>
      <c r="R16" s="34"/>
      <c r="S16" s="4"/>
      <c r="V16" s="22" t="s">
        <v>9</v>
      </c>
      <c r="W16" s="22" t="s">
        <v>9</v>
      </c>
      <c r="X16" s="20"/>
      <c r="Y16" s="23"/>
      <c r="Z16" s="4" t="s">
        <v>9</v>
      </c>
      <c r="AA16" s="4" t="s">
        <v>9</v>
      </c>
      <c r="AB16" s="4"/>
      <c r="AC16" s="4"/>
    </row>
    <row r="17" spans="1:32" hidden="1" x14ac:dyDescent="0.25">
      <c r="A17" s="5" t="s">
        <v>10</v>
      </c>
      <c r="B17" s="13">
        <v>4</v>
      </c>
      <c r="C17" s="13">
        <v>2019</v>
      </c>
      <c r="D17" s="3"/>
      <c r="E17" s="3"/>
      <c r="H17" s="4" t="s">
        <v>9</v>
      </c>
      <c r="I17" s="4" t="s">
        <v>9</v>
      </c>
      <c r="L17" s="4" t="s">
        <v>9</v>
      </c>
      <c r="M17" s="34"/>
      <c r="N17" s="4" t="s">
        <v>9</v>
      </c>
      <c r="O17" s="34"/>
      <c r="P17" s="4"/>
      <c r="Q17" s="34"/>
      <c r="R17" s="34"/>
      <c r="S17" s="4"/>
      <c r="V17" s="22" t="s">
        <v>9</v>
      </c>
      <c r="W17" s="22" t="s">
        <v>9</v>
      </c>
      <c r="X17" s="20"/>
      <c r="Y17" s="23"/>
      <c r="Z17" s="4" t="s">
        <v>9</v>
      </c>
      <c r="AA17" s="4" t="s">
        <v>9</v>
      </c>
      <c r="AB17" s="4"/>
      <c r="AC17" s="4"/>
    </row>
    <row r="18" spans="1:32" hidden="1" x14ac:dyDescent="0.25">
      <c r="A18" s="5" t="s">
        <v>10</v>
      </c>
      <c r="B18" s="13">
        <v>5</v>
      </c>
      <c r="C18" s="13">
        <v>2019</v>
      </c>
      <c r="D18" s="3"/>
      <c r="E18" s="3"/>
      <c r="H18" s="4" t="s">
        <v>9</v>
      </c>
      <c r="I18" s="4" t="s">
        <v>9</v>
      </c>
      <c r="L18" s="4" t="s">
        <v>9</v>
      </c>
      <c r="M18" s="34"/>
      <c r="N18" s="4" t="s">
        <v>9</v>
      </c>
      <c r="O18" s="34"/>
      <c r="P18" s="4"/>
      <c r="Q18" s="34"/>
      <c r="R18" s="34"/>
      <c r="S18" s="4"/>
      <c r="V18" s="22" t="s">
        <v>9</v>
      </c>
      <c r="W18" s="22" t="s">
        <v>9</v>
      </c>
      <c r="X18" s="20"/>
      <c r="Y18" s="23"/>
      <c r="Z18" s="4" t="s">
        <v>9</v>
      </c>
      <c r="AA18" s="4" t="s">
        <v>9</v>
      </c>
      <c r="AB18" s="4"/>
      <c r="AC18" s="4"/>
    </row>
    <row r="19" spans="1:32" hidden="1" x14ac:dyDescent="0.25">
      <c r="A19" s="5" t="s">
        <v>10</v>
      </c>
      <c r="B19" s="13">
        <v>6</v>
      </c>
      <c r="C19" s="13">
        <v>2019</v>
      </c>
      <c r="D19" s="3"/>
      <c r="E19" s="3"/>
      <c r="H19" s="4" t="s">
        <v>9</v>
      </c>
      <c r="I19" s="4" t="s">
        <v>9</v>
      </c>
      <c r="L19" s="4" t="s">
        <v>9</v>
      </c>
      <c r="M19" s="34"/>
      <c r="N19" s="4" t="s">
        <v>9</v>
      </c>
      <c r="O19" s="34"/>
      <c r="P19" s="4"/>
      <c r="Q19" s="34"/>
      <c r="R19" s="34"/>
      <c r="S19" s="4"/>
      <c r="V19" s="22" t="s">
        <v>9</v>
      </c>
      <c r="W19" s="22" t="s">
        <v>9</v>
      </c>
      <c r="X19" s="20"/>
      <c r="Y19" s="23"/>
      <c r="Z19" s="4" t="s">
        <v>9</v>
      </c>
      <c r="AA19" s="4" t="s">
        <v>9</v>
      </c>
      <c r="AB19" s="4"/>
      <c r="AC19" s="4"/>
    </row>
    <row r="20" spans="1:32" hidden="1" x14ac:dyDescent="0.25">
      <c r="A20" s="5" t="s">
        <v>10</v>
      </c>
      <c r="B20" s="13">
        <v>7</v>
      </c>
      <c r="C20" s="13">
        <v>2019</v>
      </c>
      <c r="D20" s="3"/>
      <c r="E20" s="3"/>
      <c r="H20" s="4" t="s">
        <v>9</v>
      </c>
      <c r="I20" s="4" t="s">
        <v>9</v>
      </c>
      <c r="L20" s="4" t="s">
        <v>9</v>
      </c>
      <c r="M20" s="34"/>
      <c r="N20" s="4" t="s">
        <v>9</v>
      </c>
      <c r="O20" s="34"/>
      <c r="P20" s="4"/>
      <c r="Q20" s="34"/>
      <c r="R20" s="34"/>
      <c r="S20" s="4"/>
      <c r="V20" s="22" t="s">
        <v>9</v>
      </c>
      <c r="W20" s="22" t="s">
        <v>9</v>
      </c>
      <c r="X20" s="20"/>
      <c r="Y20" s="23"/>
      <c r="Z20" s="4" t="s">
        <v>9</v>
      </c>
      <c r="AA20" s="4" t="s">
        <v>9</v>
      </c>
      <c r="AB20" s="4"/>
      <c r="AC20" s="4"/>
    </row>
    <row r="21" spans="1:32" hidden="1" x14ac:dyDescent="0.25">
      <c r="A21" s="5" t="s">
        <v>10</v>
      </c>
      <c r="B21" s="13">
        <v>8</v>
      </c>
      <c r="C21" s="13">
        <v>2019</v>
      </c>
      <c r="D21" s="3"/>
      <c r="E21" s="3"/>
      <c r="H21" s="4" t="s">
        <v>9</v>
      </c>
      <c r="I21" s="4" t="s">
        <v>9</v>
      </c>
      <c r="L21" s="4" t="s">
        <v>9</v>
      </c>
      <c r="M21" s="34"/>
      <c r="N21" s="4" t="s">
        <v>9</v>
      </c>
      <c r="O21" s="34"/>
      <c r="P21" s="4"/>
      <c r="Q21" s="34"/>
      <c r="R21" s="34"/>
      <c r="S21" s="4"/>
      <c r="V21" s="22" t="s">
        <v>9</v>
      </c>
      <c r="W21" s="22" t="s">
        <v>9</v>
      </c>
      <c r="X21" s="20"/>
      <c r="Y21" s="23"/>
      <c r="Z21" s="4" t="s">
        <v>9</v>
      </c>
      <c r="AA21" s="4" t="s">
        <v>9</v>
      </c>
      <c r="AB21" s="4"/>
      <c r="AC21" s="4"/>
    </row>
    <row r="22" spans="1:32" hidden="1" x14ac:dyDescent="0.25">
      <c r="A22" s="5" t="s">
        <v>10</v>
      </c>
      <c r="B22" s="13">
        <v>9</v>
      </c>
      <c r="C22" s="13">
        <v>2019</v>
      </c>
      <c r="D22" s="3"/>
      <c r="E22" s="3"/>
      <c r="H22" s="4" t="s">
        <v>9</v>
      </c>
      <c r="I22" s="4" t="s">
        <v>9</v>
      </c>
      <c r="L22" s="4" t="s">
        <v>9</v>
      </c>
      <c r="M22" s="34"/>
      <c r="N22" s="4" t="s">
        <v>9</v>
      </c>
      <c r="O22" s="34"/>
      <c r="P22" s="4"/>
      <c r="Q22" s="34"/>
      <c r="R22" s="34"/>
      <c r="S22" s="4"/>
      <c r="V22" s="22" t="s">
        <v>9</v>
      </c>
      <c r="W22" s="22" t="s">
        <v>9</v>
      </c>
      <c r="X22" s="20"/>
      <c r="Y22" s="23"/>
      <c r="Z22" s="4" t="s">
        <v>9</v>
      </c>
      <c r="AA22" s="4" t="s">
        <v>9</v>
      </c>
      <c r="AB22" s="4"/>
      <c r="AC22" s="4"/>
      <c r="AD22" s="9"/>
    </row>
    <row r="23" spans="1:32" hidden="1" x14ac:dyDescent="0.25">
      <c r="A23" s="5" t="s">
        <v>10</v>
      </c>
      <c r="B23" s="13">
        <v>10</v>
      </c>
      <c r="C23" s="13">
        <v>2019</v>
      </c>
      <c r="D23" s="7"/>
      <c r="E23" s="6"/>
      <c r="G23" s="6"/>
      <c r="H23" s="8"/>
      <c r="I23" s="4" t="s">
        <v>9</v>
      </c>
      <c r="K23" s="6"/>
      <c r="L23" s="8"/>
      <c r="M23" s="25"/>
      <c r="N23" s="8" t="s">
        <v>9</v>
      </c>
      <c r="O23" s="25"/>
      <c r="P23" s="4"/>
      <c r="Q23" s="34"/>
      <c r="R23" s="34"/>
      <c r="S23" s="4"/>
      <c r="T23" s="7"/>
      <c r="U23" s="6"/>
      <c r="V23" s="25" t="s">
        <v>9</v>
      </c>
      <c r="W23" s="22" t="s">
        <v>9</v>
      </c>
      <c r="X23" s="24"/>
      <c r="Y23" s="23"/>
      <c r="Z23" s="8" t="s">
        <v>9</v>
      </c>
      <c r="AA23" s="8" t="s">
        <v>9</v>
      </c>
      <c r="AB23" s="8"/>
      <c r="AC23" s="8"/>
      <c r="AD23" s="9"/>
    </row>
    <row r="24" spans="1:32" hidden="1" x14ac:dyDescent="0.25">
      <c r="A24" s="5" t="s">
        <v>10</v>
      </c>
      <c r="B24" s="13">
        <v>11</v>
      </c>
      <c r="C24" s="13">
        <v>2019</v>
      </c>
      <c r="D24" s="7"/>
      <c r="E24" s="6"/>
      <c r="G24" s="6"/>
      <c r="H24" s="8"/>
      <c r="I24" s="4" t="s">
        <v>9</v>
      </c>
      <c r="K24" s="6"/>
      <c r="L24" s="8" t="s">
        <v>9</v>
      </c>
      <c r="M24" s="25"/>
      <c r="N24" s="8" t="s">
        <v>9</v>
      </c>
      <c r="O24" s="25"/>
      <c r="P24" s="4"/>
      <c r="Q24" s="34"/>
      <c r="R24" s="34"/>
      <c r="S24" s="4"/>
      <c r="T24" s="7"/>
      <c r="U24" s="6"/>
      <c r="V24" s="25" t="s">
        <v>9</v>
      </c>
      <c r="W24" s="22" t="s">
        <v>9</v>
      </c>
      <c r="X24" s="24"/>
      <c r="Y24" s="23"/>
      <c r="Z24" s="8" t="s">
        <v>9</v>
      </c>
      <c r="AA24" s="8" t="s">
        <v>9</v>
      </c>
      <c r="AB24" s="8"/>
      <c r="AC24" s="8"/>
      <c r="AD24" s="9"/>
    </row>
    <row r="25" spans="1:32" hidden="1" x14ac:dyDescent="0.25">
      <c r="A25" s="5" t="s">
        <v>10</v>
      </c>
      <c r="B25" s="13">
        <v>12</v>
      </c>
      <c r="C25" s="13">
        <v>2019</v>
      </c>
      <c r="D25" s="7"/>
      <c r="E25" s="6"/>
      <c r="G25" s="6"/>
      <c r="H25" s="8"/>
      <c r="I25" s="4" t="s">
        <v>9</v>
      </c>
      <c r="K25" s="6"/>
      <c r="L25" s="8" t="s">
        <v>9</v>
      </c>
      <c r="M25" s="25"/>
      <c r="N25" s="8" t="s">
        <v>9</v>
      </c>
      <c r="O25" s="25"/>
      <c r="P25" s="4"/>
      <c r="Q25" s="34"/>
      <c r="R25" s="34"/>
      <c r="S25" s="4"/>
      <c r="T25" s="7"/>
      <c r="U25" s="6"/>
      <c r="V25" s="25" t="s">
        <v>9</v>
      </c>
      <c r="W25" s="22" t="s">
        <v>9</v>
      </c>
      <c r="X25" s="24"/>
      <c r="Y25" s="23"/>
      <c r="Z25" s="8" t="s">
        <v>9</v>
      </c>
      <c r="AA25" s="8" t="s">
        <v>9</v>
      </c>
      <c r="AB25" s="8"/>
      <c r="AC25" s="8"/>
      <c r="AD25" s="9"/>
    </row>
    <row r="26" spans="1:32" x14ac:dyDescent="0.25">
      <c r="A26" s="5" t="s">
        <v>10</v>
      </c>
      <c r="B26" s="13">
        <v>1</v>
      </c>
      <c r="C26" s="13">
        <v>2020</v>
      </c>
      <c r="D26" s="15">
        <v>667500</v>
      </c>
      <c r="E26" s="16">
        <v>3.5139999999999998</v>
      </c>
      <c r="F26" s="18">
        <v>614285.71428571432</v>
      </c>
      <c r="G26" s="18">
        <v>2150000</v>
      </c>
      <c r="H26" s="15">
        <v>14697</v>
      </c>
      <c r="I26" s="16">
        <v>39.5</v>
      </c>
      <c r="J26" s="18">
        <v>16810.126582278481</v>
      </c>
      <c r="K26" s="18">
        <v>664000</v>
      </c>
      <c r="L26" s="15">
        <v>14648.14</v>
      </c>
      <c r="M26" s="16">
        <v>10.97</v>
      </c>
      <c r="N26" s="15">
        <v>187846.84</v>
      </c>
      <c r="O26" s="16">
        <v>10.97</v>
      </c>
      <c r="P26" s="15">
        <v>16318.7</v>
      </c>
      <c r="Q26" s="16">
        <v>10.97</v>
      </c>
      <c r="R26" s="36">
        <f t="shared" ref="R26:R37" si="0">L26+N26+P26</f>
        <v>218813.68</v>
      </c>
      <c r="S26" s="16">
        <v>10.97</v>
      </c>
      <c r="T26" s="18">
        <v>68613.13868613138</v>
      </c>
      <c r="U26" s="18">
        <v>752000</v>
      </c>
      <c r="V26" s="26">
        <v>0</v>
      </c>
      <c r="W26" s="27">
        <v>0</v>
      </c>
      <c r="X26" s="28">
        <v>0</v>
      </c>
      <c r="Y26" s="28">
        <v>0</v>
      </c>
      <c r="Z26" s="15">
        <v>1348</v>
      </c>
      <c r="AA26" s="15">
        <v>2391</v>
      </c>
      <c r="AB26" s="15">
        <v>6104</v>
      </c>
      <c r="AC26" s="15">
        <v>48980</v>
      </c>
      <c r="AD26" s="11">
        <v>4.7E-2</v>
      </c>
      <c r="AF26" s="17"/>
    </row>
    <row r="27" spans="1:32" x14ac:dyDescent="0.25">
      <c r="A27" s="5" t="s">
        <v>10</v>
      </c>
      <c r="B27" s="13">
        <v>2</v>
      </c>
      <c r="C27" s="13">
        <v>2020</v>
      </c>
      <c r="D27" s="15">
        <v>570500</v>
      </c>
      <c r="E27" s="16">
        <v>3.9910000000000001</v>
      </c>
      <c r="F27" s="18">
        <v>597142.85714285716</v>
      </c>
      <c r="G27" s="18">
        <v>2090000</v>
      </c>
      <c r="H27" s="15">
        <v>12604</v>
      </c>
      <c r="I27" s="16">
        <v>39.5</v>
      </c>
      <c r="J27" s="18">
        <v>16253.164556962025</v>
      </c>
      <c r="K27" s="18">
        <v>642000</v>
      </c>
      <c r="L27" s="15">
        <v>12982.88</v>
      </c>
      <c r="M27" s="16">
        <v>10.99</v>
      </c>
      <c r="N27" s="15">
        <v>157716.34</v>
      </c>
      <c r="O27" s="16">
        <v>10.99</v>
      </c>
      <c r="P27" s="15">
        <v>13702.62</v>
      </c>
      <c r="Q27" s="16">
        <v>10.99</v>
      </c>
      <c r="R27" s="36">
        <f t="shared" si="0"/>
        <v>184401.84</v>
      </c>
      <c r="S27" s="16">
        <v>10.99</v>
      </c>
      <c r="T27" s="18">
        <v>155820.34830430796</v>
      </c>
      <c r="U27" s="18">
        <v>1699999.9999999998</v>
      </c>
      <c r="V27" s="26">
        <v>0</v>
      </c>
      <c r="W27" s="27">
        <v>0</v>
      </c>
      <c r="X27" s="28">
        <v>0</v>
      </c>
      <c r="Y27" s="28">
        <v>0</v>
      </c>
      <c r="Z27" s="15">
        <v>1751</v>
      </c>
      <c r="AA27" s="15">
        <v>3271</v>
      </c>
      <c r="AB27" s="15">
        <v>9546</v>
      </c>
      <c r="AC27" s="15">
        <v>50856</v>
      </c>
      <c r="AD27" s="11">
        <v>4.7E-2</v>
      </c>
      <c r="AF27" s="17"/>
    </row>
    <row r="28" spans="1:32" x14ac:dyDescent="0.25">
      <c r="A28" s="5" t="s">
        <v>10</v>
      </c>
      <c r="B28" s="13">
        <v>3</v>
      </c>
      <c r="C28" s="13">
        <v>2020</v>
      </c>
      <c r="D28" s="15">
        <v>601620</v>
      </c>
      <c r="E28" s="16">
        <v>3.714</v>
      </c>
      <c r="F28" s="18">
        <v>431428.57142857142</v>
      </c>
      <c r="G28" s="18">
        <v>1510000</v>
      </c>
      <c r="H28" s="15">
        <v>14502</v>
      </c>
      <c r="I28" s="16">
        <v>39.5</v>
      </c>
      <c r="J28" s="18">
        <v>11746.835443037975</v>
      </c>
      <c r="K28" s="18">
        <v>464000</v>
      </c>
      <c r="L28" s="15">
        <v>9948.1</v>
      </c>
      <c r="M28" s="16">
        <v>10.99</v>
      </c>
      <c r="N28" s="15">
        <v>102124.64</v>
      </c>
      <c r="O28" s="16">
        <v>10.99</v>
      </c>
      <c r="P28" s="15">
        <v>10721.9</v>
      </c>
      <c r="Q28" s="16">
        <v>10.99</v>
      </c>
      <c r="R28" s="36">
        <f t="shared" si="0"/>
        <v>122794.64</v>
      </c>
      <c r="S28" s="16">
        <v>10.99</v>
      </c>
      <c r="T28" s="18">
        <v>119381.25568698817</v>
      </c>
      <c r="U28" s="18">
        <v>1312000</v>
      </c>
      <c r="V28" s="26">
        <v>0</v>
      </c>
      <c r="W28" s="27">
        <v>0</v>
      </c>
      <c r="X28" s="28">
        <v>0</v>
      </c>
      <c r="Y28" s="28">
        <v>0</v>
      </c>
      <c r="Z28" s="15">
        <v>1031</v>
      </c>
      <c r="AA28" s="15">
        <v>2060</v>
      </c>
      <c r="AB28" s="15">
        <v>6671</v>
      </c>
      <c r="AC28" s="15">
        <v>29522</v>
      </c>
      <c r="AD28" s="11">
        <v>4.7E-2</v>
      </c>
      <c r="AF28" s="17"/>
    </row>
    <row r="29" spans="1:32" x14ac:dyDescent="0.25">
      <c r="A29" s="5" t="s">
        <v>10</v>
      </c>
      <c r="B29" s="13">
        <v>4</v>
      </c>
      <c r="C29" s="13">
        <v>2020</v>
      </c>
      <c r="D29" s="15">
        <v>372000</v>
      </c>
      <c r="E29" s="16">
        <v>3.6560000000000001</v>
      </c>
      <c r="F29" s="18">
        <v>296571.42857142858</v>
      </c>
      <c r="G29" s="18">
        <v>1038000</v>
      </c>
      <c r="H29" s="15">
        <v>10345</v>
      </c>
      <c r="I29" s="16">
        <v>39.5</v>
      </c>
      <c r="J29" s="18">
        <v>2784.8101265822784</v>
      </c>
      <c r="K29" s="18">
        <v>110000</v>
      </c>
      <c r="L29" s="15">
        <v>556.5</v>
      </c>
      <c r="M29" s="16">
        <v>10.99</v>
      </c>
      <c r="N29" s="15">
        <v>20504.64</v>
      </c>
      <c r="O29" s="16">
        <v>10.99</v>
      </c>
      <c r="P29" s="15">
        <v>220.48</v>
      </c>
      <c r="Q29" s="16">
        <v>10.99</v>
      </c>
      <c r="R29" s="36">
        <f t="shared" si="0"/>
        <v>21281.62</v>
      </c>
      <c r="S29" s="16">
        <v>10.99</v>
      </c>
      <c r="T29" s="18">
        <v>7097.3612374886261</v>
      </c>
      <c r="U29" s="18">
        <v>78000</v>
      </c>
      <c r="V29" s="26">
        <v>346</v>
      </c>
      <c r="W29" s="27">
        <v>20.95</v>
      </c>
      <c r="X29" s="28">
        <v>0</v>
      </c>
      <c r="Y29" s="28">
        <v>0</v>
      </c>
      <c r="Z29" s="15">
        <v>0</v>
      </c>
      <c r="AA29" s="15">
        <v>0</v>
      </c>
      <c r="AB29" s="15">
        <v>0</v>
      </c>
      <c r="AC29" s="15">
        <v>0</v>
      </c>
      <c r="AD29" s="11">
        <v>4.7E-2</v>
      </c>
      <c r="AF29" s="17"/>
    </row>
    <row r="30" spans="1:32" x14ac:dyDescent="0.25">
      <c r="A30" s="5" t="s">
        <v>10</v>
      </c>
      <c r="B30" s="13">
        <v>5</v>
      </c>
      <c r="C30" s="13">
        <v>2020</v>
      </c>
      <c r="D30" s="15">
        <v>272700</v>
      </c>
      <c r="E30" s="16">
        <v>3.6960000000000002</v>
      </c>
      <c r="F30" s="18">
        <v>314857.14285714284</v>
      </c>
      <c r="G30" s="18">
        <v>1102000</v>
      </c>
      <c r="H30" s="15">
        <v>6353</v>
      </c>
      <c r="I30" s="16">
        <v>39.5</v>
      </c>
      <c r="J30" s="18">
        <v>2936.7088607594937</v>
      </c>
      <c r="K30" s="18">
        <v>116000</v>
      </c>
      <c r="L30" s="15">
        <v>408.1</v>
      </c>
      <c r="M30" s="16">
        <v>10.99</v>
      </c>
      <c r="N30" s="15">
        <v>12500.58</v>
      </c>
      <c r="O30" s="16">
        <v>10.99</v>
      </c>
      <c r="P30" s="15">
        <v>145.22</v>
      </c>
      <c r="Q30" s="16">
        <v>10.99</v>
      </c>
      <c r="R30" s="36">
        <f t="shared" si="0"/>
        <v>13053.9</v>
      </c>
      <c r="S30" s="16">
        <v>10.99</v>
      </c>
      <c r="T30" s="18">
        <v>6551.4103730664237</v>
      </c>
      <c r="U30" s="18">
        <v>72000</v>
      </c>
      <c r="V30" s="26">
        <v>0</v>
      </c>
      <c r="W30" s="27">
        <v>0</v>
      </c>
      <c r="X30" s="28">
        <v>0</v>
      </c>
      <c r="Y30" s="28">
        <v>0</v>
      </c>
      <c r="Z30" s="15">
        <v>14</v>
      </c>
      <c r="AA30" s="15">
        <v>26</v>
      </c>
      <c r="AB30" s="15">
        <v>0</v>
      </c>
      <c r="AC30" s="15">
        <v>29522</v>
      </c>
      <c r="AD30" s="11">
        <v>4.7E-2</v>
      </c>
      <c r="AF30" s="17"/>
    </row>
    <row r="31" spans="1:32" x14ac:dyDescent="0.25">
      <c r="A31" s="5" t="s">
        <v>10</v>
      </c>
      <c r="B31" s="13">
        <v>6</v>
      </c>
      <c r="C31" s="13">
        <v>2020</v>
      </c>
      <c r="D31" s="15">
        <v>545700</v>
      </c>
      <c r="E31" s="16">
        <v>3.843</v>
      </c>
      <c r="F31" s="18">
        <v>335428.57142857142</v>
      </c>
      <c r="G31" s="18">
        <v>1174000</v>
      </c>
      <c r="H31" s="15">
        <v>12602</v>
      </c>
      <c r="I31" s="16">
        <v>39.5</v>
      </c>
      <c r="J31" s="18">
        <v>2734.1772151898736</v>
      </c>
      <c r="K31" s="18">
        <v>108000</v>
      </c>
      <c r="L31" s="15">
        <v>2673.32</v>
      </c>
      <c r="M31" s="16">
        <v>10.42</v>
      </c>
      <c r="N31" s="15">
        <v>12904.44</v>
      </c>
      <c r="O31" s="16">
        <v>10.42</v>
      </c>
      <c r="P31" s="15">
        <v>5487.62</v>
      </c>
      <c r="Q31" s="16">
        <v>10.42</v>
      </c>
      <c r="R31" s="36">
        <f t="shared" si="0"/>
        <v>21065.38</v>
      </c>
      <c r="S31" s="16">
        <v>10.42</v>
      </c>
      <c r="T31" s="18">
        <v>5980.0664451827242</v>
      </c>
      <c r="U31" s="18">
        <v>72000</v>
      </c>
      <c r="V31" s="26">
        <v>0</v>
      </c>
      <c r="W31" s="27">
        <v>0</v>
      </c>
      <c r="X31" s="28">
        <v>0</v>
      </c>
      <c r="Y31" s="28">
        <v>0</v>
      </c>
      <c r="Z31" s="15">
        <v>174</v>
      </c>
      <c r="AA31" s="15">
        <v>295</v>
      </c>
      <c r="AB31" s="15">
        <v>598</v>
      </c>
      <c r="AC31" s="15">
        <v>12510</v>
      </c>
      <c r="AD31" s="11">
        <v>4.7E-2</v>
      </c>
      <c r="AF31" s="17"/>
    </row>
    <row r="32" spans="1:32" x14ac:dyDescent="0.25">
      <c r="A32" s="5" t="s">
        <v>10</v>
      </c>
      <c r="B32" s="13">
        <v>7</v>
      </c>
      <c r="C32" s="13">
        <v>2020</v>
      </c>
      <c r="D32" s="15">
        <v>912700</v>
      </c>
      <c r="E32" s="16">
        <v>3.5329999999999999</v>
      </c>
      <c r="F32" s="18">
        <v>580571.42857142852</v>
      </c>
      <c r="G32" s="18">
        <v>2031999.9999999998</v>
      </c>
      <c r="H32" s="15">
        <v>13701</v>
      </c>
      <c r="I32" s="16">
        <v>39.5</v>
      </c>
      <c r="J32" s="18">
        <v>7139.2405063291135</v>
      </c>
      <c r="K32" s="18">
        <v>282000</v>
      </c>
      <c r="L32" s="15">
        <v>11621.84</v>
      </c>
      <c r="M32" s="16">
        <v>10.42</v>
      </c>
      <c r="N32" s="15">
        <v>31573.83</v>
      </c>
      <c r="O32" s="16">
        <v>10.42</v>
      </c>
      <c r="P32" s="15">
        <v>13318.9</v>
      </c>
      <c r="Q32" s="16">
        <v>10.42</v>
      </c>
      <c r="R32" s="36">
        <f t="shared" si="0"/>
        <v>56514.57</v>
      </c>
      <c r="S32" s="16">
        <v>10.42</v>
      </c>
      <c r="T32" s="18">
        <v>9083.4021469859617</v>
      </c>
      <c r="U32" s="18">
        <v>109999.99999999999</v>
      </c>
      <c r="V32" s="26">
        <v>0</v>
      </c>
      <c r="W32" s="27">
        <v>0</v>
      </c>
      <c r="X32" s="28">
        <v>0</v>
      </c>
      <c r="Y32" s="28">
        <v>0</v>
      </c>
      <c r="Z32" s="15">
        <v>1326</v>
      </c>
      <c r="AA32" s="15">
        <v>2818</v>
      </c>
      <c r="AB32" s="15">
        <v>6891</v>
      </c>
      <c r="AC32" s="15">
        <v>41476</v>
      </c>
      <c r="AD32" s="11">
        <v>4.7E-2</v>
      </c>
      <c r="AF32" s="17"/>
    </row>
    <row r="33" spans="1:32" x14ac:dyDescent="0.25">
      <c r="A33" s="5" t="s">
        <v>10</v>
      </c>
      <c r="B33" s="13">
        <v>8</v>
      </c>
      <c r="C33" s="13">
        <v>2020</v>
      </c>
      <c r="D33" s="15">
        <v>919700</v>
      </c>
      <c r="E33" s="16">
        <v>3.9020000000000001</v>
      </c>
      <c r="F33" s="18">
        <v>646285.71428571432</v>
      </c>
      <c r="G33" s="18">
        <v>2262000</v>
      </c>
      <c r="H33" s="15">
        <v>13462</v>
      </c>
      <c r="I33" s="16">
        <v>39.5</v>
      </c>
      <c r="J33" s="18">
        <v>7898.7341772151894</v>
      </c>
      <c r="K33" s="18">
        <v>312000</v>
      </c>
      <c r="L33" s="15">
        <v>11670.6</v>
      </c>
      <c r="M33" s="16">
        <v>10.57</v>
      </c>
      <c r="N33" s="15">
        <v>25519.07</v>
      </c>
      <c r="O33" s="16">
        <v>10.57</v>
      </c>
      <c r="P33" s="15">
        <v>16380.18</v>
      </c>
      <c r="Q33" s="16">
        <v>10.57</v>
      </c>
      <c r="R33" s="36">
        <f t="shared" si="0"/>
        <v>53569.85</v>
      </c>
      <c r="S33" s="16">
        <v>10.57</v>
      </c>
      <c r="T33" s="18">
        <v>10448.979591836734</v>
      </c>
      <c r="U33" s="18">
        <v>128000</v>
      </c>
      <c r="V33" s="26">
        <v>932</v>
      </c>
      <c r="W33" s="27">
        <v>20.95</v>
      </c>
      <c r="X33" s="28">
        <v>0</v>
      </c>
      <c r="Y33" s="28">
        <v>0</v>
      </c>
      <c r="Z33" s="15">
        <v>1525</v>
      </c>
      <c r="AA33" s="15">
        <v>3238</v>
      </c>
      <c r="AB33" s="15">
        <v>8194</v>
      </c>
      <c r="AC33" s="15">
        <v>44362</v>
      </c>
      <c r="AD33" s="11">
        <v>4.7E-2</v>
      </c>
      <c r="AF33" s="17"/>
    </row>
    <row r="34" spans="1:32" x14ac:dyDescent="0.25">
      <c r="A34" s="5" t="s">
        <v>10</v>
      </c>
      <c r="B34" s="14">
        <v>9</v>
      </c>
      <c r="C34" s="14">
        <v>2020</v>
      </c>
      <c r="D34" s="15">
        <v>885500</v>
      </c>
      <c r="E34" s="16">
        <v>3.4510000000000001</v>
      </c>
      <c r="F34" s="18">
        <v>652000</v>
      </c>
      <c r="G34" s="18">
        <v>2282000</v>
      </c>
      <c r="H34" s="15">
        <v>9802</v>
      </c>
      <c r="I34" s="16">
        <v>39.5</v>
      </c>
      <c r="J34" s="18">
        <v>7088.6075949367087</v>
      </c>
      <c r="K34" s="18">
        <v>280000</v>
      </c>
      <c r="L34" s="15">
        <v>11221.16</v>
      </c>
      <c r="M34" s="16">
        <v>10.57</v>
      </c>
      <c r="N34" s="15">
        <v>28659.22</v>
      </c>
      <c r="O34" s="16">
        <v>10.57</v>
      </c>
      <c r="P34" s="15">
        <v>15298.98</v>
      </c>
      <c r="Q34" s="16">
        <v>10.57</v>
      </c>
      <c r="R34" s="36">
        <f t="shared" si="0"/>
        <v>55179.360000000001</v>
      </c>
      <c r="S34" s="16">
        <v>10.57</v>
      </c>
      <c r="T34" s="18">
        <v>8801.955990220049</v>
      </c>
      <c r="U34" s="18">
        <v>108000</v>
      </c>
      <c r="V34" s="26">
        <v>1649</v>
      </c>
      <c r="W34" s="27">
        <v>20.95</v>
      </c>
      <c r="X34" s="28">
        <v>0</v>
      </c>
      <c r="Y34" s="28">
        <v>0</v>
      </c>
      <c r="Z34" s="15">
        <v>1396</v>
      </c>
      <c r="AA34" s="15">
        <v>2673</v>
      </c>
      <c r="AB34" s="15">
        <v>6946</v>
      </c>
      <c r="AC34" s="15">
        <v>43968</v>
      </c>
      <c r="AD34" s="11">
        <v>4.7E-2</v>
      </c>
      <c r="AF34" s="17"/>
    </row>
    <row r="35" spans="1:32" x14ac:dyDescent="0.25">
      <c r="A35" s="5" t="s">
        <v>10</v>
      </c>
      <c r="B35" s="14">
        <v>10</v>
      </c>
      <c r="C35" s="14">
        <v>2020</v>
      </c>
      <c r="D35" s="15">
        <v>860000</v>
      </c>
      <c r="E35" s="16">
        <v>3.34</v>
      </c>
      <c r="F35" s="18">
        <v>744571.42857142852</v>
      </c>
      <c r="G35" s="18">
        <v>2606000</v>
      </c>
      <c r="H35" s="15">
        <v>12920</v>
      </c>
      <c r="I35" s="16">
        <v>39.5</v>
      </c>
      <c r="J35" s="18">
        <v>9113.9240506329115</v>
      </c>
      <c r="K35" s="18">
        <v>360000</v>
      </c>
      <c r="L35" s="15">
        <v>12480.4</v>
      </c>
      <c r="M35" s="16">
        <v>10.42</v>
      </c>
      <c r="N35" s="15">
        <v>43403.8</v>
      </c>
      <c r="O35" s="16">
        <v>10.42</v>
      </c>
      <c r="P35" s="15">
        <v>16167.1</v>
      </c>
      <c r="Q35" s="16">
        <v>10.42</v>
      </c>
      <c r="R35" s="36">
        <f t="shared" si="0"/>
        <v>72051.3</v>
      </c>
      <c r="S35" s="16">
        <v>10.42</v>
      </c>
      <c r="T35" s="18">
        <v>12320</v>
      </c>
      <c r="U35" s="18">
        <v>154000</v>
      </c>
      <c r="V35" s="26">
        <v>2005</v>
      </c>
      <c r="W35" s="27">
        <v>20.95</v>
      </c>
      <c r="X35" s="28">
        <v>0</v>
      </c>
      <c r="Y35" s="28">
        <v>0</v>
      </c>
      <c r="Z35" s="15">
        <v>2038</v>
      </c>
      <c r="AA35" s="15">
        <v>3868</v>
      </c>
      <c r="AB35" s="15">
        <v>10631</v>
      </c>
      <c r="AC35" s="15">
        <v>55752</v>
      </c>
      <c r="AD35" s="11">
        <v>4.7E-2</v>
      </c>
      <c r="AF35" s="17"/>
    </row>
    <row r="36" spans="1:32" x14ac:dyDescent="0.25">
      <c r="A36" s="5" t="s">
        <v>10</v>
      </c>
      <c r="B36" s="14">
        <v>11</v>
      </c>
      <c r="C36" s="14">
        <v>2020</v>
      </c>
      <c r="D36" s="15">
        <v>730000</v>
      </c>
      <c r="E36" s="16">
        <v>3.31</v>
      </c>
      <c r="F36" s="18">
        <v>590285.71428571432</v>
      </c>
      <c r="G36" s="18">
        <v>2066000</v>
      </c>
      <c r="H36" s="15">
        <v>15648</v>
      </c>
      <c r="I36" s="16">
        <v>39.5</v>
      </c>
      <c r="J36" s="18">
        <v>10936.708860759494</v>
      </c>
      <c r="K36" s="18">
        <v>432000</v>
      </c>
      <c r="L36" s="15">
        <v>12788.9</v>
      </c>
      <c r="M36" s="16">
        <v>10.42</v>
      </c>
      <c r="N36" s="15">
        <v>90149.82</v>
      </c>
      <c r="O36" s="16">
        <v>10.42</v>
      </c>
      <c r="P36" s="15">
        <v>16769.2</v>
      </c>
      <c r="Q36" s="16">
        <v>10.42</v>
      </c>
      <c r="R36" s="36">
        <f t="shared" si="0"/>
        <v>119707.92</v>
      </c>
      <c r="S36" s="16">
        <v>10.42</v>
      </c>
      <c r="T36" s="18">
        <v>16453.674121405751</v>
      </c>
      <c r="U36" s="18">
        <v>206000</v>
      </c>
      <c r="V36" s="26">
        <v>0</v>
      </c>
      <c r="W36" s="27">
        <v>0</v>
      </c>
      <c r="X36" s="28">
        <v>0</v>
      </c>
      <c r="Y36" s="28">
        <v>0</v>
      </c>
      <c r="Z36" s="15">
        <v>1990</v>
      </c>
      <c r="AA36" s="15">
        <v>3931</v>
      </c>
      <c r="AB36" s="15">
        <v>10868</v>
      </c>
      <c r="AC36" s="15">
        <v>63098</v>
      </c>
      <c r="AD36" s="11">
        <v>4.7E-2</v>
      </c>
      <c r="AF36" s="17"/>
    </row>
    <row r="37" spans="1:32" x14ac:dyDescent="0.25">
      <c r="A37" s="5" t="s">
        <v>10</v>
      </c>
      <c r="B37" s="14">
        <v>12</v>
      </c>
      <c r="C37" s="14">
        <v>2020</v>
      </c>
      <c r="D37" s="15">
        <v>620000</v>
      </c>
      <c r="E37" s="16">
        <v>2.9060000000000001</v>
      </c>
      <c r="F37" s="18">
        <v>723428.57142857148</v>
      </c>
      <c r="G37" s="18">
        <v>2532000</v>
      </c>
      <c r="H37" s="15">
        <v>14615</v>
      </c>
      <c r="I37" s="16">
        <v>39.5</v>
      </c>
      <c r="J37" s="18">
        <v>11443.037974683544</v>
      </c>
      <c r="K37" s="18">
        <v>452000</v>
      </c>
      <c r="L37" s="15">
        <v>14069.4</v>
      </c>
      <c r="M37" s="16">
        <v>10.42</v>
      </c>
      <c r="N37" s="15">
        <v>234349</v>
      </c>
      <c r="O37" s="16">
        <v>10.42</v>
      </c>
      <c r="P37" s="15">
        <v>18265.900000000001</v>
      </c>
      <c r="Q37" s="16">
        <v>10.42</v>
      </c>
      <c r="R37" s="36">
        <f t="shared" si="0"/>
        <v>266684.3</v>
      </c>
      <c r="S37" s="16">
        <v>10.42</v>
      </c>
      <c r="T37" s="18">
        <v>17061.611374407581</v>
      </c>
      <c r="U37" s="18">
        <v>215999.99999999997</v>
      </c>
      <c r="V37" s="26">
        <v>291</v>
      </c>
      <c r="W37" s="27">
        <v>20.95</v>
      </c>
      <c r="X37" s="28">
        <v>0</v>
      </c>
      <c r="Y37" s="28">
        <v>0</v>
      </c>
      <c r="Z37" s="15">
        <v>1579</v>
      </c>
      <c r="AA37" s="15">
        <v>3041</v>
      </c>
      <c r="AB37" s="15">
        <v>8455</v>
      </c>
      <c r="AC37" s="15">
        <v>60260</v>
      </c>
      <c r="AD37" s="11">
        <v>4.7E-2</v>
      </c>
      <c r="AF37" s="17"/>
    </row>
    <row r="38" spans="1:32" x14ac:dyDescent="0.25">
      <c r="A38" s="5" t="s">
        <v>10</v>
      </c>
      <c r="B38" s="14">
        <v>1</v>
      </c>
      <c r="C38" s="14">
        <v>2021</v>
      </c>
      <c r="D38" s="15">
        <v>540000</v>
      </c>
      <c r="E38" s="16">
        <v>3.4169999999999998</v>
      </c>
      <c r="F38" s="18">
        <v>577114.42786069657</v>
      </c>
      <c r="G38" s="18">
        <v>1972000</v>
      </c>
      <c r="H38" s="15">
        <v>9363</v>
      </c>
      <c r="I38" s="16">
        <v>48.11</v>
      </c>
      <c r="J38" s="18">
        <v>11182.706298066931</v>
      </c>
      <c r="K38" s="18">
        <v>538000</v>
      </c>
      <c r="L38" s="15">
        <v>11038.8</v>
      </c>
      <c r="M38" s="16">
        <v>13.426230713232275</v>
      </c>
      <c r="N38" s="15">
        <v>223442.7</v>
      </c>
      <c r="O38" s="16">
        <v>13.426230713232275</v>
      </c>
      <c r="P38" s="15">
        <v>15167.5</v>
      </c>
      <c r="Q38" s="16">
        <v>13.426230713232275</v>
      </c>
      <c r="R38" s="36">
        <f>L38+N38+P38</f>
        <v>249649</v>
      </c>
      <c r="S38" s="16">
        <v>13.426230713232275</v>
      </c>
      <c r="T38" s="18">
        <v>241842.61036468329</v>
      </c>
      <c r="U38" s="18">
        <v>2520000</v>
      </c>
      <c r="V38" s="26">
        <v>197</v>
      </c>
      <c r="W38" s="27">
        <v>19.600000000000001</v>
      </c>
      <c r="X38" s="28">
        <v>0</v>
      </c>
      <c r="Y38" s="28">
        <v>0</v>
      </c>
      <c r="Z38" s="15">
        <v>788</v>
      </c>
      <c r="AA38" s="15">
        <v>1473</v>
      </c>
      <c r="AB38" s="15">
        <v>4388</v>
      </c>
      <c r="AC38" s="15">
        <v>42986</v>
      </c>
      <c r="AD38" s="11">
        <v>4.7E-2</v>
      </c>
      <c r="AF38" s="17"/>
    </row>
    <row r="39" spans="1:32" x14ac:dyDescent="0.25">
      <c r="A39" s="5" t="s">
        <v>10</v>
      </c>
      <c r="B39" s="14">
        <v>2</v>
      </c>
      <c r="C39" s="14">
        <v>2021</v>
      </c>
      <c r="D39" s="15">
        <v>520000</v>
      </c>
      <c r="E39" s="16">
        <v>3.5089999999999999</v>
      </c>
      <c r="F39" s="18">
        <v>517526.36078654887</v>
      </c>
      <c r="G39" s="18">
        <v>1816000</v>
      </c>
      <c r="H39" s="15">
        <v>10025</v>
      </c>
      <c r="I39" s="16">
        <v>48.11</v>
      </c>
      <c r="J39" s="18">
        <v>11224.277696944502</v>
      </c>
      <c r="K39" s="18">
        <v>540000</v>
      </c>
      <c r="L39" s="15">
        <v>11401.36</v>
      </c>
      <c r="M39" s="16">
        <v>13.855347928400834</v>
      </c>
      <c r="N39" s="15">
        <v>224797.38</v>
      </c>
      <c r="O39" s="16">
        <v>13.855347928400834</v>
      </c>
      <c r="P39" s="15">
        <v>13384.62</v>
      </c>
      <c r="Q39" s="16">
        <v>13.855347928400834</v>
      </c>
      <c r="R39" s="36">
        <f t="shared" ref="R39:R62" si="1">L39+N39+P39</f>
        <v>249583.35999999999</v>
      </c>
      <c r="S39" s="16">
        <v>13.855347928400834</v>
      </c>
      <c r="T39" s="18">
        <v>200700.52539404554</v>
      </c>
      <c r="U39" s="18">
        <v>2292000</v>
      </c>
      <c r="V39" s="26">
        <v>3211</v>
      </c>
      <c r="W39" s="27">
        <v>19.600000000000001</v>
      </c>
      <c r="X39" s="28">
        <v>0</v>
      </c>
      <c r="Y39" s="28">
        <v>0</v>
      </c>
      <c r="Z39" s="15">
        <v>1005</v>
      </c>
      <c r="AA39" s="15">
        <v>1926</v>
      </c>
      <c r="AB39" s="15">
        <v>8745</v>
      </c>
      <c r="AC39" s="15">
        <v>43070</v>
      </c>
      <c r="AD39" s="11">
        <v>4.7E-2</v>
      </c>
      <c r="AF39" s="17"/>
    </row>
    <row r="40" spans="1:32" x14ac:dyDescent="0.25">
      <c r="A40" s="5" t="s">
        <v>10</v>
      </c>
      <c r="B40" s="14">
        <v>3</v>
      </c>
      <c r="C40" s="14">
        <v>2021</v>
      </c>
      <c r="D40" s="15">
        <v>650000</v>
      </c>
      <c r="E40" s="16">
        <v>3.2120000000000002</v>
      </c>
      <c r="F40" s="18">
        <v>655666.25155666249</v>
      </c>
      <c r="G40" s="18">
        <v>2106000</v>
      </c>
      <c r="H40" s="15">
        <v>13402</v>
      </c>
      <c r="I40" s="16">
        <v>48.11</v>
      </c>
      <c r="J40" s="18">
        <v>10683.849511536064</v>
      </c>
      <c r="K40" s="18">
        <v>514000</v>
      </c>
      <c r="L40" s="15">
        <v>15073.2</v>
      </c>
      <c r="M40" s="16">
        <v>14.577781025381109</v>
      </c>
      <c r="N40" s="15">
        <v>245102.74</v>
      </c>
      <c r="O40" s="16">
        <v>14.577781025381109</v>
      </c>
      <c r="P40" s="15">
        <v>19906.8</v>
      </c>
      <c r="Q40" s="16">
        <v>14.577781025381109</v>
      </c>
      <c r="R40" s="36">
        <f t="shared" si="1"/>
        <v>280082.74</v>
      </c>
      <c r="S40" s="16">
        <v>14.577781025381109</v>
      </c>
      <c r="T40" s="18">
        <v>148032.10048848568</v>
      </c>
      <c r="U40" s="18">
        <v>2198000</v>
      </c>
      <c r="V40" s="26">
        <v>1958</v>
      </c>
      <c r="W40" s="27">
        <v>21.97</v>
      </c>
      <c r="X40" s="28">
        <v>10000</v>
      </c>
      <c r="Y40" s="28">
        <v>220000</v>
      </c>
      <c r="Z40" s="15">
        <v>2369</v>
      </c>
      <c r="AA40" s="15">
        <v>4825</v>
      </c>
      <c r="AB40" s="15">
        <v>13525</v>
      </c>
      <c r="AC40" s="15">
        <v>66076</v>
      </c>
      <c r="AD40" s="11">
        <v>4.7E-2</v>
      </c>
      <c r="AF40" s="17"/>
    </row>
    <row r="41" spans="1:32" x14ac:dyDescent="0.25">
      <c r="A41" s="5" t="s">
        <v>10</v>
      </c>
      <c r="B41" s="14">
        <v>4</v>
      </c>
      <c r="C41" s="14">
        <v>2021</v>
      </c>
      <c r="D41" s="15">
        <v>770000</v>
      </c>
      <c r="E41" s="16">
        <v>4.01</v>
      </c>
      <c r="F41" s="18">
        <v>516708.22942643391</v>
      </c>
      <c r="G41" s="18">
        <v>2072000</v>
      </c>
      <c r="H41" s="15">
        <v>14453</v>
      </c>
      <c r="I41" s="16">
        <v>48.11</v>
      </c>
      <c r="J41" s="18">
        <v>10434.421118270629</v>
      </c>
      <c r="K41" s="18">
        <v>502000</v>
      </c>
      <c r="L41" s="15">
        <v>14814.56</v>
      </c>
      <c r="M41" s="16">
        <v>14.369598540930459</v>
      </c>
      <c r="N41" s="15">
        <v>151214.29999999999</v>
      </c>
      <c r="O41" s="16">
        <v>14.369598540930459</v>
      </c>
      <c r="P41" s="15">
        <v>21077.040000000001</v>
      </c>
      <c r="Q41" s="16">
        <v>14.369598540930459</v>
      </c>
      <c r="R41" s="36">
        <f t="shared" si="1"/>
        <v>187105.9</v>
      </c>
      <c r="S41" s="16">
        <v>14.369598540930459</v>
      </c>
      <c r="T41" s="18">
        <v>77491.289198606275</v>
      </c>
      <c r="U41" s="18">
        <v>1112000</v>
      </c>
      <c r="V41" s="26">
        <v>703</v>
      </c>
      <c r="W41" s="27">
        <v>21.97</v>
      </c>
      <c r="X41" s="28">
        <v>0</v>
      </c>
      <c r="Y41" s="28">
        <v>0</v>
      </c>
      <c r="Z41" s="15">
        <v>2409</v>
      </c>
      <c r="AA41" s="15">
        <v>4786</v>
      </c>
      <c r="AB41" s="15">
        <v>14042</v>
      </c>
      <c r="AC41" s="15">
        <v>79410</v>
      </c>
      <c r="AD41" s="11">
        <v>4.8000000000000001E-2</v>
      </c>
      <c r="AF41" s="17"/>
    </row>
    <row r="42" spans="1:32" x14ac:dyDescent="0.25">
      <c r="A42" s="5" t="s">
        <v>10</v>
      </c>
      <c r="B42" s="14">
        <v>5</v>
      </c>
      <c r="C42" s="14">
        <v>2021</v>
      </c>
      <c r="D42" s="15">
        <v>980000</v>
      </c>
      <c r="E42" s="16">
        <v>3.944</v>
      </c>
      <c r="F42" s="18">
        <v>566430.02028397564</v>
      </c>
      <c r="G42" s="18">
        <v>2234000</v>
      </c>
      <c r="H42" s="15">
        <v>16747</v>
      </c>
      <c r="I42" s="16">
        <v>48.11</v>
      </c>
      <c r="J42" s="18">
        <v>10434.421118270629</v>
      </c>
      <c r="K42" s="18">
        <v>502000</v>
      </c>
      <c r="L42" s="15">
        <v>15501.44</v>
      </c>
      <c r="M42" s="16">
        <v>14.460301132006288</v>
      </c>
      <c r="N42" s="15">
        <v>103534.39999999999</v>
      </c>
      <c r="O42" s="16">
        <v>14.460301132006288</v>
      </c>
      <c r="P42" s="15">
        <v>21415.200000000001</v>
      </c>
      <c r="Q42" s="16">
        <v>14.460301132006288</v>
      </c>
      <c r="R42" s="36">
        <f t="shared" si="1"/>
        <v>140451.04</v>
      </c>
      <c r="S42" s="16">
        <v>14.460301132006288</v>
      </c>
      <c r="T42" s="18">
        <v>81393.72822299652</v>
      </c>
      <c r="U42" s="18">
        <v>1168000</v>
      </c>
      <c r="V42" s="26">
        <v>15824</v>
      </c>
      <c r="W42" s="27">
        <v>21.97</v>
      </c>
      <c r="X42" s="28">
        <v>0</v>
      </c>
      <c r="Y42" s="28">
        <v>0</v>
      </c>
      <c r="Z42" s="15">
        <v>2422</v>
      </c>
      <c r="AA42" s="15">
        <v>4624</v>
      </c>
      <c r="AB42" s="15">
        <v>14831</v>
      </c>
      <c r="AC42" s="15">
        <v>79438</v>
      </c>
      <c r="AD42" s="11">
        <v>4.8000000000000001E-2</v>
      </c>
      <c r="AF42" s="17"/>
    </row>
    <row r="43" spans="1:32" x14ac:dyDescent="0.25">
      <c r="A43" s="5" t="s">
        <v>10</v>
      </c>
      <c r="B43" s="14">
        <v>6</v>
      </c>
      <c r="C43" s="14">
        <v>2021</v>
      </c>
      <c r="D43" s="15">
        <v>1050000</v>
      </c>
      <c r="E43" s="16">
        <v>4.4569999999999999</v>
      </c>
      <c r="F43" s="18">
        <v>486425.84698227508</v>
      </c>
      <c r="G43" s="18">
        <v>2168000</v>
      </c>
      <c r="H43" s="15">
        <v>17513</v>
      </c>
      <c r="I43" s="16">
        <v>48.11</v>
      </c>
      <c r="J43" s="18">
        <v>10475.992517148203</v>
      </c>
      <c r="K43" s="18">
        <v>504000</v>
      </c>
      <c r="L43" s="15">
        <v>14873.92</v>
      </c>
      <c r="M43" s="16">
        <v>14.673705760435016</v>
      </c>
      <c r="N43" s="15">
        <v>62158.400000000001</v>
      </c>
      <c r="O43" s="16">
        <v>14.673705760435016</v>
      </c>
      <c r="P43" s="15">
        <v>20902.14</v>
      </c>
      <c r="Q43" s="16">
        <v>14.673705760435016</v>
      </c>
      <c r="R43" s="36">
        <f t="shared" si="1"/>
        <v>97934.46</v>
      </c>
      <c r="S43" s="16">
        <v>14.673705760435016</v>
      </c>
      <c r="T43" s="18">
        <v>58954.703832752617</v>
      </c>
      <c r="U43" s="18">
        <v>846000</v>
      </c>
      <c r="V43" s="26">
        <v>2967</v>
      </c>
      <c r="W43" s="27">
        <v>21.97</v>
      </c>
      <c r="X43" s="28">
        <v>0</v>
      </c>
      <c r="Y43" s="28">
        <v>0</v>
      </c>
      <c r="Z43" s="15">
        <v>2578</v>
      </c>
      <c r="AA43" s="15">
        <v>5032</v>
      </c>
      <c r="AB43" s="15">
        <v>15234</v>
      </c>
      <c r="AC43" s="15">
        <v>82556</v>
      </c>
      <c r="AD43" s="11">
        <v>4.8000000000000001E-2</v>
      </c>
      <c r="AF43" s="17"/>
    </row>
    <row r="44" spans="1:32" x14ac:dyDescent="0.25">
      <c r="A44" s="5" t="s">
        <v>10</v>
      </c>
      <c r="B44" s="14">
        <v>7</v>
      </c>
      <c r="C44" s="14">
        <v>2021</v>
      </c>
      <c r="D44" s="15">
        <v>1070000</v>
      </c>
      <c r="E44" s="16">
        <v>4.3929999999999998</v>
      </c>
      <c r="F44" s="18">
        <v>542226.26906442072</v>
      </c>
      <c r="G44" s="18">
        <v>2382000</v>
      </c>
      <c r="H44" s="15">
        <v>18285</v>
      </c>
      <c r="I44" s="16">
        <v>48.11</v>
      </c>
      <c r="J44" s="18">
        <v>11141.134899189357</v>
      </c>
      <c r="K44" s="18">
        <v>536000</v>
      </c>
      <c r="L44" s="15">
        <v>16334.6</v>
      </c>
      <c r="M44" s="16">
        <v>15.510127822928803</v>
      </c>
      <c r="N44" s="15">
        <v>57028</v>
      </c>
      <c r="O44" s="16">
        <v>15.510127822928803</v>
      </c>
      <c r="P44" s="15">
        <v>21808.44</v>
      </c>
      <c r="Q44" s="16">
        <v>15.510127822928803</v>
      </c>
      <c r="R44" s="36">
        <f t="shared" si="1"/>
        <v>95171.040000000008</v>
      </c>
      <c r="S44" s="16">
        <v>15.510127822928803</v>
      </c>
      <c r="T44" s="18">
        <v>61323.144104803498</v>
      </c>
      <c r="U44" s="18">
        <v>776000</v>
      </c>
      <c r="V44" s="26">
        <v>2489</v>
      </c>
      <c r="W44" s="27">
        <v>21.97</v>
      </c>
      <c r="X44" s="28">
        <v>7000</v>
      </c>
      <c r="Y44" s="28">
        <v>154000</v>
      </c>
      <c r="Z44" s="15">
        <v>2582</v>
      </c>
      <c r="AA44" s="15">
        <v>5484</v>
      </c>
      <c r="AB44" s="15">
        <v>16637</v>
      </c>
      <c r="AC44" s="15">
        <v>86704</v>
      </c>
      <c r="AD44" s="11">
        <v>4.8000000000000001E-2</v>
      </c>
      <c r="AF44" s="17"/>
    </row>
    <row r="45" spans="1:32" x14ac:dyDescent="0.25">
      <c r="A45" s="5" t="s">
        <v>10</v>
      </c>
      <c r="B45" s="14">
        <v>8</v>
      </c>
      <c r="C45" s="14">
        <v>2021</v>
      </c>
      <c r="D45" s="15">
        <v>1110000</v>
      </c>
      <c r="E45" s="16">
        <v>4.33</v>
      </c>
      <c r="F45" s="18">
        <v>550115.47344110848</v>
      </c>
      <c r="G45" s="18">
        <v>2381999.9999999995</v>
      </c>
      <c r="H45" s="15">
        <v>13508</v>
      </c>
      <c r="I45" s="16">
        <v>48.11</v>
      </c>
      <c r="J45" s="18">
        <v>11057.992101434213</v>
      </c>
      <c r="K45" s="18">
        <v>532000</v>
      </c>
      <c r="L45" s="15">
        <v>14882.4</v>
      </c>
      <c r="M45" s="16">
        <v>13.172292869759819</v>
      </c>
      <c r="N45" s="15">
        <v>54134.2</v>
      </c>
      <c r="O45" s="16">
        <v>13.172292869759819</v>
      </c>
      <c r="P45" s="15">
        <v>20148.48</v>
      </c>
      <c r="Q45" s="16">
        <v>13.172292869759819</v>
      </c>
      <c r="R45" s="36">
        <f t="shared" si="1"/>
        <v>89165.079999999987</v>
      </c>
      <c r="S45" s="16">
        <v>13.172292869759819</v>
      </c>
      <c r="T45" s="18">
        <v>54497.816593886469</v>
      </c>
      <c r="U45" s="18">
        <v>624000</v>
      </c>
      <c r="V45" s="26">
        <v>1821</v>
      </c>
      <c r="W45" s="27">
        <v>21.97</v>
      </c>
      <c r="X45" s="28">
        <v>0</v>
      </c>
      <c r="Y45" s="28">
        <v>0</v>
      </c>
      <c r="Z45" s="15">
        <v>1753</v>
      </c>
      <c r="AA45" s="15">
        <v>3778</v>
      </c>
      <c r="AB45" s="15">
        <v>12256</v>
      </c>
      <c r="AC45" s="15">
        <v>69078</v>
      </c>
      <c r="AD45" s="11">
        <v>4.8000000000000001E-2</v>
      </c>
      <c r="AF45" s="17"/>
    </row>
    <row r="46" spans="1:32" x14ac:dyDescent="0.25">
      <c r="A46" s="5" t="s">
        <v>10</v>
      </c>
      <c r="B46" s="14">
        <v>9</v>
      </c>
      <c r="C46" s="14">
        <v>2021</v>
      </c>
      <c r="D46" s="15">
        <v>780000</v>
      </c>
      <c r="E46" s="16">
        <v>3.8809999999999998</v>
      </c>
      <c r="F46" s="18">
        <v>557043.87990762119</v>
      </c>
      <c r="G46" s="18">
        <v>2412000</v>
      </c>
      <c r="H46" s="15">
        <v>14067</v>
      </c>
      <c r="I46" s="16">
        <v>48.11</v>
      </c>
      <c r="J46" s="18">
        <v>10850.135107046352</v>
      </c>
      <c r="K46" s="18">
        <v>521999.99999999994</v>
      </c>
      <c r="L46" s="15">
        <v>9687.34</v>
      </c>
      <c r="M46" s="16">
        <v>13.448656177682889</v>
      </c>
      <c r="N46" s="15">
        <v>48929.599999999999</v>
      </c>
      <c r="O46" s="16">
        <v>13.448656177682889</v>
      </c>
      <c r="P46" s="15">
        <v>14497.62</v>
      </c>
      <c r="Q46" s="16">
        <v>13.448656177682889</v>
      </c>
      <c r="R46" s="36">
        <f t="shared" si="1"/>
        <v>73114.559999999998</v>
      </c>
      <c r="S46" s="16">
        <v>13.448656177682889</v>
      </c>
      <c r="T46" s="18">
        <v>79650.655021834071</v>
      </c>
      <c r="U46" s="18">
        <v>912000</v>
      </c>
      <c r="V46" s="26">
        <v>53156</v>
      </c>
      <c r="W46" s="27">
        <v>23.45</v>
      </c>
      <c r="X46" s="28">
        <v>0</v>
      </c>
      <c r="Y46" s="28">
        <v>0</v>
      </c>
      <c r="Z46" s="15">
        <v>921</v>
      </c>
      <c r="AA46" s="15">
        <v>1747</v>
      </c>
      <c r="AB46" s="15">
        <v>4548</v>
      </c>
      <c r="AC46" s="15">
        <v>41894</v>
      </c>
      <c r="AD46" s="35">
        <v>4.8000000000000001E-2</v>
      </c>
      <c r="AF46" s="17"/>
    </row>
    <row r="47" spans="1:32" x14ac:dyDescent="0.25">
      <c r="A47" s="5" t="s">
        <v>10</v>
      </c>
      <c r="B47" s="14">
        <v>10</v>
      </c>
      <c r="C47" s="14">
        <v>2021</v>
      </c>
      <c r="D47" s="15">
        <v>900000</v>
      </c>
      <c r="E47" s="16">
        <v>3.88</v>
      </c>
      <c r="F47" s="18">
        <v>578752.88683602773</v>
      </c>
      <c r="G47" s="18">
        <v>2506000</v>
      </c>
      <c r="H47" s="15">
        <v>19251</v>
      </c>
      <c r="I47" s="16">
        <v>48.11</v>
      </c>
      <c r="J47" s="18">
        <v>11473.706090209937</v>
      </c>
      <c r="K47" s="18">
        <v>552000</v>
      </c>
      <c r="L47" s="15">
        <v>14706.44</v>
      </c>
      <c r="M47" s="16">
        <v>13.736307697007243</v>
      </c>
      <c r="N47" s="15">
        <v>72143.600000000006</v>
      </c>
      <c r="O47" s="16">
        <v>13.736307697007243</v>
      </c>
      <c r="P47" s="15">
        <v>18821.36</v>
      </c>
      <c r="Q47" s="16">
        <v>13.736307697007243</v>
      </c>
      <c r="R47" s="36">
        <f t="shared" si="1"/>
        <v>105671.40000000001</v>
      </c>
      <c r="S47" s="16">
        <v>13.736307697007243</v>
      </c>
      <c r="T47" s="18">
        <v>138340.61135371181</v>
      </c>
      <c r="U47" s="18">
        <v>1584000</v>
      </c>
      <c r="V47" s="26">
        <v>22498</v>
      </c>
      <c r="W47" s="27">
        <v>23.45</v>
      </c>
      <c r="X47" s="28">
        <v>0</v>
      </c>
      <c r="Y47" s="28">
        <v>0</v>
      </c>
      <c r="Z47" s="15">
        <v>2577</v>
      </c>
      <c r="AA47" s="15">
        <v>4615</v>
      </c>
      <c r="AB47" s="15">
        <v>15274</v>
      </c>
      <c r="AC47" s="15">
        <v>77272</v>
      </c>
      <c r="AD47" s="35">
        <v>4.8000000000000001E-2</v>
      </c>
      <c r="AF47" s="17"/>
    </row>
    <row r="48" spans="1:32" x14ac:dyDescent="0.25">
      <c r="A48" s="5" t="s">
        <v>10</v>
      </c>
      <c r="B48" s="14">
        <v>11</v>
      </c>
      <c r="C48" s="14">
        <v>2021</v>
      </c>
      <c r="D48" s="15">
        <v>1030000</v>
      </c>
      <c r="E48" s="16">
        <v>3.65</v>
      </c>
      <c r="F48" s="18">
        <v>607390.30023094686</v>
      </c>
      <c r="G48" s="18">
        <v>2630000</v>
      </c>
      <c r="H48" s="15">
        <v>13483</v>
      </c>
      <c r="I48" s="16">
        <v>48.11</v>
      </c>
      <c r="J48" s="18">
        <v>11930.99147786323</v>
      </c>
      <c r="K48" s="18">
        <v>574000</v>
      </c>
      <c r="L48" s="15">
        <v>18035.900000000001</v>
      </c>
      <c r="M48" s="16">
        <v>14.522517412560299</v>
      </c>
      <c r="N48" s="15">
        <v>156625.60000000001</v>
      </c>
      <c r="O48" s="16">
        <v>14.522517412560299</v>
      </c>
      <c r="P48" s="15">
        <v>22654.32</v>
      </c>
      <c r="Q48" s="16">
        <v>14.522517412560299</v>
      </c>
      <c r="R48" s="36">
        <f t="shared" si="1"/>
        <v>197315.82</v>
      </c>
      <c r="S48" s="16">
        <v>14.522517412560299</v>
      </c>
      <c r="T48" s="18">
        <v>170589.51965065504</v>
      </c>
      <c r="U48" s="18">
        <v>2006000</v>
      </c>
      <c r="V48" s="26">
        <v>8228</v>
      </c>
      <c r="W48" s="27">
        <v>23.45</v>
      </c>
      <c r="X48" s="28">
        <v>5000</v>
      </c>
      <c r="Y48" s="28">
        <v>110000</v>
      </c>
      <c r="Z48" s="15">
        <v>2958</v>
      </c>
      <c r="AA48" s="15">
        <v>5784</v>
      </c>
      <c r="AB48" s="15">
        <v>18241</v>
      </c>
      <c r="AC48" s="15">
        <v>88166</v>
      </c>
      <c r="AD48" s="35">
        <v>4.8000000000000001E-2</v>
      </c>
      <c r="AE48" s="38"/>
      <c r="AF48" s="17"/>
    </row>
    <row r="49" spans="1:32" x14ac:dyDescent="0.25">
      <c r="A49" s="5" t="s">
        <v>10</v>
      </c>
      <c r="B49" s="14">
        <v>12</v>
      </c>
      <c r="C49" s="14">
        <v>2021</v>
      </c>
      <c r="D49" s="15">
        <v>840000</v>
      </c>
      <c r="E49" s="16">
        <v>3.141</v>
      </c>
      <c r="F49" s="18">
        <v>623556.58198614314</v>
      </c>
      <c r="G49" s="18">
        <v>2700000</v>
      </c>
      <c r="H49" s="15">
        <v>9419</v>
      </c>
      <c r="I49" s="16">
        <v>48.11</v>
      </c>
      <c r="J49" s="18">
        <v>12180.419871128664</v>
      </c>
      <c r="K49" s="18">
        <v>586000</v>
      </c>
      <c r="L49" s="15">
        <v>17620.38</v>
      </c>
      <c r="M49" s="16">
        <v>13.312994118259169</v>
      </c>
      <c r="N49" s="15">
        <v>212710.2</v>
      </c>
      <c r="O49" s="16">
        <v>13.312994118259169</v>
      </c>
      <c r="P49" s="15">
        <v>21106.720000000001</v>
      </c>
      <c r="Q49" s="16">
        <v>13.312994118259169</v>
      </c>
      <c r="R49" s="36">
        <f t="shared" si="1"/>
        <v>251437.30000000002</v>
      </c>
      <c r="S49" s="16">
        <v>13.312994118259169</v>
      </c>
      <c r="T49" s="18">
        <v>184803.49344978167</v>
      </c>
      <c r="U49" s="18">
        <v>2116000</v>
      </c>
      <c r="V49" s="26">
        <v>0</v>
      </c>
      <c r="W49" s="27">
        <v>0</v>
      </c>
      <c r="X49" s="28">
        <v>0</v>
      </c>
      <c r="Y49" s="28">
        <v>0</v>
      </c>
      <c r="Z49" s="15">
        <v>2245</v>
      </c>
      <c r="AA49" s="15">
        <v>4635</v>
      </c>
      <c r="AB49" s="15">
        <v>14244</v>
      </c>
      <c r="AC49" s="15">
        <v>80992</v>
      </c>
      <c r="AD49" s="35">
        <v>4.8000000000000001E-2</v>
      </c>
      <c r="AF49" s="17"/>
    </row>
    <row r="50" spans="1:32" x14ac:dyDescent="0.25">
      <c r="A50" s="5" t="s">
        <v>10</v>
      </c>
      <c r="B50" s="14">
        <v>1</v>
      </c>
      <c r="C50" s="14">
        <v>2022</v>
      </c>
      <c r="D50" s="15">
        <v>860000</v>
      </c>
      <c r="E50" s="16">
        <v>3.68</v>
      </c>
      <c r="F50" s="29">
        <v>872066.304066304</v>
      </c>
      <c r="G50" s="29">
        <v>3367048</v>
      </c>
      <c r="H50" s="15">
        <v>15190</v>
      </c>
      <c r="I50" s="16">
        <v>48.11</v>
      </c>
      <c r="J50" s="30">
        <v>13331.32404905425</v>
      </c>
      <c r="K50" s="30">
        <v>641370</v>
      </c>
      <c r="L50" s="15">
        <v>17055.400000000001</v>
      </c>
      <c r="M50" s="16">
        <v>13.43</v>
      </c>
      <c r="N50" s="15">
        <v>240312.6</v>
      </c>
      <c r="O50" s="16">
        <v>13.43</v>
      </c>
      <c r="P50" s="40">
        <v>21917.62</v>
      </c>
      <c r="Q50" s="16">
        <v>13.43</v>
      </c>
      <c r="R50" s="36">
        <f t="shared" si="1"/>
        <v>279285.62</v>
      </c>
      <c r="S50" s="16">
        <v>13.43</v>
      </c>
      <c r="T50" s="31">
        <v>239131.98278045078</v>
      </c>
      <c r="U50" s="31">
        <v>3147774</v>
      </c>
      <c r="V50" s="36">
        <v>0</v>
      </c>
      <c r="W50" s="27">
        <v>0</v>
      </c>
      <c r="X50" s="37">
        <v>1619.787113693629</v>
      </c>
      <c r="Y50" s="37">
        <v>35000</v>
      </c>
      <c r="Z50" s="15">
        <v>2274</v>
      </c>
      <c r="AA50" s="15">
        <v>4307</v>
      </c>
      <c r="AB50" s="41">
        <v>12751</v>
      </c>
      <c r="AC50" s="15">
        <v>85968</v>
      </c>
      <c r="AD50" s="39">
        <f>1/21.089</f>
        <v>4.7418085257717298E-2</v>
      </c>
      <c r="AF50" s="17"/>
    </row>
    <row r="51" spans="1:32" x14ac:dyDescent="0.25">
      <c r="A51" s="5" t="s">
        <v>10</v>
      </c>
      <c r="B51" s="14">
        <v>2</v>
      </c>
      <c r="C51" s="14">
        <v>2022</v>
      </c>
      <c r="D51" s="15">
        <v>630000</v>
      </c>
      <c r="E51" s="16">
        <v>3.68</v>
      </c>
      <c r="F51" s="29">
        <v>850845.63584563578</v>
      </c>
      <c r="G51" s="29">
        <v>3285115</v>
      </c>
      <c r="H51" s="15">
        <v>11665</v>
      </c>
      <c r="I51" s="16">
        <v>48.11</v>
      </c>
      <c r="J51" s="30">
        <v>13445.39596757431</v>
      </c>
      <c r="K51" s="30">
        <v>646858</v>
      </c>
      <c r="L51" s="15">
        <v>14785.9</v>
      </c>
      <c r="M51" s="16">
        <v>14.21</v>
      </c>
      <c r="N51" s="15">
        <v>221879.2</v>
      </c>
      <c r="O51" s="16">
        <v>14.21</v>
      </c>
      <c r="P51" s="40">
        <v>21103.5</v>
      </c>
      <c r="Q51" s="16">
        <v>14.21</v>
      </c>
      <c r="R51" s="36">
        <f t="shared" si="1"/>
        <v>257768.6</v>
      </c>
      <c r="S51" s="16">
        <v>14.21</v>
      </c>
      <c r="T51" s="31">
        <v>211805.69764497344</v>
      </c>
      <c r="U51" s="31">
        <v>2788069</v>
      </c>
      <c r="V51" s="36">
        <v>1637</v>
      </c>
      <c r="W51" s="27">
        <v>23.45</v>
      </c>
      <c r="X51" s="37">
        <v>925.59263639635935</v>
      </c>
      <c r="Y51" s="37">
        <v>20000</v>
      </c>
      <c r="Z51" s="15">
        <v>2685</v>
      </c>
      <c r="AA51" s="15">
        <v>5346</v>
      </c>
      <c r="AB51" s="41">
        <v>16167</v>
      </c>
      <c r="AC51" s="15">
        <v>85490</v>
      </c>
      <c r="AD51" s="39">
        <f>1/20.6525</f>
        <v>4.84202881007142E-2</v>
      </c>
      <c r="AF51" s="17"/>
    </row>
    <row r="52" spans="1:32" x14ac:dyDescent="0.25">
      <c r="A52" s="5" t="s">
        <v>10</v>
      </c>
      <c r="B52" s="14">
        <v>3</v>
      </c>
      <c r="C52" s="14">
        <v>2022</v>
      </c>
      <c r="D52" s="15">
        <v>740000</v>
      </c>
      <c r="E52" s="16">
        <v>3.863</v>
      </c>
      <c r="F52" s="29">
        <v>975185.44418544415</v>
      </c>
      <c r="G52" s="29">
        <v>3765191</v>
      </c>
      <c r="H52" s="15">
        <v>17314</v>
      </c>
      <c r="I52" s="16">
        <v>48.11</v>
      </c>
      <c r="J52" s="30">
        <v>12296.986073581376</v>
      </c>
      <c r="K52" s="30">
        <v>591608</v>
      </c>
      <c r="L52" s="15">
        <v>18244.7</v>
      </c>
      <c r="M52" s="16">
        <v>15.33</v>
      </c>
      <c r="N52" s="15">
        <v>202226.8</v>
      </c>
      <c r="O52" s="16">
        <v>15.33</v>
      </c>
      <c r="P52" s="40">
        <v>25789.8</v>
      </c>
      <c r="Q52" s="16">
        <v>15.33</v>
      </c>
      <c r="R52" s="36">
        <f t="shared" si="1"/>
        <v>246261.3</v>
      </c>
      <c r="S52" s="16">
        <v>15.33</v>
      </c>
      <c r="T52" s="31">
        <v>200265.30767282858</v>
      </c>
      <c r="U52" s="31">
        <v>2636159</v>
      </c>
      <c r="V52" s="36">
        <v>4009</v>
      </c>
      <c r="W52" s="27">
        <v>23.36</v>
      </c>
      <c r="X52" s="37">
        <v>11338.509795855402</v>
      </c>
      <c r="Y52" s="37">
        <v>245000</v>
      </c>
      <c r="Z52" s="15">
        <v>3401</v>
      </c>
      <c r="AA52" s="15">
        <v>7175</v>
      </c>
      <c r="AB52" s="41">
        <v>22456</v>
      </c>
      <c r="AC52" s="15">
        <v>102510</v>
      </c>
      <c r="AD52" s="39">
        <f>1/19.9942</f>
        <v>5.0014504206219806E-2</v>
      </c>
      <c r="AF52" s="17"/>
    </row>
    <row r="53" spans="1:32" x14ac:dyDescent="0.25">
      <c r="A53" s="5" t="s">
        <v>10</v>
      </c>
      <c r="B53" s="14">
        <v>4</v>
      </c>
      <c r="C53" s="14">
        <v>2022</v>
      </c>
      <c r="D53" s="15">
        <v>810000</v>
      </c>
      <c r="E53" s="16">
        <v>4.0019999999999998</v>
      </c>
      <c r="F53" s="29">
        <v>1000089.096089096</v>
      </c>
      <c r="G53" s="29">
        <v>3861344</v>
      </c>
      <c r="H53" s="15">
        <v>10909</v>
      </c>
      <c r="I53" s="16">
        <v>48.11</v>
      </c>
      <c r="J53" s="30">
        <v>12032.903762211599</v>
      </c>
      <c r="K53" s="30">
        <v>578903</v>
      </c>
      <c r="L53" s="15">
        <v>15069</v>
      </c>
      <c r="M53" s="16">
        <v>15.04</v>
      </c>
      <c r="N53" s="15">
        <v>124815</v>
      </c>
      <c r="O53" s="16">
        <v>15.04</v>
      </c>
      <c r="P53" s="40">
        <v>24712.799999999999</v>
      </c>
      <c r="Q53" s="16">
        <v>15.04</v>
      </c>
      <c r="R53" s="36">
        <f t="shared" si="1"/>
        <v>164596.79999999999</v>
      </c>
      <c r="S53" s="16">
        <v>15.04</v>
      </c>
      <c r="T53" s="31">
        <v>119058.82501899215</v>
      </c>
      <c r="U53" s="31">
        <v>1567211</v>
      </c>
      <c r="V53" s="36">
        <v>1125</v>
      </c>
      <c r="W53" s="27">
        <v>23.36</v>
      </c>
      <c r="X53" s="37">
        <v>925.59263639635935</v>
      </c>
      <c r="Y53" s="37">
        <v>20000</v>
      </c>
      <c r="Z53" s="15">
        <v>3403</v>
      </c>
      <c r="AA53" s="15">
        <v>6899</v>
      </c>
      <c r="AB53" s="41">
        <v>23234</v>
      </c>
      <c r="AC53" s="15">
        <v>101314</v>
      </c>
      <c r="AD53" s="39">
        <f>1/20.5518</f>
        <v>4.8657538512441735E-2</v>
      </c>
      <c r="AF53" s="17"/>
    </row>
    <row r="54" spans="1:32" x14ac:dyDescent="0.25">
      <c r="A54" s="5" t="s">
        <v>10</v>
      </c>
      <c r="B54" s="14">
        <v>5</v>
      </c>
      <c r="C54" s="14">
        <v>2022</v>
      </c>
      <c r="D54" s="15">
        <v>1070000</v>
      </c>
      <c r="E54" s="16">
        <v>4.13</v>
      </c>
      <c r="F54" s="29">
        <v>1056564.6205646205</v>
      </c>
      <c r="G54" s="29">
        <v>4079396</v>
      </c>
      <c r="H54" s="15">
        <v>14153</v>
      </c>
      <c r="I54" s="16">
        <v>48.11</v>
      </c>
      <c r="J54" s="30">
        <v>12009.602993140719</v>
      </c>
      <c r="K54" s="30">
        <v>577782</v>
      </c>
      <c r="L54" s="15">
        <v>15608.5</v>
      </c>
      <c r="M54" s="16">
        <v>14.57</v>
      </c>
      <c r="N54" s="15">
        <v>91562.8</v>
      </c>
      <c r="O54" s="16">
        <v>14.57</v>
      </c>
      <c r="P54" s="40">
        <v>25823.7</v>
      </c>
      <c r="Q54" s="16">
        <v>14.57</v>
      </c>
      <c r="R54" s="36">
        <f t="shared" si="1"/>
        <v>132995</v>
      </c>
      <c r="S54" s="16">
        <v>14.57</v>
      </c>
      <c r="T54" s="31">
        <v>107884.98354013675</v>
      </c>
      <c r="U54" s="31">
        <v>1420126</v>
      </c>
      <c r="V54" s="36">
        <v>521</v>
      </c>
      <c r="W54" s="27">
        <v>23.36</v>
      </c>
      <c r="X54" s="37">
        <v>1619.787113693629</v>
      </c>
      <c r="Y54" s="37">
        <v>35000</v>
      </c>
      <c r="Z54" s="15">
        <v>3107</v>
      </c>
      <c r="AA54" s="15">
        <v>5810</v>
      </c>
      <c r="AB54" s="15">
        <v>19175</v>
      </c>
      <c r="AC54" s="15">
        <v>96340</v>
      </c>
      <c r="AD54" s="39">
        <f>1/20.1001</f>
        <v>4.9750996263700178E-2</v>
      </c>
      <c r="AF54" s="17"/>
    </row>
    <row r="55" spans="1:32" x14ac:dyDescent="0.25">
      <c r="A55" s="5" t="s">
        <v>10</v>
      </c>
      <c r="B55" s="14">
        <v>6</v>
      </c>
      <c r="C55" s="14">
        <v>2022</v>
      </c>
      <c r="D55" s="15">
        <v>1060000</v>
      </c>
      <c r="E55" s="16">
        <v>4.51</v>
      </c>
      <c r="F55" s="29">
        <v>1054346.2833462832</v>
      </c>
      <c r="G55" s="29">
        <v>4070831</v>
      </c>
      <c r="H55" s="15">
        <v>17251</v>
      </c>
      <c r="I55" s="16">
        <v>48.11</v>
      </c>
      <c r="J55" s="30">
        <v>12133.963832882977</v>
      </c>
      <c r="K55" s="30">
        <v>583765</v>
      </c>
      <c r="L55" s="15">
        <v>13577.5</v>
      </c>
      <c r="M55" s="16">
        <v>14.68</v>
      </c>
      <c r="N55" s="15">
        <v>64776.6</v>
      </c>
      <c r="O55" s="16">
        <v>14.68</v>
      </c>
      <c r="P55" s="40">
        <v>20740</v>
      </c>
      <c r="Q55" s="16">
        <v>14.68</v>
      </c>
      <c r="R55" s="36">
        <f t="shared" si="1"/>
        <v>99094.1</v>
      </c>
      <c r="S55" s="16">
        <v>14.68</v>
      </c>
      <c r="T55" s="31">
        <v>95910.660926816927</v>
      </c>
      <c r="U55" s="31">
        <v>1262504</v>
      </c>
      <c r="V55" s="36">
        <v>9479</v>
      </c>
      <c r="W55" s="27">
        <v>23.36</v>
      </c>
      <c r="X55" s="37">
        <v>925.59263639635935</v>
      </c>
      <c r="Y55" s="37">
        <v>20000</v>
      </c>
      <c r="Z55" s="15">
        <v>2841</v>
      </c>
      <c r="AA55" s="15">
        <v>4628</v>
      </c>
      <c r="AB55" s="15">
        <v>18259</v>
      </c>
      <c r="AC55" s="15">
        <v>79920</v>
      </c>
      <c r="AD55" s="39">
        <f>1/19.9847</f>
        <v>5.0038279283651996E-2</v>
      </c>
      <c r="AF55" s="17"/>
    </row>
    <row r="56" spans="1:32" x14ac:dyDescent="0.25">
      <c r="A56" s="5" t="s">
        <v>10</v>
      </c>
      <c r="B56" s="14">
        <v>7</v>
      </c>
      <c r="C56" s="14">
        <v>2022</v>
      </c>
      <c r="D56" s="15">
        <v>1200000</v>
      </c>
      <c r="E56" s="16">
        <v>4.59</v>
      </c>
      <c r="F56" s="29">
        <v>1197431.2354312353</v>
      </c>
      <c r="G56" s="29">
        <v>4623282</v>
      </c>
      <c r="H56" s="15">
        <v>18638</v>
      </c>
      <c r="I56" s="16">
        <v>48.11</v>
      </c>
      <c r="J56" s="30">
        <v>12628.019122843483</v>
      </c>
      <c r="K56" s="30">
        <v>607534</v>
      </c>
      <c r="L56" s="15">
        <v>12863.1</v>
      </c>
      <c r="M56" s="42">
        <v>15.06</v>
      </c>
      <c r="N56" s="15">
        <v>56699.4</v>
      </c>
      <c r="O56" s="42">
        <v>15.06</v>
      </c>
      <c r="P56" s="40">
        <v>17804.8</v>
      </c>
      <c r="Q56" s="16">
        <v>15.06</v>
      </c>
      <c r="R56" s="36">
        <f t="shared" si="1"/>
        <v>87367.3</v>
      </c>
      <c r="S56" s="16">
        <v>15.06</v>
      </c>
      <c r="T56" s="31">
        <v>67821.043302101811</v>
      </c>
      <c r="U56" s="31">
        <v>892751</v>
      </c>
      <c r="V56" s="36">
        <v>12218</v>
      </c>
      <c r="W56" s="27">
        <v>23.9</v>
      </c>
      <c r="X56" s="37">
        <v>11338.509795855402</v>
      </c>
      <c r="Y56" s="37">
        <v>245000</v>
      </c>
      <c r="Z56" s="15">
        <v>1177</v>
      </c>
      <c r="AA56" s="15">
        <v>2918</v>
      </c>
      <c r="AB56" s="15">
        <v>8012</v>
      </c>
      <c r="AC56" s="15">
        <v>62670</v>
      </c>
      <c r="AD56" s="39">
        <f>1/20.3778</f>
        <v>4.9073010825506184E-2</v>
      </c>
      <c r="AF56" s="17"/>
    </row>
    <row r="57" spans="1:32" x14ac:dyDescent="0.25">
      <c r="A57" s="5" t="s">
        <v>10</v>
      </c>
      <c r="B57" s="14">
        <v>8</v>
      </c>
      <c r="C57" s="14">
        <v>2022</v>
      </c>
      <c r="D57" s="15">
        <v>1250000</v>
      </c>
      <c r="E57" s="16">
        <v>4.53</v>
      </c>
      <c r="F57" s="29">
        <v>1197615.1256151255</v>
      </c>
      <c r="G57" s="29">
        <v>4623992</v>
      </c>
      <c r="H57" s="15">
        <v>17405</v>
      </c>
      <c r="I57" s="16">
        <v>48.11</v>
      </c>
      <c r="J57" s="30">
        <v>12404.614425275411</v>
      </c>
      <c r="K57" s="30">
        <v>596786</v>
      </c>
      <c r="L57" s="15">
        <v>12897</v>
      </c>
      <c r="M57" s="42">
        <v>16.72</v>
      </c>
      <c r="N57" s="15">
        <v>54547.6</v>
      </c>
      <c r="O57" s="42">
        <v>16.72</v>
      </c>
      <c r="P57" s="40">
        <v>17884.3</v>
      </c>
      <c r="Q57" s="16">
        <v>16.72</v>
      </c>
      <c r="R57" s="36">
        <f t="shared" si="1"/>
        <v>85328.900000000009</v>
      </c>
      <c r="S57" s="16">
        <v>16.72</v>
      </c>
      <c r="T57" s="31">
        <v>67054.899974677144</v>
      </c>
      <c r="U57" s="31">
        <v>882666</v>
      </c>
      <c r="V57" s="36">
        <v>11616</v>
      </c>
      <c r="W57" s="27">
        <v>24.29</v>
      </c>
      <c r="X57" s="37">
        <v>10644.315318558132</v>
      </c>
      <c r="Y57" s="37">
        <v>230000</v>
      </c>
      <c r="Z57" s="15">
        <v>1192</v>
      </c>
      <c r="AA57" s="15">
        <v>2627</v>
      </c>
      <c r="AB57" s="15">
        <v>7504</v>
      </c>
      <c r="AC57" s="15">
        <v>53172</v>
      </c>
      <c r="AD57" s="39">
        <f>1/20.05634</f>
        <v>4.9859545659876131E-2</v>
      </c>
      <c r="AF57" s="17"/>
    </row>
    <row r="58" spans="1:32" x14ac:dyDescent="0.25">
      <c r="A58" s="5" t="s">
        <v>10</v>
      </c>
      <c r="B58" s="14">
        <v>9</v>
      </c>
      <c r="C58" s="14">
        <v>2022</v>
      </c>
      <c r="D58" s="15">
        <v>980000</v>
      </c>
      <c r="E58" s="16">
        <v>4.75</v>
      </c>
      <c r="F58" s="29">
        <v>1066646.4646464647</v>
      </c>
      <c r="G58" s="29">
        <v>4118322</v>
      </c>
      <c r="H58" s="15">
        <v>14003</v>
      </c>
      <c r="I58" s="16">
        <v>48.11</v>
      </c>
      <c r="J58" s="30">
        <v>12039.326543338184</v>
      </c>
      <c r="K58" s="30">
        <v>579212</v>
      </c>
      <c r="L58" s="15">
        <v>7332</v>
      </c>
      <c r="M58" s="42">
        <v>14.34</v>
      </c>
      <c r="N58" s="15">
        <v>30178.2</v>
      </c>
      <c r="O58" s="42">
        <v>14.34</v>
      </c>
      <c r="P58" s="40">
        <v>12945.8</v>
      </c>
      <c r="Q58" s="16">
        <v>14.34</v>
      </c>
      <c r="R58" s="36">
        <f t="shared" si="1"/>
        <v>50456</v>
      </c>
      <c r="S58" s="16">
        <v>14.34</v>
      </c>
      <c r="T58" s="31">
        <v>98921.980248164095</v>
      </c>
      <c r="U58" s="31">
        <v>1302143</v>
      </c>
      <c r="V58" s="36">
        <v>25462</v>
      </c>
      <c r="W58" s="27">
        <v>25.29</v>
      </c>
      <c r="X58" s="37">
        <v>11338.509795855402</v>
      </c>
      <c r="Y58" s="37">
        <v>245000</v>
      </c>
      <c r="Z58" s="15">
        <v>561</v>
      </c>
      <c r="AA58" s="15">
        <v>2164</v>
      </c>
      <c r="AB58" s="15">
        <v>3342</v>
      </c>
      <c r="AC58" s="15">
        <v>28770</v>
      </c>
      <c r="AD58" s="39">
        <f>1/20.3058</f>
        <v>4.9247013168651321E-2</v>
      </c>
      <c r="AF58" s="17"/>
    </row>
    <row r="59" spans="1:32" x14ac:dyDescent="0.25">
      <c r="A59" s="5" t="s">
        <v>10</v>
      </c>
      <c r="B59" s="14">
        <v>10</v>
      </c>
      <c r="C59" s="14">
        <v>2022</v>
      </c>
      <c r="D59" s="15">
        <v>1080000</v>
      </c>
      <c r="E59" s="16">
        <v>4.58</v>
      </c>
      <c r="F59" s="29">
        <v>1123644.9106449105</v>
      </c>
      <c r="G59" s="29">
        <v>4338393</v>
      </c>
      <c r="H59" s="15">
        <v>16407</v>
      </c>
      <c r="I59" s="16">
        <v>48.11</v>
      </c>
      <c r="J59" s="30">
        <v>12472.79151943463</v>
      </c>
      <c r="K59" s="30">
        <v>600066</v>
      </c>
      <c r="L59" s="15">
        <v>12612.9</v>
      </c>
      <c r="M59" s="42">
        <v>15.08</v>
      </c>
      <c r="N59" s="15">
        <v>77231.600000000006</v>
      </c>
      <c r="O59" s="42">
        <v>15.08</v>
      </c>
      <c r="P59" s="40">
        <v>19960.900000000001</v>
      </c>
      <c r="Q59" s="16">
        <v>15.08</v>
      </c>
      <c r="R59" s="36">
        <f t="shared" si="1"/>
        <v>109805.4</v>
      </c>
      <c r="S59" s="16">
        <v>15.08</v>
      </c>
      <c r="T59" s="31">
        <v>131064.21878956699</v>
      </c>
      <c r="U59" s="31">
        <v>1725242</v>
      </c>
      <c r="V59" s="36">
        <v>2801</v>
      </c>
      <c r="W59" s="27">
        <v>24.29</v>
      </c>
      <c r="X59" s="37">
        <v>925.59263639635935</v>
      </c>
      <c r="Y59" s="37">
        <v>20000</v>
      </c>
      <c r="Z59" s="15">
        <v>1432</v>
      </c>
      <c r="AA59" s="15">
        <v>2519</v>
      </c>
      <c r="AB59" s="15">
        <v>8798</v>
      </c>
      <c r="AC59" s="15">
        <v>58724</v>
      </c>
      <c r="AD59" s="39">
        <v>0.05</v>
      </c>
      <c r="AF59" s="17"/>
    </row>
    <row r="60" spans="1:32" x14ac:dyDescent="0.25">
      <c r="A60" s="5" t="s">
        <v>10</v>
      </c>
      <c r="B60" s="14">
        <v>11</v>
      </c>
      <c r="C60" s="14">
        <v>2022</v>
      </c>
      <c r="D60" s="15">
        <v>950000</v>
      </c>
      <c r="E60" s="16">
        <v>4.6399999999999997</v>
      </c>
      <c r="F60" s="29">
        <v>1162826.7288267286</v>
      </c>
      <c r="G60" s="29">
        <v>4489674</v>
      </c>
      <c r="H60" s="15">
        <v>17087</v>
      </c>
      <c r="I60" s="16">
        <v>48.11</v>
      </c>
      <c r="J60" s="30">
        <v>13083.891082934941</v>
      </c>
      <c r="K60" s="30">
        <v>629466</v>
      </c>
      <c r="L60" s="15">
        <v>14406.5</v>
      </c>
      <c r="M60" s="43">
        <v>13.14</v>
      </c>
      <c r="N60" s="36">
        <v>164416.6</v>
      </c>
      <c r="O60" s="42">
        <v>13.14</v>
      </c>
      <c r="P60" s="40">
        <v>22282.3</v>
      </c>
      <c r="Q60" s="16">
        <v>13.14</v>
      </c>
      <c r="R60" s="36">
        <f t="shared" si="1"/>
        <v>201105.4</v>
      </c>
      <c r="S60" s="16">
        <v>13.14</v>
      </c>
      <c r="T60" s="31">
        <v>220541.40288680681</v>
      </c>
      <c r="U60" s="31">
        <v>2903060</v>
      </c>
      <c r="V60" s="36">
        <v>737</v>
      </c>
      <c r="W60" s="27">
        <v>24.56</v>
      </c>
      <c r="X60" s="37">
        <v>6479.1484547745158</v>
      </c>
      <c r="Y60" s="37">
        <v>140000</v>
      </c>
      <c r="Z60" s="15">
        <v>2093</v>
      </c>
      <c r="AA60" s="15">
        <v>4467</v>
      </c>
      <c r="AB60" s="15">
        <v>11710</v>
      </c>
      <c r="AC60" s="15">
        <v>78904</v>
      </c>
      <c r="AD60" s="39">
        <f>1/19.325</f>
        <v>5.1746442432082797E-2</v>
      </c>
      <c r="AF60" s="17"/>
    </row>
    <row r="61" spans="1:32" x14ac:dyDescent="0.25">
      <c r="A61" s="5" t="s">
        <v>10</v>
      </c>
      <c r="B61" s="14">
        <v>12</v>
      </c>
      <c r="C61" s="14">
        <v>2022</v>
      </c>
      <c r="D61" s="15">
        <v>780000</v>
      </c>
      <c r="E61" s="16">
        <v>3.94</v>
      </c>
      <c r="F61" s="29">
        <v>1040710.1787101787</v>
      </c>
      <c r="G61" s="29">
        <v>4018182</v>
      </c>
      <c r="H61" s="15">
        <v>16861</v>
      </c>
      <c r="I61" s="16">
        <v>48.11</v>
      </c>
      <c r="J61" s="30">
        <v>13721.388484722511</v>
      </c>
      <c r="K61" s="30">
        <v>660136</v>
      </c>
      <c r="L61" s="15">
        <v>14345</v>
      </c>
      <c r="M61" s="42">
        <v>12.37</v>
      </c>
      <c r="N61" s="36">
        <v>203827.44</v>
      </c>
      <c r="O61" s="42">
        <v>12.37</v>
      </c>
      <c r="P61" s="40">
        <v>21708.799999999999</v>
      </c>
      <c r="Q61" s="16">
        <v>12.37</v>
      </c>
      <c r="R61" s="36">
        <f t="shared" si="1"/>
        <v>239881.24</v>
      </c>
      <c r="S61" s="16">
        <v>12.37</v>
      </c>
      <c r="T61" s="31">
        <v>253979.28589516337</v>
      </c>
      <c r="U61" s="31">
        <v>3343214</v>
      </c>
      <c r="V61" s="36">
        <v>212</v>
      </c>
      <c r="W61" s="27">
        <v>24.56</v>
      </c>
      <c r="X61" s="37">
        <v>1619.787113693629</v>
      </c>
      <c r="Y61" s="37">
        <v>35000</v>
      </c>
      <c r="Z61" s="15">
        <v>2290</v>
      </c>
      <c r="AA61" s="15">
        <v>5259</v>
      </c>
      <c r="AB61" s="15">
        <v>13985</v>
      </c>
      <c r="AC61" s="15">
        <v>87672</v>
      </c>
      <c r="AD61" s="39">
        <f>1/19.3615</f>
        <v>5.1648890840069211E-2</v>
      </c>
      <c r="AF61" s="17"/>
    </row>
    <row r="62" spans="1:32" x14ac:dyDescent="0.25">
      <c r="A62" s="50" t="s">
        <v>10</v>
      </c>
      <c r="B62" s="51">
        <v>1</v>
      </c>
      <c r="C62" s="51">
        <v>2023</v>
      </c>
      <c r="D62" s="52">
        <v>860000</v>
      </c>
      <c r="E62" s="53">
        <v>4.0599999999999996</v>
      </c>
      <c r="F62" s="54">
        <f>G62/4.24</f>
        <v>708168.13443396229</v>
      </c>
      <c r="G62" s="55">
        <v>3002632.89</v>
      </c>
      <c r="H62" s="52">
        <v>15453</v>
      </c>
      <c r="I62" s="53">
        <v>48.11</v>
      </c>
      <c r="J62" s="54">
        <f>K62/I62</f>
        <v>12063.060902099356</v>
      </c>
      <c r="K62" s="55">
        <v>580353.86</v>
      </c>
      <c r="L62" s="52">
        <v>15705</v>
      </c>
      <c r="M62" s="56">
        <v>12.75</v>
      </c>
      <c r="N62" s="44">
        <v>236187.6</v>
      </c>
      <c r="O62" s="43">
        <v>12.75</v>
      </c>
      <c r="P62" s="46">
        <v>24690.6</v>
      </c>
      <c r="Q62" s="45">
        <v>12.75</v>
      </c>
      <c r="R62" s="44">
        <f t="shared" si="1"/>
        <v>276583.2</v>
      </c>
      <c r="S62" s="45">
        <v>12.75</v>
      </c>
      <c r="T62" s="48">
        <f>U62/14</f>
        <v>188864.09857142856</v>
      </c>
      <c r="U62" s="49">
        <v>2644097.38</v>
      </c>
      <c r="V62" s="47">
        <v>2836</v>
      </c>
      <c r="W62" s="47">
        <v>24.56</v>
      </c>
      <c r="X62" s="48">
        <f>Y62/25</f>
        <v>9597.5840000000007</v>
      </c>
      <c r="Y62" s="49">
        <v>239939.6</v>
      </c>
      <c r="Z62" s="44">
        <v>1832</v>
      </c>
      <c r="AA62" s="44">
        <v>3778</v>
      </c>
      <c r="AB62" s="44">
        <v>10137</v>
      </c>
      <c r="AC62" s="44">
        <v>77102</v>
      </c>
      <c r="AD62" s="39">
        <f>1/18.7872</f>
        <v>5.3227729517969682E-2</v>
      </c>
    </row>
    <row r="63" spans="1:32" x14ac:dyDescent="0.25">
      <c r="A63" s="5" t="s">
        <v>10</v>
      </c>
      <c r="B63" s="14">
        <v>2</v>
      </c>
      <c r="C63" s="14">
        <v>2023</v>
      </c>
      <c r="F63" s="48">
        <f t="shared" ref="F63:F73" si="2">G63/4.24</f>
        <v>757133.86792452831</v>
      </c>
      <c r="G63" s="49">
        <v>3210247.6</v>
      </c>
      <c r="I63" s="45">
        <v>48.11</v>
      </c>
      <c r="J63" s="48">
        <f t="shared" ref="J63:J73" si="3">K63/I63</f>
        <v>13419.35522760341</v>
      </c>
      <c r="K63" s="49">
        <v>645605.18000000005</v>
      </c>
      <c r="T63" s="48">
        <f>U63/14</f>
        <v>165455.43357142856</v>
      </c>
      <c r="U63" s="49">
        <v>2316376.0699999998</v>
      </c>
      <c r="X63" s="48">
        <f t="shared" ref="X63:X73" si="4">Y63/25</f>
        <v>3763.7556000000004</v>
      </c>
      <c r="Y63" s="49">
        <v>94093.890000000014</v>
      </c>
    </row>
    <row r="64" spans="1:32" x14ac:dyDescent="0.25">
      <c r="A64" s="5" t="s">
        <v>10</v>
      </c>
      <c r="B64" s="14">
        <v>3</v>
      </c>
      <c r="C64" s="14">
        <v>2023</v>
      </c>
      <c r="F64" s="48">
        <f t="shared" si="2"/>
        <v>844122.58962264145</v>
      </c>
      <c r="G64" s="49">
        <v>3579079.78</v>
      </c>
      <c r="I64" s="45">
        <v>48.11</v>
      </c>
      <c r="J64" s="48">
        <f t="shared" si="3"/>
        <v>12724.549989607151</v>
      </c>
      <c r="K64" s="49">
        <v>612178.1</v>
      </c>
      <c r="T64" s="48">
        <f t="shared" ref="T64:T73" si="5">U64/14</f>
        <v>157530.84571428571</v>
      </c>
      <c r="U64" s="49">
        <v>2205431.84</v>
      </c>
      <c r="X64" s="48">
        <f t="shared" si="4"/>
        <v>13925.9056</v>
      </c>
      <c r="Y64" s="49">
        <v>348147.64</v>
      </c>
    </row>
    <row r="65" spans="1:25" x14ac:dyDescent="0.25">
      <c r="A65" s="5" t="s">
        <v>10</v>
      </c>
      <c r="B65" s="14">
        <v>4</v>
      </c>
      <c r="C65" s="14">
        <v>2023</v>
      </c>
      <c r="F65" s="48">
        <f t="shared" si="2"/>
        <v>878722.17216981133</v>
      </c>
      <c r="G65" s="49">
        <v>3725782.0100000002</v>
      </c>
      <c r="I65" s="45">
        <v>48.11</v>
      </c>
      <c r="J65" s="48">
        <f t="shared" si="3"/>
        <v>13074.033880690085</v>
      </c>
      <c r="K65" s="49">
        <v>628991.77</v>
      </c>
      <c r="T65" s="48">
        <f t="shared" si="5"/>
        <v>100199.32285714286</v>
      </c>
      <c r="U65" s="49">
        <v>1402790.52</v>
      </c>
      <c r="X65" s="48">
        <f t="shared" si="4"/>
        <v>3387.3808000000004</v>
      </c>
      <c r="Y65" s="49">
        <v>84684.52</v>
      </c>
    </row>
    <row r="66" spans="1:25" x14ac:dyDescent="0.25">
      <c r="A66" s="5" t="s">
        <v>10</v>
      </c>
      <c r="B66" s="14">
        <v>5</v>
      </c>
      <c r="C66" s="14">
        <v>2023</v>
      </c>
      <c r="F66" s="48">
        <f t="shared" si="2"/>
        <v>927277.70283018867</v>
      </c>
      <c r="G66" s="49">
        <v>3931657.46</v>
      </c>
      <c r="I66" s="45">
        <v>48.11</v>
      </c>
      <c r="J66" s="48">
        <f t="shared" si="3"/>
        <v>13308.415921845768</v>
      </c>
      <c r="K66" s="49">
        <v>640267.8899999999</v>
      </c>
      <c r="T66" s="48">
        <f t="shared" si="5"/>
        <v>17520.985714285714</v>
      </c>
      <c r="U66" s="49">
        <v>245293.80000000002</v>
      </c>
      <c r="X66" s="48">
        <f t="shared" si="4"/>
        <v>3951.9468000000006</v>
      </c>
      <c r="Y66" s="49">
        <v>98798.670000000013</v>
      </c>
    </row>
    <row r="67" spans="1:25" x14ac:dyDescent="0.25">
      <c r="A67" s="5" t="s">
        <v>10</v>
      </c>
      <c r="B67" s="14">
        <v>6</v>
      </c>
      <c r="C67" s="14">
        <v>2023</v>
      </c>
      <c r="F67" s="48">
        <f t="shared" si="2"/>
        <v>1026334.1580188678</v>
      </c>
      <c r="G67" s="49">
        <v>4351656.83</v>
      </c>
      <c r="I67" s="45">
        <v>48.11</v>
      </c>
      <c r="J67" s="48">
        <f t="shared" si="3"/>
        <v>13486.267927665765</v>
      </c>
      <c r="K67" s="49">
        <v>648824.35</v>
      </c>
      <c r="T67" s="48">
        <f t="shared" si="5"/>
        <v>84111.045714285705</v>
      </c>
      <c r="U67" s="49">
        <v>1177554.6399999999</v>
      </c>
      <c r="X67" s="48">
        <f t="shared" si="4"/>
        <v>3387.3808000000004</v>
      </c>
      <c r="Y67" s="49">
        <v>84684.52</v>
      </c>
    </row>
    <row r="68" spans="1:25" x14ac:dyDescent="0.25">
      <c r="A68" s="5" t="s">
        <v>10</v>
      </c>
      <c r="B68" s="14">
        <v>7</v>
      </c>
      <c r="C68" s="14">
        <v>2023</v>
      </c>
      <c r="F68" s="48">
        <f t="shared" si="2"/>
        <v>873401.72405660362</v>
      </c>
      <c r="G68" s="49">
        <v>3703223.3099999996</v>
      </c>
      <c r="I68" s="45">
        <v>48.11</v>
      </c>
      <c r="J68" s="48">
        <f t="shared" si="3"/>
        <v>13251.565994595718</v>
      </c>
      <c r="K68" s="49">
        <v>637532.84</v>
      </c>
      <c r="T68" s="48">
        <f t="shared" si="5"/>
        <v>60532.1</v>
      </c>
      <c r="U68" s="49">
        <v>847449.4</v>
      </c>
      <c r="X68" s="48">
        <f t="shared" si="4"/>
        <v>13925.9056</v>
      </c>
      <c r="Y68" s="49">
        <v>348147.64</v>
      </c>
    </row>
    <row r="69" spans="1:25" x14ac:dyDescent="0.25">
      <c r="A69" s="5" t="s">
        <v>10</v>
      </c>
      <c r="B69" s="14">
        <v>8</v>
      </c>
      <c r="C69" s="14">
        <v>2023</v>
      </c>
      <c r="F69" s="48">
        <f t="shared" si="2"/>
        <v>843443.96698113205</v>
      </c>
      <c r="G69" s="49">
        <v>3576202.42</v>
      </c>
      <c r="I69" s="45">
        <v>48.11</v>
      </c>
      <c r="J69" s="48">
        <f t="shared" si="3"/>
        <v>12462.811265849095</v>
      </c>
      <c r="K69" s="49">
        <v>599585.85</v>
      </c>
      <c r="T69" s="48">
        <f t="shared" si="5"/>
        <v>57836.705714285708</v>
      </c>
      <c r="U69" s="49">
        <v>809713.87999999989</v>
      </c>
      <c r="X69" s="48">
        <f t="shared" si="4"/>
        <v>3500.2939999999999</v>
      </c>
      <c r="Y69" s="49">
        <v>87507.349999999991</v>
      </c>
    </row>
    <row r="70" spans="1:25" x14ac:dyDescent="0.25">
      <c r="A70" s="5" t="s">
        <v>10</v>
      </c>
      <c r="B70" s="14">
        <v>9</v>
      </c>
      <c r="C70" s="14">
        <v>2023</v>
      </c>
      <c r="F70" s="48">
        <f t="shared" si="2"/>
        <v>512917.81603773584</v>
      </c>
      <c r="G70" s="49">
        <v>2174771.54</v>
      </c>
      <c r="I70" s="45">
        <v>48.11</v>
      </c>
      <c r="J70" s="48">
        <f t="shared" si="3"/>
        <v>11540.630014549988</v>
      </c>
      <c r="K70" s="49">
        <v>555219.71</v>
      </c>
      <c r="T70" s="48">
        <f t="shared" si="5"/>
        <v>78005.653571428571</v>
      </c>
      <c r="U70" s="49">
        <v>1092079.1499999999</v>
      </c>
      <c r="X70" s="48">
        <f t="shared" si="4"/>
        <v>13925.9056</v>
      </c>
      <c r="Y70" s="49">
        <v>348147.64</v>
      </c>
    </row>
    <row r="71" spans="1:25" x14ac:dyDescent="0.25">
      <c r="A71" s="5" t="s">
        <v>10</v>
      </c>
      <c r="B71" s="14">
        <v>10</v>
      </c>
      <c r="C71" s="14">
        <v>2023</v>
      </c>
      <c r="F71" s="48">
        <f t="shared" si="2"/>
        <v>901346.19811320747</v>
      </c>
      <c r="G71" s="49">
        <v>3821707.88</v>
      </c>
      <c r="I71" s="45">
        <v>48.11</v>
      </c>
      <c r="J71" s="48">
        <f t="shared" si="3"/>
        <v>13185.170650592392</v>
      </c>
      <c r="K71" s="49">
        <v>634338.55999999994</v>
      </c>
      <c r="T71" s="48">
        <f t="shared" si="5"/>
        <v>107604.08428571429</v>
      </c>
      <c r="U71" s="49">
        <v>1506457.18</v>
      </c>
      <c r="X71" s="48">
        <f t="shared" si="4"/>
        <v>8280.268399999999</v>
      </c>
      <c r="Y71" s="49">
        <v>207006.71</v>
      </c>
    </row>
    <row r="72" spans="1:25" x14ac:dyDescent="0.25">
      <c r="A72" s="5" t="s">
        <v>10</v>
      </c>
      <c r="B72" s="14">
        <v>11</v>
      </c>
      <c r="C72" s="14">
        <v>2023</v>
      </c>
      <c r="F72" s="48">
        <f t="shared" si="2"/>
        <v>929378.86084905663</v>
      </c>
      <c r="G72" s="49">
        <v>3940566.37</v>
      </c>
      <c r="I72" s="45">
        <v>48.11</v>
      </c>
      <c r="J72" s="48">
        <f t="shared" si="3"/>
        <v>13837.876532945334</v>
      </c>
      <c r="K72" s="49">
        <v>665740.24</v>
      </c>
      <c r="T72" s="48">
        <f t="shared" si="5"/>
        <v>174541.315</v>
      </c>
      <c r="U72" s="49">
        <v>2443578.41</v>
      </c>
      <c r="X72" s="48">
        <f t="shared" si="4"/>
        <v>8280.268399999999</v>
      </c>
      <c r="Y72" s="49">
        <v>207006.71</v>
      </c>
    </row>
    <row r="73" spans="1:25" x14ac:dyDescent="0.25">
      <c r="A73" s="5" t="s">
        <v>10</v>
      </c>
      <c r="B73" s="14">
        <v>12</v>
      </c>
      <c r="C73" s="14">
        <v>2023</v>
      </c>
      <c r="F73" s="48">
        <f t="shared" si="2"/>
        <v>879177.09669811325</v>
      </c>
      <c r="G73" s="49">
        <v>3727710.89</v>
      </c>
      <c r="I73" s="45">
        <v>48.11</v>
      </c>
      <c r="J73" s="48">
        <f t="shared" si="3"/>
        <v>13973.996466431096</v>
      </c>
      <c r="K73" s="49">
        <v>672288.97</v>
      </c>
      <c r="T73" s="48">
        <f t="shared" si="5"/>
        <v>196762.28999999998</v>
      </c>
      <c r="U73" s="49">
        <v>2754672.0599999996</v>
      </c>
      <c r="X73" s="48">
        <f t="shared" si="4"/>
        <v>4328.3215999999993</v>
      </c>
      <c r="Y73" s="49">
        <v>108208.04</v>
      </c>
    </row>
    <row r="74" spans="1:25" x14ac:dyDescent="0.25">
      <c r="B74" s="14"/>
      <c r="C74" s="14"/>
    </row>
    <row r="75" spans="1:25" x14ac:dyDescent="0.25">
      <c r="B75" s="14"/>
      <c r="C75" s="14"/>
    </row>
    <row r="76" spans="1:25" x14ac:dyDescent="0.25">
      <c r="B76" s="14"/>
      <c r="C76" s="14"/>
    </row>
    <row r="77" spans="1:25" x14ac:dyDescent="0.25">
      <c r="B77" s="14"/>
      <c r="C77" s="14"/>
    </row>
    <row r="78" spans="1:25" x14ac:dyDescent="0.25">
      <c r="B78" s="14"/>
      <c r="C78" s="14"/>
    </row>
    <row r="79" spans="1:25" x14ac:dyDescent="0.25">
      <c r="B79" s="14"/>
      <c r="C79" s="14"/>
    </row>
    <row r="80" spans="1:25" x14ac:dyDescent="0.25">
      <c r="B80" s="14"/>
      <c r="C80" s="14"/>
    </row>
    <row r="81" spans="2:3" x14ac:dyDescent="0.25">
      <c r="B81" s="14"/>
      <c r="C81" s="14"/>
    </row>
    <row r="82" spans="2:3" x14ac:dyDescent="0.25">
      <c r="B82" s="14"/>
      <c r="C82" s="14"/>
    </row>
    <row r="83" spans="2:3" x14ac:dyDescent="0.25">
      <c r="B83" s="14"/>
      <c r="C83" s="14"/>
    </row>
    <row r="84" spans="2:3" x14ac:dyDescent="0.25">
      <c r="B84" s="14"/>
      <c r="C84" s="14"/>
    </row>
    <row r="85" spans="2:3" x14ac:dyDescent="0.25">
      <c r="B85" s="14"/>
      <c r="C85" s="14"/>
    </row>
    <row r="86" spans="2:3" x14ac:dyDescent="0.25">
      <c r="B86" s="14"/>
      <c r="C86" s="14"/>
    </row>
    <row r="87" spans="2:3" x14ac:dyDescent="0.25">
      <c r="B87" s="14"/>
      <c r="C87" s="14"/>
    </row>
    <row r="88" spans="2:3" x14ac:dyDescent="0.25">
      <c r="B88" s="14"/>
      <c r="C88" s="14"/>
    </row>
    <row r="89" spans="2:3" x14ac:dyDescent="0.25">
      <c r="B89" s="14"/>
      <c r="C89" s="14"/>
    </row>
    <row r="90" spans="2:3" x14ac:dyDescent="0.25">
      <c r="B90" s="14"/>
      <c r="C90" s="14"/>
    </row>
    <row r="91" spans="2:3" x14ac:dyDescent="0.25">
      <c r="B91" s="14"/>
      <c r="C91" s="14"/>
    </row>
    <row r="92" spans="2:3" x14ac:dyDescent="0.25">
      <c r="B92" s="14"/>
      <c r="C92" s="14"/>
    </row>
    <row r="93" spans="2:3" x14ac:dyDescent="0.25">
      <c r="B93" s="14"/>
      <c r="C93" s="14"/>
    </row>
    <row r="94" spans="2:3" x14ac:dyDescent="0.25">
      <c r="B94" s="14"/>
      <c r="C94" s="14"/>
    </row>
    <row r="95" spans="2:3" x14ac:dyDescent="0.25">
      <c r="B95" s="14"/>
      <c r="C95" s="14"/>
    </row>
    <row r="96" spans="2:3" x14ac:dyDescent="0.25">
      <c r="B96" s="14"/>
      <c r="C96" s="14"/>
    </row>
    <row r="97" spans="2:3" x14ac:dyDescent="0.25">
      <c r="B97" s="14"/>
      <c r="C97" s="14"/>
    </row>
    <row r="98" spans="2:3" x14ac:dyDescent="0.25">
      <c r="B98" s="14"/>
      <c r="C98" s="14"/>
    </row>
    <row r="99" spans="2:3" x14ac:dyDescent="0.25">
      <c r="B99" s="14"/>
      <c r="C99" s="14"/>
    </row>
    <row r="100" spans="2:3" x14ac:dyDescent="0.25">
      <c r="B100" s="14"/>
      <c r="C100" s="14"/>
    </row>
    <row r="101" spans="2:3" x14ac:dyDescent="0.25">
      <c r="B101" s="14"/>
      <c r="C101" s="14"/>
    </row>
    <row r="102" spans="2:3" x14ac:dyDescent="0.25">
      <c r="B102" s="14"/>
      <c r="C102" s="14"/>
    </row>
    <row r="103" spans="2:3" x14ac:dyDescent="0.25">
      <c r="B103" s="14"/>
      <c r="C103" s="14"/>
    </row>
    <row r="104" spans="2:3" x14ac:dyDescent="0.25">
      <c r="B104" s="14"/>
      <c r="C104" s="14"/>
    </row>
    <row r="105" spans="2:3" x14ac:dyDescent="0.25">
      <c r="B105" s="14"/>
      <c r="C105" s="14"/>
    </row>
    <row r="106" spans="2:3" x14ac:dyDescent="0.25">
      <c r="B106" s="14"/>
      <c r="C106" s="14"/>
    </row>
    <row r="107" spans="2:3" x14ac:dyDescent="0.25">
      <c r="B107" s="14"/>
      <c r="C107" s="14"/>
    </row>
    <row r="108" spans="2:3" x14ac:dyDescent="0.25">
      <c r="B108" s="14"/>
      <c r="C108" s="14"/>
    </row>
    <row r="109" spans="2:3" x14ac:dyDescent="0.25">
      <c r="B109" s="14"/>
      <c r="C109" s="14"/>
    </row>
    <row r="110" spans="2:3" x14ac:dyDescent="0.25">
      <c r="B110" s="14"/>
      <c r="C110" s="14"/>
    </row>
    <row r="111" spans="2:3" x14ac:dyDescent="0.25">
      <c r="B111" s="14"/>
      <c r="C111" s="14"/>
    </row>
    <row r="112" spans="2:3" x14ac:dyDescent="0.25">
      <c r="B112" s="14"/>
      <c r="C112" s="14"/>
    </row>
    <row r="113" spans="2:3" x14ac:dyDescent="0.25">
      <c r="B113" s="14"/>
      <c r="C113" s="14"/>
    </row>
    <row r="114" spans="2:3" x14ac:dyDescent="0.25">
      <c r="B114" s="14"/>
      <c r="C114" s="14"/>
    </row>
    <row r="115" spans="2:3" x14ac:dyDescent="0.25">
      <c r="B115" s="14"/>
      <c r="C115" s="14"/>
    </row>
    <row r="116" spans="2:3" x14ac:dyDescent="0.25">
      <c r="B116" s="14"/>
      <c r="C116" s="14"/>
    </row>
    <row r="117" spans="2:3" x14ac:dyDescent="0.25">
      <c r="B117" s="14"/>
      <c r="C117" s="14"/>
    </row>
    <row r="118" spans="2:3" x14ac:dyDescent="0.25">
      <c r="B118" s="14"/>
      <c r="C118" s="14"/>
    </row>
    <row r="119" spans="2:3" x14ac:dyDescent="0.25">
      <c r="B119" s="14"/>
      <c r="C119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B9EC986B0D74FA45E405CA1D25947" ma:contentTypeVersion="15" ma:contentTypeDescription="Create a new document." ma:contentTypeScope="" ma:versionID="25127c2b0a005e640d0d41a63382fad7">
  <xsd:schema xmlns:xsd="http://www.w3.org/2001/XMLSchema" xmlns:xs="http://www.w3.org/2001/XMLSchema" xmlns:p="http://schemas.microsoft.com/office/2006/metadata/properties" xmlns:ns3="e35fa017-d292-4961-a432-dd17f744e14a" xmlns:ns4="7c0e1c58-54df-46ed-8e8d-c56269d5a92b" targetNamespace="http://schemas.microsoft.com/office/2006/metadata/properties" ma:root="true" ma:fieldsID="8936390e826923df80d8dc6015ed476b" ns3:_="" ns4:_="">
    <xsd:import namespace="e35fa017-d292-4961-a432-dd17f744e14a"/>
    <xsd:import namespace="7c0e1c58-54df-46ed-8e8d-c56269d5a9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fa017-d292-4961-a432-dd17f744e1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e1c58-54df-46ed-8e8d-c56269d5a9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5fa017-d292-4961-a432-dd17f744e14a" xsi:nil="true"/>
  </documentManagement>
</p:properties>
</file>

<file path=customXml/itemProps1.xml><?xml version="1.0" encoding="utf-8"?>
<ds:datastoreItem xmlns:ds="http://schemas.openxmlformats.org/officeDocument/2006/customXml" ds:itemID="{DF75B630-6D38-4AFC-AADB-6EB74A2B9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5fa017-d292-4961-a432-dd17f744e14a"/>
    <ds:schemaRef ds:uri="7c0e1c58-54df-46ed-8e8d-c56269d5a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151034-DD93-48FA-BD11-C1D549C06A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1D8343-FB58-4692-84F8-78CD1F5948E6}">
  <ds:schemaRefs>
    <ds:schemaRef ds:uri="http://www.w3.org/XML/1998/namespace"/>
    <ds:schemaRef ds:uri="http://purl.org/dc/elements/1.1/"/>
    <ds:schemaRef ds:uri="http://purl.org/dc/terms/"/>
    <ds:schemaRef ds:uri="7c0e1c58-54df-46ed-8e8d-c56269d5a92b"/>
    <ds:schemaRef ds:uri="http://schemas.microsoft.com/office/infopath/2007/PartnerControls"/>
    <ds:schemaRef ds:uri="http://schemas.microsoft.com/office/2006/documentManagement/types"/>
    <ds:schemaRef ds:uri="e35fa017-d292-4961-a432-dd17f744e14a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Jose Pech</cp:lastModifiedBy>
  <dcterms:created xsi:type="dcterms:W3CDTF">2020-11-09T05:02:29Z</dcterms:created>
  <dcterms:modified xsi:type="dcterms:W3CDTF">2023-02-08T01:29:55Z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0x010100CCEB9EC986B0D74FA45E405CA1D25947</vt:lpwstr>
  </property>
</Properties>
</file>