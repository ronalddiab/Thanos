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77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'31'!$A$1:$J$176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</workbook>
</file>

<file path=xl/calcChain.xml><?xml version="1.0" encoding="utf-8"?>
<calcChain xmlns="http://schemas.openxmlformats.org/spreadsheetml/2006/main">
  <c r="F33" i="48"/>
  <c r="D33"/>
  <c r="E32"/>
  <c r="E33"/>
  <c r="G32"/>
  <c r="G33" s="1"/>
  <c r="C33"/>
  <c r="B37" i="44"/>
  <c r="C37" l="1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B38"/>
  <c r="C38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5"/>
  <c r="H7" i="33"/>
  <c r="C36" i="44"/>
  <c r="D35"/>
  <c r="E131" i="31" l="1"/>
  <c r="E132"/>
  <c r="G176"/>
  <c r="G175"/>
  <c r="G174"/>
  <c r="B23" i="48" l="1"/>
  <c r="G132" i="27" l="1"/>
  <c r="G133"/>
  <c r="G136"/>
  <c r="G137"/>
  <c r="G140"/>
  <c r="G141"/>
  <c r="E132"/>
  <c r="E133"/>
  <c r="E134"/>
  <c r="G134" s="1"/>
  <c r="E135"/>
  <c r="G135" s="1"/>
  <c r="E136"/>
  <c r="E137"/>
  <c r="E138"/>
  <c r="G138" s="1"/>
  <c r="E139"/>
  <c r="G139" s="1"/>
  <c r="E140"/>
  <c r="E141"/>
  <c r="G177" i="28"/>
  <c r="G176"/>
  <c r="G175"/>
  <c r="G174"/>
  <c r="E162" i="40"/>
  <c r="E163"/>
  <c r="E164"/>
  <c r="E165"/>
  <c r="E166"/>
  <c r="E167"/>
  <c r="E168"/>
  <c r="E169"/>
  <c r="E170"/>
  <c r="E171"/>
  <c r="E172"/>
  <c r="E173"/>
  <c r="E174"/>
  <c r="E175"/>
  <c r="G175" s="1"/>
  <c r="E176"/>
  <c r="G176" s="1"/>
  <c r="G174"/>
  <c r="E162" i="25"/>
  <c r="E163"/>
  <c r="E164"/>
  <c r="E165"/>
  <c r="E166"/>
  <c r="E167"/>
  <c r="E168"/>
  <c r="E169"/>
  <c r="E170"/>
  <c r="E171"/>
  <c r="E172"/>
  <c r="E36"/>
  <c r="E37"/>
  <c r="E38"/>
  <c r="E39"/>
  <c r="E40"/>
  <c r="E41"/>
  <c r="E42"/>
  <c r="E43"/>
  <c r="E44"/>
  <c r="E45"/>
  <c r="E46"/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76"/>
  <c r="E177"/>
  <c r="G177" s="1"/>
  <c r="E175"/>
  <c r="G175" s="1"/>
  <c r="E107"/>
  <c r="E175" i="18"/>
  <c r="G175" s="1"/>
  <c r="E176"/>
  <c r="G176" s="1"/>
  <c r="E174"/>
  <c r="G174" s="1"/>
  <c r="E180" i="17"/>
  <c r="G180" s="1"/>
  <c r="E179"/>
  <c r="G179" s="1"/>
  <c r="E178"/>
  <c r="G178" s="1"/>
  <c r="E93"/>
  <c r="E96"/>
  <c r="E97"/>
  <c r="G180" i="16"/>
  <c r="E179"/>
  <c r="G179" s="1"/>
  <c r="E180"/>
  <c r="E178"/>
  <c r="G178" s="1"/>
  <c r="E106" i="15"/>
  <c r="G176" i="19"/>
  <c r="G180" i="22"/>
  <c r="E180"/>
  <c r="E179"/>
  <c r="G179" s="1"/>
  <c r="G178"/>
  <c r="E178"/>
  <c r="E175" i="15"/>
  <c r="G175" s="1"/>
  <c r="E174"/>
  <c r="G174" s="1"/>
  <c r="E173"/>
  <c r="G173" s="1"/>
  <c r="E41"/>
  <c r="G177" i="14"/>
  <c r="G176"/>
  <c r="G175"/>
  <c r="E79" i="13"/>
  <c r="E76"/>
  <c r="E75"/>
  <c r="E73"/>
  <c r="E84"/>
  <c r="E84" i="12"/>
  <c r="E78"/>
  <c r="E75"/>
  <c r="E72"/>
  <c r="G174" i="13"/>
  <c r="E174"/>
  <c r="E175"/>
  <c r="G175" s="1"/>
  <c r="E173"/>
  <c r="G173" s="1"/>
  <c r="E175" i="12"/>
  <c r="E174"/>
  <c r="G174" s="1"/>
  <c r="E105"/>
  <c r="G175" i="11"/>
  <c r="G174"/>
  <c r="G173"/>
  <c r="G175" i="10"/>
  <c r="G174"/>
  <c r="G173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G175"/>
  <c r="E174"/>
  <c r="G174" s="1"/>
  <c r="E175"/>
  <c r="E173"/>
  <c r="G173" s="1"/>
  <c r="E9"/>
  <c r="G175" i="5" l="1"/>
  <c r="G174"/>
  <c r="G173"/>
  <c r="G18" i="4"/>
  <c r="G176"/>
  <c r="G175"/>
  <c r="G174"/>
  <c r="F168"/>
  <c r="G173" i="3"/>
  <c r="G174"/>
  <c r="G175"/>
  <c r="E140"/>
  <c r="G9" i="2"/>
  <c r="G7" l="1"/>
  <c r="E28"/>
  <c r="E29"/>
  <c r="G24"/>
  <c r="G23"/>
  <c r="G18"/>
  <c r="G133"/>
  <c r="H133" s="1"/>
  <c r="J133" s="1"/>
  <c r="G134"/>
  <c r="H134" s="1"/>
  <c r="J134" s="1"/>
  <c r="G135"/>
  <c r="H135" s="1"/>
  <c r="J135" s="1"/>
  <c r="I16"/>
  <c r="G174"/>
  <c r="G176"/>
  <c r="G175"/>
  <c r="G176" i="43" l="1"/>
  <c r="G175"/>
  <c r="G174"/>
  <c r="G176" i="30" l="1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2"/>
  <c r="B24"/>
  <c r="B25"/>
  <c r="B26"/>
  <c r="B27"/>
  <c r="B28"/>
  <c r="B29"/>
  <c r="B30"/>
  <c r="B31"/>
  <c r="B32"/>
  <c r="B2"/>
  <c r="E111" i="28"/>
  <c r="E112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G177"/>
  <c r="G176"/>
  <c r="G175"/>
  <c r="G174"/>
  <c r="G2" i="48"/>
  <c r="J20"/>
  <c r="K2"/>
  <c r="E2"/>
  <c r="B33" l="1"/>
  <c r="G176" i="25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4"/>
  <c r="G174" s="1"/>
  <c r="E175" i="23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G174" i="16"/>
  <c r="G173"/>
  <c r="G174" i="14" l="1"/>
  <c r="G173"/>
  <c r="E50" i="13"/>
  <c r="E51"/>
  <c r="E52"/>
  <c r="E53"/>
  <c r="E54"/>
  <c r="E55"/>
  <c r="E56"/>
  <c r="E57"/>
  <c r="E58"/>
  <c r="G58" s="1"/>
  <c r="G162" i="12" l="1"/>
  <c r="E162"/>
  <c r="E163"/>
  <c r="G163" s="1"/>
  <c r="E164"/>
  <c r="G164" s="1"/>
  <c r="E165"/>
  <c r="G165" s="1"/>
  <c r="E166"/>
  <c r="G166" s="1"/>
  <c r="E171"/>
  <c r="G171" s="1"/>
  <c r="E173"/>
  <c r="G173" s="1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9"/>
  <c r="E10"/>
  <c r="E11"/>
  <c r="E12"/>
  <c r="E132" i="11"/>
  <c r="E133"/>
  <c r="E134"/>
  <c r="E135"/>
  <c r="E136"/>
  <c r="E137"/>
  <c r="E138"/>
  <c r="E139"/>
  <c r="E140"/>
  <c r="E141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E162" i="43" l="1"/>
  <c r="E163"/>
  <c r="E164"/>
  <c r="E10"/>
  <c r="E11"/>
  <c r="E12"/>
  <c r="E98" i="27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19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G105" s="1"/>
  <c r="E93" i="9"/>
  <c r="E83"/>
  <c r="H114" i="3"/>
  <c r="H114" i="4" s="1"/>
  <c r="H114" i="5" s="1"/>
  <c r="H109" i="3"/>
  <c r="H109" i="4" s="1"/>
  <c r="H109" i="5" s="1"/>
  <c r="H91" i="23" l="1"/>
  <c r="H91" i="24" s="1"/>
  <c r="J91" s="1"/>
  <c r="H91" i="31"/>
  <c r="J91" s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G19" s="1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E10" i="3"/>
  <c r="E8"/>
  <c r="E8" i="4" s="1"/>
  <c r="E8" i="5" s="1"/>
  <c r="I23" s="1"/>
  <c r="G8" s="1"/>
  <c r="E7" i="3"/>
  <c r="E7" i="4" s="1"/>
  <c r="E7" i="5" s="1"/>
  <c r="I22" s="1"/>
  <c r="J91" i="23" l="1"/>
  <c r="E12" i="1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D5" i="44" s="1"/>
  <c r="G12" i="2"/>
  <c r="H12" s="1"/>
  <c r="J12" s="1"/>
  <c r="G11"/>
  <c r="H11" s="1"/>
  <c r="J11" s="1"/>
  <c r="G10"/>
  <c r="H10" s="1"/>
  <c r="J10" s="1"/>
  <c r="G8"/>
  <c r="H4" i="1"/>
  <c r="G47" i="5" l="1"/>
  <c r="I4" i="1"/>
  <c r="K4" s="1"/>
  <c r="E27" i="2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G102"/>
  <c r="H102" s="1"/>
  <c r="J102" s="1"/>
  <c r="F120"/>
  <c r="H115"/>
  <c r="J115" s="1"/>
  <c r="J137" i="3" l="1"/>
  <c r="H140" i="4"/>
  <c r="H140" i="5" s="1"/>
  <c r="J140" s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H57" i="5" l="1"/>
  <c r="J57" s="1"/>
  <c r="J140" i="4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H60" i="4" l="1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K31" i="47" l="1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F170"/>
  <c r="E170" i="12" s="1"/>
  <c r="F169" i="11"/>
  <c r="E169" i="12" s="1"/>
  <c r="F168" i="11"/>
  <c r="E168" i="12" s="1"/>
  <c r="G168" s="1"/>
  <c r="F167" i="11"/>
  <c r="E167" i="12" s="1"/>
  <c r="G167" s="1"/>
  <c r="F166" i="11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2" i="12" l="1"/>
  <c r="G170"/>
  <c r="G169"/>
  <c r="K3" i="47"/>
  <c r="G165" i="9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N39" i="25"/>
  <c r="E58"/>
  <c r="N20" i="24"/>
  <c r="I19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25" l="1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168" s="1"/>
  <c r="E66"/>
  <c r="E169" s="1"/>
  <c r="E67"/>
  <c r="E170" s="1"/>
  <c r="E68"/>
  <c r="E171" s="1"/>
  <c r="E69"/>
  <c r="E172" s="1"/>
  <c r="E62"/>
  <c r="E165" s="1"/>
  <c r="E50"/>
  <c r="E51"/>
  <c r="E52"/>
  <c r="E53"/>
  <c r="E54"/>
  <c r="E55"/>
  <c r="E56"/>
  <c r="E57"/>
  <c r="E58"/>
  <c r="E49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N10" i="31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G164" i="40"/>
  <c r="G163"/>
  <c r="G162"/>
  <c r="E161"/>
  <c r="G161" s="1"/>
  <c r="G164" i="25"/>
  <c r="G163"/>
  <c r="G162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N90" i="31" l="1"/>
  <c r="J90"/>
  <c r="H89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D35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B3" i="49" l="1"/>
  <c r="AA32"/>
  <c r="AC32"/>
  <c r="AD27" i="44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/>
  <c r="G38"/>
  <c r="AS34" i="1" s="1"/>
  <c r="G39" i="31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J114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M35" i="44" l="1"/>
  <c r="AZ34" i="1"/>
  <c r="I35" i="44"/>
  <c r="AT34" i="1"/>
  <c r="H35" i="44"/>
  <c r="BC34" i="1"/>
  <c r="L35" i="44"/>
  <c r="BI34" i="1"/>
  <c r="G35" i="44"/>
  <c r="AR34" i="1"/>
  <c r="AM35" i="44"/>
  <c r="BK34" i="1"/>
  <c r="AN35" i="44"/>
  <c r="M34" i="1"/>
  <c r="F35" i="44"/>
  <c r="J35"/>
  <c r="K35"/>
  <c r="AO35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K32" i="49" l="1"/>
  <c r="L32"/>
  <c r="F32"/>
  <c r="H32"/>
  <c r="J32"/>
  <c r="G32"/>
  <c r="I32"/>
  <c r="E32"/>
  <c r="O34" i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J115" i="3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O8" i="14" l="1"/>
  <c r="E8" i="15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E8" i="19" l="1"/>
  <c r="G8" i="18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8" i="20"/>
  <c r="G8" i="19"/>
  <c r="N8" s="1"/>
  <c r="I20" i="1"/>
  <c r="K20" s="1"/>
  <c r="C21" i="44"/>
  <c r="N11" i="18"/>
  <c r="E27"/>
  <c r="G27" s="1"/>
  <c r="G20" i="1"/>
  <c r="E8" i="21" l="1"/>
  <c r="G8" i="20"/>
  <c r="I21" i="1"/>
  <c r="K21" s="1"/>
  <c r="E27" i="19"/>
  <c r="G27" s="1"/>
  <c r="C22" i="44"/>
  <c r="G21" i="1"/>
  <c r="E49" i="8"/>
  <c r="E8" i="22" l="1"/>
  <c r="G8" i="21"/>
  <c r="I22" i="1"/>
  <c r="K22" s="1"/>
  <c r="G27" i="20"/>
  <c r="C23" i="44"/>
  <c r="G22" i="1"/>
  <c r="E72" i="8"/>
  <c r="E8" i="23" l="1"/>
  <c r="G8" i="22"/>
  <c r="E27" i="21"/>
  <c r="G27" s="1"/>
  <c r="I23" i="1"/>
  <c r="K23" s="1"/>
  <c r="C24" i="44"/>
  <c r="G23" i="1"/>
  <c r="E94" i="7"/>
  <c r="G8" i="23" l="1"/>
  <c r="E8" i="24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G166" s="1"/>
  <c r="E64"/>
  <c r="G167" s="1"/>
  <c r="E65"/>
  <c r="G168" s="1"/>
  <c r="E66"/>
  <c r="G169" s="1"/>
  <c r="E67"/>
  <c r="G170" s="1"/>
  <c r="E68"/>
  <c r="G171" s="1"/>
  <c r="E69"/>
  <c r="G172" s="1"/>
  <c r="E62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I25" i="1" l="1"/>
  <c r="K25" s="1"/>
  <c r="C26" i="44"/>
  <c r="E27" i="23"/>
  <c r="G27" s="1"/>
  <c r="G25" i="1"/>
  <c r="G8" i="24"/>
  <c r="E8" i="25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E27" l="1"/>
  <c r="G27" s="1"/>
  <c r="I27" i="1"/>
  <c r="K27" s="1"/>
  <c r="C28" i="44"/>
  <c r="G27" i="1"/>
  <c r="G8" i="40"/>
  <c r="E8" i="27"/>
  <c r="G20" i="25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AA31" i="45"/>
  <c r="AA24"/>
  <c r="BD25" i="49" s="1"/>
  <c r="G60" i="25"/>
  <c r="E124" i="30"/>
  <c r="E35" i="28"/>
  <c r="G35" s="1"/>
  <c r="E27" i="27" l="1"/>
  <c r="G27" s="1"/>
  <c r="C30" i="44"/>
  <c r="I29" i="1"/>
  <c r="K29" s="1"/>
  <c r="G29"/>
  <c r="E8" i="29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/>
  <c r="W6"/>
  <c r="V6"/>
  <c r="U6"/>
  <c r="T6"/>
  <c r="S6"/>
  <c r="R6"/>
  <c r="Q6"/>
  <c r="P6"/>
  <c r="O6"/>
  <c r="N6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AV30" i="44"/>
  <c r="AD29" i="1"/>
  <c r="AB29"/>
  <c r="AA29"/>
  <c r="E131" i="27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N55" s="1"/>
  <c r="G54"/>
  <c r="N54" s="1"/>
  <c r="G53"/>
  <c r="G52"/>
  <c r="N52" s="1"/>
  <c r="G51"/>
  <c r="G50"/>
  <c r="E49"/>
  <c r="G46"/>
  <c r="G45"/>
  <c r="N45" s="1"/>
  <c r="G44"/>
  <c r="G43"/>
  <c r="N43" s="1"/>
  <c r="G42"/>
  <c r="G41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G119" s="1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AR6"/>
  <c r="AQ6"/>
  <c r="AP6"/>
  <c r="E13" i="45"/>
  <c r="BC3" i="49" s="1"/>
  <c r="E9" i="45"/>
  <c r="AO3" i="49" s="1"/>
  <c r="E7" i="45"/>
  <c r="AE6" i="44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AD3" i="49" l="1"/>
  <c r="Q3"/>
  <c r="N44" i="19"/>
  <c r="BL3" i="49"/>
  <c r="BD21" i="1"/>
  <c r="N53" i="19"/>
  <c r="P3" i="49"/>
  <c r="Y3"/>
  <c r="BK3"/>
  <c r="BA17" i="1"/>
  <c r="G59" i="15"/>
  <c r="AW21" i="1"/>
  <c r="O3" i="49"/>
  <c r="W3"/>
  <c r="AP18" i="44"/>
  <c r="BI15" i="49" s="1"/>
  <c r="G125" i="15"/>
  <c r="BJ3" i="49"/>
  <c r="AU21" i="1"/>
  <c r="N40" i="19"/>
  <c r="BB21" i="1"/>
  <c r="N51" i="19"/>
  <c r="N3" i="49"/>
  <c r="V3"/>
  <c r="Y22" i="44"/>
  <c r="X19" i="49" s="1"/>
  <c r="N58" i="19"/>
  <c r="N10"/>
  <c r="N41"/>
  <c r="R3" i="49"/>
  <c r="BI3"/>
  <c r="AP39" i="44"/>
  <c r="M3" i="49"/>
  <c r="U3"/>
  <c r="N38" i="19"/>
  <c r="N50"/>
  <c r="BH21" i="1"/>
  <c r="N57" i="19"/>
  <c r="T3" i="49"/>
  <c r="N36" i="19"/>
  <c r="N35"/>
  <c r="BG21" i="1"/>
  <c r="N56" i="19"/>
  <c r="S3" i="49"/>
  <c r="N46" i="19"/>
  <c r="G8" i="43"/>
  <c r="N8"/>
  <c r="E8" i="3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H30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K30"/>
  <c r="J27" i="49" s="1"/>
  <c r="G29" i="44"/>
  <c r="F26" i="49" s="1"/>
  <c r="G13" i="9"/>
  <c r="AF6" i="44"/>
  <c r="AE8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6"/>
  <c r="AJ8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K8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K6"/>
  <c r="AL8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F119" i="33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G166" i="40"/>
  <c r="G67"/>
  <c r="AJ29" i="44" s="1"/>
  <c r="AI26" i="49" s="1"/>
  <c r="G170" i="40"/>
  <c r="G62"/>
  <c r="AE29" i="44" s="1"/>
  <c r="AD26" i="49" s="1"/>
  <c r="G165" i="40"/>
  <c r="G66"/>
  <c r="AI29" i="44" s="1"/>
  <c r="AH26" i="49" s="1"/>
  <c r="G169" i="40"/>
  <c r="G65"/>
  <c r="AH29" i="44" s="1"/>
  <c r="AG26" i="49" s="1"/>
  <c r="G168" i="40"/>
  <c r="G69"/>
  <c r="AL29" i="44" s="1"/>
  <c r="AK26" i="49" s="1"/>
  <c r="G172" i="40"/>
  <c r="G64"/>
  <c r="AG29" i="44" s="1"/>
  <c r="AF26" i="49" s="1"/>
  <c r="G167" i="40"/>
  <c r="G68"/>
  <c r="AK29" i="44" s="1"/>
  <c r="AJ26" i="49" s="1"/>
  <c r="G171" i="40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60" s="1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60" s="1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G3" i="49" l="1"/>
  <c r="AI3"/>
  <c r="AY6" i="44"/>
  <c r="AK3" i="49"/>
  <c r="F3"/>
  <c r="N39" i="19"/>
  <c r="N42"/>
  <c r="E3" i="49"/>
  <c r="AH3"/>
  <c r="BA21" i="1"/>
  <c r="N49" i="19"/>
  <c r="AF3" i="49"/>
  <c r="H3"/>
  <c r="K3"/>
  <c r="N12" i="19"/>
  <c r="J3" i="49"/>
  <c r="AL3"/>
  <c r="G3"/>
  <c r="X3"/>
  <c r="AJ3"/>
  <c r="AE3"/>
  <c r="I3"/>
  <c r="L3"/>
  <c r="N11" i="19"/>
  <c r="N8" i="31"/>
  <c r="G8"/>
  <c r="G60" i="33"/>
  <c r="I33" i="1"/>
  <c r="K33" s="1"/>
  <c r="G33"/>
  <c r="E27" i="43"/>
  <c r="G27" s="1"/>
  <c r="C34" i="44"/>
  <c r="BH6" i="49"/>
  <c r="L24" i="45"/>
  <c r="BD10" i="49" s="1"/>
  <c r="BH3"/>
  <c r="BH5"/>
  <c r="BH4"/>
  <c r="T24" i="45"/>
  <c r="BD18" i="49" s="1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AO22"/>
  <c r="AO16"/>
  <c r="H9" i="35"/>
  <c r="I134" i="43"/>
  <c r="BJ5" i="1"/>
  <c r="I9" i="35"/>
  <c r="AM36" i="1"/>
  <c r="I22" i="44"/>
  <c r="H19" i="49" s="1"/>
  <c r="G22" i="44"/>
  <c r="F19" i="49" s="1"/>
  <c r="AO30" i="1"/>
  <c r="I21" i="44"/>
  <c r="H18" i="49" s="1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H120" i="13"/>
  <c r="J120" s="1"/>
  <c r="Z5" i="1"/>
  <c r="K11" i="35"/>
  <c r="AN6" i="44"/>
  <c r="AY5"/>
  <c r="AK18" i="1"/>
  <c r="Z17"/>
  <c r="AY18" i="44"/>
  <c r="AY17"/>
  <c r="AK11" i="1"/>
  <c r="G60" i="12"/>
  <c r="H119"/>
  <c r="J119" s="1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Z19"/>
  <c r="AK5"/>
  <c r="BP24"/>
  <c r="BQ24" s="1"/>
  <c r="AV36"/>
  <c r="AF28"/>
  <c r="AG28" s="1"/>
  <c r="BP28"/>
  <c r="BQ28" s="1"/>
  <c r="G47" i="19"/>
  <c r="N47" s="1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6"/>
  <c r="AR36" i="1"/>
  <c r="BG36"/>
  <c r="P19"/>
  <c r="I17" i="47" s="1"/>
  <c r="G60" i="40"/>
  <c r="AK28" i="1"/>
  <c r="V36"/>
  <c r="AF17"/>
  <c r="AG17" s="1"/>
  <c r="G60" i="14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G60" i="18" l="1"/>
  <c r="BG3" i="49"/>
  <c r="N59" i="19"/>
  <c r="BQ4" i="1"/>
  <c r="E27" i="31"/>
  <c r="G27" s="1"/>
  <c r="G32" s="1"/>
  <c r="I34" i="1"/>
  <c r="G34"/>
  <c r="G35" s="1"/>
  <c r="C35" i="44"/>
  <c r="G144" i="7"/>
  <c r="H9" i="1"/>
  <c r="S10"/>
  <c r="R10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E7" i="10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N60" i="19" l="1"/>
  <c r="BM3" i="49"/>
  <c r="K34" i="1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D10" i="44"/>
  <c r="E28" i="7"/>
  <c r="G28" s="1"/>
  <c r="G32" s="1"/>
  <c r="AN10" i="44"/>
  <c r="M9" i="1"/>
  <c r="G129" i="7"/>
  <c r="E9" i="19"/>
  <c r="E7" i="11"/>
  <c r="E7" i="12" s="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2" i="44" l="1"/>
  <c r="E7" i="13"/>
  <c r="G7" i="12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M7" s="1"/>
  <c r="O9" i="1"/>
  <c r="G8" i="47"/>
  <c r="O10" i="1"/>
  <c r="BO10" s="1"/>
  <c r="G9" i="18"/>
  <c r="G13" s="1"/>
  <c r="E9" i="20"/>
  <c r="G9" i="19"/>
  <c r="E9" i="47"/>
  <c r="L11" i="1"/>
  <c r="BL11"/>
  <c r="BN11"/>
  <c r="BM11"/>
  <c r="G7" i="11"/>
  <c r="G7" i="10"/>
  <c r="H12" i="1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144"/>
  <c r="H146"/>
  <c r="H148"/>
  <c r="G13" i="19" l="1"/>
  <c r="N13" s="1"/>
  <c r="N9"/>
  <c r="H13" i="1"/>
  <c r="I59" i="11"/>
  <c r="G7" i="13"/>
  <c r="E7" i="14"/>
  <c r="F7" s="1"/>
  <c r="G7" s="1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12"/>
  <c r="BM7" i="49"/>
  <c r="BO9" i="1"/>
  <c r="B14" i="44"/>
  <c r="G146" i="11"/>
  <c r="G148"/>
  <c r="G152"/>
  <c r="G154"/>
  <c r="G150"/>
  <c r="G144"/>
  <c r="I13"/>
  <c r="B13" i="44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I60" i="19" l="1"/>
  <c r="H15" i="1"/>
  <c r="B16" i="44"/>
  <c r="G150" i="13"/>
  <c r="G154"/>
  <c r="G144"/>
  <c r="G152"/>
  <c r="G148"/>
  <c r="G146"/>
  <c r="I59"/>
  <c r="I13"/>
  <c r="E7" i="15"/>
  <c r="O7" i="14"/>
  <c r="M12" i="1"/>
  <c r="O12" s="1"/>
  <c r="BO11"/>
  <c r="D13" i="44"/>
  <c r="E28" i="10"/>
  <c r="G28" s="1"/>
  <c r="G32" s="1"/>
  <c r="G129"/>
  <c r="G9" i="47"/>
  <c r="M9" s="1"/>
  <c r="G15" i="11"/>
  <c r="E28" s="1"/>
  <c r="G28" s="1"/>
  <c r="G32" s="1"/>
  <c r="G9" i="20"/>
  <c r="G13" s="1"/>
  <c r="I60" s="1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H16" i="1" l="1"/>
  <c r="G146" i="14"/>
  <c r="G152"/>
  <c r="G144"/>
  <c r="N7"/>
  <c r="G150"/>
  <c r="B17" i="44"/>
  <c r="G148" i="14"/>
  <c r="G154"/>
  <c r="I13"/>
  <c r="I59"/>
  <c r="E7" i="16"/>
  <c r="G7" i="15"/>
  <c r="E15" i="14"/>
  <c r="H28" i="10"/>
  <c r="J28" s="1"/>
  <c r="G10" i="47"/>
  <c r="M10" s="1"/>
  <c r="D14" i="44"/>
  <c r="AN14"/>
  <c r="BG11" i="49" s="1"/>
  <c r="G129" i="11"/>
  <c r="M13" i="1"/>
  <c r="O13" s="1"/>
  <c r="BO13" s="1"/>
  <c r="G9" i="21"/>
  <c r="G13" s="1"/>
  <c r="I60" s="1"/>
  <c r="G15" i="12"/>
  <c r="D15" i="44" s="1"/>
  <c r="BO12" i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5" i="13" l="1"/>
  <c r="D16" i="44" s="1"/>
  <c r="E7" i="17"/>
  <c r="G7" i="16"/>
  <c r="G146" i="15"/>
  <c r="B18" i="44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M11" s="1"/>
  <c r="E28" i="12"/>
  <c r="G28" s="1"/>
  <c r="G32" s="1"/>
  <c r="AN15" i="44"/>
  <c r="AT15" s="1"/>
  <c r="BM12" i="49" s="1"/>
  <c r="G129" i="12"/>
  <c r="M14" i="1"/>
  <c r="G12" i="47" s="1"/>
  <c r="M12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M15" i="1" l="1"/>
  <c r="E28" i="13"/>
  <c r="G28" s="1"/>
  <c r="G32" s="1"/>
  <c r="AN16" i="44"/>
  <c r="G129" i="13"/>
  <c r="E7" i="18"/>
  <c r="K7" i="17"/>
  <c r="G7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G32" s="1"/>
  <c r="AN17" i="44"/>
  <c r="G129" i="14"/>
  <c r="E15" i="16"/>
  <c r="G15" s="1"/>
  <c r="G15" i="15"/>
  <c r="O14" i="1"/>
  <c r="BO14" s="1"/>
  <c r="H28" i="12"/>
  <c r="H28" i="13" s="1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O15" i="1" l="1"/>
  <c r="BO15" s="1"/>
  <c r="G13" i="47"/>
  <c r="M13" s="1"/>
  <c r="BG13" i="49"/>
  <c r="AT16" i="44"/>
  <c r="BM13" i="49" s="1"/>
  <c r="G7" i="18"/>
  <c r="E7" i="19"/>
  <c r="H19" i="1"/>
  <c r="G146" i="17"/>
  <c r="B20" i="44"/>
  <c r="I13" i="17"/>
  <c r="G150"/>
  <c r="I59"/>
  <c r="G154"/>
  <c r="G148"/>
  <c r="G152"/>
  <c r="G144"/>
  <c r="G14" i="47"/>
  <c r="M14" s="1"/>
  <c r="O16" i="1"/>
  <c r="BO16" s="1"/>
  <c r="BG14" i="49"/>
  <c r="AT17" i="44"/>
  <c r="E15" i="17"/>
  <c r="AN18" i="44"/>
  <c r="M17" i="1"/>
  <c r="G129" i="15"/>
  <c r="D18" i="44"/>
  <c r="E28" i="15"/>
  <c r="G28" s="1"/>
  <c r="G32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I13" i="18" l="1"/>
  <c r="G148"/>
  <c r="G152"/>
  <c r="G154"/>
  <c r="G150"/>
  <c r="G144"/>
  <c r="H20" i="1"/>
  <c r="G146" i="18"/>
  <c r="B21" i="44"/>
  <c r="I59" i="18"/>
  <c r="G129" i="16"/>
  <c r="G7" i="19"/>
  <c r="N7" s="1"/>
  <c r="E7" i="20"/>
  <c r="BM14" i="49"/>
  <c r="G15" i="17"/>
  <c r="AT18" i="44"/>
  <c r="BG15" i="49"/>
  <c r="O17" i="1"/>
  <c r="BO17" s="1"/>
  <c r="G15" i="47"/>
  <c r="M15" s="1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E28" i="16" l="1"/>
  <c r="G28" s="1"/>
  <c r="G32" s="1"/>
  <c r="D19" i="44"/>
  <c r="AN19"/>
  <c r="AT19" s="1"/>
  <c r="G7" i="20"/>
  <c r="E7" i="21"/>
  <c r="H21" i="1"/>
  <c r="I59" i="19"/>
  <c r="G144"/>
  <c r="G154"/>
  <c r="G148"/>
  <c r="G150"/>
  <c r="B22" i="44"/>
  <c r="G146" i="19"/>
  <c r="I13"/>
  <c r="G152"/>
  <c r="M18" i="1"/>
  <c r="G16" i="47" s="1"/>
  <c r="M16" s="1"/>
  <c r="BM15" i="49"/>
  <c r="BG16"/>
  <c r="AN20" i="44"/>
  <c r="M19" i="1"/>
  <c r="E28" i="17"/>
  <c r="G28" s="1"/>
  <c r="G32" s="1"/>
  <c r="G129"/>
  <c r="H129" s="1"/>
  <c r="J129" s="1"/>
  <c r="D20" i="44"/>
  <c r="E15" i="18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28" i="16" l="1"/>
  <c r="J28" s="1"/>
  <c r="H22" i="1"/>
  <c r="G152" i="20"/>
  <c r="G148"/>
  <c r="B23" i="44"/>
  <c r="G146" i="20"/>
  <c r="G150"/>
  <c r="G144"/>
  <c r="G154"/>
  <c r="I13"/>
  <c r="I59"/>
  <c r="E7" i="22"/>
  <c r="G7" i="21"/>
  <c r="O18" i="1"/>
  <c r="BO18" s="1"/>
  <c r="BO36" s="1"/>
  <c r="M36"/>
  <c r="AT20" i="44"/>
  <c r="BG17" i="49"/>
  <c r="O19" i="1"/>
  <c r="BO19" s="1"/>
  <c r="G17" i="47"/>
  <c r="M17" s="1"/>
  <c r="BM16" i="49"/>
  <c r="E15" i="19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2" i="16" l="1"/>
  <c r="J32" s="1"/>
  <c r="J32" i="15"/>
  <c r="H28" i="17"/>
  <c r="J28" s="1"/>
  <c r="O36" i="1"/>
  <c r="E7" i="23"/>
  <c r="G7" i="22"/>
  <c r="H23" i="1"/>
  <c r="L7" i="21"/>
  <c r="I13"/>
  <c r="B24" i="44"/>
  <c r="I59" i="21"/>
  <c r="G148"/>
  <c r="G152"/>
  <c r="G150"/>
  <c r="G144"/>
  <c r="G154"/>
  <c r="G146"/>
  <c r="E15" i="20"/>
  <c r="G15" i="19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G7" i="23" l="1"/>
  <c r="E7" i="24"/>
  <c r="H28" i="18"/>
  <c r="G146" i="22"/>
  <c r="I13"/>
  <c r="G152"/>
  <c r="I59"/>
  <c r="G150"/>
  <c r="H24" i="1"/>
  <c r="B25" i="44"/>
  <c r="G144" i="22"/>
  <c r="L7"/>
  <c r="G154"/>
  <c r="G148"/>
  <c r="G15" i="20"/>
  <c r="E15" i="21"/>
  <c r="E28" i="19"/>
  <c r="G28" s="1"/>
  <c r="G32" s="1"/>
  <c r="D22" i="44"/>
  <c r="G129" i="19"/>
  <c r="H129" s="1"/>
  <c r="J129" s="1"/>
  <c r="M21" i="1"/>
  <c r="AN22" i="44"/>
  <c r="BG18" i="49"/>
  <c r="AT21" i="44"/>
  <c r="O20" i="1"/>
  <c r="BO20" s="1"/>
  <c r="G18" i="47"/>
  <c r="M18" s="1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8" i="18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25" i="1" l="1"/>
  <c r="G150" i="23"/>
  <c r="G146"/>
  <c r="G148"/>
  <c r="I59"/>
  <c r="G154"/>
  <c r="G152"/>
  <c r="G144"/>
  <c r="I13"/>
  <c r="B26" i="44"/>
  <c r="G7" i="24"/>
  <c r="E7" i="25"/>
  <c r="E28" i="20"/>
  <c r="G28" s="1"/>
  <c r="G32" s="1"/>
  <c r="M22" i="1"/>
  <c r="G129" i="20"/>
  <c r="H129" s="1"/>
  <c r="J129" s="1"/>
  <c r="AN23" i="44"/>
  <c r="D23"/>
  <c r="BM18" i="49"/>
  <c r="E15" i="22"/>
  <c r="G15" i="21"/>
  <c r="O21" i="1"/>
  <c r="BO21" s="1"/>
  <c r="G19" i="47"/>
  <c r="M19" s="1"/>
  <c r="H28" i="19"/>
  <c r="J28" s="1"/>
  <c r="BG19" i="49"/>
  <c r="AT22" i="44"/>
  <c r="H31" i="22"/>
  <c r="J31" i="21"/>
  <c r="I60" i="30"/>
  <c r="E27" i="47"/>
  <c r="BL29" i="1"/>
  <c r="BM29"/>
  <c r="BN29"/>
  <c r="L29"/>
  <c r="E9" i="43"/>
  <c r="E9" i="42"/>
  <c r="G9" s="1"/>
  <c r="G13" s="1"/>
  <c r="I59" s="1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26" i="1" l="1"/>
  <c r="B27" i="44"/>
  <c r="I13" i="24"/>
  <c r="G148"/>
  <c r="I59"/>
  <c r="G152"/>
  <c r="G154"/>
  <c r="G150"/>
  <c r="G144"/>
  <c r="G146"/>
  <c r="E7" i="40"/>
  <c r="G7" i="25"/>
  <c r="O22" i="1"/>
  <c r="BO22" s="1"/>
  <c r="G20" i="47"/>
  <c r="M20" s="1"/>
  <c r="AN24" i="44"/>
  <c r="G129" i="21"/>
  <c r="H129" s="1"/>
  <c r="J129" s="1"/>
  <c r="D24" i="44"/>
  <c r="M23" i="1"/>
  <c r="E28" i="21"/>
  <c r="G28" s="1"/>
  <c r="G32" s="1"/>
  <c r="AT23" i="44"/>
  <c r="BG20" i="49"/>
  <c r="BM19"/>
  <c r="H28" i="20"/>
  <c r="E15" i="23"/>
  <c r="G15" i="22"/>
  <c r="H31" i="23"/>
  <c r="J31" i="22"/>
  <c r="N9" i="43"/>
  <c r="E9" i="3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28" i="21" l="1"/>
  <c r="J28" s="1"/>
  <c r="J28" i="20"/>
  <c r="G7" i="40"/>
  <c r="E7" i="27"/>
  <c r="B28" i="44"/>
  <c r="G150" i="25"/>
  <c r="G146"/>
  <c r="G148"/>
  <c r="I13"/>
  <c r="G152"/>
  <c r="I59"/>
  <c r="G154"/>
  <c r="H27" i="1"/>
  <c r="G144" i="25"/>
  <c r="AT24" i="44"/>
  <c r="BG21" i="49"/>
  <c r="BM20"/>
  <c r="E15" i="24"/>
  <c r="G15" i="23"/>
  <c r="O23" i="1"/>
  <c r="BO23" s="1"/>
  <c r="G21" i="47"/>
  <c r="M21" s="1"/>
  <c r="M24" i="1"/>
  <c r="D25" i="44"/>
  <c r="G129" i="22"/>
  <c r="H129" s="1"/>
  <c r="J129" s="1"/>
  <c r="E28"/>
  <c r="G28" s="1"/>
  <c r="G32" s="1"/>
  <c r="AN25" i="44"/>
  <c r="H31" i="24"/>
  <c r="H31" i="25" s="1"/>
  <c r="H31" i="40" s="1"/>
  <c r="H31" i="27" s="1"/>
  <c r="H31" i="28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31" i="29" l="1"/>
  <c r="J31" s="1"/>
  <c r="J31" i="28"/>
  <c r="H28" i="1"/>
  <c r="G152" i="40"/>
  <c r="G154"/>
  <c r="G150"/>
  <c r="G144"/>
  <c r="N7"/>
  <c r="N11" s="1"/>
  <c r="I13"/>
  <c r="B29" i="44"/>
  <c r="I59" i="40"/>
  <c r="G148"/>
  <c r="G146"/>
  <c r="E7" i="28"/>
  <c r="G7" i="27"/>
  <c r="O24" i="1"/>
  <c r="BO24" s="1"/>
  <c r="G22" i="47"/>
  <c r="M22" s="1"/>
  <c r="BM21" i="49"/>
  <c r="BG22"/>
  <c r="AT25" i="44"/>
  <c r="E15" i="25"/>
  <c r="G15" i="24"/>
  <c r="H28" i="22"/>
  <c r="J28" s="1"/>
  <c r="M25" i="1"/>
  <c r="D26" i="44"/>
  <c r="G129" i="23"/>
  <c r="H129" s="1"/>
  <c r="J129" s="1"/>
  <c r="AN26" i="44"/>
  <c r="E28" i="23"/>
  <c r="G28" s="1"/>
  <c r="G32" s="1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H31" i="30" l="1"/>
  <c r="H28" i="23"/>
  <c r="J28" s="1"/>
  <c r="G7" i="28"/>
  <c r="E7" i="29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G15" i="25"/>
  <c r="O25" i="1"/>
  <c r="BO25" s="1"/>
  <c r="G23" i="47"/>
  <c r="M23" s="1"/>
  <c r="AT26" i="44"/>
  <c r="BG23" i="49"/>
  <c r="BM22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H31" i="43" l="1"/>
  <c r="J31" i="30"/>
  <c r="B31" i="44"/>
  <c r="I59" i="28"/>
  <c r="G146"/>
  <c r="G152"/>
  <c r="H30" i="1"/>
  <c r="G154" i="28"/>
  <c r="G144"/>
  <c r="I13"/>
  <c r="G150"/>
  <c r="G148"/>
  <c r="E7" i="30"/>
  <c r="G7" i="29"/>
  <c r="BM23" i="49"/>
  <c r="BG24"/>
  <c r="AT27" i="44"/>
  <c r="O26" i="1"/>
  <c r="BO26" s="1"/>
  <c r="G24" i="47"/>
  <c r="M24" s="1"/>
  <c r="E15" i="27"/>
  <c r="G15" i="40"/>
  <c r="H28" i="24"/>
  <c r="J28" s="1"/>
  <c r="G129" i="25"/>
  <c r="H129" s="1"/>
  <c r="J129" s="1"/>
  <c r="M27" i="1"/>
  <c r="AN28" i="44"/>
  <c r="E28" i="25"/>
  <c r="G28" s="1"/>
  <c r="G32" s="1"/>
  <c r="D28" i="44"/>
  <c r="BO34" i="1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J31" i="43" l="1"/>
  <c r="H31" i="31"/>
  <c r="J31" s="1"/>
  <c r="E7" i="43"/>
  <c r="E7" i="42"/>
  <c r="G7" s="1"/>
  <c r="G7" i="30"/>
  <c r="I59" i="29"/>
  <c r="B32" i="44"/>
  <c r="G150" i="29"/>
  <c r="H31" i="1"/>
  <c r="G152" i="29"/>
  <c r="G154"/>
  <c r="G146"/>
  <c r="G148"/>
  <c r="I13"/>
  <c r="G144"/>
  <c r="E28" i="40"/>
  <c r="G28" s="1"/>
  <c r="G32" s="1"/>
  <c r="G129"/>
  <c r="H129" s="1"/>
  <c r="J129" s="1"/>
  <c r="AN29" i="44"/>
  <c r="M28" i="1"/>
  <c r="D29" i="44"/>
  <c r="O27" i="1"/>
  <c r="G25" i="47"/>
  <c r="M25" s="1"/>
  <c r="BM24" i="49"/>
  <c r="H28" i="25"/>
  <c r="BG25" i="49"/>
  <c r="AT28" i="44"/>
  <c r="E15" i="28"/>
  <c r="G15" i="27"/>
  <c r="H153" i="24"/>
  <c r="J153" i="23"/>
  <c r="J30" i="24"/>
  <c r="J29" i="23"/>
  <c r="H29" i="24"/>
  <c r="H128" i="25"/>
  <c r="J128" s="1"/>
  <c r="J128" i="24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106" i="42" l="1"/>
  <c r="G108"/>
  <c r="I58"/>
  <c r="G114"/>
  <c r="I13"/>
  <c r="G104"/>
  <c r="E27"/>
  <c r="G27" s="1"/>
  <c r="G112"/>
  <c r="G110"/>
  <c r="E7" i="3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M26" s="1"/>
  <c r="O28" i="1"/>
  <c r="BO28" s="1"/>
  <c r="BM25" i="49"/>
  <c r="BO27" i="1"/>
  <c r="E15" i="29"/>
  <c r="G15" i="28"/>
  <c r="AN30" i="44"/>
  <c r="M29" i="1"/>
  <c r="D30" i="44"/>
  <c r="G129" i="27"/>
  <c r="H129" s="1"/>
  <c r="J129" s="1"/>
  <c r="E28"/>
  <c r="G28" s="1"/>
  <c r="G32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7" i="31" l="1"/>
  <c r="N7"/>
  <c r="E28" i="28"/>
  <c r="G28" s="1"/>
  <c r="G32" s="1"/>
  <c r="AN31" i="44"/>
  <c r="M30" i="1"/>
  <c r="G129" i="28"/>
  <c r="H129" s="1"/>
  <c r="J129" s="1"/>
  <c r="D31" i="44"/>
  <c r="E15" i="30"/>
  <c r="G15" i="29"/>
  <c r="BG27" i="49"/>
  <c r="AT30" i="44"/>
  <c r="H28" i="27"/>
  <c r="J28" s="1"/>
  <c r="O29" i="1"/>
  <c r="G27" i="47"/>
  <c r="M27" s="1"/>
  <c r="BM26" i="49"/>
  <c r="J153" i="25"/>
  <c r="H153" i="40"/>
  <c r="H29"/>
  <c r="J29" i="25"/>
  <c r="H32"/>
  <c r="J32" i="24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H34" i="1" l="1"/>
  <c r="B35" i="44"/>
  <c r="G154" i="31"/>
  <c r="G146"/>
  <c r="G152"/>
  <c r="G148"/>
  <c r="G150"/>
  <c r="G144"/>
  <c r="I59"/>
  <c r="I13"/>
  <c r="BM27" i="49"/>
  <c r="AT31" i="44"/>
  <c r="BG28" i="49"/>
  <c r="BO29" i="1"/>
  <c r="O30"/>
  <c r="BO30" s="1"/>
  <c r="G28" i="47"/>
  <c r="M28" s="1"/>
  <c r="G15" i="30"/>
  <c r="E15" i="42"/>
  <c r="G15" s="1"/>
  <c r="E28" s="1"/>
  <c r="G28" s="1"/>
  <c r="G31" s="1"/>
  <c r="E15" i="43"/>
  <c r="H28" i="28"/>
  <c r="J28" s="1"/>
  <c r="D32" i="44"/>
  <c r="E28" i="29"/>
  <c r="G28" s="1"/>
  <c r="G32" s="1"/>
  <c r="M31" i="1"/>
  <c r="G129" i="29"/>
  <c r="AN32" i="44"/>
  <c r="J153" i="40"/>
  <c r="H153" i="27"/>
  <c r="J29" i="40"/>
  <c r="H29" i="27"/>
  <c r="H32" i="40"/>
  <c r="J32" i="25"/>
  <c r="J27" i="27"/>
  <c r="H27" i="28"/>
  <c r="J30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28" i="29" l="1"/>
  <c r="J28" s="1"/>
  <c r="AT32" i="44"/>
  <c r="BG29" i="49"/>
  <c r="G129" i="30"/>
  <c r="M32" i="1"/>
  <c r="E28" i="30"/>
  <c r="G28" s="1"/>
  <c r="G32" s="1"/>
  <c r="D33" i="44"/>
  <c r="AN33"/>
  <c r="BM28" i="49"/>
  <c r="N15" i="43"/>
  <c r="G15"/>
  <c r="O31" i="1"/>
  <c r="G29" i="47"/>
  <c r="M29" s="1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H28" i="30" l="1"/>
  <c r="J28" s="1"/>
  <c r="BM29" i="49"/>
  <c r="D34" i="44"/>
  <c r="M33" i="1"/>
  <c r="AN34" i="44"/>
  <c r="E28" i="43"/>
  <c r="G28" s="1"/>
  <c r="G32" s="1"/>
  <c r="G129"/>
  <c r="O32" i="1"/>
  <c r="BO32" s="1"/>
  <c r="G30" i="47"/>
  <c r="M30" s="1"/>
  <c r="BO31" i="1"/>
  <c r="BG30" i="49"/>
  <c r="AT33" i="44"/>
  <c r="J153" i="28"/>
  <c r="H153" i="29"/>
  <c r="J29" i="28"/>
  <c r="H29" i="29"/>
  <c r="H32" i="28"/>
  <c r="J32" i="27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D36" i="44" l="1"/>
  <c r="H28" i="43"/>
  <c r="J28" s="1"/>
  <c r="O33" i="1"/>
  <c r="O35" s="1"/>
  <c r="G31" i="47"/>
  <c r="M35" i="1"/>
  <c r="BM30" i="49"/>
  <c r="AT34" i="44"/>
  <c r="BG31" i="49"/>
  <c r="AN36" i="44"/>
  <c r="H12" i="31"/>
  <c r="J12" s="1"/>
  <c r="H132"/>
  <c r="J132" s="1"/>
  <c r="H11"/>
  <c r="J11" s="1"/>
  <c r="H139"/>
  <c r="J139" s="1"/>
  <c r="H141"/>
  <c r="J141" s="1"/>
  <c r="H19"/>
  <c r="J19" s="1"/>
  <c r="H30"/>
  <c r="J30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AT36" i="44" l="1"/>
  <c r="H28" i="31"/>
  <c r="J28" s="1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B36" i="44" l="1"/>
  <c r="K35" i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Ramesh.Kadam</author>
  </authors>
  <commentList>
    <comment ref="E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<sst xmlns="http://schemas.openxmlformats.org/spreadsheetml/2006/main" count="10519" uniqueCount="377">
  <si>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</si>
  <si>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</si>
  <si>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</si>
  <si>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</si>
  <si>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</si>
  <si>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</si>
  <si>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</si>
  <si>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</si>
  <si>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</si>
  <si>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</si>
  <si>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</si>
  <si>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</si>
  <si>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</si>
  <si>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</si>
  <si>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</si>
  <si>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</si>
  <si>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</si>
  <si>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</si>
  <si>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</si>
  <si>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</si>
  <si>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</si>
  <si>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</si>
  <si>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</si>
  <si>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</si>
  <si>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</si>
  <si>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</si>
  <si>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</si>
  <si>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</si>
  <si>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</si>
  <si>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</si>
  <si>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</si>
  <si>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</si>
  <si>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</si>
  <si>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</si>
  <si>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</si>
  <si>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</si>
  <si>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</si>
  <si>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</si>
  <si>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</si>
  <si>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</si>
  <si>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</si>
  <si>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</si>
  <si>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</si>
  <si>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</si>
  <si>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</si>
  <si>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</si>
  <si>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</si>
  <si>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</si>
  <si>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</si>
  <si>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</si>
  <si>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</si>
  <si>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</si>
  <si>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</si>
  <si>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</si>
  <si>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</si>
  <si>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</si>
  <si>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</si>
  <si>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</si>
  <si>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</si>
  <si>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</si>
  <si>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</si>
  <si>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</si>
  <si>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</si>
  <si>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</si>
  <si>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</si>
  <si>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</si>
  <si>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</si>
  <si>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</si>
  <si>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</si>
  <si>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</si>
  <si>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</si>
  <si>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</si>
  <si>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</si>
  <si>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</si>
  <si>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</si>
  <si>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</si>
  <si>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</si>
  <si>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</si>
  <si>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</si>
  <si>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</si>
  <si>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</si>
  <si>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</si>
  <si>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</si>
  <si>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</si>
  <si>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</si>
  <si>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</si>
  <si>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</si>
  <si>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</si>
  <si>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</si>
  <si>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</si>
  <si>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</si>
  <si>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</si>
  <si>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</si>
  <si>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</si>
  <si>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</si>
  <si>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</si>
  <si>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</si>
  <si>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</si>
  <si>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</si>
  <si>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</si>
  <si>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</si>
  <si>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</si>
  <si>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</si>
  <si>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</si>
  <si>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</si>
  <si>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</si>
  <si>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</si>
  <si>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</si>
  <si>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</si>
  <si>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</si>
  <si>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</si>
  <si>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</si>
  <si>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</si>
  <si>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</si>
  <si>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</si>
  <si>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</si>
  <si>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</si>
  <si>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</si>
  <si>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</si>
  <si>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</si>
  <si>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</si>
  <si>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</si>
  <si>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</si>
  <si>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</si>
  <si>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</si>
  <si>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</si>
  <si>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</si>
  <si>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</si>
  <si>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</si>
  <si>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</si>
  <si>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</si>
  <si>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</si>
  <si>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</si>
  <si>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</si>
  <si>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</si>
  <si>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</si>
  <si>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</si>
  <si>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</si>
  <si>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</si>
  <si>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</si>
  <si>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</si>
  <si>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</si>
  <si>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</si>
  <si>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</si>
  <si>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</si>
  <si>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</si>
  <si>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</si>
  <si>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</si>
  <si>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</si>
  <si>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</si>
  <si>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</si>
  <si>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</si>
  <si>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</si>
  <si>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</si>
  <si>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</si>
  <si>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</si>
  <si>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</si>
  <si>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</si>
  <si>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</si>
  <si>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</si>
  <si>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</si>
  <si>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</si>
  <si>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</si>
  <si>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</si>
  <si>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</si>
  <si>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</si>
  <si>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</si>
  <si>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</si>
  <si>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</si>
  <si>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</si>
  <si>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</si>
  <si>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</si>
  <si>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</si>
  <si>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</si>
  <si>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</si>
  <si>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</si>
  <si>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</si>
  <si>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</si>
  <si>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</si>
  <si>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</si>
  <si>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</si>
  <si>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</si>
  <si>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</si>
  <si>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</si>
  <si>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</si>
  <si>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</si>
  <si>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</si>
  <si>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</si>
  <si>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</si>
  <si>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</si>
  <si>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</si>
  <si>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</si>
  <si>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</si>
  <si>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</si>
  <si>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</si>
  <si>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</si>
  <si>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</si>
  <si>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</si>
  <si>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</si>
  <si>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</si>
  <si>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</si>
  <si>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</si>
  <si>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</si>
  <si>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</si>
  <si>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</si>
  <si>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</si>
  <si>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</si>
  <si>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</si>
  <si>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</si>
  <si>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</si>
  <si>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</si>
  <si>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</si>
  <si>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</si>
  <si>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</si>
  <si>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</si>
  <si>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</si>
  <si>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</si>
  <si>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</si>
  <si>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</si>
  <si>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</si>
  <si>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</si>
  <si>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</si>
  <si>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</si>
  <si>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</si>
  <si>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</si>
  <si>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</si>
  <si>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</si>
  <si>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</si>
  <si>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</si>
  <si>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</si>
  <si>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</si>
  <si>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</si>
  <si>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</si>
  <si>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</si>
  <si>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</si>
  <si>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</si>
  <si>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</si>
  <si>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</si>
  <si>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</si>
  <si>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</si>
  <si>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</si>
  <si>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</si>
  <si>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</si>
  <si>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</si>
  <si>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</si>
  <si>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</si>
  <si>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</si>
  <si>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</si>
  <si>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</si>
  <si>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</si>
  <si>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</si>
  <si>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</si>
  <si>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</si>
  <si>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</si>
  <si>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</si>
  <si>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</si>
  <si>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</si>
  <si>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</si>
  <si>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</si>
  <si>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</si>
  <si>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</si>
  <si>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</si>
  <si>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</si>
  <si>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</si>
  <si>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</si>
  <si>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</si>
  <si>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</si>
  <si>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</si>
  <si>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</si>
  <si>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</si>
  <si>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</si>
  <si>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</si>
  <si>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</si>
  <si>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</si>
  <si>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</si>
  <si>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</si>
  <si>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</si>
  <si>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</si>
  <si>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</si>
  <si>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</si>
  <si>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</si>
  <si>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</si>
  <si>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</si>
  <si>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</si>
  <si>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</si>
  <si>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</si>
  <si>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</si>
  <si>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</si>
  <si>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</si>
  <si>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</si>
  <si>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</si>
  <si>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</si>
  <si>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</si>
  <si>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</si>
  <si>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</si>
  <si>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</si>
  <si>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</si>
  <si>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</si>
  <si>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</si>
  <si>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</si>
  <si>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</si>
  <si>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</si>
  <si>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</si>
  <si>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</si>
  <si>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</si>
  <si>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</si>
  <si>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</si>
  <si>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</si>
  <si>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</si>
  <si>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</si>
  <si>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</si>
  <si>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</si>
  <si>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</si>
  <si>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</si>
  <si>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</si>
  <si>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</si>
  <si>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</si>
  <si>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</si>
  <si>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</si>
  <si>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</si>
  <si>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</si>
  <si>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</si>
  <si>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</si>
  <si>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</si>
  <si>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</si>
  <si>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</si>
  <si>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</si>
  <si>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</si>
  <si>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</si>
  <si>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</si>
  <si>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</si>
  <si>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</si>
  <si>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</si>
  <si>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</si>
  <si>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</si>
  <si>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</si>
  <si>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</si>
  <si>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</si>
  <si>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</si>
  <si>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</si>
  <si>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</si>
  <si>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</si>
  <si>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</si>
  <si>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</si>
  <si>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</si>
  <si>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</si>
  <si>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</si>
  <si>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</si>
  <si>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</si>
  <si>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</si>
  <si>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</si>
  <si>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</si>
  <si>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</si>
  <si>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</si>
  <si>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</si>
  <si>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</si>
  <si>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</si>
  <si>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</si>
  <si>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</si>
  <si>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</si>
  <si>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</si>
  <si>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</si>
  <si>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</si>
  <si>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</si>
  <si>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</si>
  <si>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</si>
  <si>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</si>
  <si>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</si>
  <si>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</si>
  <si>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</si>
  <si>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</si>
  <si>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 --- Ramesh</t>
  </si>
  <si>
    <t xml:space="preserve">Prepaired by ---Devendra </t>
  </si>
  <si>
    <t>Prepaired by-- Prakash</t>
  </si>
  <si>
    <t>Prepaired by------- Nilesh</t>
  </si>
  <si>
    <t xml:space="preserve">Prepaired by-- Devendra </t>
  </si>
  <si>
    <t xml:space="preserve">                                                                     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</si>
</sst>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94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60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0" fillId="0" borderId="2" xfId="4" applyFont="1" applyBorder="1" applyAlignment="1">
      <alignment horizontal="left"/>
    </xf>
    <xf numFmtId="2" fontId="74" fillId="8" borderId="1" xfId="3" applyNumberFormat="1" applyFont="1" applyFill="1" applyBorder="1" applyAlignment="1">
      <alignment horizontal="center"/>
    </xf>
    <xf numFmtId="0" fontId="68" fillId="0" borderId="1" xfId="0" applyFont="1" applyBorder="1"/>
    <xf numFmtId="0" fontId="136" fillId="8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37" fillId="0" borderId="1" xfId="0" applyFont="1" applyBorder="1"/>
    <xf numFmtId="1" fontId="81" fillId="2" borderId="1" xfId="5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60" fillId="8" borderId="21" xfId="3" applyFont="1" applyFill="1" applyBorder="1" applyAlignment="1">
      <alignment horizontal="left"/>
    </xf>
    <xf numFmtId="0" fontId="137" fillId="0" borderId="1" xfId="0" applyFont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138" fillId="0" borderId="0" xfId="0" applyFont="1" applyBorder="1"/>
    <xf numFmtId="0" fontId="138" fillId="0" borderId="0" xfId="0" applyFont="1"/>
    <xf numFmtId="1" fontId="138" fillId="0" borderId="0" xfId="0" applyNumberFormat="1" applyFont="1"/>
    <xf numFmtId="164" fontId="83" fillId="12" borderId="0" xfId="0" applyNumberFormat="1" applyFont="1" applyFill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0" fontId="92" fillId="21" borderId="1" xfId="4" applyFont="1" applyFill="1" applyBorder="1" applyAlignment="1">
      <alignment horizontal="center"/>
    </xf>
    <xf numFmtId="1" fontId="17" fillId="12" borderId="24" xfId="0" applyNumberFormat="1" applyFont="1" applyFill="1" applyBorder="1" applyAlignment="1">
      <alignment horizontal="center" wrapText="1"/>
    </xf>
    <xf numFmtId="0" fontId="17" fillId="12" borderId="24" xfId="0" applyNumberFormat="1" applyFont="1" applyFill="1" applyBorder="1" applyAlignment="1">
      <alignment horizontal="center" wrapText="1"/>
    </xf>
    <xf numFmtId="0" fontId="17" fillId="0" borderId="0" xfId="0" applyNumberFormat="1" applyFont="1" applyBorder="1" applyAlignment="1">
      <alignment horizontal="center" wrapText="1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32.220000000001164</c:v>
                </c:pt>
                <c:pt idx="1">
                  <c:v>28.110000000000582</c:v>
                </c:pt>
                <c:pt idx="2">
                  <c:v>27.867999999994936</c:v>
                </c:pt>
                <c:pt idx="3">
                  <c:v>29.141999999999825</c:v>
                </c:pt>
                <c:pt idx="4">
                  <c:v>35.960000000006403</c:v>
                </c:pt>
                <c:pt idx="5">
                  <c:v>23.039999999998543</c:v>
                </c:pt>
                <c:pt idx="6">
                  <c:v>29.94999999999709</c:v>
                </c:pt>
                <c:pt idx="7">
                  <c:v>31.480000000003201</c:v>
                </c:pt>
                <c:pt idx="8">
                  <c:v>34.280000000001166</c:v>
                </c:pt>
                <c:pt idx="9">
                  <c:v>27</c:v>
                </c:pt>
                <c:pt idx="10">
                  <c:v>32.970000000001164</c:v>
                </c:pt>
                <c:pt idx="11">
                  <c:v>28.45000000000465</c:v>
                </c:pt>
                <c:pt idx="12">
                  <c:v>29.079999999994186</c:v>
                </c:pt>
                <c:pt idx="13">
                  <c:v>31.749999999999147</c:v>
                </c:pt>
                <c:pt idx="14">
                  <c:v>30.499999999995623</c:v>
                </c:pt>
                <c:pt idx="15">
                  <c:v>28.780000000000882</c:v>
                </c:pt>
                <c:pt idx="16">
                  <c:v>36.739999999996485</c:v>
                </c:pt>
                <c:pt idx="17">
                  <c:v>36.960000000003504</c:v>
                </c:pt>
                <c:pt idx="18">
                  <c:v>28.140000000001464</c:v>
                </c:pt>
                <c:pt idx="19">
                  <c:v>35.829999999997938</c:v>
                </c:pt>
                <c:pt idx="20">
                  <c:v>27.569999999999425</c:v>
                </c:pt>
                <c:pt idx="21">
                  <c:v>31.480000000010477</c:v>
                </c:pt>
                <c:pt idx="22">
                  <c:v>33.43999999999852</c:v>
                </c:pt>
                <c:pt idx="23">
                  <c:v>33.63999999999362</c:v>
                </c:pt>
                <c:pt idx="24">
                  <c:v>33.620000000000005</c:v>
                </c:pt>
                <c:pt idx="25">
                  <c:v>32</c:v>
                </c:pt>
                <c:pt idx="26">
                  <c:v>30</c:v>
                </c:pt>
                <c:pt idx="27">
                  <c:v>30</c:v>
                </c:pt>
                <c:pt idx="28">
                  <c:v>34</c:v>
                </c:pt>
                <c:pt idx="29">
                  <c:v>29</c:v>
                </c:pt>
                <c:pt idx="30">
                  <c:v>29</c:v>
                </c:pt>
                <c:pt idx="31">
                  <c:v>962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7328256"/>
        <c:axId val="127660800"/>
      </c:lineChart>
      <c:catAx>
        <c:axId val="127328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60800"/>
        <c:crosses val="autoZero"/>
        <c:auto val="1"/>
        <c:lblAlgn val="ctr"/>
        <c:lblOffset val="100"/>
      </c:catAx>
      <c:valAx>
        <c:axId val="12766080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732825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10.169999999998254</c:v>
                </c:pt>
                <c:pt idx="1">
                  <c:v>0</c:v>
                </c:pt>
                <c:pt idx="2">
                  <c:v>10.130000000001019</c:v>
                </c:pt>
                <c:pt idx="3">
                  <c:v>6.1199999999989814</c:v>
                </c:pt>
                <c:pt idx="4">
                  <c:v>11.389999999999418</c:v>
                </c:pt>
                <c:pt idx="5">
                  <c:v>9.9999999998544808E-2</c:v>
                </c:pt>
                <c:pt idx="6">
                  <c:v>9.1100000000005821</c:v>
                </c:pt>
                <c:pt idx="7">
                  <c:v>8.069999999999709</c:v>
                </c:pt>
                <c:pt idx="8">
                  <c:v>8.25</c:v>
                </c:pt>
                <c:pt idx="9">
                  <c:v>6.5100000000020373</c:v>
                </c:pt>
                <c:pt idx="10">
                  <c:v>10.94999999999709</c:v>
                </c:pt>
                <c:pt idx="11">
                  <c:v>8.4800000000032014</c:v>
                </c:pt>
                <c:pt idx="12">
                  <c:v>10.44999999999709</c:v>
                </c:pt>
                <c:pt idx="13">
                  <c:v>7.7100000000136788</c:v>
                </c:pt>
                <c:pt idx="14">
                  <c:v>9.5900000000001455</c:v>
                </c:pt>
                <c:pt idx="15">
                  <c:v>8.0200000000004366</c:v>
                </c:pt>
                <c:pt idx="16">
                  <c:v>9.1100000000005821</c:v>
                </c:pt>
                <c:pt idx="17">
                  <c:v>8.5399999999972351</c:v>
                </c:pt>
                <c:pt idx="18">
                  <c:v>9.4000000000014552</c:v>
                </c:pt>
                <c:pt idx="19">
                  <c:v>0.43999999999869033</c:v>
                </c:pt>
                <c:pt idx="20">
                  <c:v>10.069999999999709</c:v>
                </c:pt>
                <c:pt idx="21">
                  <c:v>5.7000000000007276</c:v>
                </c:pt>
                <c:pt idx="22">
                  <c:v>9.6700000000018917</c:v>
                </c:pt>
                <c:pt idx="23">
                  <c:v>8.1899999999914144</c:v>
                </c:pt>
                <c:pt idx="24">
                  <c:v>8.1899999999914144</c:v>
                </c:pt>
                <c:pt idx="25">
                  <c:v>7</c:v>
                </c:pt>
                <c:pt idx="26">
                  <c:v>8.5400000000045111</c:v>
                </c:pt>
                <c:pt idx="27">
                  <c:v>5.8200000000033469</c:v>
                </c:pt>
                <c:pt idx="28">
                  <c:v>11.149999999994179</c:v>
                </c:pt>
                <c:pt idx="29">
                  <c:v>9.1000000000058208</c:v>
                </c:pt>
                <c:pt idx="30">
                  <c:v>17.940000000005966</c:v>
                </c:pt>
                <c:pt idx="31">
                  <c:v>253.91000000000713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30280448"/>
        <c:axId val="175932544"/>
      </c:lineChart>
      <c:catAx>
        <c:axId val="13028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32544"/>
        <c:crosses val="autoZero"/>
        <c:auto val="1"/>
        <c:lblAlgn val="ctr"/>
        <c:lblOffset val="100"/>
      </c:catAx>
      <c:valAx>
        <c:axId val="17593254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8044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34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154</c:v>
                </c:pt>
                <c:pt idx="1">
                  <c:v>162</c:v>
                </c:pt>
                <c:pt idx="2">
                  <c:v>210</c:v>
                </c:pt>
                <c:pt idx="3">
                  <c:v>271</c:v>
                </c:pt>
                <c:pt idx="4">
                  <c:v>241</c:v>
                </c:pt>
                <c:pt idx="5">
                  <c:v>149</c:v>
                </c:pt>
                <c:pt idx="6">
                  <c:v>168</c:v>
                </c:pt>
                <c:pt idx="7">
                  <c:v>161</c:v>
                </c:pt>
                <c:pt idx="8">
                  <c:v>191</c:v>
                </c:pt>
                <c:pt idx="9">
                  <c:v>218</c:v>
                </c:pt>
                <c:pt idx="10">
                  <c:v>240</c:v>
                </c:pt>
                <c:pt idx="11">
                  <c:v>186</c:v>
                </c:pt>
                <c:pt idx="12">
                  <c:v>202</c:v>
                </c:pt>
                <c:pt idx="13">
                  <c:v>205</c:v>
                </c:pt>
                <c:pt idx="14">
                  <c:v>184</c:v>
                </c:pt>
                <c:pt idx="15">
                  <c:v>170</c:v>
                </c:pt>
                <c:pt idx="16">
                  <c:v>201</c:v>
                </c:pt>
                <c:pt idx="17">
                  <c:v>179</c:v>
                </c:pt>
                <c:pt idx="18">
                  <c:v>257</c:v>
                </c:pt>
                <c:pt idx="19">
                  <c:v>143</c:v>
                </c:pt>
                <c:pt idx="20">
                  <c:v>175</c:v>
                </c:pt>
                <c:pt idx="21">
                  <c:v>187</c:v>
                </c:pt>
                <c:pt idx="22">
                  <c:v>170</c:v>
                </c:pt>
                <c:pt idx="23">
                  <c:v>174</c:v>
                </c:pt>
                <c:pt idx="24">
                  <c:v>222</c:v>
                </c:pt>
                <c:pt idx="25">
                  <c:v>185</c:v>
                </c:pt>
                <c:pt idx="26">
                  <c:v>175</c:v>
                </c:pt>
                <c:pt idx="27">
                  <c:v>126</c:v>
                </c:pt>
                <c:pt idx="28">
                  <c:v>204</c:v>
                </c:pt>
                <c:pt idx="29">
                  <c:v>212</c:v>
                </c:pt>
                <c:pt idx="30">
                  <c:v>223</c:v>
                </c:pt>
                <c:pt idx="31">
                  <c:v>5945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78839936"/>
        <c:axId val="178843008"/>
      </c:lineChart>
      <c:catAx>
        <c:axId val="17883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43008"/>
        <c:crosses val="autoZero"/>
        <c:auto val="1"/>
        <c:lblAlgn val="ctr"/>
        <c:lblOffset val="100"/>
      </c:catAx>
      <c:valAx>
        <c:axId val="17884300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3993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5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918.37800000002608</c:v>
                </c:pt>
                <c:pt idx="1">
                  <c:v>510.87400000006892</c:v>
                </c:pt>
                <c:pt idx="2">
                  <c:v>940.26799999992363</c:v>
                </c:pt>
                <c:pt idx="3">
                  <c:v>786.87999999988824</c:v>
                </c:pt>
                <c:pt idx="4">
                  <c:v>925.06000000005588</c:v>
                </c:pt>
                <c:pt idx="5">
                  <c:v>430.95999999996275</c:v>
                </c:pt>
                <c:pt idx="6">
                  <c:v>850.19000000017695</c:v>
                </c:pt>
                <c:pt idx="7">
                  <c:v>821.54999999981374</c:v>
                </c:pt>
                <c:pt idx="8">
                  <c:v>830.84000000008382</c:v>
                </c:pt>
                <c:pt idx="9">
                  <c:v>829</c:v>
                </c:pt>
                <c:pt idx="10">
                  <c:v>986.40999999991618</c:v>
                </c:pt>
                <c:pt idx="11">
                  <c:v>914.79000000003725</c:v>
                </c:pt>
                <c:pt idx="12">
                  <c:v>943.80000000004657</c:v>
                </c:pt>
                <c:pt idx="13">
                  <c:v>797.81000000005588</c:v>
                </c:pt>
                <c:pt idx="14">
                  <c:v>947.81299999984913</c:v>
                </c:pt>
                <c:pt idx="15">
                  <c:v>837.25699999998324</c:v>
                </c:pt>
                <c:pt idx="16">
                  <c:v>981.66100000008009</c:v>
                </c:pt>
                <c:pt idx="17">
                  <c:v>908.87899999995716</c:v>
                </c:pt>
                <c:pt idx="18">
                  <c:v>880.58000000007451</c:v>
                </c:pt>
                <c:pt idx="19">
                  <c:v>465</c:v>
                </c:pt>
                <c:pt idx="20">
                  <c:v>926.71999999997206</c:v>
                </c:pt>
                <c:pt idx="21">
                  <c:v>730.32000000006519</c:v>
                </c:pt>
                <c:pt idx="22">
                  <c:v>871.31000000005588</c:v>
                </c:pt>
                <c:pt idx="23">
                  <c:v>866.64999999990687</c:v>
                </c:pt>
                <c:pt idx="24">
                  <c:v>892</c:v>
                </c:pt>
                <c:pt idx="25">
                  <c:v>754</c:v>
                </c:pt>
                <c:pt idx="26">
                  <c:v>794</c:v>
                </c:pt>
                <c:pt idx="27">
                  <c:v>691</c:v>
                </c:pt>
                <c:pt idx="28">
                  <c:v>988</c:v>
                </c:pt>
                <c:pt idx="29">
                  <c:v>921</c:v>
                </c:pt>
                <c:pt idx="30">
                  <c:v>928</c:v>
                </c:pt>
                <c:pt idx="31">
                  <c:v>25871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01282176"/>
        <c:axId val="101283712"/>
      </c:lineChart>
      <c:catAx>
        <c:axId val="1012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3712"/>
        <c:crosses val="autoZero"/>
        <c:auto val="1"/>
        <c:lblAlgn val="ctr"/>
        <c:lblOffset val="100"/>
      </c:catAx>
      <c:valAx>
        <c:axId val="10128371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217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21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3790.429999999993</c:v>
                </c:pt>
                <c:pt idx="1">
                  <c:v>3743.4799999999814</c:v>
                </c:pt>
                <c:pt idx="2">
                  <c:v>3847.8400000000256</c:v>
                </c:pt>
                <c:pt idx="3">
                  <c:v>3681.5999999999767</c:v>
                </c:pt>
                <c:pt idx="4">
                  <c:v>3669.3600000000442</c:v>
                </c:pt>
                <c:pt idx="5">
                  <c:v>3628.7599999999511</c:v>
                </c:pt>
                <c:pt idx="6">
                  <c:v>3603.320000000007</c:v>
                </c:pt>
                <c:pt idx="7">
                  <c:v>3552.4000000000233</c:v>
                </c:pt>
                <c:pt idx="8">
                  <c:v>3607.8099999999977</c:v>
                </c:pt>
                <c:pt idx="9">
                  <c:v>3580</c:v>
                </c:pt>
                <c:pt idx="10">
                  <c:v>3609.6699999999837</c:v>
                </c:pt>
                <c:pt idx="11">
                  <c:v>3711.3300000000163</c:v>
                </c:pt>
                <c:pt idx="12">
                  <c:v>3726</c:v>
                </c:pt>
                <c:pt idx="13">
                  <c:v>3716.8699999999953</c:v>
                </c:pt>
                <c:pt idx="14">
                  <c:v>3733.4000000000233</c:v>
                </c:pt>
                <c:pt idx="15">
                  <c:v>3776.6300000000047</c:v>
                </c:pt>
                <c:pt idx="16">
                  <c:v>3718.5299999999697</c:v>
                </c:pt>
                <c:pt idx="17">
                  <c:v>3751.2399999999907</c:v>
                </c:pt>
                <c:pt idx="18">
                  <c:v>3770.3300000000163</c:v>
                </c:pt>
                <c:pt idx="19">
                  <c:v>3767.429999999993</c:v>
                </c:pt>
                <c:pt idx="20">
                  <c:v>3741.5200000000186</c:v>
                </c:pt>
                <c:pt idx="21">
                  <c:v>3759.0800000000163</c:v>
                </c:pt>
                <c:pt idx="22">
                  <c:v>3787.9599999999627</c:v>
                </c:pt>
                <c:pt idx="23">
                  <c:v>3817.0100000000093</c:v>
                </c:pt>
                <c:pt idx="24">
                  <c:v>3772</c:v>
                </c:pt>
                <c:pt idx="25">
                  <c:v>3750</c:v>
                </c:pt>
                <c:pt idx="26">
                  <c:v>3783</c:v>
                </c:pt>
                <c:pt idx="27">
                  <c:v>3785</c:v>
                </c:pt>
                <c:pt idx="28">
                  <c:v>3817</c:v>
                </c:pt>
                <c:pt idx="29">
                  <c:v>3848</c:v>
                </c:pt>
                <c:pt idx="30">
                  <c:v>3807</c:v>
                </c:pt>
                <c:pt idx="31">
                  <c:v>115654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7.9999999958090484E-2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01276672"/>
        <c:axId val="101307136"/>
      </c:lineChart>
      <c:catAx>
        <c:axId val="10127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7136"/>
        <c:crosses val="autoZero"/>
        <c:auto val="1"/>
        <c:lblAlgn val="ctr"/>
        <c:lblOffset val="100"/>
      </c:catAx>
      <c:valAx>
        <c:axId val="10130713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667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2908.0999999999767</c:v>
                </c:pt>
                <c:pt idx="1">
                  <c:v>2899.4000000000233</c:v>
                </c:pt>
                <c:pt idx="2">
                  <c:v>3065.4000000000233</c:v>
                </c:pt>
                <c:pt idx="3">
                  <c:v>2968.9000000000233</c:v>
                </c:pt>
                <c:pt idx="4">
                  <c:v>2828.6999999999534</c:v>
                </c:pt>
                <c:pt idx="5">
                  <c:v>2786.1999999999534</c:v>
                </c:pt>
                <c:pt idx="6">
                  <c:v>2919.1999999999534</c:v>
                </c:pt>
                <c:pt idx="7">
                  <c:v>3141.7000000001863</c:v>
                </c:pt>
                <c:pt idx="8">
                  <c:v>3259.3999999999069</c:v>
                </c:pt>
                <c:pt idx="9">
                  <c:v>3106</c:v>
                </c:pt>
                <c:pt idx="10">
                  <c:v>0.30000000004656613</c:v>
                </c:pt>
                <c:pt idx="11">
                  <c:v>0</c:v>
                </c:pt>
                <c:pt idx="12">
                  <c:v>-0.30000000004656613</c:v>
                </c:pt>
                <c:pt idx="13">
                  <c:v>0.30000000004656613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29883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01299328"/>
        <c:axId val="101300864"/>
      </c:lineChart>
      <c:catAx>
        <c:axId val="1012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0864"/>
        <c:crosses val="autoZero"/>
        <c:auto val="1"/>
        <c:lblAlgn val="ctr"/>
        <c:lblOffset val="100"/>
      </c:catAx>
      <c:valAx>
        <c:axId val="10130086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993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0.60399999999999998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0.47</c:v>
                </c:pt>
                <c:pt idx="12">
                  <c:v>0.32</c:v>
                </c:pt>
                <c:pt idx="13">
                  <c:v>0.25</c:v>
                </c:pt>
                <c:pt idx="14">
                  <c:v>0.47020000000000001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0.67</c:v>
                </c:pt>
                <c:pt idx="20">
                  <c:v>0.66</c:v>
                </c:pt>
                <c:pt idx="21">
                  <c:v>0.8</c:v>
                </c:pt>
                <c:pt idx="22">
                  <c:v>0.85</c:v>
                </c:pt>
                <c:pt idx="23">
                  <c:v>1</c:v>
                </c:pt>
                <c:pt idx="24">
                  <c:v>0.74</c:v>
                </c:pt>
                <c:pt idx="25">
                  <c:v>0.75</c:v>
                </c:pt>
                <c:pt idx="26">
                  <c:v>0.64</c:v>
                </c:pt>
                <c:pt idx="27">
                  <c:v>0.56999999999999995</c:v>
                </c:pt>
                <c:pt idx="28">
                  <c:v>0.7</c:v>
                </c:pt>
                <c:pt idx="29">
                  <c:v>0.66</c:v>
                </c:pt>
                <c:pt idx="30">
                  <c:v>27</c:v>
                </c:pt>
                <c:pt idx="31">
                  <c:v>1.4672322580645161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01304960"/>
        <c:axId val="101413248"/>
      </c:lineChart>
      <c:catAx>
        <c:axId val="10130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13248"/>
        <c:crosses val="autoZero"/>
        <c:auto val="1"/>
        <c:lblAlgn val="ctr"/>
        <c:lblOffset val="100"/>
      </c:catAx>
      <c:valAx>
        <c:axId val="101413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1304960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613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613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613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23260.790000000037</c:v>
                </c:pt>
                <c:pt idx="1">
                  <c:v>21035.119999999995</c:v>
                </c:pt>
                <c:pt idx="2">
                  <c:v>22104.089999999967</c:v>
                </c:pt>
                <c:pt idx="3">
                  <c:v>21866.599999999977</c:v>
                </c:pt>
                <c:pt idx="4">
                  <c:v>20992.61</c:v>
                </c:pt>
                <c:pt idx="5">
                  <c:v>19837.629999999997</c:v>
                </c:pt>
                <c:pt idx="6">
                  <c:v>21913.78</c:v>
                </c:pt>
                <c:pt idx="7">
                  <c:v>21721.17</c:v>
                </c:pt>
                <c:pt idx="8">
                  <c:v>22673.210000000006</c:v>
                </c:pt>
                <c:pt idx="9">
                  <c:v>21102</c:v>
                </c:pt>
                <c:pt idx="10">
                  <c:v>22829.97</c:v>
                </c:pt>
                <c:pt idx="11">
                  <c:v>21239.899999999994</c:v>
                </c:pt>
                <c:pt idx="12">
                  <c:v>21611.399999999994</c:v>
                </c:pt>
                <c:pt idx="13">
                  <c:v>22172.24000000002</c:v>
                </c:pt>
                <c:pt idx="14">
                  <c:v>22546.299999999988</c:v>
                </c:pt>
                <c:pt idx="15">
                  <c:v>22174.580000000016</c:v>
                </c:pt>
                <c:pt idx="16">
                  <c:v>24914.739999999991</c:v>
                </c:pt>
                <c:pt idx="17">
                  <c:v>25951.080000000016</c:v>
                </c:pt>
                <c:pt idx="18">
                  <c:v>21717.789999999979</c:v>
                </c:pt>
                <c:pt idx="19">
                  <c:v>22217.270000000019</c:v>
                </c:pt>
                <c:pt idx="20">
                  <c:v>21222.559999999998</c:v>
                </c:pt>
                <c:pt idx="21">
                  <c:v>21681.119999999995</c:v>
                </c:pt>
                <c:pt idx="22">
                  <c:v>22659.959999999963</c:v>
                </c:pt>
                <c:pt idx="23">
                  <c:v>22644.090000000026</c:v>
                </c:pt>
                <c:pt idx="24">
                  <c:v>23122</c:v>
                </c:pt>
                <c:pt idx="25">
                  <c:v>22721</c:v>
                </c:pt>
                <c:pt idx="26">
                  <c:v>21225</c:v>
                </c:pt>
                <c:pt idx="27">
                  <c:v>21058</c:v>
                </c:pt>
                <c:pt idx="28">
                  <c:v>23083</c:v>
                </c:pt>
                <c:pt idx="29">
                  <c:v>22284</c:v>
                </c:pt>
                <c:pt idx="30">
                  <c:v>23292</c:v>
                </c:pt>
                <c:pt idx="31">
                  <c:v>688875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01434112"/>
        <c:axId val="101435648"/>
      </c:lineChart>
      <c:catAx>
        <c:axId val="10143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35648"/>
        <c:crosses val="autoZero"/>
        <c:auto val="1"/>
        <c:lblAlgn val="ctr"/>
        <c:lblOffset val="100"/>
      </c:catAx>
      <c:valAx>
        <c:axId val="10143564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34112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9.8800000000005639</c:v>
                </c:pt>
                <c:pt idx="1">
                  <c:v>9.6999999999998181</c:v>
                </c:pt>
                <c:pt idx="2">
                  <c:v>11.119999999999891</c:v>
                </c:pt>
                <c:pt idx="3">
                  <c:v>12.139999999999873</c:v>
                </c:pt>
                <c:pt idx="4">
                  <c:v>9.8200000000001637</c:v>
                </c:pt>
                <c:pt idx="5">
                  <c:v>9.8899999999998727</c:v>
                </c:pt>
                <c:pt idx="6">
                  <c:v>9.5599999999999454</c:v>
                </c:pt>
                <c:pt idx="7">
                  <c:v>9.2300000000000182</c:v>
                </c:pt>
                <c:pt idx="8">
                  <c:v>9.6700000000000728</c:v>
                </c:pt>
                <c:pt idx="9">
                  <c:v>10.150000000000091</c:v>
                </c:pt>
                <c:pt idx="10">
                  <c:v>10.840000000000146</c:v>
                </c:pt>
                <c:pt idx="11">
                  <c:v>9.7099999999995816</c:v>
                </c:pt>
                <c:pt idx="12">
                  <c:v>8.8400000000001455</c:v>
                </c:pt>
                <c:pt idx="13">
                  <c:v>8.7600000000002183</c:v>
                </c:pt>
                <c:pt idx="14">
                  <c:v>9</c:v>
                </c:pt>
                <c:pt idx="15">
                  <c:v>9.0500000000001819</c:v>
                </c:pt>
                <c:pt idx="16">
                  <c:v>10.059999999999491</c:v>
                </c:pt>
                <c:pt idx="17">
                  <c:v>10.289999999999964</c:v>
                </c:pt>
                <c:pt idx="18">
                  <c:v>9.4000000000005457</c:v>
                </c:pt>
                <c:pt idx="19">
                  <c:v>9.1499999999996362</c:v>
                </c:pt>
                <c:pt idx="20">
                  <c:v>9.4600000000000364</c:v>
                </c:pt>
                <c:pt idx="21">
                  <c:v>9.180000000000291</c:v>
                </c:pt>
                <c:pt idx="22">
                  <c:v>9.0399999999999636</c:v>
                </c:pt>
                <c:pt idx="23">
                  <c:v>8.8299999999999272</c:v>
                </c:pt>
                <c:pt idx="24">
                  <c:v>8.8299999999999272</c:v>
                </c:pt>
                <c:pt idx="25">
                  <c:v>9.2699999999999818</c:v>
                </c:pt>
                <c:pt idx="26">
                  <c:v>9.1599999999998545</c:v>
                </c:pt>
                <c:pt idx="27">
                  <c:v>9.7199999999997999</c:v>
                </c:pt>
                <c:pt idx="28">
                  <c:v>9.3099999999999454</c:v>
                </c:pt>
                <c:pt idx="29">
                  <c:v>8.8400000000001455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01451648"/>
        <c:axId val="101453184"/>
      </c:lineChart>
      <c:catAx>
        <c:axId val="10145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3184"/>
        <c:crosses val="autoZero"/>
        <c:auto val="1"/>
        <c:lblAlgn val="ctr"/>
        <c:lblOffset val="100"/>
      </c:catAx>
      <c:valAx>
        <c:axId val="10145318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16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388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327.72999999998137</c:v>
                </c:pt>
                <c:pt idx="1">
                  <c:v>265.82000000006519</c:v>
                </c:pt>
                <c:pt idx="2">
                  <c:v>261.8399999999674</c:v>
                </c:pt>
                <c:pt idx="3">
                  <c:v>259.97999999998137</c:v>
                </c:pt>
                <c:pt idx="4">
                  <c:v>251.29000000003725</c:v>
                </c:pt>
                <c:pt idx="5">
                  <c:v>315.86999999999534</c:v>
                </c:pt>
                <c:pt idx="6">
                  <c:v>223</c:v>
                </c:pt>
                <c:pt idx="7">
                  <c:v>295.88000000000466</c:v>
                </c:pt>
                <c:pt idx="8">
                  <c:v>267.13000000000466</c:v>
                </c:pt>
                <c:pt idx="9">
                  <c:v>254.98999999999069</c:v>
                </c:pt>
                <c:pt idx="10">
                  <c:v>251.73999999999069</c:v>
                </c:pt>
                <c:pt idx="11">
                  <c:v>253.43000000005122</c:v>
                </c:pt>
                <c:pt idx="12">
                  <c:v>265.3399999999674</c:v>
                </c:pt>
                <c:pt idx="13">
                  <c:v>289.02000000001863</c:v>
                </c:pt>
                <c:pt idx="14">
                  <c:v>295.73999999999069</c:v>
                </c:pt>
                <c:pt idx="15">
                  <c:v>267.72999999998137</c:v>
                </c:pt>
                <c:pt idx="16">
                  <c:v>260.44999999995343</c:v>
                </c:pt>
                <c:pt idx="17">
                  <c:v>269.23000000009779</c:v>
                </c:pt>
                <c:pt idx="18">
                  <c:v>265</c:v>
                </c:pt>
                <c:pt idx="19">
                  <c:v>259.03999999992084</c:v>
                </c:pt>
                <c:pt idx="20">
                  <c:v>254.28000000002794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340.71999999991021</c:v>
                </c:pt>
                <c:pt idx="1">
                  <c:v>570.0499999999829</c:v>
                </c:pt>
                <c:pt idx="2">
                  <c:v>65.789999999989959</c:v>
                </c:pt>
                <c:pt idx="3">
                  <c:v>473.09000000020387</c:v>
                </c:pt>
                <c:pt idx="4">
                  <c:v>445.57999999976528</c:v>
                </c:pt>
                <c:pt idx="5">
                  <c:v>376.28000000009342</c:v>
                </c:pt>
                <c:pt idx="6">
                  <c:v>452</c:v>
                </c:pt>
                <c:pt idx="7">
                  <c:v>549.11999999990803</c:v>
                </c:pt>
                <c:pt idx="8">
                  <c:v>504.14000000001943</c:v>
                </c:pt>
                <c:pt idx="9">
                  <c:v>546.14000000006672</c:v>
                </c:pt>
                <c:pt idx="10">
                  <c:v>377.48000000006869</c:v>
                </c:pt>
                <c:pt idx="11">
                  <c:v>528.62299999979405</c:v>
                </c:pt>
                <c:pt idx="12">
                  <c:v>424.73700000002282</c:v>
                </c:pt>
                <c:pt idx="13">
                  <c:v>530.7410000000491</c:v>
                </c:pt>
                <c:pt idx="14">
                  <c:v>455.33899999997629</c:v>
                </c:pt>
                <c:pt idx="15">
                  <c:v>512.68000000009488</c:v>
                </c:pt>
                <c:pt idx="16">
                  <c:v>84.620000000035361</c:v>
                </c:pt>
                <c:pt idx="17">
                  <c:v>531.51999999989857</c:v>
                </c:pt>
                <c:pt idx="18">
                  <c:v>337.53000000003522</c:v>
                </c:pt>
                <c:pt idx="19">
                  <c:v>490.15000000016335</c:v>
                </c:pt>
                <c:pt idx="20">
                  <c:v>470.57999999986168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79.529999999998836</c:v>
                </c:pt>
                <c:pt idx="1">
                  <c:v>61.290000000008149</c:v>
                </c:pt>
                <c:pt idx="2">
                  <c:v>67.130000000004657</c:v>
                </c:pt>
                <c:pt idx="3">
                  <c:v>79.419999999983702</c:v>
                </c:pt>
                <c:pt idx="4">
                  <c:v>86.580000000016298</c:v>
                </c:pt>
                <c:pt idx="5">
                  <c:v>98.089999999996508</c:v>
                </c:pt>
                <c:pt idx="6">
                  <c:v>102</c:v>
                </c:pt>
                <c:pt idx="7">
                  <c:v>89.910000000003492</c:v>
                </c:pt>
                <c:pt idx="8">
                  <c:v>104.32000000000698</c:v>
                </c:pt>
                <c:pt idx="9">
                  <c:v>94.769999999989523</c:v>
                </c:pt>
                <c:pt idx="10">
                  <c:v>119.19000000000233</c:v>
                </c:pt>
                <c:pt idx="11">
                  <c:v>122.16000000000349</c:v>
                </c:pt>
                <c:pt idx="12">
                  <c:v>99.179999999993015</c:v>
                </c:pt>
                <c:pt idx="13">
                  <c:v>114.20000000001164</c:v>
                </c:pt>
                <c:pt idx="14">
                  <c:v>107.79999999998836</c:v>
                </c:pt>
                <c:pt idx="15">
                  <c:v>68.470000000001164</c:v>
                </c:pt>
                <c:pt idx="16">
                  <c:v>81.230000000010477</c:v>
                </c:pt>
                <c:pt idx="17">
                  <c:v>85.069999999977881</c:v>
                </c:pt>
                <c:pt idx="18">
                  <c:v>82.090000000025611</c:v>
                </c:pt>
                <c:pt idx="19">
                  <c:v>78.819999999977881</c:v>
                </c:pt>
                <c:pt idx="20">
                  <c:v>87.790000000008149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16163712"/>
        <c:axId val="116165248"/>
      </c:lineChart>
      <c:catAx>
        <c:axId val="1161637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6165248"/>
        <c:crosses val="autoZero"/>
        <c:auto val="1"/>
        <c:lblAlgn val="ctr"/>
        <c:lblOffset val="100"/>
      </c:catAx>
      <c:valAx>
        <c:axId val="11616524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61637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52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100</c:v>
                </c:pt>
                <c:pt idx="2">
                  <c:v>102</c:v>
                </c:pt>
                <c:pt idx="3">
                  <c:v>147</c:v>
                </c:pt>
                <c:pt idx="4">
                  <c:v>0</c:v>
                </c:pt>
                <c:pt idx="5">
                  <c:v>59</c:v>
                </c:pt>
                <c:pt idx="6">
                  <c:v>76</c:v>
                </c:pt>
                <c:pt idx="7">
                  <c:v>80</c:v>
                </c:pt>
                <c:pt idx="8">
                  <c:v>93</c:v>
                </c:pt>
                <c:pt idx="9">
                  <c:v>76</c:v>
                </c:pt>
                <c:pt idx="10">
                  <c:v>77</c:v>
                </c:pt>
                <c:pt idx="11">
                  <c:v>91</c:v>
                </c:pt>
                <c:pt idx="12">
                  <c:v>101</c:v>
                </c:pt>
                <c:pt idx="13">
                  <c:v>74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28336640"/>
        <c:axId val="12833817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28339968"/>
        <c:axId val="128341504"/>
      </c:lineChart>
      <c:catAx>
        <c:axId val="12833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38176"/>
        <c:crosses val="autoZero"/>
        <c:auto val="1"/>
        <c:lblAlgn val="ctr"/>
        <c:lblOffset val="100"/>
      </c:catAx>
      <c:valAx>
        <c:axId val="12833817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36640"/>
        <c:crosses val="autoZero"/>
        <c:crossBetween val="between"/>
        <c:minorUnit val="50"/>
      </c:valAx>
      <c:catAx>
        <c:axId val="128339968"/>
        <c:scaling>
          <c:orientation val="minMax"/>
        </c:scaling>
        <c:delete val="1"/>
        <c:axPos val="b"/>
        <c:tickLblPos val="none"/>
        <c:crossAx val="128341504"/>
        <c:crosses val="autoZero"/>
        <c:auto val="1"/>
        <c:lblAlgn val="ctr"/>
        <c:lblOffset val="100"/>
      </c:catAx>
      <c:valAx>
        <c:axId val="1283415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3996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28357888"/>
        <c:axId val="128359424"/>
      </c:lineChart>
      <c:catAx>
        <c:axId val="12835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59424"/>
        <c:crosses val="autoZero"/>
        <c:auto val="1"/>
        <c:lblAlgn val="ctr"/>
        <c:lblOffset val="100"/>
      </c:catAx>
      <c:valAx>
        <c:axId val="1283594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578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28396672"/>
        <c:axId val="128431232"/>
      </c:lineChart>
      <c:catAx>
        <c:axId val="12839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31232"/>
        <c:crosses val="autoZero"/>
        <c:auto val="1"/>
        <c:lblAlgn val="ctr"/>
        <c:lblOffset val="100"/>
      </c:catAx>
      <c:valAx>
        <c:axId val="12843123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966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5276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29174144"/>
        <c:axId val="12918003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29181568"/>
        <c:axId val="129183104"/>
      </c:lineChart>
      <c:catAx>
        <c:axId val="1291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80032"/>
        <c:crosses val="autoZero"/>
        <c:auto val="1"/>
        <c:lblAlgn val="ctr"/>
        <c:lblOffset val="100"/>
      </c:catAx>
      <c:valAx>
        <c:axId val="12918003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74144"/>
        <c:crosses val="autoZero"/>
        <c:crossBetween val="between"/>
      </c:valAx>
      <c:catAx>
        <c:axId val="129181568"/>
        <c:scaling>
          <c:orientation val="minMax"/>
        </c:scaling>
        <c:delete val="1"/>
        <c:axPos val="b"/>
        <c:tickLblPos val="none"/>
        <c:crossAx val="129183104"/>
        <c:crosses val="autoZero"/>
        <c:auto val="1"/>
        <c:lblAlgn val="ctr"/>
        <c:lblOffset val="100"/>
      </c:catAx>
      <c:valAx>
        <c:axId val="1291831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81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236.61999999999534</c:v>
                </c:pt>
                <c:pt idx="1">
                  <c:v>241.7100000000064</c:v>
                </c:pt>
                <c:pt idx="2">
                  <c:v>272.54000000000815</c:v>
                </c:pt>
                <c:pt idx="3">
                  <c:v>275.31999999999243</c:v>
                </c:pt>
                <c:pt idx="4">
                  <c:v>0</c:v>
                </c:pt>
                <c:pt idx="5">
                  <c:v>210.34000000001106</c:v>
                </c:pt>
                <c:pt idx="6">
                  <c:v>221.58999999999651</c:v>
                </c:pt>
                <c:pt idx="7">
                  <c:v>261.61999999999534</c:v>
                </c:pt>
                <c:pt idx="8">
                  <c:v>285.94000000000233</c:v>
                </c:pt>
                <c:pt idx="9">
                  <c:v>257</c:v>
                </c:pt>
                <c:pt idx="10">
                  <c:v>281</c:v>
                </c:pt>
                <c:pt idx="11">
                  <c:v>282.99000000000524</c:v>
                </c:pt>
                <c:pt idx="12">
                  <c:v>281.00999999999476</c:v>
                </c:pt>
                <c:pt idx="13">
                  <c:v>275.39999999999418</c:v>
                </c:pt>
                <c:pt idx="14">
                  <c:v>299.85000000000582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29230336"/>
        <c:axId val="12923187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30024192"/>
        <c:axId val="130025728"/>
      </c:lineChart>
      <c:catAx>
        <c:axId val="1292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31872"/>
        <c:crosses val="autoZero"/>
        <c:auto val="1"/>
        <c:lblAlgn val="ctr"/>
        <c:lblOffset val="100"/>
      </c:catAx>
      <c:valAx>
        <c:axId val="12923187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30336"/>
        <c:crosses val="autoZero"/>
        <c:crossBetween val="between"/>
        <c:majorUnit val="2"/>
      </c:valAx>
      <c:catAx>
        <c:axId val="130024192"/>
        <c:scaling>
          <c:orientation val="minMax"/>
        </c:scaling>
        <c:delete val="1"/>
        <c:axPos val="b"/>
        <c:tickLblPos val="none"/>
        <c:crossAx val="130025728"/>
        <c:crosses val="autoZero"/>
        <c:auto val="1"/>
        <c:lblAlgn val="ctr"/>
        <c:lblOffset val="100"/>
      </c:catAx>
      <c:valAx>
        <c:axId val="13002572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2419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108057</xdr:rowOff>
    </xdr:from>
    <xdr:to>
      <xdr:col>42</xdr:col>
      <xdr:colOff>313765</xdr:colOff>
      <xdr:row>59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E17" sqref="E17"/>
    </sheetView>
  </sheetViews>
  <sheetFormatPr defaultColWidth="9" defaultRowHeight="15"/>
  <cols>
    <col min="1" max="1" width="9.6640625" style="1161" customWidth="1"/>
    <col min="2" max="3" width="9" style="1155"/>
    <col min="4" max="4" width="10.44140625" style="1156" customWidth="1"/>
    <col min="5" max="5" width="9.77734375" style="1157" customWidth="1"/>
    <col min="6" max="6" width="9.77734375" style="1161" customWidth="1"/>
    <col min="7" max="10" width="9" style="1161"/>
    <col min="11" max="12" width="9" style="1157"/>
    <col min="13" max="13" width="0" style="1160" hidden="1" customWidth="1"/>
    <col min="14" max="256" width="9" style="1160"/>
    <col min="257" max="257" width="9.6640625" style="1160" customWidth="1"/>
    <col min="258" max="259" width="9" style="1160"/>
    <col min="260" max="260" width="10.44140625" style="1160" customWidth="1"/>
    <col min="261" max="262" width="9.77734375" style="1160" customWidth="1"/>
    <col min="263" max="268" width="9" style="1160"/>
    <col min="269" max="269" width="0" style="1160" hidden="1" customWidth="1"/>
    <col min="270" max="512" width="9" style="1160"/>
    <col min="513" max="513" width="9.6640625" style="1160" customWidth="1"/>
    <col min="514" max="515" width="9" style="1160"/>
    <col min="516" max="516" width="10.44140625" style="1160" customWidth="1"/>
    <col min="517" max="518" width="9.77734375" style="1160" customWidth="1"/>
    <col min="519" max="524" width="9" style="1160"/>
    <col min="525" max="525" width="0" style="1160" hidden="1" customWidth="1"/>
    <col min="526" max="768" width="9" style="1160"/>
    <col min="769" max="769" width="9.6640625" style="1160" customWidth="1"/>
    <col min="770" max="771" width="9" style="1160"/>
    <col min="772" max="772" width="10.44140625" style="1160" customWidth="1"/>
    <col min="773" max="774" width="9.77734375" style="1160" customWidth="1"/>
    <col min="775" max="780" width="9" style="1160"/>
    <col min="781" max="781" width="0" style="1160" hidden="1" customWidth="1"/>
    <col min="782" max="1024" width="9" style="1160"/>
    <col min="1025" max="1025" width="9.6640625" style="1160" customWidth="1"/>
    <col min="1026" max="1027" width="9" style="1160"/>
    <col min="1028" max="1028" width="10.44140625" style="1160" customWidth="1"/>
    <col min="1029" max="1030" width="9.77734375" style="1160" customWidth="1"/>
    <col min="1031" max="1036" width="9" style="1160"/>
    <col min="1037" max="1037" width="0" style="1160" hidden="1" customWidth="1"/>
    <col min="1038" max="1280" width="9" style="1160"/>
    <col min="1281" max="1281" width="9.6640625" style="1160" customWidth="1"/>
    <col min="1282" max="1283" width="9" style="1160"/>
    <col min="1284" max="1284" width="10.44140625" style="1160" customWidth="1"/>
    <col min="1285" max="1286" width="9.77734375" style="1160" customWidth="1"/>
    <col min="1287" max="1292" width="9" style="1160"/>
    <col min="1293" max="1293" width="0" style="1160" hidden="1" customWidth="1"/>
    <col min="1294" max="1536" width="9" style="1160"/>
    <col min="1537" max="1537" width="9.6640625" style="1160" customWidth="1"/>
    <col min="1538" max="1539" width="9" style="1160"/>
    <col min="1540" max="1540" width="10.44140625" style="1160" customWidth="1"/>
    <col min="1541" max="1542" width="9.77734375" style="1160" customWidth="1"/>
    <col min="1543" max="1548" width="9" style="1160"/>
    <col min="1549" max="1549" width="0" style="1160" hidden="1" customWidth="1"/>
    <col min="1550" max="1792" width="9" style="1160"/>
    <col min="1793" max="1793" width="9.6640625" style="1160" customWidth="1"/>
    <col min="1794" max="1795" width="9" style="1160"/>
    <col min="1796" max="1796" width="10.44140625" style="1160" customWidth="1"/>
    <col min="1797" max="1798" width="9.77734375" style="1160" customWidth="1"/>
    <col min="1799" max="1804" width="9" style="1160"/>
    <col min="1805" max="1805" width="0" style="1160" hidden="1" customWidth="1"/>
    <col min="1806" max="2048" width="9" style="1160"/>
    <col min="2049" max="2049" width="9.6640625" style="1160" customWidth="1"/>
    <col min="2050" max="2051" width="9" style="1160"/>
    <col min="2052" max="2052" width="10.44140625" style="1160" customWidth="1"/>
    <col min="2053" max="2054" width="9.77734375" style="1160" customWidth="1"/>
    <col min="2055" max="2060" width="9" style="1160"/>
    <col min="2061" max="2061" width="0" style="1160" hidden="1" customWidth="1"/>
    <col min="2062" max="2304" width="9" style="1160"/>
    <col min="2305" max="2305" width="9.6640625" style="1160" customWidth="1"/>
    <col min="2306" max="2307" width="9" style="1160"/>
    <col min="2308" max="2308" width="10.44140625" style="1160" customWidth="1"/>
    <col min="2309" max="2310" width="9.77734375" style="1160" customWidth="1"/>
    <col min="2311" max="2316" width="9" style="1160"/>
    <col min="2317" max="2317" width="0" style="1160" hidden="1" customWidth="1"/>
    <col min="2318" max="2560" width="9" style="1160"/>
    <col min="2561" max="2561" width="9.6640625" style="1160" customWidth="1"/>
    <col min="2562" max="2563" width="9" style="1160"/>
    <col min="2564" max="2564" width="10.44140625" style="1160" customWidth="1"/>
    <col min="2565" max="2566" width="9.77734375" style="1160" customWidth="1"/>
    <col min="2567" max="2572" width="9" style="1160"/>
    <col min="2573" max="2573" width="0" style="1160" hidden="1" customWidth="1"/>
    <col min="2574" max="2816" width="9" style="1160"/>
    <col min="2817" max="2817" width="9.6640625" style="1160" customWidth="1"/>
    <col min="2818" max="2819" width="9" style="1160"/>
    <col min="2820" max="2820" width="10.44140625" style="1160" customWidth="1"/>
    <col min="2821" max="2822" width="9.77734375" style="1160" customWidth="1"/>
    <col min="2823" max="2828" width="9" style="1160"/>
    <col min="2829" max="2829" width="0" style="1160" hidden="1" customWidth="1"/>
    <col min="2830" max="3072" width="9" style="1160"/>
    <col min="3073" max="3073" width="9.6640625" style="1160" customWidth="1"/>
    <col min="3074" max="3075" width="9" style="1160"/>
    <col min="3076" max="3076" width="10.44140625" style="1160" customWidth="1"/>
    <col min="3077" max="3078" width="9.77734375" style="1160" customWidth="1"/>
    <col min="3079" max="3084" width="9" style="1160"/>
    <col min="3085" max="3085" width="0" style="1160" hidden="1" customWidth="1"/>
    <col min="3086" max="3328" width="9" style="1160"/>
    <col min="3329" max="3329" width="9.6640625" style="1160" customWidth="1"/>
    <col min="3330" max="3331" width="9" style="1160"/>
    <col min="3332" max="3332" width="10.44140625" style="1160" customWidth="1"/>
    <col min="3333" max="3334" width="9.77734375" style="1160" customWidth="1"/>
    <col min="3335" max="3340" width="9" style="1160"/>
    <col min="3341" max="3341" width="0" style="1160" hidden="1" customWidth="1"/>
    <col min="3342" max="3584" width="9" style="1160"/>
    <col min="3585" max="3585" width="9.6640625" style="1160" customWidth="1"/>
    <col min="3586" max="3587" width="9" style="1160"/>
    <col min="3588" max="3588" width="10.44140625" style="1160" customWidth="1"/>
    <col min="3589" max="3590" width="9.77734375" style="1160" customWidth="1"/>
    <col min="3591" max="3596" width="9" style="1160"/>
    <col min="3597" max="3597" width="0" style="1160" hidden="1" customWidth="1"/>
    <col min="3598" max="3840" width="9" style="1160"/>
    <col min="3841" max="3841" width="9.6640625" style="1160" customWidth="1"/>
    <col min="3842" max="3843" width="9" style="1160"/>
    <col min="3844" max="3844" width="10.44140625" style="1160" customWidth="1"/>
    <col min="3845" max="3846" width="9.77734375" style="1160" customWidth="1"/>
    <col min="3847" max="3852" width="9" style="1160"/>
    <col min="3853" max="3853" width="0" style="1160" hidden="1" customWidth="1"/>
    <col min="3854" max="4096" width="9" style="1160"/>
    <col min="4097" max="4097" width="9.6640625" style="1160" customWidth="1"/>
    <col min="4098" max="4099" width="9" style="1160"/>
    <col min="4100" max="4100" width="10.44140625" style="1160" customWidth="1"/>
    <col min="4101" max="4102" width="9.77734375" style="1160" customWidth="1"/>
    <col min="4103" max="4108" width="9" style="1160"/>
    <col min="4109" max="4109" width="0" style="1160" hidden="1" customWidth="1"/>
    <col min="4110" max="4352" width="9" style="1160"/>
    <col min="4353" max="4353" width="9.6640625" style="1160" customWidth="1"/>
    <col min="4354" max="4355" width="9" style="1160"/>
    <col min="4356" max="4356" width="10.44140625" style="1160" customWidth="1"/>
    <col min="4357" max="4358" width="9.77734375" style="1160" customWidth="1"/>
    <col min="4359" max="4364" width="9" style="1160"/>
    <col min="4365" max="4365" width="0" style="1160" hidden="1" customWidth="1"/>
    <col min="4366" max="4608" width="9" style="1160"/>
    <col min="4609" max="4609" width="9.6640625" style="1160" customWidth="1"/>
    <col min="4610" max="4611" width="9" style="1160"/>
    <col min="4612" max="4612" width="10.44140625" style="1160" customWidth="1"/>
    <col min="4613" max="4614" width="9.77734375" style="1160" customWidth="1"/>
    <col min="4615" max="4620" width="9" style="1160"/>
    <col min="4621" max="4621" width="0" style="1160" hidden="1" customWidth="1"/>
    <col min="4622" max="4864" width="9" style="1160"/>
    <col min="4865" max="4865" width="9.6640625" style="1160" customWidth="1"/>
    <col min="4866" max="4867" width="9" style="1160"/>
    <col min="4868" max="4868" width="10.44140625" style="1160" customWidth="1"/>
    <col min="4869" max="4870" width="9.77734375" style="1160" customWidth="1"/>
    <col min="4871" max="4876" width="9" style="1160"/>
    <col min="4877" max="4877" width="0" style="1160" hidden="1" customWidth="1"/>
    <col min="4878" max="5120" width="9" style="1160"/>
    <col min="5121" max="5121" width="9.6640625" style="1160" customWidth="1"/>
    <col min="5122" max="5123" width="9" style="1160"/>
    <col min="5124" max="5124" width="10.44140625" style="1160" customWidth="1"/>
    <col min="5125" max="5126" width="9.77734375" style="1160" customWidth="1"/>
    <col min="5127" max="5132" width="9" style="1160"/>
    <col min="5133" max="5133" width="0" style="1160" hidden="1" customWidth="1"/>
    <col min="5134" max="5376" width="9" style="1160"/>
    <col min="5377" max="5377" width="9.6640625" style="1160" customWidth="1"/>
    <col min="5378" max="5379" width="9" style="1160"/>
    <col min="5380" max="5380" width="10.44140625" style="1160" customWidth="1"/>
    <col min="5381" max="5382" width="9.77734375" style="1160" customWidth="1"/>
    <col min="5383" max="5388" width="9" style="1160"/>
    <col min="5389" max="5389" width="0" style="1160" hidden="1" customWidth="1"/>
    <col min="5390" max="5632" width="9" style="1160"/>
    <col min="5633" max="5633" width="9.6640625" style="1160" customWidth="1"/>
    <col min="5634" max="5635" width="9" style="1160"/>
    <col min="5636" max="5636" width="10.44140625" style="1160" customWidth="1"/>
    <col min="5637" max="5638" width="9.77734375" style="1160" customWidth="1"/>
    <col min="5639" max="5644" width="9" style="1160"/>
    <col min="5645" max="5645" width="0" style="1160" hidden="1" customWidth="1"/>
    <col min="5646" max="5888" width="9" style="1160"/>
    <col min="5889" max="5889" width="9.6640625" style="1160" customWidth="1"/>
    <col min="5890" max="5891" width="9" style="1160"/>
    <col min="5892" max="5892" width="10.44140625" style="1160" customWidth="1"/>
    <col min="5893" max="5894" width="9.77734375" style="1160" customWidth="1"/>
    <col min="5895" max="5900" width="9" style="1160"/>
    <col min="5901" max="5901" width="0" style="1160" hidden="1" customWidth="1"/>
    <col min="5902" max="6144" width="9" style="1160"/>
    <col min="6145" max="6145" width="9.6640625" style="1160" customWidth="1"/>
    <col min="6146" max="6147" width="9" style="1160"/>
    <col min="6148" max="6148" width="10.44140625" style="1160" customWidth="1"/>
    <col min="6149" max="6150" width="9.77734375" style="1160" customWidth="1"/>
    <col min="6151" max="6156" width="9" style="1160"/>
    <col min="6157" max="6157" width="0" style="1160" hidden="1" customWidth="1"/>
    <col min="6158" max="6400" width="9" style="1160"/>
    <col min="6401" max="6401" width="9.6640625" style="1160" customWidth="1"/>
    <col min="6402" max="6403" width="9" style="1160"/>
    <col min="6404" max="6404" width="10.44140625" style="1160" customWidth="1"/>
    <col min="6405" max="6406" width="9.77734375" style="1160" customWidth="1"/>
    <col min="6407" max="6412" width="9" style="1160"/>
    <col min="6413" max="6413" width="0" style="1160" hidden="1" customWidth="1"/>
    <col min="6414" max="6656" width="9" style="1160"/>
    <col min="6657" max="6657" width="9.6640625" style="1160" customWidth="1"/>
    <col min="6658" max="6659" width="9" style="1160"/>
    <col min="6660" max="6660" width="10.44140625" style="1160" customWidth="1"/>
    <col min="6661" max="6662" width="9.77734375" style="1160" customWidth="1"/>
    <col min="6663" max="6668" width="9" style="1160"/>
    <col min="6669" max="6669" width="0" style="1160" hidden="1" customWidth="1"/>
    <col min="6670" max="6912" width="9" style="1160"/>
    <col min="6913" max="6913" width="9.6640625" style="1160" customWidth="1"/>
    <col min="6914" max="6915" width="9" style="1160"/>
    <col min="6916" max="6916" width="10.44140625" style="1160" customWidth="1"/>
    <col min="6917" max="6918" width="9.77734375" style="1160" customWidth="1"/>
    <col min="6919" max="6924" width="9" style="1160"/>
    <col min="6925" max="6925" width="0" style="1160" hidden="1" customWidth="1"/>
    <col min="6926" max="7168" width="9" style="1160"/>
    <col min="7169" max="7169" width="9.6640625" style="1160" customWidth="1"/>
    <col min="7170" max="7171" width="9" style="1160"/>
    <col min="7172" max="7172" width="10.44140625" style="1160" customWidth="1"/>
    <col min="7173" max="7174" width="9.77734375" style="1160" customWidth="1"/>
    <col min="7175" max="7180" width="9" style="1160"/>
    <col min="7181" max="7181" width="0" style="1160" hidden="1" customWidth="1"/>
    <col min="7182" max="7424" width="9" style="1160"/>
    <col min="7425" max="7425" width="9.6640625" style="1160" customWidth="1"/>
    <col min="7426" max="7427" width="9" style="1160"/>
    <col min="7428" max="7428" width="10.44140625" style="1160" customWidth="1"/>
    <col min="7429" max="7430" width="9.77734375" style="1160" customWidth="1"/>
    <col min="7431" max="7436" width="9" style="1160"/>
    <col min="7437" max="7437" width="0" style="1160" hidden="1" customWidth="1"/>
    <col min="7438" max="7680" width="9" style="1160"/>
    <col min="7681" max="7681" width="9.6640625" style="1160" customWidth="1"/>
    <col min="7682" max="7683" width="9" style="1160"/>
    <col min="7684" max="7684" width="10.44140625" style="1160" customWidth="1"/>
    <col min="7685" max="7686" width="9.77734375" style="1160" customWidth="1"/>
    <col min="7687" max="7692" width="9" style="1160"/>
    <col min="7693" max="7693" width="0" style="1160" hidden="1" customWidth="1"/>
    <col min="7694" max="7936" width="9" style="1160"/>
    <col min="7937" max="7937" width="9.6640625" style="1160" customWidth="1"/>
    <col min="7938" max="7939" width="9" style="1160"/>
    <col min="7940" max="7940" width="10.44140625" style="1160" customWidth="1"/>
    <col min="7941" max="7942" width="9.77734375" style="1160" customWidth="1"/>
    <col min="7943" max="7948" width="9" style="1160"/>
    <col min="7949" max="7949" width="0" style="1160" hidden="1" customWidth="1"/>
    <col min="7950" max="8192" width="9" style="1160"/>
    <col min="8193" max="8193" width="9.6640625" style="1160" customWidth="1"/>
    <col min="8194" max="8195" width="9" style="1160"/>
    <col min="8196" max="8196" width="10.44140625" style="1160" customWidth="1"/>
    <col min="8197" max="8198" width="9.77734375" style="1160" customWidth="1"/>
    <col min="8199" max="8204" width="9" style="1160"/>
    <col min="8205" max="8205" width="0" style="1160" hidden="1" customWidth="1"/>
    <col min="8206" max="8448" width="9" style="1160"/>
    <col min="8449" max="8449" width="9.6640625" style="1160" customWidth="1"/>
    <col min="8450" max="8451" width="9" style="1160"/>
    <col min="8452" max="8452" width="10.44140625" style="1160" customWidth="1"/>
    <col min="8453" max="8454" width="9.77734375" style="1160" customWidth="1"/>
    <col min="8455" max="8460" width="9" style="1160"/>
    <col min="8461" max="8461" width="0" style="1160" hidden="1" customWidth="1"/>
    <col min="8462" max="8704" width="9" style="1160"/>
    <col min="8705" max="8705" width="9.6640625" style="1160" customWidth="1"/>
    <col min="8706" max="8707" width="9" style="1160"/>
    <col min="8708" max="8708" width="10.44140625" style="1160" customWidth="1"/>
    <col min="8709" max="8710" width="9.77734375" style="1160" customWidth="1"/>
    <col min="8711" max="8716" width="9" style="1160"/>
    <col min="8717" max="8717" width="0" style="1160" hidden="1" customWidth="1"/>
    <col min="8718" max="8960" width="9" style="1160"/>
    <col min="8961" max="8961" width="9.6640625" style="1160" customWidth="1"/>
    <col min="8962" max="8963" width="9" style="1160"/>
    <col min="8964" max="8964" width="10.44140625" style="1160" customWidth="1"/>
    <col min="8965" max="8966" width="9.77734375" style="1160" customWidth="1"/>
    <col min="8967" max="8972" width="9" style="1160"/>
    <col min="8973" max="8973" width="0" style="1160" hidden="1" customWidth="1"/>
    <col min="8974" max="9216" width="9" style="1160"/>
    <col min="9217" max="9217" width="9.6640625" style="1160" customWidth="1"/>
    <col min="9218" max="9219" width="9" style="1160"/>
    <col min="9220" max="9220" width="10.44140625" style="1160" customWidth="1"/>
    <col min="9221" max="9222" width="9.77734375" style="1160" customWidth="1"/>
    <col min="9223" max="9228" width="9" style="1160"/>
    <col min="9229" max="9229" width="0" style="1160" hidden="1" customWidth="1"/>
    <col min="9230" max="9472" width="9" style="1160"/>
    <col min="9473" max="9473" width="9.6640625" style="1160" customWidth="1"/>
    <col min="9474" max="9475" width="9" style="1160"/>
    <col min="9476" max="9476" width="10.44140625" style="1160" customWidth="1"/>
    <col min="9477" max="9478" width="9.77734375" style="1160" customWidth="1"/>
    <col min="9479" max="9484" width="9" style="1160"/>
    <col min="9485" max="9485" width="0" style="1160" hidden="1" customWidth="1"/>
    <col min="9486" max="9728" width="9" style="1160"/>
    <col min="9729" max="9729" width="9.6640625" style="1160" customWidth="1"/>
    <col min="9730" max="9731" width="9" style="1160"/>
    <col min="9732" max="9732" width="10.44140625" style="1160" customWidth="1"/>
    <col min="9733" max="9734" width="9.77734375" style="1160" customWidth="1"/>
    <col min="9735" max="9740" width="9" style="1160"/>
    <col min="9741" max="9741" width="0" style="1160" hidden="1" customWidth="1"/>
    <col min="9742" max="9984" width="9" style="1160"/>
    <col min="9985" max="9985" width="9.6640625" style="1160" customWidth="1"/>
    <col min="9986" max="9987" width="9" style="1160"/>
    <col min="9988" max="9988" width="10.44140625" style="1160" customWidth="1"/>
    <col min="9989" max="9990" width="9.77734375" style="1160" customWidth="1"/>
    <col min="9991" max="9996" width="9" style="1160"/>
    <col min="9997" max="9997" width="0" style="1160" hidden="1" customWidth="1"/>
    <col min="9998" max="10240" width="9" style="1160"/>
    <col min="10241" max="10241" width="9.6640625" style="1160" customWidth="1"/>
    <col min="10242" max="10243" width="9" style="1160"/>
    <col min="10244" max="10244" width="10.44140625" style="1160" customWidth="1"/>
    <col min="10245" max="10246" width="9.77734375" style="1160" customWidth="1"/>
    <col min="10247" max="10252" width="9" style="1160"/>
    <col min="10253" max="10253" width="0" style="1160" hidden="1" customWidth="1"/>
    <col min="10254" max="10496" width="9" style="1160"/>
    <col min="10497" max="10497" width="9.6640625" style="1160" customWidth="1"/>
    <col min="10498" max="10499" width="9" style="1160"/>
    <col min="10500" max="10500" width="10.44140625" style="1160" customWidth="1"/>
    <col min="10501" max="10502" width="9.77734375" style="1160" customWidth="1"/>
    <col min="10503" max="10508" width="9" style="1160"/>
    <col min="10509" max="10509" width="0" style="1160" hidden="1" customWidth="1"/>
    <col min="10510" max="10752" width="9" style="1160"/>
    <col min="10753" max="10753" width="9.6640625" style="1160" customWidth="1"/>
    <col min="10754" max="10755" width="9" style="1160"/>
    <col min="10756" max="10756" width="10.44140625" style="1160" customWidth="1"/>
    <col min="10757" max="10758" width="9.77734375" style="1160" customWidth="1"/>
    <col min="10759" max="10764" width="9" style="1160"/>
    <col min="10765" max="10765" width="0" style="1160" hidden="1" customWidth="1"/>
    <col min="10766" max="11008" width="9" style="1160"/>
    <col min="11009" max="11009" width="9.6640625" style="1160" customWidth="1"/>
    <col min="11010" max="11011" width="9" style="1160"/>
    <col min="11012" max="11012" width="10.44140625" style="1160" customWidth="1"/>
    <col min="11013" max="11014" width="9.77734375" style="1160" customWidth="1"/>
    <col min="11015" max="11020" width="9" style="1160"/>
    <col min="11021" max="11021" width="0" style="1160" hidden="1" customWidth="1"/>
    <col min="11022" max="11264" width="9" style="1160"/>
    <col min="11265" max="11265" width="9.6640625" style="1160" customWidth="1"/>
    <col min="11266" max="11267" width="9" style="1160"/>
    <col min="11268" max="11268" width="10.44140625" style="1160" customWidth="1"/>
    <col min="11269" max="11270" width="9.77734375" style="1160" customWidth="1"/>
    <col min="11271" max="11276" width="9" style="1160"/>
    <col min="11277" max="11277" width="0" style="1160" hidden="1" customWidth="1"/>
    <col min="11278" max="11520" width="9" style="1160"/>
    <col min="11521" max="11521" width="9.6640625" style="1160" customWidth="1"/>
    <col min="11522" max="11523" width="9" style="1160"/>
    <col min="11524" max="11524" width="10.44140625" style="1160" customWidth="1"/>
    <col min="11525" max="11526" width="9.77734375" style="1160" customWidth="1"/>
    <col min="11527" max="11532" width="9" style="1160"/>
    <col min="11533" max="11533" width="0" style="1160" hidden="1" customWidth="1"/>
    <col min="11534" max="11776" width="9" style="1160"/>
    <col min="11777" max="11777" width="9.6640625" style="1160" customWidth="1"/>
    <col min="11778" max="11779" width="9" style="1160"/>
    <col min="11780" max="11780" width="10.44140625" style="1160" customWidth="1"/>
    <col min="11781" max="11782" width="9.77734375" style="1160" customWidth="1"/>
    <col min="11783" max="11788" width="9" style="1160"/>
    <col min="11789" max="11789" width="0" style="1160" hidden="1" customWidth="1"/>
    <col min="11790" max="12032" width="9" style="1160"/>
    <col min="12033" max="12033" width="9.6640625" style="1160" customWidth="1"/>
    <col min="12034" max="12035" width="9" style="1160"/>
    <col min="12036" max="12036" width="10.44140625" style="1160" customWidth="1"/>
    <col min="12037" max="12038" width="9.77734375" style="1160" customWidth="1"/>
    <col min="12039" max="12044" width="9" style="1160"/>
    <col min="12045" max="12045" width="0" style="1160" hidden="1" customWidth="1"/>
    <col min="12046" max="12288" width="9" style="1160"/>
    <col min="12289" max="12289" width="9.6640625" style="1160" customWidth="1"/>
    <col min="12290" max="12291" width="9" style="1160"/>
    <col min="12292" max="12292" width="10.44140625" style="1160" customWidth="1"/>
    <col min="12293" max="12294" width="9.77734375" style="1160" customWidth="1"/>
    <col min="12295" max="12300" width="9" style="1160"/>
    <col min="12301" max="12301" width="0" style="1160" hidden="1" customWidth="1"/>
    <col min="12302" max="12544" width="9" style="1160"/>
    <col min="12545" max="12545" width="9.6640625" style="1160" customWidth="1"/>
    <col min="12546" max="12547" width="9" style="1160"/>
    <col min="12548" max="12548" width="10.44140625" style="1160" customWidth="1"/>
    <col min="12549" max="12550" width="9.77734375" style="1160" customWidth="1"/>
    <col min="12551" max="12556" width="9" style="1160"/>
    <col min="12557" max="12557" width="0" style="1160" hidden="1" customWidth="1"/>
    <col min="12558" max="12800" width="9" style="1160"/>
    <col min="12801" max="12801" width="9.6640625" style="1160" customWidth="1"/>
    <col min="12802" max="12803" width="9" style="1160"/>
    <col min="12804" max="12804" width="10.44140625" style="1160" customWidth="1"/>
    <col min="12805" max="12806" width="9.77734375" style="1160" customWidth="1"/>
    <col min="12807" max="12812" width="9" style="1160"/>
    <col min="12813" max="12813" width="0" style="1160" hidden="1" customWidth="1"/>
    <col min="12814" max="13056" width="9" style="1160"/>
    <col min="13057" max="13057" width="9.6640625" style="1160" customWidth="1"/>
    <col min="13058" max="13059" width="9" style="1160"/>
    <col min="13060" max="13060" width="10.44140625" style="1160" customWidth="1"/>
    <col min="13061" max="13062" width="9.77734375" style="1160" customWidth="1"/>
    <col min="13063" max="13068" width="9" style="1160"/>
    <col min="13069" max="13069" width="0" style="1160" hidden="1" customWidth="1"/>
    <col min="13070" max="13312" width="9" style="1160"/>
    <col min="13313" max="13313" width="9.6640625" style="1160" customWidth="1"/>
    <col min="13314" max="13315" width="9" style="1160"/>
    <col min="13316" max="13316" width="10.44140625" style="1160" customWidth="1"/>
    <col min="13317" max="13318" width="9.77734375" style="1160" customWidth="1"/>
    <col min="13319" max="13324" width="9" style="1160"/>
    <col min="13325" max="13325" width="0" style="1160" hidden="1" customWidth="1"/>
    <col min="13326" max="13568" width="9" style="1160"/>
    <col min="13569" max="13569" width="9.6640625" style="1160" customWidth="1"/>
    <col min="13570" max="13571" width="9" style="1160"/>
    <col min="13572" max="13572" width="10.44140625" style="1160" customWidth="1"/>
    <col min="13573" max="13574" width="9.77734375" style="1160" customWidth="1"/>
    <col min="13575" max="13580" width="9" style="1160"/>
    <col min="13581" max="13581" width="0" style="1160" hidden="1" customWidth="1"/>
    <col min="13582" max="13824" width="9" style="1160"/>
    <col min="13825" max="13825" width="9.6640625" style="1160" customWidth="1"/>
    <col min="13826" max="13827" width="9" style="1160"/>
    <col min="13828" max="13828" width="10.44140625" style="1160" customWidth="1"/>
    <col min="13829" max="13830" width="9.77734375" style="1160" customWidth="1"/>
    <col min="13831" max="13836" width="9" style="1160"/>
    <col min="13837" max="13837" width="0" style="1160" hidden="1" customWidth="1"/>
    <col min="13838" max="14080" width="9" style="1160"/>
    <col min="14081" max="14081" width="9.6640625" style="1160" customWidth="1"/>
    <col min="14082" max="14083" width="9" style="1160"/>
    <col min="14084" max="14084" width="10.44140625" style="1160" customWidth="1"/>
    <col min="14085" max="14086" width="9.77734375" style="1160" customWidth="1"/>
    <col min="14087" max="14092" width="9" style="1160"/>
    <col min="14093" max="14093" width="0" style="1160" hidden="1" customWidth="1"/>
    <col min="14094" max="14336" width="9" style="1160"/>
    <col min="14337" max="14337" width="9.6640625" style="1160" customWidth="1"/>
    <col min="14338" max="14339" width="9" style="1160"/>
    <col min="14340" max="14340" width="10.44140625" style="1160" customWidth="1"/>
    <col min="14341" max="14342" width="9.77734375" style="1160" customWidth="1"/>
    <col min="14343" max="14348" width="9" style="1160"/>
    <col min="14349" max="14349" width="0" style="1160" hidden="1" customWidth="1"/>
    <col min="14350" max="14592" width="9" style="1160"/>
    <col min="14593" max="14593" width="9.6640625" style="1160" customWidth="1"/>
    <col min="14594" max="14595" width="9" style="1160"/>
    <col min="14596" max="14596" width="10.44140625" style="1160" customWidth="1"/>
    <col min="14597" max="14598" width="9.77734375" style="1160" customWidth="1"/>
    <col min="14599" max="14604" width="9" style="1160"/>
    <col min="14605" max="14605" width="0" style="1160" hidden="1" customWidth="1"/>
    <col min="14606" max="14848" width="9" style="1160"/>
    <col min="14849" max="14849" width="9.6640625" style="1160" customWidth="1"/>
    <col min="14850" max="14851" width="9" style="1160"/>
    <col min="14852" max="14852" width="10.44140625" style="1160" customWidth="1"/>
    <col min="14853" max="14854" width="9.77734375" style="1160" customWidth="1"/>
    <col min="14855" max="14860" width="9" style="1160"/>
    <col min="14861" max="14861" width="0" style="1160" hidden="1" customWidth="1"/>
    <col min="14862" max="15104" width="9" style="1160"/>
    <col min="15105" max="15105" width="9.6640625" style="1160" customWidth="1"/>
    <col min="15106" max="15107" width="9" style="1160"/>
    <col min="15108" max="15108" width="10.44140625" style="1160" customWidth="1"/>
    <col min="15109" max="15110" width="9.77734375" style="1160" customWidth="1"/>
    <col min="15111" max="15116" width="9" style="1160"/>
    <col min="15117" max="15117" width="0" style="1160" hidden="1" customWidth="1"/>
    <col min="15118" max="15360" width="9" style="1160"/>
    <col min="15361" max="15361" width="9.6640625" style="1160" customWidth="1"/>
    <col min="15362" max="15363" width="9" style="1160"/>
    <col min="15364" max="15364" width="10.44140625" style="1160" customWidth="1"/>
    <col min="15365" max="15366" width="9.77734375" style="1160" customWidth="1"/>
    <col min="15367" max="15372" width="9" style="1160"/>
    <col min="15373" max="15373" width="0" style="1160" hidden="1" customWidth="1"/>
    <col min="15374" max="15616" width="9" style="1160"/>
    <col min="15617" max="15617" width="9.6640625" style="1160" customWidth="1"/>
    <col min="15618" max="15619" width="9" style="1160"/>
    <col min="15620" max="15620" width="10.44140625" style="1160" customWidth="1"/>
    <col min="15621" max="15622" width="9.77734375" style="1160" customWidth="1"/>
    <col min="15623" max="15628" width="9" style="1160"/>
    <col min="15629" max="15629" width="0" style="1160" hidden="1" customWidth="1"/>
    <col min="15630" max="15872" width="9" style="1160"/>
    <col min="15873" max="15873" width="9.6640625" style="1160" customWidth="1"/>
    <col min="15874" max="15875" width="9" style="1160"/>
    <col min="15876" max="15876" width="10.44140625" style="1160" customWidth="1"/>
    <col min="15877" max="15878" width="9.77734375" style="1160" customWidth="1"/>
    <col min="15879" max="15884" width="9" style="1160"/>
    <col min="15885" max="15885" width="0" style="1160" hidden="1" customWidth="1"/>
    <col min="15886" max="16128" width="9" style="1160"/>
    <col min="16129" max="16129" width="9.6640625" style="1160" customWidth="1"/>
    <col min="16130" max="16131" width="9" style="1160"/>
    <col min="16132" max="16132" width="10.44140625" style="1160" customWidth="1"/>
    <col min="16133" max="16134" width="9.77734375" style="1160" customWidth="1"/>
    <col min="16135" max="16140" width="9" style="1160"/>
    <col min="16141" max="16141" width="0" style="1160" hidden="1" customWidth="1"/>
    <col min="16142" max="16384" width="9" style="1160"/>
  </cols>
  <sheetData>
    <row r="1" spans="1:13" s="1153" customFormat="1" ht="60.75" thickBot="1">
      <c r="A1" s="1147" t="s">
        <v>288</v>
      </c>
      <c r="B1" s="1148" t="s">
        <v>289</v>
      </c>
      <c r="C1" s="1148" t="s">
        <v>290</v>
      </c>
      <c r="D1" s="1149" t="s">
        <v>291</v>
      </c>
      <c r="E1" s="1150" t="s">
        <v>292</v>
      </c>
      <c r="F1" s="1151" t="s">
        <v>293</v>
      </c>
      <c r="G1" s="1150" t="s">
        <v>300</v>
      </c>
      <c r="H1" s="1151" t="s">
        <v>301</v>
      </c>
      <c r="I1" s="1151" t="s">
        <v>294</v>
      </c>
      <c r="J1" s="1151" t="s">
        <v>295</v>
      </c>
      <c r="K1" s="1150" t="s">
        <v>296</v>
      </c>
      <c r="L1" s="1150" t="s">
        <v>297</v>
      </c>
      <c r="M1" s="1152" t="s">
        <v>298</v>
      </c>
    </row>
    <row r="2" spans="1:13">
      <c r="A2" s="1154" t="s">
        <v>299</v>
      </c>
      <c r="B2" s="1155">
        <v>1</v>
      </c>
      <c r="C2" s="1155">
        <v>7</v>
      </c>
      <c r="D2" s="1156">
        <v>2021</v>
      </c>
      <c r="E2" s="1157">
        <f>(IF('Daily HLP'!I4&gt;0,'Daily HLP'!I4,0))</f>
        <v>23260.790000000037</v>
      </c>
      <c r="F2" s="1158">
        <v>9</v>
      </c>
      <c r="G2" s="1158">
        <f>(IF('Daily HLP'!M4&gt;0,'Daily HLP'!M4,0))</f>
        <v>918.37800000002608</v>
      </c>
      <c r="H2" s="1158">
        <v>52</v>
      </c>
      <c r="I2" s="1158">
        <f>(IF('Daily HLP'!P4&gt;0,'Daily HLP'!P4,0))</f>
        <v>154</v>
      </c>
      <c r="J2" s="1158">
        <v>118</v>
      </c>
      <c r="K2" s="1232">
        <f>Occupancy!G2</f>
        <v>93</v>
      </c>
      <c r="L2" s="1157">
        <f>Occupancy!F2</f>
        <v>467</v>
      </c>
      <c r="M2" s="1159" t="e">
        <f>E2*F2+G2*H2+#REF!*#REF!+I2*J2</f>
        <v>#REF!</v>
      </c>
    </row>
    <row r="3" spans="1:13">
      <c r="A3" s="1154" t="s">
        <v>299</v>
      </c>
      <c r="B3" s="1155">
        <f>B2+1</f>
        <v>2</v>
      </c>
      <c r="C3" s="1155">
        <v>7</v>
      </c>
      <c r="D3" s="1156">
        <v>2021</v>
      </c>
      <c r="E3" s="1157">
        <f>(IF('Daily HLP'!I5&gt;0,'Daily HLP'!I5,0))</f>
        <v>21035.119999999995</v>
      </c>
      <c r="F3" s="1158">
        <v>9</v>
      </c>
      <c r="G3" s="1158">
        <f>(IF('Daily HLP'!M5&gt;0,'Daily HLP'!M5,0))</f>
        <v>510.87400000006892</v>
      </c>
      <c r="H3" s="1158">
        <v>52</v>
      </c>
      <c r="I3" s="1158">
        <f>(IF('Daily HLP'!P5&gt;0,'Daily HLP'!P5,0))</f>
        <v>162</v>
      </c>
      <c r="J3" s="1158">
        <v>118</v>
      </c>
      <c r="K3" s="1232">
        <f>Occupancy!G3</f>
        <v>144</v>
      </c>
      <c r="L3" s="1157">
        <f>Occupancy!F3</f>
        <v>417</v>
      </c>
      <c r="M3" s="1159" t="e">
        <f>E3*F3+G3*H3+#REF!*#REF!+I3*J3</f>
        <v>#REF!</v>
      </c>
    </row>
    <row r="4" spans="1:13">
      <c r="A4" s="1154" t="s">
        <v>299</v>
      </c>
      <c r="B4" s="1155">
        <f t="shared" ref="B4:B32" si="0">B3+1</f>
        <v>3</v>
      </c>
      <c r="C4" s="1155">
        <v>7</v>
      </c>
      <c r="D4" s="1156">
        <v>2021</v>
      </c>
      <c r="E4" s="1157">
        <f>(IF('Daily HLP'!I6&gt;0,'Daily HLP'!I6,0))</f>
        <v>22104.089999999967</v>
      </c>
      <c r="F4" s="1158">
        <v>9</v>
      </c>
      <c r="G4" s="1158">
        <f>(IF('Daily HLP'!M6&gt;0,'Daily HLP'!M6,0))</f>
        <v>940.26799999992363</v>
      </c>
      <c r="H4" s="1158">
        <v>52</v>
      </c>
      <c r="I4" s="1158">
        <f>(IF('Daily HLP'!P6&gt;0,'Daily HLP'!P6,0))</f>
        <v>210</v>
      </c>
      <c r="J4" s="1158">
        <v>118</v>
      </c>
      <c r="K4" s="1232">
        <f>Occupancy!G4</f>
        <v>187</v>
      </c>
      <c r="L4" s="1157">
        <f>Occupancy!F4</f>
        <v>483</v>
      </c>
      <c r="M4" s="1159" t="e">
        <f>E4*F4+G4*H4+#REF!*#REF!+I4*J4</f>
        <v>#REF!</v>
      </c>
    </row>
    <row r="5" spans="1:13">
      <c r="A5" s="1154" t="s">
        <v>299</v>
      </c>
      <c r="B5" s="1155">
        <f t="shared" si="0"/>
        <v>4</v>
      </c>
      <c r="C5" s="1155">
        <v>7</v>
      </c>
      <c r="D5" s="1156">
        <v>2021</v>
      </c>
      <c r="E5" s="1157">
        <f>(IF('Daily HLP'!I7&gt;0,'Daily HLP'!I7,0))</f>
        <v>21866.599999999977</v>
      </c>
      <c r="F5" s="1158">
        <v>9</v>
      </c>
      <c r="G5" s="1158">
        <f>(IF('Daily HLP'!M7&gt;0,'Daily HLP'!M7,0))</f>
        <v>786.87999999988824</v>
      </c>
      <c r="H5" s="1158">
        <v>52</v>
      </c>
      <c r="I5" s="1158">
        <f>(IF('Daily HLP'!P7&gt;0,'Daily HLP'!P7,0))</f>
        <v>271</v>
      </c>
      <c r="J5" s="1158">
        <v>118</v>
      </c>
      <c r="K5" s="1232">
        <f>Occupancy!G5</f>
        <v>92</v>
      </c>
      <c r="L5" s="1157">
        <f>Occupancy!F5</f>
        <v>378</v>
      </c>
      <c r="M5" s="1159" t="e">
        <f>E5*F5+G5*H5+#REF!*#REF!+I5*J5</f>
        <v>#REF!</v>
      </c>
    </row>
    <row r="6" spans="1:13">
      <c r="A6" s="1154" t="s">
        <v>299</v>
      </c>
      <c r="B6" s="1155">
        <f t="shared" si="0"/>
        <v>5</v>
      </c>
      <c r="C6" s="1155">
        <v>7</v>
      </c>
      <c r="D6" s="1156">
        <v>2021</v>
      </c>
      <c r="E6" s="1157">
        <f>(IF('Daily HLP'!I8&gt;0,'Daily HLP'!I8,0))</f>
        <v>20992.61</v>
      </c>
      <c r="F6" s="1158">
        <v>9</v>
      </c>
      <c r="G6" s="1158">
        <f>(IF('Daily HLP'!M8&gt;0,'Daily HLP'!M8,0))</f>
        <v>925.06000000005588</v>
      </c>
      <c r="H6" s="1158">
        <v>52</v>
      </c>
      <c r="I6" s="1158">
        <f>(IF('Daily HLP'!P8&gt;0,'Daily HLP'!P8,0))</f>
        <v>241</v>
      </c>
      <c r="J6" s="1158">
        <v>118</v>
      </c>
      <c r="K6" s="1232">
        <f>Occupancy!G6</f>
        <v>111</v>
      </c>
      <c r="L6" s="1157">
        <f>Occupancy!F6</f>
        <v>252</v>
      </c>
      <c r="M6" s="1159" t="e">
        <f>E6*F6+G6*H6+#REF!*#REF!+I6*J6</f>
        <v>#REF!</v>
      </c>
    </row>
    <row r="7" spans="1:13">
      <c r="A7" s="1154" t="s">
        <v>299</v>
      </c>
      <c r="B7" s="1155">
        <f t="shared" si="0"/>
        <v>6</v>
      </c>
      <c r="C7" s="1155">
        <v>7</v>
      </c>
      <c r="D7" s="1156">
        <v>2021</v>
      </c>
      <c r="E7" s="1157">
        <f>(IF('Daily HLP'!I9&gt;0,'Daily HLP'!I9,0))</f>
        <v>19837.629999999997</v>
      </c>
      <c r="F7" s="1158">
        <v>9</v>
      </c>
      <c r="G7" s="1158">
        <f>(IF('Daily HLP'!M9&gt;0,'Daily HLP'!M9,0))</f>
        <v>430.95999999996275</v>
      </c>
      <c r="H7" s="1158">
        <v>52</v>
      </c>
      <c r="I7" s="1158">
        <f>(IF('Daily HLP'!P9&gt;0,'Daily HLP'!P9,0))</f>
        <v>149</v>
      </c>
      <c r="J7" s="1158">
        <v>118</v>
      </c>
      <c r="K7" s="1232">
        <f>Occupancy!G7</f>
        <v>122</v>
      </c>
      <c r="L7" s="1157">
        <f>Occupancy!F7</f>
        <v>292</v>
      </c>
      <c r="M7" s="1159" t="e">
        <f>E7*F7+G7*H7+#REF!*#REF!+I7*J7</f>
        <v>#REF!</v>
      </c>
    </row>
    <row r="8" spans="1:13">
      <c r="A8" s="1154" t="s">
        <v>299</v>
      </c>
      <c r="B8" s="1155">
        <f t="shared" si="0"/>
        <v>7</v>
      </c>
      <c r="C8" s="1155">
        <v>7</v>
      </c>
      <c r="D8" s="1156">
        <v>2021</v>
      </c>
      <c r="E8" s="1157">
        <f>(IF('Daily HLP'!I10&gt;0,'Daily HLP'!I10,0))</f>
        <v>21913.78</v>
      </c>
      <c r="F8" s="1158">
        <v>9</v>
      </c>
      <c r="G8" s="1158">
        <f>(IF('Daily HLP'!M10&gt;0,'Daily HLP'!M10,0))</f>
        <v>850.19000000017695</v>
      </c>
      <c r="H8" s="1158">
        <v>52</v>
      </c>
      <c r="I8" s="1158">
        <f>(IF('Daily HLP'!P10&gt;0,'Daily HLP'!P10,0))</f>
        <v>168</v>
      </c>
      <c r="J8" s="1158">
        <v>118</v>
      </c>
      <c r="K8" s="1232">
        <f>Occupancy!G8</f>
        <v>136.27000000000001</v>
      </c>
      <c r="L8" s="1157">
        <f>Occupancy!F8</f>
        <v>402</v>
      </c>
      <c r="M8" s="1159" t="e">
        <f>E8*F8+G8*H8+#REF!*#REF!+I8*J8</f>
        <v>#REF!</v>
      </c>
    </row>
    <row r="9" spans="1:13">
      <c r="A9" s="1154" t="s">
        <v>299</v>
      </c>
      <c r="B9" s="1155">
        <f t="shared" si="0"/>
        <v>8</v>
      </c>
      <c r="C9" s="1155">
        <v>7</v>
      </c>
      <c r="D9" s="1156">
        <v>2021</v>
      </c>
      <c r="E9" s="1157">
        <f>(IF('Daily HLP'!I11&gt;0,'Daily HLP'!I11,0))</f>
        <v>21721.17</v>
      </c>
      <c r="F9" s="1158">
        <v>9</v>
      </c>
      <c r="G9" s="1158">
        <f>(IF('Daily HLP'!M11&gt;0,'Daily HLP'!M11,0))</f>
        <v>821.54999999981374</v>
      </c>
      <c r="H9" s="1158">
        <v>52</v>
      </c>
      <c r="I9" s="1158">
        <f>(IF('Daily HLP'!P11&gt;0,'Daily HLP'!P11,0))</f>
        <v>161</v>
      </c>
      <c r="J9" s="1158">
        <v>118</v>
      </c>
      <c r="K9" s="1232">
        <f>Occupancy!G9</f>
        <v>127</v>
      </c>
      <c r="L9" s="1157">
        <f>Occupancy!F9</f>
        <v>318</v>
      </c>
      <c r="M9" s="1159" t="e">
        <f>E9*F9+G9*H9+#REF!*#REF!+I9*J9</f>
        <v>#REF!</v>
      </c>
    </row>
    <row r="10" spans="1:13">
      <c r="A10" s="1154" t="s">
        <v>299</v>
      </c>
      <c r="B10" s="1155">
        <f t="shared" si="0"/>
        <v>9</v>
      </c>
      <c r="C10" s="1155">
        <v>7</v>
      </c>
      <c r="D10" s="1156">
        <v>2021</v>
      </c>
      <c r="E10" s="1157">
        <f>(IF('Daily HLP'!I12&gt;0,'Daily HLP'!I12,0))</f>
        <v>22673.210000000006</v>
      </c>
      <c r="F10" s="1158">
        <v>9</v>
      </c>
      <c r="G10" s="1158">
        <f>(IF('Daily HLP'!M12&gt;0,'Daily HLP'!M12,0))</f>
        <v>830.84000000008382</v>
      </c>
      <c r="H10" s="1158">
        <v>52</v>
      </c>
      <c r="I10" s="1158">
        <f>(IF('Daily HLP'!P12&gt;0,'Daily HLP'!P12,0))</f>
        <v>191</v>
      </c>
      <c r="J10" s="1158">
        <v>118</v>
      </c>
      <c r="K10" s="1232">
        <f>Occupancy!G10</f>
        <v>151</v>
      </c>
      <c r="L10" s="1157">
        <f>Occupancy!F10</f>
        <v>464</v>
      </c>
      <c r="M10" s="1159" t="e">
        <f>E10*F10+G10*H10+#REF!*#REF!+I10*J10</f>
        <v>#REF!</v>
      </c>
    </row>
    <row r="11" spans="1:13">
      <c r="A11" s="1154" t="s">
        <v>299</v>
      </c>
      <c r="B11" s="1155">
        <f t="shared" si="0"/>
        <v>10</v>
      </c>
      <c r="C11" s="1155">
        <v>7</v>
      </c>
      <c r="D11" s="1156">
        <v>2021</v>
      </c>
      <c r="E11" s="1157">
        <f>(IF('Daily HLP'!I13&gt;0,'Daily HLP'!I13,0))</f>
        <v>21102</v>
      </c>
      <c r="F11" s="1158">
        <v>9</v>
      </c>
      <c r="G11" s="1158">
        <f>(IF('Daily HLP'!M13&gt;0,'Daily HLP'!M13,0))</f>
        <v>829</v>
      </c>
      <c r="H11" s="1158">
        <v>52</v>
      </c>
      <c r="I11" s="1158">
        <f>(IF('Daily HLP'!P13&gt;0,'Daily HLP'!P13,0))</f>
        <v>218</v>
      </c>
      <c r="J11" s="1158">
        <v>118</v>
      </c>
      <c r="K11" s="1232">
        <f>Occupancy!G11</f>
        <v>188</v>
      </c>
      <c r="L11" s="1157">
        <f>Occupancy!F11</f>
        <v>520</v>
      </c>
      <c r="M11" s="1159" t="e">
        <f>E11*F11+G11*H11+#REF!*#REF!+I11*J11</f>
        <v>#REF!</v>
      </c>
    </row>
    <row r="12" spans="1:13">
      <c r="A12" s="1154" t="s">
        <v>299</v>
      </c>
      <c r="B12" s="1155">
        <f t="shared" si="0"/>
        <v>11</v>
      </c>
      <c r="C12" s="1155">
        <v>7</v>
      </c>
      <c r="D12" s="1156">
        <v>2021</v>
      </c>
      <c r="E12" s="1157">
        <f>(IF('Daily HLP'!I14&gt;0,'Daily HLP'!I14,0))</f>
        <v>22829.97</v>
      </c>
      <c r="F12" s="1158">
        <v>9</v>
      </c>
      <c r="G12" s="1158">
        <f>(IF('Daily HLP'!M14&gt;0,'Daily HLP'!M14,0))</f>
        <v>986.40999999991618</v>
      </c>
      <c r="H12" s="1158">
        <v>52</v>
      </c>
      <c r="I12" s="1158">
        <f>(IF('Daily HLP'!P14&gt;0,'Daily HLP'!P14,0))</f>
        <v>240</v>
      </c>
      <c r="J12" s="1158">
        <v>118</v>
      </c>
      <c r="K12" s="1232">
        <f>Occupancy!G12</f>
        <v>150</v>
      </c>
      <c r="L12" s="1157">
        <f>Occupancy!F12</f>
        <v>668</v>
      </c>
      <c r="M12" s="1159" t="e">
        <f>E12*F12+G12*H12+#REF!*#REF!+I12*J12</f>
        <v>#REF!</v>
      </c>
    </row>
    <row r="13" spans="1:13">
      <c r="A13" s="1154" t="s">
        <v>299</v>
      </c>
      <c r="B13" s="1155">
        <f t="shared" si="0"/>
        <v>12</v>
      </c>
      <c r="C13" s="1155">
        <v>7</v>
      </c>
      <c r="D13" s="1156">
        <v>2021</v>
      </c>
      <c r="E13" s="1157">
        <f>(IF('Daily HLP'!I15&gt;0,'Daily HLP'!I15,0))</f>
        <v>21239.899999999994</v>
      </c>
      <c r="F13" s="1158">
        <v>9</v>
      </c>
      <c r="G13" s="1158">
        <f>(IF('Daily HLP'!M15&gt;0,'Daily HLP'!M15,0))</f>
        <v>914.79000000003725</v>
      </c>
      <c r="H13" s="1158">
        <v>52</v>
      </c>
      <c r="I13" s="1158">
        <f>(IF('Daily HLP'!P15&gt;0,'Daily HLP'!P15,0))</f>
        <v>186</v>
      </c>
      <c r="J13" s="1158">
        <v>118</v>
      </c>
      <c r="K13" s="1232">
        <f>Occupancy!G13</f>
        <v>126</v>
      </c>
      <c r="L13" s="1157">
        <f>Occupancy!F13</f>
        <v>391</v>
      </c>
      <c r="M13" s="1159" t="e">
        <f>E13*F13+G13*H13+#REF!*#REF!+I13*J13</f>
        <v>#REF!</v>
      </c>
    </row>
    <row r="14" spans="1:13">
      <c r="A14" s="1154" t="s">
        <v>299</v>
      </c>
      <c r="B14" s="1155">
        <f t="shared" si="0"/>
        <v>13</v>
      </c>
      <c r="C14" s="1155">
        <v>7</v>
      </c>
      <c r="D14" s="1156">
        <v>2021</v>
      </c>
      <c r="E14" s="1157">
        <f>(IF('Daily HLP'!I16&gt;0,'Daily HLP'!I16,0))</f>
        <v>21611.399999999994</v>
      </c>
      <c r="F14" s="1158">
        <v>9</v>
      </c>
      <c r="G14" s="1158">
        <f>(IF('Daily HLP'!M16&gt;0,'Daily HLP'!M16,0))</f>
        <v>943.80000000004657</v>
      </c>
      <c r="H14" s="1158">
        <v>52</v>
      </c>
      <c r="I14" s="1158">
        <f>(IF('Daily HLP'!P16&gt;0,'Daily HLP'!P16,0))</f>
        <v>202</v>
      </c>
      <c r="J14" s="1158">
        <v>118</v>
      </c>
      <c r="K14" s="1232">
        <f>Occupancy!G14</f>
        <v>134</v>
      </c>
      <c r="L14" s="1157">
        <f>Occupancy!F14</f>
        <v>583</v>
      </c>
      <c r="M14" s="1159" t="e">
        <f>E14*F14+G14*H14+#REF!*#REF!+I14*J14</f>
        <v>#REF!</v>
      </c>
    </row>
    <row r="15" spans="1:13">
      <c r="A15" s="1154" t="s">
        <v>299</v>
      </c>
      <c r="B15" s="1155">
        <f t="shared" si="0"/>
        <v>14</v>
      </c>
      <c r="C15" s="1155">
        <v>7</v>
      </c>
      <c r="D15" s="1156">
        <v>2021</v>
      </c>
      <c r="E15" s="1157">
        <f>(IF('Daily HLP'!I17&gt;0,'Daily HLP'!I17,0))</f>
        <v>22172.24000000002</v>
      </c>
      <c r="F15" s="1158">
        <v>9</v>
      </c>
      <c r="G15" s="1158">
        <f>(IF('Daily HLP'!M17&gt;0,'Daily HLP'!M17,0))</f>
        <v>797.81000000005588</v>
      </c>
      <c r="H15" s="1158">
        <v>52</v>
      </c>
      <c r="I15" s="1158">
        <f>(IF('Daily HLP'!P17&gt;0,'Daily HLP'!P17,0))</f>
        <v>205</v>
      </c>
      <c r="J15" s="1158">
        <v>118</v>
      </c>
      <c r="K15" s="1232">
        <f>Occupancy!G15</f>
        <v>153</v>
      </c>
      <c r="L15" s="1157">
        <f>Occupancy!F15</f>
        <v>775</v>
      </c>
      <c r="M15" s="1159" t="e">
        <f>E15*F15+G15*H15+#REF!*#REF!+I15*J15</f>
        <v>#REF!</v>
      </c>
    </row>
    <row r="16" spans="1:13">
      <c r="A16" s="1154" t="s">
        <v>299</v>
      </c>
      <c r="B16" s="1155">
        <f t="shared" si="0"/>
        <v>15</v>
      </c>
      <c r="C16" s="1155">
        <v>7</v>
      </c>
      <c r="D16" s="1156">
        <v>2021</v>
      </c>
      <c r="E16" s="1157">
        <f>(IF('Daily HLP'!I18&gt;0,'Daily HLP'!I18,0))</f>
        <v>22546.299999999988</v>
      </c>
      <c r="F16" s="1158">
        <v>9</v>
      </c>
      <c r="G16" s="1158">
        <f>(IF('Daily HLP'!M18&gt;0,'Daily HLP'!M18,0))</f>
        <v>947.81299999984913</v>
      </c>
      <c r="H16" s="1158">
        <v>52</v>
      </c>
      <c r="I16" s="1158">
        <f>(IF('Daily HLP'!P18&gt;0,'Daily HLP'!P18,0))</f>
        <v>184</v>
      </c>
      <c r="J16" s="1158">
        <v>118</v>
      </c>
      <c r="K16" s="1232">
        <f>Occupancy!G16</f>
        <v>141</v>
      </c>
      <c r="L16" s="1157">
        <f>Occupancy!F16</f>
        <v>680</v>
      </c>
      <c r="M16" s="1159" t="e">
        <f>E16*F16+G16*H16+#REF!*#REF!+I16*J16</f>
        <v>#REF!</v>
      </c>
    </row>
    <row r="17" spans="1:13">
      <c r="A17" s="1154" t="s">
        <v>299</v>
      </c>
      <c r="B17" s="1155">
        <f t="shared" si="0"/>
        <v>16</v>
      </c>
      <c r="C17" s="1155">
        <v>7</v>
      </c>
      <c r="D17" s="1156">
        <v>2021</v>
      </c>
      <c r="E17" s="1157">
        <f>(IF('Daily HLP'!I19&gt;0,'Daily HLP'!I19,0))</f>
        <v>22174.580000000016</v>
      </c>
      <c r="F17" s="1158">
        <v>9</v>
      </c>
      <c r="G17" s="1158">
        <f>(IF('Daily HLP'!M19&gt;0,'Daily HLP'!M19,0))</f>
        <v>837.25699999998324</v>
      </c>
      <c r="H17" s="1158">
        <v>52</v>
      </c>
      <c r="I17" s="1158">
        <f>(IF('Daily HLP'!P19&gt;0,'Daily HLP'!P19,0))</f>
        <v>170</v>
      </c>
      <c r="J17" s="1158">
        <v>118</v>
      </c>
      <c r="K17" s="1232">
        <f>Occupancy!G17</f>
        <v>151</v>
      </c>
      <c r="L17" s="1157">
        <f>Occupancy!F17</f>
        <v>632</v>
      </c>
      <c r="M17" s="1159" t="e">
        <f>E17*F17+G17*H17+#REF!*#REF!+I17*J17</f>
        <v>#REF!</v>
      </c>
    </row>
    <row r="18" spans="1:13">
      <c r="A18" s="1154" t="s">
        <v>299</v>
      </c>
      <c r="B18" s="1155">
        <f t="shared" si="0"/>
        <v>17</v>
      </c>
      <c r="C18" s="1155">
        <v>7</v>
      </c>
      <c r="D18" s="1156">
        <v>2021</v>
      </c>
      <c r="E18" s="1157">
        <f>(IF('Daily HLP'!I20&gt;0,'Daily HLP'!I20,0))</f>
        <v>24914.739999999991</v>
      </c>
      <c r="F18" s="1158">
        <v>9</v>
      </c>
      <c r="G18" s="1158">
        <f>(IF('Daily HLP'!M20&gt;0,'Daily HLP'!M20,0))</f>
        <v>981.66100000008009</v>
      </c>
      <c r="H18" s="1158">
        <v>52</v>
      </c>
      <c r="I18" s="1158">
        <f>(IF('Daily HLP'!P20&gt;0,'Daily HLP'!P20,0))</f>
        <v>201</v>
      </c>
      <c r="J18" s="1158">
        <v>118</v>
      </c>
      <c r="K18" s="1232">
        <f>Occupancy!G18</f>
        <v>190</v>
      </c>
      <c r="L18" s="1157">
        <f>Occupancy!F18</f>
        <v>798</v>
      </c>
      <c r="M18" s="1159" t="e">
        <f>E18*F18+G18*H18+#REF!*#REF!+I18*J18</f>
        <v>#REF!</v>
      </c>
    </row>
    <row r="19" spans="1:13">
      <c r="A19" s="1154" t="s">
        <v>299</v>
      </c>
      <c r="B19" s="1155">
        <f t="shared" si="0"/>
        <v>18</v>
      </c>
      <c r="C19" s="1155">
        <v>7</v>
      </c>
      <c r="D19" s="1156">
        <v>2021</v>
      </c>
      <c r="E19" s="1157">
        <f>(IF('Daily HLP'!I21&gt;0,'Daily HLP'!I21,0))</f>
        <v>25951.080000000016</v>
      </c>
      <c r="F19" s="1158">
        <v>9</v>
      </c>
      <c r="G19" s="1158">
        <f>(IF('Daily HLP'!M21&gt;0,'Daily HLP'!M21,0))</f>
        <v>908.87899999995716</v>
      </c>
      <c r="H19" s="1158">
        <v>52</v>
      </c>
      <c r="I19" s="1158">
        <f>(IF('Daily HLP'!P21&gt;0,'Daily HLP'!P21,0))</f>
        <v>179</v>
      </c>
      <c r="J19" s="1158">
        <v>118</v>
      </c>
      <c r="K19" s="1232">
        <f>Occupancy!G19</f>
        <v>150</v>
      </c>
      <c r="L19" s="1157">
        <f>Occupancy!F19</f>
        <v>993</v>
      </c>
      <c r="M19" s="1159" t="e">
        <f>E19*F19+G19*H19+#REF!*#REF!+I19*J19</f>
        <v>#REF!</v>
      </c>
    </row>
    <row r="20" spans="1:13">
      <c r="A20" s="1154" t="s">
        <v>299</v>
      </c>
      <c r="B20" s="1155">
        <f t="shared" si="0"/>
        <v>19</v>
      </c>
      <c r="C20" s="1155">
        <v>7</v>
      </c>
      <c r="D20" s="1156">
        <v>2021</v>
      </c>
      <c r="E20" s="1157">
        <f>(IF('Daily HLP'!I22&gt;0,'Daily HLP'!I22,0))</f>
        <v>21717.789999999979</v>
      </c>
      <c r="F20" s="1158">
        <v>9</v>
      </c>
      <c r="G20" s="1158">
        <f>(IF('Daily HLP'!M22&gt;0,'Daily HLP'!M22,0))</f>
        <v>880.58000000007451</v>
      </c>
      <c r="H20" s="1158">
        <v>52</v>
      </c>
      <c r="I20" s="1158">
        <f>(IF('Daily HLP'!P22&gt;0,'Daily HLP'!P22,0))</f>
        <v>257</v>
      </c>
      <c r="J20" s="1158">
        <v>118</v>
      </c>
      <c r="K20" s="1232">
        <f>Occupancy!G20</f>
        <v>106</v>
      </c>
      <c r="L20" s="1157">
        <f>Occupancy!F20</f>
        <v>364</v>
      </c>
      <c r="M20" s="1159" t="e">
        <f>E20*F20+G20*H20+#REF!*#REF!+I20*J20</f>
        <v>#REF!</v>
      </c>
    </row>
    <row r="21" spans="1:13">
      <c r="A21" s="1154" t="s">
        <v>299</v>
      </c>
      <c r="B21" s="1155">
        <f t="shared" si="0"/>
        <v>20</v>
      </c>
      <c r="C21" s="1155">
        <v>7</v>
      </c>
      <c r="D21" s="1156">
        <v>2021</v>
      </c>
      <c r="E21" s="1157">
        <f>(IF('Daily HLP'!I23&gt;0,'Daily HLP'!I23,0))</f>
        <v>22217.270000000019</v>
      </c>
      <c r="F21" s="1158">
        <v>9</v>
      </c>
      <c r="G21" s="1158">
        <f>(IF('Daily HLP'!M23&gt;0,'Daily HLP'!M23,0))</f>
        <v>465</v>
      </c>
      <c r="H21" s="1158">
        <v>52</v>
      </c>
      <c r="I21" s="1158">
        <f>(IF('Daily HLP'!P23&gt;0,'Daily HLP'!P23,0))</f>
        <v>143</v>
      </c>
      <c r="J21" s="1158">
        <v>118</v>
      </c>
      <c r="K21" s="1232">
        <f>Occupancy!G21</f>
        <v>135</v>
      </c>
      <c r="L21" s="1157">
        <f>Occupancy!F21</f>
        <v>484</v>
      </c>
      <c r="M21" s="1159" t="e">
        <f>E21*F21+G21*H21+#REF!*#REF!+I21*J21</f>
        <v>#REF!</v>
      </c>
    </row>
    <row r="22" spans="1:13">
      <c r="A22" s="1154" t="s">
        <v>299</v>
      </c>
      <c r="B22" s="1155">
        <f t="shared" si="0"/>
        <v>21</v>
      </c>
      <c r="C22" s="1155">
        <v>7</v>
      </c>
      <c r="D22" s="1156">
        <v>2021</v>
      </c>
      <c r="E22" s="1157">
        <f>(IF('Daily HLP'!I24&gt;0,'Daily HLP'!I24,0))</f>
        <v>21222.559999999998</v>
      </c>
      <c r="F22" s="1158">
        <v>9</v>
      </c>
      <c r="G22" s="1158">
        <f>(IF('Daily HLP'!M24&gt;0,'Daily HLP'!M24,0))</f>
        <v>926.71999999997206</v>
      </c>
      <c r="H22" s="1158">
        <v>52</v>
      </c>
      <c r="I22" s="1158">
        <f>(IF('Daily HLP'!P24&gt;0,'Daily HLP'!P24,0))</f>
        <v>175</v>
      </c>
      <c r="J22" s="1158">
        <v>118</v>
      </c>
      <c r="K22" s="1232">
        <f>Occupancy!G22</f>
        <v>159</v>
      </c>
      <c r="L22" s="1157">
        <f>Occupancy!F22</f>
        <v>398</v>
      </c>
      <c r="M22" s="1159" t="e">
        <f>E22*F22+G22*H22+#REF!*#REF!+I22*J22</f>
        <v>#REF!</v>
      </c>
    </row>
    <row r="23" spans="1:13">
      <c r="A23" s="1154" t="s">
        <v>299</v>
      </c>
      <c r="B23" s="1155">
        <f t="shared" si="0"/>
        <v>22</v>
      </c>
      <c r="C23" s="1155">
        <v>7</v>
      </c>
      <c r="D23" s="1156">
        <v>2021</v>
      </c>
      <c r="E23" s="1157">
        <f>(IF('Daily HLP'!I25&gt;0,'Daily HLP'!I25,0))</f>
        <v>21681.119999999995</v>
      </c>
      <c r="F23" s="1158">
        <v>9</v>
      </c>
      <c r="G23" s="1158">
        <f>(IF('Daily HLP'!M25&gt;0,'Daily HLP'!M25,0))</f>
        <v>730.32000000006519</v>
      </c>
      <c r="H23" s="1158">
        <v>52</v>
      </c>
      <c r="I23" s="1158">
        <f>(IF('Daily HLP'!P25&gt;0,'Daily HLP'!P25,0))</f>
        <v>187</v>
      </c>
      <c r="J23" s="1158">
        <v>118</v>
      </c>
      <c r="K23" s="1232">
        <f>Occupancy!G23</f>
        <v>147</v>
      </c>
      <c r="L23" s="1157">
        <f>Occupancy!F23</f>
        <v>439</v>
      </c>
      <c r="M23" s="1159" t="e">
        <f>E23*F23+G23*H23+#REF!*#REF!+I23*J23</f>
        <v>#REF!</v>
      </c>
    </row>
    <row r="24" spans="1:13">
      <c r="A24" s="1154" t="s">
        <v>299</v>
      </c>
      <c r="B24" s="1155">
        <f t="shared" si="0"/>
        <v>23</v>
      </c>
      <c r="C24" s="1155">
        <v>7</v>
      </c>
      <c r="D24" s="1156">
        <v>2021</v>
      </c>
      <c r="E24" s="1157">
        <f>(IF('Daily HLP'!I26&gt;0,'Daily HLP'!I26,0))</f>
        <v>22659.959999999963</v>
      </c>
      <c r="F24" s="1158">
        <v>9</v>
      </c>
      <c r="G24" s="1158">
        <f>(IF('Daily HLP'!M26&gt;0,'Daily HLP'!M26,0))</f>
        <v>871.31000000005588</v>
      </c>
      <c r="H24" s="1158">
        <v>52</v>
      </c>
      <c r="I24" s="1158">
        <f>(IF('Daily HLP'!P26&gt;0,'Daily HLP'!P26,0))</f>
        <v>170</v>
      </c>
      <c r="J24" s="1158">
        <v>118</v>
      </c>
      <c r="K24" s="1232">
        <f>Occupancy!G24</f>
        <v>129</v>
      </c>
      <c r="L24" s="1157">
        <f>Occupancy!F24</f>
        <v>443</v>
      </c>
      <c r="M24" s="1159" t="e">
        <f>E24*F24+G24*H24+#REF!*#REF!+I24*J24</f>
        <v>#REF!</v>
      </c>
    </row>
    <row r="25" spans="1:13">
      <c r="A25" s="1154" t="s">
        <v>299</v>
      </c>
      <c r="B25" s="1155">
        <f t="shared" si="0"/>
        <v>24</v>
      </c>
      <c r="C25" s="1155">
        <v>7</v>
      </c>
      <c r="D25" s="1156">
        <v>2021</v>
      </c>
      <c r="E25" s="1157">
        <f>(IF('Daily HLP'!I27&gt;0,'Daily HLP'!I27,0))</f>
        <v>22644.090000000026</v>
      </c>
      <c r="F25" s="1158">
        <v>9</v>
      </c>
      <c r="G25" s="1158">
        <f>(IF('Daily HLP'!M27&gt;0,'Daily HLP'!M27,0))</f>
        <v>866.64999999990687</v>
      </c>
      <c r="H25" s="1158">
        <v>52</v>
      </c>
      <c r="I25" s="1158">
        <f>(IF('Daily HLP'!P27&gt;0,'Daily HLP'!P27,0))</f>
        <v>174</v>
      </c>
      <c r="J25" s="1158">
        <v>118</v>
      </c>
      <c r="K25" s="1232">
        <f>Occupancy!G25</f>
        <v>141</v>
      </c>
      <c r="L25" s="1157">
        <f>Occupancy!F25</f>
        <v>531</v>
      </c>
      <c r="M25" s="1159" t="e">
        <f>E25*F25+G25*H25+#REF!*#REF!+I25*J25</f>
        <v>#REF!</v>
      </c>
    </row>
    <row r="26" spans="1:13">
      <c r="A26" s="1154" t="s">
        <v>299</v>
      </c>
      <c r="B26" s="1155">
        <f>B25+1</f>
        <v>25</v>
      </c>
      <c r="C26" s="1155">
        <v>7</v>
      </c>
      <c r="D26" s="1156">
        <v>2021</v>
      </c>
      <c r="E26" s="1157">
        <f>(IF('Daily HLP'!I28&gt;0,'Daily HLP'!I28,0))</f>
        <v>23122</v>
      </c>
      <c r="F26" s="1158">
        <v>9</v>
      </c>
      <c r="G26" s="1158">
        <f>(IF('Daily HLP'!M28&gt;0,'Daily HLP'!M28,0))</f>
        <v>892</v>
      </c>
      <c r="H26" s="1158">
        <v>52</v>
      </c>
      <c r="I26" s="1158">
        <f>(IF('Daily HLP'!P28&gt;0,'Daily HLP'!P28,0))</f>
        <v>222</v>
      </c>
      <c r="J26" s="1158">
        <v>118</v>
      </c>
      <c r="K26" s="1232">
        <f>Occupancy!G26</f>
        <v>189</v>
      </c>
      <c r="L26" s="1157">
        <f>Occupancy!F26</f>
        <v>573</v>
      </c>
      <c r="M26" s="1159" t="e">
        <f>E26*F26+G26*H26+#REF!*#REF!+I26*J26</f>
        <v>#REF!</v>
      </c>
    </row>
    <row r="27" spans="1:13">
      <c r="A27" s="1154" t="s">
        <v>299</v>
      </c>
      <c r="B27" s="1155">
        <f t="shared" si="0"/>
        <v>26</v>
      </c>
      <c r="C27" s="1155">
        <v>7</v>
      </c>
      <c r="D27" s="1156">
        <v>2021</v>
      </c>
      <c r="E27" s="1157">
        <f>(IF('Daily HLP'!I29&gt;0,'Daily HLP'!I29,0))</f>
        <v>22721</v>
      </c>
      <c r="F27" s="1158">
        <v>9</v>
      </c>
      <c r="G27" s="1158">
        <f>(IF('Daily HLP'!M29&gt;0,'Daily HLP'!M29,0))</f>
        <v>754</v>
      </c>
      <c r="H27" s="1158">
        <v>52</v>
      </c>
      <c r="I27" s="1158">
        <f>(IF('Daily HLP'!P29&gt;0,'Daily HLP'!P29,0))</f>
        <v>185</v>
      </c>
      <c r="J27" s="1158">
        <v>118</v>
      </c>
      <c r="K27" s="1232">
        <f>Occupancy!G27</f>
        <v>141</v>
      </c>
      <c r="L27" s="1157">
        <f>Occupancy!F27</f>
        <v>444</v>
      </c>
      <c r="M27" s="1159" t="e">
        <f>E27*F27+G27*H27+#REF!*#REF!+I27*J27</f>
        <v>#REF!</v>
      </c>
    </row>
    <row r="28" spans="1:13">
      <c r="A28" s="1154" t="s">
        <v>299</v>
      </c>
      <c r="B28" s="1155">
        <f t="shared" si="0"/>
        <v>27</v>
      </c>
      <c r="C28" s="1155">
        <v>7</v>
      </c>
      <c r="D28" s="1156">
        <v>2021</v>
      </c>
      <c r="E28" s="1157">
        <f>(IF('Daily HLP'!I30&gt;0,'Daily HLP'!I30,0))</f>
        <v>21225</v>
      </c>
      <c r="F28" s="1158">
        <v>9</v>
      </c>
      <c r="G28" s="1158">
        <f>(IF('Daily HLP'!M30&gt;0,'Daily HLP'!M30,0))</f>
        <v>794</v>
      </c>
      <c r="H28" s="1158">
        <v>52</v>
      </c>
      <c r="I28" s="1158">
        <f>(IF('Daily HLP'!P30&gt;0,'Daily HLP'!P30,0))</f>
        <v>175</v>
      </c>
      <c r="J28" s="1158">
        <v>118</v>
      </c>
      <c r="K28" s="1232">
        <f>Occupancy!G28</f>
        <v>151</v>
      </c>
      <c r="L28" s="1157">
        <f>Occupancy!F28</f>
        <v>369</v>
      </c>
      <c r="M28" s="1159" t="e">
        <f>E28*F28+G28*H28+#REF!*#REF!+I28*J28</f>
        <v>#REF!</v>
      </c>
    </row>
    <row r="29" spans="1:13">
      <c r="A29" s="1154" t="s">
        <v>299</v>
      </c>
      <c r="B29" s="1155">
        <f t="shared" si="0"/>
        <v>28</v>
      </c>
      <c r="C29" s="1155">
        <v>7</v>
      </c>
      <c r="D29" s="1156">
        <v>2021</v>
      </c>
      <c r="E29" s="1157">
        <f>(IF('Daily HLP'!I31&gt;0,'Daily HLP'!I31,0))</f>
        <v>21058</v>
      </c>
      <c r="F29" s="1158">
        <v>9</v>
      </c>
      <c r="G29" s="1158">
        <f>(IF('Daily HLP'!M31&gt;0,'Daily HLP'!M31,0))</f>
        <v>691</v>
      </c>
      <c r="H29" s="1158">
        <v>52</v>
      </c>
      <c r="I29" s="1158">
        <f>(IF('Daily HLP'!P31&gt;0,'Daily HLP'!P31,0))</f>
        <v>126</v>
      </c>
      <c r="J29" s="1158">
        <v>118</v>
      </c>
      <c r="K29" s="1232">
        <f>Occupancy!G29</f>
        <v>142</v>
      </c>
      <c r="L29" s="1157">
        <f>Occupancy!F29</f>
        <v>421</v>
      </c>
      <c r="M29" s="1159" t="e">
        <f>E29*F29+G29*H29+#REF!*#REF!+I29*J29</f>
        <v>#REF!</v>
      </c>
    </row>
    <row r="30" spans="1:13">
      <c r="A30" s="1154" t="s">
        <v>299</v>
      </c>
      <c r="B30" s="1155">
        <f t="shared" si="0"/>
        <v>29</v>
      </c>
      <c r="C30" s="1155">
        <v>7</v>
      </c>
      <c r="D30" s="1156">
        <v>2021</v>
      </c>
      <c r="E30" s="1157">
        <f>(IF('Daily HLP'!I32&gt;0,'Daily HLP'!I32,0))</f>
        <v>23083</v>
      </c>
      <c r="F30" s="1158">
        <v>9</v>
      </c>
      <c r="G30" s="1158">
        <f>(IF('Daily HLP'!M32&gt;0,'Daily HLP'!M32,0))</f>
        <v>988</v>
      </c>
      <c r="H30" s="1158">
        <v>52</v>
      </c>
      <c r="I30" s="1158">
        <f>(IF('Daily HLP'!P32&gt;0,'Daily HLP'!P32,0))</f>
        <v>204</v>
      </c>
      <c r="J30" s="1158">
        <v>118</v>
      </c>
      <c r="K30" s="1232">
        <f>Occupancy!G30</f>
        <v>166</v>
      </c>
      <c r="L30" s="1157">
        <f>Occupancy!F30</f>
        <v>567</v>
      </c>
      <c r="M30" s="1159" t="e">
        <f>E30*F30+G30*H30+#REF!*#REF!+I30*J30</f>
        <v>#REF!</v>
      </c>
    </row>
    <row r="31" spans="1:13">
      <c r="A31" s="1154" t="s">
        <v>299</v>
      </c>
      <c r="B31" s="1155">
        <f t="shared" si="0"/>
        <v>30</v>
      </c>
      <c r="C31" s="1155">
        <v>7</v>
      </c>
      <c r="D31" s="1156">
        <v>2021</v>
      </c>
      <c r="E31" s="1157">
        <f>(IF('Daily HLP'!I33&gt;0,'Daily HLP'!I33,0))</f>
        <v>22284</v>
      </c>
      <c r="F31" s="1158">
        <v>9</v>
      </c>
      <c r="G31" s="1158">
        <f>(IF('Daily HLP'!M33&gt;0,'Daily HLP'!M33,0))</f>
        <v>921</v>
      </c>
      <c r="H31" s="1158">
        <v>52</v>
      </c>
      <c r="I31" s="1158">
        <f>(IF('Daily HLP'!P33&gt;0,'Daily HLP'!P33,0))</f>
        <v>212</v>
      </c>
      <c r="J31" s="1158">
        <v>118</v>
      </c>
      <c r="K31" s="1232">
        <f>Occupancy!G31</f>
        <v>158</v>
      </c>
      <c r="L31" s="1157">
        <f>Occupancy!F31</f>
        <v>536</v>
      </c>
      <c r="M31" s="1159" t="e">
        <f>E31*F31+G31*H31+#REF!*#REF!+I31*J31</f>
        <v>#REF!</v>
      </c>
    </row>
    <row r="32" spans="1:13" s="1157" customFormat="1">
      <c r="A32" s="1154" t="s">
        <v>299</v>
      </c>
      <c r="B32" s="1155">
        <f t="shared" si="0"/>
        <v>31</v>
      </c>
      <c r="C32" s="1155">
        <v>7</v>
      </c>
      <c r="D32" s="1156">
        <v>2021</v>
      </c>
      <c r="E32" s="1157">
        <f>(IF('Daily HLP'!I34&gt;0,'Daily HLP'!I34,0))</f>
        <v>23292</v>
      </c>
      <c r="F32" s="1158">
        <v>10</v>
      </c>
      <c r="G32" s="1158">
        <f>(IF('Daily HLP'!M34&gt;0,'Daily HLP'!M34,0))</f>
        <v>928</v>
      </c>
      <c r="H32" s="1158">
        <v>52</v>
      </c>
      <c r="I32" s="1158">
        <f>(IF('Daily HLP'!P34&gt;0,'Daily HLP'!P34,0))</f>
        <v>223</v>
      </c>
      <c r="J32" s="1158">
        <v>118</v>
      </c>
      <c r="K32" s="1232">
        <f>Occupancy!G32</f>
        <v>186</v>
      </c>
      <c r="L32" s="1157">
        <f>Occupancy!F32</f>
        <v>696</v>
      </c>
      <c r="M32" s="1160"/>
    </row>
    <row r="33" spans="1:13" s="1157" customFormat="1">
      <c r="A33" s="1161"/>
      <c r="B33" s="1155"/>
      <c r="C33" s="1155"/>
      <c r="D33" s="1156"/>
      <c r="F33" s="1158"/>
      <c r="G33" s="1158"/>
      <c r="H33" s="1158"/>
      <c r="I33" s="1158"/>
      <c r="J33" s="1158"/>
      <c r="M33" s="1160"/>
    </row>
    <row r="34" spans="1:13" s="1157" customFormat="1">
      <c r="A34" s="1161"/>
      <c r="B34" s="1155"/>
      <c r="C34" s="1155"/>
      <c r="D34" s="1156"/>
      <c r="F34" s="1158"/>
      <c r="G34" s="1158"/>
      <c r="H34" s="1158"/>
      <c r="I34" s="1158"/>
      <c r="J34" s="1158"/>
      <c r="M34" s="1160"/>
    </row>
    <row r="35" spans="1:13" s="1157" customFormat="1">
      <c r="A35" s="1161"/>
      <c r="B35" s="1155"/>
      <c r="C35" s="1155"/>
      <c r="D35" s="1156"/>
      <c r="F35" s="1158"/>
      <c r="G35" s="1158"/>
      <c r="H35" s="1158"/>
      <c r="I35" s="1158"/>
      <c r="J35" s="1158"/>
      <c r="M35" s="1160"/>
    </row>
    <row r="36" spans="1:13" s="1157" customFormat="1">
      <c r="A36" s="1161"/>
      <c r="B36" s="1155"/>
      <c r="C36" s="1155"/>
      <c r="D36" s="1156"/>
      <c r="F36" s="1158"/>
      <c r="G36" s="1158"/>
      <c r="H36" s="1158"/>
      <c r="I36" s="1158"/>
      <c r="J36" s="1158"/>
      <c r="M36" s="1160"/>
    </row>
    <row r="37" spans="1:13" s="1157" customFormat="1">
      <c r="A37" s="1161"/>
      <c r="B37" s="1155"/>
      <c r="C37" s="1155"/>
      <c r="D37" s="1156"/>
      <c r="F37" s="1158"/>
      <c r="G37" s="1158"/>
      <c r="H37" s="1158"/>
      <c r="I37" s="1158"/>
      <c r="J37" s="1158"/>
      <c r="M37" s="1160"/>
    </row>
    <row r="38" spans="1:13" s="1157" customFormat="1">
      <c r="A38" s="1161"/>
      <c r="B38" s="1155"/>
      <c r="C38" s="1155"/>
      <c r="D38" s="1156"/>
      <c r="F38" s="1158"/>
      <c r="G38" s="1158"/>
      <c r="H38" s="1158"/>
      <c r="I38" s="1158"/>
      <c r="J38" s="1158"/>
      <c r="M38" s="1160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1273" customWidth="1"/>
    <col min="2" max="3" width="9" style="1277" customWidth="1"/>
    <col min="4" max="4" width="10.44140625" style="1277" customWidth="1"/>
    <col min="5" max="29" width="9.77734375" style="1293" customWidth="1"/>
    <col min="30" max="30" width="9" style="1293"/>
    <col min="31" max="31" width="9" style="1294"/>
    <col min="32" max="32" width="9" style="1293"/>
    <col min="33" max="39" width="9" style="1295"/>
    <col min="40" max="40" width="9" style="1367"/>
    <col min="41" max="49" width="9" style="1295"/>
    <col min="50" max="58" width="9" style="1367"/>
    <col min="59" max="65" width="9" style="1295"/>
    <col min="66" max="16384" width="9" style="1276"/>
  </cols>
  <sheetData>
    <row r="1" spans="1:65" s="1273" customFormat="1" ht="60" customHeight="1">
      <c r="A1" s="1271" t="s">
        <v>288</v>
      </c>
      <c r="B1" s="1272" t="s">
        <v>289</v>
      </c>
      <c r="C1" s="1272" t="s">
        <v>290</v>
      </c>
      <c r="D1" s="1272" t="s">
        <v>291</v>
      </c>
      <c r="E1" s="1287" t="str">
        <f>'Section Load'!F4</f>
        <v>HVAC</v>
      </c>
      <c r="F1" s="1287" t="str">
        <f>'Section Load'!G4</f>
        <v>Fire &amp; Emergency PP</v>
      </c>
      <c r="G1" s="1287" t="str">
        <f>'Section Load'!H4</f>
        <v>Main PP</v>
      </c>
      <c r="H1" s="1287" t="str">
        <f>'Section Load'!I4</f>
        <v>Lighting PP</v>
      </c>
      <c r="I1" s="1287" t="str">
        <f>'Section Load'!J4</f>
        <v>CH-1+ CH2+CH3+CH4</v>
      </c>
      <c r="J1" s="1287" t="str">
        <f>'Section Load'!K4</f>
        <v>Chilled water Pump</v>
      </c>
      <c r="K1" s="1287" t="str">
        <f>'Section Load'!L4</f>
        <v>Ball Room-1</v>
      </c>
      <c r="L1" s="1287" t="str">
        <f>'Section Load'!M4</f>
        <v>Ball Room-2</v>
      </c>
      <c r="M1" s="1287" t="str">
        <f>'Section Load'!N4</f>
        <v>MK-1</v>
      </c>
      <c r="N1" s="1287" t="str">
        <f>'Section Load'!O4</f>
        <v>MK-2</v>
      </c>
      <c r="O1" s="1287" t="str">
        <f>'Section Load'!P4</f>
        <v>Prato</v>
      </c>
      <c r="P1" s="1287" t="str">
        <f>'Section Load'!Q4</f>
        <v>San- Qi Indian</v>
      </c>
      <c r="Q1" s="1287" t="str">
        <f>'Section Load'!R4</f>
        <v>San- Qi Japanese</v>
      </c>
      <c r="R1" s="1287" t="str">
        <f>'Section Load'!S4</f>
        <v>The club</v>
      </c>
      <c r="S1" s="1287" t="str">
        <f>'Section Load'!T4</f>
        <v>AER</v>
      </c>
      <c r="T1" s="1287" t="str">
        <f>'Section Load'!U4</f>
        <v>COLD ROOM'S</v>
      </c>
      <c r="U1" s="1287" t="str">
        <f>'Section Load'!V4</f>
        <v>Ball Room 1</v>
      </c>
      <c r="V1" s="1287" t="str">
        <f>'Section Load'!W4</f>
        <v>Ball Room 2</v>
      </c>
      <c r="W1" s="1287" t="str">
        <f>'Section Load'!X4</f>
        <v>B1 Laundry</v>
      </c>
      <c r="X1" s="1287" t="str">
        <f>'Section Load'!Y4</f>
        <v>B2 Laundry</v>
      </c>
      <c r="Y1" s="1287" t="str">
        <f>'Section Load'!Z4</f>
        <v>STP</v>
      </c>
      <c r="Z1" s="1287" t="str">
        <f>'Section Load'!AA4</f>
        <v>MOCK Up Room</v>
      </c>
      <c r="AA1" s="1287" t="str">
        <f>'Section Load'!AB4</f>
        <v>27th Floor</v>
      </c>
      <c r="AB1" s="1287" t="str">
        <f>'Section Load'!AC4</f>
        <v>Physic57</v>
      </c>
      <c r="AC1" s="1287" t="str">
        <f>'Section Load'!AD4</f>
        <v>Pinoor Legal- Power+lighting</v>
      </c>
      <c r="AD1" s="1287" t="str">
        <f>'Section Load'!AE4</f>
        <v>2nd floor plant room</v>
      </c>
      <c r="AE1" s="1287" t="str">
        <f>'Section Load'!AF4</f>
        <v>5th Floor</v>
      </c>
      <c r="AF1" s="1287" t="str">
        <f>'Section Load'!AG4</f>
        <v>5th Floor</v>
      </c>
      <c r="AG1" s="1287" t="str">
        <f>'Section Load'!AH4</f>
        <v>12th Floor</v>
      </c>
      <c r="AH1" s="1287" t="str">
        <f>'Section Load'!AI4</f>
        <v>20th Floor</v>
      </c>
      <c r="AI1" s="1287" t="str">
        <f>'Section Load'!AJ4</f>
        <v>27th Floor</v>
      </c>
      <c r="AJ1" s="1287" t="str">
        <f>'Section Load'!AK4</f>
        <v>34th Floor</v>
      </c>
      <c r="AK1" s="1287" t="str">
        <f>'Section Load'!AL4</f>
        <v>Sanqi</v>
      </c>
      <c r="AL1" s="1287" t="str">
        <f>'Section Load'!AM4</f>
        <v>Cooling Tower</v>
      </c>
      <c r="AM1" s="1288" t="s">
        <v>312</v>
      </c>
      <c r="AN1" s="1365" t="s">
        <v>205</v>
      </c>
      <c r="AO1" s="1288" t="s">
        <v>207</v>
      </c>
      <c r="AP1" s="1288" t="s">
        <v>208</v>
      </c>
      <c r="AQ1" s="1288" t="s">
        <v>209</v>
      </c>
      <c r="AR1" s="1288" t="s">
        <v>210</v>
      </c>
      <c r="AS1" s="1288" t="s">
        <v>211</v>
      </c>
      <c r="AT1" s="1288" t="s">
        <v>212</v>
      </c>
      <c r="AU1" s="1288" t="s">
        <v>217</v>
      </c>
      <c r="AV1" s="1288" t="s">
        <v>76</v>
      </c>
      <c r="AW1" s="1288" t="s">
        <v>77</v>
      </c>
      <c r="AX1" s="1365" t="s">
        <v>218</v>
      </c>
      <c r="AY1" s="1365" t="s">
        <v>219</v>
      </c>
      <c r="AZ1" s="1365" t="s">
        <v>220</v>
      </c>
      <c r="BA1" s="1365" t="s">
        <v>222</v>
      </c>
      <c r="BB1" s="1365" t="s">
        <v>223</v>
      </c>
      <c r="BC1" s="1365" t="s">
        <v>336</v>
      </c>
      <c r="BD1" s="1365" t="s">
        <v>334</v>
      </c>
      <c r="BE1" s="1365" t="s">
        <v>313</v>
      </c>
      <c r="BF1" s="1365" t="s">
        <v>314</v>
      </c>
      <c r="BG1" s="1289" t="str">
        <f>'Section Load'!AN4</f>
        <v>MGL</v>
      </c>
      <c r="BH1" s="1289" t="str">
        <f>'Section Load'!AO4</f>
        <v>HWG</v>
      </c>
      <c r="BI1" s="1289" t="str">
        <f>'Section Load'!AP4</f>
        <v>Prato</v>
      </c>
      <c r="BJ1" s="1289" t="str">
        <f>'Section Load'!AQ4</f>
        <v>BR-1</v>
      </c>
      <c r="BK1" s="1289" t="str">
        <f>'Section Load'!AR4</f>
        <v>SanQi IND</v>
      </c>
      <c r="BL1" s="1289" t="str">
        <f>'Section Load'!AS4</f>
        <v>SanQi JPN</v>
      </c>
      <c r="BM1" s="1289" t="str">
        <f>'Section Load'!AT4</f>
        <v>Boiler</v>
      </c>
    </row>
    <row r="2" spans="1:65" ht="15" customHeight="1">
      <c r="A2" s="1274" t="s">
        <v>299</v>
      </c>
      <c r="B2" s="1275">
        <v>1</v>
      </c>
      <c r="C2" s="1275">
        <v>7</v>
      </c>
      <c r="D2" s="1275">
        <v>2021</v>
      </c>
      <c r="E2" s="1290">
        <f>(IF('Section Load'!F5&gt;0,'Section Load'!F5,0))</f>
        <v>2908.2299999999814</v>
      </c>
      <c r="F2" s="1290">
        <f>(IF('Section Load'!G5&gt;0,'Section Load'!G5,0))</f>
        <v>1476.320000000007</v>
      </c>
      <c r="G2" s="1290">
        <f>(IF('Section Load'!H5&gt;0,'Section Load'!H5,0))</f>
        <v>1714.9899999999907</v>
      </c>
      <c r="H2" s="1290">
        <f>(IF('Section Load'!I5&gt;0,'Section Load'!I5,0))</f>
        <v>3790.0200000000186</v>
      </c>
      <c r="I2" s="1290">
        <f>(IF('Section Load'!J5&gt;0,'Section Load'!J5,0))</f>
        <v>7659.8599999999569</v>
      </c>
      <c r="J2" s="1290">
        <f>(IF('Section Load'!K5&gt;0,'Section Load'!K5,0))</f>
        <v>2635</v>
      </c>
      <c r="K2" s="1290">
        <f>(IF('Section Load'!L5&gt;0,'Section Load'!L5,0))</f>
        <v>1429.3499999999767</v>
      </c>
      <c r="L2" s="1290">
        <f>(IF('Section Load'!M5&gt;0,'Section Load'!M5,0))</f>
        <v>947.75</v>
      </c>
      <c r="M2" s="1290">
        <f>(IF('Section Load'!N5&gt;0,'Section Load'!N5,0))</f>
        <v>9</v>
      </c>
      <c r="N2" s="1290">
        <f>(IF('Section Load'!O5&gt;0,'Section Load'!O5,0))</f>
        <v>2</v>
      </c>
      <c r="O2" s="1290">
        <f>(IF('Section Load'!P5&gt;0,'Section Load'!P5,0))</f>
        <v>1.6999999999970896</v>
      </c>
      <c r="P2" s="1290">
        <f>(IF('Section Load'!Q5&gt;0,'Section Load'!Q5,0))</f>
        <v>143.18000000000029</v>
      </c>
      <c r="Q2" s="1290">
        <f>(IF('Section Load'!R5&gt;0,'Section Load'!R5,0))</f>
        <v>69.3799999999992</v>
      </c>
      <c r="R2" s="1290">
        <f>(IF('Section Load'!S5&gt;0,'Section Load'!S5,0))</f>
        <v>53</v>
      </c>
      <c r="S2" s="1290">
        <f>(IF('Section Load'!T5&gt;0,'Section Load'!T5,0))</f>
        <v>114</v>
      </c>
      <c r="T2" s="1290">
        <f>(IF('Section Load'!U5&gt;0,'Section Load'!U5,0))</f>
        <v>153</v>
      </c>
      <c r="U2" s="1290">
        <f>(IF('Section Load'!V5&gt;0,'Section Load'!V5,0))</f>
        <v>409.92000000004191</v>
      </c>
      <c r="V2" s="1290">
        <f>(IF('Section Load'!W5&gt;0,'Section Load'!W5,0))</f>
        <v>131.64000000001397</v>
      </c>
      <c r="W2" s="1290">
        <f>(IF('Section Load'!X5&gt;0,'Section Load'!X5,0))</f>
        <v>24.899999999994179</v>
      </c>
      <c r="X2" s="1290">
        <f>(IF('Section Load'!Y5&gt;0,'Section Load'!Y5,0))</f>
        <v>214.19999999999709</v>
      </c>
      <c r="Y2" s="1290">
        <f>(IF('Section Load'!Z5&gt;0,'Section Load'!Z5,0))</f>
        <v>351</v>
      </c>
      <c r="Z2" s="1290">
        <f>(IF('Section Load'!AA5&gt;0,'Section Load'!AA5,0))</f>
        <v>22.880000000004657</v>
      </c>
      <c r="AA2" s="1290">
        <f>(IF('Section Load'!AB5&gt;0,'Section Load'!AB5,0))</f>
        <v>33.30000000000291</v>
      </c>
      <c r="AB2" s="1290">
        <f>(IF('Section Load'!AC5&gt;0,'Section Load'!AC5,0))</f>
        <v>137.05999999999767</v>
      </c>
      <c r="AC2" s="1290">
        <f>(IF('Section Load'!AD5&gt;0,'Section Load'!AD5,0))</f>
        <v>39.79999999999427</v>
      </c>
      <c r="AD2" s="1290">
        <f>(IF('Section Load'!AE5&gt;0,'Section Load'!AE5,0))</f>
        <v>0</v>
      </c>
      <c r="AE2" s="1290">
        <f>(IF('Section Load'!AF5&gt;0,'Section Load'!AF5,0))</f>
        <v>0</v>
      </c>
      <c r="AF2" s="1290">
        <f>(IF('Section Load'!AG5&gt;0,'Section Load'!AG5,0))</f>
        <v>372.89000000001397</v>
      </c>
      <c r="AG2" s="1290">
        <f>(IF('Section Load'!AH5&gt;0,'Section Load'!AH5,0))</f>
        <v>431.97000000000116</v>
      </c>
      <c r="AH2" s="1290">
        <f>(IF('Section Load'!AI5&gt;0,'Section Load'!AI5,0))</f>
        <v>433.91999999999825</v>
      </c>
      <c r="AI2" s="1290">
        <f>(IF('Section Load'!AJ5&gt;0,'Section Load'!AJ5,0))</f>
        <v>472.40999999997439</v>
      </c>
      <c r="AJ2" s="1290">
        <f>(IF('Section Load'!AK5&gt;0,'Section Load'!AK5,0))</f>
        <v>0</v>
      </c>
      <c r="AK2" s="1290">
        <f>(IF('Section Load'!AL5&gt;0,'Section Load'!AL5,0))</f>
        <v>236.61999999999534</v>
      </c>
      <c r="AL2" s="1290">
        <f>(IF('Section Load'!AM5&gt;0,'Section Load'!AM5,0))</f>
        <v>816</v>
      </c>
      <c r="AM2" s="1291">
        <f>(IF('Water Report'!$D$7&gt;0,'Water Report'!$D$7,0))</f>
        <v>89</v>
      </c>
      <c r="AN2" s="1291">
        <f>(IF('Water Report'!$D$8&gt;0,'Water Report'!$D$8,0))</f>
        <v>97</v>
      </c>
      <c r="AO2" s="1291">
        <f>(IF('Water Report'!$D$9&gt;0,'Water Report'!$D$9,0))</f>
        <v>86</v>
      </c>
      <c r="AP2" s="1291">
        <f>(IF('Water Report'!$D$10&gt;0,'Water Report'!$D$10,0))</f>
        <v>17</v>
      </c>
      <c r="AQ2" s="1291">
        <f>(IF('Water Report'!$D$11&gt;0,'Water Report'!$D$11,0))</f>
        <v>18</v>
      </c>
      <c r="AR2" s="1291">
        <f>(IF('Water Report'!$D$13&gt;0,'Water Report'!$D$13,0))</f>
        <v>50</v>
      </c>
      <c r="AS2" s="1291">
        <f>(IF('Water Report'!$D$14&gt;0,'Water Report'!$D$14,0))</f>
        <v>6</v>
      </c>
      <c r="AT2" s="1291">
        <f>(IF('Water Report'!$D$15&gt;0,'Water Report'!$D$15,0))</f>
        <v>6</v>
      </c>
      <c r="AU2" s="1291">
        <f>(IF('Water Report'!$D$17&gt;0,'Water Report'!$D$17,0))</f>
        <v>0</v>
      </c>
      <c r="AV2" s="1291">
        <f>(IF('Water Report'!$D$18&gt;0,'Water Report'!$D$18,0))</f>
        <v>12</v>
      </c>
      <c r="AW2" s="1291">
        <f>(IF('Water Report'!$D$19&gt;0,'Water Report'!$D$19,0))</f>
        <v>5</v>
      </c>
      <c r="AX2" s="1366">
        <f>(IF('Water Report'!$D$21&gt;0,'Water Report'!$D$21,0))</f>
        <v>98</v>
      </c>
      <c r="AY2" s="1366">
        <f>(IF('Water Report'!$D$22&gt;0,'Water Report'!$D$22,0))</f>
        <v>40</v>
      </c>
      <c r="AZ2" s="1366">
        <f>(IF('Water Report'!$D$23&gt;0,'Water Report'!$D$23,0))</f>
        <v>0</v>
      </c>
      <c r="BA2" s="1366">
        <f>(IF('Water Report'!$D$14&gt;0,'Water Report'!$D$14,0))</f>
        <v>6</v>
      </c>
      <c r="BB2" s="1366">
        <f>(IF('Water Report'!$D$15&gt;0,'Water Report'!$D$15,0))</f>
        <v>6</v>
      </c>
      <c r="BC2" s="1366">
        <f>(IF('Water Report'!$D$13&gt;0,'Water Report'!$D$13,0))</f>
        <v>50</v>
      </c>
      <c r="BD2" s="1366">
        <f>(IF('Water Report'!$D$24&gt;0,'Water Report'!$D$24,0))</f>
        <v>154</v>
      </c>
      <c r="BE2" s="1366">
        <f>(IF('Water Report'!$D$25&gt;0,'Water Report'!$D$25,0))</f>
        <v>133</v>
      </c>
      <c r="BF2" s="1366">
        <f>(IF('Water Report'!$D$27&gt;0,'Water Report'!$D$27,0))</f>
        <v>148</v>
      </c>
      <c r="BG2" s="1292">
        <f>(IF('Section Load'!AN5&gt;0,'Section Load'!AN5,0))</f>
        <v>918.37800000002608</v>
      </c>
      <c r="BH2" s="1292">
        <f>(IF('Section Load'!AO5&gt;0,'Section Load'!AO5,0))</f>
        <v>269.55000000004657</v>
      </c>
      <c r="BI2" s="1292">
        <f>(IF('Section Load'!AP5&gt;0,'Section Load'!AP5,0))</f>
        <v>0</v>
      </c>
      <c r="BJ2" s="1292">
        <f>(IF('Section Load'!AQ5&gt;0,'Section Load'!AQ5,0))</f>
        <v>95.690000000002328</v>
      </c>
      <c r="BK2" s="1292">
        <f>(IF('Section Load'!AR5&gt;0,'Section Load'!AR5,0))</f>
        <v>33.200000000000728</v>
      </c>
      <c r="BL2" s="1292">
        <f>(IF('Section Load'!AS5&gt;0,'Section Load'!AS5,0))</f>
        <v>4.2999999999992724</v>
      </c>
      <c r="BM2" s="1292">
        <f>(IF('Section Load'!AT5&gt;0,'Section Load'!AT5,0))</f>
        <v>515.63799999997718</v>
      </c>
    </row>
    <row r="3" spans="1:65">
      <c r="A3" s="1274" t="s">
        <v>299</v>
      </c>
      <c r="B3" s="1275">
        <f>B2+1</f>
        <v>2</v>
      </c>
      <c r="C3" s="1275">
        <v>7</v>
      </c>
      <c r="D3" s="1275">
        <v>2021</v>
      </c>
      <c r="E3" s="1290">
        <f>(IF('Section Load'!F6&gt;0,'Section Load'!F6,0))</f>
        <v>2899.4000000000233</v>
      </c>
      <c r="F3" s="1290">
        <f>(IF('Section Load'!G6&gt;0,'Section Load'!G6,0))</f>
        <v>1439.8799999999756</v>
      </c>
      <c r="G3" s="1290">
        <f>(IF('Section Load'!H6&gt;0,'Section Load'!H6,0))</f>
        <v>1509.8399999999965</v>
      </c>
      <c r="H3" s="1290">
        <f>(IF('Section Load'!I6&gt;0,'Section Load'!I6,0))</f>
        <v>3743.4799999999814</v>
      </c>
      <c r="I3" s="1290">
        <f>(IF('Section Load'!J6&gt;0,'Section Load'!J6,0))</f>
        <v>6559.910000000069</v>
      </c>
      <c r="J3" s="1290">
        <f>(IF('Section Load'!K6&gt;0,'Section Load'!K6,0))</f>
        <v>2514.3999999999069</v>
      </c>
      <c r="K3" s="1290">
        <f>(IF('Section Load'!L6&gt;0,'Section Load'!L6,0))</f>
        <v>1047.9200000000419</v>
      </c>
      <c r="L3" s="1290">
        <f>(IF('Section Load'!M6&gt;0,'Section Load'!M6,0))</f>
        <v>884.90000000000146</v>
      </c>
      <c r="M3" s="1290">
        <f>(IF('Section Load'!N6&gt;0,'Section Load'!N6,0))</f>
        <v>13</v>
      </c>
      <c r="N3" s="1290">
        <f>(IF('Section Load'!O6&gt;0,'Section Load'!O6,0))</f>
        <v>1</v>
      </c>
      <c r="O3" s="1290">
        <f>(IF('Section Load'!P6&gt;0,'Section Load'!P6,0))</f>
        <v>1</v>
      </c>
      <c r="P3" s="1290">
        <f>(IF('Section Load'!Q6&gt;0,'Section Load'!Q6,0))</f>
        <v>152.95999999999913</v>
      </c>
      <c r="Q3" s="1290">
        <f>(IF('Section Load'!R6&gt;0,'Section Load'!R6,0))</f>
        <v>62.480000000001382</v>
      </c>
      <c r="R3" s="1290">
        <f>(IF('Section Load'!S6&gt;0,'Section Load'!S6,0))</f>
        <v>58</v>
      </c>
      <c r="S3" s="1290">
        <f>(IF('Section Load'!T6&gt;0,'Section Load'!T6,0))</f>
        <v>132</v>
      </c>
      <c r="T3" s="1290">
        <f>(IF('Section Load'!U6&gt;0,'Section Load'!U6,0))</f>
        <v>265</v>
      </c>
      <c r="U3" s="1290">
        <f>(IF('Section Load'!V6&gt;0,'Section Load'!V6,0))</f>
        <v>417.03999999992084</v>
      </c>
      <c r="V3" s="1290">
        <f>(IF('Section Load'!W6&gt;0,'Section Load'!W6,0))</f>
        <v>172.28000000002794</v>
      </c>
      <c r="W3" s="1290">
        <f>(IF('Section Load'!X6&gt;0,'Section Load'!X6,0))</f>
        <v>12.380000000004657</v>
      </c>
      <c r="X3" s="1290">
        <f>(IF('Section Load'!Y6&gt;0,'Section Load'!Y6,0))</f>
        <v>0.71000000000640284</v>
      </c>
      <c r="Y3" s="1290">
        <f>(IF('Section Load'!Z6&gt;0,'Section Load'!Z6,0))</f>
        <v>277</v>
      </c>
      <c r="Z3" s="1290">
        <f>(IF('Section Load'!AA6&gt;0,'Section Load'!AA6,0))</f>
        <v>16.71999999997206</v>
      </c>
      <c r="AA3" s="1290">
        <f>(IF('Section Load'!AB6&gt;0,'Section Load'!AB6,0))</f>
        <v>36.5</v>
      </c>
      <c r="AB3" s="1290">
        <f>(IF('Section Load'!AC6&gt;0,'Section Load'!AC6,0))</f>
        <v>163.67000000001281</v>
      </c>
      <c r="AC3" s="1290">
        <f>(IF('Section Load'!AD6&gt;0,'Section Load'!AD6,0))</f>
        <v>35.700000000008458</v>
      </c>
      <c r="AD3" s="1290">
        <f>(IF('Section Load'!AE6&gt;0,'Section Load'!AE6,0))</f>
        <v>0</v>
      </c>
      <c r="AE3" s="1290">
        <f>(IF('Section Load'!AF6&gt;0,'Section Load'!AF6,0))</f>
        <v>0</v>
      </c>
      <c r="AF3" s="1290">
        <f>(IF('Section Load'!AG6&gt;0,'Section Load'!AG6,0))</f>
        <v>375.4199999999837</v>
      </c>
      <c r="AG3" s="1290">
        <f>(IF('Section Load'!AH6&gt;0,'Section Load'!AH6,0))</f>
        <v>424.23999999999069</v>
      </c>
      <c r="AH3" s="1290">
        <f>(IF('Section Load'!AI6&gt;0,'Section Load'!AI6,0))</f>
        <v>424.19000000000233</v>
      </c>
      <c r="AI3" s="1290">
        <f>(IF('Section Load'!AJ6&gt;0,'Section Load'!AJ6,0))</f>
        <v>500.62000000005355</v>
      </c>
      <c r="AJ3" s="1290">
        <f>(IF('Section Load'!AK6&gt;0,'Section Load'!AK6,0))</f>
        <v>0</v>
      </c>
      <c r="AK3" s="1290">
        <f>(IF('Section Load'!AL6&gt;0,'Section Load'!AL6,0))</f>
        <v>241.7100000000064</v>
      </c>
      <c r="AL3" s="1290">
        <f>(IF('Section Load'!AM6&gt;0,'Section Load'!AM6,0))</f>
        <v>846</v>
      </c>
      <c r="AM3" s="1291">
        <f>(IF('Water Report'!$E$7&gt;0,'Water Report'!$E$7,0))</f>
        <v>88</v>
      </c>
      <c r="AN3" s="1291">
        <f>(IF('Water Report'!$E$8&gt;0,'Water Report'!$E$8,0))</f>
        <v>122</v>
      </c>
      <c r="AO3" s="1291">
        <f>(IF('Water Report'!$E$9&gt;0,'Water Report'!$E$9,0))</f>
        <v>100</v>
      </c>
      <c r="AP3" s="1291">
        <f>(IF('Water Report'!$E$10&gt;0,'Water Report'!$E$10,0))</f>
        <v>15</v>
      </c>
      <c r="AQ3" s="1291">
        <f>(IF('Water Report'!$E$11&gt;0,'Water Report'!$E$11,0))</f>
        <v>19</v>
      </c>
      <c r="AR3" s="1291">
        <f>(IF('Water Report'!$E$13&gt;0,'Water Report'!$E$13,0))</f>
        <v>40</v>
      </c>
      <c r="AS3" s="1291">
        <f>(IF('Water Report'!$E$14&gt;0,'Water Report'!$E$14,0))</f>
        <v>8</v>
      </c>
      <c r="AT3" s="1291">
        <f>(IF('Water Report'!$E$15&gt;0,'Water Report'!$E$15,0))</f>
        <v>5</v>
      </c>
      <c r="AU3" s="1291">
        <f>(IF('Water Report'!$E$17&gt;0,'Water Report'!$E$17,0))</f>
        <v>60</v>
      </c>
      <c r="AV3" s="1291">
        <f>(IF('Water Report'!$E$18&gt;0,'Water Report'!$E$18,0))</f>
        <v>0</v>
      </c>
      <c r="AW3" s="1291">
        <f>(IF('Water Report'!$E$19&gt;0,'Water Report'!$E$19,0))</f>
        <v>0</v>
      </c>
      <c r="AX3" s="1366">
        <f>(IF('Water Report'!$E$21&gt;0,'Water Report'!$E$21,0))</f>
        <v>64</v>
      </c>
      <c r="AY3" s="1366">
        <f>(IF('Water Report'!$E$22&gt;0,'Water Report'!$E$22,0))</f>
        <v>83</v>
      </c>
      <c r="AZ3" s="1366">
        <f>(IF('Water Report'!$E$23&gt;0,'Water Report'!$E$23,0))</f>
        <v>0</v>
      </c>
      <c r="BA3" s="1366">
        <f>(IF('Water Report'!$E$14&gt;0,'Water Report'!$E$14,0))</f>
        <v>8</v>
      </c>
      <c r="BB3" s="1366">
        <f>(IF('Water Report'!$E$15&gt;0,'Water Report'!$E$15,0))</f>
        <v>5</v>
      </c>
      <c r="BC3" s="1366">
        <f>(IF('Water Report'!$E$13&gt;0,'Water Report'!$E$13,0))</f>
        <v>40</v>
      </c>
      <c r="BD3" s="1366">
        <f>(IF('Water Report'!$E$24&gt;0,'Water Report'!$E$24,0))</f>
        <v>162</v>
      </c>
      <c r="BE3" s="1366">
        <f>(IF('Water Report'!$E$25&gt;0,'Water Report'!$E$25,0))</f>
        <v>147</v>
      </c>
      <c r="BF3" s="1366">
        <f>(IF('Water Report'!$E$27&gt;0,'Water Report'!$E$27,0))</f>
        <v>104</v>
      </c>
      <c r="BG3" s="1292">
        <f>(IF('Section Load'!AN6&gt;0,'Section Load'!AN6,0))</f>
        <v>510.87400000006892</v>
      </c>
      <c r="BH3" s="1292">
        <f>(IF('Section Load'!AO6&gt;0,'Section Load'!AO6,0))</f>
        <v>259.19999999995343</v>
      </c>
      <c r="BI3" s="1292">
        <f>(IF('Section Load'!AP6&gt;0,'Section Load'!AP6,0))</f>
        <v>0</v>
      </c>
      <c r="BJ3" s="1292">
        <f>(IF('Section Load'!AQ6&gt;0,'Section Load'!AQ6,0))</f>
        <v>98.730000000010477</v>
      </c>
      <c r="BK3" s="1292">
        <f>(IF('Section Load'!AR6&gt;0,'Section Load'!AR6,0))</f>
        <v>36.299999999999272</v>
      </c>
      <c r="BL3" s="1292">
        <f>(IF('Section Load'!AS6&gt;0,'Section Load'!AS6,0))</f>
        <v>2.6000000000003638</v>
      </c>
      <c r="BM3" s="1292">
        <f>(IF('Section Load'!AT6&gt;0,'Section Load'!AT6,0))</f>
        <v>114.04400000010537</v>
      </c>
    </row>
    <row r="4" spans="1:65">
      <c r="A4" s="1274" t="s">
        <v>299</v>
      </c>
      <c r="B4" s="1275">
        <f t="shared" ref="B4:B32" si="0">B3+1</f>
        <v>3</v>
      </c>
      <c r="C4" s="1275">
        <v>7</v>
      </c>
      <c r="D4" s="1275">
        <v>2021</v>
      </c>
      <c r="E4" s="1290">
        <f>(IF('Section Load'!F7&gt;0,'Section Load'!F7,0))</f>
        <v>3065.4000000000233</v>
      </c>
      <c r="F4" s="1290">
        <f>(IF('Section Load'!G7&gt;0,'Section Load'!G7,0))</f>
        <v>1600.140000000014</v>
      </c>
      <c r="G4" s="1290">
        <f>(IF('Section Load'!H7&gt;0,'Section Load'!H7,0))</f>
        <v>1669.2400000000198</v>
      </c>
      <c r="H4" s="1290">
        <f>(IF('Section Load'!I7&gt;0,'Section Load'!I7,0))</f>
        <v>3847.8400000000256</v>
      </c>
      <c r="I4" s="1290">
        <f>(IF('Section Load'!J7&gt;0,'Section Load'!J7,0))</f>
        <v>6902.2899999998917</v>
      </c>
      <c r="J4" s="1290">
        <f>(IF('Section Load'!K7&gt;0,'Section Load'!K7,0))</f>
        <v>2589.8000000000466</v>
      </c>
      <c r="K4" s="1290">
        <f>(IF('Section Load'!L7&gt;0,'Section Load'!L7,0))</f>
        <v>1085.7999999999302</v>
      </c>
      <c r="L4" s="1290">
        <f>(IF('Section Load'!M7&gt;0,'Section Load'!M7,0))</f>
        <v>680.21999999999753</v>
      </c>
      <c r="M4" s="1290">
        <f>(IF('Section Load'!N7&gt;0,'Section Load'!N7,0))</f>
        <v>13</v>
      </c>
      <c r="N4" s="1290">
        <f>(IF('Section Load'!O7&gt;0,'Section Load'!O7,0))</f>
        <v>2</v>
      </c>
      <c r="O4" s="1290">
        <f>(IF('Section Load'!P7&gt;0,'Section Load'!P7,0))</f>
        <v>1.1000000000058208</v>
      </c>
      <c r="P4" s="1290">
        <f>(IF('Section Load'!Q7&gt;0,'Section Load'!Q7,0))</f>
        <v>172.11000000000058</v>
      </c>
      <c r="Q4" s="1290">
        <f>(IF('Section Load'!R7&gt;0,'Section Load'!R7,0))</f>
        <v>68.260000000000218</v>
      </c>
      <c r="R4" s="1290">
        <f>(IF('Section Load'!S7&gt;0,'Section Load'!S7,0))</f>
        <v>55</v>
      </c>
      <c r="S4" s="1290">
        <f>(IF('Section Load'!T7&gt;0,'Section Load'!T7,0))</f>
        <v>140</v>
      </c>
      <c r="T4" s="1290">
        <f>(IF('Section Load'!U7&gt;0,'Section Load'!U7,0))</f>
        <v>37</v>
      </c>
      <c r="U4" s="1290">
        <f>(IF('Section Load'!V7&gt;0,'Section Load'!V7,0))</f>
        <v>423.35999999998603</v>
      </c>
      <c r="V4" s="1290">
        <f>(IF('Section Load'!W7&gt;0,'Section Load'!W7,0))</f>
        <v>163.11999999999534</v>
      </c>
      <c r="W4" s="1290">
        <f>(IF('Section Load'!X7&gt;0,'Section Load'!X7,0))</f>
        <v>28.130000000004657</v>
      </c>
      <c r="X4" s="1290">
        <f>(IF('Section Load'!Y7&gt;0,'Section Load'!Y7,0))</f>
        <v>218.60999999999331</v>
      </c>
      <c r="Y4" s="1290">
        <f>(IF('Section Load'!Z7&gt;0,'Section Load'!Z7,0))</f>
        <v>127</v>
      </c>
      <c r="Z4" s="1290">
        <f>(IF('Section Load'!AA7&gt;0,'Section Load'!AA7,0))</f>
        <v>16.440000000002328</v>
      </c>
      <c r="AA4" s="1290">
        <f>(IF('Section Load'!AB7&gt;0,'Section Load'!AB7,0))</f>
        <v>33.30000000000291</v>
      </c>
      <c r="AB4" s="1290">
        <f>(IF('Section Load'!AC7&gt;0,'Section Load'!AC7,0))</f>
        <v>120.92999999999302</v>
      </c>
      <c r="AC4" s="1290">
        <f>(IF('Section Load'!AD7&gt;0,'Section Load'!AD7,0))</f>
        <v>27.499999999997272</v>
      </c>
      <c r="AD4" s="1290">
        <f>(IF('Section Load'!AE7&gt;0,'Section Load'!AE7,0))</f>
        <v>0</v>
      </c>
      <c r="AE4" s="1290">
        <f>(IF('Section Load'!AF7&gt;0,'Section Load'!AF7,0))</f>
        <v>0</v>
      </c>
      <c r="AF4" s="1290">
        <f>(IF('Section Load'!AG7&gt;0,'Section Load'!AG7,0))</f>
        <v>378.98000000001048</v>
      </c>
      <c r="AG4" s="1290">
        <f>(IF('Section Load'!AH7&gt;0,'Section Load'!AH7,0))</f>
        <v>431.92000000001281</v>
      </c>
      <c r="AH4" s="1290">
        <f>(IF('Section Load'!AI7&gt;0,'Section Load'!AI7,0))</f>
        <v>421.44000000000233</v>
      </c>
      <c r="AI4" s="1290">
        <f>(IF('Section Load'!AJ7&gt;0,'Section Load'!AJ7,0))</f>
        <v>529.57999999995809</v>
      </c>
      <c r="AJ4" s="1290">
        <f>(IF('Section Load'!AK7&gt;0,'Section Load'!AK7,0))</f>
        <v>0</v>
      </c>
      <c r="AK4" s="1290">
        <f>(IF('Section Load'!AL7&gt;0,'Section Load'!AL7,0))</f>
        <v>275.31999999999243</v>
      </c>
      <c r="AL4" s="1290">
        <f>(IF('Section Load'!AM7&gt;0,'Section Load'!AM7,0))</f>
        <v>817</v>
      </c>
      <c r="AM4" s="1291">
        <f>(IF('Water Report'!$F$7&gt;0,'Water Report'!$F$7,0))</f>
        <v>123</v>
      </c>
      <c r="AN4" s="1291">
        <f>(IF('Water Report'!$F$8&gt;0,'Water Report'!$F$8,0))</f>
        <v>85</v>
      </c>
      <c r="AO4" s="1291">
        <f>(IF('Water Report'!$F$9&gt;0,'Water Report'!$G$9,0))</f>
        <v>147</v>
      </c>
      <c r="AP4" s="1291">
        <f>(IF('Water Report'!$F$10&gt;0,'Water Report'!$F$10,0))</f>
        <v>30</v>
      </c>
      <c r="AQ4" s="1291">
        <f>(IF('Water Report'!$F$11&gt;0,'Water Report'!$F$11,0))</f>
        <v>31</v>
      </c>
      <c r="AR4" s="1291">
        <f>(IF('Water Report'!$F$13&gt;0,'Water Report'!$F$13,0))</f>
        <v>32</v>
      </c>
      <c r="AS4" s="1291">
        <f>(IF('Water Report'!$F$14&gt;0,'Water Report'!$F$14,0))</f>
        <v>17</v>
      </c>
      <c r="AT4" s="1291">
        <f>(IF('Water Report'!$F$15&gt;0,'Water Report'!$F$15,0))</f>
        <v>7</v>
      </c>
      <c r="AU4" s="1291">
        <f>(IF('Water Report'!$F$17&gt;0,'Water Report'!$F$17,0))</f>
        <v>0</v>
      </c>
      <c r="AV4" s="1291">
        <f>(IF('Water Report'!$F$18&gt;0,'Water Report'!$F$18,0))</f>
        <v>12</v>
      </c>
      <c r="AW4" s="1291">
        <f>(IF('Water Report'!$F$19&gt;0,'Water Report'!$F$19,0))</f>
        <v>6</v>
      </c>
      <c r="AX4" s="1366">
        <f>(IF('Water Report'!$F$21&gt;0,'Water Report'!$F$21,0))</f>
        <v>43</v>
      </c>
      <c r="AY4" s="1366">
        <f>(IF('Water Report'!$F$22&gt;0,'Water Report'!$F$22,0))</f>
        <v>0</v>
      </c>
      <c r="AZ4" s="1366">
        <f>(IF('Water Report'!$F$23&gt;0,'Water Report'!$F$23,0))</f>
        <v>0.3000000000001819</v>
      </c>
      <c r="BA4" s="1366">
        <f>(IF('Water Report'!$F$14&gt;0,'Water Report'!$F$14,0))</f>
        <v>17</v>
      </c>
      <c r="BB4" s="1366">
        <f>(IF('Water Report'!$F$15&gt;0,'Water Report'!$F$15,0))</f>
        <v>7</v>
      </c>
      <c r="BC4" s="1366">
        <f>(IF('Water Report'!$F$13&gt;0,'Water Report'!$F$13,0))</f>
        <v>32</v>
      </c>
      <c r="BD4" s="1366">
        <f>(IF('Water Report'!$F$24&gt;0,'Water Report'!$F$24,0))</f>
        <v>210</v>
      </c>
      <c r="BE4" s="1366">
        <f>(IF('Water Report'!$F$25&gt;0,'Water Report'!$F$25,0))</f>
        <v>187</v>
      </c>
      <c r="BF4" s="1366">
        <f>(IF('Water Report'!$F$27&gt;0,'Water Report'!$F$27,0))</f>
        <v>75.300000000000182</v>
      </c>
      <c r="BG4" s="1292">
        <f>(IF('Section Load'!AN7&gt;0,'Section Load'!AN7,0))</f>
        <v>940.26799999992363</v>
      </c>
      <c r="BH4" s="1292">
        <f>(IF('Section Load'!AO7&gt;0,'Section Load'!AO7,0))</f>
        <v>301.71999999997206</v>
      </c>
      <c r="BI4" s="1292">
        <f>(IF('Section Load'!AP7&gt;0,'Section Load'!AP7,0))</f>
        <v>0</v>
      </c>
      <c r="BJ4" s="1292">
        <f>(IF('Section Load'!AQ7&gt;0,'Section Load'!AQ7,0))</f>
        <v>76.539999999979045</v>
      </c>
      <c r="BK4" s="1292">
        <f>(IF('Section Load'!AR7&gt;0,'Section Load'!AR7,0))</f>
        <v>41.700000000000728</v>
      </c>
      <c r="BL4" s="1292">
        <f>(IF('Section Load'!AS7&gt;0,'Section Load'!AS7,0))</f>
        <v>5.5</v>
      </c>
      <c r="BM4" s="1292">
        <f>(IF('Section Load'!AT7&gt;0,'Section Load'!AT7,0))</f>
        <v>514.8079999999718</v>
      </c>
    </row>
    <row r="5" spans="1:65">
      <c r="A5" s="1274" t="s">
        <v>299</v>
      </c>
      <c r="B5" s="1275">
        <f t="shared" si="0"/>
        <v>4</v>
      </c>
      <c r="C5" s="1275">
        <v>7</v>
      </c>
      <c r="D5" s="1275">
        <v>2021</v>
      </c>
      <c r="E5" s="1290">
        <f>(IF('Section Load'!F8&gt;0,'Section Load'!F8,0))</f>
        <v>2968.9000000000233</v>
      </c>
      <c r="F5" s="1290">
        <f>(IF('Section Load'!G8&gt;0,'Section Load'!G8,0))</f>
        <v>1478.6399999999849</v>
      </c>
      <c r="G5" s="1290">
        <f>(IF('Section Load'!H8&gt;0,'Section Load'!H8,0))</f>
        <v>1792.8899999999558</v>
      </c>
      <c r="H5" s="1290">
        <f>(IF('Section Load'!I8&gt;0,'Section Load'!I8,0))</f>
        <v>3681.5999999999767</v>
      </c>
      <c r="I5" s="1290">
        <f>(IF('Section Load'!J8&gt;0,'Section Load'!J8,0))</f>
        <v>6765.8400000000911</v>
      </c>
      <c r="J5" s="1290">
        <f>(IF('Section Load'!K8&gt;0,'Section Load'!K8,0))</f>
        <v>2614</v>
      </c>
      <c r="K5" s="1290">
        <f>(IF('Section Load'!L8&gt;0,'Section Load'!L8,0))</f>
        <v>1085.9300000000512</v>
      </c>
      <c r="L5" s="1290">
        <f>(IF('Section Load'!M8&gt;0,'Section Load'!M8,0))</f>
        <v>713.35000000000218</v>
      </c>
      <c r="M5" s="1290">
        <f>(IF('Section Load'!N8&gt;0,'Section Load'!N8,0))</f>
        <v>14</v>
      </c>
      <c r="N5" s="1290">
        <f>(IF('Section Load'!O8&gt;0,'Section Load'!O8,0))</f>
        <v>1</v>
      </c>
      <c r="O5" s="1290">
        <f>(IF('Section Load'!P8&gt;0,'Section Load'!P8,0))</f>
        <v>1.0999999999912689</v>
      </c>
      <c r="P5" s="1290">
        <f>(IF('Section Load'!Q8&gt;0,'Section Load'!Q8,0))</f>
        <v>140.72999999999956</v>
      </c>
      <c r="Q5" s="1290">
        <f>(IF('Section Load'!R8&gt;0,'Section Load'!R8,0))</f>
        <v>61.8799999999992</v>
      </c>
      <c r="R5" s="1290">
        <f>(IF('Section Load'!S8&gt;0,'Section Load'!S8,0))</f>
        <v>52</v>
      </c>
      <c r="S5" s="1290">
        <f>(IF('Section Load'!T8&gt;0,'Section Load'!T8,0))</f>
        <v>138</v>
      </c>
      <c r="T5" s="1290">
        <f>(IF('Section Load'!U8&gt;0,'Section Load'!U8,0))</f>
        <v>150</v>
      </c>
      <c r="U5" s="1290">
        <f>(IF('Section Load'!V8&gt;0,'Section Load'!V8,0))</f>
        <v>419.32000000006519</v>
      </c>
      <c r="V5" s="1290">
        <f>(IF('Section Load'!W8&gt;0,'Section Load'!W8,0))</f>
        <v>202.47999999998137</v>
      </c>
      <c r="W5" s="1290">
        <f>(IF('Section Load'!X8&gt;0,'Section Load'!X8,0))</f>
        <v>14.589999999996508</v>
      </c>
      <c r="X5" s="1290">
        <f>(IF('Section Load'!Y8&gt;0,'Section Load'!Y8,0))</f>
        <v>186.86000000000058</v>
      </c>
      <c r="Y5" s="1290">
        <f>(IF('Section Load'!Z8&gt;0,'Section Load'!Z8,0))</f>
        <v>313</v>
      </c>
      <c r="Z5" s="1290">
        <f>(IF('Section Load'!AA8&gt;0,'Section Load'!AA8,0))</f>
        <v>43.360000000044238</v>
      </c>
      <c r="AA5" s="1290">
        <f>(IF('Section Load'!AB8&gt;0,'Section Load'!AB8,0))</f>
        <v>14.80000000000291</v>
      </c>
      <c r="AB5" s="1290">
        <f>(IF('Section Load'!AC8&gt;0,'Section Load'!AC8,0))</f>
        <v>32.910000000003492</v>
      </c>
      <c r="AC5" s="1290">
        <f>(IF('Section Load'!AD8&gt;0,'Section Load'!AD8,0))</f>
        <v>16.899999999994179</v>
      </c>
      <c r="AD5" s="1290">
        <f>(IF('Section Load'!AE8&gt;0,'Section Load'!AE8,0))</f>
        <v>0</v>
      </c>
      <c r="AE5" s="1290">
        <f>(IF('Section Load'!AF8&gt;0,'Section Load'!AF8,0))</f>
        <v>0</v>
      </c>
      <c r="AF5" s="1290">
        <f>(IF('Section Load'!AG8&gt;0,'Section Load'!AG8,0))</f>
        <v>367.17999999999302</v>
      </c>
      <c r="AG5" s="1290">
        <f>(IF('Section Load'!AH8&gt;0,'Section Load'!AH8,0))</f>
        <v>422.88000000000466</v>
      </c>
      <c r="AH5" s="1290">
        <f>(IF('Section Load'!AI8&gt;0,'Section Load'!AI8,0))</f>
        <v>412.73999999999069</v>
      </c>
      <c r="AI5" s="1290">
        <f>(IF('Section Load'!AJ8&gt;0,'Section Load'!AJ8,0))</f>
        <v>442.14000000001397</v>
      </c>
      <c r="AJ5" s="1290">
        <f>(IF('Section Load'!AK8&gt;0,'Section Load'!AK8,0))</f>
        <v>0</v>
      </c>
      <c r="AK5" s="1290">
        <f>(IF('Section Load'!AL8&gt;0,'Section Load'!AL8,0))</f>
        <v>272.54000000000815</v>
      </c>
      <c r="AL5" s="1290">
        <f>(IF('Section Load'!AM8&gt;0,'Section Load'!AM8,0))</f>
        <v>844</v>
      </c>
      <c r="AM5" s="1291">
        <f>(IF('Water Report'!$G$7&gt;0,'Water Report'!$F$7,0))</f>
        <v>123</v>
      </c>
      <c r="AN5" s="1291">
        <f>(IF('Water Report'!$G$8&gt;0,'Water Report'!$F$8,0))</f>
        <v>85</v>
      </c>
      <c r="AO5" s="1291">
        <f>(IF('Water Report'!$G$9&gt;0,'Water Report'!$H$9,0))</f>
        <v>120</v>
      </c>
      <c r="AP5" s="1291">
        <f>(IF('Water Report'!$G$10&gt;0,'Water Report'!$G$10,0))</f>
        <v>39</v>
      </c>
      <c r="AQ5" s="1291">
        <f>(IF('Water Report'!$G$11&gt;0,'Water Report'!$G$11,0))</f>
        <v>32</v>
      </c>
      <c r="AR5" s="1291">
        <f>(IF('Water Report'!$G$13&gt;0,'Water Report'!$G$13,0))</f>
        <v>38</v>
      </c>
      <c r="AS5" s="1291">
        <f>(IF('Water Report'!$G$14&gt;0,'Water Report'!$G$14,0))</f>
        <v>28</v>
      </c>
      <c r="AT5" s="1291">
        <f>(IF('Water Report'!$G$15&gt;0,'Water Report'!$G$15,0))</f>
        <v>10</v>
      </c>
      <c r="AU5" s="1291">
        <f>(IF('Water Report'!$G$17&gt;0,'Water Report'!$G$17,0))</f>
        <v>0</v>
      </c>
      <c r="AV5" s="1291">
        <f>(IF('Water Report'!$G$18&gt;0,'Water Report'!$G$18,0))</f>
        <v>11</v>
      </c>
      <c r="AW5" s="1291">
        <f>(IF('Water Report'!$G$19&gt;0,'Water Report'!$G$19,0))</f>
        <v>5</v>
      </c>
      <c r="AX5" s="1366">
        <f>(IF('Water Report'!$G$21&gt;0,'Water Report'!$G$21,0))</f>
        <v>52</v>
      </c>
      <c r="AY5" s="1366">
        <f>(IF('Water Report'!$G$22&gt;0,'Water Report'!$G$22,0))</f>
        <v>50</v>
      </c>
      <c r="AZ5" s="1366">
        <f>(IF('Water Report'!$G$23&gt;0,'Water Report'!$G$23,0))</f>
        <v>0</v>
      </c>
      <c r="BA5" s="1366">
        <f>(IF('Water Report'!$G$14&gt;0,'Water Report'!$G$14,0))</f>
        <v>28</v>
      </c>
      <c r="BB5" s="1366">
        <f>(IF('Water Report'!$G$15&gt;0,'Water Report'!$G$15,0))</f>
        <v>10</v>
      </c>
      <c r="BC5" s="1366">
        <f>(IF('Water Report'!$G$13&gt;0,'Water Report'!$G$13,0))</f>
        <v>38</v>
      </c>
      <c r="BD5" s="1366">
        <f>(IF('Water Report'!$G$24&gt;0,'Water Report'!$G$24,0))</f>
        <v>271</v>
      </c>
      <c r="BE5" s="1366">
        <f>(IF('Water Report'!$G$25&gt;0,'Water Report'!$G$25,0))</f>
        <v>256</v>
      </c>
      <c r="BF5" s="1366">
        <f>(IF('Water Report'!$G$27&gt;0,'Water Report'!$G$27,0))</f>
        <v>90</v>
      </c>
      <c r="BG5" s="1292">
        <f>(IF('Section Load'!AN8&gt;0,'Section Load'!AN8,0))</f>
        <v>786.87999999988824</v>
      </c>
      <c r="BH5" s="1292">
        <f>(IF('Section Load'!AO8&gt;0,'Section Load'!AO8,0))</f>
        <v>327.72999999998137</v>
      </c>
      <c r="BI5" s="1292">
        <f>(IF('Section Load'!AP8&gt;0,'Section Load'!AP8,0))</f>
        <v>0</v>
      </c>
      <c r="BJ5" s="1292">
        <f>(IF('Section Load'!AQ8&gt;0,'Section Load'!AQ8,0))</f>
        <v>79.529999999998836</v>
      </c>
      <c r="BK5" s="1292">
        <f>(IF('Section Load'!AR8&gt;0,'Section Load'!AR8,0))</f>
        <v>37.399999999997817</v>
      </c>
      <c r="BL5" s="1292">
        <f>(IF('Section Load'!AS8&gt;0,'Section Load'!AS8,0))</f>
        <v>1.5</v>
      </c>
      <c r="BM5" s="1292">
        <f>(IF('Section Load'!AT8&gt;0,'Section Load'!AT8,0))</f>
        <v>340.71999999991021</v>
      </c>
    </row>
    <row r="6" spans="1:65">
      <c r="A6" s="1274" t="s">
        <v>299</v>
      </c>
      <c r="B6" s="1275">
        <f t="shared" si="0"/>
        <v>5</v>
      </c>
      <c r="C6" s="1275">
        <v>7</v>
      </c>
      <c r="D6" s="1275">
        <v>2021</v>
      </c>
      <c r="E6" s="1290">
        <f>(IF('Section Load'!F9&gt;0,'Section Load'!F9,0))</f>
        <v>2828.6999999999534</v>
      </c>
      <c r="F6" s="1290">
        <f>(IF('Section Load'!G9&gt;0,'Section Load'!G9,0))</f>
        <v>1447.6800000000221</v>
      </c>
      <c r="G6" s="1290">
        <f>(IF('Section Load'!H9&gt;0,'Section Load'!H9,0))</f>
        <v>1640.5</v>
      </c>
      <c r="H6" s="1290">
        <f>(IF('Section Load'!I9&gt;0,'Section Load'!I9,0))</f>
        <v>3669.3600000000442</v>
      </c>
      <c r="I6" s="1290">
        <f>(IF('Section Load'!J9&gt;0,'Section Load'!J9,0))</f>
        <v>6521.6600000000326</v>
      </c>
      <c r="J6" s="1290">
        <f>(IF('Section Load'!K9&gt;0,'Section Load'!K9,0))</f>
        <v>2554.6999999999534</v>
      </c>
      <c r="K6" s="1290">
        <f>(IF('Section Load'!L9&gt;0,'Section Load'!L9,0))</f>
        <v>1002.1300000000047</v>
      </c>
      <c r="L6" s="1290">
        <f>(IF('Section Load'!M9&gt;0,'Section Load'!M9,0))</f>
        <v>728.12999999999738</v>
      </c>
      <c r="M6" s="1290">
        <f>(IF('Section Load'!N9&gt;0,'Section Load'!N9,0))</f>
        <v>10</v>
      </c>
      <c r="N6" s="1290">
        <f>(IF('Section Load'!O9&gt;0,'Section Load'!O9,0))</f>
        <v>1</v>
      </c>
      <c r="O6" s="1290">
        <f>(IF('Section Load'!P9&gt;0,'Section Load'!P9,0))</f>
        <v>1.2000000000116415</v>
      </c>
      <c r="P6" s="1290">
        <f>(IF('Section Load'!Q9&gt;0,'Section Load'!Q9,0))</f>
        <v>142.04999999999927</v>
      </c>
      <c r="Q6" s="1290">
        <f>(IF('Section Load'!R9&gt;0,'Section Load'!R9,0))</f>
        <v>66.180000000000291</v>
      </c>
      <c r="R6" s="1290">
        <f>(IF('Section Load'!S9&gt;0,'Section Load'!S9,0))</f>
        <v>66</v>
      </c>
      <c r="S6" s="1290">
        <f>(IF('Section Load'!T9&gt;0,'Section Load'!T9,0))</f>
        <v>19</v>
      </c>
      <c r="T6" s="1290">
        <f>(IF('Section Load'!U9&gt;0,'Section Load'!U9,0))</f>
        <v>149</v>
      </c>
      <c r="U6" s="1290">
        <f>(IF('Section Load'!V9&gt;0,'Section Load'!V9,0))</f>
        <v>400.28000000002794</v>
      </c>
      <c r="V6" s="1290">
        <f>(IF('Section Load'!W9&gt;0,'Section Load'!W9,0))</f>
        <v>242.28000000002794</v>
      </c>
      <c r="W6" s="1290">
        <f>(IF('Section Load'!X9&gt;0,'Section Load'!X9,0))</f>
        <v>27.389999999999418</v>
      </c>
      <c r="X6" s="1290">
        <f>(IF('Section Load'!Y9&gt;0,'Section Load'!Y9,0))</f>
        <v>211.28000000000611</v>
      </c>
      <c r="Y6" s="1290">
        <f>(IF('Section Load'!Z9&gt;0,'Section Load'!Z9,0))</f>
        <v>256</v>
      </c>
      <c r="Z6" s="1290">
        <f>(IF('Section Load'!AA9&gt;0,'Section Load'!AA9,0))</f>
        <v>23.599999999976717</v>
      </c>
      <c r="AA6" s="1290">
        <f>(IF('Section Load'!AB9&gt;0,'Section Load'!AB9,0))</f>
        <v>30.80000000000291</v>
      </c>
      <c r="AB6" s="1290">
        <f>(IF('Section Load'!AC9&gt;0,'Section Load'!AC9,0))</f>
        <v>125.78999999997905</v>
      </c>
      <c r="AC6" s="1290">
        <f>(IF('Section Load'!AD9&gt;0,'Section Load'!AD9,0))</f>
        <v>26.800000000011551</v>
      </c>
      <c r="AD6" s="1290">
        <f>(IF('Section Load'!AE9&gt;0,'Section Load'!AE9,0))</f>
        <v>0</v>
      </c>
      <c r="AE6" s="1290">
        <f>(IF('Section Load'!AF9&gt;0,'Section Load'!AF9,0))</f>
        <v>0</v>
      </c>
      <c r="AF6" s="1290">
        <f>(IF('Section Load'!AG9&gt;0,'Section Load'!AG9,0))</f>
        <v>373.77999999999884</v>
      </c>
      <c r="AG6" s="1290">
        <f>(IF('Section Load'!AH9&gt;0,'Section Load'!AH9,0))</f>
        <v>436.66000000000349</v>
      </c>
      <c r="AH6" s="1290">
        <f>(IF('Section Load'!AI9&gt;0,'Section Load'!AI9,0))</f>
        <v>410.41000000000349</v>
      </c>
      <c r="AI6" s="1290">
        <f>(IF('Section Load'!AJ9&gt;0,'Section Load'!AJ9,0))</f>
        <v>450.53999999997905</v>
      </c>
      <c r="AJ6" s="1290">
        <f>(IF('Section Load'!AK9&gt;0,'Section Load'!AK9,0))</f>
        <v>0</v>
      </c>
      <c r="AK6" s="1290">
        <f>(IF('Section Load'!AL9&gt;0,'Section Load'!AL9,0))</f>
        <v>224.31999999999243</v>
      </c>
      <c r="AL6" s="1290">
        <f>(IF('Section Load'!AM9&gt;0,'Section Load'!AM9,0))</f>
        <v>825</v>
      </c>
      <c r="AM6" s="1291">
        <f>(IF('Water Report'!$H$7&gt;0,'Water Report'!$H$7,0))</f>
        <v>123</v>
      </c>
      <c r="AN6" s="1291">
        <f>(IF('Water Report'!$H$8&gt;0,'Water Report'!$H$8,0))</f>
        <v>124</v>
      </c>
      <c r="AO6" s="1291">
        <f>(IF('Water Report'!$H$9&gt;0,'Water Report'!$H$9,0))</f>
        <v>120</v>
      </c>
      <c r="AP6" s="1291">
        <f>(IF('Water Report'!$H$10&gt;0,'Water Report'!$H$10,0))</f>
        <v>12</v>
      </c>
      <c r="AQ6" s="1291">
        <f>(IF('Water Report'!$H$11&gt;0,'Water Report'!$H$11,0))</f>
        <v>18</v>
      </c>
      <c r="AR6" s="1291">
        <f>(IF('Water Report'!$H$13&gt;0,'Water Report'!$H$13,0))</f>
        <v>31</v>
      </c>
      <c r="AS6" s="1291">
        <f>(IF('Water Report'!$H$14&gt;0,'Water Report'!$H$14,0))</f>
        <v>8</v>
      </c>
      <c r="AT6" s="1291">
        <f>(IF('Water Report'!$H$15&gt;0,'Water Report'!$H$15,0))</f>
        <v>3</v>
      </c>
      <c r="AU6" s="1291">
        <f>(IF('Water Report'!$H$17&gt;0,'Water Report'!$H$17,0))</f>
        <v>40</v>
      </c>
      <c r="AV6" s="1291">
        <f>(IF('Water Report'!$H$18&gt;0,'Water Report'!$H$18,0))</f>
        <v>10</v>
      </c>
      <c r="AW6" s="1291">
        <f>(IF('Water Report'!$H$19&gt;0,'Water Report'!$H$19,0))</f>
        <v>5</v>
      </c>
      <c r="AX6" s="1366">
        <f>(IF('Water Report'!$H$21&gt;0,'Water Report'!$H$21,0))</f>
        <v>155</v>
      </c>
      <c r="AY6" s="1366">
        <f>(IF('Water Report'!$H$22&gt;0,'Water Report'!$H$22,0))</f>
        <v>25</v>
      </c>
      <c r="AZ6" s="1366">
        <f>(IF('Water Report'!$H$23&gt;0,'Water Report'!$H$23,0))</f>
        <v>0</v>
      </c>
      <c r="BA6" s="1366">
        <f>(IF('Water Report'!$H$14&gt;0,'Water Report'!$H$14,0))</f>
        <v>8</v>
      </c>
      <c r="BB6" s="1366">
        <f>(IF('Water Report'!$H$15&gt;0,'Water Report'!$H$15,0))</f>
        <v>3</v>
      </c>
      <c r="BC6" s="1366">
        <f>(IF('Water Report'!$H$13&gt;0,'Water Report'!$H$13,0))</f>
        <v>31</v>
      </c>
      <c r="BD6" s="1366">
        <f>(IF('Water Report'!$H$24&gt;0,'Water Report'!$H$24,0))</f>
        <v>241</v>
      </c>
      <c r="BE6" s="1366">
        <f>(IF('Water Report'!$H$25&gt;0,'Water Report'!$H$25,0))</f>
        <v>161</v>
      </c>
      <c r="BF6" s="1366">
        <f>(IF('Water Report'!$H$27&gt;0,'Water Report'!$H$27,0))</f>
        <v>186</v>
      </c>
      <c r="BG6" s="1292">
        <f>(IF('Section Load'!AN9&gt;0,'Section Load'!AN9,0))</f>
        <v>925.06000000005588</v>
      </c>
      <c r="BH6" s="1292">
        <f>(IF('Section Load'!AO9&gt;0,'Section Load'!AO9,0))</f>
        <v>265.82000000006519</v>
      </c>
      <c r="BI6" s="1292">
        <f>(IF('Section Load'!AP9&gt;0,'Section Load'!AP9,0))</f>
        <v>0</v>
      </c>
      <c r="BJ6" s="1292">
        <f>(IF('Section Load'!AQ9&gt;0,'Section Load'!AQ9,0))</f>
        <v>61.290000000008149</v>
      </c>
      <c r="BK6" s="1292">
        <f>(IF('Section Load'!AR9&gt;0,'Section Load'!AR9,0))</f>
        <v>27</v>
      </c>
      <c r="BL6" s="1292">
        <f>(IF('Section Load'!AS9&gt;0,'Section Load'!AS9,0))</f>
        <v>0.8999999999996362</v>
      </c>
      <c r="BM6" s="1292">
        <f>(IF('Section Load'!AT9&gt;0,'Section Load'!AT9,0))</f>
        <v>570.0499999999829</v>
      </c>
    </row>
    <row r="7" spans="1:65">
      <c r="A7" s="1274" t="s">
        <v>299</v>
      </c>
      <c r="B7" s="1275">
        <f t="shared" si="0"/>
        <v>6</v>
      </c>
      <c r="C7" s="1275">
        <v>7</v>
      </c>
      <c r="D7" s="1275">
        <v>2021</v>
      </c>
      <c r="E7" s="1290">
        <f>(IF('Section Load'!F10&gt;0,'Section Load'!F10,0))</f>
        <v>2786.1999999999534</v>
      </c>
      <c r="F7" s="1290">
        <f>(IF('Section Load'!G10&gt;0,'Section Load'!G10,0))</f>
        <v>1525.2599999999802</v>
      </c>
      <c r="G7" s="1290">
        <f>(IF('Section Load'!H10&gt;0,'Section Load'!H10,0))</f>
        <v>1382.5</v>
      </c>
      <c r="H7" s="1290">
        <f>(IF('Section Load'!I10&gt;0,'Section Load'!I10,0))</f>
        <v>3628.7599999999511</v>
      </c>
      <c r="I7" s="1290">
        <f>(IF('Section Load'!J10&gt;0,'Section Load'!J10,0))</f>
        <v>5789.6300000000192</v>
      </c>
      <c r="J7" s="1290">
        <f>(IF('Section Load'!K10&gt;0,'Section Load'!K10,0))</f>
        <v>2584.9000000001397</v>
      </c>
      <c r="K7" s="1290">
        <f>(IF('Section Load'!L10&gt;0,'Section Load'!L10,0))</f>
        <v>959.02000000001863</v>
      </c>
      <c r="L7" s="1290">
        <f>(IF('Section Load'!M10&gt;0,'Section Load'!M10,0))</f>
        <v>727.79000000000087</v>
      </c>
      <c r="M7" s="1290">
        <f>(IF('Section Load'!N10&gt;0,'Section Load'!N10,0))</f>
        <v>11</v>
      </c>
      <c r="N7" s="1290">
        <f>(IF('Section Load'!O10&gt;0,'Section Load'!O10,0))</f>
        <v>1</v>
      </c>
      <c r="O7" s="1290">
        <f>(IF('Section Load'!P10&gt;0,'Section Load'!P10,0))</f>
        <v>1.0999999999912689</v>
      </c>
      <c r="P7" s="1290">
        <f>(IF('Section Load'!Q10&gt;0,'Section Load'!Q10,0))</f>
        <v>141.79000000000087</v>
      </c>
      <c r="Q7" s="1290">
        <f>(IF('Section Load'!R10&gt;0,'Section Load'!R10,0))</f>
        <v>73.119999999998981</v>
      </c>
      <c r="R7" s="1290">
        <f>(IF('Section Load'!S10&gt;0,'Section Load'!S10,0))</f>
        <v>78</v>
      </c>
      <c r="S7" s="1290">
        <f>(IF('Section Load'!T10&gt;0,'Section Load'!T10,0))</f>
        <v>153</v>
      </c>
      <c r="T7" s="1290">
        <f>(IF('Section Load'!U10&gt;0,'Section Load'!U10,0))</f>
        <v>149</v>
      </c>
      <c r="U7" s="1290">
        <f>(IF('Section Load'!V10&gt;0,'Section Load'!V10,0))</f>
        <v>356.51999999990221</v>
      </c>
      <c r="V7" s="1290">
        <f>(IF('Section Load'!W10&gt;0,'Section Load'!W10,0))</f>
        <v>178.35999999998603</v>
      </c>
      <c r="W7" s="1290">
        <f>(IF('Section Load'!X10&gt;0,'Section Load'!X10,0))</f>
        <v>13.180000000007567</v>
      </c>
      <c r="X7" s="1290">
        <f>(IF('Section Load'!Y10&gt;0,'Section Load'!Y10,0))</f>
        <v>21.529999999998836</v>
      </c>
      <c r="Y7" s="1290">
        <f>(IF('Section Load'!Z10&gt;0,'Section Load'!Z10,0))</f>
        <v>163</v>
      </c>
      <c r="Z7" s="1290">
        <f>(IF('Section Load'!AA10&gt;0,'Section Load'!AA10,0))</f>
        <v>19.71999999997206</v>
      </c>
      <c r="AA7" s="1290">
        <f>(IF('Section Load'!AB10&gt;0,'Section Load'!AB10,0))</f>
        <v>29.899999999994179</v>
      </c>
      <c r="AB7" s="1290">
        <f>(IF('Section Load'!AC10&gt;0,'Section Load'!AC10,0))</f>
        <v>115.90000000002328</v>
      </c>
      <c r="AC7" s="1290">
        <f>(IF('Section Load'!AD10&gt;0,'Section Load'!AD10,0))</f>
        <v>49.299999999991542</v>
      </c>
      <c r="AD7" s="1290">
        <f>(IF('Section Load'!AE10&gt;0,'Section Load'!AE10,0))</f>
        <v>0</v>
      </c>
      <c r="AE7" s="1290">
        <f>(IF('Section Load'!AF10&gt;0,'Section Load'!AF10,0))</f>
        <v>0</v>
      </c>
      <c r="AF7" s="1290">
        <f>(IF('Section Load'!AG10&gt;0,'Section Load'!AG10,0))</f>
        <v>399.55999999999767</v>
      </c>
      <c r="AG7" s="1290">
        <f>(IF('Section Load'!AH10&gt;0,'Section Load'!AH10,0))</f>
        <v>261.95999999999185</v>
      </c>
      <c r="AH7" s="1290">
        <f>(IF('Section Load'!AI10&gt;0,'Section Load'!AI10,0))</f>
        <v>413.80999999999767</v>
      </c>
      <c r="AI7" s="1290">
        <f>(IF('Section Load'!AJ10&gt;0,'Section Load'!AJ10,0))</f>
        <v>529.70000000001164</v>
      </c>
      <c r="AJ7" s="1290">
        <f>(IF('Section Load'!AK10&gt;0,'Section Load'!AK10,0))</f>
        <v>0</v>
      </c>
      <c r="AK7" s="1290">
        <f>(IF('Section Load'!AL10&gt;0,'Section Load'!AL10,0))</f>
        <v>210.34000000001106</v>
      </c>
      <c r="AL7" s="1290">
        <f>(IF('Section Load'!AM10&gt;0,'Section Load'!AM10,0))</f>
        <v>809</v>
      </c>
      <c r="AM7" s="1291">
        <f>(IF('Water Report'!$I$7&gt;0,'Water Report'!$I$7,0))</f>
        <v>44</v>
      </c>
      <c r="AN7" s="1291">
        <f>(IF('Water Report'!$I$8&gt;0,'Water Report'!$I$8,0))</f>
        <v>91</v>
      </c>
      <c r="AO7" s="1291">
        <f>(IF('Water Report'!$I$9&gt;0,'Water Report'!$I$9,0))</f>
        <v>59</v>
      </c>
      <c r="AP7" s="1291">
        <f>(IF('Water Report'!$I$10&gt;0,'Water Report'!$I$10,0))</f>
        <v>18</v>
      </c>
      <c r="AQ7" s="1291">
        <f>(IF('Water Report'!$I$11&gt;0,'Water Report'!$I$11,0))</f>
        <v>21</v>
      </c>
      <c r="AR7" s="1291">
        <f>(IF('Water Report'!$I$13&gt;0,'Water Report'!$I$13,0))</f>
        <v>36</v>
      </c>
      <c r="AS7" s="1291">
        <f>(IF('Water Report'!$I$14&gt;0,'Water Report'!$I$14,0))</f>
        <v>11</v>
      </c>
      <c r="AT7" s="1291">
        <f>(IF('Water Report'!$I$15&gt;0,'Water Report'!$I$15,0))</f>
        <v>5</v>
      </c>
      <c r="AU7" s="1291">
        <f>(IF('Water Report'!$I$17&gt;0,'Water Report'!$I$17,0))</f>
        <v>30</v>
      </c>
      <c r="AV7" s="1291">
        <f>(IF('Water Report'!$I$18&gt;0,'Water Report'!$I$18,0))</f>
        <v>0</v>
      </c>
      <c r="AW7" s="1291">
        <f>(IF('Water Report'!$I$19&gt;0,'Water Report'!$I$19,0))</f>
        <v>0</v>
      </c>
      <c r="AX7" s="1366">
        <f>(IF('Water Report'!$I$21&gt;0,'Water Report'!$I$21,0))</f>
        <v>65</v>
      </c>
      <c r="AY7" s="1366">
        <f>(IF('Water Report'!$I$22&gt;0,'Water Report'!$I$22,0))</f>
        <v>22</v>
      </c>
      <c r="AZ7" s="1366">
        <f>(IF('Water Report'!$I$23&gt;0,'Water Report'!$I$23,0))</f>
        <v>0</v>
      </c>
      <c r="BA7" s="1366">
        <f>(IF('Water Report'!$I$14&gt;0,'Water Report'!$I$14,0))</f>
        <v>11</v>
      </c>
      <c r="BB7" s="1366">
        <f>(IF('Water Report'!$I$15&gt;0,'Water Report'!$I$15,0))</f>
        <v>5</v>
      </c>
      <c r="BC7" s="1366">
        <f>(IF('Water Report'!$I$13&gt;0,'Water Report'!$I$13,0))</f>
        <v>36</v>
      </c>
      <c r="BD7" s="1366">
        <f>(IF('Water Report'!$I$24&gt;0,'Water Report'!$I$24,0))</f>
        <v>149</v>
      </c>
      <c r="BE7" s="1366">
        <f>(IF('Water Report'!$I$25&gt;0,'Water Report'!$I$25,0))</f>
        <v>114</v>
      </c>
      <c r="BF7" s="1366">
        <f>(IF('Water Report'!$I$27&gt;0,'Water Report'!$I$27,0))</f>
        <v>101</v>
      </c>
      <c r="BG7" s="1292">
        <f>(IF('Section Load'!AN10&gt;0,'Section Load'!AN10,0))</f>
        <v>430.95999999996275</v>
      </c>
      <c r="BH7" s="1292">
        <f>(IF('Section Load'!AO10&gt;0,'Section Load'!AO10,0))</f>
        <v>261.8399999999674</v>
      </c>
      <c r="BI7" s="1292">
        <f>(IF('Section Load'!AP10&gt;0,'Section Load'!AP10,0))</f>
        <v>0</v>
      </c>
      <c r="BJ7" s="1292">
        <f>(IF('Section Load'!AQ10&gt;0,'Section Load'!AQ10,0))</f>
        <v>67.130000000004657</v>
      </c>
      <c r="BK7" s="1292">
        <f>(IF('Section Load'!AR10&gt;0,'Section Load'!AR10,0))</f>
        <v>35.200000000000728</v>
      </c>
      <c r="BL7" s="1292">
        <f>(IF('Section Load'!AS10&gt;0,'Section Load'!AS10,0))</f>
        <v>1</v>
      </c>
      <c r="BM7" s="1292">
        <f>(IF('Section Load'!AT10&gt;0,'Section Load'!AT10,0))</f>
        <v>65.789999999989959</v>
      </c>
    </row>
    <row r="8" spans="1:65">
      <c r="A8" s="1274" t="s">
        <v>299</v>
      </c>
      <c r="B8" s="1275">
        <f t="shared" si="0"/>
        <v>7</v>
      </c>
      <c r="C8" s="1275">
        <v>7</v>
      </c>
      <c r="D8" s="1275">
        <v>2021</v>
      </c>
      <c r="E8" s="1290">
        <f>(IF('Section Load'!F11&gt;0,'Section Load'!F11,0))</f>
        <v>2919.1999999999534</v>
      </c>
      <c r="F8" s="1290">
        <f>(IF('Section Load'!G11&gt;0,'Section Load'!G11,0))</f>
        <v>1587.7400000000198</v>
      </c>
      <c r="G8" s="1290">
        <f>(IF('Section Load'!H11&gt;0,'Section Load'!H11,0))</f>
        <v>1549.2399999999907</v>
      </c>
      <c r="H8" s="1290">
        <f>(IF('Section Load'!I11&gt;0,'Section Load'!I11,0))</f>
        <v>3603.3999999999651</v>
      </c>
      <c r="I8" s="1290">
        <f>(IF('Section Load'!J11&gt;0,'Section Load'!J11,0))</f>
        <v>6831.7899999999208</v>
      </c>
      <c r="J8" s="1290">
        <f>(IF('Section Load'!K11&gt;0,'Section Load'!K11,0))</f>
        <v>2722.6999999999534</v>
      </c>
      <c r="K8" s="1290">
        <f>(IF('Section Load'!L11&gt;0,'Section Load'!L11,0))</f>
        <v>1261.9199999999255</v>
      </c>
      <c r="L8" s="1290">
        <f>(IF('Section Load'!M11&gt;0,'Section Load'!M11,0))</f>
        <v>820.85000000000218</v>
      </c>
      <c r="M8" s="1290">
        <f>(IF('Section Load'!N11&gt;0,'Section Load'!N11,0))</f>
        <v>11</v>
      </c>
      <c r="N8" s="1290">
        <f>(IF('Section Load'!O11&gt;0,'Section Load'!O11,0))</f>
        <v>1</v>
      </c>
      <c r="O8" s="1290">
        <f>(IF('Section Load'!P11&gt;0,'Section Load'!P11,0))</f>
        <v>1.1000000000058208</v>
      </c>
      <c r="P8" s="1290">
        <f>(IF('Section Load'!Q11&gt;0,'Section Load'!Q11,0))</f>
        <v>140.84999999999854</v>
      </c>
      <c r="Q8" s="1290">
        <f>(IF('Section Load'!R11&gt;0,'Section Load'!R11,0))</f>
        <v>66.06000000000131</v>
      </c>
      <c r="R8" s="1290">
        <f>(IF('Section Load'!S11&gt;0,'Section Load'!S11,0))</f>
        <v>51</v>
      </c>
      <c r="S8" s="1290">
        <f>(IF('Section Load'!T11&gt;0,'Section Load'!T11,0))</f>
        <v>122</v>
      </c>
      <c r="T8" s="1290">
        <f>(IF('Section Load'!U11&gt;0,'Section Load'!U11,0))</f>
        <v>141</v>
      </c>
      <c r="U8" s="1290">
        <f>(IF('Section Load'!V11&gt;0,'Section Load'!V11,0))</f>
        <v>400.60000000009313</v>
      </c>
      <c r="V8" s="1290">
        <f>(IF('Section Load'!W11&gt;0,'Section Load'!W11,0))</f>
        <v>167.64000000001397</v>
      </c>
      <c r="W8" s="1290">
        <f>(IF('Section Load'!X11&gt;0,'Section Load'!X11,0))</f>
        <v>26.399999999994179</v>
      </c>
      <c r="X8" s="1290">
        <f>(IF('Section Load'!Y11&gt;0,'Section Load'!Y11,0))</f>
        <v>187.40999999999622</v>
      </c>
      <c r="Y8" s="1290">
        <f>(IF('Section Load'!Z11&gt;0,'Section Load'!Z11,0))</f>
        <v>215</v>
      </c>
      <c r="Z8" s="1290">
        <f>(IF('Section Load'!AA11&gt;0,'Section Load'!AA11,0))</f>
        <v>25.480000000039581</v>
      </c>
      <c r="AA8" s="1290">
        <f>(IF('Section Load'!AB11&gt;0,'Section Load'!AB11,0))</f>
        <v>32.200000000011642</v>
      </c>
      <c r="AB8" s="1290">
        <f>(IF('Section Load'!AC11&gt;0,'Section Load'!AC11,0))</f>
        <v>85.829999999987194</v>
      </c>
      <c r="AC8" s="1290">
        <f>(IF('Section Load'!AD11&gt;0,'Section Load'!AD11,0))</f>
        <v>81.400000000002819</v>
      </c>
      <c r="AD8" s="1290">
        <f>(IF('Section Load'!AE11&gt;0,'Section Load'!AE11,0))</f>
        <v>0</v>
      </c>
      <c r="AE8" s="1290">
        <f>(IF('Section Load'!AF11&gt;0,'Section Load'!AF11,0))</f>
        <v>0</v>
      </c>
      <c r="AF8" s="1290">
        <f>(IF('Section Load'!AG11&gt;0,'Section Load'!AG11,0))</f>
        <v>433.54000000000815</v>
      </c>
      <c r="AG8" s="1290">
        <f>(IF('Section Load'!AH11&gt;0,'Section Load'!AH11,0))</f>
        <v>267.29999999998836</v>
      </c>
      <c r="AH8" s="1290">
        <f>(IF('Section Load'!AI11&gt;0,'Section Load'!AI11,0))</f>
        <v>427.31000000001222</v>
      </c>
      <c r="AI8" s="1290">
        <f>(IF('Section Load'!AJ11&gt;0,'Section Load'!AJ11,0))</f>
        <v>492.70000000001164</v>
      </c>
      <c r="AJ8" s="1290">
        <f>(IF('Section Load'!AK11&gt;0,'Section Load'!AK11,0))</f>
        <v>0</v>
      </c>
      <c r="AK8" s="1290">
        <f>(IF('Section Load'!AL11&gt;0,'Section Load'!AL11,0))</f>
        <v>221.58999999999651</v>
      </c>
      <c r="AL8" s="1290">
        <f>(IF('Section Load'!AM11&gt;0,'Section Load'!AM11,0))</f>
        <v>792</v>
      </c>
      <c r="AM8" s="1291">
        <f>(IF('Water Report'!$J$7&gt;0,'Water Report'!$J$7,0))</f>
        <v>77</v>
      </c>
      <c r="AN8" s="1291">
        <f>(IF('Water Report'!$J$8&gt;0,'Water Report'!$J$8,0))</f>
        <v>113</v>
      </c>
      <c r="AO8" s="1291">
        <f>(IF('Water Report'!$J$9&gt;0,'Water Report'!$J$9,0))</f>
        <v>76</v>
      </c>
      <c r="AP8" s="1291">
        <f>(IF('Water Report'!$J$10&gt;0,'Water Report'!$J$10,0))</f>
        <v>15</v>
      </c>
      <c r="AQ8" s="1291">
        <f>(IF('Water Report'!$J$11&gt;0,'Water Report'!$J$11,0))</f>
        <v>22</v>
      </c>
      <c r="AR8" s="1291">
        <f>(IF('Water Report'!$J$13&gt;0,'Water Report'!$J$13,0))</f>
        <v>18</v>
      </c>
      <c r="AS8" s="1291">
        <f>(IF('Water Report'!$J$14&gt;0,'Water Report'!$J$14,0))</f>
        <v>10</v>
      </c>
      <c r="AT8" s="1291">
        <f>(IF('Water Report'!$J$15&gt;0,'Water Report'!$J$15,0))</f>
        <v>12</v>
      </c>
      <c r="AU8" s="1291">
        <f>(IF('Water Report'!$J$17&gt;0,'Water Report'!$J$17,0))</f>
        <v>0</v>
      </c>
      <c r="AV8" s="1291">
        <f>(IF('Water Report'!$J$18&gt;0,'Water Report'!$J$18,0))</f>
        <v>11</v>
      </c>
      <c r="AW8" s="1291">
        <f>(IF('Water Report'!$J$19&gt;0,'Water Report'!$J$19,0))</f>
        <v>5</v>
      </c>
      <c r="AX8" s="1366">
        <f>(IF('Water Report'!$J$21&gt;0,'Water Report'!$J$21,0))</f>
        <v>74</v>
      </c>
      <c r="AY8" s="1366">
        <f>(IF('Water Report'!$J$22&gt;0,'Water Report'!$J$22,0))</f>
        <v>25</v>
      </c>
      <c r="AZ8" s="1366">
        <f>(IF('Water Report'!$J$23&gt;0,'Water Report'!$J$23,0))</f>
        <v>0</v>
      </c>
      <c r="BA8" s="1366">
        <f>(IF('Water Report'!$J$14&gt;0,'Water Report'!$J$14,0))</f>
        <v>10</v>
      </c>
      <c r="BB8" s="1366">
        <f>(IF('Water Report'!$J$15&gt;0,'Water Report'!$J$15,0))</f>
        <v>12</v>
      </c>
      <c r="BC8" s="1366">
        <f>(IF('Water Report'!$J$13&gt;0,'Water Report'!$J$13,0))</f>
        <v>18</v>
      </c>
      <c r="BD8" s="1366">
        <f>(IF('Water Report'!$J$24&gt;0,'Water Report'!$J$24,0))</f>
        <v>168</v>
      </c>
      <c r="BE8" s="1366">
        <f>(IF('Water Report'!$J$25&gt;0,'Water Report'!$J$25,0))</f>
        <v>135</v>
      </c>
      <c r="BF8" s="1366">
        <f>(IF('Water Report'!$J$27&gt;0,'Water Report'!$J$27,0))</f>
        <v>92</v>
      </c>
      <c r="BG8" s="1292">
        <f>(IF('Section Load'!AN11&gt;0,'Section Load'!AN11,0))</f>
        <v>850.19000000017695</v>
      </c>
      <c r="BH8" s="1292">
        <f>(IF('Section Load'!AO11&gt;0,'Section Load'!AO11,0))</f>
        <v>259.97999999998137</v>
      </c>
      <c r="BI8" s="1292">
        <f>(IF('Section Load'!AP11&gt;0,'Section Load'!AP11,0))</f>
        <v>0</v>
      </c>
      <c r="BJ8" s="1292">
        <f>(IF('Section Load'!AQ11&gt;0,'Section Load'!AQ11,0))</f>
        <v>79.419999999983702</v>
      </c>
      <c r="BK8" s="1292">
        <f>(IF('Section Load'!AR11&gt;0,'Section Load'!AR11,0))</f>
        <v>36.700000000000728</v>
      </c>
      <c r="BL8" s="1292">
        <f>(IF('Section Load'!AS11&gt;0,'Section Load'!AS11,0))</f>
        <v>1.4000000000014552</v>
      </c>
      <c r="BM8" s="1292">
        <f>(IF('Section Load'!AT11&gt;0,'Section Load'!AT11,0))</f>
        <v>473.09000000020387</v>
      </c>
    </row>
    <row r="9" spans="1:65">
      <c r="A9" s="1274" t="s">
        <v>299</v>
      </c>
      <c r="B9" s="1275">
        <f t="shared" si="0"/>
        <v>8</v>
      </c>
      <c r="C9" s="1275">
        <v>7</v>
      </c>
      <c r="D9" s="1275">
        <v>2021</v>
      </c>
      <c r="E9" s="1290">
        <f>(IF('Section Load'!F12&gt;0,'Section Load'!F12,0))</f>
        <v>3141.7000000001863</v>
      </c>
      <c r="F9" s="1290">
        <f>(IF('Section Load'!G12&gt;0,'Section Load'!G12,0))</f>
        <v>1563.2200000000012</v>
      </c>
      <c r="G9" s="1290">
        <f>(IF('Section Load'!H12&gt;0,'Section Load'!H12,0))</f>
        <v>1545.1600000000035</v>
      </c>
      <c r="H9" s="1290">
        <f>(IF('Section Load'!I12&gt;0,'Section Load'!I12,0))</f>
        <v>3552.4000000000233</v>
      </c>
      <c r="I9" s="1290">
        <f>(IF('Section Load'!J12&gt;0,'Section Load'!J12,0))</f>
        <v>6741.3199999999779</v>
      </c>
      <c r="J9" s="1290">
        <f>(IF('Section Load'!K12&gt;0,'Section Load'!K12,0))</f>
        <v>2769</v>
      </c>
      <c r="K9" s="1290">
        <f>(IF('Section Load'!L12&gt;0,'Section Load'!L12,0))</f>
        <v>1089.6300000000047</v>
      </c>
      <c r="L9" s="1290">
        <f>(IF('Section Load'!M12&gt;0,'Section Load'!M12,0))</f>
        <v>674.62999999999738</v>
      </c>
      <c r="M9" s="1290">
        <f>(IF('Section Load'!N12&gt;0,'Section Load'!N12,0))</f>
        <v>13</v>
      </c>
      <c r="N9" s="1290">
        <f>(IF('Section Load'!O12&gt;0,'Section Load'!O12,0))</f>
        <v>1</v>
      </c>
      <c r="O9" s="1290">
        <f>(IF('Section Load'!P12&gt;0,'Section Load'!P12,0))</f>
        <v>1</v>
      </c>
      <c r="P9" s="1290">
        <f>(IF('Section Load'!Q12&gt;0,'Section Load'!Q12,0))</f>
        <v>144.14000000000306</v>
      </c>
      <c r="Q9" s="1290">
        <f>(IF('Section Load'!R12&gt;0,'Section Load'!R12,0))</f>
        <v>67.219999999999345</v>
      </c>
      <c r="R9" s="1290">
        <f>(IF('Section Load'!S12&gt;0,'Section Load'!S12,0))</f>
        <v>71</v>
      </c>
      <c r="S9" s="1290">
        <f>(IF('Section Load'!T12&gt;0,'Section Load'!T12,0))</f>
        <v>86</v>
      </c>
      <c r="T9" s="1290">
        <f>(IF('Section Load'!U12&gt;0,'Section Load'!U12,0))</f>
        <v>152</v>
      </c>
      <c r="U9" s="1290">
        <f>(IF('Section Load'!V12&gt;0,'Section Load'!V12,0))</f>
        <v>414.23999999999069</v>
      </c>
      <c r="V9" s="1290">
        <f>(IF('Section Load'!W12&gt;0,'Section Load'!W12,0))</f>
        <v>194.8399999999674</v>
      </c>
      <c r="W9" s="1290">
        <f>(IF('Section Load'!X12&gt;0,'Section Load'!X12,0))</f>
        <v>19.880000000004657</v>
      </c>
      <c r="X9" s="1290">
        <f>(IF('Section Load'!Y12&gt;0,'Section Load'!Y12,0))</f>
        <v>177.37000000000262</v>
      </c>
      <c r="Y9" s="1290">
        <f>(IF('Section Load'!Z12&gt;0,'Section Load'!Z12,0))</f>
        <v>225</v>
      </c>
      <c r="Z9" s="1290">
        <f>(IF('Section Load'!AA12&gt;0,'Section Load'!AA12,0))</f>
        <v>29.71999999997206</v>
      </c>
      <c r="AA9" s="1290">
        <f>(IF('Section Load'!AB12&gt;0,'Section Load'!AB12,0))</f>
        <v>31.399999999994179</v>
      </c>
      <c r="AB9" s="1290">
        <f>(IF('Section Load'!AC12&gt;0,'Section Load'!AC12,0))</f>
        <v>151.57000000000698</v>
      </c>
      <c r="AC9" s="1290">
        <f>(IF('Section Load'!AD12&gt;0,'Section Load'!AD12,0))</f>
        <v>183.10000000000582</v>
      </c>
      <c r="AD9" s="1290">
        <f>(IF('Section Load'!AE12&gt;0,'Section Load'!AE12,0))</f>
        <v>0</v>
      </c>
      <c r="AE9" s="1290">
        <f>(IF('Section Load'!AF12&gt;0,'Section Load'!AF12,0))</f>
        <v>0</v>
      </c>
      <c r="AF9" s="1290">
        <f>(IF('Section Load'!AG12&gt;0,'Section Load'!AG12,0))</f>
        <v>525.04000000000815</v>
      </c>
      <c r="AG9" s="1290">
        <f>(IF('Section Load'!AH12&gt;0,'Section Load'!AH12,0))</f>
        <v>271.82000000000698</v>
      </c>
      <c r="AH9" s="1290">
        <f>(IF('Section Load'!AI12&gt;0,'Section Load'!AI12,0))</f>
        <v>398.20999999999185</v>
      </c>
      <c r="AI9" s="1290">
        <f>(IF('Section Load'!AJ12&gt;0,'Section Load'!AJ12,0))</f>
        <v>444.44000000000233</v>
      </c>
      <c r="AJ9" s="1290">
        <f>(IF('Section Load'!AK12&gt;0,'Section Load'!AK12,0))</f>
        <v>0</v>
      </c>
      <c r="AK9" s="1290">
        <f>(IF('Section Load'!AL12&gt;0,'Section Load'!AL12,0))</f>
        <v>261.61999999999534</v>
      </c>
      <c r="AL9" s="1290">
        <f>(IF('Section Load'!AM12&gt;0,'Section Load'!AM12,0))</f>
        <v>809</v>
      </c>
      <c r="AM9" s="1291">
        <f>(IF('Water Report'!$K$7&gt;0,'Water Report'!$K$7,0))</f>
        <v>81</v>
      </c>
      <c r="AN9" s="1291">
        <f>(IF('Water Report'!$K$8&gt;0,'Water Report'!$K$8,0))</f>
        <v>121</v>
      </c>
      <c r="AO9" s="1291">
        <f>(IF('Water Report'!$K$9&gt;0,'Water Report'!$K$9,0))</f>
        <v>80</v>
      </c>
      <c r="AP9" s="1291">
        <f>(IF('Water Report'!$K$10&gt;0,'Water Report'!$K$10,0))</f>
        <v>17</v>
      </c>
      <c r="AQ9" s="1291">
        <f>(IF('Water Report'!$K$11&gt;0,'Water Report'!$K$11,0))</f>
        <v>24</v>
      </c>
      <c r="AR9" s="1291">
        <f>(IF('Water Report'!$K$13&gt;0,'Water Report'!$K$13,0))</f>
        <v>20</v>
      </c>
      <c r="AS9" s="1291">
        <f>(IF('Water Report'!$K$14&gt;0,'Water Report'!$K$14,0))</f>
        <v>11</v>
      </c>
      <c r="AT9" s="1291">
        <f>(IF('Water Report'!$K$15&gt;0,'Water Report'!$K$15,0))</f>
        <v>8</v>
      </c>
      <c r="AU9" s="1291">
        <f>(IF('Water Report'!$K$17&gt;0,'Water Report'!$K$17,0))</f>
        <v>0</v>
      </c>
      <c r="AV9" s="1291">
        <f>(IF('Water Report'!$K$18&gt;0,'Water Report'!$K$18,0))</f>
        <v>7</v>
      </c>
      <c r="AW9" s="1291">
        <f>(IF('Water Report'!$K$19&gt;0,'Water Report'!$K$19,0))</f>
        <v>5</v>
      </c>
      <c r="AX9" s="1366">
        <f>(IF('Water Report'!$K$21&gt;0,'Water Report'!$K$21,0))</f>
        <v>79</v>
      </c>
      <c r="AY9" s="1366">
        <f>(IF('Water Report'!$K$22&gt;0,'Water Report'!$K$22,0))</f>
        <v>21</v>
      </c>
      <c r="AZ9" s="1366">
        <f>(IF('Water Report'!$K$23&gt;0,'Water Report'!$K$23,0))</f>
        <v>0</v>
      </c>
      <c r="BA9" s="1366">
        <f>(IF('Water Report'!$K$14&gt;0,'Water Report'!$K$14,0))</f>
        <v>11</v>
      </c>
      <c r="BB9" s="1366">
        <f>(IF('Water Report'!$K$15&gt;0,'Water Report'!$K$15,0))</f>
        <v>8</v>
      </c>
      <c r="BC9" s="1366">
        <f>(IF('Water Report'!$K$13&gt;0,'Water Report'!$K$13,0))</f>
        <v>20</v>
      </c>
      <c r="BD9" s="1366">
        <f>(IF('Water Report'!$K$24&gt;0,'Water Report'!$K$24,0))</f>
        <v>161</v>
      </c>
      <c r="BE9" s="1366">
        <f>(IF('Water Report'!$K$25&gt;0,'Water Report'!$K$25,0))</f>
        <v>140</v>
      </c>
      <c r="BF9" s="1366">
        <f>(IF('Water Report'!$K$27&gt;0,'Water Report'!$K$27,0))</f>
        <v>99</v>
      </c>
      <c r="BG9" s="1292">
        <f>(IF('Section Load'!AN12&gt;0,'Section Load'!AN12,0))</f>
        <v>821.54999999981374</v>
      </c>
      <c r="BH9" s="1292">
        <f>(IF('Section Load'!AO12&gt;0,'Section Load'!AO12,0))</f>
        <v>251.29000000003725</v>
      </c>
      <c r="BI9" s="1292">
        <f>(IF('Section Load'!AP12&gt;0,'Section Load'!AP12,0))</f>
        <v>0.39999999999417923</v>
      </c>
      <c r="BJ9" s="1292">
        <f>(IF('Section Load'!AQ12&gt;0,'Section Load'!AQ12,0))</f>
        <v>86.580000000016298</v>
      </c>
      <c r="BK9" s="1292">
        <f>(IF('Section Load'!AR12&gt;0,'Section Load'!AR12,0))</f>
        <v>35.700000000000728</v>
      </c>
      <c r="BL9" s="1292">
        <f>(IF('Section Load'!AS12&gt;0,'Section Load'!AS12,0))</f>
        <v>2</v>
      </c>
      <c r="BM9" s="1292">
        <f>(IF('Section Load'!AT12&gt;0,'Section Load'!AT12,0))</f>
        <v>445.57999999976528</v>
      </c>
    </row>
    <row r="10" spans="1:65">
      <c r="A10" s="1274" t="s">
        <v>299</v>
      </c>
      <c r="B10" s="1275">
        <f t="shared" si="0"/>
        <v>9</v>
      </c>
      <c r="C10" s="1275">
        <v>7</v>
      </c>
      <c r="D10" s="1275">
        <v>2021</v>
      </c>
      <c r="E10" s="1290">
        <f>(IF('Section Load'!F13&gt;0,'Section Load'!F13,0))</f>
        <v>3259.2699999999022</v>
      </c>
      <c r="F10" s="1290">
        <f>(IF('Section Load'!G13&gt;0,'Section Load'!G13,0))</f>
        <v>1605.9899999999907</v>
      </c>
      <c r="G10" s="1290">
        <f>(IF('Section Load'!H13&gt;0,'Section Load'!H13,0))</f>
        <v>1594.7099999999919</v>
      </c>
      <c r="H10" s="1290">
        <f>(IF('Section Load'!I13&gt;0,'Section Load'!I13,0))</f>
        <v>3607.8099999999977</v>
      </c>
      <c r="I10" s="1290">
        <f>(IF('Section Load'!J13&gt;0,'Section Load'!J13,0))</f>
        <v>7248.8100000000413</v>
      </c>
      <c r="J10" s="1290">
        <f>(IF('Section Load'!K13&gt;0,'Section Load'!K13,0))</f>
        <v>2915.5</v>
      </c>
      <c r="K10" s="1290">
        <f>(IF('Section Load'!L13&gt;0,'Section Load'!L13,0))</f>
        <v>981.30000000004657</v>
      </c>
      <c r="L10" s="1290">
        <f>(IF('Section Load'!M13&gt;0,'Section Load'!M13,0))</f>
        <v>812.38000000000102</v>
      </c>
      <c r="M10" s="1290">
        <f>(IF('Section Load'!N13&gt;0,'Section Load'!N13,0))</f>
        <v>14</v>
      </c>
      <c r="N10" s="1290">
        <f>(IF('Section Load'!O13&gt;0,'Section Load'!O13,0))</f>
        <v>1</v>
      </c>
      <c r="O10" s="1290">
        <f>(IF('Section Load'!P13&gt;0,'Section Load'!P13,0))</f>
        <v>1.6999999999970896</v>
      </c>
      <c r="P10" s="1290">
        <f>(IF('Section Load'!Q13&gt;0,'Section Load'!Q13,0))</f>
        <v>171.18999999999869</v>
      </c>
      <c r="Q10" s="1290">
        <f>(IF('Section Load'!R13&gt;0,'Section Load'!R13,0))</f>
        <v>64.420000000000073</v>
      </c>
      <c r="R10" s="1290">
        <f>(IF('Section Load'!S13&gt;0,'Section Load'!S13,0))</f>
        <v>88</v>
      </c>
      <c r="S10" s="1290">
        <f>(IF('Section Load'!T13&gt;0,'Section Load'!T13,0))</f>
        <v>71</v>
      </c>
      <c r="T10" s="1290">
        <f>(IF('Section Load'!U13&gt;0,'Section Load'!U13,0))</f>
        <v>150</v>
      </c>
      <c r="U10" s="1290">
        <f>(IF('Section Load'!V13&gt;0,'Section Load'!V13,0))</f>
        <v>440.71999999997206</v>
      </c>
      <c r="V10" s="1290">
        <f>(IF('Section Load'!W13&gt;0,'Section Load'!W13,0))</f>
        <v>224.35999999998603</v>
      </c>
      <c r="W10" s="1290">
        <f>(IF('Section Load'!X13&gt;0,'Section Load'!X13,0))</f>
        <v>22.149999999994179</v>
      </c>
      <c r="X10" s="1290">
        <f>(IF('Section Load'!Y13&gt;0,'Section Load'!Y13,0))</f>
        <v>191.02999999999884</v>
      </c>
      <c r="Y10" s="1290">
        <f>(IF('Section Load'!Z13&gt;0,'Section Load'!Z13,0))</f>
        <v>239</v>
      </c>
      <c r="Z10" s="1290">
        <f>(IF('Section Load'!AA13&gt;0,'Section Load'!AA13,0))</f>
        <v>20.080000000016298</v>
      </c>
      <c r="AA10" s="1290">
        <f>(IF('Section Load'!AB13&gt;0,'Section Load'!AB13,0))</f>
        <v>31</v>
      </c>
      <c r="AB10" s="1290">
        <f>(IF('Section Load'!AC13&gt;0,'Section Load'!AC13,0))</f>
        <v>116.33999999999651</v>
      </c>
      <c r="AC10" s="1290">
        <f>(IF('Section Load'!AD13&gt;0,'Section Load'!AD13,0))</f>
        <v>64.499999999994088</v>
      </c>
      <c r="AD10" s="1290">
        <f>(IF('Section Load'!AE13&gt;0,'Section Load'!AE13,0))</f>
        <v>0</v>
      </c>
      <c r="AE10" s="1290">
        <f>(IF('Section Load'!AF13&gt;0,'Section Load'!AF13,0))</f>
        <v>0</v>
      </c>
      <c r="AF10" s="1290">
        <f>(IF('Section Load'!AG13&gt;0,'Section Load'!AG13,0))</f>
        <v>415.60999999998603</v>
      </c>
      <c r="AG10" s="1290">
        <f>(IF('Section Load'!AH13&gt;0,'Section Load'!AH13,0))</f>
        <v>341.25</v>
      </c>
      <c r="AH10" s="1290">
        <f>(IF('Section Load'!AI13&gt;0,'Section Load'!AI13,0))</f>
        <v>396.97000000000116</v>
      </c>
      <c r="AI10" s="1290">
        <f>(IF('Section Load'!AJ13&gt;0,'Section Load'!AJ13,0))</f>
        <v>435.86999999999534</v>
      </c>
      <c r="AJ10" s="1290">
        <f>(IF('Section Load'!AK13&gt;0,'Section Load'!AK13,0))</f>
        <v>0</v>
      </c>
      <c r="AK10" s="1290">
        <f>(IF('Section Load'!AL13&gt;0,'Section Load'!AL13,0))</f>
        <v>285.94000000000233</v>
      </c>
      <c r="AL10" s="1290">
        <f>(IF('Section Load'!AM13&gt;0,'Section Load'!AM13,0))</f>
        <v>856</v>
      </c>
      <c r="AM10" s="1291">
        <f>(IF('Water Report'!$L$7&gt;0,'Water Report'!$L$7,0))</f>
        <v>87</v>
      </c>
      <c r="AN10" s="1291">
        <f>(IF('Water Report'!$L$8&gt;0,'Water Report'!$L$8,0))</f>
        <v>91</v>
      </c>
      <c r="AO10" s="1291">
        <f>(IF('Water Report'!$L$9&gt;0,'Water Report'!$L$9,0))</f>
        <v>93</v>
      </c>
      <c r="AP10" s="1291">
        <f>(IF('Water Report'!$L$10&gt;0,'Water Report'!$L$10,0))</f>
        <v>19</v>
      </c>
      <c r="AQ10" s="1291">
        <f>(IF('Water Report'!$L$11&gt;0,'Water Report'!$L$11,0))</f>
        <v>24</v>
      </c>
      <c r="AR10" s="1291">
        <f>(IF('Water Report'!$L$13&gt;0,'Water Report'!$L$13,0))</f>
        <v>14</v>
      </c>
      <c r="AS10" s="1291">
        <f>(IF('Water Report'!$L$14&gt;0,'Water Report'!$L$14,0))</f>
        <v>12</v>
      </c>
      <c r="AT10" s="1291">
        <f>(IF('Water Report'!$L$15&gt;0,'Water Report'!$L$15,0))</f>
        <v>6</v>
      </c>
      <c r="AU10" s="1291">
        <f>(IF('Water Report'!$L$17&gt;0,'Water Report'!$L$17,0))</f>
        <v>0</v>
      </c>
      <c r="AV10" s="1291">
        <f>(IF('Water Report'!$L$18&gt;0,'Water Report'!$L$18,0))</f>
        <v>7</v>
      </c>
      <c r="AW10" s="1291">
        <f>(IF('Water Report'!$L$19&gt;0,'Water Report'!$L$19,0))</f>
        <v>6</v>
      </c>
      <c r="AX10" s="1366">
        <f>(IF('Water Report'!$L$21&gt;0,'Water Report'!$L$21,0))</f>
        <v>89</v>
      </c>
      <c r="AY10" s="1366">
        <f>(IF('Water Report'!$L$22&gt;0,'Water Report'!$L$22,0))</f>
        <v>26</v>
      </c>
      <c r="AZ10" s="1366">
        <f>(IF('Water Report'!$L$23&gt;0,'Water Report'!$L$23,0))</f>
        <v>0</v>
      </c>
      <c r="BA10" s="1366">
        <f>(IF('Water Report'!$L$14&gt;0,'Water Report'!$L$14,0))</f>
        <v>12</v>
      </c>
      <c r="BB10" s="1366">
        <f>(IF('Water Report'!$L$15&gt;0,'Water Report'!$L$15,0))</f>
        <v>6</v>
      </c>
      <c r="BC10" s="1366">
        <f>(IF('Water Report'!$L$13&gt;0,'Water Report'!$L$13,0))</f>
        <v>14</v>
      </c>
      <c r="BD10" s="1366">
        <f>(IF('Water Report'!$L$24&gt;0,'Water Report'!$L$24,0))</f>
        <v>191</v>
      </c>
      <c r="BE10" s="1366">
        <f>(IF('Water Report'!$L$25&gt;0,'Water Report'!$L$25,0))</f>
        <v>154</v>
      </c>
      <c r="BF10" s="1366">
        <f>(IF('Water Report'!$L$27&gt;0,'Water Report'!$L$27,0))</f>
        <v>103</v>
      </c>
      <c r="BG10" s="1292">
        <f>(IF('Section Load'!AN13&gt;0,'Section Load'!AN13,0))</f>
        <v>830.84000000008382</v>
      </c>
      <c r="BH10" s="1292">
        <f>(IF('Section Load'!AO13&gt;0,'Section Load'!AO13,0))</f>
        <v>315.86999999999534</v>
      </c>
      <c r="BI10" s="1292">
        <f>(IF('Section Load'!AP13&gt;0,'Section Load'!AP13,0))</f>
        <v>0</v>
      </c>
      <c r="BJ10" s="1292">
        <f>(IF('Section Load'!AQ13&gt;0,'Section Load'!AQ13,0))</f>
        <v>98.089999999996508</v>
      </c>
      <c r="BK10" s="1292">
        <f>(IF('Section Load'!AR13&gt;0,'Section Load'!AR13,0))</f>
        <v>37.799999999999272</v>
      </c>
      <c r="BL10" s="1292">
        <f>(IF('Section Load'!AS13&gt;0,'Section Load'!AS13,0))</f>
        <v>2.7999999999992724</v>
      </c>
      <c r="BM10" s="1292">
        <f>(IF('Section Load'!AT13&gt;0,'Section Load'!AT13,0))</f>
        <v>376.28000000009342</v>
      </c>
    </row>
    <row r="11" spans="1:65">
      <c r="A11" s="1274" t="s">
        <v>299</v>
      </c>
      <c r="B11" s="1275">
        <f t="shared" si="0"/>
        <v>10</v>
      </c>
      <c r="C11" s="1275">
        <v>7</v>
      </c>
      <c r="D11" s="1275">
        <v>2021</v>
      </c>
      <c r="E11" s="1290">
        <f>(IF('Section Load'!F14&gt;0,'Section Load'!F14,0))</f>
        <v>3138</v>
      </c>
      <c r="F11" s="1290">
        <f>(IF('Section Load'!G14&gt;0,'Section Load'!G14,0))</f>
        <v>1601</v>
      </c>
      <c r="G11" s="1290">
        <f>(IF('Section Load'!H14&gt;0,'Section Load'!H14,0))</f>
        <v>1644</v>
      </c>
      <c r="H11" s="1290">
        <f>(IF('Section Load'!I14&gt;0,'Section Load'!I14,0))</f>
        <v>3580.3300000000163</v>
      </c>
      <c r="I11" s="1290">
        <f>(IF('Section Load'!J14&gt;0,'Section Load'!J14,0))</f>
        <v>6097</v>
      </c>
      <c r="J11" s="1290">
        <f>(IF('Section Load'!K14&gt;0,'Section Load'!K14,0))</f>
        <v>2543</v>
      </c>
      <c r="K11" s="1290">
        <f>(IF('Section Load'!L14&gt;0,'Section Load'!L14,0))</f>
        <v>1093</v>
      </c>
      <c r="L11" s="1290">
        <f>(IF('Section Load'!M14&gt;0,'Section Load'!M14,0))</f>
        <v>769</v>
      </c>
      <c r="M11" s="1290">
        <f>(IF('Section Load'!N14&gt;0,'Section Load'!N14,0))</f>
        <v>10</v>
      </c>
      <c r="N11" s="1290">
        <f>(IF('Section Load'!O14&gt;0,'Section Load'!O14,0))</f>
        <v>2</v>
      </c>
      <c r="O11" s="1290">
        <f>(IF('Section Load'!P14&gt;0,'Section Load'!P14,0))</f>
        <v>1</v>
      </c>
      <c r="P11" s="1290">
        <f>(IF('Section Load'!Q14&gt;0,'Section Load'!Q14,0))</f>
        <v>170</v>
      </c>
      <c r="Q11" s="1290">
        <f>(IF('Section Load'!R14&gt;0,'Section Load'!R14,0))</f>
        <v>63</v>
      </c>
      <c r="R11" s="1290">
        <f>(IF('Section Load'!S14&gt;0,'Section Load'!S14,0))</f>
        <v>60</v>
      </c>
      <c r="S11" s="1290">
        <f>(IF('Section Load'!T14&gt;0,'Section Load'!T14,0))</f>
        <v>59</v>
      </c>
      <c r="T11" s="1290">
        <f>(IF('Section Load'!U14&gt;0,'Section Load'!U14,0))</f>
        <v>162</v>
      </c>
      <c r="U11" s="1290">
        <f>(IF('Section Load'!V14&gt;0,'Section Load'!V14,0))</f>
        <v>406</v>
      </c>
      <c r="V11" s="1290">
        <f>(IF('Section Load'!W14&gt;0,'Section Load'!W14,0))</f>
        <v>216</v>
      </c>
      <c r="W11" s="1290">
        <f>(IF('Section Load'!X14&gt;0,'Section Load'!X14,0))</f>
        <v>13</v>
      </c>
      <c r="X11" s="1290">
        <f>(IF('Section Load'!Y14&gt;0,'Section Load'!Y14,0))</f>
        <v>194</v>
      </c>
      <c r="Y11" s="1290">
        <f>(IF('Section Load'!Z14&gt;0,'Section Load'!Z14,0))</f>
        <v>227</v>
      </c>
      <c r="Z11" s="1290">
        <f>(IF('Section Load'!AA14&gt;0,'Section Load'!AA14,0))</f>
        <v>23</v>
      </c>
      <c r="AA11" s="1290">
        <f>(IF('Section Load'!AB14&gt;0,'Section Load'!AB14,0))</f>
        <v>15</v>
      </c>
      <c r="AB11" s="1290">
        <f>(IF('Section Load'!AC14&gt;0,'Section Load'!AC14,0))</f>
        <v>117</v>
      </c>
      <c r="AC11" s="1290">
        <f>(IF('Section Load'!AD14&gt;0,'Section Load'!AD14,0))</f>
        <v>27.099999999999909</v>
      </c>
      <c r="AD11" s="1290">
        <f>(IF('Section Load'!AE14&gt;0,'Section Load'!AE14,0))</f>
        <v>0</v>
      </c>
      <c r="AE11" s="1290">
        <f>(IF('Section Load'!AF14&gt;0,'Section Load'!AF14,0))</f>
        <v>0</v>
      </c>
      <c r="AF11" s="1290">
        <f>(IF('Section Load'!AG14&gt;0,'Section Load'!AG14,0))</f>
        <v>374</v>
      </c>
      <c r="AG11" s="1290">
        <f>(IF('Section Load'!AH14&gt;0,'Section Load'!AH14,0))</f>
        <v>396</v>
      </c>
      <c r="AH11" s="1290">
        <f>(IF('Section Load'!AI14&gt;0,'Section Load'!AI14,0))</f>
        <v>401</v>
      </c>
      <c r="AI11" s="1290">
        <f>(IF('Section Load'!AJ14&gt;0,'Section Load'!AJ14,0))</f>
        <v>440</v>
      </c>
      <c r="AJ11" s="1290">
        <f>(IF('Section Load'!AK14&gt;0,'Section Load'!AK14,0))</f>
        <v>0</v>
      </c>
      <c r="AK11" s="1290">
        <f>(IF('Section Load'!AL14&gt;0,'Section Load'!AL14,0))</f>
        <v>257</v>
      </c>
      <c r="AL11" s="1290">
        <f>(IF('Section Load'!AM14&gt;0,'Section Load'!AM14,0))</f>
        <v>785</v>
      </c>
      <c r="AM11" s="1291">
        <f>(IF('Water Report'!$M$7&gt;0,'Water Report'!$M$7,0))</f>
        <v>121</v>
      </c>
      <c r="AN11" s="1291">
        <f>(IF('Water Report'!$M$8&gt;0,'Water Report'!$M$8,0))</f>
        <v>96</v>
      </c>
      <c r="AO11" s="1291">
        <f>(IF('Water Report'!$M$9&gt;0,'Water Report'!$M$9,0))</f>
        <v>76</v>
      </c>
      <c r="AP11" s="1291">
        <f>(IF('Water Report'!$M$10&gt;0,'Water Report'!$M$10,0))</f>
        <v>26</v>
      </c>
      <c r="AQ11" s="1291">
        <f>(IF('Water Report'!$M$11&gt;0,'Water Report'!$M$11,0))</f>
        <v>35</v>
      </c>
      <c r="AR11" s="1291">
        <f>(IF('Water Report'!$M$13&gt;0,'Water Report'!$M$13,0))</f>
        <v>25</v>
      </c>
      <c r="AS11" s="1291">
        <f>(IF('Water Report'!$M$14&gt;0,'Water Report'!$M$14,0))</f>
        <v>22</v>
      </c>
      <c r="AT11" s="1291">
        <f>(IF('Water Report'!$M$15&gt;0,'Water Report'!$M$15,0))</f>
        <v>22</v>
      </c>
      <c r="AU11" s="1291">
        <f>(IF('Water Report'!$M$17&gt;0,'Water Report'!$M$17,0))</f>
        <v>0</v>
      </c>
      <c r="AV11" s="1291">
        <f>(IF('Water Report'!$M$18&gt;0,'Water Report'!$M$18,0))</f>
        <v>11</v>
      </c>
      <c r="AW11" s="1291">
        <f>(IF('Water Report'!$M$19&gt;0,'Water Report'!$M$19,0))</f>
        <v>5</v>
      </c>
      <c r="AX11" s="1366">
        <f>(IF('Water Report'!$M$21&gt;0,'Water Report'!$M$21,0))</f>
        <v>87</v>
      </c>
      <c r="AY11" s="1366">
        <f>(IF('Water Report'!$M$22&gt;0,'Water Report'!$M$22,0))</f>
        <v>14</v>
      </c>
      <c r="AZ11" s="1366">
        <f>(IF('Water Report'!$M$23&gt;0,'Water Report'!$M$23,0))</f>
        <v>0</v>
      </c>
      <c r="BA11" s="1366">
        <f>(IF('Water Report'!$M$14&gt;0,'Water Report'!$M$14,0))</f>
        <v>22</v>
      </c>
      <c r="BB11" s="1366">
        <f>(IF('Water Report'!$M$15&gt;0,'Water Report'!$M$15,0))</f>
        <v>22</v>
      </c>
      <c r="BC11" s="1366">
        <f>(IF('Water Report'!$M$13&gt;0,'Water Report'!$M$13,0))</f>
        <v>25</v>
      </c>
      <c r="BD11" s="1366">
        <f>(IF('Water Report'!$M$24&gt;0,'Water Report'!$M$24,0))</f>
        <v>218</v>
      </c>
      <c r="BE11" s="1366">
        <f>(IF('Water Report'!$M$25&gt;0,'Water Report'!$M$25,0))</f>
        <v>181</v>
      </c>
      <c r="BF11" s="1366">
        <f>(IF('Water Report'!$M$27&gt;0,'Water Report'!$M$27,0))</f>
        <v>112</v>
      </c>
      <c r="BG11" s="1292">
        <f>(IF('Section Load'!AN14&gt;0,'Section Load'!AN14,0))</f>
        <v>829</v>
      </c>
      <c r="BH11" s="1292">
        <f>(IF('Section Load'!AO14&gt;0,'Section Load'!AO14,0))</f>
        <v>223</v>
      </c>
      <c r="BI11" s="1292">
        <f>(IF('Section Load'!AP14&gt;0,'Section Load'!AP14,0))</f>
        <v>0</v>
      </c>
      <c r="BJ11" s="1292">
        <f>(IF('Section Load'!AQ14&gt;0,'Section Load'!AQ14,0))</f>
        <v>102</v>
      </c>
      <c r="BK11" s="1292">
        <f>(IF('Section Load'!AR14&gt;0,'Section Load'!AR14,0))</f>
        <v>44</v>
      </c>
      <c r="BL11" s="1292">
        <f>(IF('Section Load'!AS14&gt;0,'Section Load'!AS14,0))</f>
        <v>8</v>
      </c>
      <c r="BM11" s="1292">
        <f>(IF('Section Load'!AT14&gt;0,'Section Load'!AT14,0))</f>
        <v>452</v>
      </c>
    </row>
    <row r="12" spans="1:65">
      <c r="A12" s="1274" t="s">
        <v>299</v>
      </c>
      <c r="B12" s="1275">
        <f t="shared" si="0"/>
        <v>11</v>
      </c>
      <c r="C12" s="1275">
        <v>7</v>
      </c>
      <c r="D12" s="1275">
        <v>2021</v>
      </c>
      <c r="E12" s="1290">
        <f>(IF('Section Load'!F15&gt;0,'Section Load'!F15,0))</f>
        <v>2956.0300000000279</v>
      </c>
      <c r="F12" s="1290">
        <f>(IF('Section Load'!G15&gt;0,'Section Load'!G15,0))</f>
        <v>1589.75</v>
      </c>
      <c r="G12" s="1290">
        <f>(IF('Section Load'!H15&gt;0,'Section Load'!H15,0))</f>
        <v>1661.7900000000081</v>
      </c>
      <c r="H12" s="1290">
        <f>(IF('Section Load'!I15&gt;0,'Section Load'!I15,0))</f>
        <v>3609.2600000000093</v>
      </c>
      <c r="I12" s="1290">
        <f>(IF('Section Load'!J15&gt;0,'Section Load'!J15,0))</f>
        <v>7134.0600000000122</v>
      </c>
      <c r="J12" s="1290">
        <f>(IF('Section Load'!K15&gt;0,'Section Load'!K15,0))</f>
        <v>2942.3999999999069</v>
      </c>
      <c r="K12" s="1290">
        <f>(IF('Section Load'!L15&gt;0,'Section Load'!L15,0))</f>
        <v>1216.5500000000466</v>
      </c>
      <c r="L12" s="1290">
        <f>(IF('Section Load'!M15&gt;0,'Section Load'!M15,0))</f>
        <v>1013.2099999999991</v>
      </c>
      <c r="M12" s="1290">
        <f>(IF('Section Load'!N15&gt;0,'Section Load'!N15,0))</f>
        <v>11</v>
      </c>
      <c r="N12" s="1290">
        <f>(IF('Section Load'!O15&gt;0,'Section Load'!O15,0))</f>
        <v>1</v>
      </c>
      <c r="O12" s="1290">
        <f>(IF('Section Load'!P15&gt;0,'Section Load'!P15,0))</f>
        <v>1.6000000000058208</v>
      </c>
      <c r="P12" s="1290">
        <f>(IF('Section Load'!Q15&gt;0,'Section Load'!Q15,0))</f>
        <v>150.29000000000087</v>
      </c>
      <c r="Q12" s="1290">
        <f>(IF('Section Load'!R15&gt;0,'Section Load'!R15,0))</f>
        <v>60.290000000000873</v>
      </c>
      <c r="R12" s="1290">
        <f>(IF('Section Load'!S15&gt;0,'Section Load'!S15,0))</f>
        <v>52</v>
      </c>
      <c r="S12" s="1290">
        <f>(IF('Section Load'!T15&gt;0,'Section Load'!T15,0))</f>
        <v>61</v>
      </c>
      <c r="T12" s="1290">
        <f>(IF('Section Load'!U15&gt;0,'Section Load'!U15,0))</f>
        <v>144</v>
      </c>
      <c r="U12" s="1290">
        <f>(IF('Section Load'!V15&gt;0,'Section Load'!V15,0))</f>
        <v>448.1600000000326</v>
      </c>
      <c r="V12" s="1290">
        <f>(IF('Section Load'!W15&gt;0,'Section Load'!W15,0))</f>
        <v>279</v>
      </c>
      <c r="W12" s="1290">
        <f>(IF('Section Load'!X15&gt;0,'Section Load'!X15,0))</f>
        <v>28.610000000000582</v>
      </c>
      <c r="X12" s="1290">
        <f>(IF('Section Load'!Y15&gt;0,'Section Load'!Y15,0))</f>
        <v>222.05999999999767</v>
      </c>
      <c r="Y12" s="1290">
        <f>(IF('Section Load'!Z15&gt;0,'Section Load'!Z15,0))</f>
        <v>262</v>
      </c>
      <c r="Z12" s="1290">
        <f>(IF('Section Load'!AA15&gt;0,'Section Load'!AA15,0))</f>
        <v>49.799999999988358</v>
      </c>
      <c r="AA12" s="1290">
        <f>(IF('Section Load'!AB15&gt;0,'Section Load'!AB15,0))</f>
        <v>11.30000000000291</v>
      </c>
      <c r="AB12" s="1290">
        <f>(IF('Section Load'!AC15&gt;0,'Section Load'!AC15,0))</f>
        <v>36.410000000003492</v>
      </c>
      <c r="AC12" s="1290">
        <f>(IF('Section Load'!AD15&gt;0,'Section Load'!AD15,0))</f>
        <v>12.700000000003001</v>
      </c>
      <c r="AD12" s="1290">
        <f>(IF('Section Load'!AE15&gt;0,'Section Load'!AE15,0))</f>
        <v>0</v>
      </c>
      <c r="AE12" s="1290">
        <f>(IF('Section Load'!AF15&gt;0,'Section Load'!AF15,0))</f>
        <v>0</v>
      </c>
      <c r="AF12" s="1290">
        <f>(IF('Section Load'!AG15&gt;0,'Section Load'!AG15,0))</f>
        <v>374.42999999999302</v>
      </c>
      <c r="AG12" s="1290">
        <f>(IF('Section Load'!AH15&gt;0,'Section Load'!AH15,0))</f>
        <v>386.92999999999302</v>
      </c>
      <c r="AH12" s="1290">
        <f>(IF('Section Load'!AI15&gt;0,'Section Load'!AI15,0))</f>
        <v>431.13000000000466</v>
      </c>
      <c r="AI12" s="1290">
        <f>(IF('Section Load'!AJ15&gt;0,'Section Load'!AJ15,0))</f>
        <v>435.69000000000233</v>
      </c>
      <c r="AJ12" s="1290">
        <f>(IF('Section Load'!AK15&gt;0,'Section Load'!AK15,0))</f>
        <v>0</v>
      </c>
      <c r="AK12" s="1290">
        <f>(IF('Section Load'!AL15&gt;0,'Section Load'!AL15,0))</f>
        <v>281</v>
      </c>
      <c r="AL12" s="1290">
        <f>(IF('Section Load'!AM15&gt;0,'Section Load'!AM15,0))</f>
        <v>784</v>
      </c>
      <c r="AM12" s="1291">
        <f>(IF('Water Report'!$N$7&gt;0,'Water Report'!$N$7,0))</f>
        <v>129</v>
      </c>
      <c r="AN12" s="1291">
        <f>(IF('Water Report'!$N$8&gt;0,'Water Report'!$N$8,0))</f>
        <v>163</v>
      </c>
      <c r="AO12" s="1291">
        <f>(IF('Water Report'!$N$9&gt;0,'Water Report'!$N$9,0))</f>
        <v>77</v>
      </c>
      <c r="AP12" s="1291">
        <f>(IF('Water Report'!$N$10&gt;0,'Water Report'!$N$10,0))</f>
        <v>32</v>
      </c>
      <c r="AQ12" s="1291">
        <f>(IF('Water Report'!$N$11&gt;0,'Water Report'!$N$11,0))</f>
        <v>41</v>
      </c>
      <c r="AR12" s="1291">
        <f>(IF('Water Report'!$N$13&gt;0,'Water Report'!$N$13,0))</f>
        <v>17</v>
      </c>
      <c r="AS12" s="1291">
        <f>(IF('Water Report'!$N$14&gt;0,'Water Report'!$N$14,0))</f>
        <v>17</v>
      </c>
      <c r="AT12" s="1291">
        <f>(IF('Water Report'!$N$15&gt;0,'Water Report'!$N$15,0))</f>
        <v>9</v>
      </c>
      <c r="AU12" s="1291">
        <f>(IF('Water Report'!$N$17&gt;0,'Water Report'!$N$17,0))</f>
        <v>0</v>
      </c>
      <c r="AV12" s="1291">
        <f>(IF('Water Report'!$N$18&gt;0,'Water Report'!$N$18,0))</f>
        <v>12</v>
      </c>
      <c r="AW12" s="1291">
        <f>(IF('Water Report'!$N$19&gt;0,'Water Report'!$N$19,0))</f>
        <v>5</v>
      </c>
      <c r="AX12" s="1366">
        <f>(IF('Water Report'!$N$21&gt;0,'Water Report'!$N$21,0))</f>
        <v>65</v>
      </c>
      <c r="AY12" s="1366">
        <f>(IF('Water Report'!$N$22&gt;0,'Water Report'!$N$22,0))</f>
        <v>24</v>
      </c>
      <c r="AZ12" s="1366">
        <f>(IF('Water Report'!$N$23&gt;0,'Water Report'!$N$23,0))</f>
        <v>0</v>
      </c>
      <c r="BA12" s="1366">
        <f>(IF('Water Report'!$N$14&gt;0,'Water Report'!$N$14,0))</f>
        <v>17</v>
      </c>
      <c r="BB12" s="1366">
        <f>(IF('Water Report'!$N$15&gt;0,'Water Report'!$N$15,0))</f>
        <v>9</v>
      </c>
      <c r="BC12" s="1366">
        <f>(IF('Water Report'!$N$13&gt;0,'Water Report'!$N$13,0))</f>
        <v>17</v>
      </c>
      <c r="BD12" s="1366">
        <f>(IF('Water Report'!$N$24&gt;0,'Water Report'!$N$24,0))</f>
        <v>240</v>
      </c>
      <c r="BE12" s="1366">
        <f>(IF('Water Report'!$N$25&gt;0,'Water Report'!$N$25,0))</f>
        <v>176</v>
      </c>
      <c r="BF12" s="1366">
        <f>(IF('Water Report'!$N$27&gt;0,'Water Report'!$N$27,0))</f>
        <v>82</v>
      </c>
      <c r="BG12" s="1292">
        <f>(IF('Section Load'!AN15&gt;0,'Section Load'!AN15,0))</f>
        <v>986.40999999991618</v>
      </c>
      <c r="BH12" s="1292">
        <f>(IF('Section Load'!AO15&gt;0,'Section Load'!AO15,0))</f>
        <v>295.88000000000466</v>
      </c>
      <c r="BI12" s="1292">
        <f>(IF('Section Load'!AP15&gt;0,'Section Load'!AP15,0))</f>
        <v>0</v>
      </c>
      <c r="BJ12" s="1292">
        <f>(IF('Section Load'!AQ15&gt;0,'Section Load'!AQ15,0))</f>
        <v>89.910000000003492</v>
      </c>
      <c r="BK12" s="1292">
        <f>(IF('Section Load'!AR15&gt;0,'Section Load'!AR15,0))</f>
        <v>46.799999999999272</v>
      </c>
      <c r="BL12" s="1292">
        <f>(IF('Section Load'!AS15&gt;0,'Section Load'!AS15,0))</f>
        <v>4.7000000000007276</v>
      </c>
      <c r="BM12" s="1292">
        <f>(IF('Section Load'!AT15&gt;0,'Section Load'!AT15,0))</f>
        <v>549.11999999990803</v>
      </c>
    </row>
    <row r="13" spans="1:65">
      <c r="A13" s="1274" t="s">
        <v>299</v>
      </c>
      <c r="B13" s="1275">
        <f t="shared" si="0"/>
        <v>12</v>
      </c>
      <c r="C13" s="1275">
        <v>7</v>
      </c>
      <c r="D13" s="1275">
        <v>2021</v>
      </c>
      <c r="E13" s="1290">
        <f>(IF('Section Load'!F16&gt;0,'Section Load'!F16,0))</f>
        <v>3001.4000000000233</v>
      </c>
      <c r="F13" s="1290">
        <f>(IF('Section Load'!G16&gt;0,'Section Load'!G16,0))</f>
        <v>1595.1199999999953</v>
      </c>
      <c r="G13" s="1290">
        <f>(IF('Section Load'!H16&gt;0,'Section Load'!H16,0))</f>
        <v>1595.1999999999825</v>
      </c>
      <c r="H13" s="1290">
        <f>(IF('Section Load'!I16&gt;0,'Section Load'!I16,0))</f>
        <v>3711.7399999999907</v>
      </c>
      <c r="I13" s="1290">
        <f>(IF('Section Load'!J16&gt;0,'Section Load'!J16,0))</f>
        <v>6204.239999999998</v>
      </c>
      <c r="J13" s="1290">
        <f>(IF('Section Load'!K16&gt;0,'Section Load'!K16,0))</f>
        <v>2563.2000000001863</v>
      </c>
      <c r="K13" s="1290">
        <f>(IF('Section Load'!L16&gt;0,'Section Load'!L16,0))</f>
        <v>1103.5599999999395</v>
      </c>
      <c r="L13" s="1290">
        <f>(IF('Section Load'!M16&gt;0,'Section Load'!M16,0))</f>
        <v>695.77000000000044</v>
      </c>
      <c r="M13" s="1290">
        <f>(IF('Section Load'!N16&gt;0,'Section Load'!N16,0))</f>
        <v>13</v>
      </c>
      <c r="N13" s="1290">
        <f>(IF('Section Load'!O16&gt;0,'Section Load'!O16,0))</f>
        <v>1</v>
      </c>
      <c r="O13" s="1290">
        <f>(IF('Section Load'!P16&gt;0,'Section Load'!P16,0))</f>
        <v>1.6999999999970896</v>
      </c>
      <c r="P13" s="1290">
        <f>(IF('Section Load'!Q16&gt;0,'Section Load'!Q16,0))</f>
        <v>145.54999999999927</v>
      </c>
      <c r="Q13" s="1290">
        <f>(IF('Section Load'!R16&gt;0,'Section Load'!R16,0))</f>
        <v>66</v>
      </c>
      <c r="R13" s="1290">
        <f>(IF('Section Load'!S16&gt;0,'Section Load'!S16,0))</f>
        <v>53</v>
      </c>
      <c r="S13" s="1290">
        <f>(IF('Section Load'!T16&gt;0,'Section Load'!T16,0))</f>
        <v>56</v>
      </c>
      <c r="T13" s="1290">
        <f>(IF('Section Load'!U16&gt;0,'Section Load'!U16,0))</f>
        <v>155</v>
      </c>
      <c r="U13" s="1290">
        <f>(IF('Section Load'!V16&gt;0,'Section Load'!V16,0))</f>
        <v>418.88000000000466</v>
      </c>
      <c r="V13" s="1290">
        <f>(IF('Section Load'!W16&gt;0,'Section Load'!W16,0))</f>
        <v>132.31999999994878</v>
      </c>
      <c r="W13" s="1290">
        <f>(IF('Section Load'!X16&gt;0,'Section Load'!X16,0))</f>
        <v>14.160000000003492</v>
      </c>
      <c r="X13" s="1290">
        <f>(IF('Section Load'!Y16&gt;0,'Section Load'!Y16,0))</f>
        <v>231.10000000000582</v>
      </c>
      <c r="Y13" s="1290">
        <f>(IF('Section Load'!Z16&gt;0,'Section Load'!Z16,0))</f>
        <v>237</v>
      </c>
      <c r="Z13" s="1290">
        <f>(IF('Section Load'!AA16&gt;0,'Section Load'!AA16,0))</f>
        <v>31.840000000025611</v>
      </c>
      <c r="AA13" s="1290">
        <f>(IF('Section Load'!AB16&gt;0,'Section Load'!AB16,0))</f>
        <v>24.80000000000291</v>
      </c>
      <c r="AB13" s="1290">
        <f>(IF('Section Load'!AC16&gt;0,'Section Load'!AC16,0))</f>
        <v>112.32000000000698</v>
      </c>
      <c r="AC13" s="1290">
        <f>(IF('Section Load'!AD16&gt;0,'Section Load'!AD16,0))</f>
        <v>28.600000000002638</v>
      </c>
      <c r="AD13" s="1290">
        <f>(IF('Section Load'!AE16&gt;0,'Section Load'!AE16,0))</f>
        <v>0</v>
      </c>
      <c r="AE13" s="1290">
        <f>(IF('Section Load'!AF16&gt;0,'Section Load'!AF16,0))</f>
        <v>0</v>
      </c>
      <c r="AF13" s="1290">
        <f>(IF('Section Load'!AG16&gt;0,'Section Load'!AG16,0))</f>
        <v>374.82000000000698</v>
      </c>
      <c r="AG13" s="1290">
        <f>(IF('Section Load'!AH16&gt;0,'Section Load'!AH16,0))</f>
        <v>381.96000000002095</v>
      </c>
      <c r="AH13" s="1290">
        <f>(IF('Section Load'!AI16&gt;0,'Section Load'!AI16,0))</f>
        <v>421.83000000000175</v>
      </c>
      <c r="AI13" s="1290">
        <f>(IF('Section Load'!AJ16&gt;0,'Section Load'!AJ16,0))</f>
        <v>440.97999999998137</v>
      </c>
      <c r="AJ13" s="1290">
        <f>(IF('Section Load'!AK16&gt;0,'Section Load'!AK16,0))</f>
        <v>0</v>
      </c>
      <c r="AK13" s="1290">
        <f>(IF('Section Load'!AL16&gt;0,'Section Load'!AL16,0))</f>
        <v>282.99000000000524</v>
      </c>
      <c r="AL13" s="1290">
        <f>(IF('Section Load'!AM16&gt;0,'Section Load'!AM16,0))</f>
        <v>767</v>
      </c>
      <c r="AM13" s="1291">
        <f>(IF('Water Report'!$O$7&gt;0,'Water Report'!$O$7,0))</f>
        <v>95</v>
      </c>
      <c r="AN13" s="1291">
        <f>(IF('Water Report'!$O$8&gt;0,'Water Report'!$O$8,0))</f>
        <v>131</v>
      </c>
      <c r="AO13" s="1291">
        <f>(IF('Water Report'!$O$9&gt;0,'Water Report'!$O$9,0))</f>
        <v>91</v>
      </c>
      <c r="AP13" s="1291">
        <f>(IF('Water Report'!$O$10&gt;0,'Water Report'!$O$10,0))</f>
        <v>22</v>
      </c>
      <c r="AQ13" s="1291">
        <f>(IF('Water Report'!$O$11&gt;0,'Water Report'!$O$11,0))</f>
        <v>21</v>
      </c>
      <c r="AR13" s="1291">
        <f>(IF('Water Report'!$O$13&gt;0,'Water Report'!$O$13,0))</f>
        <v>71</v>
      </c>
      <c r="AS13" s="1291">
        <f>(IF('Water Report'!$O$14&gt;0,'Water Report'!$O$14,0))</f>
        <v>16</v>
      </c>
      <c r="AT13" s="1291">
        <f>(IF('Water Report'!$O$15&gt;0,'Water Report'!$O$15,0))</f>
        <v>11</v>
      </c>
      <c r="AU13" s="1291">
        <f>(IF('Water Report'!$O$17&gt;0,'Water Report'!$O$17,0))</f>
        <v>0</v>
      </c>
      <c r="AV13" s="1291">
        <f>(IF('Water Report'!$O$18&gt;0,'Water Report'!$O$18,0))</f>
        <v>14</v>
      </c>
      <c r="AW13" s="1291">
        <f>(IF('Water Report'!$O$19&gt;0,'Water Report'!$O$19,0))</f>
        <v>5</v>
      </c>
      <c r="AX13" s="1366">
        <f>(IF('Water Report'!$O$21&gt;0,'Water Report'!$O$21,0))</f>
        <v>64</v>
      </c>
      <c r="AY13" s="1366">
        <f>(IF('Water Report'!$O$22&gt;0,'Water Report'!$O$22,0))</f>
        <v>70</v>
      </c>
      <c r="AZ13" s="1366">
        <f>(IF('Water Report'!$O$23&gt;0,'Water Report'!$O$23,0))</f>
        <v>0</v>
      </c>
      <c r="BA13" s="1366">
        <f>(IF('Water Report'!$O$14&gt;0,'Water Report'!$O$14,0))</f>
        <v>16</v>
      </c>
      <c r="BB13" s="1366">
        <f>(IF('Water Report'!$O$15&gt;0,'Water Report'!$O$15,0))</f>
        <v>11</v>
      </c>
      <c r="BC13" s="1366">
        <f>(IF('Water Report'!$O$13&gt;0,'Water Report'!$O$13,0))</f>
        <v>71</v>
      </c>
      <c r="BD13" s="1366">
        <f>(IF('Water Report'!$O$24&gt;0,'Water Report'!$O$24,0))</f>
        <v>186</v>
      </c>
      <c r="BE13" s="1366">
        <f>(IF('Water Report'!$O$25&gt;0,'Water Report'!$O$25,0))</f>
        <v>161</v>
      </c>
      <c r="BF13" s="1366">
        <f>(IF('Water Report'!$O$27&gt;0,'Water Report'!$O$27,0))</f>
        <v>135</v>
      </c>
      <c r="BG13" s="1292">
        <f>(IF('Section Load'!AN16&gt;0,'Section Load'!AN16,0))</f>
        <v>914.79000000003725</v>
      </c>
      <c r="BH13" s="1292">
        <f>(IF('Section Load'!AO16&gt;0,'Section Load'!AO16,0))</f>
        <v>267.13000000000466</v>
      </c>
      <c r="BI13" s="1292">
        <f>(IF('Section Load'!AP16&gt;0,'Section Load'!AP16,0))</f>
        <v>0</v>
      </c>
      <c r="BJ13" s="1292">
        <f>(IF('Section Load'!AQ16&gt;0,'Section Load'!AQ16,0))</f>
        <v>104.32000000000698</v>
      </c>
      <c r="BK13" s="1292">
        <f>(IF('Section Load'!AR16&gt;0,'Section Load'!AR16,0))</f>
        <v>35.400000000001455</v>
      </c>
      <c r="BL13" s="1292">
        <f>(IF('Section Load'!AS16&gt;0,'Section Load'!AS16,0))</f>
        <v>4.1999999999989086</v>
      </c>
      <c r="BM13" s="1292">
        <f>(IF('Section Load'!AT16&gt;0,'Section Load'!AT16,0))</f>
        <v>504.14000000001943</v>
      </c>
    </row>
    <row r="14" spans="1:65">
      <c r="A14" s="1274" t="s">
        <v>299</v>
      </c>
      <c r="B14" s="1275">
        <f t="shared" si="0"/>
        <v>13</v>
      </c>
      <c r="C14" s="1275">
        <v>7</v>
      </c>
      <c r="D14" s="1275">
        <v>2021</v>
      </c>
      <c r="E14" s="1290">
        <f>(IF('Section Load'!F17&gt;0,'Section Load'!F17,0))</f>
        <v>2899.5699999999488</v>
      </c>
      <c r="F14" s="1290">
        <f>(IF('Section Load'!G17&gt;0,'Section Load'!G17,0))</f>
        <v>1577.1300000000047</v>
      </c>
      <c r="G14" s="1290">
        <f>(IF('Section Load'!H17&gt;0,'Section Load'!H17,0))</f>
        <v>1632.0100000000093</v>
      </c>
      <c r="H14" s="1290">
        <f>(IF('Section Load'!I17&gt;0,'Section Load'!I17,0))</f>
        <v>3726</v>
      </c>
      <c r="I14" s="1290">
        <f>(IF('Section Load'!J17&gt;0,'Section Load'!J17,0))</f>
        <v>6191.8099999999613</v>
      </c>
      <c r="J14" s="1290">
        <f>(IF('Section Load'!K17&gt;0,'Section Load'!K17,0))</f>
        <v>2552.7299999999068</v>
      </c>
      <c r="K14" s="1290">
        <f>(IF('Section Load'!L17&gt;0,'Section Load'!L17,0))</f>
        <v>1162.890000000014</v>
      </c>
      <c r="L14" s="1290">
        <f>(IF('Section Load'!M17&gt;0,'Section Load'!M17,0))</f>
        <v>969.02000000000044</v>
      </c>
      <c r="M14" s="1290">
        <f>(IF('Section Load'!N17&gt;0,'Section Load'!N17,0))</f>
        <v>13</v>
      </c>
      <c r="N14" s="1290">
        <f>(IF('Section Load'!O17&gt;0,'Section Load'!O17,0))</f>
        <v>2</v>
      </c>
      <c r="O14" s="1290">
        <f>(IF('Section Load'!P17&gt;0,'Section Load'!P17,0))</f>
        <v>1.6999999999970896</v>
      </c>
      <c r="P14" s="1290">
        <f>(IF('Section Load'!Q17&gt;0,'Section Load'!Q17,0))</f>
        <v>155.15999999999985</v>
      </c>
      <c r="Q14" s="1290">
        <f>(IF('Section Load'!R17&gt;0,'Section Load'!R17,0))</f>
        <v>64.709999999999127</v>
      </c>
      <c r="R14" s="1290">
        <f>(IF('Section Load'!S17&gt;0,'Section Load'!S17,0))</f>
        <v>53</v>
      </c>
      <c r="S14" s="1290">
        <f>(IF('Section Load'!T17&gt;0,'Section Load'!T17,0))</f>
        <v>93</v>
      </c>
      <c r="T14" s="1290">
        <f>(IF('Section Load'!U17&gt;0,'Section Load'!U17,0))</f>
        <v>175</v>
      </c>
      <c r="U14" s="1290">
        <f>(IF('Section Load'!V17&gt;0,'Section Load'!V17,0))</f>
        <v>404.95999999996275</v>
      </c>
      <c r="V14" s="1290">
        <f>(IF('Section Load'!W17&gt;0,'Section Load'!W17,0))</f>
        <v>153.68000000005122</v>
      </c>
      <c r="W14" s="1290">
        <f>(IF('Section Load'!X17&gt;0,'Section Load'!X17,0))</f>
        <v>30.229999999995925</v>
      </c>
      <c r="X14" s="1290">
        <f>(IF('Section Load'!Y17&gt;0,'Section Load'!Y17,0))</f>
        <v>206.83999999999651</v>
      </c>
      <c r="Y14" s="1290">
        <f>(IF('Section Load'!Z17&gt;0,'Section Load'!Z17,0))</f>
        <v>232</v>
      </c>
      <c r="Z14" s="1290">
        <f>(IF('Section Load'!AA17&gt;0,'Section Load'!AA17,0))</f>
        <v>17.35999999998603</v>
      </c>
      <c r="AA14" s="1290">
        <f>(IF('Section Load'!AB17&gt;0,'Section Load'!AB17,0))</f>
        <v>26.899999999994179</v>
      </c>
      <c r="AB14" s="1290">
        <f>(IF('Section Load'!AC17&gt;0,'Section Load'!AC17,0))</f>
        <v>148.26999999998952</v>
      </c>
      <c r="AC14" s="1290">
        <f>(IF('Section Load'!AD17&gt;0,'Section Load'!AD17,0))</f>
        <v>29.699999999994361</v>
      </c>
      <c r="AD14" s="1290">
        <f>(IF('Section Load'!AE17&gt;0,'Section Load'!AE17,0))</f>
        <v>0</v>
      </c>
      <c r="AE14" s="1290">
        <f>(IF('Section Load'!AF17&gt;0,'Section Load'!AF17,0))</f>
        <v>0</v>
      </c>
      <c r="AF14" s="1290">
        <f>(IF('Section Load'!AG17&gt;0,'Section Load'!AG17,0))</f>
        <v>373.75</v>
      </c>
      <c r="AG14" s="1290">
        <f>(IF('Section Load'!AH17&gt;0,'Section Load'!AH17,0))</f>
        <v>405.10999999998603</v>
      </c>
      <c r="AH14" s="1290">
        <f>(IF('Section Load'!AI17&gt;0,'Section Load'!AI17,0))</f>
        <v>405.0399999999936</v>
      </c>
      <c r="AI14" s="1290">
        <f>(IF('Section Load'!AJ17&gt;0,'Section Load'!AJ17,0))</f>
        <v>465.3300000000163</v>
      </c>
      <c r="AJ14" s="1290">
        <f>(IF('Section Load'!AK17&gt;0,'Section Load'!AK17,0))</f>
        <v>0</v>
      </c>
      <c r="AK14" s="1290">
        <f>(IF('Section Load'!AL17&gt;0,'Section Load'!AL17,0))</f>
        <v>281.00999999999476</v>
      </c>
      <c r="AL14" s="1290">
        <f>(IF('Section Load'!AM17&gt;0,'Section Load'!AM17,0))</f>
        <v>787</v>
      </c>
      <c r="AM14" s="1291">
        <f>(IF('Water Report'!$P$7&gt;0,'Water Report'!$P$7,0))</f>
        <v>91</v>
      </c>
      <c r="AN14" s="1291">
        <f>(IF('Water Report'!$P$8&gt;0,'Water Report'!$P$8,0))</f>
        <v>106</v>
      </c>
      <c r="AO14" s="1291">
        <f>(IF('Water Report'!$P$9&gt;0,'Water Report'!$P$9,0))</f>
        <v>101</v>
      </c>
      <c r="AP14" s="1291">
        <f>(IF('Water Report'!$P$10&gt;0,'Water Report'!$P$10,0))</f>
        <v>15</v>
      </c>
      <c r="AQ14" s="1291">
        <f>(IF('Water Report'!$P$11&gt;0,'Water Report'!$P$11,0))</f>
        <v>24</v>
      </c>
      <c r="AR14" s="1291">
        <f>(IF('Water Report'!$P$13&gt;0,'Water Report'!$P$13,0))</f>
        <v>17</v>
      </c>
      <c r="AS14" s="1291">
        <f>(IF('Water Report'!$P$14&gt;0,'Water Report'!$P$14,0))</f>
        <v>11</v>
      </c>
      <c r="AT14" s="1291">
        <f>(IF('Water Report'!$P$15&gt;0,'Water Report'!$P$15,0))</f>
        <v>4</v>
      </c>
      <c r="AU14" s="1291">
        <f>(IF('Water Report'!$P$17&gt;0,'Water Report'!$P$17,0))</f>
        <v>0</v>
      </c>
      <c r="AV14" s="1291">
        <f>(IF('Water Report'!$P$18&gt;0,'Water Report'!$P$18,0))</f>
        <v>23</v>
      </c>
      <c r="AW14" s="1291">
        <f>(IF('Water Report'!$P$19&gt;0,'Water Report'!$P$19,0))</f>
        <v>5</v>
      </c>
      <c r="AX14" s="1366">
        <f>(IF('Water Report'!$P$21&gt;0,'Water Report'!$P$21,0))</f>
        <v>65</v>
      </c>
      <c r="AY14" s="1366">
        <f>(IF('Water Report'!$P$22&gt;0,'Water Report'!$P$22,0))</f>
        <v>26</v>
      </c>
      <c r="AZ14" s="1366">
        <f>(IF('Water Report'!$P$23&gt;0,'Water Report'!$P$23,0))</f>
        <v>0</v>
      </c>
      <c r="BA14" s="1366">
        <f>(IF('Water Report'!$P$14&gt;0,'Water Report'!$P$14,0))</f>
        <v>11</v>
      </c>
      <c r="BB14" s="1366">
        <f>(IF('Water Report'!$P$15&gt;0,'Water Report'!$P$15,0))</f>
        <v>4</v>
      </c>
      <c r="BC14" s="1366">
        <f>(IF('Water Report'!$P$13&gt;0,'Water Report'!$P$13,0))</f>
        <v>17</v>
      </c>
      <c r="BD14" s="1366">
        <f>(IF('Water Report'!$P$24&gt;0,'Water Report'!$P$24,0))</f>
        <v>202</v>
      </c>
      <c r="BE14" s="1366">
        <f>(IF('Water Report'!$P$25&gt;0,'Water Report'!$P$25,0))</f>
        <v>155</v>
      </c>
      <c r="BF14" s="1366">
        <f>(IF('Water Report'!$P$27&gt;0,'Water Report'!$P$27,0))</f>
        <v>82</v>
      </c>
      <c r="BG14" s="1292">
        <f>(IF('Section Load'!AN17&gt;0,'Section Load'!AN17,0))</f>
        <v>943.80000000004657</v>
      </c>
      <c r="BH14" s="1292">
        <f>(IF('Section Load'!AO17&gt;0,'Section Load'!AO17,0))</f>
        <v>254.98999999999069</v>
      </c>
      <c r="BI14" s="1292">
        <f>(IF('Section Load'!AP17&gt;0,'Section Load'!AP17,0))</f>
        <v>0</v>
      </c>
      <c r="BJ14" s="1292">
        <f>(IF('Section Load'!AQ17&gt;0,'Section Load'!AQ17,0))</f>
        <v>94.769999999989523</v>
      </c>
      <c r="BK14" s="1292">
        <f>(IF('Section Load'!AR17&gt;0,'Section Load'!AR17,0))</f>
        <v>41.799999999999272</v>
      </c>
      <c r="BL14" s="1292">
        <f>(IF('Section Load'!AS17&gt;0,'Section Load'!AS17,0))</f>
        <v>6.1000000000003638</v>
      </c>
      <c r="BM14" s="1292">
        <f>(IF('Section Load'!AT17&gt;0,'Section Load'!AT17,0))</f>
        <v>546.14000000006672</v>
      </c>
    </row>
    <row r="15" spans="1:65">
      <c r="A15" s="1274" t="s">
        <v>299</v>
      </c>
      <c r="B15" s="1275">
        <f t="shared" si="0"/>
        <v>14</v>
      </c>
      <c r="C15" s="1275">
        <v>7</v>
      </c>
      <c r="D15" s="1275">
        <v>2021</v>
      </c>
      <c r="E15" s="1290">
        <f>(IF('Section Load'!F18&gt;0,'Section Load'!F18,0))</f>
        <v>2878.4700000000303</v>
      </c>
      <c r="F15" s="1290">
        <f>(IF('Section Load'!G18&gt;0,'Section Load'!G18,0))</f>
        <v>1649.3500000000058</v>
      </c>
      <c r="G15" s="1290">
        <f>(IF('Section Load'!H18&gt;0,'Section Load'!H18,0))</f>
        <v>1585.7900000000081</v>
      </c>
      <c r="H15" s="1290">
        <f>(IF('Section Load'!I18&gt;0,'Section Load'!I18,0))</f>
        <v>3716.460000000021</v>
      </c>
      <c r="I15" s="1290">
        <f>(IF('Section Load'!J18&gt;0,'Section Load'!J18,0))</f>
        <v>6122.539999999979</v>
      </c>
      <c r="J15" s="1290">
        <f>(IF('Section Load'!K18&gt;0,'Section Load'!K18,0))</f>
        <v>2640.3000000000466</v>
      </c>
      <c r="K15" s="1290">
        <f>(IF('Section Load'!L18&gt;0,'Section Load'!L18,0))</f>
        <v>1781.5699999999488</v>
      </c>
      <c r="L15" s="1290">
        <f>(IF('Section Load'!M18&gt;0,'Section Load'!M18,0))</f>
        <v>950.38000000000102</v>
      </c>
      <c r="M15" s="1290">
        <f>(IF('Section Load'!N18&gt;0,'Section Load'!N18,0))</f>
        <v>14</v>
      </c>
      <c r="N15" s="1290">
        <f>(IF('Section Load'!O18&gt;0,'Section Load'!O18,0))</f>
        <v>1</v>
      </c>
      <c r="O15" s="1290">
        <f>(IF('Section Load'!P18&gt;0,'Section Load'!P18,0))</f>
        <v>0</v>
      </c>
      <c r="P15" s="1290">
        <f>(IF('Section Load'!Q18&gt;0,'Section Load'!Q18,0))</f>
        <v>147.93000000000029</v>
      </c>
      <c r="Q15" s="1290">
        <f>(IF('Section Load'!R18&gt;0,'Section Load'!R18,0))</f>
        <v>61.979999999999563</v>
      </c>
      <c r="R15" s="1290">
        <f>(IF('Section Load'!S18&gt;0,'Section Load'!S18,0))</f>
        <v>52</v>
      </c>
      <c r="S15" s="1290">
        <f>(IF('Section Load'!T18&gt;0,'Section Load'!T18,0))</f>
        <v>136</v>
      </c>
      <c r="T15" s="1290">
        <f>(IF('Section Load'!U18&gt;0,'Section Load'!U18,0))</f>
        <v>173</v>
      </c>
      <c r="U15" s="1290">
        <f>(IF('Section Load'!V18&gt;0,'Section Load'!V18,0))</f>
        <v>486.80000000004657</v>
      </c>
      <c r="V15" s="1290">
        <f>(IF('Section Load'!W18&gt;0,'Section Load'!W18,0))</f>
        <v>196.04000000003725</v>
      </c>
      <c r="W15" s="1290">
        <f>(IF('Section Load'!X18&gt;0,'Section Load'!X18,0))</f>
        <v>13.5</v>
      </c>
      <c r="X15" s="1290">
        <f>(IF('Section Load'!Y18&gt;0,'Section Load'!Y18,0))</f>
        <v>164.37999999999738</v>
      </c>
      <c r="Y15" s="1290">
        <f>(IF('Section Load'!Z18&gt;0,'Section Load'!Z18,0))</f>
        <v>246</v>
      </c>
      <c r="Z15" s="1290">
        <f>(IF('Section Load'!AA18&gt;0,'Section Load'!AA18,0))</f>
        <v>31.760000000009313</v>
      </c>
      <c r="AA15" s="1290">
        <f>(IF('Section Load'!AB18&gt;0,'Section Load'!AB18,0))</f>
        <v>32.80000000000291</v>
      </c>
      <c r="AB15" s="1290">
        <f>(IF('Section Load'!AC18&gt;0,'Section Load'!AC18,0))</f>
        <v>139.52999999999884</v>
      </c>
      <c r="AC15" s="1290">
        <f>(IF('Section Load'!AD18&gt;0,'Section Load'!AD18,0))</f>
        <v>36.000000000002728</v>
      </c>
      <c r="AD15" s="1290">
        <f>(IF('Section Load'!AE18&gt;0,'Section Load'!AE18,0))</f>
        <v>0</v>
      </c>
      <c r="AE15" s="1290">
        <f>(IF('Section Load'!AF18&gt;0,'Section Load'!AF18,0))</f>
        <v>0</v>
      </c>
      <c r="AF15" s="1290">
        <f>(IF('Section Load'!AG18&gt;0,'Section Load'!AG18,0))</f>
        <v>360.13000000000466</v>
      </c>
      <c r="AG15" s="1290">
        <f>(IF('Section Load'!AH18&gt;0,'Section Load'!AH18,0))</f>
        <v>397.63000000000466</v>
      </c>
      <c r="AH15" s="1290">
        <f>(IF('Section Load'!AI18&gt;0,'Section Load'!AI18,0))</f>
        <v>388.41999999999825</v>
      </c>
      <c r="AI15" s="1290">
        <f>(IF('Section Load'!AJ18&gt;0,'Section Load'!AJ18,0))</f>
        <v>511.77000000001863</v>
      </c>
      <c r="AJ15" s="1290">
        <f>(IF('Section Load'!AK18&gt;0,'Section Load'!AK18,0))</f>
        <v>0</v>
      </c>
      <c r="AK15" s="1290">
        <f>(IF('Section Load'!AL18&gt;0,'Section Load'!AL18,0))</f>
        <v>275.39999999999418</v>
      </c>
      <c r="AL15" s="1290">
        <f>(IF('Section Load'!AM18&gt;0,'Section Load'!AM18,0))</f>
        <v>765</v>
      </c>
      <c r="AM15" s="1291">
        <f>(IF('Water Report'!$Q$7&gt;0,'Water Report'!$Q$7,0))</f>
        <v>87</v>
      </c>
      <c r="AN15" s="1291">
        <f>(IF('Water Report'!$Q$8&gt;0,'Water Report'!$Q$8,0))</f>
        <v>99</v>
      </c>
      <c r="AO15" s="1291">
        <f>(IF('Water Report'!$Q$9&gt;0,'Water Report'!$Q$9,0))</f>
        <v>74</v>
      </c>
      <c r="AP15" s="1291">
        <f>(IF('Water Report'!$Q$10&gt;0,'Water Report'!$Q$10,0))</f>
        <v>24</v>
      </c>
      <c r="AQ15" s="1291">
        <f>(IF('Water Report'!$Q$11&gt;0,'Water Report'!$Q$11,0))</f>
        <v>22</v>
      </c>
      <c r="AR15" s="1291">
        <f>(IF('Water Report'!$Q$13&gt;0,'Water Report'!$Q$13,0))</f>
        <v>22</v>
      </c>
      <c r="AS15" s="1291">
        <f>(IF('Water Report'!$Q$14&gt;0,'Water Report'!$Q$14,0))</f>
        <v>10</v>
      </c>
      <c r="AT15" s="1291">
        <f>(IF('Water Report'!$Q$15&gt;0,'Water Report'!$Q$15,0))</f>
        <v>16</v>
      </c>
      <c r="AU15" s="1291">
        <f>(IF('Water Report'!$Q$17&gt;0,'Water Report'!$Q$17,0))</f>
        <v>0</v>
      </c>
      <c r="AV15" s="1291">
        <f>(IF('Water Report'!$Q$18&gt;0,'Water Report'!$Q$18,0))</f>
        <v>10</v>
      </c>
      <c r="AW15" s="1291">
        <f>(IF('Water Report'!$Q$19&gt;0,'Water Report'!$Q$19,0))</f>
        <v>4</v>
      </c>
      <c r="AX15" s="1366">
        <f>(IF('Water Report'!$Q$21&gt;0,'Water Report'!$Q$21,0))</f>
        <v>65</v>
      </c>
      <c r="AY15" s="1366">
        <f>(IF('Water Report'!$Q$22&gt;0,'Water Report'!$Q$22,0))</f>
        <v>13</v>
      </c>
      <c r="AZ15" s="1366">
        <f>(IF('Water Report'!$Q$23&gt;0,'Water Report'!$Q$23,0))</f>
        <v>0</v>
      </c>
      <c r="BA15" s="1366">
        <f>(IF('Water Report'!$Q$14&gt;0,'Water Report'!$Q$14,0))</f>
        <v>10</v>
      </c>
      <c r="BB15" s="1366">
        <f>(IF('Water Report'!$Q$15&gt;0,'Water Report'!$Q$15,0))</f>
        <v>16</v>
      </c>
      <c r="BC15" s="1366">
        <f>(IF('Water Report'!$Q$13&gt;0,'Water Report'!$Q$13,0))</f>
        <v>22</v>
      </c>
      <c r="BD15" s="1366">
        <f>(IF('Water Report'!$Q$24&gt;0,'Water Report'!$Q$24,0))</f>
        <v>205</v>
      </c>
      <c r="BE15" s="1366">
        <f>(IF('Water Report'!$Q$25&gt;0,'Water Report'!$Q$25,0))</f>
        <v>146</v>
      </c>
      <c r="BF15" s="1366">
        <f>(IF('Water Report'!$Q$27&gt;0,'Water Report'!$Q$27,0))</f>
        <v>87</v>
      </c>
      <c r="BG15" s="1292">
        <f>(IF('Section Load'!AN18&gt;0,'Section Load'!AN18,0))</f>
        <v>797.81000000005588</v>
      </c>
      <c r="BH15" s="1292">
        <f>(IF('Section Load'!AO18&gt;0,'Section Load'!AO18,0))</f>
        <v>251.73999999999069</v>
      </c>
      <c r="BI15" s="1292">
        <f>(IF('Section Load'!AP18&gt;0,'Section Load'!AP18,0))</f>
        <v>0.39999999999417923</v>
      </c>
      <c r="BJ15" s="1292">
        <f>(IF('Section Load'!AQ18&gt;0,'Section Load'!AQ18,0))</f>
        <v>119.19000000000233</v>
      </c>
      <c r="BK15" s="1292">
        <f>(IF('Section Load'!AR18&gt;0,'Section Load'!AR18,0))</f>
        <v>45.299999999999272</v>
      </c>
      <c r="BL15" s="1292">
        <f>(IF('Section Load'!AS18&gt;0,'Section Load'!AS18,0))</f>
        <v>3.7000000000007276</v>
      </c>
      <c r="BM15" s="1292">
        <f>(IF('Section Load'!AT18&gt;0,'Section Load'!AT18,0))</f>
        <v>377.48000000006869</v>
      </c>
    </row>
    <row r="16" spans="1:65">
      <c r="A16" s="1274" t="s">
        <v>299</v>
      </c>
      <c r="B16" s="1275">
        <f t="shared" si="0"/>
        <v>15</v>
      </c>
      <c r="C16" s="1275">
        <v>7</v>
      </c>
      <c r="D16" s="1275">
        <v>2021</v>
      </c>
      <c r="E16" s="1290">
        <f>(IF('Section Load'!F19&gt;0,'Section Load'!F19,0))</f>
        <v>2947.5200000000186</v>
      </c>
      <c r="F16" s="1290">
        <f>(IF('Section Load'!G19&gt;0,'Section Load'!G19,0))</f>
        <v>1595.3800000000047</v>
      </c>
      <c r="G16" s="1290">
        <f>(IF('Section Load'!H19&gt;0,'Section Load'!H19,0))</f>
        <v>1645.3700000000536</v>
      </c>
      <c r="H16" s="1290">
        <f>(IF('Section Load'!I19&gt;0,'Section Load'!I19,0))</f>
        <v>3733.8099999999977</v>
      </c>
      <c r="I16" s="1290">
        <f>(IF('Section Load'!J19&gt;0,'Section Load'!J19,0))</f>
        <v>6384.1700000000274</v>
      </c>
      <c r="J16" s="1290">
        <f>(IF('Section Load'!K19&gt;0,'Section Load'!K19,0))</f>
        <v>2774.3000000000466</v>
      </c>
      <c r="K16" s="1290">
        <f>(IF('Section Load'!L19&gt;0,'Section Load'!L19,0))</f>
        <v>1449.7000000000698</v>
      </c>
      <c r="L16" s="1290">
        <f>(IF('Section Load'!M19&gt;0,'Section Load'!M19,0))</f>
        <v>1106.869999999999</v>
      </c>
      <c r="M16" s="1290">
        <f>(IF('Section Load'!N19&gt;0,'Section Load'!N19,0))</f>
        <v>13</v>
      </c>
      <c r="N16" s="1290">
        <f>(IF('Section Load'!O19&gt;0,'Section Load'!O19,0))</f>
        <v>2</v>
      </c>
      <c r="O16" s="1290">
        <f>(IF('Section Load'!P19&gt;0,'Section Load'!P19,0))</f>
        <v>1</v>
      </c>
      <c r="P16" s="1290">
        <f>(IF('Section Load'!Q19&gt;0,'Section Load'!Q19,0))</f>
        <v>154.77000000000044</v>
      </c>
      <c r="Q16" s="1290">
        <f>(IF('Section Load'!R19&gt;0,'Section Load'!R19,0))</f>
        <v>67.170000000000073</v>
      </c>
      <c r="R16" s="1290">
        <f>(IF('Section Load'!S19&gt;0,'Section Load'!S19,0))</f>
        <v>64</v>
      </c>
      <c r="S16" s="1290">
        <f>(IF('Section Load'!T19&gt;0,'Section Load'!T19,0))</f>
        <v>100</v>
      </c>
      <c r="T16" s="1290">
        <f>(IF('Section Load'!U19&gt;0,'Section Load'!U19,0))</f>
        <v>176</v>
      </c>
      <c r="U16" s="1290">
        <f>(IF('Section Load'!V19&gt;0,'Section Load'!V19,0))</f>
        <v>465.67999999993481</v>
      </c>
      <c r="V16" s="1290">
        <f>(IF('Section Load'!W19&gt;0,'Section Load'!W19,0))</f>
        <v>176.56999999994878</v>
      </c>
      <c r="W16" s="1290">
        <f>(IF('Section Load'!X19&gt;0,'Section Load'!X19,0))</f>
        <v>28.690000000002328</v>
      </c>
      <c r="X16" s="1290">
        <f>(IF('Section Load'!Y19&gt;0,'Section Load'!Y19,0))</f>
        <v>195.43000000000029</v>
      </c>
      <c r="Y16" s="1290">
        <f>(IF('Section Load'!Z19&gt;0,'Section Load'!Z19,0))</f>
        <v>216</v>
      </c>
      <c r="Z16" s="1290">
        <f>(IF('Section Load'!AA19&gt;0,'Section Load'!AA19,0))</f>
        <v>8.8800000000046566</v>
      </c>
      <c r="AA16" s="1290">
        <f>(IF('Section Load'!AB19&gt;0,'Section Load'!AB19,0))</f>
        <v>36.19999999999709</v>
      </c>
      <c r="AB16" s="1290">
        <f>(IF('Section Load'!AC19&gt;0,'Section Load'!AC19,0))</f>
        <v>70.480000000010477</v>
      </c>
      <c r="AC16" s="1290">
        <f>(IF('Section Load'!AD19&gt;0,'Section Load'!AD19,0))</f>
        <v>43.299999999997453</v>
      </c>
      <c r="AD16" s="1290">
        <f>(IF('Section Load'!AE19&gt;0,'Section Load'!AE19,0))</f>
        <v>0.18000000000029104</v>
      </c>
      <c r="AE16" s="1290">
        <f>(IF('Section Load'!AF19&gt;0,'Section Load'!AF19,0))</f>
        <v>0</v>
      </c>
      <c r="AF16" s="1290">
        <f>(IF('Section Load'!AG19&gt;0,'Section Load'!AG19,0))</f>
        <v>408.38000000000466</v>
      </c>
      <c r="AG16" s="1290">
        <f>(IF('Section Load'!AH19&gt;0,'Section Load'!AH19,0))</f>
        <v>381.13999999998487</v>
      </c>
      <c r="AH16" s="1290">
        <f>(IF('Section Load'!AI19&gt;0,'Section Load'!AI19,0))</f>
        <v>388.25999999999476</v>
      </c>
      <c r="AI16" s="1290">
        <f>(IF('Section Load'!AJ19&gt;0,'Section Load'!AJ19,0))</f>
        <v>472.39999999996508</v>
      </c>
      <c r="AJ16" s="1290">
        <f>(IF('Section Load'!AK19&gt;0,'Section Load'!AK19,0))</f>
        <v>0</v>
      </c>
      <c r="AK16" s="1290">
        <f>(IF('Section Load'!AL19&gt;0,'Section Load'!AL19,0))</f>
        <v>299.85000000000582</v>
      </c>
      <c r="AL16" s="1290">
        <f>(IF('Section Load'!AM19&gt;0,'Section Load'!AM19,0))</f>
        <v>743</v>
      </c>
      <c r="AM16" s="1291">
        <f>(IF('Water Report'!$R$7&gt;0,'Water Report'!$R$7,0))</f>
        <v>75</v>
      </c>
      <c r="AN16" s="1291">
        <f>(IF('Water Report'!$R$8&gt;0,'Water Report'!$R$8,0))</f>
        <v>147</v>
      </c>
      <c r="AO16" s="1291">
        <f>(IF('Water Report'!$R$9&gt;0,'Water Report'!$R$9,0))</f>
        <v>78</v>
      </c>
      <c r="AP16" s="1291">
        <f>(IF('Water Report'!$R$10&gt;0,'Water Report'!$R$10,0))</f>
        <v>21</v>
      </c>
      <c r="AQ16" s="1291">
        <f>(IF('Water Report'!$R$11&gt;0,'Water Report'!$R$11,0))</f>
        <v>26</v>
      </c>
      <c r="AR16" s="1291">
        <f>(IF('Water Report'!$R$13&gt;0,'Water Report'!$R$13,0))</f>
        <v>36</v>
      </c>
      <c r="AS16" s="1291">
        <f>(IF('Water Report'!$R$14&gt;0,'Water Report'!$R$14,0))</f>
        <v>14</v>
      </c>
      <c r="AT16" s="1291">
        <f>(IF('Water Report'!$R$15&gt;0,'Water Report'!$R$15,0))</f>
        <v>8</v>
      </c>
      <c r="AU16" s="1291">
        <f>(IF('Water Report'!$R$17&gt;0,'Water Report'!$R$17,0))</f>
        <v>0</v>
      </c>
      <c r="AV16" s="1291">
        <f>(IF('Water Report'!$R$18&gt;0,'Water Report'!$R$18,0))</f>
        <v>8</v>
      </c>
      <c r="AW16" s="1291">
        <f>(IF('Water Report'!$R$19&gt;0,'Water Report'!$R$19,0))</f>
        <v>4</v>
      </c>
      <c r="AX16" s="1366">
        <f>(IF('Water Report'!$R$21&gt;0,'Water Report'!$R$21,0))</f>
        <v>65</v>
      </c>
      <c r="AY16" s="1366">
        <f>(IF('Water Report'!$R$22&gt;0,'Water Report'!$R$22,0))</f>
        <v>7</v>
      </c>
      <c r="AZ16" s="1366">
        <f>(IF('Water Report'!$R$23&gt;0,'Water Report'!$R$23,0))</f>
        <v>0</v>
      </c>
      <c r="BA16" s="1366">
        <f>(IF('Water Report'!$R$14&gt;0,'Water Report'!$R$14,0))</f>
        <v>14</v>
      </c>
      <c r="BB16" s="1366">
        <f>(IF('Water Report'!$R$15&gt;0,'Water Report'!$R$15,0))</f>
        <v>8</v>
      </c>
      <c r="BC16" s="1366">
        <f>(IF('Water Report'!$R$13&gt;0,'Water Report'!$R$13,0))</f>
        <v>36</v>
      </c>
      <c r="BD16" s="1366">
        <f>(IF('Water Report'!$R$24&gt;0,'Water Report'!$R$24,0))</f>
        <v>184</v>
      </c>
      <c r="BE16" s="1366">
        <f>(IF('Water Report'!$R$25&gt;0,'Water Report'!$R$25,0))</f>
        <v>147</v>
      </c>
      <c r="BF16" s="1366">
        <f>(IF('Water Report'!$R$27&gt;0,'Water Report'!$R$27,0))</f>
        <v>101</v>
      </c>
      <c r="BG16" s="1292">
        <f>(IF('Section Load'!AN19&gt;0,'Section Load'!AN19,0))</f>
        <v>947.81299999984913</v>
      </c>
      <c r="BH16" s="1292">
        <f>(IF('Section Load'!AO19&gt;0,'Section Load'!AO19,0))</f>
        <v>253.43000000005122</v>
      </c>
      <c r="BI16" s="1292">
        <f>(IF('Section Load'!AP19&gt;0,'Section Load'!AP19,0))</f>
        <v>0</v>
      </c>
      <c r="BJ16" s="1292">
        <f>(IF('Section Load'!AQ19&gt;0,'Section Load'!AQ19,0))</f>
        <v>122.16000000000349</v>
      </c>
      <c r="BK16" s="1292">
        <f>(IF('Section Load'!AR19&gt;0,'Section Load'!AR19,0))</f>
        <v>37.900000000001455</v>
      </c>
      <c r="BL16" s="1292">
        <f>(IF('Section Load'!AS19&gt;0,'Section Load'!AS19,0))</f>
        <v>5.6999999999989086</v>
      </c>
      <c r="BM16" s="1292">
        <f>(IF('Section Load'!AT19&gt;0,'Section Load'!AT19,0))</f>
        <v>528.62299999979405</v>
      </c>
    </row>
    <row r="17" spans="1:65">
      <c r="A17" s="1274" t="s">
        <v>299</v>
      </c>
      <c r="B17" s="1275">
        <f t="shared" si="0"/>
        <v>16</v>
      </c>
      <c r="C17" s="1275">
        <v>7</v>
      </c>
      <c r="D17" s="1275">
        <v>2021</v>
      </c>
      <c r="E17" s="1290">
        <f>(IF('Section Load'!F20&gt;0,'Section Load'!F20,0))</f>
        <v>3155.4799999999814</v>
      </c>
      <c r="F17" s="1290">
        <f>(IF('Section Load'!G20&gt;0,'Section Load'!G20,0))</f>
        <v>1642.1699999999837</v>
      </c>
      <c r="G17" s="1290">
        <f>(IF('Section Load'!H20&gt;0,'Section Load'!H20,0))</f>
        <v>1628.4099999999453</v>
      </c>
      <c r="H17" s="1290">
        <f>(IF('Section Load'!I20&gt;0,'Section Load'!I20,0))</f>
        <v>3776.2200000000303</v>
      </c>
      <c r="I17" s="1290">
        <f>(IF('Section Load'!J20&gt;0,'Section Load'!J20,0))</f>
        <v>6367.0100000000384</v>
      </c>
      <c r="J17" s="1290">
        <f>(IF('Section Load'!K20&gt;0,'Section Load'!K20,0))</f>
        <v>2623.8999999999069</v>
      </c>
      <c r="K17" s="1290">
        <f>(IF('Section Load'!L20&gt;0,'Section Load'!L20,0))</f>
        <v>1102.1600000000326</v>
      </c>
      <c r="L17" s="1290">
        <f>(IF('Section Load'!M20&gt;0,'Section Load'!M20,0))</f>
        <v>1003.5800000000017</v>
      </c>
      <c r="M17" s="1290">
        <f>(IF('Section Load'!N20&gt;0,'Section Load'!N20,0))</f>
        <v>13</v>
      </c>
      <c r="N17" s="1290">
        <f>(IF('Section Load'!O20&gt;0,'Section Load'!O20,0))</f>
        <v>2</v>
      </c>
      <c r="O17" s="1290">
        <f>(IF('Section Load'!P20&gt;0,'Section Load'!P20,0))</f>
        <v>34.600000000005821</v>
      </c>
      <c r="P17" s="1290">
        <f>(IF('Section Load'!Q20&gt;0,'Section Load'!Q20,0))</f>
        <v>183.88999999999942</v>
      </c>
      <c r="Q17" s="1290">
        <f>(IF('Section Load'!R20&gt;0,'Section Load'!R20,0))</f>
        <v>69.860000000000582</v>
      </c>
      <c r="R17" s="1290">
        <f>(IF('Section Load'!S20&gt;0,'Section Load'!S20,0))</f>
        <v>70</v>
      </c>
      <c r="S17" s="1290">
        <f>(IF('Section Load'!T20&gt;0,'Section Load'!T20,0))</f>
        <v>102</v>
      </c>
      <c r="T17" s="1290">
        <f>(IF('Section Load'!U20&gt;0,'Section Load'!U20,0))</f>
        <v>166</v>
      </c>
      <c r="U17" s="1290">
        <f>(IF('Section Load'!V20&gt;0,'Section Load'!V20,0))</f>
        <v>461.28000000002794</v>
      </c>
      <c r="V17" s="1290">
        <f>(IF('Section Load'!W20&gt;0,'Section Load'!W20,0))</f>
        <v>181.46999999997206</v>
      </c>
      <c r="W17" s="1290">
        <f>(IF('Section Load'!X20&gt;0,'Section Load'!X20,0))</f>
        <v>16.690000000002328</v>
      </c>
      <c r="X17" s="1290">
        <f>(IF('Section Load'!Y20&gt;0,'Section Load'!Y20,0))</f>
        <v>207.38000000000466</v>
      </c>
      <c r="Y17" s="1290">
        <f>(IF('Section Load'!Z20&gt;0,'Section Load'!Z20,0))</f>
        <v>176</v>
      </c>
      <c r="Z17" s="1290">
        <f>(IF('Section Load'!AA20&gt;0,'Section Load'!AA20,0))</f>
        <v>10.239999999990687</v>
      </c>
      <c r="AA17" s="1290">
        <f>(IF('Section Load'!AB20&gt;0,'Section Load'!AB20,0))</f>
        <v>25.399999999994179</v>
      </c>
      <c r="AB17" s="1290">
        <f>(IF('Section Load'!AC20&gt;0,'Section Load'!AC20,0))</f>
        <v>127.64999999999418</v>
      </c>
      <c r="AC17" s="1290">
        <f>(IF('Section Load'!AD20&gt;0,'Section Load'!AD20,0))</f>
        <v>31.999999999994088</v>
      </c>
      <c r="AD17" s="1290">
        <f>(IF('Section Load'!AE20&gt;0,'Section Load'!AE20,0))</f>
        <v>0</v>
      </c>
      <c r="AE17" s="1290">
        <f>(IF('Section Load'!AF20&gt;0,'Section Load'!AF20,0))</f>
        <v>0</v>
      </c>
      <c r="AF17" s="1290">
        <f>(IF('Section Load'!AG20&gt;0,'Section Load'!AG20,0))</f>
        <v>399.29999999998836</v>
      </c>
      <c r="AG17" s="1290">
        <f>(IF('Section Load'!AH20&gt;0,'Section Load'!AH20,0))</f>
        <v>392.30000000001746</v>
      </c>
      <c r="AH17" s="1290">
        <f>(IF('Section Load'!AI20&gt;0,'Section Load'!AI20,0))</f>
        <v>396.9600000000064</v>
      </c>
      <c r="AI17" s="1290">
        <f>(IF('Section Load'!AJ20&gt;0,'Section Load'!AJ20,0))</f>
        <v>469.88000000000466</v>
      </c>
      <c r="AJ17" s="1290">
        <f>(IF('Section Load'!AK20&gt;0,'Section Load'!AK20,0))</f>
        <v>0</v>
      </c>
      <c r="AK17" s="1290">
        <f>(IF('Section Load'!AL20&gt;0,'Section Load'!AL20,0))</f>
        <v>303.86999999999534</v>
      </c>
      <c r="AL17" s="1290">
        <f>(IF('Section Load'!AM20&gt;0,'Section Load'!AM20,0))</f>
        <v>734</v>
      </c>
      <c r="AM17" s="1291">
        <f>(IF('Water Report'!$S$7&gt;0,'Water Report'!$S$7,0))</f>
        <v>103</v>
      </c>
      <c r="AN17" s="1291">
        <f>(IF('Water Report'!$S$8&gt;0,'Water Report'!$S$8,0))</f>
        <v>71</v>
      </c>
      <c r="AO17" s="1291">
        <f>(IF('Water Report'!$S$9&gt;0,'Water Report'!$S$9,0))</f>
        <v>96</v>
      </c>
      <c r="AP17" s="1291">
        <f>(IF('Water Report'!$S$10&gt;0,'Water Report'!$D$10,0))</f>
        <v>17</v>
      </c>
      <c r="AQ17" s="1291">
        <f>(IF('Water Report'!$S$11&gt;0,'Water Report'!$D$11,0))</f>
        <v>18</v>
      </c>
      <c r="AR17" s="1291">
        <f>(IF('Water Report'!$S$13&gt;0,'Water Report'!$D$13,0))</f>
        <v>50</v>
      </c>
      <c r="AS17" s="1291">
        <f>(IF('Water Report'!$S$14&gt;0,'Water Report'!$D$14,0))</f>
        <v>6</v>
      </c>
      <c r="AT17" s="1291">
        <f>(IF('Water Report'!$S$15&gt;0,'Water Report'!$D$15,0))</f>
        <v>6</v>
      </c>
      <c r="AU17" s="1291">
        <f>(IF('Water Report'!$S$17&gt;0,'Water Report'!$D$17,0))</f>
        <v>0</v>
      </c>
      <c r="AV17" s="1291">
        <f>(IF('Water Report'!$S$18&gt;0,'Water Report'!$D$18,0))</f>
        <v>12</v>
      </c>
      <c r="AW17" s="1291">
        <f>(IF('Water Report'!$S$19&gt;0,'Water Report'!$D$19,0))</f>
        <v>5</v>
      </c>
      <c r="AX17" s="1366">
        <f>(IF('Water Report'!$S$21&gt;0,'Water Report'!$D$21,0))</f>
        <v>98</v>
      </c>
      <c r="AY17" s="1366">
        <f>(IF('Water Report'!$S$22&gt;0,'Water Report'!$D$22,0))</f>
        <v>40</v>
      </c>
      <c r="AZ17" s="1366">
        <f>(IF('Water Report'!$S$23&gt;0,'Water Report'!$D$23,0))</f>
        <v>0</v>
      </c>
      <c r="BA17" s="1366">
        <f>(IF('Water Report'!$S$14&gt;0,'Water Report'!$D$14,0))</f>
        <v>6</v>
      </c>
      <c r="BB17" s="1366">
        <f>(IF('Water Report'!$S$15&gt;0,'Water Report'!$D$15,0))</f>
        <v>6</v>
      </c>
      <c r="BC17" s="1366">
        <f>(IF('Water Report'!$S$13&gt;0,'Water Report'!$D$13,0))</f>
        <v>50</v>
      </c>
      <c r="BD17" s="1366">
        <f>(IF('Water Report'!$S$24&gt;0,'Water Report'!$D$24,0))</f>
        <v>154</v>
      </c>
      <c r="BE17" s="1366">
        <f>(IF('Water Report'!$S$25&gt;0,'Water Report'!$D$25,0))</f>
        <v>133</v>
      </c>
      <c r="BF17" s="1366">
        <f>(IF('Water Report'!$S$27&gt;0,'Water Report'!$D$27,0))</f>
        <v>148</v>
      </c>
      <c r="BG17" s="1292">
        <f>(IF('Section Load'!AN20&gt;0,'Section Load'!AN20,0))</f>
        <v>837.25699999998324</v>
      </c>
      <c r="BH17" s="1292">
        <f>(IF('Section Load'!AO20&gt;0,'Section Load'!AO20,0))</f>
        <v>265.3399999999674</v>
      </c>
      <c r="BI17" s="1292">
        <f>(IF('Section Load'!AP20&gt;0,'Section Load'!AP20,0))</f>
        <v>0</v>
      </c>
      <c r="BJ17" s="1292">
        <f>(IF('Section Load'!AQ20&gt;0,'Section Load'!AQ20,0))</f>
        <v>99.179999999993015</v>
      </c>
      <c r="BK17" s="1292">
        <f>(IF('Section Load'!AR20&gt;0,'Section Load'!AR20,0))</f>
        <v>41</v>
      </c>
      <c r="BL17" s="1292">
        <f>(IF('Section Load'!AS20&gt;0,'Section Load'!AS20,0))</f>
        <v>7</v>
      </c>
      <c r="BM17" s="1292">
        <f>(IF('Section Load'!AT20&gt;0,'Section Load'!AT20,0))</f>
        <v>424.73700000002282</v>
      </c>
    </row>
    <row r="18" spans="1:65">
      <c r="A18" s="1274" t="s">
        <v>299</v>
      </c>
      <c r="B18" s="1275">
        <f t="shared" si="0"/>
        <v>17</v>
      </c>
      <c r="C18" s="1275">
        <v>7</v>
      </c>
      <c r="D18" s="1275">
        <v>2021</v>
      </c>
      <c r="E18" s="1290">
        <f>(IF('Section Load'!F21&gt;0,'Section Load'!F21,0))</f>
        <v>3270.4200000000419</v>
      </c>
      <c r="F18" s="1290">
        <f>(IF('Section Load'!G21&gt;0,'Section Load'!G21,0))</f>
        <v>1656.5500000000175</v>
      </c>
      <c r="G18" s="1290">
        <f>(IF('Section Load'!H21&gt;0,'Section Load'!H21,0))</f>
        <v>1759.9199999999837</v>
      </c>
      <c r="H18" s="1290">
        <f>(IF('Section Load'!I21&gt;0,'Section Load'!I21,0))</f>
        <v>3718.9299999999348</v>
      </c>
      <c r="I18" s="1290">
        <f>(IF('Section Load'!J21&gt;0,'Section Load'!J21,0))</f>
        <v>8133.399999999936</v>
      </c>
      <c r="J18" s="1290">
        <f>(IF('Section Load'!K21&gt;0,'Section Load'!K21,0))</f>
        <v>3097.3999999999069</v>
      </c>
      <c r="K18" s="1290">
        <f>(IF('Section Load'!L21&gt;0,'Section Load'!L21,0))</f>
        <v>1300.4399999999441</v>
      </c>
      <c r="L18" s="1290">
        <f>(IF('Section Load'!M21&gt;0,'Section Load'!M21,0))</f>
        <v>1131.8199999999997</v>
      </c>
      <c r="M18" s="1290">
        <f>(IF('Section Load'!N21&gt;0,'Section Load'!N21,0))</f>
        <v>15</v>
      </c>
      <c r="N18" s="1290">
        <f>(IF('Section Load'!O21&gt;0,'Section Load'!O21,0))</f>
        <v>1</v>
      </c>
      <c r="O18" s="1290">
        <f>(IF('Section Load'!P21&gt;0,'Section Load'!P21,0))</f>
        <v>1</v>
      </c>
      <c r="P18" s="1290">
        <f>(IF('Section Load'!Q21&gt;0,'Section Load'!Q21,0))</f>
        <v>176.70999999999913</v>
      </c>
      <c r="Q18" s="1290">
        <f>(IF('Section Load'!R21&gt;0,'Section Load'!R21,0))</f>
        <v>65.119999999998981</v>
      </c>
      <c r="R18" s="1290">
        <f>(IF('Section Load'!S21&gt;0,'Section Load'!S21,0))</f>
        <v>65</v>
      </c>
      <c r="S18" s="1290">
        <f>(IF('Section Load'!T21&gt;0,'Section Load'!T21,0))</f>
        <v>100</v>
      </c>
      <c r="T18" s="1290">
        <f>(IF('Section Load'!U21&gt;0,'Section Load'!U21,0))</f>
        <v>199</v>
      </c>
      <c r="U18" s="1290">
        <f>(IF('Section Load'!V21&gt;0,'Section Load'!V21,0))</f>
        <v>476.55999999993946</v>
      </c>
      <c r="V18" s="1290">
        <f>(IF('Section Load'!W21&gt;0,'Section Load'!W21,0))</f>
        <v>231.20000000006985</v>
      </c>
      <c r="W18" s="1290">
        <f>(IF('Section Load'!X21&gt;0,'Section Load'!X21,0))</f>
        <v>27.369999999995343</v>
      </c>
      <c r="X18" s="1290">
        <f>(IF('Section Load'!Y21&gt;0,'Section Load'!Y21,0))</f>
        <v>192.36999999999534</v>
      </c>
      <c r="Y18" s="1290">
        <f>(IF('Section Load'!Z21&gt;0,'Section Load'!Z21,0))</f>
        <v>276</v>
      </c>
      <c r="Z18" s="1290">
        <f>(IF('Section Load'!AA21&gt;0,'Section Load'!AA21,0))</f>
        <v>17.960000000020955</v>
      </c>
      <c r="AA18" s="1290">
        <f>(IF('Section Load'!AB21&gt;0,'Section Load'!AB21,0))</f>
        <v>19.600000000005821</v>
      </c>
      <c r="AB18" s="1290">
        <f>(IF('Section Load'!AC21&gt;0,'Section Load'!AC21,0))</f>
        <v>121.05999999999767</v>
      </c>
      <c r="AC18" s="1290">
        <f>(IF('Section Load'!AD21&gt;0,'Section Load'!AD21,0))</f>
        <v>21.70000000000573</v>
      </c>
      <c r="AD18" s="1290">
        <f>(IF('Section Load'!AE21&gt;0,'Section Load'!AE21,0))</f>
        <v>0</v>
      </c>
      <c r="AE18" s="1290">
        <f>(IF('Section Load'!AF21&gt;0,'Section Load'!AF21,0))</f>
        <v>0</v>
      </c>
      <c r="AF18" s="1290">
        <f>(IF('Section Load'!AG21&gt;0,'Section Load'!AG21,0))</f>
        <v>365.26000000000931</v>
      </c>
      <c r="AG18" s="1290">
        <f>(IF('Section Load'!AH21&gt;0,'Section Load'!AH21,0))</f>
        <v>386.53999999997905</v>
      </c>
      <c r="AH18" s="1290">
        <f>(IF('Section Load'!AI21&gt;0,'Section Load'!AI21,0))</f>
        <v>390.9600000000064</v>
      </c>
      <c r="AI18" s="1290">
        <f>(IF('Section Load'!AJ21&gt;0,'Section Load'!AJ21,0))</f>
        <v>477.85999999998603</v>
      </c>
      <c r="AJ18" s="1290">
        <f>(IF('Section Load'!AK21&gt;0,'Section Load'!AK21,0))</f>
        <v>0</v>
      </c>
      <c r="AK18" s="1290">
        <f>(IF('Section Load'!AL21&gt;0,'Section Load'!AL21,0))</f>
        <v>301.97000000000116</v>
      </c>
      <c r="AL18" s="1290">
        <f>(IF('Section Load'!AM21&gt;0,'Section Load'!AM21,0))</f>
        <v>678</v>
      </c>
      <c r="AM18" s="1291">
        <f>(IF('Water Report'!$T$7&gt;0,'Water Report'!$T$7,0))</f>
        <v>101</v>
      </c>
      <c r="AN18" s="1291">
        <f>(IF('Water Report'!$T$8&gt;0,'Water Report'!$T$8,0))</f>
        <v>190</v>
      </c>
      <c r="AO18" s="1291">
        <f>(IF('Water Report'!$T$9&gt;0,'Water Report'!$T$9,0))</f>
        <v>89</v>
      </c>
      <c r="AP18" s="1291">
        <f>(IF('Water Report'!$T$10&gt;0,'Water Report'!$T$10,0))</f>
        <v>30</v>
      </c>
      <c r="AQ18" s="1291">
        <f>(IF('Water Report'!$T$11&gt;0,'Water Report'!$T$11,0))</f>
        <v>30</v>
      </c>
      <c r="AR18" s="1291">
        <f>(IF('Water Report'!$T$13&gt;0,'Water Report'!$T$13,0))</f>
        <v>23</v>
      </c>
      <c r="AS18" s="1291">
        <f>(IF('Water Report'!$T$14&gt;0,'Water Report'!$T$14,0))</f>
        <v>16</v>
      </c>
      <c r="AT18" s="1291">
        <f>(IF('Water Report'!$T$15&gt;0,'Water Report'!$T$15,0))</f>
        <v>8</v>
      </c>
      <c r="AU18" s="1291">
        <f>(IF('Water Report'!$T$17&gt;0,'Water Report'!$T$17,0))</f>
        <v>0</v>
      </c>
      <c r="AV18" s="1291">
        <f>(IF('Water Report'!$T$18&gt;0,'Water Report'!$T$18,0))</f>
        <v>11</v>
      </c>
      <c r="AW18" s="1291">
        <f>(IF('Water Report'!$T$19&gt;0,'Water Report'!$T$19,0))</f>
        <v>4</v>
      </c>
      <c r="AX18" s="1366">
        <f>(IF('Water Report'!$T$21&gt;0,'Water Report'!$T$21,0))</f>
        <v>66</v>
      </c>
      <c r="AY18" s="1366">
        <f>(IF('Water Report'!$T$22&gt;0,'Water Report'!$T$22,0))</f>
        <v>26</v>
      </c>
      <c r="AZ18" s="1366">
        <f>(IF('Water Report'!$T$23&gt;0,'Water Report'!$T$23,0))</f>
        <v>0</v>
      </c>
      <c r="BA18" s="1366">
        <f>(IF('Water Report'!$T$14&gt;0,'Water Report'!$T$14,0))</f>
        <v>16</v>
      </c>
      <c r="BB18" s="1366">
        <f>(IF('Water Report'!$T$15&gt;0,'Water Report'!$T$15,0))</f>
        <v>8</v>
      </c>
      <c r="BC18" s="1366">
        <f>(IF('Water Report'!$T$13&gt;0,'Water Report'!$T$13,0))</f>
        <v>23</v>
      </c>
      <c r="BD18" s="1366">
        <f>(IF('Water Report'!$T$24&gt;0,'Water Report'!$T$24,0))</f>
        <v>201</v>
      </c>
      <c r="BE18" s="1366">
        <f>(IF('Water Report'!$T$25&gt;0,'Water Report'!$T$25,0))</f>
        <v>173</v>
      </c>
      <c r="BF18" s="1366">
        <f>(IF('Water Report'!$T$27&gt;0,'Water Report'!$T$27,0))</f>
        <v>89</v>
      </c>
      <c r="BG18" s="1292">
        <f>(IF('Section Load'!AN21&gt;0,'Section Load'!AN21,0))</f>
        <v>981.66100000008009</v>
      </c>
      <c r="BH18" s="1292">
        <f>(IF('Section Load'!AO21&gt;0,'Section Load'!AO21,0))</f>
        <v>289.02000000001863</v>
      </c>
      <c r="BI18" s="1292">
        <f>(IF('Section Load'!AP21&gt;0,'Section Load'!AP21,0))</f>
        <v>0</v>
      </c>
      <c r="BJ18" s="1292">
        <f>(IF('Section Load'!AQ21&gt;0,'Section Load'!AQ21,0))</f>
        <v>114.20000000001164</v>
      </c>
      <c r="BK18" s="1292">
        <f>(IF('Section Load'!AR21&gt;0,'Section Load'!AR21,0))</f>
        <v>41</v>
      </c>
      <c r="BL18" s="1292">
        <f>(IF('Section Load'!AS21&gt;0,'Section Load'!AS21,0))</f>
        <v>6.7000000000007276</v>
      </c>
      <c r="BM18" s="1292">
        <f>(IF('Section Load'!AT21&gt;0,'Section Load'!AT21,0))</f>
        <v>530.7410000000491</v>
      </c>
    </row>
    <row r="19" spans="1:65">
      <c r="A19" s="1274" t="s">
        <v>299</v>
      </c>
      <c r="B19" s="1275">
        <f t="shared" si="0"/>
        <v>18</v>
      </c>
      <c r="C19" s="1275">
        <v>7</v>
      </c>
      <c r="D19" s="1275">
        <v>2021</v>
      </c>
      <c r="E19" s="1290">
        <f>(IF('Section Load'!F22&gt;0,'Section Load'!F22,0))</f>
        <v>3484.8079999999609</v>
      </c>
      <c r="F19" s="1290">
        <f>(IF('Section Load'!G22&gt;0,'Section Load'!G22,0))</f>
        <v>1846.5199999999895</v>
      </c>
      <c r="G19" s="1290">
        <f>(IF('Section Load'!H22&gt;0,'Section Load'!H22,0))</f>
        <v>1840.9800000000105</v>
      </c>
      <c r="H19" s="1290">
        <f>(IF('Section Load'!I22&gt;0,'Section Load'!I22,0))</f>
        <v>3750.8400000000256</v>
      </c>
      <c r="I19" s="1290">
        <f>(IF('Section Load'!J22&gt;0,'Section Load'!J22,0))</f>
        <v>8129.570000000007</v>
      </c>
      <c r="J19" s="1290">
        <f>(IF('Section Load'!K22&gt;0,'Section Load'!K22,0))</f>
        <v>3145.2000000001863</v>
      </c>
      <c r="K19" s="1290">
        <f>(IF('Section Load'!L22&gt;0,'Section Load'!L22,0))</f>
        <v>1712.1999999999534</v>
      </c>
      <c r="L19" s="1290">
        <f>(IF('Section Load'!M22&gt;0,'Section Load'!M22,0))</f>
        <v>1191.6299999999974</v>
      </c>
      <c r="M19" s="1290">
        <f>(IF('Section Load'!N22&gt;0,'Section Load'!N22,0))</f>
        <v>15</v>
      </c>
      <c r="N19" s="1290">
        <f>(IF('Section Load'!O22&gt;0,'Section Load'!O22,0))</f>
        <v>1</v>
      </c>
      <c r="O19" s="1290">
        <f>(IF('Section Load'!P22&gt;0,'Section Load'!P22,0))</f>
        <v>0.5</v>
      </c>
      <c r="P19" s="1290">
        <f>(IF('Section Load'!Q22&gt;0,'Section Load'!Q22,0))</f>
        <v>172.45000000000073</v>
      </c>
      <c r="Q19" s="1290">
        <f>(IF('Section Load'!R22&gt;0,'Section Load'!R22,0))</f>
        <v>63.150000000001455</v>
      </c>
      <c r="R19" s="1290">
        <f>(IF('Section Load'!S22&gt;0,'Section Load'!S22,0))</f>
        <v>86</v>
      </c>
      <c r="S19" s="1290">
        <f>(IF('Section Load'!T22&gt;0,'Section Load'!T22,0))</f>
        <v>104</v>
      </c>
      <c r="T19" s="1290">
        <f>(IF('Section Load'!U22&gt;0,'Section Load'!U22,0))</f>
        <v>157</v>
      </c>
      <c r="U19" s="1290">
        <f>(IF('Section Load'!V22&gt;0,'Section Load'!V22,0))</f>
        <v>503.68000000005122</v>
      </c>
      <c r="V19" s="1290">
        <f>(IF('Section Load'!W22&gt;0,'Section Load'!W22,0))</f>
        <v>226.23999999999069</v>
      </c>
      <c r="W19" s="1290">
        <f>(IF('Section Load'!X22&gt;0,'Section Load'!X22,0))</f>
        <v>22.600000000005821</v>
      </c>
      <c r="X19" s="1290">
        <f>(IF('Section Load'!Y22&gt;0,'Section Load'!Y22,0))</f>
        <v>191.56999999999971</v>
      </c>
      <c r="Y19" s="1290">
        <f>(IF('Section Load'!Z22&gt;0,'Section Load'!Z22,0))</f>
        <v>229</v>
      </c>
      <c r="Z19" s="1290">
        <f>(IF('Section Load'!AA22&gt;0,'Section Load'!AA22,0))</f>
        <v>8.1599999999743886</v>
      </c>
      <c r="AA19" s="1290">
        <f>(IF('Section Load'!AB22&gt;0,'Section Load'!AB22,0))</f>
        <v>9.6000000000058208</v>
      </c>
      <c r="AB19" s="1290">
        <f>(IF('Section Load'!AC22&gt;0,'Section Load'!AC22,0))</f>
        <v>75.279999999998836</v>
      </c>
      <c r="AC19" s="1290">
        <f>(IF('Section Load'!AD22&gt;0,'Section Load'!AD22,0))</f>
        <v>10.600000000005821</v>
      </c>
      <c r="AD19" s="1290">
        <f>(IF('Section Load'!AE22&gt;0,'Section Load'!AE22,0))</f>
        <v>0.18000000000029104</v>
      </c>
      <c r="AE19" s="1290">
        <f>(IF('Section Load'!AF22&gt;0,'Section Load'!AF22,0))</f>
        <v>0</v>
      </c>
      <c r="AF19" s="1290">
        <f>(IF('Section Load'!AG22&gt;0,'Section Load'!AG22,0))</f>
        <v>372.07999999998719</v>
      </c>
      <c r="AG19" s="1290">
        <f>(IF('Section Load'!AH22&gt;0,'Section Load'!AH22,0))</f>
        <v>408.42000000001281</v>
      </c>
      <c r="AH19" s="1290">
        <f>(IF('Section Load'!AI22&gt;0,'Section Load'!AI22,0))</f>
        <v>427.29999999998836</v>
      </c>
      <c r="AI19" s="1290">
        <f>(IF('Section Load'!AJ22&gt;0,'Section Load'!AJ22,0))</f>
        <v>472.20000000001164</v>
      </c>
      <c r="AJ19" s="1290">
        <f>(IF('Section Load'!AK22&gt;0,'Section Load'!AK22,0))</f>
        <v>0</v>
      </c>
      <c r="AK19" s="1290">
        <f>(IF('Section Load'!AL22&gt;0,'Section Load'!AL22,0))</f>
        <v>307.29000000000815</v>
      </c>
      <c r="AL19" s="1290">
        <f>(IF('Section Load'!AM22&gt;0,'Section Load'!AM22,0))</f>
        <v>823</v>
      </c>
      <c r="AM19" s="1291">
        <f>(IF('Water Report'!$U$7&gt;0,'Water Report'!$U$7,0))</f>
        <v>163</v>
      </c>
      <c r="AN19" s="1291">
        <f>(IF('Water Report'!$U$8&gt;0,'Water Report'!$U$8,0))</f>
        <v>160</v>
      </c>
      <c r="AO19" s="1291">
        <f>(IF('Water Report'!$U$9&gt;0,'Water Report'!$U$9,0))</f>
        <v>90</v>
      </c>
      <c r="AP19" s="1291">
        <f>(IF('Water Report'!$U$10&gt;0,'Water Report'!$U$10,0))</f>
        <v>30</v>
      </c>
      <c r="AQ19" s="1291">
        <f>(IF('Water Report'!$U$11&gt;0,'Water Report'!$U$11,0))</f>
        <v>29</v>
      </c>
      <c r="AR19" s="1291">
        <f>(IF('Water Report'!$U$13&gt;0,'Water Report'!$U$13,0))</f>
        <v>27</v>
      </c>
      <c r="AS19" s="1291">
        <f>(IF('Water Report'!$U$14&gt;0,'Water Report'!$U$14,0))</f>
        <v>19</v>
      </c>
      <c r="AT19" s="1291">
        <f>(IF('Water Report'!$U$15&gt;0,'Water Report'!$U$15,0))</f>
        <v>9</v>
      </c>
      <c r="AU19" s="1291">
        <f>(IF('Water Report'!$U$17&gt;0,'Water Report'!$U$17,0))</f>
        <v>0</v>
      </c>
      <c r="AV19" s="1291">
        <f>(IF('Water Report'!$U$18&gt;0,'Water Report'!$U$18,0))</f>
        <v>10</v>
      </c>
      <c r="AW19" s="1291">
        <f>(IF('Water Report'!$U$19&gt;0,'Water Report'!$U$19,0))</f>
        <v>5</v>
      </c>
      <c r="AX19" s="1366">
        <f>(IF('Water Report'!$U$21&gt;0,'Water Report'!$U$21,0))</f>
        <v>65</v>
      </c>
      <c r="AY19" s="1366">
        <f>(IF('Water Report'!$U$22&gt;0,'Water Report'!$U$22,0))</f>
        <v>12</v>
      </c>
      <c r="AZ19" s="1366">
        <f>(IF('Water Report'!$U$23&gt;0,'Water Report'!$U$23,0))</f>
        <v>0</v>
      </c>
      <c r="BA19" s="1366">
        <f>(IF('Water Report'!$U$14&gt;0,'Water Report'!$U$14,0))</f>
        <v>19</v>
      </c>
      <c r="BB19" s="1366">
        <f>(IF('Water Report'!$U$15&gt;0,'Water Report'!$U$15,0))</f>
        <v>9</v>
      </c>
      <c r="BC19" s="1366">
        <f>(IF('Water Report'!$U$13&gt;0,'Water Report'!$U$13,0))</f>
        <v>27</v>
      </c>
      <c r="BD19" s="1366">
        <f>(IF('Water Report'!$U$24&gt;0,'Water Report'!$U$24,0))</f>
        <v>179</v>
      </c>
      <c r="BE19" s="1366">
        <f>(IF('Water Report'!$U$25&gt;0,'Water Report'!$U$25,0))</f>
        <v>177</v>
      </c>
      <c r="BF19" s="1366">
        <f>(IF('Water Report'!$U$27&gt;0,'Water Report'!$U$27,0))</f>
        <v>92</v>
      </c>
      <c r="BG19" s="1292">
        <f>(IF('Section Load'!AN22&gt;0,'Section Load'!AN22,0))</f>
        <v>908.87899999995716</v>
      </c>
      <c r="BH19" s="1292">
        <f>(IF('Section Load'!AO22&gt;0,'Section Load'!AO22,0))</f>
        <v>295.73999999999069</v>
      </c>
      <c r="BI19" s="1292">
        <f>(IF('Section Load'!AP22&gt;0,'Section Load'!AP22,0))</f>
        <v>0</v>
      </c>
      <c r="BJ19" s="1292">
        <f>(IF('Section Load'!AQ22&gt;0,'Section Load'!AQ22,0))</f>
        <v>107.79999999998836</v>
      </c>
      <c r="BK19" s="1292">
        <f>(IF('Section Load'!AR22&gt;0,'Section Load'!AR22,0))</f>
        <v>45.100000000002183</v>
      </c>
      <c r="BL19" s="1292">
        <f>(IF('Section Load'!AS22&gt;0,'Section Load'!AS22,0))</f>
        <v>4.8999999999996362</v>
      </c>
      <c r="BM19" s="1292">
        <f>(IF('Section Load'!AT22&gt;0,'Section Load'!AT22,0))</f>
        <v>455.33899999997629</v>
      </c>
    </row>
    <row r="20" spans="1:65">
      <c r="A20" s="1274" t="s">
        <v>299</v>
      </c>
      <c r="B20" s="1275">
        <f t="shared" si="0"/>
        <v>19</v>
      </c>
      <c r="C20" s="1275">
        <v>7</v>
      </c>
      <c r="D20" s="1275">
        <v>2021</v>
      </c>
      <c r="E20" s="1290">
        <f>(IF('Section Load'!F23&gt;0,'Section Load'!F23,0))</f>
        <v>3252.3019999999669</v>
      </c>
      <c r="F20" s="1290">
        <f>(IF('Section Load'!G23&gt;0,'Section Load'!G23,0))</f>
        <v>1591.1600000000035</v>
      </c>
      <c r="G20" s="1290">
        <f>(IF('Section Load'!H23&gt;0,'Section Load'!H23,0))</f>
        <v>1606.4600000000501</v>
      </c>
      <c r="H20" s="1290">
        <f>(IF('Section Load'!I23&gt;0,'Section Load'!I23,0))</f>
        <v>3770.3300000000163</v>
      </c>
      <c r="I20" s="1290">
        <f>(IF('Section Load'!J23&gt;0,'Section Load'!J23,0))</f>
        <v>6446.2000000000407</v>
      </c>
      <c r="J20" s="1290">
        <f>(IF('Section Load'!K23&gt;0,'Section Load'!K23,0))</f>
        <v>2549.5699999999069</v>
      </c>
      <c r="K20" s="1290">
        <f>(IF('Section Load'!L23&gt;0,'Section Load'!L23,0))</f>
        <v>1093.9300000000512</v>
      </c>
      <c r="L20" s="1290">
        <f>(IF('Section Load'!M23&gt;0,'Section Load'!M23,0))</f>
        <v>815.72000000000116</v>
      </c>
      <c r="M20" s="1290">
        <f>(IF('Section Load'!N23&gt;0,'Section Load'!N23,0))</f>
        <v>14</v>
      </c>
      <c r="N20" s="1290">
        <f>(IF('Section Load'!O23&gt;0,'Section Load'!O23,0))</f>
        <v>2</v>
      </c>
      <c r="O20" s="1290">
        <f>(IF('Section Load'!P23&gt;0,'Section Load'!P23,0))</f>
        <v>0</v>
      </c>
      <c r="P20" s="1290">
        <f>(IF('Section Load'!Q23&gt;0,'Section Load'!Q23,0))</f>
        <v>148.25</v>
      </c>
      <c r="Q20" s="1290">
        <f>(IF('Section Load'!R23&gt;0,'Section Load'!R23,0))</f>
        <v>60.719999999999345</v>
      </c>
      <c r="R20" s="1290">
        <f>(IF('Section Load'!S23&gt;0,'Section Load'!S23,0))</f>
        <v>68</v>
      </c>
      <c r="S20" s="1290">
        <f>(IF('Section Load'!T23&gt;0,'Section Load'!T23,0))</f>
        <v>82</v>
      </c>
      <c r="T20" s="1290">
        <f>(IF('Section Load'!U23&gt;0,'Section Load'!U23,0))</f>
        <v>155</v>
      </c>
      <c r="U20" s="1290">
        <f>(IF('Section Load'!V23&gt;0,'Section Load'!V23,0))</f>
        <v>401</v>
      </c>
      <c r="V20" s="1290">
        <f>(IF('Section Load'!W23&gt;0,'Section Load'!W23,0))</f>
        <v>219.47999999998137</v>
      </c>
      <c r="W20" s="1290">
        <f>(IF('Section Load'!X23&gt;0,'Section Load'!X23,0))</f>
        <v>24.149999999994179</v>
      </c>
      <c r="X20" s="1290">
        <f>(IF('Section Load'!Y23&gt;0,'Section Load'!Y23,0))</f>
        <v>217.87000000000262</v>
      </c>
      <c r="Y20" s="1290">
        <f>(IF('Section Load'!Z23&gt;0,'Section Load'!Z23,0))</f>
        <v>272</v>
      </c>
      <c r="Z20" s="1290">
        <f>(IF('Section Load'!AA23&gt;0,'Section Load'!AA23,0))</f>
        <v>17</v>
      </c>
      <c r="AA20" s="1290">
        <f>(IF('Section Load'!AB23&gt;0,'Section Load'!AB23,0))</f>
        <v>30.399999999994179</v>
      </c>
      <c r="AB20" s="1290">
        <f>(IF('Section Load'!AC23&gt;0,'Section Load'!AC23,0))</f>
        <v>126</v>
      </c>
      <c r="AC20" s="1290">
        <f>(IF('Section Load'!AD23&gt;0,'Section Load'!AD23,0))</f>
        <v>33.399999999994179</v>
      </c>
      <c r="AD20" s="1290">
        <f>(IF('Section Load'!AE23&gt;0,'Section Load'!AE23,0))</f>
        <v>2.0000000000436557E-2</v>
      </c>
      <c r="AE20" s="1290">
        <f>(IF('Section Load'!AF23&gt;0,'Section Load'!AF23,0))</f>
        <v>0</v>
      </c>
      <c r="AF20" s="1290">
        <f>(IF('Section Load'!AG23&gt;0,'Section Load'!AG23,0))</f>
        <v>374.85000000000582</v>
      </c>
      <c r="AG20" s="1290">
        <f>(IF('Section Load'!AH23&gt;0,'Section Load'!AH23,0))</f>
        <v>395.97000000000116</v>
      </c>
      <c r="AH20" s="1290">
        <f>(IF('Section Load'!AI23&gt;0,'Section Load'!AI23,0))</f>
        <v>429.10000000000582</v>
      </c>
      <c r="AI20" s="1290">
        <f>(IF('Section Load'!AJ23&gt;0,'Section Load'!AJ23,0))</f>
        <v>481.89000000001397</v>
      </c>
      <c r="AJ20" s="1290">
        <f>(IF('Section Load'!AK23&gt;0,'Section Load'!AK23,0))</f>
        <v>0</v>
      </c>
      <c r="AK20" s="1290">
        <f>(IF('Section Load'!AL23&gt;0,'Section Load'!AL23,0))</f>
        <v>305.61999999999534</v>
      </c>
      <c r="AL20" s="1290">
        <f>(IF('Section Load'!AM23&gt;0,'Section Load'!AM23,0))</f>
        <v>776</v>
      </c>
      <c r="AM20" s="1291">
        <f>(IF('Water Report'!$V$7&gt;0,'Water Report'!$V$7,0))</f>
        <v>100</v>
      </c>
      <c r="AN20" s="1291">
        <f>(IF('Water Report'!$V$8&gt;0,'Water Report'!$V$8,0))</f>
        <v>154</v>
      </c>
      <c r="AO20" s="1291">
        <f>(IF('Water Report'!$V$9&gt;0,'Water Report'!$V$9,0))</f>
        <v>76</v>
      </c>
      <c r="AP20" s="1291">
        <f>(IF('Water Report'!$V$10&gt;0,'Water Report'!$V$10,0))</f>
        <v>18</v>
      </c>
      <c r="AQ20" s="1291">
        <f>(IF('Water Report'!$V$11&gt;0,'Water Report'!$V$11,0))</f>
        <v>23</v>
      </c>
      <c r="AR20" s="1291">
        <f>(IF('Water Report'!$V$13&gt;0,'Water Report'!$V$13,0))</f>
        <v>35</v>
      </c>
      <c r="AS20" s="1291">
        <f>(IF('Water Report'!$V$14&gt;0,'Water Report'!$V$14,0))</f>
        <v>11</v>
      </c>
      <c r="AT20" s="1291">
        <f>(IF('Water Report'!$V$15&gt;0,'Water Report'!$V$15,0))</f>
        <v>6</v>
      </c>
      <c r="AU20" s="1291">
        <f>(IF('Water Report'!$V$17&gt;0,'Water Report'!$V$17,0))</f>
        <v>0</v>
      </c>
      <c r="AV20" s="1291">
        <f>(IF('Water Report'!$V$18&gt;0,'Water Report'!$V$18,0))</f>
        <v>10</v>
      </c>
      <c r="AW20" s="1291">
        <f>(IF('Water Report'!$V$19&gt;0,'Water Report'!$V$19,0))</f>
        <v>6</v>
      </c>
      <c r="AX20" s="1366">
        <f>(IF('Water Report'!$V$21&gt;0,'Water Report'!$V$21,0))</f>
        <v>66</v>
      </c>
      <c r="AY20" s="1366">
        <f>(IF('Water Report'!$V$22&gt;0,'Water Report'!$V$22,0))</f>
        <v>40</v>
      </c>
      <c r="AZ20" s="1366">
        <f>(IF('Water Report'!$V$23&gt;0,'Water Report'!$V$23,0))</f>
        <v>0</v>
      </c>
      <c r="BA20" s="1366">
        <f>(IF('Water Report'!$V$14&gt;0,'Water Report'!$V$14,0))</f>
        <v>11</v>
      </c>
      <c r="BB20" s="1366">
        <f>(IF('Water Report'!$V$15&gt;0,'Water Report'!$V$15,0))</f>
        <v>6</v>
      </c>
      <c r="BC20" s="1366">
        <f>(IF('Water Report'!$V$13&gt;0,'Water Report'!$V$13,0))</f>
        <v>35</v>
      </c>
      <c r="BD20" s="1366">
        <f>(IF('Water Report'!$V$24&gt;0,'Water Report'!$V$24,0))</f>
        <v>257</v>
      </c>
      <c r="BE20" s="1366">
        <f>(IF('Water Report'!$V$25&gt;0,'Water Report'!$V$25,0))</f>
        <v>134</v>
      </c>
      <c r="BF20" s="1366">
        <f>(IF('Water Report'!$V$27&gt;0,'Water Report'!$V$27,0))</f>
        <v>101</v>
      </c>
      <c r="BG20" s="1292">
        <f>(IF('Section Load'!AN23&gt;0,'Section Load'!AN23,0))</f>
        <v>880.58000000007451</v>
      </c>
      <c r="BH20" s="1292">
        <f>(IF('Section Load'!AO23&gt;0,'Section Load'!AO23,0))</f>
        <v>267.72999999998137</v>
      </c>
      <c r="BI20" s="1292">
        <f>(IF('Section Load'!AP23&gt;0,'Section Load'!AP23,0))</f>
        <v>0</v>
      </c>
      <c r="BJ20" s="1292">
        <f>(IF('Section Load'!AQ23&gt;0,'Section Load'!AQ23,0))</f>
        <v>68.470000000001164</v>
      </c>
      <c r="BK20" s="1292">
        <f>(IF('Section Load'!AR23&gt;0,'Section Load'!AR23,0))</f>
        <v>31.69999999999709</v>
      </c>
      <c r="BL20" s="1292">
        <f>(IF('Section Load'!AS23&gt;0,'Section Load'!AS23,0))</f>
        <v>0</v>
      </c>
      <c r="BM20" s="1292">
        <f>(IF('Section Load'!AT23&gt;0,'Section Load'!AT23,0))</f>
        <v>512.68000000009488</v>
      </c>
    </row>
    <row r="21" spans="1:65">
      <c r="A21" s="1274" t="s">
        <v>299</v>
      </c>
      <c r="B21" s="1275">
        <f t="shared" si="0"/>
        <v>20</v>
      </c>
      <c r="C21" s="1275">
        <v>7</v>
      </c>
      <c r="D21" s="1275">
        <v>2021</v>
      </c>
      <c r="E21" s="1290">
        <f>(IF('Section Load'!F24&gt;0,'Section Load'!F24,0))</f>
        <v>2573.210000000021</v>
      </c>
      <c r="F21" s="1290">
        <f>(IF('Section Load'!G24&gt;0,'Section Load'!G24,0))</f>
        <v>1586.9700000000012</v>
      </c>
      <c r="G21" s="1290">
        <f>(IF('Section Load'!H24&gt;0,'Section Load'!H24,0))</f>
        <v>1448.929999999993</v>
      </c>
      <c r="H21" s="1290">
        <f>(IF('Section Load'!I24&gt;0,'Section Load'!I24,0))</f>
        <v>3767.429999999993</v>
      </c>
      <c r="I21" s="1290">
        <f>(IF('Section Load'!J24&gt;0,'Section Load'!J24,0))</f>
        <v>7204.5400000000081</v>
      </c>
      <c r="J21" s="1290">
        <f>(IF('Section Load'!K24&gt;0,'Section Load'!K24,0))</f>
        <v>2710.6999999999534</v>
      </c>
      <c r="K21" s="1290">
        <f>(IF('Section Load'!L24&gt;0,'Section Load'!L24,0))</f>
        <v>1063.75</v>
      </c>
      <c r="L21" s="1290">
        <f>(IF('Section Load'!M24&gt;0,'Section Load'!M24,0))</f>
        <v>1166.5199999999968</v>
      </c>
      <c r="M21" s="1290">
        <f>(IF('Section Load'!N24&gt;0,'Section Load'!N24,0))</f>
        <v>13</v>
      </c>
      <c r="N21" s="1290">
        <f>(IF('Section Load'!O24&gt;0,'Section Load'!O24,0))</f>
        <v>2</v>
      </c>
      <c r="O21" s="1290">
        <f>(IF('Section Load'!P24&gt;0,'Section Load'!P24,0))</f>
        <v>3.3000000000029104</v>
      </c>
      <c r="P21" s="1290">
        <f>(IF('Section Load'!Q24&gt;0,'Section Load'!Q24,0))</f>
        <v>166.63000000000102</v>
      </c>
      <c r="Q21" s="1290">
        <f>(IF('Section Load'!R24&gt;0,'Section Load'!R24,0))</f>
        <v>63.899999999999636</v>
      </c>
      <c r="R21" s="1290">
        <f>(IF('Section Load'!S24&gt;0,'Section Load'!S24,0))</f>
        <v>57</v>
      </c>
      <c r="S21" s="1290">
        <f>(IF('Section Load'!T24&gt;0,'Section Load'!T24,0))</f>
        <v>90</v>
      </c>
      <c r="T21" s="1290">
        <f>(IF('Section Load'!U24&gt;0,'Section Load'!U24,0))</f>
        <v>150</v>
      </c>
      <c r="U21" s="1290">
        <f>(IF('Section Load'!V24&gt;0,'Section Load'!V24,0))</f>
        <v>428.28000000002794</v>
      </c>
      <c r="V21" s="1290">
        <f>(IF('Section Load'!W24&gt;0,'Section Load'!W24,0))</f>
        <v>238.04000000003725</v>
      </c>
      <c r="W21" s="1290">
        <f>(IF('Section Load'!X24&gt;0,'Section Load'!X24,0))</f>
        <v>13.070000000006985</v>
      </c>
      <c r="X21" s="1290">
        <f>(IF('Section Load'!Y24&gt;0,'Section Load'!Y24,0))</f>
        <v>7.7399999999979627</v>
      </c>
      <c r="Y21" s="1290">
        <f>(IF('Section Load'!Z24&gt;0,'Section Load'!Z24,0))</f>
        <v>238</v>
      </c>
      <c r="Z21" s="1290">
        <f>(IF('Section Load'!AA24&gt;0,'Section Load'!AA24,0))</f>
        <v>23.35999999998603</v>
      </c>
      <c r="AA21" s="1290">
        <f>(IF('Section Load'!AB24&gt;0,'Section Load'!AB24,0))</f>
        <v>38</v>
      </c>
      <c r="AB21" s="1290">
        <f>(IF('Section Load'!AC24&gt;0,'Section Load'!AC24,0))</f>
        <v>168.45999999999185</v>
      </c>
      <c r="AC21" s="1290">
        <f>(IF('Section Load'!AD24&gt;0,'Section Load'!AD24,0))</f>
        <v>43</v>
      </c>
      <c r="AD21" s="1290">
        <f>(IF('Section Load'!AE24&gt;0,'Section Load'!AE24,0))</f>
        <v>0</v>
      </c>
      <c r="AE21" s="1290">
        <f>(IF('Section Load'!AF24&gt;0,'Section Load'!AF24,0))</f>
        <v>0</v>
      </c>
      <c r="AF21" s="1290">
        <f>(IF('Section Load'!AG24&gt;0,'Section Load'!AG24,0))</f>
        <v>363.47000000000116</v>
      </c>
      <c r="AG21" s="1290">
        <f>(IF('Section Load'!AH24&gt;0,'Section Load'!AH24,0))</f>
        <v>386.08999999999651</v>
      </c>
      <c r="AH21" s="1290">
        <f>(IF('Section Load'!AI24&gt;0,'Section Load'!AI24,0))</f>
        <v>428.92999999999302</v>
      </c>
      <c r="AI21" s="1290">
        <f>(IF('Section Load'!AJ24&gt;0,'Section Load'!AJ24,0))</f>
        <v>501.6699999999837</v>
      </c>
      <c r="AJ21" s="1290">
        <f>(IF('Section Load'!AK24&gt;0,'Section Load'!AK24,0))</f>
        <v>0</v>
      </c>
      <c r="AK21" s="1290">
        <f>(IF('Section Load'!AL24&gt;0,'Section Load'!AL24,0))</f>
        <v>295.63000000000466</v>
      </c>
      <c r="AL21" s="1290">
        <f>(IF('Section Load'!AM24&gt;0,'Section Load'!AM24,0))</f>
        <v>727</v>
      </c>
      <c r="AM21" s="1291">
        <f>(IF('Water Report'!$W$7&gt;0,'Water Report'!$W$7,0))</f>
        <v>35</v>
      </c>
      <c r="AN21" s="1291">
        <f>(IF('Water Report'!$W$8&gt;0,'Water Report'!$W$8,0))</f>
        <v>151</v>
      </c>
      <c r="AO21" s="1291">
        <f>(IF('Water Report'!$W$9&gt;0,'Water Report'!$W$9,0))</f>
        <v>51</v>
      </c>
      <c r="AP21" s="1291">
        <f>(IF('Water Report'!$W$10&gt;0,'Water Report'!$W$10,0))</f>
        <v>15</v>
      </c>
      <c r="AQ21" s="1291">
        <f>(IF('Water Report'!$W$11&gt;0,'Water Report'!$W$11,0))</f>
        <v>17</v>
      </c>
      <c r="AR21" s="1291">
        <f>(IF('Water Report'!$W$13&gt;0,'Water Report'!$W$13,0))</f>
        <v>10</v>
      </c>
      <c r="AS21" s="1291">
        <f>(IF('Water Report'!$W$14&gt;0,'Water Report'!$W$14,0))</f>
        <v>15</v>
      </c>
      <c r="AT21" s="1291">
        <f>(IF('Water Report'!$W$15&gt;0,'Water Report'!$W$15,0))</f>
        <v>4</v>
      </c>
      <c r="AU21" s="1291">
        <f>(IF('Water Report'!$W$17&gt;0,'Water Report'!$W$17,0))</f>
        <v>0</v>
      </c>
      <c r="AV21" s="1291">
        <f>(IF('Water Report'!$W$18&gt;0,'Water Report'!$W$18,0))</f>
        <v>0</v>
      </c>
      <c r="AW21" s="1291">
        <f>(IF('Water Report'!$W$19&gt;0,'Water Report'!$W$19,0))</f>
        <v>0</v>
      </c>
      <c r="AX21" s="1366">
        <f>(IF('Water Report'!$W$21&gt;0,'Water Report'!$W$21,0))</f>
        <v>66</v>
      </c>
      <c r="AY21" s="1366">
        <f>(IF('Water Report'!$W$22&gt;0,'Water Report'!$W$22,0))</f>
        <v>33</v>
      </c>
      <c r="AZ21" s="1366">
        <f>(IF('Water Report'!$W$23&gt;0,'Water Report'!$W$23,0))</f>
        <v>0</v>
      </c>
      <c r="BA21" s="1366">
        <f>(IF('Water Report'!$W$14&gt;0,'Water Report'!$W$14,0))</f>
        <v>15</v>
      </c>
      <c r="BB21" s="1366">
        <f>(IF('Water Report'!$W$15&gt;0,'Water Report'!$W$15,0))</f>
        <v>4</v>
      </c>
      <c r="BC21" s="1366">
        <f>(IF('Water Report'!$W$13&gt;0,'Water Report'!$W$13,0))</f>
        <v>10</v>
      </c>
      <c r="BD21" s="1366">
        <f>(IF('Water Report'!$W$24&gt;0,'Water Report'!$W$24,0))</f>
        <v>143</v>
      </c>
      <c r="BE21" s="1366">
        <f>(IF('Water Report'!$W$25&gt;0,'Water Report'!$W$25,0))</f>
        <v>102</v>
      </c>
      <c r="BF21" s="1366">
        <f>(IF('Water Report'!$W$27&gt;0,'Water Report'!$W$27,0))</f>
        <v>76</v>
      </c>
      <c r="BG21" s="1292">
        <f>(IF('Section Load'!AN24&gt;0,'Section Load'!AN24,0))</f>
        <v>465</v>
      </c>
      <c r="BH21" s="1292">
        <f>(IF('Section Load'!AO24&gt;0,'Section Load'!AO24,0))</f>
        <v>260.44999999995343</v>
      </c>
      <c r="BI21" s="1292">
        <f>(IF('Section Load'!AP24&gt;0,'Section Load'!AP24,0))</f>
        <v>0</v>
      </c>
      <c r="BJ21" s="1292">
        <f>(IF('Section Load'!AQ24&gt;0,'Section Load'!AQ24,0))</f>
        <v>81.230000000010477</v>
      </c>
      <c r="BK21" s="1292">
        <f>(IF('Section Load'!AR24&gt;0,'Section Load'!AR24,0))</f>
        <v>37</v>
      </c>
      <c r="BL21" s="1292">
        <f>(IF('Section Load'!AS24&gt;0,'Section Load'!AS24,0))</f>
        <v>1.7000000000007276</v>
      </c>
      <c r="BM21" s="1292">
        <f>(IF('Section Load'!AT24&gt;0,'Section Load'!AT24,0))</f>
        <v>84.620000000035361</v>
      </c>
    </row>
    <row r="22" spans="1:65">
      <c r="A22" s="1274" t="s">
        <v>299</v>
      </c>
      <c r="B22" s="1275">
        <f t="shared" si="0"/>
        <v>21</v>
      </c>
      <c r="C22" s="1275">
        <v>7</v>
      </c>
      <c r="D22" s="1275">
        <v>2021</v>
      </c>
      <c r="E22" s="1290">
        <f>(IF('Section Load'!F25&gt;0,'Section Load'!F25,0))</f>
        <v>2837.539999999979</v>
      </c>
      <c r="F22" s="1290">
        <f>(IF('Section Load'!G25&gt;0,'Section Load'!G25,0))</f>
        <v>1602.9200000000128</v>
      </c>
      <c r="G22" s="1290">
        <f>(IF('Section Load'!H25&gt;0,'Section Load'!H25,0))</f>
        <v>1578.0499999999593</v>
      </c>
      <c r="H22" s="1290">
        <f>(IF('Section Load'!I25&gt;0,'Section Load'!I25,0))</f>
        <v>3741.5200000000186</v>
      </c>
      <c r="I22" s="1290">
        <f>(IF('Section Load'!J25&gt;0,'Section Load'!J25,0))</f>
        <v>6289.1099999999278</v>
      </c>
      <c r="J22" s="1290">
        <f>(IF('Section Load'!K25&gt;0,'Section Load'!K25,0))</f>
        <v>2552.6000000000931</v>
      </c>
      <c r="K22" s="1290">
        <f>(IF('Section Load'!L25&gt;0,'Section Load'!L25,0))</f>
        <v>1014.9200000000419</v>
      </c>
      <c r="L22" s="1290">
        <f>(IF('Section Load'!M25&gt;0,'Section Load'!M25,0))</f>
        <v>759.40000000000146</v>
      </c>
      <c r="M22" s="1290">
        <f>(IF('Section Load'!N25&gt;0,'Section Load'!N25,0))</f>
        <v>13</v>
      </c>
      <c r="N22" s="1290">
        <f>(IF('Section Load'!O25&gt;0,'Section Load'!O25,0))</f>
        <v>1</v>
      </c>
      <c r="O22" s="1290">
        <f>(IF('Section Load'!P25&gt;0,'Section Load'!P25,0))</f>
        <v>1.3000000000029104</v>
      </c>
      <c r="P22" s="1290">
        <f>(IF('Section Load'!Q25&gt;0,'Section Load'!Q25,0))</f>
        <v>153.25</v>
      </c>
      <c r="Q22" s="1290">
        <f>(IF('Section Load'!R25&gt;0,'Section Load'!R25,0))</f>
        <v>69.450000000000728</v>
      </c>
      <c r="R22" s="1290">
        <f>(IF('Section Load'!S25&gt;0,'Section Load'!S25,0))</f>
        <v>93</v>
      </c>
      <c r="S22" s="1290">
        <f>(IF('Section Load'!T25&gt;0,'Section Load'!T25,0))</f>
        <v>126</v>
      </c>
      <c r="T22" s="1290">
        <f>(IF('Section Load'!U25&gt;0,'Section Load'!U25,0))</f>
        <v>155</v>
      </c>
      <c r="U22" s="1290">
        <f>(IF('Section Load'!V25&gt;0,'Section Load'!V25,0))</f>
        <v>421.71999999997206</v>
      </c>
      <c r="V22" s="1290">
        <f>(IF('Section Load'!W25&gt;0,'Section Load'!W25,0))</f>
        <v>184.95999999996275</v>
      </c>
      <c r="W22" s="1290">
        <f>(IF('Section Load'!X25&gt;0,'Section Load'!X25,0))</f>
        <v>26.44999999999709</v>
      </c>
      <c r="X22" s="1290">
        <f>(IF('Section Load'!Y25&gt;0,'Section Load'!Y25,0))</f>
        <v>222.88999999999942</v>
      </c>
      <c r="Y22" s="1290">
        <f>(IF('Section Load'!Z25&gt;0,'Section Load'!Z25,0))</f>
        <v>206</v>
      </c>
      <c r="Z22" s="1290">
        <f>(IF('Section Load'!AA25&gt;0,'Section Load'!AA25,0))</f>
        <v>22.160000000032596</v>
      </c>
      <c r="AA22" s="1290">
        <f>(IF('Section Load'!AB25&gt;0,'Section Load'!AB25,0))</f>
        <v>34.80000000000291</v>
      </c>
      <c r="AB22" s="1290">
        <f>(IF('Section Load'!AC25&gt;0,'Section Load'!AC25,0))</f>
        <v>103.36999999999534</v>
      </c>
      <c r="AC22" s="1290">
        <f>(IF('Section Load'!AD25&gt;0,'Section Load'!AD25,0))</f>
        <v>42.80000000000291</v>
      </c>
      <c r="AD22" s="1290">
        <f>(IF('Section Load'!AE25&gt;0,'Section Load'!AE25,0))</f>
        <v>0</v>
      </c>
      <c r="AE22" s="1290">
        <f>(IF('Section Load'!AF25&gt;0,'Section Load'!AF25,0))</f>
        <v>0</v>
      </c>
      <c r="AF22" s="1290">
        <f>(IF('Section Load'!AG25&gt;0,'Section Load'!AG25,0))</f>
        <v>348.01999999998952</v>
      </c>
      <c r="AG22" s="1290">
        <f>(IF('Section Load'!AH25&gt;0,'Section Load'!AH25,0))</f>
        <v>382.5</v>
      </c>
      <c r="AH22" s="1290">
        <f>(IF('Section Load'!AI25&gt;0,'Section Load'!AI25,0))</f>
        <v>407.82000000000698</v>
      </c>
      <c r="AI22" s="1290">
        <f>(IF('Section Load'!AJ25&gt;0,'Section Load'!AJ25,0))</f>
        <v>501.44000000000233</v>
      </c>
      <c r="AJ22" s="1290">
        <f>(IF('Section Load'!AK25&gt;0,'Section Load'!AK25,0))</f>
        <v>0</v>
      </c>
      <c r="AK22" s="1290">
        <f>(IF('Section Load'!AL25&gt;0,'Section Load'!AL25,0))</f>
        <v>284.54999999998836</v>
      </c>
      <c r="AL22" s="1290">
        <f>(IF('Section Load'!AM25&gt;0,'Section Load'!AM25,0))</f>
        <v>697</v>
      </c>
      <c r="AM22" s="1291">
        <f>(IF('Water Report'!$X$7&gt;0,'Water Report'!$X$7,0))</f>
        <v>79</v>
      </c>
      <c r="AN22" s="1291">
        <f>(IF('Water Report'!$X$8&gt;0,'Water Report'!$X$8,0))</f>
        <v>118</v>
      </c>
      <c r="AO22" s="1291">
        <f>(IF('Water Report'!$X$9&gt;0,'Water Report'!$X$9,0))</f>
        <v>79</v>
      </c>
      <c r="AP22" s="1291">
        <f>(IF('Water Report'!$X$10&gt;0,'Water Report'!$X$10,0))</f>
        <v>18</v>
      </c>
      <c r="AQ22" s="1291">
        <f>(IF('Water Report'!$X$11&gt;0,'Water Report'!$X$11,0))</f>
        <v>23</v>
      </c>
      <c r="AR22" s="1291">
        <f>(IF('Water Report'!$X$13&gt;0,'Water Report'!$X$13,0))</f>
        <v>18</v>
      </c>
      <c r="AS22" s="1291">
        <f>(IF('Water Report'!$X$14&gt;0,'Water Report'!$X$14,0))</f>
        <v>19</v>
      </c>
      <c r="AT22" s="1291">
        <f>(IF('Water Report'!$X$15&gt;0,'Water Report'!$X$15,0))</f>
        <v>11</v>
      </c>
      <c r="AU22" s="1291">
        <f>(IF('Water Report'!$X$17&gt;0,'Water Report'!$X$17,0))</f>
        <v>0</v>
      </c>
      <c r="AV22" s="1291">
        <f>(IF('Water Report'!$X$18&gt;0,'Water Report'!$X$18,0))</f>
        <v>12</v>
      </c>
      <c r="AW22" s="1291">
        <f>(IF('Water Report'!$X$19&gt;0,'Water Report'!$X$19,0))</f>
        <v>6</v>
      </c>
      <c r="AX22" s="1366">
        <f>(IF('Water Report'!$X$21&gt;0,'Water Report'!$X$21,0))</f>
        <v>66</v>
      </c>
      <c r="AY22" s="1366">
        <f>(IF('Water Report'!$X$22&gt;0,'Water Report'!$X$22,0))</f>
        <v>4</v>
      </c>
      <c r="AZ22" s="1366">
        <f>(IF('Water Report'!$X$23&gt;0,'Water Report'!$X$23,0))</f>
        <v>0</v>
      </c>
      <c r="BA22" s="1366">
        <f>(IF('Water Report'!$X$14&gt;0,'Water Report'!$X$14,0))</f>
        <v>19</v>
      </c>
      <c r="BB22" s="1366">
        <f>(IF('Water Report'!$X$15&gt;0,'Water Report'!$X$15,0))</f>
        <v>11</v>
      </c>
      <c r="BC22" s="1366">
        <f>(IF('Water Report'!$X$13&gt;0,'Water Report'!$X$13,0))</f>
        <v>18</v>
      </c>
      <c r="BD22" s="1366">
        <f>(IF('Water Report'!$X$24&gt;0,'Water Report'!$X$24,0))</f>
        <v>175</v>
      </c>
      <c r="BE22" s="1366">
        <f>(IF('Water Report'!$X$25&gt;0,'Water Report'!$X$25,0))</f>
        <v>150</v>
      </c>
      <c r="BF22" s="1366">
        <f>(IF('Water Report'!$X$27&gt;0,'Water Report'!$X$27,0))</f>
        <v>84</v>
      </c>
      <c r="BG22" s="1292">
        <f>(IF('Section Load'!AN25&gt;0,'Section Load'!AN25,0))</f>
        <v>926.71999999997206</v>
      </c>
      <c r="BH22" s="1292">
        <f>(IF('Section Load'!AO25&gt;0,'Section Load'!AO25,0))</f>
        <v>269.23000000009779</v>
      </c>
      <c r="BI22" s="1292">
        <f>(IF('Section Load'!AP25&gt;0,'Section Load'!AP25,0))</f>
        <v>0</v>
      </c>
      <c r="BJ22" s="1292">
        <f>(IF('Section Load'!AQ25&gt;0,'Section Load'!AQ25,0))</f>
        <v>85.069999999977881</v>
      </c>
      <c r="BK22" s="1292">
        <f>(IF('Section Load'!AR25&gt;0,'Section Load'!AR25,0))</f>
        <v>39.599999999998545</v>
      </c>
      <c r="BL22" s="1292">
        <f>(IF('Section Load'!AS25&gt;0,'Section Load'!AS25,0))</f>
        <v>1.2999999999992724</v>
      </c>
      <c r="BM22" s="1292">
        <f>(IF('Section Load'!AT25&gt;0,'Section Load'!AT25,0))</f>
        <v>531.51999999989857</v>
      </c>
    </row>
    <row r="23" spans="1:65">
      <c r="A23" s="1274" t="s">
        <v>299</v>
      </c>
      <c r="B23" s="1275">
        <f t="shared" si="0"/>
        <v>22</v>
      </c>
      <c r="C23" s="1275">
        <v>7</v>
      </c>
      <c r="D23" s="1275">
        <v>2021</v>
      </c>
      <c r="E23" s="1290">
        <f>(IF('Section Load'!F26&gt;0,'Section Load'!F26,0))</f>
        <v>2925.7600000000093</v>
      </c>
      <c r="F23" s="1290">
        <f>(IF('Section Load'!G26&gt;0,'Section Load'!G26,0))</f>
        <v>1618.9799999999814</v>
      </c>
      <c r="G23" s="1290">
        <f>(IF('Section Load'!H26&gt;0,'Section Load'!H26,0))</f>
        <v>1490.7999999999884</v>
      </c>
      <c r="H23" s="1290">
        <f>(IF('Section Load'!I26&gt;0,'Section Load'!I26,0))</f>
        <v>3759.0800000000163</v>
      </c>
      <c r="I23" s="1290">
        <f>(IF('Section Load'!J26&gt;0,'Section Load'!J26,0))</f>
        <v>6891.7000000000116</v>
      </c>
      <c r="J23" s="1290">
        <f>(IF('Section Load'!K26&gt;0,'Section Load'!K26,0))</f>
        <v>2641.5999999998603</v>
      </c>
      <c r="K23" s="1290">
        <f>(IF('Section Load'!L26&gt;0,'Section Load'!L26,0))</f>
        <v>1079.5199999999022</v>
      </c>
      <c r="L23" s="1290">
        <f>(IF('Section Load'!M26&gt;0,'Section Load'!M26,0))</f>
        <v>653.86000000000058</v>
      </c>
      <c r="M23" s="1290">
        <f>(IF('Section Load'!N26&gt;0,'Section Load'!N26,0))</f>
        <v>11</v>
      </c>
      <c r="N23" s="1290">
        <f>(IF('Section Load'!O26&gt;0,'Section Load'!O26,0))</f>
        <v>1</v>
      </c>
      <c r="O23" s="1290">
        <f>(IF('Section Load'!P26&gt;0,'Section Load'!P26,0))</f>
        <v>1.3999999999941792</v>
      </c>
      <c r="P23" s="1290">
        <f>(IF('Section Load'!Q26&gt;0,'Section Load'!Q26,0))</f>
        <v>149.95000000000073</v>
      </c>
      <c r="Q23" s="1290">
        <f>(IF('Section Load'!R26&gt;0,'Section Load'!R26,0))</f>
        <v>65.600000000000364</v>
      </c>
      <c r="R23" s="1290">
        <f>(IF('Section Load'!S26&gt;0,'Section Load'!S26,0))</f>
        <v>65</v>
      </c>
      <c r="S23" s="1290">
        <f>(IF('Section Load'!T26&gt;0,'Section Load'!T26,0))</f>
        <v>100</v>
      </c>
      <c r="T23" s="1290">
        <f>(IF('Section Load'!U26&gt;0,'Section Load'!U26,0))</f>
        <v>145</v>
      </c>
      <c r="U23" s="1290">
        <f>(IF('Section Load'!V26&gt;0,'Section Load'!V26,0))</f>
        <v>386</v>
      </c>
      <c r="V23" s="1290">
        <f>(IF('Section Load'!W26&gt;0,'Section Load'!W26,0))</f>
        <v>186</v>
      </c>
      <c r="W23" s="1290">
        <f>(IF('Section Load'!X26&gt;0,'Section Load'!X26,0))</f>
        <v>12.69999999999709</v>
      </c>
      <c r="X23" s="1290">
        <f>(IF('Section Load'!Y26&gt;0,'Section Load'!Y26,0))</f>
        <v>189.5</v>
      </c>
      <c r="Y23" s="1290">
        <f>(IF('Section Load'!Z26&gt;0,'Section Load'!Z26,0))</f>
        <v>188</v>
      </c>
      <c r="Z23" s="1290">
        <f>(IF('Section Load'!AA26&gt;0,'Section Load'!AA26,0))</f>
        <v>22.479999999981374</v>
      </c>
      <c r="AA23" s="1290">
        <f>(IF('Section Load'!AB26&gt;0,'Section Load'!AB26,0))</f>
        <v>30.099999999991269</v>
      </c>
      <c r="AB23" s="1290">
        <f>(IF('Section Load'!AC26&gt;0,'Section Load'!AC26,0))</f>
        <v>129.88000000000466</v>
      </c>
      <c r="AC23" s="1290">
        <f>(IF('Section Load'!AD26&gt;0,'Section Load'!AD26,0))</f>
        <v>42.399999999991451</v>
      </c>
      <c r="AD23" s="1290">
        <f>(IF('Section Load'!AE26&gt;0,'Section Load'!AE26,0))</f>
        <v>0</v>
      </c>
      <c r="AE23" s="1290">
        <f>(IF('Section Load'!AF26&gt;0,'Section Load'!AF26,0))</f>
        <v>0</v>
      </c>
      <c r="AF23" s="1290">
        <f>(IF('Section Load'!AG26&gt;0,'Section Load'!AG26,0))</f>
        <v>374.86000000001513</v>
      </c>
      <c r="AG23" s="1290">
        <f>(IF('Section Load'!AH26&gt;0,'Section Load'!AH26,0))</f>
        <v>402</v>
      </c>
      <c r="AH23" s="1290">
        <f>(IF('Section Load'!AI26&gt;0,'Section Load'!AI26,0))</f>
        <v>392.5399999999936</v>
      </c>
      <c r="AI23" s="1290">
        <f>(IF('Section Load'!AJ26&gt;0,'Section Load'!AJ26,0))</f>
        <v>489.61999999999534</v>
      </c>
      <c r="AJ23" s="1290">
        <f>(IF('Section Load'!AK26&gt;0,'Section Load'!AK26,0))</f>
        <v>0</v>
      </c>
      <c r="AK23" s="1290">
        <f>(IF('Section Load'!AL26&gt;0,'Section Load'!AL26,0))</f>
        <v>300.81000000001222</v>
      </c>
      <c r="AL23" s="1290">
        <f>(IF('Section Load'!AM26&gt;0,'Section Load'!AM26,0))</f>
        <v>700</v>
      </c>
      <c r="AM23" s="1291">
        <f>(IF('Water Report'!$Y$7&gt;0,'Water Report'!$Y$7,0))</f>
        <v>81</v>
      </c>
      <c r="AN23" s="1291">
        <f>(IF('Water Report'!$Y$8&gt;0,'Water Report'!$Y$8,0))</f>
        <v>30</v>
      </c>
      <c r="AO23" s="1291">
        <f>(IF('Water Report'!$Y$9&gt;0,'Water Report'!$Y$9,0))</f>
        <v>73</v>
      </c>
      <c r="AP23" s="1291">
        <f>(IF('Water Report'!$Y$10&gt;0,'Water Report'!$Y$10,0))</f>
        <v>22</v>
      </c>
      <c r="AQ23" s="1291">
        <f>(IF('Water Report'!$Y$11&gt;0,'Water Report'!$Y$11,0))</f>
        <v>20</v>
      </c>
      <c r="AR23" s="1291">
        <f>(IF('Water Report'!$Y$13&gt;0,'Water Report'!$Y$13,0))</f>
        <v>14</v>
      </c>
      <c r="AS23" s="1291">
        <f>(IF('Water Report'!$Y$14&gt;0,'Water Report'!$Y$14,0))</f>
        <v>23</v>
      </c>
      <c r="AT23" s="1291">
        <f>(IF('Water Report'!$Y$15&gt;0,'Water Report'!$Y$15,0))</f>
        <v>11</v>
      </c>
      <c r="AU23" s="1291">
        <f>(IF('Water Report'!$Y$17&gt;0,'Water Report'!$Y$17,0))</f>
        <v>0</v>
      </c>
      <c r="AV23" s="1291">
        <f>(IF('Water Report'!$Y$18&gt;0,'Water Report'!$Y$18,0))</f>
        <v>10</v>
      </c>
      <c r="AW23" s="1291">
        <f>(IF('Water Report'!$Y$19&gt;0,'Water Report'!$Y$19,0))</f>
        <v>5</v>
      </c>
      <c r="AX23" s="1366">
        <f>(IF('Water Report'!$Y$21&gt;0,'Water Report'!$Y$21,0))</f>
        <v>68</v>
      </c>
      <c r="AY23" s="1366">
        <f>(IF('Water Report'!$Y$22&gt;0,'Water Report'!$Y$22,0))</f>
        <v>15</v>
      </c>
      <c r="AZ23" s="1366">
        <f>(IF('Water Report'!$Y$23&gt;0,'Water Report'!$Y$23,0))</f>
        <v>0</v>
      </c>
      <c r="BA23" s="1366">
        <f>(IF('Water Report'!$Y$14&gt;0,'Water Report'!$Y$14,0))</f>
        <v>23</v>
      </c>
      <c r="BB23" s="1366">
        <f>(IF('Water Report'!$Y$15&gt;0,'Water Report'!$Y$15,0))</f>
        <v>11</v>
      </c>
      <c r="BC23" s="1366">
        <f>(IF('Water Report'!$Y$13&gt;0,'Water Report'!$Y$13,0))</f>
        <v>14</v>
      </c>
      <c r="BD23" s="1366">
        <f>(IF('Water Report'!$Y$24&gt;0,'Water Report'!$Y$24,0))</f>
        <v>187</v>
      </c>
      <c r="BE23" s="1366">
        <f>(IF('Water Report'!$Y$25&gt;0,'Water Report'!$Y$25,0))</f>
        <v>149</v>
      </c>
      <c r="BF23" s="1366">
        <f>(IF('Water Report'!$Y$27&gt;0,'Water Report'!$Y$27,0))</f>
        <v>82</v>
      </c>
      <c r="BG23" s="1292">
        <f>(IF('Section Load'!AN26&gt;0,'Section Load'!AN26,0))</f>
        <v>730.32000000006519</v>
      </c>
      <c r="BH23" s="1292">
        <f>(IF('Section Load'!AO26&gt;0,'Section Load'!AO26,0))</f>
        <v>265</v>
      </c>
      <c r="BI23" s="1292">
        <f>(IF('Section Load'!AP26&gt;0,'Section Load'!AP26,0))</f>
        <v>0</v>
      </c>
      <c r="BJ23" s="1292">
        <f>(IF('Section Load'!AQ26&gt;0,'Section Load'!AQ26,0))</f>
        <v>82.090000000025611</v>
      </c>
      <c r="BK23" s="1292">
        <f>(IF('Section Load'!AR26&gt;0,'Section Load'!AR26,0))</f>
        <v>44.700000000004366</v>
      </c>
      <c r="BL23" s="1292">
        <f>(IF('Section Load'!AS26&gt;0,'Section Load'!AS26,0))</f>
        <v>1</v>
      </c>
      <c r="BM23" s="1292">
        <f>(IF('Section Load'!AT26&gt;0,'Section Load'!AT26,0))</f>
        <v>337.53000000003522</v>
      </c>
    </row>
    <row r="24" spans="1:65">
      <c r="A24" s="1274" t="s">
        <v>299</v>
      </c>
      <c r="B24" s="1275">
        <f t="shared" si="0"/>
        <v>23</v>
      </c>
      <c r="C24" s="1275">
        <v>7</v>
      </c>
      <c r="D24" s="1275">
        <v>2021</v>
      </c>
      <c r="E24" s="1290">
        <f>(IF('Section Load'!F27&gt;0,'Section Load'!F27,0))</f>
        <v>3047.5800000000163</v>
      </c>
      <c r="F24" s="1290">
        <f>(IF('Section Load'!G27&gt;0,'Section Load'!G27,0))</f>
        <v>1602.1600000000035</v>
      </c>
      <c r="G24" s="1290">
        <f>(IF('Section Load'!H27&gt;0,'Section Load'!H27,0))</f>
        <v>1578.8600000000151</v>
      </c>
      <c r="H24" s="1290">
        <f>(IF('Section Load'!I27&gt;0,'Section Load'!I27,0))</f>
        <v>3787.9599999999627</v>
      </c>
      <c r="I24" s="1290">
        <f>(IF('Section Load'!J27&gt;0,'Section Load'!J27,0))</f>
        <v>7521.0500000000466</v>
      </c>
      <c r="J24" s="1290">
        <f>(IF('Section Load'!K27&gt;0,'Section Load'!K27,0))</f>
        <v>2699.2000000001863</v>
      </c>
      <c r="K24" s="1290">
        <f>(IF('Section Load'!L27&gt;0,'Section Load'!L27,0))</f>
        <v>996.76000000000931</v>
      </c>
      <c r="L24" s="1290">
        <f>(IF('Section Load'!M27&gt;0,'Section Load'!M27,0))</f>
        <v>684.05999999999767</v>
      </c>
      <c r="M24" s="1290">
        <f>(IF('Section Load'!N27&gt;0,'Section Load'!N27,0))</f>
        <v>12</v>
      </c>
      <c r="N24" s="1290">
        <f>(IF('Section Load'!O27&gt;0,'Section Load'!O27,0))</f>
        <v>2</v>
      </c>
      <c r="O24" s="1290">
        <f>(IF('Section Load'!P27&gt;0,'Section Load'!P27,0))</f>
        <v>1</v>
      </c>
      <c r="P24" s="1290">
        <f>(IF('Section Load'!Q27&gt;0,'Section Load'!Q27,0))</f>
        <v>148.45999999999913</v>
      </c>
      <c r="Q24" s="1290">
        <f>(IF('Section Load'!R27&gt;0,'Section Load'!R27,0))</f>
        <v>68.849999999998545</v>
      </c>
      <c r="R24" s="1290">
        <f>(IF('Section Load'!S27&gt;0,'Section Load'!S27,0))</f>
        <v>52</v>
      </c>
      <c r="S24" s="1290">
        <f>(IF('Section Load'!T27&gt;0,'Section Load'!T27,0))</f>
        <v>106</v>
      </c>
      <c r="T24" s="1290">
        <f>(IF('Section Load'!U27&gt;0,'Section Load'!U27,0))</f>
        <v>149</v>
      </c>
      <c r="U24" s="1290">
        <f>(IF('Section Load'!V27&gt;0,'Section Load'!V27,0))</f>
        <v>358.52000000001863</v>
      </c>
      <c r="V24" s="1290">
        <f>(IF('Section Load'!W27&gt;0,'Section Load'!W27,0))</f>
        <v>186.1600000000326</v>
      </c>
      <c r="W24" s="1290">
        <f>(IF('Section Load'!X27&gt;0,'Section Load'!X27,0))</f>
        <v>27.160000000003492</v>
      </c>
      <c r="X24" s="1290">
        <f>(IF('Section Load'!Y27&gt;0,'Section Load'!Y27,0))</f>
        <v>209.9800000000032</v>
      </c>
      <c r="Y24" s="1290">
        <f>(IF('Section Load'!Z27&gt;0,'Section Load'!Z27,0))</f>
        <v>241</v>
      </c>
      <c r="Z24" s="1290">
        <f>(IF('Section Load'!AA27&gt;0,'Section Load'!AA27,0))</f>
        <v>12</v>
      </c>
      <c r="AA24" s="1290">
        <f>(IF('Section Load'!AB27&gt;0,'Section Load'!AB27,0))</f>
        <v>32.80000000000291</v>
      </c>
      <c r="AB24" s="1290">
        <f>(IF('Section Load'!AC27&gt;0,'Section Load'!AC27,0))</f>
        <v>131.08999999999651</v>
      </c>
      <c r="AC24" s="1290">
        <f>(IF('Section Load'!AD27&gt;0,'Section Load'!AD27,0))</f>
        <v>50.500000000002728</v>
      </c>
      <c r="AD24" s="1290">
        <f>(IF('Section Load'!AE27&gt;0,'Section Load'!AE27,0))</f>
        <v>0</v>
      </c>
      <c r="AE24" s="1290">
        <f>(IF('Section Load'!AF27&gt;0,'Section Load'!AF27,0))</f>
        <v>0</v>
      </c>
      <c r="AF24" s="1290">
        <f>(IF('Section Load'!AG27&gt;0,'Section Load'!AG27,0))</f>
        <v>370.27999999999884</v>
      </c>
      <c r="AG24" s="1290">
        <f>(IF('Section Load'!AH27&gt;0,'Section Load'!AH27,0))</f>
        <v>415.05999999999767</v>
      </c>
      <c r="AH24" s="1290">
        <f>(IF('Section Load'!AI27&gt;0,'Section Load'!AI27,0))</f>
        <v>396.06000000001222</v>
      </c>
      <c r="AI24" s="1290">
        <f>(IF('Section Load'!AJ27&gt;0,'Section Load'!AJ27,0))</f>
        <v>512.54000000003725</v>
      </c>
      <c r="AJ24" s="1290">
        <f>(IF('Section Load'!AK27&gt;0,'Section Load'!AK27,0))</f>
        <v>0</v>
      </c>
      <c r="AK24" s="1290">
        <f>(IF('Section Load'!AL27&gt;0,'Section Load'!AL27,0))</f>
        <v>314.67999999999302</v>
      </c>
      <c r="AL24" s="1290">
        <f>(IF('Section Load'!AM27&gt;0,'Section Load'!AM27,0))</f>
        <v>709</v>
      </c>
      <c r="AM24" s="1291">
        <f>(IF('Water Report'!$Z$7&gt;0,'Water Report'!$Z$7,0))</f>
        <v>102</v>
      </c>
      <c r="AN24" s="1291">
        <f>(IF('Water Report'!$Z$8&gt;0,'Water Report'!$Z$8,0))</f>
        <v>124</v>
      </c>
      <c r="AO24" s="1291">
        <f>(IF('Water Report'!$Z$9&gt;0,'Water Report'!$Z$9,0))</f>
        <v>67</v>
      </c>
      <c r="AP24" s="1291">
        <f>(IF('Water Report'!$Z$10&gt;0,'Water Report'!$Z$10,0))</f>
        <v>20</v>
      </c>
      <c r="AQ24" s="1291">
        <f>(IF('Water Report'!$Z$11&gt;0,'Water Report'!$Z$11,0))</f>
        <v>21</v>
      </c>
      <c r="AR24" s="1291">
        <f>(IF('Water Report'!$Z$13&gt;0,'Water Report'!$Z$13,0))</f>
        <v>49</v>
      </c>
      <c r="AS24" s="1291">
        <f>(IF('Water Report'!$Z$14&gt;0,'Water Report'!$Z$14,0))</f>
        <v>12</v>
      </c>
      <c r="AT24" s="1291">
        <f>(IF('Water Report'!$Z$15&gt;0,'Water Report'!$Z$15,0))</f>
        <v>8</v>
      </c>
      <c r="AU24" s="1291">
        <f>(IF('Water Report'!$Z$17&gt;0,'Water Report'!$Z$17,0))</f>
        <v>0</v>
      </c>
      <c r="AV24" s="1291">
        <f>(IF('Water Report'!$Z$18&gt;0,'Water Report'!$Z$18,0))</f>
        <v>9</v>
      </c>
      <c r="AW24" s="1291">
        <f>(IF('Water Report'!$Z$19&gt;0,'Water Report'!$Z$19,0))</f>
        <v>5</v>
      </c>
      <c r="AX24" s="1366">
        <f>(IF('Water Report'!$Z$21&gt;0,'Water Report'!$Z$21,0))</f>
        <v>71</v>
      </c>
      <c r="AY24" s="1366">
        <f>(IF('Water Report'!$Z$22&gt;0,'Water Report'!$Z$22,0))</f>
        <v>26</v>
      </c>
      <c r="AZ24" s="1366">
        <f>(IF('Water Report'!$Z$23&gt;0,'Water Report'!$Z$23,0))</f>
        <v>0</v>
      </c>
      <c r="BA24" s="1366">
        <f>(IF('Water Report'!$Z$14&gt;0,'Water Report'!$Z$14,0))</f>
        <v>12</v>
      </c>
      <c r="BB24" s="1366">
        <f>(IF('Water Report'!$Z$15&gt;0,'Water Report'!$Z$15,0))</f>
        <v>8</v>
      </c>
      <c r="BC24" s="1366">
        <f>(IF('Water Report'!$Z$13&gt;0,'Water Report'!$Z$13,0))</f>
        <v>49</v>
      </c>
      <c r="BD24" s="1366">
        <f>(IF('Water Report'!$Z$24&gt;0,'Water Report'!$Z$24,0))</f>
        <v>170</v>
      </c>
      <c r="BE24" s="1366">
        <f>(IF('Water Report'!$Z$25&gt;0,'Water Report'!$Z$25,0))</f>
        <v>128</v>
      </c>
      <c r="BF24" s="1366">
        <f>(IF('Water Report'!$Z$27&gt;0,'Water Report'!$Z$27,0))</f>
        <v>120</v>
      </c>
      <c r="BG24" s="1292">
        <f>(IF('Section Load'!AN27&gt;0,'Section Load'!AN27,0))</f>
        <v>871.31000000005588</v>
      </c>
      <c r="BH24" s="1292">
        <f>(IF('Section Load'!AO27&gt;0,'Section Load'!AO27,0))</f>
        <v>259.03999999992084</v>
      </c>
      <c r="BI24" s="1292">
        <f>(IF('Section Load'!AP27&gt;0,'Section Load'!AP27,0))</f>
        <v>0</v>
      </c>
      <c r="BJ24" s="1292">
        <f>(IF('Section Load'!AQ27&gt;0,'Section Load'!AQ27,0))</f>
        <v>78.819999999977881</v>
      </c>
      <c r="BK24" s="1292">
        <f>(IF('Section Load'!AR27&gt;0,'Section Load'!AR27,0))</f>
        <v>41.399999999994179</v>
      </c>
      <c r="BL24" s="1292">
        <f>(IF('Section Load'!AS27&gt;0,'Section Load'!AS27,0))</f>
        <v>1.8999999999996362</v>
      </c>
      <c r="BM24" s="1292">
        <f>(IF('Section Load'!AT27&gt;0,'Section Load'!AT27,0))</f>
        <v>490.15000000016335</v>
      </c>
    </row>
    <row r="25" spans="1:65">
      <c r="A25" s="1274" t="s">
        <v>299</v>
      </c>
      <c r="B25" s="1275">
        <f t="shared" si="0"/>
        <v>24</v>
      </c>
      <c r="C25" s="1275">
        <v>7</v>
      </c>
      <c r="D25" s="1275">
        <v>2021</v>
      </c>
      <c r="E25" s="1290">
        <f>(IF('Section Load'!F28&gt;0,'Section Load'!F28,0))</f>
        <v>3076.9099999999744</v>
      </c>
      <c r="F25" s="1290">
        <f>(IF('Section Load'!G28&gt;0,'Section Load'!G28,0))</f>
        <v>1631.9700000000012</v>
      </c>
      <c r="G25" s="1290">
        <f>(IF('Section Load'!H28&gt;0,'Section Load'!H28,0))</f>
        <v>1604.3600000000442</v>
      </c>
      <c r="H25" s="1290">
        <f>(IF('Section Load'!I28&gt;0,'Section Load'!I28,0))</f>
        <v>3817.4199999999837</v>
      </c>
      <c r="I25" s="1290">
        <f>(IF('Section Load'!J28&gt;0,'Section Load'!J28,0))</f>
        <v>7305.1499999999942</v>
      </c>
      <c r="J25" s="1290">
        <f>(IF('Section Load'!K28&gt;0,'Section Load'!K28,0))</f>
        <v>2784.8999999999069</v>
      </c>
      <c r="K25" s="1290">
        <f>(IF('Section Load'!L28&gt;0,'Section Load'!L28,0))</f>
        <v>988.05000000004657</v>
      </c>
      <c r="L25" s="1290">
        <f>(IF('Section Load'!M28&gt;0,'Section Load'!M28,0))</f>
        <v>689.16000000000349</v>
      </c>
      <c r="M25" s="1290">
        <f>(IF('Section Load'!N28&gt;0,'Section Load'!N28,0))</f>
        <v>14</v>
      </c>
      <c r="N25" s="1290">
        <f>(IF('Section Load'!O28&gt;0,'Section Load'!O28,0))</f>
        <v>1</v>
      </c>
      <c r="O25" s="1290">
        <f>(IF('Section Load'!P28&gt;0,'Section Load'!P28,0))</f>
        <v>0</v>
      </c>
      <c r="P25" s="1290">
        <f>(IF('Section Load'!Q28&gt;0,'Section Load'!Q28,0))</f>
        <v>175.70999999999913</v>
      </c>
      <c r="Q25" s="1290">
        <f>(IF('Section Load'!R28&gt;0,'Section Load'!R28,0))</f>
        <v>65.200000000000728</v>
      </c>
      <c r="R25" s="1290">
        <f>(IF('Section Load'!S28&gt;0,'Section Load'!S28,0))</f>
        <v>54</v>
      </c>
      <c r="S25" s="1290">
        <f>(IF('Section Load'!T28&gt;0,'Section Load'!T28,0))</f>
        <v>173</v>
      </c>
      <c r="T25" s="1290">
        <f>(IF('Section Load'!U28&gt;0,'Section Load'!U28,0))</f>
        <v>159</v>
      </c>
      <c r="U25" s="1290">
        <f>(IF('Section Load'!V28&gt;0,'Section Load'!V28,0))</f>
        <v>398.47999999998137</v>
      </c>
      <c r="V25" s="1290">
        <f>(IF('Section Load'!W28&gt;0,'Section Load'!W28,0))</f>
        <v>186.8399999999674</v>
      </c>
      <c r="W25" s="1290">
        <f>(IF('Section Load'!X28&gt;0,'Section Load'!X28,0))</f>
        <v>20.619999999995343</v>
      </c>
      <c r="X25" s="1290">
        <f>(IF('Section Load'!Y28&gt;0,'Section Load'!Y28,0))</f>
        <v>207.88999999999942</v>
      </c>
      <c r="Y25" s="1290">
        <f>(IF('Section Load'!Z28&gt;0,'Section Load'!Z28,0))</f>
        <v>190</v>
      </c>
      <c r="Z25" s="1290">
        <f>(IF('Section Load'!AA28&gt;0,'Section Load'!AA28,0))</f>
        <v>9</v>
      </c>
      <c r="AA25" s="1290">
        <f>(IF('Section Load'!AB28&gt;0,'Section Load'!AB28,0))</f>
        <v>22.30000000000291</v>
      </c>
      <c r="AB25" s="1290">
        <f>(IF('Section Load'!AC28&gt;0,'Section Load'!AC28,0))</f>
        <v>75.200000000011642</v>
      </c>
      <c r="AC25" s="1290">
        <f>(IF('Section Load'!AD28&gt;0,'Section Load'!AD28,0))</f>
        <v>26.600000000003092</v>
      </c>
      <c r="AD25" s="1290">
        <f>(IF('Section Load'!AE28&gt;0,'Section Load'!AE28,0))</f>
        <v>0</v>
      </c>
      <c r="AE25" s="1290">
        <f>(IF('Section Load'!AF28&gt;0,'Section Load'!AF28,0))</f>
        <v>0</v>
      </c>
      <c r="AF25" s="1290">
        <f>(IF('Section Load'!AG28&gt;0,'Section Load'!AG28,0))</f>
        <v>339.36999999999534</v>
      </c>
      <c r="AG25" s="1290">
        <f>(IF('Section Load'!AH28&gt;0,'Section Load'!AH28,0))</f>
        <v>404.35000000000582</v>
      </c>
      <c r="AH25" s="1290">
        <f>(IF('Section Load'!AI28&gt;0,'Section Load'!AI28,0))</f>
        <v>409.64999999999418</v>
      </c>
      <c r="AI25" s="1290">
        <f>(IF('Section Load'!AJ28&gt;0,'Section Load'!AJ28,0))</f>
        <v>551.72999999998137</v>
      </c>
      <c r="AJ25" s="1290">
        <f>(IF('Section Load'!AK28&gt;0,'Section Load'!AK28,0))</f>
        <v>0</v>
      </c>
      <c r="AK25" s="1290">
        <f>(IF('Section Load'!AL28&gt;0,'Section Load'!AL28,0))</f>
        <v>311.33000000000175</v>
      </c>
      <c r="AL25" s="1290">
        <f>(IF('Section Load'!AM28&gt;0,'Section Load'!AM28,0))</f>
        <v>782</v>
      </c>
      <c r="AM25" s="1291">
        <f>(IF('Water Report'!$AA$7&gt;0,'Water Report'!$AA$7,0))</f>
        <v>124</v>
      </c>
      <c r="AN25" s="1291">
        <f>(IF('Water Report'!$AA$8&gt;0,'Water Report'!$AA$8,0))</f>
        <v>110</v>
      </c>
      <c r="AO25" s="1291">
        <f>(IF('Water Report'!$AA$9&gt;0,'Water Report'!$AA$9,0))</f>
        <v>64</v>
      </c>
      <c r="AP25" s="1291">
        <f>(IF('Water Report'!$AA$10&gt;0,'Water Report'!$AA$10,0))</f>
        <v>23</v>
      </c>
      <c r="AQ25" s="1291">
        <f>(IF('Water Report'!$AA$11&gt;0,'Water Report'!$AA$11,0))</f>
        <v>34</v>
      </c>
      <c r="AR25" s="1291">
        <f>(IF('Water Report'!$AA$13&gt;0,'Water Report'!$AA$13,0))</f>
        <v>6</v>
      </c>
      <c r="AS25" s="1291">
        <f>(IF('Water Report'!$AA$14&gt;0,'Water Report'!$AA$14,0))</f>
        <v>12</v>
      </c>
      <c r="AT25" s="1291">
        <f>(IF('Water Report'!$AA$15&gt;0,'Water Report'!$AA$15,0))</f>
        <v>6</v>
      </c>
      <c r="AU25" s="1291">
        <f>(IF('Water Report'!$AA$17&gt;0,'Water Report'!$AA$17,0))</f>
        <v>0</v>
      </c>
      <c r="AV25" s="1291">
        <f>(IF('Water Report'!$AA$18&gt;0,'Water Report'!$AA$18,0))</f>
        <v>10</v>
      </c>
      <c r="AW25" s="1291">
        <f>(IF('Water Report'!$AA$19&gt;0,'Water Report'!$AA$19,0))</f>
        <v>5</v>
      </c>
      <c r="AX25" s="1366">
        <f>(IF('Water Report'!$AA$21&gt;0,'Water Report'!$AA$21,0))</f>
        <v>72</v>
      </c>
      <c r="AY25" s="1366">
        <f>(IF('Water Report'!$AA$22&gt;0,'Water Report'!$AA$22,0))</f>
        <v>31</v>
      </c>
      <c r="AZ25" s="1366">
        <f>(IF('Water Report'!$AA$23&gt;0,'Water Report'!$AA$23,0))</f>
        <v>0</v>
      </c>
      <c r="BA25" s="1366">
        <f>(IF('Water Report'!$AA$14&gt;0,'Water Report'!$AA$14,0))</f>
        <v>12</v>
      </c>
      <c r="BB25" s="1366">
        <f>(IF('Water Report'!$AA$15&gt;0,'Water Report'!$AA$15,0))</f>
        <v>6</v>
      </c>
      <c r="BC25" s="1366">
        <f>(IF('Water Report'!$AA$13&gt;0,'Water Report'!$AA$13,0))</f>
        <v>6</v>
      </c>
      <c r="BD25" s="1366">
        <f>(IF('Water Report'!$AA$24&gt;0,'Water Report'!$AA$24,0))</f>
        <v>174</v>
      </c>
      <c r="BE25" s="1366">
        <f>(IF('Water Report'!$AA$25&gt;0,'Water Report'!$AA$25,0))</f>
        <v>139</v>
      </c>
      <c r="BF25" s="1366">
        <f>(IF('Water Report'!$AA$27&gt;0,'Water Report'!$AA$27,0))</f>
        <v>78</v>
      </c>
      <c r="BG25" s="1292">
        <f>(IF('Section Load'!AN28&gt;0,'Section Load'!AN28,0))</f>
        <v>866.64999999990687</v>
      </c>
      <c r="BH25" s="1292">
        <f>(IF('Section Load'!AO28&gt;0,'Section Load'!AO28,0))</f>
        <v>254.28000000002794</v>
      </c>
      <c r="BI25" s="1292">
        <f>(IF('Section Load'!AP28&gt;0,'Section Load'!AP28,0))</f>
        <v>0</v>
      </c>
      <c r="BJ25" s="1292">
        <f>(IF('Section Load'!AQ28&gt;0,'Section Load'!AQ28,0))</f>
        <v>87.790000000008149</v>
      </c>
      <c r="BK25" s="1292">
        <f>(IF('Section Load'!AR28&gt;0,'Section Load'!AR28,0))</f>
        <v>50.30000000000291</v>
      </c>
      <c r="BL25" s="1292">
        <f>(IF('Section Load'!AS28&gt;0,'Section Load'!AS28,0))</f>
        <v>4.1000000000003638</v>
      </c>
      <c r="BM25" s="1292">
        <f>(IF('Section Load'!AT28&gt;0,'Section Load'!AT28,0))</f>
        <v>470.57999999986168</v>
      </c>
    </row>
    <row r="26" spans="1:65">
      <c r="A26" s="1274" t="s">
        <v>299</v>
      </c>
      <c r="B26" s="1275">
        <f>B25+1</f>
        <v>25</v>
      </c>
      <c r="C26" s="1275">
        <v>7</v>
      </c>
      <c r="D26" s="1275">
        <v>2021</v>
      </c>
      <c r="E26" s="1290">
        <f>(IF('Section Load'!F29&gt;0,'Section Load'!F29,0))</f>
        <v>2993</v>
      </c>
      <c r="F26" s="1290">
        <f>(IF('Section Load'!G29&gt;0,'Section Load'!G29,0))</f>
        <v>1677.8699999999953</v>
      </c>
      <c r="G26" s="1290">
        <f>(IF('Section Load'!H29&gt;0,'Section Load'!H29,0))</f>
        <v>1682.0699999999488</v>
      </c>
      <c r="H26" s="1290">
        <f>(IF('Section Load'!I29&gt;0,'Section Load'!I29,0))</f>
        <v>3772</v>
      </c>
      <c r="I26" s="1290">
        <f>(IF('Section Load'!J29&gt;0,'Section Load'!J29,0))</f>
        <v>7467.4500000000116</v>
      </c>
      <c r="J26" s="1290">
        <f>(IF('Section Load'!K29&gt;0,'Section Load'!K29,0))</f>
        <v>2870</v>
      </c>
      <c r="K26" s="1290">
        <f>(IF('Section Load'!L29&gt;0,'Section Load'!L29,0))</f>
        <v>1138</v>
      </c>
      <c r="L26" s="1290">
        <f>(IF('Section Load'!M29&gt;0,'Section Load'!M29,0))</f>
        <v>718</v>
      </c>
      <c r="M26" s="1290">
        <f>(IF('Section Load'!N29&gt;0,'Section Load'!N29,0))</f>
        <v>10</v>
      </c>
      <c r="N26" s="1290">
        <f>(IF('Section Load'!O29&gt;0,'Section Load'!O29,0))</f>
        <v>1</v>
      </c>
      <c r="O26" s="1290">
        <f>(IF('Section Load'!P29&gt;0,'Section Load'!P29,0))</f>
        <v>0</v>
      </c>
      <c r="P26" s="1290">
        <f>(IF('Section Load'!Q29&gt;0,'Section Load'!Q29,0))</f>
        <v>165</v>
      </c>
      <c r="Q26" s="1290">
        <f>(IF('Section Load'!R29&gt;0,'Section Load'!R29,0))</f>
        <v>71</v>
      </c>
      <c r="R26" s="1290">
        <f>(IF('Section Load'!S29&gt;0,'Section Load'!S29,0))</f>
        <v>55</v>
      </c>
      <c r="S26" s="1290">
        <f>(IF('Section Load'!T29&gt;0,'Section Load'!T29,0))</f>
        <v>134</v>
      </c>
      <c r="T26" s="1290">
        <f>(IF('Section Load'!U29&gt;0,'Section Load'!U29,0))</f>
        <v>142</v>
      </c>
      <c r="U26" s="1290">
        <f>(IF('Section Load'!V29&gt;0,'Section Load'!V29,0))</f>
        <v>443</v>
      </c>
      <c r="V26" s="1290">
        <f>(IF('Section Load'!W29&gt;0,'Section Load'!W29,0))</f>
        <v>224</v>
      </c>
      <c r="W26" s="1290">
        <f>(IF('Section Load'!X29&gt;0,'Section Load'!X29,0))</f>
        <v>27</v>
      </c>
      <c r="X26" s="1290">
        <f>(IF('Section Load'!Y29&gt;0,'Section Load'!Y29,0))</f>
        <v>236</v>
      </c>
      <c r="Y26" s="1290">
        <f>(IF('Section Load'!Z29&gt;0,'Section Load'!Z29,0))</f>
        <v>674</v>
      </c>
      <c r="Z26" s="1290">
        <f>(IF('Section Load'!AA29&gt;0,'Section Load'!AA29,0))</f>
        <v>9</v>
      </c>
      <c r="AA26" s="1290">
        <f>(IF('Section Load'!AB29&gt;0,'Section Load'!AB29,0))</f>
        <v>17</v>
      </c>
      <c r="AB26" s="1290">
        <f>(IF('Section Load'!AC29&gt;0,'Section Load'!AC29,0))</f>
        <v>18</v>
      </c>
      <c r="AC26" s="1290">
        <f>(IF('Section Load'!AD29&gt;0,'Section Load'!AD29,0))</f>
        <v>19</v>
      </c>
      <c r="AD26" s="1290">
        <f>(IF('Section Load'!AE29&gt;0,'Section Load'!AE29,0))</f>
        <v>0</v>
      </c>
      <c r="AE26" s="1290">
        <f>(IF('Section Load'!AF29&gt;0,'Section Load'!AF29,0))</f>
        <v>0</v>
      </c>
      <c r="AF26" s="1290">
        <f>(IF('Section Load'!AG29&gt;0,'Section Load'!AG29,0))</f>
        <v>349</v>
      </c>
      <c r="AG26" s="1290">
        <f>(IF('Section Load'!AH29&gt;0,'Section Load'!AH29,0))</f>
        <v>390</v>
      </c>
      <c r="AH26" s="1290">
        <f>(IF('Section Load'!AI29&gt;0,'Section Load'!AI29,0))</f>
        <v>399</v>
      </c>
      <c r="AI26" s="1290">
        <f>(IF('Section Load'!AJ29&gt;0,'Section Load'!AJ29,0))</f>
        <v>497</v>
      </c>
      <c r="AJ26" s="1290">
        <f>(IF('Section Load'!AK29&gt;0,'Section Load'!AK29,0))</f>
        <v>0</v>
      </c>
      <c r="AK26" s="1290">
        <f>(IF('Section Load'!AL29&gt;0,'Section Load'!AL29,0))</f>
        <v>328</v>
      </c>
      <c r="AL26" s="1290">
        <f>(IF('Section Load'!AM29&gt;0,'Section Load'!AM29,0))</f>
        <v>784</v>
      </c>
      <c r="AM26" s="1291">
        <f>(IF('Water Report'!$AB$7&gt;0,'Water Report'!$AB$7,0))</f>
        <v>134</v>
      </c>
      <c r="AN26" s="1291">
        <f>(IF('Water Report'!$AB$8&gt;0,'Water Report'!$AB$8,0))</f>
        <v>67</v>
      </c>
      <c r="AO26" s="1291">
        <f>(IF('Water Report'!$AB$9&gt;0,'Water Report'!$AB$9,0))</f>
        <v>78</v>
      </c>
      <c r="AP26" s="1291">
        <f>(IF('Water Report'!$AB$10&gt;0,'Water Report'!$AB$10,0))</f>
        <v>31</v>
      </c>
      <c r="AQ26" s="1291">
        <f>(IF('Water Report'!$AB$11&gt;0,'Water Report'!$AB$11,0))</f>
        <v>39</v>
      </c>
      <c r="AR26" s="1291">
        <f>(IF('Water Report'!$AB$13&gt;0,'Water Report'!$AB$13,0))</f>
        <v>35</v>
      </c>
      <c r="AS26" s="1291">
        <f>(IF('Water Report'!$AB$14&gt;0,'Water Report'!$AB$14,0))</f>
        <v>19</v>
      </c>
      <c r="AT26" s="1291">
        <f>(IF('Water Report'!$AB$15&gt;0,'Water Report'!$AB$15,0))</f>
        <v>15</v>
      </c>
      <c r="AU26" s="1291">
        <f>(IF('Water Report'!$AB$17&gt;0,'Water Report'!$AB$17,0))</f>
        <v>0</v>
      </c>
      <c r="AV26" s="1291">
        <f>(IF('Water Report'!$AB$18&gt;0,'Water Report'!$AB$18,0))</f>
        <v>10</v>
      </c>
      <c r="AW26" s="1291">
        <f>(IF('Water Report'!$AB$19&gt;0,'Water Report'!$AB$19,0))</f>
        <v>5</v>
      </c>
      <c r="AX26" s="1366">
        <f>(IF('Water Report'!$AB$21&gt;0,'Water Report'!$AB$21,0))</f>
        <v>72</v>
      </c>
      <c r="AY26" s="1366">
        <f>(IF('Water Report'!$AB$22&gt;0,'Water Report'!$AB$22,0))</f>
        <v>37</v>
      </c>
      <c r="AZ26" s="1366">
        <f>(IF('Water Report'!$AB$23&gt;0,'Water Report'!$AB$23,0))</f>
        <v>0</v>
      </c>
      <c r="BA26" s="1366">
        <f>(IF('Water Report'!$AB$14&gt;0,'Water Report'!$AB$14,0))</f>
        <v>19</v>
      </c>
      <c r="BB26" s="1366">
        <f>(IF('Water Report'!$AB$15&gt;0,'Water Report'!$AB$15,0))</f>
        <v>15</v>
      </c>
      <c r="BC26" s="1366">
        <f>(IF('Water Report'!$AB$13&gt;0,'Water Report'!$AB$13,0))</f>
        <v>35</v>
      </c>
      <c r="BD26" s="1366">
        <f>(IF('Water Report'!$AB$24&gt;0,'Water Report'!$AB$24,0))</f>
        <v>222</v>
      </c>
      <c r="BE26" s="1366">
        <f>(IF('Water Report'!$AB$25&gt;0,'Water Report'!$AB$25,0))</f>
        <v>182</v>
      </c>
      <c r="BF26" s="1366">
        <f>(IF('Water Report'!$AB$27&gt;0,'Water Report'!$AB$27,0))</f>
        <v>107</v>
      </c>
      <c r="BG26" s="1292">
        <f>(IF('Section Load'!AN29&gt;0,'Section Load'!AN29,0))</f>
        <v>892</v>
      </c>
      <c r="BH26" s="1292">
        <f>(IF('Section Load'!AO29&gt;0,'Section Load'!AO29,0))</f>
        <v>280</v>
      </c>
      <c r="BI26" s="1292">
        <f>(IF('Section Load'!AP29&gt;0,'Section Load'!AP29,0))</f>
        <v>0</v>
      </c>
      <c r="BJ26" s="1292">
        <f>(IF('Section Load'!AQ29&gt;0,'Section Load'!AQ29,0))</f>
        <v>73</v>
      </c>
      <c r="BK26" s="1292">
        <f>(IF('Section Load'!AR29&gt;0,'Section Load'!AR29,0))</f>
        <v>40</v>
      </c>
      <c r="BL26" s="1292">
        <f>(IF('Section Load'!AS29&gt;0,'Section Load'!AS29,0))</f>
        <v>4</v>
      </c>
      <c r="BM26" s="1292">
        <f>(IF('Section Load'!AT29&gt;0,'Section Load'!AT29,0))</f>
        <v>495</v>
      </c>
    </row>
    <row r="27" spans="1:65">
      <c r="A27" s="1274" t="s">
        <v>299</v>
      </c>
      <c r="B27" s="1275">
        <f t="shared" si="0"/>
        <v>26</v>
      </c>
      <c r="C27" s="1275">
        <v>7</v>
      </c>
      <c r="D27" s="1275">
        <v>2021</v>
      </c>
      <c r="E27" s="1290">
        <f>(IF('Section Load'!F30&gt;0,'Section Load'!F30,0))</f>
        <v>3145</v>
      </c>
      <c r="F27" s="1290">
        <f>(IF('Section Load'!G30&gt;0,'Section Load'!G30,0))</f>
        <v>1663</v>
      </c>
      <c r="G27" s="1290">
        <f>(IF('Section Load'!H30&gt;0,'Section Load'!H30,0))</f>
        <v>1573</v>
      </c>
      <c r="H27" s="1290">
        <f>(IF('Section Load'!I30&gt;0,'Section Load'!I30,0))</f>
        <v>3750</v>
      </c>
      <c r="I27" s="1290">
        <f>(IF('Section Load'!J30&gt;0,'Section Load'!J30,0))</f>
        <v>7309</v>
      </c>
      <c r="J27" s="1290">
        <f>(IF('Section Load'!K30&gt;0,'Section Load'!K30,0))</f>
        <v>2794</v>
      </c>
      <c r="K27" s="1290">
        <f>(IF('Section Load'!L30&gt;0,'Section Load'!L30,0))</f>
        <v>928</v>
      </c>
      <c r="L27" s="1290">
        <f>(IF('Section Load'!M30&gt;0,'Section Load'!M30,0))</f>
        <v>755</v>
      </c>
      <c r="M27" s="1290">
        <f>(IF('Section Load'!N30&gt;0,'Section Load'!N30,0))</f>
        <v>11</v>
      </c>
      <c r="N27" s="1290">
        <f>(IF('Section Load'!O30&gt;0,'Section Load'!O30,0))</f>
        <v>1</v>
      </c>
      <c r="O27" s="1290">
        <f>(IF('Section Load'!P30&gt;0,'Section Load'!P30,0))</f>
        <v>0</v>
      </c>
      <c r="P27" s="1290">
        <f>(IF('Section Load'!Q30&gt;0,'Section Load'!Q30,0))</f>
        <v>145</v>
      </c>
      <c r="Q27" s="1290">
        <f>(IF('Section Load'!R30&gt;0,'Section Load'!R30,0))</f>
        <v>81</v>
      </c>
      <c r="R27" s="1290">
        <f>(IF('Section Load'!S30&gt;0,'Section Load'!S30,0))</f>
        <v>133</v>
      </c>
      <c r="S27" s="1290">
        <f>(IF('Section Load'!T30&gt;0,'Section Load'!T30,0))</f>
        <v>89</v>
      </c>
      <c r="T27" s="1290">
        <f>(IF('Section Load'!U30&gt;0,'Section Load'!U30,0))</f>
        <v>154</v>
      </c>
      <c r="U27" s="1290">
        <f>(IF('Section Load'!V30&gt;0,'Section Load'!V30,0))</f>
        <v>408</v>
      </c>
      <c r="V27" s="1290">
        <f>(IF('Section Load'!W30&gt;0,'Section Load'!W30,0))</f>
        <v>193</v>
      </c>
      <c r="W27" s="1290">
        <f>(IF('Section Load'!X30&gt;0,'Section Load'!X30,0))</f>
        <v>14</v>
      </c>
      <c r="X27" s="1290">
        <f>(IF('Section Load'!Y30&gt;0,'Section Load'!Y30,0))</f>
        <v>208</v>
      </c>
      <c r="Y27" s="1290">
        <f>(IF('Section Load'!Z30&gt;0,'Section Load'!Z30,0))</f>
        <v>11</v>
      </c>
      <c r="Z27" s="1290">
        <f>(IF('Section Load'!AA30&gt;0,'Section Load'!AA30,0))</f>
        <v>14</v>
      </c>
      <c r="AA27" s="1290">
        <f>(IF('Section Load'!AB30&gt;0,'Section Load'!AB30,0))</f>
        <v>35</v>
      </c>
      <c r="AB27" s="1290">
        <f>(IF('Section Load'!AC30&gt;0,'Section Load'!AC30,0))</f>
        <v>26</v>
      </c>
      <c r="AC27" s="1290">
        <f>(IF('Section Load'!AD30&gt;0,'Section Load'!AD30,0))</f>
        <v>42</v>
      </c>
      <c r="AD27" s="1290">
        <f>(IF('Section Load'!AE30&gt;0,'Section Load'!AE30,0))</f>
        <v>0</v>
      </c>
      <c r="AE27" s="1290">
        <f>(IF('Section Load'!AF30&gt;0,'Section Load'!AF30,0))</f>
        <v>0</v>
      </c>
      <c r="AF27" s="1290">
        <f>(IF('Section Load'!AG30&gt;0,'Section Load'!AG30,0))</f>
        <v>403</v>
      </c>
      <c r="AG27" s="1290">
        <f>(IF('Section Load'!AH30&gt;0,'Section Load'!AH30,0))</f>
        <v>369</v>
      </c>
      <c r="AH27" s="1290">
        <f>(IF('Section Load'!AI30&gt;0,'Section Load'!AI30,0))</f>
        <v>414</v>
      </c>
      <c r="AI27" s="1290">
        <f>(IF('Section Load'!AJ30&gt;0,'Section Load'!AJ30,0))</f>
        <v>481</v>
      </c>
      <c r="AJ27" s="1290">
        <f>(IF('Section Load'!AK30&gt;0,'Section Load'!AK30,0))</f>
        <v>0</v>
      </c>
      <c r="AK27" s="1290">
        <f>(IF('Section Load'!AL30&gt;0,'Section Load'!AL30,0))</f>
        <v>352</v>
      </c>
      <c r="AL27" s="1290">
        <f>(IF('Section Load'!AM30&gt;0,'Section Load'!AM30,0))</f>
        <v>829</v>
      </c>
      <c r="AM27" s="1291">
        <f>(IF('Water Report'!$AC$7&gt;0,'Water Report'!$AC$7,0))</f>
        <v>82</v>
      </c>
      <c r="AN27" s="1291">
        <f>(IF('Water Report'!$AC$8&gt;0,'Water Report'!$AC$8,0))</f>
        <v>108</v>
      </c>
      <c r="AO27" s="1291">
        <f>(IF('Water Report'!$AC$9&gt;0,'Water Report'!$AC$9,0))</f>
        <v>69</v>
      </c>
      <c r="AP27" s="1291">
        <f>(IF('Water Report'!$AC$10&gt;0,'Water Report'!$AC$10,0))</f>
        <v>24</v>
      </c>
      <c r="AQ27" s="1291">
        <f>(IF('Water Report'!$AC$11&gt;0,'Water Report'!$AC$11,0))</f>
        <v>22</v>
      </c>
      <c r="AR27" s="1291">
        <f>(IF('Water Report'!$AC$13&gt;0,'Water Report'!$AC$13,0))</f>
        <v>27</v>
      </c>
      <c r="AS27" s="1291">
        <f>(IF('Water Report'!$AC$14&gt;0,'Water Report'!$AC$14,0))</f>
        <v>21</v>
      </c>
      <c r="AT27" s="1291">
        <f>(IF('Water Report'!$AC$15&gt;0,'Water Report'!$AC$15,0))</f>
        <v>6</v>
      </c>
      <c r="AU27" s="1291">
        <f>(IF('Water Report'!$AC$17&gt;0,'Water Report'!$AC$17,0))</f>
        <v>0</v>
      </c>
      <c r="AV27" s="1291">
        <f>(IF('Water Report'!$AC$18&gt;0,'Water Report'!$AC$18,0))</f>
        <v>12</v>
      </c>
      <c r="AW27" s="1291">
        <f>(IF('Water Report'!$AC$19&gt;0,'Water Report'!$AC$19,0))</f>
        <v>4</v>
      </c>
      <c r="AX27" s="1366">
        <f>(IF('Water Report'!$AC$21&gt;0,'Water Report'!$AC$21,0))</f>
        <v>73</v>
      </c>
      <c r="AY27" s="1366">
        <f>(IF('Water Report'!$AC$22&gt;0,'Water Report'!$AC$22,0))</f>
        <v>11</v>
      </c>
      <c r="AZ27" s="1366">
        <f>(IF('Water Report'!$AC$23&gt;0,'Water Report'!$AC$23,0))</f>
        <v>0</v>
      </c>
      <c r="BA27" s="1366">
        <f>(IF('Water Report'!$AC$14&gt;0,'Water Report'!$AC$14,0))</f>
        <v>21</v>
      </c>
      <c r="BB27" s="1366">
        <f>(IF('Water Report'!$AC$15&gt;0,'Water Report'!$AC$15,0))</f>
        <v>6</v>
      </c>
      <c r="BC27" s="1366">
        <f>(IF('Water Report'!$AC$13&gt;0,'Water Report'!$AC$13,0))</f>
        <v>27</v>
      </c>
      <c r="BD27" s="1366">
        <f>(IF('Water Report'!$AC$24&gt;0,'Water Report'!$AC$24,0))</f>
        <v>185</v>
      </c>
      <c r="BE27" s="1366">
        <f>(IF('Water Report'!$AC$25&gt;0,'Water Report'!$AC$25,0))</f>
        <v>142</v>
      </c>
      <c r="BF27" s="1366">
        <f>(IF('Water Report'!$AC$27&gt;0,'Water Report'!$AC$27,0))</f>
        <v>100</v>
      </c>
      <c r="BG27" s="1292">
        <f>(IF('Section Load'!AN30&gt;0,'Section Load'!AN30,0))</f>
        <v>754</v>
      </c>
      <c r="BH27" s="1292">
        <f>(IF('Section Load'!AO30&gt;0,'Section Load'!AO30,0))</f>
        <v>252</v>
      </c>
      <c r="BI27" s="1292">
        <f>(IF('Section Load'!AP30&gt;0,'Section Load'!AP30,0))</f>
        <v>0</v>
      </c>
      <c r="BJ27" s="1292">
        <f>(IF('Section Load'!AQ30&gt;0,'Section Load'!AQ30,0))</f>
        <v>71</v>
      </c>
      <c r="BK27" s="1292">
        <f>(IF('Section Load'!AR30&gt;0,'Section Load'!AR30,0))</f>
        <v>35</v>
      </c>
      <c r="BL27" s="1292">
        <f>(IF('Section Load'!AS30&gt;0,'Section Load'!AS30,0))</f>
        <v>2</v>
      </c>
      <c r="BM27" s="1292">
        <f>(IF('Section Load'!AT30&gt;0,'Section Load'!AT30,0))</f>
        <v>394</v>
      </c>
    </row>
    <row r="28" spans="1:65">
      <c r="A28" s="1274" t="s">
        <v>299</v>
      </c>
      <c r="B28" s="1275">
        <f t="shared" si="0"/>
        <v>27</v>
      </c>
      <c r="C28" s="1275">
        <v>7</v>
      </c>
      <c r="D28" s="1275">
        <v>2021</v>
      </c>
      <c r="E28" s="1290">
        <f>(IF('Section Load'!F31&gt;0,'Section Load'!F31,0))</f>
        <v>2883</v>
      </c>
      <c r="F28" s="1290">
        <f>(IF('Section Load'!G31&gt;0,'Section Load'!G31,0))</f>
        <v>1655.1300000000047</v>
      </c>
      <c r="G28" s="1290">
        <f>(IF('Section Load'!H31&gt;0,'Section Load'!H31,0))</f>
        <v>1507.9300000000512</v>
      </c>
      <c r="H28" s="1290">
        <f>(IF('Section Load'!I31&gt;0,'Section Load'!I31,0))</f>
        <v>3783</v>
      </c>
      <c r="I28" s="1290">
        <f>(IF('Section Load'!J31&gt;0,'Section Load'!J31,0))</f>
        <v>6213</v>
      </c>
      <c r="J28" s="1290">
        <f>(IF('Section Load'!K31&gt;0,'Section Load'!K31,0))</f>
        <v>2676</v>
      </c>
      <c r="K28" s="1290">
        <f>(IF('Section Load'!L31&gt;0,'Section Load'!L31,0))</f>
        <v>988</v>
      </c>
      <c r="L28" s="1290">
        <f>(IF('Section Load'!M31&gt;0,'Section Load'!M31,0))</f>
        <v>671</v>
      </c>
      <c r="M28" s="1290">
        <f>(IF('Section Load'!N31&gt;0,'Section Load'!N31,0))</f>
        <v>13</v>
      </c>
      <c r="N28" s="1290">
        <f>(IF('Section Load'!O31&gt;0,'Section Load'!O31,0))</f>
        <v>1</v>
      </c>
      <c r="O28" s="1290">
        <f>(IF('Section Load'!P31&gt;0,'Section Load'!P31,0))</f>
        <v>3</v>
      </c>
      <c r="P28" s="1290">
        <f>(IF('Section Load'!Q31&gt;0,'Section Load'!Q31,0))</f>
        <v>148</v>
      </c>
      <c r="Q28" s="1290">
        <f>(IF('Section Load'!R31&gt;0,'Section Load'!R31,0))</f>
        <v>78</v>
      </c>
      <c r="R28" s="1290">
        <f>(IF('Section Load'!S31&gt;0,'Section Load'!S31,0))</f>
        <v>113</v>
      </c>
      <c r="S28" s="1290">
        <f>(IF('Section Load'!T31&gt;0,'Section Load'!T31,0))</f>
        <v>185</v>
      </c>
      <c r="T28" s="1290">
        <f>(IF('Section Load'!U31&gt;0,'Section Load'!U31,0))</f>
        <v>144</v>
      </c>
      <c r="U28" s="1290">
        <f>(IF('Section Load'!V31&gt;0,'Section Load'!V31,0))</f>
        <v>374</v>
      </c>
      <c r="V28" s="1290">
        <f>(IF('Section Load'!W31&gt;0,'Section Load'!W31,0))</f>
        <v>185</v>
      </c>
      <c r="W28" s="1290">
        <f>(IF('Section Load'!X31&gt;0,'Section Load'!X31,0))</f>
        <v>23</v>
      </c>
      <c r="X28" s="1290">
        <f>(IF('Section Load'!Y31&gt;0,'Section Load'!Y31,0))</f>
        <v>192</v>
      </c>
      <c r="Y28" s="1290">
        <f>(IF('Section Load'!Z31&gt;0,'Section Load'!Z31,0))</f>
        <v>29</v>
      </c>
      <c r="Z28" s="1290">
        <f>(IF('Section Load'!AA31&gt;0,'Section Load'!AA31,0))</f>
        <v>79</v>
      </c>
      <c r="AA28" s="1290">
        <f>(IF('Section Load'!AB31&gt;0,'Section Load'!AB31,0))</f>
        <v>30</v>
      </c>
      <c r="AB28" s="1290">
        <f>(IF('Section Load'!AC31&gt;0,'Section Load'!AC31,0))</f>
        <v>34</v>
      </c>
      <c r="AC28" s="1290">
        <f>(IF('Section Load'!AD31&gt;0,'Section Load'!AD31,0))</f>
        <v>35</v>
      </c>
      <c r="AD28" s="1290">
        <f>(IF('Section Load'!AE31&gt;0,'Section Load'!AE31,0))</f>
        <v>0</v>
      </c>
      <c r="AE28" s="1290">
        <f>(IF('Section Load'!AF31&gt;0,'Section Load'!AF31,0))</f>
        <v>0</v>
      </c>
      <c r="AF28" s="1290">
        <f>(IF('Section Load'!AG31&gt;0,'Section Load'!AG31,0))</f>
        <v>351</v>
      </c>
      <c r="AG28" s="1290">
        <f>(IF('Section Load'!AH31&gt;0,'Section Load'!AH31,0))</f>
        <v>358</v>
      </c>
      <c r="AH28" s="1290">
        <f>(IF('Section Load'!AI31&gt;0,'Section Load'!AI31,0))</f>
        <v>402</v>
      </c>
      <c r="AI28" s="1290">
        <f>(IF('Section Load'!AJ31&gt;0,'Section Load'!AJ31,0))</f>
        <v>529</v>
      </c>
      <c r="AJ28" s="1290">
        <f>(IF('Section Load'!AK31&gt;0,'Section Load'!AK31,0))</f>
        <v>0</v>
      </c>
      <c r="AK28" s="1290">
        <f>(IF('Section Load'!AL31&gt;0,'Section Load'!AL31,0))</f>
        <v>345</v>
      </c>
      <c r="AL28" s="1290">
        <f>(IF('Section Load'!AM31&gt;0,'Section Load'!AM31,0))</f>
        <v>835</v>
      </c>
      <c r="AM28" s="1291">
        <f>(IF('Water Report'!$AD$7&gt;0,'Water Report'!$AD$7,0))</f>
        <v>54</v>
      </c>
      <c r="AN28" s="1291">
        <f>(IF('Water Report'!$AD$8&gt;0,'Water Report'!$AD$8,0))</f>
        <v>15</v>
      </c>
      <c r="AO28" s="1291">
        <f>(IF('Water Report'!$AD$9&gt;0,'Water Report'!$AD$9,0))</f>
        <v>62</v>
      </c>
      <c r="AP28" s="1291">
        <f>(IF('Water Report'!$AD$10&gt;0,'Water Report'!AD$10,0))</f>
        <v>19</v>
      </c>
      <c r="AQ28" s="1291">
        <f>(IF('Water Report'!$AD$11&gt;0,'Water Report'!AE$11,0))</f>
        <v>24</v>
      </c>
      <c r="AR28" s="1291">
        <f>(IF('Water Report'!$AD$13&gt;0,'Water Report'!AF$13,0))</f>
        <v>30</v>
      </c>
      <c r="AS28" s="1291">
        <f>(IF('Water Report'!$AD$14&gt;0,'Water Report'!AG$14,0))</f>
        <v>18</v>
      </c>
      <c r="AT28" s="1291">
        <f>(IF('Water Report'!$AD$15&gt;0,'Water Report'!AH$15,0))</f>
        <v>9</v>
      </c>
      <c r="AU28" s="1291">
        <f>(IF('Water Report'!$AD$17&gt;0,'Water Report'!AI$17,0))</f>
        <v>0</v>
      </c>
      <c r="AV28" s="1291">
        <f>(IF('Water Report'!$AD$18&gt;0,'Water Report'!AJ$18,0))</f>
        <v>0</v>
      </c>
      <c r="AW28" s="1291">
        <f>(IF('Water Report'!$AD$19&gt;0,'Water Report'!AK$19,0))</f>
        <v>0</v>
      </c>
      <c r="AX28" s="1366">
        <f>(IF('Water Report'!$AD$21&gt;0,'Water Report'!AL$21,0))</f>
        <v>0</v>
      </c>
      <c r="AY28" s="1366">
        <f>(IF('Water Report'!$AD$22&gt;0,'Water Report'!AM$22,0))</f>
        <v>0</v>
      </c>
      <c r="AZ28" s="1366">
        <f>(IF('Water Report'!$AD$23&gt;0,'Water Report'!AN$23,0))</f>
        <v>0</v>
      </c>
      <c r="BA28" s="1366">
        <f>(IF('Water Report'!$AD$14&gt;0,'Water Report'!AO$14,0))</f>
        <v>0</v>
      </c>
      <c r="BB28" s="1366">
        <f>(IF('Water Report'!$AD$15&gt;0,'Water Report'!AP$15,0))</f>
        <v>0</v>
      </c>
      <c r="BC28" s="1366">
        <f>(IF('Water Report'!$AD$13&gt;0,'Water Report'!AQ$13,0))</f>
        <v>0</v>
      </c>
      <c r="BD28" s="1366">
        <f>(IF('Water Report'!$AD$24&gt;0,'Water Report'!AR$24,0))</f>
        <v>0</v>
      </c>
      <c r="BE28" s="1366">
        <f>(IF('Water Report'!$AD$25&gt;0,'Water Report'!AS$25,0))</f>
        <v>0</v>
      </c>
      <c r="BF28" s="1366">
        <f>(IF('Water Report'!$AD$27&gt;0,'Water Report'!AT$27,0))</f>
        <v>0</v>
      </c>
      <c r="BG28" s="1292">
        <f>(IF('Section Load'!AN31&gt;0,'Section Load'!AN31,0))</f>
        <v>794</v>
      </c>
      <c r="BH28" s="1292">
        <f>(IF('Section Load'!AO31&gt;0,'Section Load'!AO31,0))</f>
        <v>250</v>
      </c>
      <c r="BI28" s="1292">
        <f>(IF('Section Load'!AP31&gt;0,'Section Load'!AP31,0))</f>
        <v>0.39999999999417923</v>
      </c>
      <c r="BJ28" s="1292">
        <f>(IF('Section Load'!AQ31&gt;0,'Section Load'!AQ31,0))</f>
        <v>62</v>
      </c>
      <c r="BK28" s="1292">
        <f>(IF('Section Load'!AR31&gt;0,'Section Load'!AR31,0))</f>
        <v>30</v>
      </c>
      <c r="BL28" s="1292">
        <f>(IF('Section Load'!AS31&gt;0,'Section Load'!AS31,0))</f>
        <v>1</v>
      </c>
      <c r="BM28" s="1292">
        <f>(IF('Section Load'!AT31&gt;0,'Section Load'!AT31,0))</f>
        <v>450.60000000000582</v>
      </c>
    </row>
    <row r="29" spans="1:65">
      <c r="A29" s="1274" t="s">
        <v>299</v>
      </c>
      <c r="B29" s="1275">
        <f t="shared" si="0"/>
        <v>28</v>
      </c>
      <c r="C29" s="1275">
        <v>7</v>
      </c>
      <c r="D29" s="1275">
        <v>2021</v>
      </c>
      <c r="E29" s="1290">
        <f>(IF('Section Load'!F32&gt;0,'Section Load'!F32,0))</f>
        <v>2896</v>
      </c>
      <c r="F29" s="1290">
        <f>(IF('Section Load'!G32&gt;0,'Section Load'!G32,0))</f>
        <v>1600</v>
      </c>
      <c r="G29" s="1290">
        <f>(IF('Section Load'!H32&gt;0,'Section Load'!H32,0))</f>
        <v>1549.0699999999488</v>
      </c>
      <c r="H29" s="1290">
        <f>(IF('Section Load'!I32&gt;0,'Section Load'!I32,0))</f>
        <v>3785</v>
      </c>
      <c r="I29" s="1290">
        <f>(IF('Section Load'!J32&gt;0,'Section Load'!J32,0))</f>
        <v>6109</v>
      </c>
      <c r="J29" s="1290">
        <f>(IF('Section Load'!K32&gt;0,'Section Load'!K32,0))</f>
        <v>2686.33</v>
      </c>
      <c r="K29" s="1290">
        <f>(IF('Section Load'!L32&gt;0,'Section Load'!L32,0))</f>
        <v>920</v>
      </c>
      <c r="L29" s="1290">
        <f>(IF('Section Load'!M32&gt;0,'Section Load'!M32,0))</f>
        <v>674</v>
      </c>
      <c r="M29" s="1290">
        <f>(IF('Section Load'!N32&gt;0,'Section Load'!N32,0))</f>
        <v>13</v>
      </c>
      <c r="N29" s="1290">
        <f>(IF('Section Load'!O32&gt;0,'Section Load'!O32,0))</f>
        <v>1</v>
      </c>
      <c r="O29" s="1290">
        <f>(IF('Section Load'!P32&gt;0,'Section Load'!P32,0))</f>
        <v>3</v>
      </c>
      <c r="P29" s="1290">
        <f>(IF('Section Load'!Q32&gt;0,'Section Load'!Q32,0))</f>
        <v>152</v>
      </c>
      <c r="Q29" s="1290">
        <f>(IF('Section Load'!R32&gt;0,'Section Load'!R32,0))</f>
        <v>71</v>
      </c>
      <c r="R29" s="1290">
        <f>(IF('Section Load'!S32&gt;0,'Section Load'!S32,0))</f>
        <v>78</v>
      </c>
      <c r="S29" s="1290">
        <f>(IF('Section Load'!T32&gt;0,'Section Load'!T32,0))</f>
        <v>81</v>
      </c>
      <c r="T29" s="1290">
        <f>(IF('Section Load'!U32&gt;0,'Section Load'!U32,0))</f>
        <v>145</v>
      </c>
      <c r="U29" s="1290">
        <f>(IF('Section Load'!V32&gt;0,'Section Load'!V32,0))</f>
        <v>361</v>
      </c>
      <c r="V29" s="1290">
        <f>(IF('Section Load'!W32&gt;0,'Section Load'!W32,0))</f>
        <v>190</v>
      </c>
      <c r="W29" s="1290">
        <f>(IF('Section Load'!X32&gt;0,'Section Load'!X32,0))</f>
        <v>15</v>
      </c>
      <c r="X29" s="1290">
        <f>(IF('Section Load'!Y32&gt;0,'Section Load'!Y32,0))</f>
        <v>162</v>
      </c>
      <c r="Y29" s="1290">
        <f>(IF('Section Load'!Z32&gt;0,'Section Load'!Z32,0))</f>
        <v>224</v>
      </c>
      <c r="Z29" s="1290">
        <f>(IF('Section Load'!AA32&gt;0,'Section Load'!AA32,0))</f>
        <v>19</v>
      </c>
      <c r="AA29" s="1290">
        <f>(IF('Section Load'!AB32&gt;0,'Section Load'!AB32,0))</f>
        <v>34</v>
      </c>
      <c r="AB29" s="1290">
        <f>(IF('Section Load'!AC32&gt;0,'Section Load'!AC32,0))</f>
        <v>26</v>
      </c>
      <c r="AC29" s="1290">
        <f>(IF('Section Load'!AD32&gt;0,'Section Load'!AD32,0))</f>
        <v>40</v>
      </c>
      <c r="AD29" s="1290">
        <f>(IF('Section Load'!AE32&gt;0,'Section Load'!AE32,0))</f>
        <v>0</v>
      </c>
      <c r="AE29" s="1290">
        <f>(IF('Section Load'!AF32&gt;0,'Section Load'!AF32,0))</f>
        <v>0</v>
      </c>
      <c r="AF29" s="1290">
        <f>(IF('Section Load'!AG32&gt;0,'Section Load'!AG32,0))</f>
        <v>389</v>
      </c>
      <c r="AG29" s="1290">
        <f>(IF('Section Load'!AH32&gt;0,'Section Load'!AH32,0))</f>
        <v>382</v>
      </c>
      <c r="AH29" s="1290">
        <f>(IF('Section Load'!AI32&gt;0,'Section Load'!AI32,0))</f>
        <v>396</v>
      </c>
      <c r="AI29" s="1290">
        <f>(IF('Section Load'!AJ32&gt;0,'Section Load'!AJ32,0))</f>
        <v>497</v>
      </c>
      <c r="AJ29" s="1290">
        <f>(IF('Section Load'!AK32&gt;0,'Section Load'!AK32,0))</f>
        <v>0</v>
      </c>
      <c r="AK29" s="1290">
        <f>(IF('Section Load'!AL32&gt;0,'Section Load'!AL32,0))</f>
        <v>350</v>
      </c>
      <c r="AL29" s="1290">
        <f>(IF('Section Load'!AM32&gt;0,'Section Load'!AM32,0))</f>
        <v>779</v>
      </c>
      <c r="AM29" s="1291">
        <f>(IF('Water Report'!$AE$7&gt;0,'Water Report'!$AE$7,0))</f>
        <v>61</v>
      </c>
      <c r="AN29" s="1291">
        <f>(IF('Water Report'!$AE$8&gt;0,'Water Report'!$AE$8,0))</f>
        <v>119</v>
      </c>
      <c r="AO29" s="1291">
        <f>(IF('Water Report'!$AE$9&gt;0,'Water Report'!$AE$9,0))</f>
        <v>61</v>
      </c>
      <c r="AP29" s="1291">
        <f>(IF('Water Report'!$AE$10&gt;0,'Water Report'!$AE$10,0))</f>
        <v>21</v>
      </c>
      <c r="AQ29" s="1291">
        <f>(IF('Water Report'!$AE$11&gt;0,'Water Report'!$AE$11,0))</f>
        <v>24</v>
      </c>
      <c r="AR29" s="1291">
        <f>(IF('Water Report'!$AE$13&gt;0,'Water Report'!$AE$13,0))</f>
        <v>47</v>
      </c>
      <c r="AS29" s="1291">
        <f>(IF('Water Report'!$AE$14&gt;0,'Water Report'!$AE$14,0))</f>
        <v>11</v>
      </c>
      <c r="AT29" s="1291">
        <f>(IF('Water Report'!$AE$15&gt;0,'Water Report'!$AE$15,0))</f>
        <v>9</v>
      </c>
      <c r="AU29" s="1291">
        <f>(IF('Water Report'!$AE$17&gt;0,'Water Report'!$AE$17,0))</f>
        <v>0</v>
      </c>
      <c r="AV29" s="1291">
        <f>(IF('Water Report'!$AE$18&gt;0,'Water Report'!$AE$18,0))</f>
        <v>8</v>
      </c>
      <c r="AW29" s="1291">
        <f>(IF('Water Report'!$AE$19&gt;0,'Water Report'!$AE$19,0))</f>
        <v>3</v>
      </c>
      <c r="AX29" s="1366">
        <f>(IF('Water Report'!$AE$21&gt;0,'Water Report'!$AE$21,0))</f>
        <v>70</v>
      </c>
      <c r="AY29" s="1366">
        <f>(IF('Water Report'!$AE$22&gt;0,'Water Report'!$AE$22,0))</f>
        <v>19</v>
      </c>
      <c r="AZ29" s="1366">
        <f>(IF('Water Report'!$AE$23&gt;0,'Water Report'!$AE$23,0))</f>
        <v>0</v>
      </c>
      <c r="BA29" s="1366">
        <f>(IF('Water Report'!$AE$14&gt;0,'Water Report'!$AE$14,0))</f>
        <v>11</v>
      </c>
      <c r="BB29" s="1366">
        <f>(IF('Water Report'!$AE$15&gt;0,'Water Report'!$AE$15,0))</f>
        <v>9</v>
      </c>
      <c r="BC29" s="1366">
        <f>(IF('Water Report'!$AE$13&gt;0,'Water Report'!$AE$13,0))</f>
        <v>47</v>
      </c>
      <c r="BD29" s="1366">
        <f>(IF('Water Report'!$AE$24&gt;0,'Water Report'!$AE$24,0))</f>
        <v>126</v>
      </c>
      <c r="BE29" s="1366">
        <f>(IF('Water Report'!$AE$25&gt;0,'Water Report'!$AE$25,0))</f>
        <v>126</v>
      </c>
      <c r="BF29" s="1366">
        <f>(IF('Water Report'!$AE$27&gt;0,'Water Report'!$AE$27,0))</f>
        <v>117</v>
      </c>
      <c r="BG29" s="1292">
        <f>(IF('Section Load'!AN32&gt;0,'Section Load'!AN32,0))</f>
        <v>691</v>
      </c>
      <c r="BH29" s="1292">
        <f>(IF('Section Load'!AO32&gt;0,'Section Load'!AO32,0))</f>
        <v>243</v>
      </c>
      <c r="BI29" s="1292">
        <f>(IF('Section Load'!AP32&gt;0,'Section Load'!AP32,0))</f>
        <v>0</v>
      </c>
      <c r="BJ29" s="1292">
        <f>(IF('Section Load'!AQ32&gt;0,'Section Load'!AQ32,0))</f>
        <v>66</v>
      </c>
      <c r="BK29" s="1292">
        <f>(IF('Section Load'!AR32&gt;0,'Section Load'!AR32,0))</f>
        <v>32</v>
      </c>
      <c r="BL29" s="1292">
        <f>(IF('Section Load'!AS32&gt;0,'Section Load'!AS32,0))</f>
        <v>2</v>
      </c>
      <c r="BM29" s="1292">
        <f>(IF('Section Load'!AT32&gt;0,'Section Load'!AT32,0))</f>
        <v>348</v>
      </c>
    </row>
    <row r="30" spans="1:65">
      <c r="A30" s="1274" t="s">
        <v>299</v>
      </c>
      <c r="B30" s="1275">
        <f t="shared" si="0"/>
        <v>29</v>
      </c>
      <c r="C30" s="1275">
        <v>7</v>
      </c>
      <c r="D30" s="1275">
        <v>2021</v>
      </c>
      <c r="E30" s="1290">
        <f>(IF('Section Load'!F33&gt;0,'Section Load'!F33,0))</f>
        <v>3024</v>
      </c>
      <c r="F30" s="1290">
        <f>(IF('Section Load'!G33&gt;0,'Section Load'!G33,0))</f>
        <v>1606.8699999999953</v>
      </c>
      <c r="G30" s="1290">
        <f>(IF('Section Load'!H33&gt;0,'Section Load'!H33,0))</f>
        <v>1643</v>
      </c>
      <c r="H30" s="1290">
        <f>(IF('Section Load'!I33&gt;0,'Section Load'!I33,0))</f>
        <v>3817</v>
      </c>
      <c r="I30" s="1290">
        <f>(IF('Section Load'!J33&gt;0,'Section Load'!J33,0))</f>
        <v>7255</v>
      </c>
      <c r="J30" s="1290">
        <f>(IF('Section Load'!K33&gt;0,'Section Load'!K33,0))</f>
        <v>2797.67</v>
      </c>
      <c r="K30" s="1290">
        <f>(IF('Section Load'!L33&gt;0,'Section Load'!L33,0))</f>
        <v>980</v>
      </c>
      <c r="L30" s="1290">
        <f>(IF('Section Load'!M33&gt;0,'Section Load'!M33,0))</f>
        <v>1126</v>
      </c>
      <c r="M30" s="1290">
        <f>(IF('Section Load'!N33&gt;0,'Section Load'!N33,0))</f>
        <v>13</v>
      </c>
      <c r="N30" s="1290">
        <f>(IF('Section Load'!O33&gt;0,'Section Load'!O33,0))</f>
        <v>1</v>
      </c>
      <c r="O30" s="1290">
        <f>(IF('Section Load'!P33&gt;0,'Section Load'!P33,0))</f>
        <v>2</v>
      </c>
      <c r="P30" s="1290">
        <f>(IF('Section Load'!Q33&gt;0,'Section Load'!Q33,0))</f>
        <v>159</v>
      </c>
      <c r="Q30" s="1290">
        <f>(IF('Section Load'!R33&gt;0,'Section Load'!R33,0))</f>
        <v>73</v>
      </c>
      <c r="R30" s="1290">
        <f>(IF('Section Load'!S33&gt;0,'Section Load'!S33,0))</f>
        <v>58</v>
      </c>
      <c r="S30" s="1290">
        <f>(IF('Section Load'!T33&gt;0,'Section Load'!T33,0))</f>
        <v>130</v>
      </c>
      <c r="T30" s="1290">
        <f>(IF('Section Load'!U33&gt;0,'Section Load'!U33,0))</f>
        <v>148</v>
      </c>
      <c r="U30" s="1290">
        <f>(IF('Section Load'!V33&gt;0,'Section Load'!V33,0))</f>
        <v>381</v>
      </c>
      <c r="V30" s="1290">
        <f>(IF('Section Load'!W33&gt;0,'Section Load'!W33,0))</f>
        <v>197</v>
      </c>
      <c r="W30" s="1290">
        <f>(IF('Section Load'!X33&gt;0,'Section Load'!X33,0))</f>
        <v>27</v>
      </c>
      <c r="X30" s="1290">
        <f>(IF('Section Load'!Y33&gt;0,'Section Load'!Y33,0))</f>
        <v>197</v>
      </c>
      <c r="Y30" s="1290">
        <f>(IF('Section Load'!Z33&gt;0,'Section Load'!Z33,0))</f>
        <v>296</v>
      </c>
      <c r="Z30" s="1290">
        <f>(IF('Section Load'!AA33&gt;0,'Section Load'!AA33,0))</f>
        <v>9</v>
      </c>
      <c r="AA30" s="1290">
        <f>(IF('Section Load'!AB33&gt;0,'Section Load'!AB33,0))</f>
        <v>39</v>
      </c>
      <c r="AB30" s="1290">
        <f>(IF('Section Load'!AC33&gt;0,'Section Load'!AC33,0))</f>
        <v>23</v>
      </c>
      <c r="AC30" s="1290">
        <f>(IF('Section Load'!AD33&gt;0,'Section Load'!AD33,0))</f>
        <v>44</v>
      </c>
      <c r="AD30" s="1290">
        <f>(IF('Section Load'!AE33&gt;0,'Section Load'!AE33,0))</f>
        <v>0</v>
      </c>
      <c r="AE30" s="1290">
        <f>(IF('Section Load'!AF33&gt;0,'Section Load'!AF33,0))</f>
        <v>0</v>
      </c>
      <c r="AF30" s="1290">
        <f>(IF('Section Load'!AG33&gt;0,'Section Load'!AG33,0))</f>
        <v>405</v>
      </c>
      <c r="AG30" s="1290">
        <f>(IF('Section Load'!AH33&gt;0,'Section Load'!AH33,0))</f>
        <v>399</v>
      </c>
      <c r="AH30" s="1290">
        <f>(IF('Section Load'!AI33&gt;0,'Section Load'!AI33,0))</f>
        <v>406</v>
      </c>
      <c r="AI30" s="1290">
        <f>(IF('Section Load'!AJ33&gt;0,'Section Load'!AJ33,0))</f>
        <v>509</v>
      </c>
      <c r="AJ30" s="1290">
        <f>(IF('Section Load'!AK33&gt;0,'Section Load'!AK33,0))</f>
        <v>0</v>
      </c>
      <c r="AK30" s="1290">
        <f>(IF('Section Load'!AL33&gt;0,'Section Load'!AL33,0))</f>
        <v>350</v>
      </c>
      <c r="AL30" s="1290">
        <f>(IF('Section Load'!AM33&gt;0,'Section Load'!AM33,0))</f>
        <v>793</v>
      </c>
      <c r="AM30" s="1291">
        <f>(IF('Water Report'!$AF$7&gt;0,'Water Report'!$AF$7,0))</f>
        <v>67</v>
      </c>
      <c r="AN30" s="1291">
        <f>(IF('Water Report'!$AF$8&gt;0,'Water Report'!$AF$8,0))</f>
        <v>108</v>
      </c>
      <c r="AO30" s="1291">
        <f>(IF('Water Report'!$AF$9&gt;0,'Water Report'!$AF$9,0))</f>
        <v>69</v>
      </c>
      <c r="AP30" s="1291">
        <f>(IF('Water Report'!$AF$10&gt;0,'Water Report'!$AF$10,0))</f>
        <v>20</v>
      </c>
      <c r="AQ30" s="1291">
        <f>(IF('Water Report'!$AF$11&gt;0,'Water Report'!$AF$11,0))</f>
        <v>25</v>
      </c>
      <c r="AR30" s="1291">
        <f>(IF('Water Report'!$AF$13&gt;0,'Water Report'!$AF$13,0))</f>
        <v>30</v>
      </c>
      <c r="AS30" s="1291">
        <f>(IF('Water Report'!$AF$14&gt;0,'Water Report'!$AF$14,0))</f>
        <v>10</v>
      </c>
      <c r="AT30" s="1291">
        <f>(IF('Water Report'!$AF$15&gt;0,'Water Report'!$AF$15,0))</f>
        <v>7</v>
      </c>
      <c r="AU30" s="1291">
        <f>(IF('Water Report'!$AF$17&gt;0,'Water Report'!$AF$17,0))</f>
        <v>0</v>
      </c>
      <c r="AV30" s="1291">
        <f>(IF('Water Report'!$AF$18&gt;0,'Water Report'!$AF$18,0))</f>
        <v>8</v>
      </c>
      <c r="AW30" s="1291">
        <f>(IF('Water Report'!$AF$19&gt;0,'Water Report'!$AF$19,0))</f>
        <v>5</v>
      </c>
      <c r="AX30" s="1366">
        <f>(IF('Water Report'!$AF$21&gt;0,'Water Report'!$AF$21,0))</f>
        <v>70</v>
      </c>
      <c r="AY30" s="1366">
        <f>(IF('Water Report'!$AF$22&gt;0,'Water Report'!$AF$22,0))</f>
        <v>0</v>
      </c>
      <c r="AZ30" s="1366">
        <f>(IF('Water Report'!$AF$23&gt;0,'Water Report'!$AF$23,0))</f>
        <v>0</v>
      </c>
      <c r="BA30" s="1366">
        <f>(IF('Water Report'!$AF$14&gt;0,'Water Report'!$AF$14,0))</f>
        <v>10</v>
      </c>
      <c r="BB30" s="1366">
        <f>(IF('Water Report'!$AF$15&gt;0,'Water Report'!$AF$15,0))</f>
        <v>7</v>
      </c>
      <c r="BC30" s="1366">
        <f>(IF('Water Report'!$AF$13&gt;0,'Water Report'!$AF$13,0))</f>
        <v>30</v>
      </c>
      <c r="BD30" s="1366">
        <f>(IF('Water Report'!$AF$24&gt;0,'Water Report'!$AF$24,0))</f>
        <v>204</v>
      </c>
      <c r="BE30" s="1366">
        <f>(IF('Water Report'!$AF$25&gt;0,'Water Report'!$AF$25,0))</f>
        <v>131</v>
      </c>
      <c r="BF30" s="1366">
        <f>(IF('Water Report'!$AF$27&gt;0,'Water Report'!$AF$27,0))</f>
        <v>100</v>
      </c>
      <c r="BG30" s="1292">
        <f>(IF('Section Load'!AN33&gt;0,'Section Load'!AN33,0))</f>
        <v>988</v>
      </c>
      <c r="BH30" s="1292">
        <f>(IF('Section Load'!AO33&gt;0,'Section Load'!AO33,0))</f>
        <v>265</v>
      </c>
      <c r="BI30" s="1292">
        <f>(IF('Section Load'!AP33&gt;0,'Section Load'!AP33,0))</f>
        <v>0</v>
      </c>
      <c r="BJ30" s="1292">
        <f>(IF('Section Load'!AQ33&gt;0,'Section Load'!AQ33,0))</f>
        <v>89</v>
      </c>
      <c r="BK30" s="1292">
        <f>(IF('Section Load'!AR33&gt;0,'Section Load'!AR33,0))</f>
        <v>44</v>
      </c>
      <c r="BL30" s="1292">
        <f>(IF('Section Load'!AS33&gt;0,'Section Load'!AS33,0))</f>
        <v>1</v>
      </c>
      <c r="BM30" s="1292">
        <f>(IF('Section Load'!AT33&gt;0,'Section Load'!AT33,0))</f>
        <v>589.39999999999418</v>
      </c>
    </row>
    <row r="31" spans="1:65">
      <c r="A31" s="1274" t="s">
        <v>299</v>
      </c>
      <c r="B31" s="1275">
        <f t="shared" si="0"/>
        <v>30</v>
      </c>
      <c r="C31" s="1275">
        <v>7</v>
      </c>
      <c r="D31" s="1275">
        <v>2021</v>
      </c>
      <c r="E31" s="1290">
        <f>(IF('Section Load'!F34&gt;0,'Section Load'!F34,0))</f>
        <v>3004</v>
      </c>
      <c r="F31" s="1290">
        <f>(IF('Section Load'!G34&gt;0,'Section Load'!G34,0))</f>
        <v>1632.1300000000047</v>
      </c>
      <c r="G31" s="1290">
        <f>(IF('Section Load'!H34&gt;0,'Section Load'!H34,0))</f>
        <v>1699.9300000000512</v>
      </c>
      <c r="H31" s="1290">
        <f>(IF('Section Load'!I34&gt;0,'Section Load'!I34,0))</f>
        <v>3848</v>
      </c>
      <c r="I31" s="1290">
        <f>(IF('Section Load'!J34&gt;0,'Section Load'!J34,0))</f>
        <v>6835</v>
      </c>
      <c r="J31" s="1290">
        <f>(IF('Section Load'!K34&gt;0,'Section Load'!K34,0))</f>
        <v>2640</v>
      </c>
      <c r="K31" s="1290">
        <f>(IF('Section Load'!L34&gt;0,'Section Load'!L34,0))</f>
        <v>1029</v>
      </c>
      <c r="L31" s="1290">
        <f>(IF('Section Load'!M34&gt;0,'Section Load'!M34,0))</f>
        <v>857</v>
      </c>
      <c r="M31" s="1290">
        <f>(IF('Section Load'!N34&gt;0,'Section Load'!N34,0))</f>
        <v>15</v>
      </c>
      <c r="N31" s="1290">
        <f>(IF('Section Load'!O34&gt;0,'Section Load'!O34,0))</f>
        <v>2</v>
      </c>
      <c r="O31" s="1290">
        <f>(IF('Section Load'!P34&gt;0,'Section Load'!P34,0))</f>
        <v>1</v>
      </c>
      <c r="P31" s="1290">
        <f>(IF('Section Load'!Q34&gt;0,'Section Load'!Q34,0))</f>
        <v>172</v>
      </c>
      <c r="Q31" s="1290">
        <f>(IF('Section Load'!R34&gt;0,'Section Load'!R34,0))</f>
        <v>73</v>
      </c>
      <c r="R31" s="1290">
        <f>(IF('Section Load'!S34&gt;0,'Section Load'!S34,0))</f>
        <v>57</v>
      </c>
      <c r="S31" s="1290">
        <f>(IF('Section Load'!T34&gt;0,'Section Load'!T34,0))</f>
        <v>177</v>
      </c>
      <c r="T31" s="1290">
        <f>(IF('Section Load'!U34&gt;0,'Section Load'!U34,0))</f>
        <v>139</v>
      </c>
      <c r="U31" s="1290">
        <f>(IF('Section Load'!V34&gt;0,'Section Load'!V34,0))</f>
        <v>410</v>
      </c>
      <c r="V31" s="1290">
        <f>(IF('Section Load'!W34&gt;0,'Section Load'!W34,0))</f>
        <v>188</v>
      </c>
      <c r="W31" s="1290">
        <f>(IF('Section Load'!X34&gt;0,'Section Load'!X34,0))</f>
        <v>14</v>
      </c>
      <c r="X31" s="1290">
        <f>(IF('Section Load'!Y34&gt;0,'Section Load'!Y34,0))</f>
        <v>220</v>
      </c>
      <c r="Y31" s="1290">
        <f>(IF('Section Load'!Z34&gt;0,'Section Load'!Z34,0))</f>
        <v>321</v>
      </c>
      <c r="Z31" s="1290">
        <f>(IF('Section Load'!AA34&gt;0,'Section Load'!AA34,0))</f>
        <v>12</v>
      </c>
      <c r="AA31" s="1290">
        <f>(IF('Section Load'!AB34&gt;0,'Section Load'!AB34,0))</f>
        <v>32</v>
      </c>
      <c r="AB31" s="1290">
        <f>(IF('Section Load'!AC34&gt;0,'Section Load'!AC34,0))</f>
        <v>20</v>
      </c>
      <c r="AC31" s="1290">
        <f>(IF('Section Load'!AD34&gt;0,'Section Load'!AD34,0))</f>
        <v>42</v>
      </c>
      <c r="AD31" s="1290">
        <f>(IF('Section Load'!AE34&gt;0,'Section Load'!AE34,0))</f>
        <v>0</v>
      </c>
      <c r="AE31" s="1290">
        <f>(IF('Section Load'!AF34&gt;0,'Section Load'!AF34,0))</f>
        <v>0</v>
      </c>
      <c r="AF31" s="1290">
        <f>(IF('Section Load'!AG34&gt;0,'Section Load'!AG34,0))</f>
        <v>379</v>
      </c>
      <c r="AG31" s="1290">
        <f>(IF('Section Load'!AH34&gt;0,'Section Load'!AH34,0))</f>
        <v>402</v>
      </c>
      <c r="AH31" s="1290">
        <f>(IF('Section Load'!AI34&gt;0,'Section Load'!AI34,0))</f>
        <v>418</v>
      </c>
      <c r="AI31" s="1290">
        <f>(IF('Section Load'!AJ34&gt;0,'Section Load'!AJ34,0))</f>
        <v>525</v>
      </c>
      <c r="AJ31" s="1290">
        <f>(IF('Section Load'!AK34&gt;0,'Section Load'!AK34,0))</f>
        <v>0</v>
      </c>
      <c r="AK31" s="1290">
        <f>(IF('Section Load'!AL34&gt;0,'Section Load'!AL34,0))</f>
        <v>347</v>
      </c>
      <c r="AL31" s="1290">
        <f>(IF('Section Load'!AM34&gt;0,'Section Load'!AM34,0))</f>
        <v>802</v>
      </c>
      <c r="AM31" s="1291">
        <f>(IF('Water Report'!$AG$7&gt;0,'Water Report'!$AG$7,0))</f>
        <v>85</v>
      </c>
      <c r="AN31" s="1291">
        <f>(IF('Water Report'!$AG$8&gt;0,'Water Report'!$AG$8,0))</f>
        <v>76</v>
      </c>
      <c r="AO31" s="1291">
        <f>(IF('Water Report'!$AG$9&gt;0,'Water Report'!$AG$9,0))</f>
        <v>73</v>
      </c>
      <c r="AP31" s="1291">
        <f>(IF('Water Report'!$AG$10&gt;0,'Water Report'!$DAG$10,0))</f>
        <v>0</v>
      </c>
      <c r="AQ31" s="1291">
        <f>(IF('Water Report'!$AG$11&gt;0,'Water Report'!$DAG$11,0))</f>
        <v>0</v>
      </c>
      <c r="AR31" s="1291">
        <f>(IF('Water Report'!$AG$13&gt;0,'Water Report'!$DAG$13,0))</f>
        <v>0</v>
      </c>
      <c r="AS31" s="1291">
        <f>(IF('Water Report'!$AG$14&gt;0,'Water Report'!$DAG$14,0))</f>
        <v>0</v>
      </c>
      <c r="AT31" s="1291">
        <f>(IF('Water Report'!$AG$15&gt;0,'Water Report'!$DAG$15,0))</f>
        <v>0</v>
      </c>
      <c r="AU31" s="1291">
        <f>(IF('Water Report'!$AG$17&gt;0,'Water Report'!$DAG$17,0))</f>
        <v>0</v>
      </c>
      <c r="AV31" s="1291">
        <f>(IF('Water Report'!$AG$18&gt;0,'Water Report'!$DAG$18,0))</f>
        <v>0</v>
      </c>
      <c r="AW31" s="1291">
        <f>(IF('Water Report'!$AG$19&gt;0,'Water Report'!$DAG$19,0))</f>
        <v>0</v>
      </c>
      <c r="AX31" s="1366">
        <f>(IF('Water Report'!$AG$21&gt;0,'Water Report'!$DAG$21,0))</f>
        <v>0</v>
      </c>
      <c r="AY31" s="1366">
        <f>(IF('Water Report'!$AG$22&gt;0,'Water Report'!$DAG$22,0))</f>
        <v>0</v>
      </c>
      <c r="AZ31" s="1366">
        <f>(IF('Water Report'!$AG$23&gt;0,'Water Report'!$DAG$23,0))</f>
        <v>0</v>
      </c>
      <c r="BA31" s="1366">
        <f>(IF('Water Report'!$AG$14&gt;0,'Water Report'!$DAG$14,0))</f>
        <v>0</v>
      </c>
      <c r="BB31" s="1366">
        <f>(IF('Water Report'!$AG$15&gt;0,'Water Report'!$DAG$15,0))</f>
        <v>0</v>
      </c>
      <c r="BC31" s="1366">
        <f>(IF('Water Report'!$AG$13&gt;0,'Water Report'!$DAG$13,0))</f>
        <v>0</v>
      </c>
      <c r="BD31" s="1366">
        <f>(IF('Water Report'!$AG$24&gt;0,'Water Report'!$DAG$24,0))</f>
        <v>0</v>
      </c>
      <c r="BE31" s="1366">
        <f>(IF('Water Report'!$AG$25&gt;0,'Water Report'!$DAG$25,0))</f>
        <v>0</v>
      </c>
      <c r="BF31" s="1366">
        <f>(IF('Water Report'!$AG$27&gt;0,'Water Report'!$DAG$27,0))</f>
        <v>0</v>
      </c>
      <c r="BG31" s="1292">
        <f>(IF('Section Load'!AN34&gt;0,'Section Load'!AN34,0))</f>
        <v>921</v>
      </c>
      <c r="BH31" s="1292">
        <f>(IF('Section Load'!AO34&gt;0,'Section Load'!AO34,0))</f>
        <v>162</v>
      </c>
      <c r="BI31" s="1292">
        <f>(IF('Section Load'!AP34&gt;0,'Section Load'!AP34,0))</f>
        <v>0.39999999999417923</v>
      </c>
      <c r="BJ31" s="1292">
        <f>(IF('Section Load'!AQ34&gt;0,'Section Load'!AQ34,0))</f>
        <v>91</v>
      </c>
      <c r="BK31" s="1292">
        <f>(IF('Section Load'!AR34&gt;0,'Section Load'!AR34,0))</f>
        <v>49</v>
      </c>
      <c r="BL31" s="1292">
        <f>(IF('Section Load'!AS34&gt;0,'Section Load'!AS34,0))</f>
        <v>4</v>
      </c>
      <c r="BM31" s="1292">
        <f>(IF('Section Load'!AT34&gt;0,'Section Load'!AT34,0))</f>
        <v>614.60000000000582</v>
      </c>
    </row>
    <row r="32" spans="1:65">
      <c r="A32" s="1274" t="s">
        <v>299</v>
      </c>
      <c r="B32" s="1275">
        <f t="shared" si="0"/>
        <v>31</v>
      </c>
      <c r="C32" s="1275">
        <v>7</v>
      </c>
      <c r="D32" s="1275">
        <v>2021</v>
      </c>
      <c r="E32" s="1290">
        <f>(IF('Section Load'!F35&gt;0,'Section Load'!F35,0))</f>
        <v>3072</v>
      </c>
      <c r="F32" s="1290">
        <f>(IF('Section Load'!G35&gt;0,'Section Load'!G35,0))</f>
        <v>1656</v>
      </c>
      <c r="G32" s="1290">
        <f>(IF('Section Load'!H35&gt;0,'Section Load'!H35,0))</f>
        <v>1745</v>
      </c>
      <c r="H32" s="1290">
        <f>(IF('Section Load'!I35&gt;0,'Section Load'!I35,0))</f>
        <v>3807</v>
      </c>
      <c r="I32" s="1290">
        <f>(IF('Section Load'!J35&gt;0,'Section Load'!J35,0))</f>
        <v>7247</v>
      </c>
      <c r="J32" s="1290">
        <f>(IF('Section Load'!K35&gt;0,'Section Load'!K35,0))</f>
        <v>2824</v>
      </c>
      <c r="K32" s="1290">
        <f>(IF('Section Load'!L35&gt;0,'Section Load'!L35,0))</f>
        <v>1177</v>
      </c>
      <c r="L32" s="1290">
        <f>(IF('Section Load'!M35&gt;0,'Section Load'!M35,0))</f>
        <v>946</v>
      </c>
      <c r="M32" s="1290">
        <f>(IF('Section Load'!N35&gt;0,'Section Load'!N35,0))</f>
        <v>12</v>
      </c>
      <c r="N32" s="1290">
        <f>(IF('Section Load'!O35&gt;0,'Section Load'!O35,0))</f>
        <v>1</v>
      </c>
      <c r="O32" s="1290">
        <f>(IF('Section Load'!P35&gt;0,'Section Load'!P35,0))</f>
        <v>1</v>
      </c>
      <c r="P32" s="1290">
        <f>(IF('Section Load'!Q35&gt;0,'Section Load'!Q35,0))</f>
        <v>187</v>
      </c>
      <c r="Q32" s="1290">
        <f>(IF('Section Load'!R35&gt;0,'Section Load'!R35,0))</f>
        <v>70</v>
      </c>
      <c r="R32" s="1290">
        <f>(IF('Section Load'!S35&gt;0,'Section Load'!S35,0))</f>
        <v>69</v>
      </c>
      <c r="S32" s="1290">
        <f>(IF('Section Load'!T35&gt;0,'Section Load'!T35,0))</f>
        <v>180</v>
      </c>
      <c r="T32" s="1290">
        <f>(IF('Section Load'!U35&gt;0,'Section Load'!U35,0))</f>
        <v>161</v>
      </c>
      <c r="U32" s="1290">
        <f>(IF('Section Load'!V35&gt;0,'Section Load'!V35,0))</f>
        <v>414</v>
      </c>
      <c r="V32" s="1290">
        <f>(IF('Section Load'!W35&gt;0,'Section Load'!W35,0))</f>
        <v>185</v>
      </c>
      <c r="W32" s="1290">
        <f>(IF('Section Load'!X35&gt;0,'Section Load'!X35,0))</f>
        <v>27</v>
      </c>
      <c r="X32" s="1290">
        <f>(IF('Section Load'!Y35&gt;0,'Section Load'!Y35,0))</f>
        <v>208</v>
      </c>
      <c r="Y32" s="1290">
        <f>(IF('Section Load'!Z35&gt;0,'Section Load'!Z35,0))</f>
        <v>317</v>
      </c>
      <c r="Z32" s="1290">
        <f>(IF('Section Load'!AA35&gt;0,'Section Load'!AA35,0))</f>
        <v>26</v>
      </c>
      <c r="AA32" s="1290">
        <f>(IF('Section Load'!AB35&gt;0,'Section Load'!AB35,0))</f>
        <v>10</v>
      </c>
      <c r="AB32" s="1290">
        <f>(IF('Section Load'!AC35&gt;0,'Section Load'!AC35,0))</f>
        <v>34</v>
      </c>
      <c r="AC32" s="1290">
        <f>(IF('Section Load'!AD35&gt;0,'Section Load'!AD35,0))</f>
        <v>10</v>
      </c>
      <c r="AD32" s="1290">
        <f>(IF('Section Load'!AE35&gt;0,'Section Load'!AE35,0))</f>
        <v>0</v>
      </c>
      <c r="AE32" s="1290">
        <f>(IF('Section Load'!AF35&gt;0,'Section Load'!AF35,0))</f>
        <v>0</v>
      </c>
      <c r="AF32" s="1290">
        <f>(IF('Section Load'!AG35&gt;0,'Section Load'!AG35,0))</f>
        <v>347</v>
      </c>
      <c r="AG32" s="1290">
        <f>(IF('Section Load'!AH35&gt;0,'Section Load'!AH35,0))</f>
        <v>395</v>
      </c>
      <c r="AH32" s="1290">
        <f>(IF('Section Load'!AI35&gt;0,'Section Load'!AI35,0))</f>
        <v>413</v>
      </c>
      <c r="AI32" s="1290">
        <f>(IF('Section Load'!AJ35&gt;0,'Section Load'!AJ35,0))</f>
        <v>538</v>
      </c>
      <c r="AJ32" s="1290">
        <f>(IF('Section Load'!AK35&gt;0,'Section Load'!AK35,0))</f>
        <v>0</v>
      </c>
      <c r="AK32" s="1290">
        <f>(IF('Section Load'!AL35&gt;0,'Section Load'!AL35,0))</f>
        <v>337</v>
      </c>
      <c r="AL32" s="1290">
        <f>(IF('Section Load'!AM35&gt;0,'Section Load'!AM35,0))</f>
        <v>820</v>
      </c>
      <c r="AM32" s="1291">
        <f>(IF('Water Report'!$AH$7&gt;0,'Water Report'!$AH$7,0))</f>
        <v>103</v>
      </c>
      <c r="AN32" s="1291">
        <f>(IF('Water Report'!$AH$8&gt;0,'Water Report'!$AH$8,0))</f>
        <v>103</v>
      </c>
      <c r="AO32" s="1291">
        <f>(IF('Water Report'!$AH$9&gt;0,'Water Report'!$AH$9,0))</f>
        <v>80</v>
      </c>
      <c r="AP32" s="1291">
        <f>(IF('Water Report'!$AH$10&gt;0,'Water Report'!$DAH$10,0))</f>
        <v>0</v>
      </c>
      <c r="AQ32" s="1291">
        <f>(IF('Water Report'!$AH$11&gt;0,'Water Report'!$DAH$11,0))</f>
        <v>0</v>
      </c>
      <c r="AR32" s="1291">
        <f>(IF('Water Report'!$AH$13&gt;0,'Water Report'!$DAH$13,0))</f>
        <v>0</v>
      </c>
      <c r="AS32" s="1291">
        <f>(IF('Water Report'!$AH$14&gt;0,'Water Report'!$DAH$14,0))</f>
        <v>0</v>
      </c>
      <c r="AT32" s="1291">
        <f>(IF('Water Report'!$AH$15&gt;0,'Water Report'!$DAH$15,0))</f>
        <v>0</v>
      </c>
      <c r="AU32" s="1291">
        <f>(IF('Water Report'!$AH$17&gt;0,'Water Report'!$DAH$17,0))</f>
        <v>0</v>
      </c>
      <c r="AV32" s="1291">
        <f>(IF('Water Report'!$AH$18&gt;0,'Water Report'!$DAH$18,0))</f>
        <v>0</v>
      </c>
      <c r="AW32" s="1291">
        <f>(IF('Water Report'!$AH$19&gt;0,'Water Report'!$DAH$19,0))</f>
        <v>0</v>
      </c>
      <c r="AX32" s="1366">
        <f>(IF('Water Report'!$AH$21&gt;0,'Water Report'!$DAH$21,0))</f>
        <v>0</v>
      </c>
      <c r="AY32" s="1366">
        <f>(IF('Water Report'!$AH$22&gt;0,'Water Report'!$DAH$22,0))</f>
        <v>0</v>
      </c>
      <c r="AZ32" s="1366">
        <f>(IF('Water Report'!$AH$23&gt;0,'Water Report'!$DAH$23,0))</f>
        <v>0</v>
      </c>
      <c r="BA32" s="1366">
        <f>(IF('Water Report'!$AH$14&gt;0,'Water Report'!$DAH$14,0))</f>
        <v>0</v>
      </c>
      <c r="BB32" s="1366">
        <f>(IF('Water Report'!$AH$15&gt;0,'Water Report'!$DAH$15,0))</f>
        <v>0</v>
      </c>
      <c r="BC32" s="1366">
        <f>(IF('Water Report'!$AH$13&gt;0,'Water Report'!$DAH$13,0))</f>
        <v>0</v>
      </c>
      <c r="BD32" s="1366">
        <f>(IF('Water Report'!$AH$24&gt;0,'Water Report'!$DAH$24,0))</f>
        <v>0</v>
      </c>
      <c r="BE32" s="1366">
        <f>(IF('Water Report'!$AH$25&gt;0,'Water Report'!$DAH$25,0))</f>
        <v>0</v>
      </c>
      <c r="BF32" s="1366">
        <f>(IF('Water Report'!$AH$27&gt;0,'Water Report'!$DAH$27,0))</f>
        <v>0</v>
      </c>
      <c r="BG32" s="1292">
        <f>(IF('Section Load'!AN35&gt;0,'Section Load'!AN35,0))</f>
        <v>928</v>
      </c>
      <c r="BH32" s="1292">
        <f>(IF('Section Load'!AO35&gt;0,'Section Load'!AO35,0))</f>
        <v>359</v>
      </c>
      <c r="BI32" s="1292">
        <f>(IF('Section Load'!AP35&gt;0,'Section Load'!AP35,0))</f>
        <v>0</v>
      </c>
      <c r="BJ32" s="1292">
        <f>(IF('Section Load'!AQ35&gt;0,'Section Load'!AQ35,0))</f>
        <v>92</v>
      </c>
      <c r="BK32" s="1292">
        <f>(IF('Section Load'!AR35&gt;0,'Section Load'!AR35,0))</f>
        <v>43</v>
      </c>
      <c r="BL32" s="1292">
        <f>(IF('Section Load'!AS35&gt;0,'Section Load'!AS35,0))</f>
        <v>4</v>
      </c>
      <c r="BM32" s="1292">
        <f>(IF('Section Load'!AT35&gt;0,'Section Load'!AT35,0))</f>
        <v>430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I4" sqref="I4:I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24"/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  <c r="P1" s="1524"/>
      <c r="Q1" s="1524"/>
      <c r="R1" s="1524"/>
      <c r="S1" s="1524"/>
      <c r="T1" s="1524"/>
      <c r="U1" s="1524"/>
      <c r="V1" s="1524"/>
      <c r="W1" s="1524"/>
      <c r="X1" s="1524"/>
      <c r="Y1" s="1524"/>
      <c r="Z1" s="1524"/>
      <c r="AA1" s="1524"/>
      <c r="AB1" s="1524"/>
      <c r="AC1" s="1524"/>
      <c r="AD1" s="1524"/>
      <c r="AE1" s="1524"/>
      <c r="AF1" s="1524"/>
      <c r="AG1" s="1524"/>
      <c r="AH1" s="1524"/>
      <c r="AI1" s="1524"/>
      <c r="AJ1" s="1524"/>
      <c r="AK1" s="1524"/>
      <c r="AL1" s="1524"/>
      <c r="AM1" s="1524"/>
      <c r="AN1" s="1524"/>
      <c r="AO1" s="1524"/>
      <c r="AP1" s="1524"/>
      <c r="AQ1" s="1524"/>
      <c r="AR1" s="1524"/>
      <c r="AS1" s="1524"/>
      <c r="AT1" s="1524"/>
      <c r="AU1" s="1524"/>
      <c r="AV1" s="1524"/>
      <c r="AW1" s="1524"/>
      <c r="AX1" s="1524"/>
      <c r="AY1" s="1524"/>
      <c r="AZ1" s="1524"/>
      <c r="BA1" s="1524"/>
      <c r="BB1" s="1524"/>
      <c r="BC1" s="1524"/>
      <c r="BD1" s="1524"/>
      <c r="BE1" s="1524"/>
      <c r="BF1" s="1524"/>
      <c r="BG1" s="1524"/>
      <c r="BH1" s="1524"/>
      <c r="BI1" s="1524"/>
      <c r="BJ1" s="1524"/>
      <c r="BK1" s="1524"/>
      <c r="BL1" s="1524"/>
      <c r="BM1" s="1524"/>
      <c r="BN1" s="1524"/>
      <c r="BO1" s="1524"/>
    </row>
    <row r="2" spans="1:70" ht="28.5" customHeight="1">
      <c r="A2" s="1" t="s">
        <v>0</v>
      </c>
      <c r="B2" s="1" t="s">
        <v>0</v>
      </c>
      <c r="C2" s="1111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25" t="s">
        <v>6</v>
      </c>
      <c r="J2" s="1525"/>
      <c r="K2" s="1525"/>
      <c r="L2" s="237"/>
      <c r="M2" s="1526" t="s">
        <v>7</v>
      </c>
      <c r="N2" s="1526"/>
      <c r="O2" s="1526"/>
      <c r="P2" s="1527" t="s">
        <v>8</v>
      </c>
      <c r="Q2" s="1527"/>
      <c r="R2" s="1527"/>
      <c r="S2" s="237" t="s">
        <v>9</v>
      </c>
      <c r="T2" s="1528" t="s">
        <v>10</v>
      </c>
      <c r="U2" s="1528"/>
      <c r="V2" s="1528"/>
      <c r="W2" s="1529" t="s">
        <v>11</v>
      </c>
      <c r="X2" s="1530"/>
      <c r="Y2" s="1531"/>
      <c r="Z2" s="1110"/>
      <c r="AA2" s="1532" t="s">
        <v>12</v>
      </c>
      <c r="AB2" s="1532"/>
      <c r="AC2" s="1532"/>
      <c r="AD2" s="1532"/>
      <c r="AE2" s="1111"/>
      <c r="AF2" s="1111" t="s">
        <v>13</v>
      </c>
      <c r="AG2" s="1111" t="s">
        <v>14</v>
      </c>
      <c r="AH2" s="1532" t="s">
        <v>15</v>
      </c>
      <c r="AI2" s="1532"/>
      <c r="AJ2" s="1532"/>
      <c r="AK2" s="1111" t="s">
        <v>16</v>
      </c>
      <c r="AL2" s="1532" t="s">
        <v>17</v>
      </c>
      <c r="AM2" s="1532"/>
      <c r="AN2" s="1532"/>
      <c r="AO2" s="1111" t="s">
        <v>18</v>
      </c>
      <c r="AP2" s="5" t="s">
        <v>19</v>
      </c>
      <c r="AQ2" s="1533" t="s">
        <v>20</v>
      </c>
      <c r="AR2" s="1534"/>
      <c r="AS2" s="1534"/>
      <c r="AT2" s="1534"/>
      <c r="AU2" s="1534"/>
      <c r="AV2" s="1534"/>
      <c r="AW2" s="1534"/>
      <c r="AX2" s="1534"/>
      <c r="AY2" s="1534"/>
      <c r="AZ2" s="1535"/>
      <c r="BA2" s="1533" t="s">
        <v>21</v>
      </c>
      <c r="BB2" s="1534"/>
      <c r="BC2" s="1534"/>
      <c r="BD2" s="1534"/>
      <c r="BE2" s="1534"/>
      <c r="BF2" s="1534"/>
      <c r="BG2" s="1534"/>
      <c r="BH2" s="1534"/>
      <c r="BI2" s="1534"/>
      <c r="BJ2" s="438"/>
      <c r="BK2" s="420"/>
      <c r="BL2" s="232"/>
      <c r="BM2" s="232"/>
      <c r="BN2" s="232"/>
      <c r="BO2" s="1111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366</v>
      </c>
      <c r="I3" s="11" t="s">
        <v>365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23260.790000000037</v>
      </c>
      <c r="H4" s="19">
        <f>'1'!G7</f>
        <v>23102.75</v>
      </c>
      <c r="I4" s="19">
        <f>'1'!G8</f>
        <v>23260.790000000037</v>
      </c>
      <c r="J4" s="19">
        <v>9</v>
      </c>
      <c r="K4" s="242">
        <f>I4*J4</f>
        <v>209347.11000000034</v>
      </c>
      <c r="L4" s="238">
        <f>I4/202</f>
        <v>115.15242574257444</v>
      </c>
      <c r="M4" s="19">
        <f>'1'!G15</f>
        <v>918.37800000002608</v>
      </c>
      <c r="N4" s="19">
        <v>53</v>
      </c>
      <c r="O4" s="238">
        <f>M4*N4</f>
        <v>48674.034000001382</v>
      </c>
      <c r="P4" s="19">
        <f>'1'!G20</f>
        <v>154</v>
      </c>
      <c r="Q4" s="19">
        <v>108</v>
      </c>
      <c r="R4" s="239">
        <f t="shared" ref="R4:R33" si="0">P4*Q4</f>
        <v>16632</v>
      </c>
      <c r="S4" s="240">
        <f t="shared" ref="S4:S33" si="1">P4/(F4*202/100)</f>
        <v>104.435101044351</v>
      </c>
      <c r="T4" s="19">
        <f>'1'!G24</f>
        <v>0</v>
      </c>
      <c r="U4" s="19">
        <v>69</v>
      </c>
      <c r="V4" s="241">
        <f>T4*U4</f>
        <v>0</v>
      </c>
      <c r="W4" s="22">
        <f>'1'!G96</f>
        <v>86</v>
      </c>
      <c r="X4" s="22">
        <f>'1'!G97</f>
        <v>17</v>
      </c>
      <c r="Y4" s="22">
        <f>'1'!G98</f>
        <v>18</v>
      </c>
      <c r="Z4" s="22">
        <f>W4+X4+Y4</f>
        <v>121</v>
      </c>
      <c r="AA4" s="19">
        <f>'1'!G133</f>
        <v>18.010000000002037</v>
      </c>
      <c r="AB4" s="19">
        <f>'1'!G134</f>
        <v>0</v>
      </c>
      <c r="AC4" s="19">
        <f>'1'!G135</f>
        <v>14.209999999999127</v>
      </c>
      <c r="AD4" s="19">
        <f>'1'!G136</f>
        <v>0</v>
      </c>
      <c r="AE4" s="19">
        <f>AA4+AB4+AC4+AD4</f>
        <v>32.220000000001164</v>
      </c>
      <c r="AF4" s="23">
        <f t="shared" ref="AF4:AF33" si="2">AV4+AW4+BF4+BG4</f>
        <v>7659.8599999999569</v>
      </c>
      <c r="AG4" s="23">
        <f>AF4/AE4</f>
        <v>237.73618870265923</v>
      </c>
      <c r="AH4" s="19">
        <f>'1'!G137</f>
        <v>10.169999999998254</v>
      </c>
      <c r="AI4" s="19">
        <f>'1'!G138</f>
        <v>0</v>
      </c>
      <c r="AJ4" s="19">
        <f>'1'!G139</f>
        <v>0</v>
      </c>
      <c r="AK4" s="19">
        <f>AH4+AI4+AJ4</f>
        <v>10.169999999998254</v>
      </c>
      <c r="AL4" s="19">
        <f>'1'!G140</f>
        <v>9.9100000000003092</v>
      </c>
      <c r="AM4" s="19">
        <f>'1'!G141</f>
        <v>-2.9999999999745341E-2</v>
      </c>
      <c r="AN4" s="19"/>
      <c r="AO4" s="19">
        <f>AL4+AM4</f>
        <v>9.8800000000005639</v>
      </c>
      <c r="AP4" s="258">
        <f>'1'!G124</f>
        <v>269.55000000004657</v>
      </c>
      <c r="AQ4" s="261">
        <f>'1'!G35</f>
        <v>2908.0999999999767</v>
      </c>
      <c r="AR4" s="19">
        <f>'1'!G37</f>
        <v>1476.4500000000116</v>
      </c>
      <c r="AS4" s="19">
        <f>'1'!G38</f>
        <v>1714.9899999999907</v>
      </c>
      <c r="AT4" s="19">
        <f>'1'!G39</f>
        <v>3790.429999999993</v>
      </c>
      <c r="AU4" s="19">
        <f>'1'!G40</f>
        <v>485.05000000000018</v>
      </c>
      <c r="AV4" s="19">
        <f>'1'!G41</f>
        <v>4092.0499999999884</v>
      </c>
      <c r="AW4" s="19">
        <f>'1'!G42</f>
        <v>8.000000000174623E-2</v>
      </c>
      <c r="AX4" s="19">
        <f>'1'!G43</f>
        <v>2635</v>
      </c>
      <c r="AY4" s="19">
        <f>'1'!G44</f>
        <v>0</v>
      </c>
      <c r="AZ4" s="262">
        <f>'1'!G36</f>
        <v>947.75</v>
      </c>
      <c r="BA4" s="261">
        <f>'1'!G49</f>
        <v>0.13000000000465661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3556.2599999999948</v>
      </c>
      <c r="BG4" s="19">
        <f>'1'!G56</f>
        <v>11.46999999997206</v>
      </c>
      <c r="BH4" s="19">
        <f>'1'!G57</f>
        <v>0</v>
      </c>
      <c r="BI4" s="262">
        <f>'1'!G50</f>
        <v>1429.3499999999767</v>
      </c>
      <c r="BJ4" s="370">
        <f>SUM(AV4,AW4,BF4,BG4)</f>
        <v>7659.8599999999569</v>
      </c>
      <c r="BK4" s="370">
        <f>'1'!G84</f>
        <v>816</v>
      </c>
      <c r="BL4" s="23">
        <f>SUM(AQ4,AV4,AW4,AX4,BA4,BF4,BG4,BH4)/I4%</f>
        <v>56.761141818484745</v>
      </c>
      <c r="BM4" s="23">
        <f>SUM(AT4,BD4)/I4%</f>
        <v>16.293599658481128</v>
      </c>
      <c r="BN4" s="24">
        <f>(AS4+BC4)/I4</f>
        <v>7.3728794249893828E-2</v>
      </c>
      <c r="BO4" s="25">
        <f>K4+O4+R4+V4</f>
        <v>274653.14400000172</v>
      </c>
      <c r="BP4" s="213">
        <f>SUM(AV4,AW4,AX4,BF4,BG4,BH4,BK4)</f>
        <v>11110.859999999957</v>
      </c>
      <c r="BQ4">
        <f>BP4/(AE4*280)</f>
        <v>1.2315841979249307</v>
      </c>
      <c r="BR4" s="213">
        <f>SUM(AV4,AW4,BF4,BG4)/(AE4*400)</f>
        <v>0.59434047175664806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21035.119999999995</v>
      </c>
      <c r="H5" s="19">
        <f>'2'!G7</f>
        <v>20930</v>
      </c>
      <c r="I5" s="19">
        <f>'2'!G8</f>
        <v>21035.119999999995</v>
      </c>
      <c r="J5" s="19">
        <v>9</v>
      </c>
      <c r="K5" s="242">
        <f t="shared" ref="K5:K34" si="3">I5*J5</f>
        <v>189316.07999999996</v>
      </c>
      <c r="L5" s="238">
        <f t="shared" ref="L5:L33" si="4">I5/202</f>
        <v>104.13425742574255</v>
      </c>
      <c r="M5" s="19">
        <f>'2'!G15</f>
        <v>510.87400000006892</v>
      </c>
      <c r="N5" s="19">
        <v>53</v>
      </c>
      <c r="O5" s="238">
        <f t="shared" ref="O5:O33" si="5">M5*N5</f>
        <v>27076.322000003653</v>
      </c>
      <c r="P5" s="19">
        <f>'2'!G20</f>
        <v>162</v>
      </c>
      <c r="Q5" s="19">
        <v>108</v>
      </c>
      <c r="R5" s="239">
        <f t="shared" si="0"/>
        <v>17496</v>
      </c>
      <c r="S5" s="240">
        <f t="shared" si="1"/>
        <v>133.66336633663366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100</v>
      </c>
      <c r="X5" s="22">
        <f>'2'!G97</f>
        <v>15</v>
      </c>
      <c r="Y5" s="22">
        <f>'2'!G98</f>
        <v>19</v>
      </c>
      <c r="Z5" s="22">
        <f t="shared" ref="Z5:Z33" si="7">W5+X5+Y5</f>
        <v>134</v>
      </c>
      <c r="AA5" s="19">
        <f>'2'!G133</f>
        <v>11.279999999998836</v>
      </c>
      <c r="AB5" s="19">
        <f>'2'!G134</f>
        <v>0</v>
      </c>
      <c r="AC5" s="19">
        <f>'2'!G135</f>
        <v>16.830000000001746</v>
      </c>
      <c r="AD5" s="19">
        <f>'2'!G136</f>
        <v>0</v>
      </c>
      <c r="AE5" s="19">
        <f t="shared" ref="AE5:AE33" si="8">AA5+AB5+AC5+AD5</f>
        <v>28.110000000000582</v>
      </c>
      <c r="AF5" s="23">
        <f t="shared" si="2"/>
        <v>6559.910000000069</v>
      </c>
      <c r="AG5" s="23">
        <f t="shared" ref="AG5:AG33" si="9">AF5/AE5</f>
        <v>233.36570615439106</v>
      </c>
      <c r="AH5" s="19">
        <f>'2'!G137</f>
        <v>0</v>
      </c>
      <c r="AI5" s="19">
        <f>'2'!G138</f>
        <v>0</v>
      </c>
      <c r="AJ5" s="19">
        <f>'2'!G139</f>
        <v>0</v>
      </c>
      <c r="AK5" s="19">
        <f t="shared" ref="AK5:AK33" si="10">AH5+AI5+AJ5</f>
        <v>0</v>
      </c>
      <c r="AL5" s="19">
        <f>'2'!G140</f>
        <v>9.6999999999998181</v>
      </c>
      <c r="AM5" s="19">
        <f>'2'!G141</f>
        <v>0</v>
      </c>
      <c r="AN5" s="19"/>
      <c r="AO5" s="19">
        <f t="shared" ref="AO5:AO33" si="11">AL5+AM5</f>
        <v>9.6999999999998181</v>
      </c>
      <c r="AP5" s="258">
        <f>'2'!G124</f>
        <v>259.19999999995343</v>
      </c>
      <c r="AQ5" s="261">
        <f>'2'!G35</f>
        <v>2899.4000000000233</v>
      </c>
      <c r="AR5" s="19">
        <f>'2'!G37</f>
        <v>1439.8799999999756</v>
      </c>
      <c r="AS5" s="19">
        <f>'2'!G38</f>
        <v>1509.8399999999965</v>
      </c>
      <c r="AT5" s="19">
        <f>'2'!G39</f>
        <v>3743.4799999999814</v>
      </c>
      <c r="AU5" s="19">
        <f>'2'!G40</f>
        <v>304.25</v>
      </c>
      <c r="AV5" s="19">
        <f>'2'!G41</f>
        <v>2743.7800000000279</v>
      </c>
      <c r="AW5" s="19">
        <f>'2'!G42</f>
        <v>11.909999999996217</v>
      </c>
      <c r="AX5" s="19">
        <f>'2'!G43</f>
        <v>2514.3999999999069</v>
      </c>
      <c r="AY5" s="19">
        <f>'2'!G44</f>
        <v>0</v>
      </c>
      <c r="AZ5" s="262">
        <f>'2'!G36</f>
        <v>884.90000000000146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3794.1800000000076</v>
      </c>
      <c r="BG5" s="19">
        <f>'2'!G56</f>
        <v>10.040000000037253</v>
      </c>
      <c r="BH5" s="19">
        <f>'2'!G57</f>
        <v>0</v>
      </c>
      <c r="BI5" s="262">
        <f>'2'!G50</f>
        <v>1047.9200000000419</v>
      </c>
      <c r="BJ5" s="370">
        <f t="shared" ref="BJ5:BJ32" si="12">SUM(AV5,AW5,BF5,BG5)</f>
        <v>6559.910000000069</v>
      </c>
      <c r="BK5" s="370">
        <f>'2'!G84</f>
        <v>846</v>
      </c>
      <c r="BL5" s="23">
        <f t="shared" ref="BL5:BL33" si="13">SUM(AQ5,AV5,AW5,AX5,BA5,BF5,BG5,BH5)/I5%</f>
        <v>56.922470611054287</v>
      </c>
      <c r="BM5" s="23">
        <f t="shared" ref="BM5:BM33" si="14">SUM(AT5,BD5)/I5%</f>
        <v>17.796332989780815</v>
      </c>
      <c r="BN5" s="24">
        <f t="shared" ref="BN5:BN33" si="15">(AS5+BC5)/I5</f>
        <v>7.1777104195269475E-2</v>
      </c>
      <c r="BO5" s="25">
        <f t="shared" ref="BO5:BO33" si="16">K5+O5+R5+V5</f>
        <v>233888.40200000361</v>
      </c>
      <c r="BP5" s="213">
        <f t="shared" ref="BP5:BP35" si="17">SUM(AV5,AW5,AX5,BF5,BG5,BH5,BK5)</f>
        <v>9920.3099999999758</v>
      </c>
      <c r="BQ5">
        <f t="shared" ref="BQ5:BQ35" si="18">BP5/(AE5*280)</f>
        <v>1.260394114956519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22104.089999999967</v>
      </c>
      <c r="H6" s="19">
        <f>'3'!G7</f>
        <v>22034.25</v>
      </c>
      <c r="I6" s="19">
        <f>'3'!G8</f>
        <v>22104.089999999967</v>
      </c>
      <c r="J6" s="19">
        <v>9</v>
      </c>
      <c r="K6" s="242">
        <f t="shared" si="3"/>
        <v>198936.80999999971</v>
      </c>
      <c r="L6" s="238">
        <f t="shared" si="4"/>
        <v>109.42618811881172</v>
      </c>
      <c r="M6" s="19">
        <f>'3'!G15</f>
        <v>940.26799999992363</v>
      </c>
      <c r="N6" s="19">
        <v>53</v>
      </c>
      <c r="O6" s="238">
        <f t="shared" si="5"/>
        <v>49834.203999995952</v>
      </c>
      <c r="P6" s="19">
        <f>'3'!G20</f>
        <v>210</v>
      </c>
      <c r="Q6" s="19">
        <v>108</v>
      </c>
      <c r="R6" s="239">
        <f t="shared" si="0"/>
        <v>22680</v>
      </c>
      <c r="S6" s="240">
        <f t="shared" si="1"/>
        <v>182.38665971860348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102</v>
      </c>
      <c r="X6" s="22">
        <f>'3'!G97</f>
        <v>30</v>
      </c>
      <c r="Y6" s="22">
        <f>'3'!G98</f>
        <v>31</v>
      </c>
      <c r="Z6" s="22">
        <f>W6+X6+Y6</f>
        <v>163</v>
      </c>
      <c r="AA6" s="19">
        <f>'3'!G133</f>
        <v>23.709999999999127</v>
      </c>
      <c r="AB6" s="19">
        <f>'3'!G134</f>
        <v>0</v>
      </c>
      <c r="AC6" s="19">
        <f>'3'!G135</f>
        <v>4.157999999995809</v>
      </c>
      <c r="AD6" s="19">
        <f>'3'!G136</f>
        <v>0</v>
      </c>
      <c r="AE6" s="19">
        <f t="shared" si="8"/>
        <v>27.867999999994936</v>
      </c>
      <c r="AF6" s="23">
        <f t="shared" si="2"/>
        <v>6902.2899999998917</v>
      </c>
      <c r="AG6" s="23">
        <f t="shared" si="9"/>
        <v>247.67798191478204</v>
      </c>
      <c r="AH6" s="19">
        <f>'3'!G137</f>
        <v>10.130000000001019</v>
      </c>
      <c r="AI6" s="19">
        <f>'3'!G138</f>
        <v>0</v>
      </c>
      <c r="AJ6" s="19">
        <f>'3'!G139</f>
        <v>0</v>
      </c>
      <c r="AK6" s="19">
        <f t="shared" si="10"/>
        <v>10.130000000001019</v>
      </c>
      <c r="AL6" s="19">
        <f>'3'!G140</f>
        <v>11.119999999999891</v>
      </c>
      <c r="AM6" s="19">
        <f>'3'!G141</f>
        <v>0</v>
      </c>
      <c r="AN6" s="19"/>
      <c r="AO6" s="19">
        <f t="shared" si="11"/>
        <v>11.119999999999891</v>
      </c>
      <c r="AP6" s="258">
        <f>'3'!G124</f>
        <v>301.71999999997206</v>
      </c>
      <c r="AQ6" s="261">
        <f>'3'!G35</f>
        <v>3065.4000000000233</v>
      </c>
      <c r="AR6" s="19">
        <f>'3'!G37</f>
        <v>1600.140000000014</v>
      </c>
      <c r="AS6" s="19">
        <f>'3'!G38</f>
        <v>1669.2400000000198</v>
      </c>
      <c r="AT6" s="19">
        <f>'3'!G39</f>
        <v>3847.8400000000256</v>
      </c>
      <c r="AU6" s="19">
        <f>'3'!G40</f>
        <v>319.07999999999902</v>
      </c>
      <c r="AV6" s="19">
        <f>'3'!G41</f>
        <v>5975.0799999999581</v>
      </c>
      <c r="AW6" s="19">
        <f>'3'!G42</f>
        <v>0</v>
      </c>
      <c r="AX6" s="19">
        <f>'3'!G43</f>
        <v>2589.8000000000466</v>
      </c>
      <c r="AY6" s="19">
        <f>'3'!G44</f>
        <v>0</v>
      </c>
      <c r="AZ6" s="262">
        <f>'3'!G36</f>
        <v>680.21999999999753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916.52999999999884</v>
      </c>
      <c r="BG6" s="19">
        <f>'3'!G56</f>
        <v>10.679999999934807</v>
      </c>
      <c r="BH6" s="19">
        <f>'3'!G57</f>
        <v>0</v>
      </c>
      <c r="BI6" s="262">
        <f>'3'!G50</f>
        <v>1085.7999999999302</v>
      </c>
      <c r="BJ6" s="370">
        <f t="shared" si="12"/>
        <v>6902.2899999998917</v>
      </c>
      <c r="BK6" s="370">
        <f>'3'!G84</f>
        <v>817</v>
      </c>
      <c r="BL6" s="23">
        <f t="shared" si="13"/>
        <v>56.810707882568245</v>
      </c>
      <c r="BM6" s="23">
        <f t="shared" si="14"/>
        <v>17.407819095923113</v>
      </c>
      <c r="BN6" s="24">
        <f t="shared" si="15"/>
        <v>7.551724590336098E-2</v>
      </c>
      <c r="BO6" s="25">
        <f t="shared" si="16"/>
        <v>271451.01399999566</v>
      </c>
      <c r="BP6" s="213">
        <f t="shared" si="17"/>
        <v>10309.089999999938</v>
      </c>
      <c r="BQ6">
        <f t="shared" si="18"/>
        <v>1.3211632902050754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21866.599999999977</v>
      </c>
      <c r="H7" s="19">
        <f>'4'!G7</f>
        <v>21708.650000000023</v>
      </c>
      <c r="I7" s="19">
        <f>'4'!G8</f>
        <v>21866.599999999977</v>
      </c>
      <c r="J7" s="19">
        <v>9</v>
      </c>
      <c r="K7" s="242">
        <f t="shared" si="3"/>
        <v>196799.39999999979</v>
      </c>
      <c r="L7" s="238">
        <f t="shared" si="4"/>
        <v>108.25049504950483</v>
      </c>
      <c r="M7" s="19">
        <f>'4'!G15</f>
        <v>786.87999999988824</v>
      </c>
      <c r="N7" s="19">
        <v>53</v>
      </c>
      <c r="O7" s="238">
        <f t="shared" si="5"/>
        <v>41704.639999994077</v>
      </c>
      <c r="P7" s="19">
        <f>'4'!G20</f>
        <v>271</v>
      </c>
      <c r="Q7" s="19">
        <v>108</v>
      </c>
      <c r="R7" s="239">
        <f t="shared" si="0"/>
        <v>29268</v>
      </c>
      <c r="S7" s="240">
        <f t="shared" si="1"/>
        <v>1341.5841584158413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147</v>
      </c>
      <c r="X7" s="22">
        <f>'4'!G97</f>
        <v>39</v>
      </c>
      <c r="Y7" s="22">
        <f>'4'!G98</f>
        <v>32</v>
      </c>
      <c r="Z7" s="22">
        <f t="shared" si="7"/>
        <v>218</v>
      </c>
      <c r="AA7" s="19">
        <f>'4'!G133</f>
        <v>24</v>
      </c>
      <c r="AB7" s="19">
        <f>'4'!G134</f>
        <v>0</v>
      </c>
      <c r="AC7" s="19">
        <f>'4'!G135</f>
        <v>5.1419999999998254</v>
      </c>
      <c r="AD7" s="19">
        <f>'4'!G136</f>
        <v>0</v>
      </c>
      <c r="AE7" s="19">
        <f t="shared" si="8"/>
        <v>29.141999999999825</v>
      </c>
      <c r="AF7" s="23">
        <f t="shared" si="2"/>
        <v>6765.8400000000911</v>
      </c>
      <c r="AG7" s="23">
        <f t="shared" si="9"/>
        <v>232.16800494132633</v>
      </c>
      <c r="AH7" s="19">
        <f>'4'!G137</f>
        <v>6.1199999999989814</v>
      </c>
      <c r="AI7" s="19">
        <f>'4'!G138</f>
        <v>0</v>
      </c>
      <c r="AJ7" s="19">
        <f>'4'!G139</f>
        <v>0</v>
      </c>
      <c r="AK7" s="19">
        <f t="shared" si="10"/>
        <v>6.1199999999989814</v>
      </c>
      <c r="AL7" s="19">
        <f>'4'!G140</f>
        <v>12.110000000000127</v>
      </c>
      <c r="AM7" s="19">
        <f>'4'!G141</f>
        <v>2.9999999999745341E-2</v>
      </c>
      <c r="AN7" s="19"/>
      <c r="AO7" s="19">
        <f t="shared" si="11"/>
        <v>12.139999999999873</v>
      </c>
      <c r="AP7" s="258">
        <f>'4'!G124</f>
        <v>327.72999999998137</v>
      </c>
      <c r="AQ7" s="261">
        <f>'4'!G35</f>
        <v>2968.9000000000233</v>
      </c>
      <c r="AR7" s="19">
        <f>'4'!G37</f>
        <v>1478.6399999999849</v>
      </c>
      <c r="AS7" s="19">
        <f>'4'!G38</f>
        <v>1792.820000000007</v>
      </c>
      <c r="AT7" s="19">
        <f>'4'!G39</f>
        <v>3681.5999999999767</v>
      </c>
      <c r="AU7" s="19">
        <f>'4'!G40</f>
        <v>498.04000000000087</v>
      </c>
      <c r="AV7" s="19">
        <f>'4'!G41</f>
        <v>5702</v>
      </c>
      <c r="AW7" s="19">
        <f>'4'!G42</f>
        <v>-0.79999999999563443</v>
      </c>
      <c r="AX7" s="19">
        <f>'4'!G43</f>
        <v>2614</v>
      </c>
      <c r="AY7" s="19">
        <f>'4'!G44</f>
        <v>0</v>
      </c>
      <c r="AZ7" s="262">
        <f>'4'!G36</f>
        <v>713.35000000000218</v>
      </c>
      <c r="BA7" s="261">
        <f>'4'!G49</f>
        <v>0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1054.0399999999936</v>
      </c>
      <c r="BG7" s="19">
        <f>'4'!G56</f>
        <v>10.600000000093132</v>
      </c>
      <c r="BH7" s="19">
        <f>'4'!G57</f>
        <v>0</v>
      </c>
      <c r="BI7" s="262">
        <f>'4'!G50</f>
        <v>1085.9300000000512</v>
      </c>
      <c r="BJ7" s="370">
        <f t="shared" si="12"/>
        <v>6765.8400000000911</v>
      </c>
      <c r="BK7" s="370">
        <f>'3'!G84</f>
        <v>817</v>
      </c>
      <c r="BL7" s="23">
        <f t="shared" si="13"/>
        <v>56.47306851545337</v>
      </c>
      <c r="BM7" s="23">
        <f t="shared" si="14"/>
        <v>16.83663669706301</v>
      </c>
      <c r="BN7" s="24">
        <f t="shared" si="15"/>
        <v>8.1992170707835585E-2</v>
      </c>
      <c r="BO7" s="25">
        <f t="shared" si="16"/>
        <v>267772.03999999387</v>
      </c>
      <c r="BP7" s="213">
        <f t="shared" si="17"/>
        <v>10196.840000000091</v>
      </c>
      <c r="BQ7">
        <f t="shared" si="18"/>
        <v>1.2496494994951017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20992.61</v>
      </c>
      <c r="H8" s="19">
        <f>'5'!G7</f>
        <v>20879.79</v>
      </c>
      <c r="I8" s="19">
        <f>'5'!G8</f>
        <v>20992.61</v>
      </c>
      <c r="J8" s="19">
        <v>9</v>
      </c>
      <c r="K8" s="242">
        <f t="shared" si="3"/>
        <v>188933.49</v>
      </c>
      <c r="L8" s="238">
        <f t="shared" si="4"/>
        <v>103.92381188118812</v>
      </c>
      <c r="M8" s="19">
        <f>'5'!G15</f>
        <v>925.06000000005588</v>
      </c>
      <c r="N8" s="19">
        <v>53</v>
      </c>
      <c r="O8" s="238">
        <f t="shared" si="5"/>
        <v>49028.180000002962</v>
      </c>
      <c r="P8" s="19">
        <f>'5'!G20</f>
        <v>241</v>
      </c>
      <c r="Q8" s="19">
        <v>108</v>
      </c>
      <c r="R8" s="239">
        <f t="shared" si="0"/>
        <v>26028</v>
      </c>
      <c r="S8" s="240">
        <f t="shared" si="1"/>
        <v>121.74176601333603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120</v>
      </c>
      <c r="X8" s="22">
        <f>'5'!G97</f>
        <v>12</v>
      </c>
      <c r="Y8" s="22">
        <f>'5'!G98</f>
        <v>18</v>
      </c>
      <c r="Z8" s="22">
        <f t="shared" si="7"/>
        <v>150</v>
      </c>
      <c r="AA8" s="19">
        <f>'5'!G133</f>
        <v>24.80000000000291</v>
      </c>
      <c r="AB8" s="19">
        <f>'5'!G134</f>
        <v>0</v>
      </c>
      <c r="AC8" s="19">
        <f>'5'!G135</f>
        <v>11.160000000003492</v>
      </c>
      <c r="AD8" s="19">
        <f>'5'!G136</f>
        <v>0</v>
      </c>
      <c r="AE8" s="19">
        <f t="shared" si="8"/>
        <v>35.960000000006403</v>
      </c>
      <c r="AF8" s="23">
        <f t="shared" si="2"/>
        <v>6521.6600000000326</v>
      </c>
      <c r="AG8" s="23">
        <f t="shared" si="9"/>
        <v>181.35873192432902</v>
      </c>
      <c r="AH8" s="19">
        <f>'5'!G137</f>
        <v>7.0900000000001455</v>
      </c>
      <c r="AI8" s="19">
        <f>'5'!G138</f>
        <v>3.6300000000010186</v>
      </c>
      <c r="AJ8" s="19">
        <f>'5'!G139</f>
        <v>0.66999999999825377</v>
      </c>
      <c r="AK8" s="19">
        <f t="shared" si="10"/>
        <v>11.389999999999418</v>
      </c>
      <c r="AL8" s="19">
        <f>'5'!G140</f>
        <v>9.8200000000001637</v>
      </c>
      <c r="AM8" s="19">
        <f>'5'!G141</f>
        <v>0</v>
      </c>
      <c r="AN8" s="19"/>
      <c r="AO8" s="19">
        <f t="shared" si="11"/>
        <v>9.8200000000001637</v>
      </c>
      <c r="AP8" s="258">
        <f>'5'!G124</f>
        <v>265.82000000006519</v>
      </c>
      <c r="AQ8" s="261">
        <f>'5'!G35</f>
        <v>2828.6999999999534</v>
      </c>
      <c r="AR8" s="19">
        <f>'5'!G37</f>
        <v>1447.6800000000221</v>
      </c>
      <c r="AS8" s="19">
        <f>'5'!G38</f>
        <v>1640.5</v>
      </c>
      <c r="AT8" s="19">
        <f>'5'!G39</f>
        <v>3669.3600000000442</v>
      </c>
      <c r="AU8" s="19">
        <f>'5'!G40</f>
        <v>325.56999999999971</v>
      </c>
      <c r="AV8" s="19">
        <f>'5'!G41</f>
        <v>4050.960000000021</v>
      </c>
      <c r="AW8" s="19">
        <f>'5'!G42</f>
        <v>0</v>
      </c>
      <c r="AX8" s="19">
        <f>'5'!G43</f>
        <v>2554.6999999999534</v>
      </c>
      <c r="AY8" s="19">
        <f>'5'!G44</f>
        <v>0</v>
      </c>
      <c r="AZ8" s="262">
        <f>'5'!G36</f>
        <v>728.12999999999738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2459.9400000000023</v>
      </c>
      <c r="BG8" s="19">
        <f>'5'!G56</f>
        <v>10.760000000009313</v>
      </c>
      <c r="BH8" s="19">
        <f>'5'!G57</f>
        <v>0</v>
      </c>
      <c r="BI8" s="262">
        <f>'5'!G50</f>
        <v>1002.1300000000047</v>
      </c>
      <c r="BJ8" s="370">
        <f t="shared" si="12"/>
        <v>6521.6600000000326</v>
      </c>
      <c r="BK8" s="370">
        <f>'5'!G84</f>
        <v>825</v>
      </c>
      <c r="BL8" s="23">
        <f t="shared" si="13"/>
        <v>56.71071867671499</v>
      </c>
      <c r="BM8" s="23">
        <f t="shared" si="14"/>
        <v>17.479293903902583</v>
      </c>
      <c r="BN8" s="24">
        <f t="shared" si="15"/>
        <v>7.8146547761331245E-2</v>
      </c>
      <c r="BO8" s="25">
        <f t="shared" si="16"/>
        <v>263989.67000000295</v>
      </c>
      <c r="BP8" s="213">
        <f t="shared" si="17"/>
        <v>9901.359999999986</v>
      </c>
      <c r="BQ8">
        <f t="shared" si="18"/>
        <v>0.9833704115682329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0.60399999999999998</v>
      </c>
      <c r="G9" s="19">
        <f>'6'!G8</f>
        <v>19837.629999999997</v>
      </c>
      <c r="H9" s="19">
        <f>'6'!G7</f>
        <v>19757.91</v>
      </c>
      <c r="I9" s="19">
        <f>'6'!G8</f>
        <v>19837.629999999997</v>
      </c>
      <c r="J9" s="19">
        <v>9</v>
      </c>
      <c r="K9" s="242">
        <f t="shared" si="3"/>
        <v>178538.66999999998</v>
      </c>
      <c r="L9" s="238">
        <f t="shared" si="4"/>
        <v>98.206089108910874</v>
      </c>
      <c r="M9" s="19">
        <f>'6'!G15</f>
        <v>430.95999999996275</v>
      </c>
      <c r="N9" s="19">
        <v>53</v>
      </c>
      <c r="O9" s="238">
        <f t="shared" si="5"/>
        <v>22840.879999998026</v>
      </c>
      <c r="P9" s="19">
        <f>'6'!G20</f>
        <v>149</v>
      </c>
      <c r="Q9" s="19">
        <v>108</v>
      </c>
      <c r="R9" s="239">
        <f t="shared" si="0"/>
        <v>16092</v>
      </c>
      <c r="S9" s="240">
        <f t="shared" si="1"/>
        <v>122.1231394662645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59</v>
      </c>
      <c r="X9" s="22">
        <f>'6'!G97</f>
        <v>18</v>
      </c>
      <c r="Y9" s="22">
        <f>'6'!G98</f>
        <v>21</v>
      </c>
      <c r="Z9" s="22">
        <f t="shared" si="7"/>
        <v>98</v>
      </c>
      <c r="AA9" s="19">
        <f>'6'!G133</f>
        <v>4.1999999999970896</v>
      </c>
      <c r="AB9" s="19">
        <f>'6'!G134</f>
        <v>0.18999999999999773</v>
      </c>
      <c r="AC9" s="19">
        <f>'6'!G135</f>
        <v>18.650000000001455</v>
      </c>
      <c r="AD9" s="19">
        <f>'6'!G136</f>
        <v>0</v>
      </c>
      <c r="AE9" s="19">
        <f t="shared" si="8"/>
        <v>23.039999999998543</v>
      </c>
      <c r="AF9" s="23">
        <f t="shared" si="2"/>
        <v>5789.6300000000192</v>
      </c>
      <c r="AG9" s="23">
        <f t="shared" si="9"/>
        <v>251.28602430557228</v>
      </c>
      <c r="AH9" s="19">
        <f>'6'!G137</f>
        <v>9.9999999998544808E-2</v>
      </c>
      <c r="AI9" s="19">
        <f>'6'!G138</f>
        <v>0</v>
      </c>
      <c r="AJ9" s="19">
        <f>'6'!G139</f>
        <v>0</v>
      </c>
      <c r="AK9" s="19">
        <f t="shared" si="10"/>
        <v>9.9999999998544808E-2</v>
      </c>
      <c r="AL9" s="19">
        <f>'6'!G140</f>
        <v>9.8899999999998727</v>
      </c>
      <c r="AM9" s="19">
        <f>'6'!G141</f>
        <v>0</v>
      </c>
      <c r="AN9" s="19"/>
      <c r="AO9" s="19">
        <f t="shared" si="11"/>
        <v>9.8899999999998727</v>
      </c>
      <c r="AP9" s="258">
        <f>'6'!G124</f>
        <v>261.8399999999674</v>
      </c>
      <c r="AQ9" s="261">
        <f>'6'!G35</f>
        <v>2786.1999999999534</v>
      </c>
      <c r="AR9" s="19">
        <f>'6'!G37</f>
        <v>1525.2599999999802</v>
      </c>
      <c r="AS9" s="19">
        <f>'6'!G38</f>
        <v>1382.5</v>
      </c>
      <c r="AT9" s="19">
        <f>'6'!G39</f>
        <v>3628.7599999999511</v>
      </c>
      <c r="AU9" s="19">
        <f>'6'!G40</f>
        <v>301.80000000000109</v>
      </c>
      <c r="AV9" s="19">
        <f>'6'!G41</f>
        <v>2061.2000000000116</v>
      </c>
      <c r="AW9" s="19">
        <f>'6'!G42</f>
        <v>0</v>
      </c>
      <c r="AX9" s="19">
        <f>'6'!G43</f>
        <v>2584.9000000001397</v>
      </c>
      <c r="AY9" s="19">
        <f>'6'!G44</f>
        <v>0</v>
      </c>
      <c r="AZ9" s="262">
        <f>'6'!G36</f>
        <v>727.79000000000087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3728.4300000000076</v>
      </c>
      <c r="BG9" s="19">
        <f>'6'!G56</f>
        <v>0</v>
      </c>
      <c r="BH9" s="19">
        <f>'6'!G57</f>
        <v>0</v>
      </c>
      <c r="BI9" s="262">
        <f>'6'!G50</f>
        <v>959.02000000001863</v>
      </c>
      <c r="BJ9" s="370">
        <f t="shared" si="12"/>
        <v>5789.6300000000192</v>
      </c>
      <c r="BK9" s="370">
        <f>'6'!G84</f>
        <v>809</v>
      </c>
      <c r="BL9" s="23">
        <f t="shared" si="13"/>
        <v>56.260400057870385</v>
      </c>
      <c r="BM9" s="23">
        <f t="shared" si="14"/>
        <v>18.292306086966796</v>
      </c>
      <c r="BN9" s="24">
        <f t="shared" si="15"/>
        <v>6.9690784635059747E-2</v>
      </c>
      <c r="BO9" s="25">
        <f t="shared" si="16"/>
        <v>217471.54999999801</v>
      </c>
      <c r="BP9" s="213">
        <f t="shared" si="17"/>
        <v>9183.5300000001589</v>
      </c>
      <c r="BQ9">
        <f t="shared" si="18"/>
        <v>1.4235382564485275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0.53</v>
      </c>
      <c r="G10" s="19">
        <f>'7'!G8</f>
        <v>21913.78</v>
      </c>
      <c r="H10" s="19">
        <f>'7'!G7</f>
        <v>21808.890000000007</v>
      </c>
      <c r="I10" s="19">
        <f>'7'!G8</f>
        <v>21913.78</v>
      </c>
      <c r="J10" s="19">
        <v>9</v>
      </c>
      <c r="K10" s="242">
        <f t="shared" si="3"/>
        <v>197224.02</v>
      </c>
      <c r="L10" s="238">
        <f t="shared" si="4"/>
        <v>108.48405940594058</v>
      </c>
      <c r="M10" s="19">
        <f>'7'!G15</f>
        <v>850.19000000017695</v>
      </c>
      <c r="N10" s="19">
        <v>53</v>
      </c>
      <c r="O10" s="238">
        <f t="shared" si="5"/>
        <v>45060.070000009378</v>
      </c>
      <c r="P10" s="19">
        <f>'7'!G20</f>
        <v>168</v>
      </c>
      <c r="Q10" s="19">
        <v>108</v>
      </c>
      <c r="R10" s="239">
        <f t="shared" si="0"/>
        <v>18144</v>
      </c>
      <c r="S10" s="240">
        <f t="shared" si="1"/>
        <v>156.92135251260976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76</v>
      </c>
      <c r="X10" s="22">
        <f>'7'!G97</f>
        <v>15</v>
      </c>
      <c r="Y10" s="22">
        <f>'7'!G98</f>
        <v>22</v>
      </c>
      <c r="Z10" s="22">
        <f t="shared" si="7"/>
        <v>113</v>
      </c>
      <c r="AA10" s="19">
        <f>'7'!G133</f>
        <v>17</v>
      </c>
      <c r="AB10" s="19">
        <f>'7'!G134</f>
        <v>0</v>
      </c>
      <c r="AC10" s="19">
        <f>'7'!G135</f>
        <v>12.94999999999709</v>
      </c>
      <c r="AD10" s="19">
        <f>'7'!G136</f>
        <v>0</v>
      </c>
      <c r="AE10" s="19">
        <f t="shared" si="8"/>
        <v>29.94999999999709</v>
      </c>
      <c r="AF10" s="23">
        <f t="shared" si="2"/>
        <v>6831.7899999999208</v>
      </c>
      <c r="AG10" s="23">
        <f t="shared" si="9"/>
        <v>228.10651085143854</v>
      </c>
      <c r="AH10" s="19">
        <f>'7'!G137</f>
        <v>9.1100000000005821</v>
      </c>
      <c r="AI10" s="19">
        <f>'7'!G138</f>
        <v>0</v>
      </c>
      <c r="AJ10" s="19">
        <f>'7'!G139</f>
        <v>0</v>
      </c>
      <c r="AK10" s="19">
        <f t="shared" si="10"/>
        <v>9.1100000000005821</v>
      </c>
      <c r="AL10" s="19">
        <f>'7'!G140</f>
        <v>9.5599999999999454</v>
      </c>
      <c r="AM10" s="19">
        <f>'7'!G141</f>
        <v>0</v>
      </c>
      <c r="AN10" s="19"/>
      <c r="AO10" s="19">
        <f t="shared" si="11"/>
        <v>9.5599999999999454</v>
      </c>
      <c r="AP10" s="258">
        <f>'7'!G124</f>
        <v>259.97999999998137</v>
      </c>
      <c r="AQ10" s="261">
        <f>'7'!G35</f>
        <v>2919.1999999999534</v>
      </c>
      <c r="AR10" s="19">
        <f>'7'!G37</f>
        <v>1587.7400000000198</v>
      </c>
      <c r="AS10" s="19">
        <f>'7'!G38</f>
        <v>1549.2399999999907</v>
      </c>
      <c r="AT10" s="19">
        <f>'7'!G39</f>
        <v>3603.320000000007</v>
      </c>
      <c r="AU10" s="19">
        <f>'7'!G40</f>
        <v>484.97999999999956</v>
      </c>
      <c r="AV10" s="19">
        <f>'7'!G41</f>
        <v>3876.2000000000116</v>
      </c>
      <c r="AW10" s="19">
        <f>'7'!G42</f>
        <v>0</v>
      </c>
      <c r="AX10" s="19">
        <f>'7'!G43</f>
        <v>2722.6999999999534</v>
      </c>
      <c r="AY10" s="19">
        <f>'7'!G44</f>
        <v>0</v>
      </c>
      <c r="AZ10" s="262">
        <f>'7'!G36</f>
        <v>820.85000000000218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7.9999999958090484E-2</v>
      </c>
      <c r="BE10" s="19">
        <f>'7'!G54</f>
        <v>0</v>
      </c>
      <c r="BF10" s="19">
        <f>'7'!G55</f>
        <v>2933.6699999999837</v>
      </c>
      <c r="BG10" s="19">
        <f>'7'!G56</f>
        <v>21.919999999925494</v>
      </c>
      <c r="BH10" s="19">
        <f>'7'!G57</f>
        <v>0</v>
      </c>
      <c r="BI10" s="262">
        <f>'7'!G50</f>
        <v>1261.9199999999255</v>
      </c>
      <c r="BJ10" s="370">
        <f t="shared" si="12"/>
        <v>6831.7899999999208</v>
      </c>
      <c r="BK10" s="370">
        <f>'7'!G84</f>
        <v>792</v>
      </c>
      <c r="BL10" s="23">
        <f t="shared" si="13"/>
        <v>56.921672116813383</v>
      </c>
      <c r="BM10" s="23">
        <f t="shared" si="14"/>
        <v>16.4435346161181</v>
      </c>
      <c r="BN10" s="24">
        <f t="shared" si="15"/>
        <v>7.0697068237428259E-2</v>
      </c>
      <c r="BO10" s="25">
        <f t="shared" si="16"/>
        <v>260428.09000000937</v>
      </c>
      <c r="BP10" s="213">
        <f t="shared" si="17"/>
        <v>10346.489999999874</v>
      </c>
      <c r="BQ10">
        <f t="shared" si="18"/>
        <v>1.2337813021703887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0.5</v>
      </c>
      <c r="G11" s="19">
        <f>'8'!G8</f>
        <v>21721.17</v>
      </c>
      <c r="H11" s="19">
        <f>'8'!G7</f>
        <v>21620.319999999992</v>
      </c>
      <c r="I11" s="19">
        <f>'8'!G8</f>
        <v>21721.17</v>
      </c>
      <c r="J11" s="19">
        <v>9</v>
      </c>
      <c r="K11" s="242">
        <f t="shared" si="3"/>
        <v>195490.52999999997</v>
      </c>
      <c r="L11" s="238">
        <f t="shared" si="4"/>
        <v>107.53054455445543</v>
      </c>
      <c r="M11" s="19">
        <f>'8'!G15</f>
        <v>821.54999999981374</v>
      </c>
      <c r="N11" s="19">
        <v>53</v>
      </c>
      <c r="O11" s="238">
        <f t="shared" si="5"/>
        <v>43542.149999990128</v>
      </c>
      <c r="P11" s="19">
        <f>'8'!G20</f>
        <v>161</v>
      </c>
      <c r="Q11" s="19">
        <v>108</v>
      </c>
      <c r="R11" s="239">
        <f t="shared" si="0"/>
        <v>17388</v>
      </c>
      <c r="S11" s="240">
        <f t="shared" si="1"/>
        <v>159.40594059405942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80</v>
      </c>
      <c r="X11" s="22">
        <f>'8'!G97</f>
        <v>17</v>
      </c>
      <c r="Y11" s="22">
        <f>'8'!G98</f>
        <v>24</v>
      </c>
      <c r="Z11" s="22">
        <f t="shared" si="7"/>
        <v>121</v>
      </c>
      <c r="AA11" s="19">
        <f>'8'!G133</f>
        <v>7.3799999999973807</v>
      </c>
      <c r="AB11" s="19">
        <f>'8'!G134</f>
        <v>0</v>
      </c>
      <c r="AC11" s="19">
        <f>'8'!G135</f>
        <v>24.05000000000291</v>
      </c>
      <c r="AD11" s="19">
        <f>'8'!G136</f>
        <v>5.0000000002910383E-2</v>
      </c>
      <c r="AE11" s="19">
        <f t="shared" si="8"/>
        <v>31.480000000003201</v>
      </c>
      <c r="AF11" s="23">
        <f t="shared" si="2"/>
        <v>6741.3199999999779</v>
      </c>
      <c r="AG11" s="23">
        <f t="shared" si="9"/>
        <v>214.1461245234845</v>
      </c>
      <c r="AH11" s="19">
        <f>'8'!G137</f>
        <v>8.069999999999709</v>
      </c>
      <c r="AI11" s="19">
        <f>'8'!G138</f>
        <v>0</v>
      </c>
      <c r="AJ11" s="19">
        <f>'8'!G139</f>
        <v>0</v>
      </c>
      <c r="AK11" s="19">
        <f t="shared" si="10"/>
        <v>8.069999999999709</v>
      </c>
      <c r="AL11" s="19">
        <f>'8'!G140</f>
        <v>9.2300000000000182</v>
      </c>
      <c r="AM11" s="19">
        <f>'8'!G141</f>
        <v>0</v>
      </c>
      <c r="AN11" s="19"/>
      <c r="AO11" s="19">
        <f t="shared" si="11"/>
        <v>9.2300000000000182</v>
      </c>
      <c r="AP11" s="258">
        <f>'8'!G124</f>
        <v>251.29000000003725</v>
      </c>
      <c r="AQ11" s="261">
        <f>'8'!G35</f>
        <v>3141.7000000001863</v>
      </c>
      <c r="AR11" s="19">
        <f>'8'!G37</f>
        <v>1563.2200000000012</v>
      </c>
      <c r="AS11" s="19">
        <f>'8'!G38</f>
        <v>1545.1600000000035</v>
      </c>
      <c r="AT11" s="19">
        <f>'8'!G39</f>
        <v>3552.4000000000233</v>
      </c>
      <c r="AU11" s="19">
        <f>'8'!G40</f>
        <v>387.1299999999992</v>
      </c>
      <c r="AV11" s="19">
        <f>'8'!G41</f>
        <v>1414.0799999999581</v>
      </c>
      <c r="AW11" s="19">
        <f>'8'!G42</f>
        <v>0</v>
      </c>
      <c r="AX11" s="19">
        <f>'8'!G43</f>
        <v>2769</v>
      </c>
      <c r="AY11" s="23">
        <f>'8'!G44</f>
        <v>0</v>
      </c>
      <c r="AZ11" s="262">
        <f>'8'!G36</f>
        <v>674.62999999999738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0</v>
      </c>
      <c r="BF11" s="19">
        <f>'8'!G55</f>
        <v>5316.4800000000105</v>
      </c>
      <c r="BG11" s="19">
        <f>'8'!G56</f>
        <v>10.760000000009313</v>
      </c>
      <c r="BH11" s="19">
        <f>'8'!G57</f>
        <v>0</v>
      </c>
      <c r="BI11" s="262">
        <f>'8'!G50</f>
        <v>1089.6300000000047</v>
      </c>
      <c r="BJ11" s="370">
        <f t="shared" si="12"/>
        <v>6741.3199999999779</v>
      </c>
      <c r="BK11" s="370">
        <f>'8'!G84</f>
        <v>809</v>
      </c>
      <c r="BL11" s="23">
        <f t="shared" si="13"/>
        <v>58.247414849200872</v>
      </c>
      <c r="BM11" s="23">
        <f t="shared" si="14"/>
        <v>16.354551803609215</v>
      </c>
      <c r="BN11" s="24">
        <f t="shared" si="15"/>
        <v>7.1136131248915394E-2</v>
      </c>
      <c r="BO11" s="25">
        <f t="shared" si="16"/>
        <v>256420.6799999901</v>
      </c>
      <c r="BP11" s="213">
        <f t="shared" si="17"/>
        <v>10319.319999999978</v>
      </c>
      <c r="BQ11">
        <f t="shared" si="18"/>
        <v>1.1707342530403577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0.78</v>
      </c>
      <c r="F12" s="256">
        <f>'9'!D2</f>
        <v>0.64</v>
      </c>
      <c r="G12" s="19">
        <f>'9'!G8</f>
        <v>22673.210000000006</v>
      </c>
      <c r="H12" s="19">
        <f>'9'!G7</f>
        <v>22577.440000000002</v>
      </c>
      <c r="I12" s="19">
        <f>'9'!G8</f>
        <v>22673.210000000006</v>
      </c>
      <c r="J12" s="19">
        <v>9</v>
      </c>
      <c r="K12" s="242">
        <f t="shared" si="3"/>
        <v>204058.89000000007</v>
      </c>
      <c r="L12" s="238">
        <f t="shared" si="4"/>
        <v>112.24361386138617</v>
      </c>
      <c r="M12" s="19">
        <f>'9'!G15</f>
        <v>830.84000000008382</v>
      </c>
      <c r="N12" s="19">
        <v>53</v>
      </c>
      <c r="O12" s="238">
        <f t="shared" si="5"/>
        <v>44034.520000004442</v>
      </c>
      <c r="P12" s="19">
        <f>'9'!G20</f>
        <v>191</v>
      </c>
      <c r="Q12" s="19">
        <v>108</v>
      </c>
      <c r="R12" s="239">
        <f t="shared" si="0"/>
        <v>20628</v>
      </c>
      <c r="S12" s="240">
        <f t="shared" si="1"/>
        <v>147.74133663366337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93</v>
      </c>
      <c r="X12" s="22">
        <f>'9'!G97</f>
        <v>19</v>
      </c>
      <c r="Y12" s="22">
        <f>'9'!G98</f>
        <v>24</v>
      </c>
      <c r="Z12" s="22">
        <f t="shared" si="7"/>
        <v>136</v>
      </c>
      <c r="AA12" s="19">
        <f>'9'!G133</f>
        <v>10.620000000002619</v>
      </c>
      <c r="AB12" s="19">
        <f>'9'!G134</f>
        <v>-0.18999999999999773</v>
      </c>
      <c r="AC12" s="19">
        <f>'9'!G135</f>
        <v>23.849999999998545</v>
      </c>
      <c r="AD12" s="19">
        <f>'9'!G136</f>
        <v>0</v>
      </c>
      <c r="AE12" s="19">
        <f t="shared" si="8"/>
        <v>34.280000000001166</v>
      </c>
      <c r="AF12" s="23">
        <f t="shared" si="2"/>
        <v>7248.8100000000413</v>
      </c>
      <c r="AG12" s="23">
        <f t="shared" si="9"/>
        <v>211.4588681446848</v>
      </c>
      <c r="AH12" s="19">
        <f>'9'!G137</f>
        <v>8.069999999999709</v>
      </c>
      <c r="AI12" s="19">
        <f>'9'!G138</f>
        <v>0.18000000000029104</v>
      </c>
      <c r="AJ12" s="19">
        <f>'9'!G139</f>
        <v>0</v>
      </c>
      <c r="AK12" s="19">
        <f t="shared" si="10"/>
        <v>8.25</v>
      </c>
      <c r="AL12" s="19">
        <f>'9'!G140</f>
        <v>9.7899999999999636</v>
      </c>
      <c r="AM12" s="19">
        <f>'9'!G141</f>
        <v>-0.11999999999989086</v>
      </c>
      <c r="AN12" s="19"/>
      <c r="AO12" s="19">
        <f t="shared" si="11"/>
        <v>9.6700000000000728</v>
      </c>
      <c r="AP12" s="258">
        <f>'9'!G124</f>
        <v>315.86999999999534</v>
      </c>
      <c r="AQ12" s="261">
        <f>'9'!G35</f>
        <v>3259.3999999999069</v>
      </c>
      <c r="AR12" s="19">
        <f>'9'!G37</f>
        <v>1605.9899999999907</v>
      </c>
      <c r="AS12" s="19">
        <f>'9'!G38</f>
        <v>1594.7099999999919</v>
      </c>
      <c r="AT12" s="19">
        <f>'9'!G39</f>
        <v>3607.8099999999977</v>
      </c>
      <c r="AU12" s="19">
        <f>'9'!G40</f>
        <v>497.10000000000036</v>
      </c>
      <c r="AV12" s="19">
        <f>'9'!G41</f>
        <v>2128.6500000000233</v>
      </c>
      <c r="AW12" s="19">
        <f>'9'!G42</f>
        <v>-8.000000000174623E-2</v>
      </c>
      <c r="AX12" s="19">
        <f>'9'!G43</f>
        <v>2915.5</v>
      </c>
      <c r="AY12" s="23">
        <f>'9'!G44</f>
        <v>0</v>
      </c>
      <c r="AZ12" s="262">
        <f>'9'!G36</f>
        <v>812.38000000000102</v>
      </c>
      <c r="BA12" s="261">
        <f>'9'!G49</f>
        <v>-0.13000000000465661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5109.4700000000012</v>
      </c>
      <c r="BG12" s="19">
        <f>'9'!G56</f>
        <v>10.770000000018626</v>
      </c>
      <c r="BH12" s="19">
        <f>'9'!G57</f>
        <v>0</v>
      </c>
      <c r="BI12" s="262">
        <f>'9'!G50</f>
        <v>981.30000000004657</v>
      </c>
      <c r="BJ12" s="370">
        <f t="shared" si="12"/>
        <v>7248.8100000000413</v>
      </c>
      <c r="BK12" s="370">
        <f>'8'!G84</f>
        <v>809</v>
      </c>
      <c r="BL12" s="23">
        <f t="shared" si="13"/>
        <v>59.204585499803251</v>
      </c>
      <c r="BM12" s="23">
        <f t="shared" si="14"/>
        <v>15.912215341365412</v>
      </c>
      <c r="BN12" s="24">
        <f t="shared" si="15"/>
        <v>7.0334549011806954E-2</v>
      </c>
      <c r="BO12" s="25">
        <f t="shared" si="16"/>
        <v>268721.41000000451</v>
      </c>
      <c r="BP12" s="213">
        <f t="shared" si="17"/>
        <v>10973.310000000041</v>
      </c>
      <c r="BQ12">
        <f t="shared" si="18"/>
        <v>1.1432436656109004</v>
      </c>
    </row>
    <row r="13" spans="1:70">
      <c r="A13" s="16">
        <v>10</v>
      </c>
      <c r="B13" s="27">
        <v>10</v>
      </c>
      <c r="C13" s="26"/>
      <c r="D13" s="19">
        <f>'10'!D3</f>
        <v>32</v>
      </c>
      <c r="E13" s="256">
        <f>'10'!D4</f>
        <v>0.78</v>
      </c>
      <c r="F13" s="256">
        <f>'10'!D2</f>
        <v>0.55000000000000004</v>
      </c>
      <c r="G13" s="19">
        <f>'10'!G8</f>
        <v>21102</v>
      </c>
      <c r="H13" s="19">
        <f>'10'!G7</f>
        <v>21024</v>
      </c>
      <c r="I13" s="19">
        <f>'10'!G8</f>
        <v>21102</v>
      </c>
      <c r="J13" s="19">
        <v>9</v>
      </c>
      <c r="K13" s="242">
        <f t="shared" si="3"/>
        <v>189918</v>
      </c>
      <c r="L13" s="238">
        <f t="shared" si="4"/>
        <v>104.46534653465346</v>
      </c>
      <c r="M13" s="19">
        <f>'10'!G15</f>
        <v>829</v>
      </c>
      <c r="N13" s="19">
        <v>53</v>
      </c>
      <c r="O13" s="238">
        <f t="shared" si="5"/>
        <v>43937</v>
      </c>
      <c r="P13" s="19">
        <f>'10'!G20</f>
        <v>218</v>
      </c>
      <c r="Q13" s="19">
        <v>108</v>
      </c>
      <c r="R13" s="239">
        <f t="shared" si="0"/>
        <v>23544</v>
      </c>
      <c r="S13" s="240">
        <f t="shared" si="1"/>
        <v>196.21962196219621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76</v>
      </c>
      <c r="X13" s="22">
        <f>'10'!G97</f>
        <v>26</v>
      </c>
      <c r="Y13" s="22">
        <f>'10'!G98</f>
        <v>35</v>
      </c>
      <c r="Z13" s="22">
        <f t="shared" si="7"/>
        <v>137</v>
      </c>
      <c r="AA13" s="19">
        <f>'10'!G133</f>
        <v>3</v>
      </c>
      <c r="AB13" s="19">
        <f>'10'!G134</f>
        <v>0</v>
      </c>
      <c r="AC13" s="19">
        <f>'10'!G135</f>
        <v>24</v>
      </c>
      <c r="AD13" s="19">
        <f>'10'!G136</f>
        <v>0</v>
      </c>
      <c r="AE13" s="19">
        <f t="shared" si="8"/>
        <v>27</v>
      </c>
      <c r="AF13" s="23">
        <f t="shared" si="2"/>
        <v>6097</v>
      </c>
      <c r="AG13" s="23">
        <f t="shared" si="9"/>
        <v>225.81481481481481</v>
      </c>
      <c r="AH13" s="19">
        <f>'10'!G137</f>
        <v>6.5100000000020373</v>
      </c>
      <c r="AI13" s="19">
        <f>'10'!G138</f>
        <v>0</v>
      </c>
      <c r="AJ13" s="19">
        <f>'10'!G139</f>
        <v>0</v>
      </c>
      <c r="AK13" s="19">
        <f t="shared" si="10"/>
        <v>6.5100000000020373</v>
      </c>
      <c r="AL13" s="19">
        <f>'10'!G140</f>
        <v>10.150000000000091</v>
      </c>
      <c r="AM13" s="19">
        <f>'10'!G141</f>
        <v>0</v>
      </c>
      <c r="AN13" s="19"/>
      <c r="AO13" s="19">
        <f t="shared" si="11"/>
        <v>10.150000000000091</v>
      </c>
      <c r="AP13" s="258">
        <f>'10'!G124</f>
        <v>223</v>
      </c>
      <c r="AQ13" s="261">
        <f>'10'!G35</f>
        <v>3106</v>
      </c>
      <c r="AR13" s="19">
        <f>'10'!G37</f>
        <v>1601</v>
      </c>
      <c r="AS13" s="19">
        <f>'10'!G38</f>
        <v>1644</v>
      </c>
      <c r="AT13" s="19">
        <f>'10'!G39</f>
        <v>3580</v>
      </c>
      <c r="AU13" s="19">
        <f>'10'!G40</f>
        <v>217</v>
      </c>
      <c r="AV13" s="19">
        <f>'10'!G41</f>
        <v>513</v>
      </c>
      <c r="AW13" s="19">
        <f>'10'!G42</f>
        <v>0</v>
      </c>
      <c r="AX13" s="19">
        <f>'10'!G43</f>
        <v>2543</v>
      </c>
      <c r="AY13" s="23">
        <f>'10'!G44</f>
        <v>0</v>
      </c>
      <c r="AZ13" s="262">
        <f>'10'!G36</f>
        <v>769</v>
      </c>
      <c r="BA13" s="261">
        <f>'10'!G49</f>
        <v>32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5574</v>
      </c>
      <c r="BG13" s="19">
        <f>'10'!G56</f>
        <v>10</v>
      </c>
      <c r="BH13" s="19">
        <f>'10'!G57</f>
        <v>0</v>
      </c>
      <c r="BI13" s="262">
        <f>'10'!G50</f>
        <v>1093</v>
      </c>
      <c r="BJ13" s="370">
        <f t="shared" si="12"/>
        <v>6097</v>
      </c>
      <c r="BK13" s="370">
        <f>'8'!G84</f>
        <v>809</v>
      </c>
      <c r="BL13" s="23">
        <f t="shared" si="13"/>
        <v>55.814614728461756</v>
      </c>
      <c r="BM13" s="23">
        <f t="shared" si="14"/>
        <v>16.966780399962165</v>
      </c>
      <c r="BN13" s="24">
        <f t="shared" si="15"/>
        <v>7.7907307364230877E-2</v>
      </c>
      <c r="BO13" s="25">
        <f t="shared" si="16"/>
        <v>257399</v>
      </c>
      <c r="BP13" s="213">
        <f t="shared" si="17"/>
        <v>9449</v>
      </c>
      <c r="BQ13">
        <f t="shared" si="18"/>
        <v>1.2498677248677248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0.85</v>
      </c>
      <c r="G14" s="19">
        <f>'11'!G8</f>
        <v>22829.97</v>
      </c>
      <c r="H14" s="19">
        <f>'11'!G7</f>
        <v>22731.5</v>
      </c>
      <c r="I14" s="19">
        <f>'11'!G8</f>
        <v>22829.97</v>
      </c>
      <c r="J14" s="19">
        <v>9</v>
      </c>
      <c r="K14" s="242">
        <f t="shared" si="3"/>
        <v>205469.73</v>
      </c>
      <c r="L14" s="238">
        <f t="shared" si="4"/>
        <v>113.01965346534654</v>
      </c>
      <c r="M14" s="19">
        <f>'11'!G15</f>
        <v>986.40999999991618</v>
      </c>
      <c r="N14" s="19">
        <v>53</v>
      </c>
      <c r="O14" s="238">
        <f t="shared" si="5"/>
        <v>52279.729999995558</v>
      </c>
      <c r="P14" s="19">
        <f>'11'!G20</f>
        <v>240</v>
      </c>
      <c r="Q14" s="19">
        <v>108</v>
      </c>
      <c r="R14" s="239">
        <f t="shared" si="0"/>
        <v>25920</v>
      </c>
      <c r="S14" s="240">
        <f t="shared" si="1"/>
        <v>139.77868375072802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77</v>
      </c>
      <c r="X14" s="22">
        <f>'11'!G97</f>
        <v>32</v>
      </c>
      <c r="Y14" s="22">
        <f>'11'!G98</f>
        <v>41</v>
      </c>
      <c r="Z14" s="22">
        <f t="shared" si="7"/>
        <v>150</v>
      </c>
      <c r="AA14" s="19">
        <f>'11'!G133</f>
        <v>8.5500000000029104</v>
      </c>
      <c r="AB14" s="19">
        <f>'11'!G134</f>
        <v>0</v>
      </c>
      <c r="AC14" s="19">
        <f>'11'!G135</f>
        <v>24.419999999998254</v>
      </c>
      <c r="AD14" s="19">
        <f>'11'!G136</f>
        <v>0</v>
      </c>
      <c r="AE14" s="19">
        <f t="shared" si="8"/>
        <v>32.970000000001164</v>
      </c>
      <c r="AF14" s="23">
        <f t="shared" si="2"/>
        <v>7134.0600000000122</v>
      </c>
      <c r="AG14" s="23">
        <f t="shared" si="9"/>
        <v>216.38034576887353</v>
      </c>
      <c r="AH14" s="19">
        <f>'11'!G137</f>
        <v>6.9899999999979627</v>
      </c>
      <c r="AI14" s="19">
        <f>'11'!G138</f>
        <v>3.9599999999991269</v>
      </c>
      <c r="AJ14" s="19">
        <f>'11'!G139</f>
        <v>0</v>
      </c>
      <c r="AK14" s="19">
        <f t="shared" si="10"/>
        <v>10.94999999999709</v>
      </c>
      <c r="AL14" s="19">
        <f>'11'!G140</f>
        <v>10.840000000000146</v>
      </c>
      <c r="AM14" s="19">
        <f>'11'!G141</f>
        <v>0</v>
      </c>
      <c r="AN14" s="19"/>
      <c r="AO14" s="19">
        <f t="shared" si="11"/>
        <v>10.840000000000146</v>
      </c>
      <c r="AP14" s="258">
        <f>'11'!G124</f>
        <v>295.88000000000466</v>
      </c>
      <c r="AQ14" s="261">
        <f>'11'!G35</f>
        <v>0.30000000004656613</v>
      </c>
      <c r="AR14" s="19">
        <f>'11'!G37</f>
        <v>1589.75</v>
      </c>
      <c r="AS14" s="19">
        <f>'11'!G38</f>
        <v>1661.7900000000081</v>
      </c>
      <c r="AT14" s="19">
        <f>'11'!G39</f>
        <v>3609.6699999999837</v>
      </c>
      <c r="AU14" s="19">
        <f>'11'!G40</f>
        <v>272.44000000000051</v>
      </c>
      <c r="AV14" s="19">
        <f>'11'!G41</f>
        <v>1864.9099999999744</v>
      </c>
      <c r="AW14" s="19">
        <f>'11'!G42</f>
        <v>8.000000000174623E-2</v>
      </c>
      <c r="AX14" s="19">
        <f>'11'!G43</f>
        <v>2942.3999999999069</v>
      </c>
      <c r="AY14" s="23">
        <f>'11'!G44</f>
        <v>0</v>
      </c>
      <c r="AZ14" s="262">
        <f>'11'!G36</f>
        <v>1013.2099999999991</v>
      </c>
      <c r="BA14" s="261">
        <f>'11'!G49</f>
        <v>2955.7299999999814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5258.9200000000128</v>
      </c>
      <c r="BG14" s="19">
        <f>'11'!G56</f>
        <v>10.150000000023283</v>
      </c>
      <c r="BH14" s="19">
        <f>'11'!G57</f>
        <v>0</v>
      </c>
      <c r="BI14" s="262">
        <f>'11'!G50</f>
        <v>1216.5500000000466</v>
      </c>
      <c r="BJ14" s="370">
        <f t="shared" si="12"/>
        <v>7134.0600000000122</v>
      </c>
      <c r="BK14" s="370">
        <f>'11'!G84</f>
        <v>784</v>
      </c>
      <c r="BL14" s="23">
        <f t="shared" si="13"/>
        <v>57.085007120026646</v>
      </c>
      <c r="BM14" s="23">
        <f t="shared" si="14"/>
        <v>15.809306801542048</v>
      </c>
      <c r="BN14" s="24">
        <f t="shared" si="15"/>
        <v>7.2789845978772999E-2</v>
      </c>
      <c r="BO14" s="25">
        <f t="shared" si="16"/>
        <v>283669.45999999554</v>
      </c>
      <c r="BP14" s="213">
        <f t="shared" si="17"/>
        <v>10860.459999999919</v>
      </c>
      <c r="BQ14">
        <f t="shared" si="18"/>
        <v>1.1764439533774791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0.47</v>
      </c>
      <c r="G15" s="19">
        <f>'12'!G8</f>
        <v>21239.899999999994</v>
      </c>
      <c r="H15" s="19">
        <f>'12'!G7</f>
        <v>21127.51999999999</v>
      </c>
      <c r="I15" s="19">
        <f>'12'!G8</f>
        <v>21239.899999999994</v>
      </c>
      <c r="J15" s="19">
        <v>9</v>
      </c>
      <c r="K15" s="242">
        <f t="shared" si="3"/>
        <v>191159.09999999995</v>
      </c>
      <c r="L15" s="238">
        <f t="shared" si="4"/>
        <v>105.14801980198017</v>
      </c>
      <c r="M15" s="19">
        <f>'12'!G15</f>
        <v>914.79000000003725</v>
      </c>
      <c r="N15" s="19">
        <v>53</v>
      </c>
      <c r="O15" s="234">
        <f t="shared" si="5"/>
        <v>48483.870000001974</v>
      </c>
      <c r="P15" s="19">
        <f>'12'!G20</f>
        <v>186</v>
      </c>
      <c r="Q15" s="19">
        <v>108</v>
      </c>
      <c r="R15" s="239">
        <f t="shared" si="0"/>
        <v>20088</v>
      </c>
      <c r="S15" s="240">
        <f t="shared" si="1"/>
        <v>195.91320834211081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91</v>
      </c>
      <c r="X15" s="22">
        <f>'12'!G97</f>
        <v>22</v>
      </c>
      <c r="Y15" s="22">
        <f>'12'!G98</f>
        <v>21</v>
      </c>
      <c r="Z15" s="22">
        <f t="shared" si="7"/>
        <v>134</v>
      </c>
      <c r="AA15" s="19">
        <f>'12'!G133</f>
        <v>0</v>
      </c>
      <c r="AB15" s="19">
        <f>'12'!G134</f>
        <v>4.5699999999999932</v>
      </c>
      <c r="AC15" s="19">
        <f>'12'!G135</f>
        <v>23.880000000004657</v>
      </c>
      <c r="AD15" s="19">
        <f>'12'!G136</f>
        <v>0</v>
      </c>
      <c r="AE15" s="19">
        <f t="shared" si="8"/>
        <v>28.45000000000465</v>
      </c>
      <c r="AF15" s="23">
        <f t="shared" si="2"/>
        <v>6204.239999999998</v>
      </c>
      <c r="AG15" s="23">
        <f t="shared" si="9"/>
        <v>218.07521968361982</v>
      </c>
      <c r="AH15" s="19">
        <f>'12'!G137</f>
        <v>8.4800000000032014</v>
      </c>
      <c r="AI15" s="19">
        <f>'12'!G138</f>
        <v>0</v>
      </c>
      <c r="AJ15" s="19">
        <f>'12'!G139</f>
        <v>0</v>
      </c>
      <c r="AK15" s="19">
        <f t="shared" si="10"/>
        <v>8.4800000000032014</v>
      </c>
      <c r="AL15" s="19">
        <f>'12'!G140</f>
        <v>6.4699999999997999</v>
      </c>
      <c r="AM15" s="19">
        <f>'12'!G141</f>
        <v>3.2399999999997817</v>
      </c>
      <c r="AN15" s="19"/>
      <c r="AO15" s="19">
        <f t="shared" si="11"/>
        <v>9.7099999999995816</v>
      </c>
      <c r="AP15" s="258">
        <f>'12'!G124</f>
        <v>267.13000000000466</v>
      </c>
      <c r="AQ15" s="261">
        <f>'12'!G35</f>
        <v>0</v>
      </c>
      <c r="AR15" s="19">
        <f>'12'!G37</f>
        <v>1595.1199999999953</v>
      </c>
      <c r="AS15" s="19">
        <f>'12'!G38</f>
        <v>1595.1999999999825</v>
      </c>
      <c r="AT15" s="19">
        <f>'12'!G39</f>
        <v>3711.3300000000163</v>
      </c>
      <c r="AU15" s="19">
        <f>'12'!G40</f>
        <v>475.56999999999971</v>
      </c>
      <c r="AV15" s="19">
        <f>'12'!G41</f>
        <v>0</v>
      </c>
      <c r="AW15" s="19">
        <f>'12'!G42</f>
        <v>810.5199999999968</v>
      </c>
      <c r="AX15" s="19">
        <f>'12'!G43</f>
        <v>2563.2000000001863</v>
      </c>
      <c r="AY15" s="23">
        <f>'12'!G44</f>
        <v>0</v>
      </c>
      <c r="AZ15" s="262">
        <f>'12'!G36</f>
        <v>695.77000000000044</v>
      </c>
      <c r="BA15" s="261">
        <f>'12'!G49</f>
        <v>3001.4000000000233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5384.0799999999872</v>
      </c>
      <c r="BG15" s="19">
        <f>'12'!G56</f>
        <v>9.6400000000139698</v>
      </c>
      <c r="BH15" s="19">
        <f>'12'!G57</f>
        <v>0</v>
      </c>
      <c r="BI15" s="262">
        <f>'12'!G50</f>
        <v>1103.5599999999395</v>
      </c>
      <c r="BJ15" s="370">
        <f t="shared" si="12"/>
        <v>6204.239999999998</v>
      </c>
      <c r="BK15" s="370">
        <f>'12'!G84</f>
        <v>767</v>
      </c>
      <c r="BL15" s="23">
        <f t="shared" si="13"/>
        <v>55.409112095632324</v>
      </c>
      <c r="BM15" s="23">
        <f t="shared" si="14"/>
        <v>17.475317680403354</v>
      </c>
      <c r="BN15" s="24">
        <f t="shared" si="15"/>
        <v>7.51039317510903E-2</v>
      </c>
      <c r="BO15" s="25">
        <f t="shared" si="16"/>
        <v>259730.97000000192</v>
      </c>
      <c r="BP15" s="213">
        <f t="shared" si="17"/>
        <v>9534.4400000001842</v>
      </c>
      <c r="BQ15">
        <f t="shared" si="18"/>
        <v>1.1968917901077862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0.92</v>
      </c>
      <c r="F16" s="256">
        <f>'13'!D2</f>
        <v>0.32</v>
      </c>
      <c r="G16" s="19">
        <f>'13'!G8</f>
        <v>21611.399999999994</v>
      </c>
      <c r="H16" s="19">
        <f>'13'!G7</f>
        <v>21500</v>
      </c>
      <c r="I16" s="19">
        <f>'13'!G8</f>
        <v>21611.399999999994</v>
      </c>
      <c r="J16" s="19">
        <v>9</v>
      </c>
      <c r="K16" s="242">
        <f t="shared" si="3"/>
        <v>194502.59999999995</v>
      </c>
      <c r="L16" s="238">
        <f t="shared" si="4"/>
        <v>106.98712871287125</v>
      </c>
      <c r="M16" s="19">
        <f>'13'!G15</f>
        <v>943.80000000004657</v>
      </c>
      <c r="N16" s="19">
        <v>53</v>
      </c>
      <c r="O16" s="234">
        <f t="shared" si="5"/>
        <v>50021.400000002468</v>
      </c>
      <c r="P16" s="19">
        <f>'13'!G20</f>
        <v>202</v>
      </c>
      <c r="Q16" s="19">
        <v>108</v>
      </c>
      <c r="R16" s="239">
        <f t="shared" si="0"/>
        <v>21816</v>
      </c>
      <c r="S16" s="240">
        <f t="shared" si="1"/>
        <v>312.5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101</v>
      </c>
      <c r="X16" s="22">
        <f>'13'!G97</f>
        <v>15</v>
      </c>
      <c r="Y16" s="22">
        <f>'13'!G98</f>
        <v>24</v>
      </c>
      <c r="Z16" s="22">
        <f t="shared" si="7"/>
        <v>140</v>
      </c>
      <c r="AA16" s="19">
        <f>'13'!G133</f>
        <v>0</v>
      </c>
      <c r="AB16" s="19">
        <f>'13'!G134</f>
        <v>12.430000000000007</v>
      </c>
      <c r="AC16" s="19">
        <f>'13'!G135</f>
        <v>16.69999999999709</v>
      </c>
      <c r="AD16" s="19">
        <f>'13'!G136</f>
        <v>-5.0000000002910383E-2</v>
      </c>
      <c r="AE16" s="19">
        <f t="shared" si="8"/>
        <v>29.079999999994186</v>
      </c>
      <c r="AF16" s="23">
        <f t="shared" si="2"/>
        <v>6191.8099999999613</v>
      </c>
      <c r="AG16" s="23">
        <f t="shared" si="9"/>
        <v>212.92331499316367</v>
      </c>
      <c r="AH16" s="19">
        <f>'13'!G137</f>
        <v>10.44999999999709</v>
      </c>
      <c r="AI16" s="19">
        <f>'13'!G138</f>
        <v>0</v>
      </c>
      <c r="AJ16" s="19">
        <f>'13'!G139</f>
        <v>0</v>
      </c>
      <c r="AK16" s="19">
        <f t="shared" si="10"/>
        <v>10.44999999999709</v>
      </c>
      <c r="AL16" s="19">
        <f>'13'!G140</f>
        <v>0</v>
      </c>
      <c r="AM16" s="19">
        <f>'13'!G141</f>
        <v>8.8400000000001455</v>
      </c>
      <c r="AN16" s="19"/>
      <c r="AO16" s="19">
        <f t="shared" si="11"/>
        <v>8.8400000000001455</v>
      </c>
      <c r="AP16" s="258">
        <f>'13'!G124</f>
        <v>254.98999999999069</v>
      </c>
      <c r="AQ16" s="261">
        <f>'13'!G35</f>
        <v>-0.30000000004656613</v>
      </c>
      <c r="AR16" s="19">
        <f>'13'!G37</f>
        <v>1577.1300000000047</v>
      </c>
      <c r="AS16" s="19">
        <f>'13'!G38</f>
        <v>1632.0100000000093</v>
      </c>
      <c r="AT16" s="19">
        <f>'13'!G39</f>
        <v>3726</v>
      </c>
      <c r="AU16" s="19">
        <f>'13'!G40</f>
        <v>350.98999999999978</v>
      </c>
      <c r="AV16" s="19">
        <f>'13'!G41</f>
        <v>0</v>
      </c>
      <c r="AW16" s="19">
        <f>'13'!G42</f>
        <v>2547.5999999999985</v>
      </c>
      <c r="AX16" s="19">
        <f>'13'!G43</f>
        <v>2552.3999999999069</v>
      </c>
      <c r="AY16" s="23">
        <f>'13'!G44</f>
        <v>0</v>
      </c>
      <c r="AZ16" s="262">
        <f>'13'!G36</f>
        <v>969.02000000000044</v>
      </c>
      <c r="BA16" s="261">
        <f>'13'!G49</f>
        <v>2899.8699999999953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3635</v>
      </c>
      <c r="BG16" s="19">
        <f>'13'!G56</f>
        <v>9.2099999999627471</v>
      </c>
      <c r="BH16" s="19">
        <f>'13'!G57</f>
        <v>0.32999999999992724</v>
      </c>
      <c r="BI16" s="262">
        <f>'13'!G50</f>
        <v>1162.890000000014</v>
      </c>
      <c r="BJ16" s="370">
        <f t="shared" si="12"/>
        <v>6191.8099999999613</v>
      </c>
      <c r="BK16" s="370">
        <f>'13'!G84</f>
        <v>787</v>
      </c>
      <c r="BL16" s="23">
        <f t="shared" si="13"/>
        <v>53.879480274298842</v>
      </c>
      <c r="BM16" s="23">
        <f t="shared" si="14"/>
        <v>17.240900635775567</v>
      </c>
      <c r="BN16" s="24">
        <f t="shared" si="15"/>
        <v>7.5516162765948053E-2</v>
      </c>
      <c r="BO16" s="25">
        <f t="shared" si="16"/>
        <v>266340.00000000244</v>
      </c>
      <c r="BP16" s="213">
        <f t="shared" si="17"/>
        <v>9531.5399999998681</v>
      </c>
      <c r="BQ16">
        <f t="shared" si="18"/>
        <v>1.1706057182159775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22172.24000000002</v>
      </c>
      <c r="H17" s="19">
        <f>'14'!G7</f>
        <v>22050.430000000022</v>
      </c>
      <c r="I17" s="19">
        <f>'14'!G8</f>
        <v>22172.24000000002</v>
      </c>
      <c r="J17" s="19">
        <v>9</v>
      </c>
      <c r="K17" s="242">
        <f t="shared" si="3"/>
        <v>199550.16000000018</v>
      </c>
      <c r="L17" s="238">
        <f t="shared" si="4"/>
        <v>109.76356435643574</v>
      </c>
      <c r="M17" s="19">
        <f>'14'!G15</f>
        <v>797.81000000005588</v>
      </c>
      <c r="N17" s="19">
        <v>53</v>
      </c>
      <c r="O17" s="234">
        <f t="shared" si="5"/>
        <v>42283.930000002962</v>
      </c>
      <c r="P17" s="19">
        <f>'14'!G20</f>
        <v>205</v>
      </c>
      <c r="Q17" s="19">
        <v>108</v>
      </c>
      <c r="R17" s="239">
        <f t="shared" si="0"/>
        <v>22140</v>
      </c>
      <c r="S17" s="240">
        <f t="shared" si="1"/>
        <v>405.94059405940595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74</v>
      </c>
      <c r="X17" s="22">
        <f>'14'!G97</f>
        <v>24</v>
      </c>
      <c r="Y17" s="22">
        <f>'14'!G98</f>
        <v>22</v>
      </c>
      <c r="Z17" s="22">
        <f>W17+X17+Y17</f>
        <v>120</v>
      </c>
      <c r="AA17" s="19">
        <f>'14'!G133</f>
        <v>0</v>
      </c>
      <c r="AB17" s="19">
        <f>'14'!G134</f>
        <v>24.29000000000002</v>
      </c>
      <c r="AC17" s="19">
        <f>'14'!G135</f>
        <v>7.4599999999991269</v>
      </c>
      <c r="AD17" s="19">
        <f>'14'!G136</f>
        <v>0</v>
      </c>
      <c r="AE17" s="19">
        <f t="shared" si="8"/>
        <v>31.749999999999147</v>
      </c>
      <c r="AF17" s="23">
        <f t="shared" si="2"/>
        <v>6122.539999999979</v>
      </c>
      <c r="AG17" s="23">
        <f t="shared" si="9"/>
        <v>192.83590551181555</v>
      </c>
      <c r="AH17" s="19">
        <f>'14'!G137</f>
        <v>5.4000000000014552</v>
      </c>
      <c r="AI17" s="19">
        <f>'14'!G138</f>
        <v>0</v>
      </c>
      <c r="AJ17" s="19">
        <f>'14'!G139</f>
        <v>2.3100000000122236</v>
      </c>
      <c r="AK17" s="19">
        <f t="shared" si="10"/>
        <v>7.7100000000136788</v>
      </c>
      <c r="AL17" s="19">
        <f>'14'!G140</f>
        <v>0</v>
      </c>
      <c r="AM17" s="19">
        <f>'14'!G141</f>
        <v>8.7600000000002183</v>
      </c>
      <c r="AN17" s="19"/>
      <c r="AO17" s="19">
        <f t="shared" si="11"/>
        <v>8.7600000000002183</v>
      </c>
      <c r="AP17" s="258">
        <f>'14'!G124</f>
        <v>251.73999999999069</v>
      </c>
      <c r="AQ17" s="261">
        <f>'14'!G35</f>
        <v>0.30000000004656613</v>
      </c>
      <c r="AR17" s="19">
        <f>'14'!G37</f>
        <v>1649.3500000000058</v>
      </c>
      <c r="AS17" s="19">
        <f>'14'!G38</f>
        <v>1585.7900000000081</v>
      </c>
      <c r="AT17" s="19">
        <f>'14'!G39</f>
        <v>3716.8699999999953</v>
      </c>
      <c r="AU17" s="19">
        <f>'14'!G40</f>
        <v>374.05999999999949</v>
      </c>
      <c r="AV17" s="19">
        <f>'14'!G41</f>
        <v>0</v>
      </c>
      <c r="AW17" s="19">
        <f>'14'!G42</f>
        <v>4837.9100000000035</v>
      </c>
      <c r="AX17" s="19">
        <f>'14'!G43</f>
        <v>2640.3000000000466</v>
      </c>
      <c r="AY17" s="23">
        <f>'14'!G44</f>
        <v>0</v>
      </c>
      <c r="AZ17" s="262">
        <f>'14'!G36</f>
        <v>950.38000000000102</v>
      </c>
      <c r="BA17" s="261">
        <f>'14'!G49</f>
        <v>2878.1699999999837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1274.2799999999988</v>
      </c>
      <c r="BG17" s="19">
        <f>'14'!G56</f>
        <v>10.349999999976717</v>
      </c>
      <c r="BH17" s="19">
        <f>'14'!G57</f>
        <v>0</v>
      </c>
      <c r="BI17" s="262">
        <f>'14'!G50</f>
        <v>1781.5699999999488</v>
      </c>
      <c r="BJ17" s="370">
        <f t="shared" si="12"/>
        <v>6122.539999999979</v>
      </c>
      <c r="BK17" s="370">
        <f>'14'!G84</f>
        <v>765</v>
      </c>
      <c r="BL17" s="23">
        <f t="shared" si="13"/>
        <v>52.503986967487478</v>
      </c>
      <c r="BM17" s="23">
        <f t="shared" si="14"/>
        <v>16.761770574375966</v>
      </c>
      <c r="BN17" s="24">
        <f t="shared" si="15"/>
        <v>7.1521415968797325E-2</v>
      </c>
      <c r="BO17" s="25">
        <f t="shared" si="16"/>
        <v>263974.09000000311</v>
      </c>
      <c r="BP17" s="213">
        <f t="shared" si="17"/>
        <v>9527.8400000000256</v>
      </c>
      <c r="BQ17">
        <f t="shared" si="18"/>
        <v>1.0717480314960945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0.93</v>
      </c>
      <c r="F18" s="256">
        <f>'15'!D2</f>
        <v>0.47020000000000001</v>
      </c>
      <c r="G18" s="19">
        <f>'15'!G8</f>
        <v>22546.299999999988</v>
      </c>
      <c r="H18" s="19">
        <f>'15'!G7</f>
        <v>22451.940000000002</v>
      </c>
      <c r="I18" s="19">
        <f>'15'!G8</f>
        <v>22546.299999999988</v>
      </c>
      <c r="J18" s="19">
        <v>9</v>
      </c>
      <c r="K18" s="242">
        <f t="shared" si="3"/>
        <v>202916.6999999999</v>
      </c>
      <c r="L18" s="238">
        <f t="shared" si="4"/>
        <v>111.61534653465341</v>
      </c>
      <c r="M18" s="19">
        <f>'15'!G15</f>
        <v>947.81299999984913</v>
      </c>
      <c r="N18" s="19">
        <v>53</v>
      </c>
      <c r="O18" s="234">
        <f t="shared" si="5"/>
        <v>50234.088999992004</v>
      </c>
      <c r="P18" s="19">
        <f>'15'!G20</f>
        <v>184</v>
      </c>
      <c r="Q18" s="19">
        <v>108</v>
      </c>
      <c r="R18" s="239">
        <f t="shared" si="0"/>
        <v>19872</v>
      </c>
      <c r="S18" s="240">
        <f t="shared" si="1"/>
        <v>193.72417888322224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78</v>
      </c>
      <c r="X18" s="22">
        <f>'15'!G97</f>
        <v>21</v>
      </c>
      <c r="Y18" s="22">
        <f>'15'!G98</f>
        <v>26</v>
      </c>
      <c r="Z18" s="22">
        <f t="shared" si="7"/>
        <v>125</v>
      </c>
      <c r="AA18" s="19">
        <f>'15'!G133</f>
        <v>6.5499999999956344</v>
      </c>
      <c r="AB18" s="19">
        <f>'15'!G134</f>
        <v>23.949999999999989</v>
      </c>
      <c r="AC18" s="19">
        <f>'15'!G135</f>
        <v>0</v>
      </c>
      <c r="AD18" s="19">
        <f>'15'!G136</f>
        <v>0</v>
      </c>
      <c r="AE18" s="19">
        <f t="shared" si="8"/>
        <v>30.499999999995623</v>
      </c>
      <c r="AF18" s="23">
        <f t="shared" si="2"/>
        <v>6384.1700000000274</v>
      </c>
      <c r="AG18" s="23">
        <f t="shared" si="9"/>
        <v>209.31704918035879</v>
      </c>
      <c r="AH18" s="19">
        <f>'15'!G137</f>
        <v>9.5900000000001455</v>
      </c>
      <c r="AI18" s="19">
        <f>'15'!G138</f>
        <v>0</v>
      </c>
      <c r="AJ18" s="19">
        <f>'15'!G139</f>
        <v>0</v>
      </c>
      <c r="AK18" s="19">
        <f t="shared" si="10"/>
        <v>9.5900000000001455</v>
      </c>
      <c r="AL18" s="19">
        <f>'15'!G140</f>
        <v>0</v>
      </c>
      <c r="AM18" s="19">
        <f>'15'!G141</f>
        <v>9</v>
      </c>
      <c r="AN18" s="19"/>
      <c r="AO18" s="19">
        <f t="shared" si="11"/>
        <v>9</v>
      </c>
      <c r="AP18" s="258">
        <f>'15'!G124</f>
        <v>253.43000000005122</v>
      </c>
      <c r="AQ18" s="261">
        <f>'15'!G35</f>
        <v>0</v>
      </c>
      <c r="AR18" s="19">
        <f>'15'!G37</f>
        <v>1595.3800000000047</v>
      </c>
      <c r="AS18" s="19">
        <f>'15'!G38</f>
        <v>1645.4400000000023</v>
      </c>
      <c r="AT18" s="19">
        <f>'15'!G39</f>
        <v>3733.4000000000233</v>
      </c>
      <c r="AU18" s="19">
        <f>'15'!G40</f>
        <v>477.64999999999964</v>
      </c>
      <c r="AV18" s="19">
        <f>'15'!G41</f>
        <v>1438.4400000000023</v>
      </c>
      <c r="AW18" s="19">
        <f>'15'!G42</f>
        <v>4934.3300000000017</v>
      </c>
      <c r="AX18" s="19">
        <f>'15'!G43</f>
        <v>2774.3000000000466</v>
      </c>
      <c r="AY18" s="23">
        <f>'15'!G44</f>
        <v>0</v>
      </c>
      <c r="AZ18" s="262">
        <f>'15'!G36</f>
        <v>1106.869999999999</v>
      </c>
      <c r="BA18" s="261">
        <f>'15'!G49</f>
        <v>2947.5200000000186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0</v>
      </c>
      <c r="BG18" s="19">
        <f>'15'!G56</f>
        <v>11.400000000023283</v>
      </c>
      <c r="BH18" s="19">
        <f>'15'!G57</f>
        <v>0</v>
      </c>
      <c r="BI18" s="262">
        <f>'15'!G50</f>
        <v>1449.7000000000698</v>
      </c>
      <c r="BJ18" s="370">
        <f t="shared" si="12"/>
        <v>6384.1700000000274</v>
      </c>
      <c r="BK18" s="370">
        <f>'15'!G84</f>
        <v>743</v>
      </c>
      <c r="BL18" s="23">
        <f t="shared" si="13"/>
        <v>53.693909865477259</v>
      </c>
      <c r="BM18" s="23">
        <f t="shared" si="14"/>
        <v>16.560633008520245</v>
      </c>
      <c r="BN18" s="24">
        <f t="shared" si="15"/>
        <v>7.2977384315832505E-2</v>
      </c>
      <c r="BO18" s="25">
        <f t="shared" si="16"/>
        <v>273022.7889999919</v>
      </c>
      <c r="BP18" s="213">
        <f t="shared" si="17"/>
        <v>9901.4700000000739</v>
      </c>
      <c r="BQ18">
        <f t="shared" si="18"/>
        <v>1.1594227166278097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22174.580000000016</v>
      </c>
      <c r="H19" s="19">
        <f>'16'!G7</f>
        <v>22073.339999999967</v>
      </c>
      <c r="I19" s="19">
        <f>'16'!G8</f>
        <v>22174.580000000016</v>
      </c>
      <c r="J19" s="19">
        <v>9</v>
      </c>
      <c r="K19" s="242">
        <f t="shared" si="3"/>
        <v>199571.22000000015</v>
      </c>
      <c r="L19" s="238">
        <f t="shared" si="4"/>
        <v>109.77514851485157</v>
      </c>
      <c r="M19" s="19">
        <f>'16'!G15</f>
        <v>837.25699999998324</v>
      </c>
      <c r="N19" s="19">
        <v>53</v>
      </c>
      <c r="O19" s="234">
        <f t="shared" si="5"/>
        <v>44374.620999999112</v>
      </c>
      <c r="P19" s="19">
        <f>'16'!G20</f>
        <v>170</v>
      </c>
      <c r="Q19" s="19">
        <v>108</v>
      </c>
      <c r="R19" s="239">
        <f t="shared" si="0"/>
        <v>18360</v>
      </c>
      <c r="S19" s="240">
        <f t="shared" si="1"/>
        <v>161.84310738766183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96</v>
      </c>
      <c r="X19" s="22">
        <f>'16'!G97</f>
        <v>26</v>
      </c>
      <c r="Y19" s="22">
        <f>'16'!G98</f>
        <v>25</v>
      </c>
      <c r="Z19" s="22">
        <f t="shared" si="7"/>
        <v>147</v>
      </c>
      <c r="AA19" s="19">
        <f>'16'!G133</f>
        <v>0</v>
      </c>
      <c r="AB19" s="19">
        <f>'16'!G134</f>
        <v>19.240000000000009</v>
      </c>
      <c r="AC19" s="19">
        <f>'16'!G135</f>
        <v>9.5400000000008731</v>
      </c>
      <c r="AD19" s="19">
        <f>'16'!G136</f>
        <v>0</v>
      </c>
      <c r="AE19" s="19">
        <f t="shared" si="8"/>
        <v>28.780000000000882</v>
      </c>
      <c r="AF19" s="23">
        <f t="shared" si="2"/>
        <v>6367.0100000000384</v>
      </c>
      <c r="AG19" s="23">
        <f t="shared" si="9"/>
        <v>221.23036831132185</v>
      </c>
      <c r="AH19" s="19">
        <f>'16'!G137</f>
        <v>8.0200000000004366</v>
      </c>
      <c r="AI19" s="19">
        <f>'16'!G138</f>
        <v>0</v>
      </c>
      <c r="AJ19" s="19">
        <f>'16'!G139</f>
        <v>0</v>
      </c>
      <c r="AK19" s="19">
        <f t="shared" si="10"/>
        <v>8.0200000000004366</v>
      </c>
      <c r="AL19" s="19">
        <f>'16'!G140</f>
        <v>0</v>
      </c>
      <c r="AM19" s="19">
        <f>'16'!G141</f>
        <v>9.0500000000001819</v>
      </c>
      <c r="AN19" s="19"/>
      <c r="AO19" s="19">
        <f t="shared" si="11"/>
        <v>9.0500000000001819</v>
      </c>
      <c r="AP19" s="258">
        <f>'16'!G124</f>
        <v>265.3399999999674</v>
      </c>
      <c r="AQ19" s="261">
        <f>'16'!G35</f>
        <v>0</v>
      </c>
      <c r="AR19" s="19">
        <f>'16'!G37</f>
        <v>1642.1699999999837</v>
      </c>
      <c r="AS19" s="19">
        <f>'16'!G38</f>
        <v>1628.3399999999965</v>
      </c>
      <c r="AT19" s="19">
        <f>'16'!G39</f>
        <v>3776.6300000000047</v>
      </c>
      <c r="AU19" s="19">
        <f>'16'!G40</f>
        <v>269.03000000000065</v>
      </c>
      <c r="AV19" s="19">
        <f>'16'!G41</f>
        <v>0</v>
      </c>
      <c r="AW19" s="19">
        <f>'16'!G42</f>
        <v>4201.3399999999965</v>
      </c>
      <c r="AX19" s="19">
        <f>'16'!G43</f>
        <v>2623.8999999999069</v>
      </c>
      <c r="AY19" s="23">
        <f>'16'!G44</f>
        <v>0</v>
      </c>
      <c r="AZ19" s="262">
        <f>'16'!G36</f>
        <v>1003.5800000000017</v>
      </c>
      <c r="BA19" s="261">
        <f>'16'!G49</f>
        <v>3155.4799999999814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2155.5100000000093</v>
      </c>
      <c r="BG19" s="19">
        <f>'16'!G56</f>
        <v>10.160000000032596</v>
      </c>
      <c r="BH19" s="19">
        <f>'16'!G57</f>
        <v>0</v>
      </c>
      <c r="BI19" s="262">
        <f>'16'!G50</f>
        <v>1102.1600000000326</v>
      </c>
      <c r="BJ19" s="370">
        <f t="shared" si="12"/>
        <v>6367.0100000000384</v>
      </c>
      <c r="BK19" s="370">
        <f>'16'!G84</f>
        <v>734</v>
      </c>
      <c r="BL19" s="23">
        <f t="shared" si="13"/>
        <v>54.77618967303966</v>
      </c>
      <c r="BM19" s="23">
        <f t="shared" si="14"/>
        <v>17.02949954407266</v>
      </c>
      <c r="BN19" s="24">
        <f t="shared" si="15"/>
        <v>7.3435889202859497E-2</v>
      </c>
      <c r="BO19" s="25">
        <f t="shared" si="16"/>
        <v>262305.84099999926</v>
      </c>
      <c r="BP19" s="213">
        <f t="shared" si="17"/>
        <v>9724.9099999999453</v>
      </c>
      <c r="BQ19">
        <f t="shared" si="18"/>
        <v>1.2068040802143909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24914.739999999991</v>
      </c>
      <c r="H20" s="19">
        <f>'17'!G7</f>
        <v>24778.48000000004</v>
      </c>
      <c r="I20" s="19">
        <f>'17'!G8</f>
        <v>24914.739999999991</v>
      </c>
      <c r="J20" s="19">
        <v>9</v>
      </c>
      <c r="K20" s="242">
        <f t="shared" si="3"/>
        <v>224232.65999999992</v>
      </c>
      <c r="L20" s="238">
        <f t="shared" si="4"/>
        <v>123.34029702970292</v>
      </c>
      <c r="M20" s="19">
        <f>'17'!G15</f>
        <v>981.66100000008009</v>
      </c>
      <c r="N20" s="19">
        <v>53</v>
      </c>
      <c r="O20" s="234">
        <f t="shared" si="5"/>
        <v>52028.033000004245</v>
      </c>
      <c r="P20" s="19">
        <f>'17'!G20</f>
        <v>201</v>
      </c>
      <c r="Q20" s="19">
        <v>108</v>
      </c>
      <c r="R20" s="239">
        <f t="shared" si="0"/>
        <v>21708</v>
      </c>
      <c r="S20" s="240">
        <f t="shared" si="1"/>
        <v>165.84158415841586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89</v>
      </c>
      <c r="X20" s="22">
        <f>'17'!G97</f>
        <v>30</v>
      </c>
      <c r="Y20" s="22">
        <f>'17'!G98</f>
        <v>30</v>
      </c>
      <c r="Z20" s="22">
        <f t="shared" si="7"/>
        <v>149</v>
      </c>
      <c r="AA20" s="19">
        <f>'17'!G133</f>
        <v>0</v>
      </c>
      <c r="AB20" s="19">
        <f>'17'!G134</f>
        <v>12.649999999999977</v>
      </c>
      <c r="AC20" s="19">
        <f>'17'!G135</f>
        <v>24.089999999996508</v>
      </c>
      <c r="AD20" s="19">
        <f>'17'!G136</f>
        <v>0</v>
      </c>
      <c r="AE20" s="19">
        <f t="shared" si="8"/>
        <v>36.739999999996485</v>
      </c>
      <c r="AF20" s="23">
        <f t="shared" si="2"/>
        <v>8133.399999999936</v>
      </c>
      <c r="AG20" s="23">
        <f t="shared" si="9"/>
        <v>221.37724550900148</v>
      </c>
      <c r="AH20" s="19">
        <f>'17'!G137</f>
        <v>9.1100000000005821</v>
      </c>
      <c r="AI20" s="19">
        <f>'17'!G138</f>
        <v>0</v>
      </c>
      <c r="AJ20" s="19">
        <f>'17'!G139</f>
        <v>0</v>
      </c>
      <c r="AK20" s="19">
        <f t="shared" si="10"/>
        <v>9.1100000000005821</v>
      </c>
      <c r="AL20" s="19">
        <f>'17'!G140</f>
        <v>0</v>
      </c>
      <c r="AM20" s="19">
        <f>'17'!G141</f>
        <v>10.059999999999491</v>
      </c>
      <c r="AN20" s="19"/>
      <c r="AO20" s="19">
        <f t="shared" si="11"/>
        <v>10.059999999999491</v>
      </c>
      <c r="AP20" s="258">
        <f>'17'!G124</f>
        <v>289.02000000001863</v>
      </c>
      <c r="AQ20" s="261">
        <f>'17'!G35</f>
        <v>0</v>
      </c>
      <c r="AR20" s="19">
        <f>'17'!G37</f>
        <v>1656.5500000000175</v>
      </c>
      <c r="AS20" s="19">
        <f>'17'!G38</f>
        <v>1759.9199999999837</v>
      </c>
      <c r="AT20" s="19">
        <f>'17'!G39</f>
        <v>3718.5299999999697</v>
      </c>
      <c r="AU20" s="19">
        <f>'17'!G40</f>
        <v>419.45000000000073</v>
      </c>
      <c r="AV20" s="19">
        <f>'17'!G41</f>
        <v>0</v>
      </c>
      <c r="AW20" s="19">
        <f>'17'!G42</f>
        <v>2731.3999999999942</v>
      </c>
      <c r="AX20" s="19">
        <f>'17'!G43</f>
        <v>3097.3999999999069</v>
      </c>
      <c r="AY20" s="23">
        <f>'17'!G44</f>
        <v>0</v>
      </c>
      <c r="AZ20" s="262">
        <f>'17'!G36</f>
        <v>1131.8199999999997</v>
      </c>
      <c r="BA20" s="261">
        <f>'17'!G49</f>
        <v>3270.4200000000419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5391.5599999999977</v>
      </c>
      <c r="BG20" s="19">
        <f>'17'!G56</f>
        <v>10.439999999944121</v>
      </c>
      <c r="BH20" s="19">
        <f>'17'!G57</f>
        <v>0</v>
      </c>
      <c r="BI20" s="262">
        <f>'17'!G50</f>
        <v>1300.4399999999441</v>
      </c>
      <c r="BJ20" s="370">
        <f t="shared" si="12"/>
        <v>8133.399999999936</v>
      </c>
      <c r="BK20" s="370">
        <f>'17'!G84</f>
        <v>678</v>
      </c>
      <c r="BL20" s="23">
        <f t="shared" si="13"/>
        <v>58.203376796225406</v>
      </c>
      <c r="BM20" s="23">
        <f t="shared" si="14"/>
        <v>14.926625764507019</v>
      </c>
      <c r="BN20" s="24">
        <f t="shared" si="15"/>
        <v>7.0637702821702508E-2</v>
      </c>
      <c r="BO20" s="25">
        <f t="shared" si="16"/>
        <v>297968.69300000416</v>
      </c>
      <c r="BP20" s="213">
        <f t="shared" si="17"/>
        <v>11908.799999999843</v>
      </c>
      <c r="BQ20">
        <f t="shared" si="18"/>
        <v>1.157632786375397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25951.080000000016</v>
      </c>
      <c r="H21" s="19">
        <f>'18'!G7</f>
        <v>25838.119999999995</v>
      </c>
      <c r="I21" s="19">
        <f>'18'!G8</f>
        <v>25951.080000000016</v>
      </c>
      <c r="J21" s="19">
        <v>9</v>
      </c>
      <c r="K21" s="242">
        <f t="shared" si="3"/>
        <v>233559.72000000015</v>
      </c>
      <c r="L21" s="238">
        <f t="shared" si="4"/>
        <v>128.470693069307</v>
      </c>
      <c r="M21" s="19">
        <f>'18'!G15</f>
        <v>908.87899999995716</v>
      </c>
      <c r="N21" s="19">
        <v>53</v>
      </c>
      <c r="O21" s="234">
        <f t="shared" si="5"/>
        <v>48170.586999997729</v>
      </c>
      <c r="P21" s="19">
        <f>'18'!G20</f>
        <v>179</v>
      </c>
      <c r="Q21" s="19">
        <v>108</v>
      </c>
      <c r="R21" s="239">
        <f t="shared" si="0"/>
        <v>19332</v>
      </c>
      <c r="S21" s="240">
        <f t="shared" si="1"/>
        <v>164.09974330766406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90</v>
      </c>
      <c r="X21" s="22">
        <f>'18'!G97</f>
        <v>30</v>
      </c>
      <c r="Y21" s="22">
        <f>'18'!G98</f>
        <v>29</v>
      </c>
      <c r="Z21" s="22">
        <f t="shared" si="7"/>
        <v>149</v>
      </c>
      <c r="AA21" s="19">
        <f>'18'!G133</f>
        <v>0</v>
      </c>
      <c r="AB21" s="19">
        <f>'18'!G134</f>
        <v>13.050000000000011</v>
      </c>
      <c r="AC21" s="19">
        <f>'18'!G135</f>
        <v>23.910000000003492</v>
      </c>
      <c r="AD21" s="19">
        <f>'18'!G136</f>
        <v>0</v>
      </c>
      <c r="AE21" s="19">
        <f t="shared" si="8"/>
        <v>36.960000000003504</v>
      </c>
      <c r="AF21" s="23">
        <f t="shared" si="2"/>
        <v>8129.570000000007</v>
      </c>
      <c r="AG21" s="23">
        <f t="shared" si="9"/>
        <v>219.95589826837761</v>
      </c>
      <c r="AH21" s="19">
        <f>'18'!G137</f>
        <v>8.5399999999972351</v>
      </c>
      <c r="AI21" s="19">
        <f>'18'!G138</f>
        <v>0</v>
      </c>
      <c r="AJ21" s="19">
        <f>'18'!G139</f>
        <v>0</v>
      </c>
      <c r="AK21" s="19">
        <f t="shared" si="10"/>
        <v>8.5399999999972351</v>
      </c>
      <c r="AL21" s="19">
        <f>'18'!G140</f>
        <v>0</v>
      </c>
      <c r="AM21" s="19">
        <f>'18'!G141</f>
        <v>10.289999999999964</v>
      </c>
      <c r="AN21" s="19"/>
      <c r="AO21" s="19">
        <f t="shared" si="11"/>
        <v>10.289999999999964</v>
      </c>
      <c r="AP21" s="258">
        <f>'18'!G124</f>
        <v>295.73999999999069</v>
      </c>
      <c r="AQ21" s="261">
        <f>'18'!G35</f>
        <v>0</v>
      </c>
      <c r="AR21" s="19">
        <f>'18'!G37</f>
        <v>1846.5199999999895</v>
      </c>
      <c r="AS21" s="19">
        <f>'18'!G38</f>
        <v>1840.9800000000105</v>
      </c>
      <c r="AT21" s="19">
        <f>'18'!G39</f>
        <v>3751.2399999999907</v>
      </c>
      <c r="AU21" s="19">
        <f>'18'!G40</f>
        <v>682.60999999999876</v>
      </c>
      <c r="AV21" s="19">
        <f>'18'!G41</f>
        <v>0</v>
      </c>
      <c r="AW21" s="19">
        <f>'18'!G42</f>
        <v>2740.7300000000105</v>
      </c>
      <c r="AX21" s="19">
        <f>'18'!G43</f>
        <v>3145.2000000001863</v>
      </c>
      <c r="AY21" s="23">
        <f>'18'!G44</f>
        <v>0</v>
      </c>
      <c r="AZ21" s="262">
        <f>'18'!G36</f>
        <v>1191.6299999999974</v>
      </c>
      <c r="BA21" s="261">
        <f>'18'!G49</f>
        <v>3484.8079999999609</v>
      </c>
      <c r="BB21" s="19">
        <f>'18'!G51</f>
        <v>0</v>
      </c>
      <c r="BC21" s="19">
        <f>'18'!G52</f>
        <v>0</v>
      </c>
      <c r="BD21" s="19">
        <f>'18'!G53</f>
        <v>-0.3999999999650754</v>
      </c>
      <c r="BE21" s="19">
        <f>'18'!G54</f>
        <v>7.999999999992724E-2</v>
      </c>
      <c r="BF21" s="19">
        <f>'18'!G55</f>
        <v>5388.8399999999965</v>
      </c>
      <c r="BG21" s="19">
        <f>'18'!G56</f>
        <v>0</v>
      </c>
      <c r="BH21" s="19">
        <f>'18'!G57</f>
        <v>0</v>
      </c>
      <c r="BI21" s="262">
        <f>'18'!G50</f>
        <v>1712.1999999999534</v>
      </c>
      <c r="BJ21" s="370">
        <f t="shared" si="12"/>
        <v>8129.570000000007</v>
      </c>
      <c r="BK21" s="370">
        <f>'18'!G84</f>
        <v>823</v>
      </c>
      <c r="BL21" s="23">
        <f t="shared" si="13"/>
        <v>56.874619476338339</v>
      </c>
      <c r="BM21" s="23">
        <f t="shared" si="14"/>
        <v>14.453502513190291</v>
      </c>
      <c r="BN21" s="24">
        <f t="shared" si="15"/>
        <v>7.0940400168317055E-2</v>
      </c>
      <c r="BO21" s="25">
        <f t="shared" si="16"/>
        <v>301062.30699999788</v>
      </c>
      <c r="BP21" s="213">
        <f t="shared" si="17"/>
        <v>12097.770000000193</v>
      </c>
      <c r="BQ21">
        <f t="shared" si="18"/>
        <v>1.1690022031538967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</v>
      </c>
      <c r="F22" s="256">
        <f>'19'!D2</f>
        <v>0.62</v>
      </c>
      <c r="G22" s="19">
        <f>'19'!G8</f>
        <v>21717.789999999979</v>
      </c>
      <c r="H22" s="19">
        <f>'19'!G7</f>
        <v>21625.669999999984</v>
      </c>
      <c r="I22" s="19">
        <f>'19'!G8</f>
        <v>21717.789999999979</v>
      </c>
      <c r="J22" s="19">
        <v>9</v>
      </c>
      <c r="K22" s="242">
        <f t="shared" si="3"/>
        <v>195460.10999999981</v>
      </c>
      <c r="L22" s="238">
        <f t="shared" si="4"/>
        <v>107.51381188118802</v>
      </c>
      <c r="M22" s="19">
        <f>'19'!G15</f>
        <v>880.58000000007451</v>
      </c>
      <c r="N22" s="19">
        <v>53</v>
      </c>
      <c r="O22" s="234">
        <f t="shared" si="5"/>
        <v>46670.740000003949</v>
      </c>
      <c r="P22" s="19">
        <f>'19'!G20</f>
        <v>257</v>
      </c>
      <c r="Q22" s="19">
        <v>108</v>
      </c>
      <c r="R22" s="239">
        <f t="shared" si="0"/>
        <v>27756</v>
      </c>
      <c r="S22" s="240">
        <f t="shared" si="1"/>
        <v>205.2060044714149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76</v>
      </c>
      <c r="X22" s="22">
        <f>'19'!G97</f>
        <v>18</v>
      </c>
      <c r="Y22" s="22">
        <f>'19'!G98</f>
        <v>23</v>
      </c>
      <c r="Z22" s="22">
        <f t="shared" si="7"/>
        <v>117</v>
      </c>
      <c r="AA22" s="19">
        <f>'19'!G133</f>
        <v>-9.9999999998544808E-2</v>
      </c>
      <c r="AB22" s="19">
        <f>'19'!G134</f>
        <v>4.2400000000000091</v>
      </c>
      <c r="AC22" s="19">
        <f>'19'!G135</f>
        <v>24</v>
      </c>
      <c r="AD22" s="19">
        <f>'19'!G136</f>
        <v>0</v>
      </c>
      <c r="AE22" s="19">
        <f t="shared" si="8"/>
        <v>28.140000000001464</v>
      </c>
      <c r="AF22" s="23">
        <f t="shared" si="2"/>
        <v>6446.2000000000407</v>
      </c>
      <c r="AG22" s="23">
        <f t="shared" si="9"/>
        <v>229.07604832976921</v>
      </c>
      <c r="AH22" s="19">
        <f>'19'!G137</f>
        <v>9.5600000000013097</v>
      </c>
      <c r="AI22" s="19">
        <f>'19'!G138</f>
        <v>-0.15999999999985448</v>
      </c>
      <c r="AJ22" s="19">
        <f>'19'!G139</f>
        <v>0</v>
      </c>
      <c r="AK22" s="19">
        <f t="shared" si="10"/>
        <v>9.4000000000014552</v>
      </c>
      <c r="AL22" s="19">
        <f>'19'!G140</f>
        <v>0</v>
      </c>
      <c r="AM22" s="19">
        <f>'19'!G141</f>
        <v>9.4000000000005457</v>
      </c>
      <c r="AN22" s="19"/>
      <c r="AO22" s="19">
        <f t="shared" si="11"/>
        <v>9.4000000000005457</v>
      </c>
      <c r="AP22" s="258">
        <f>'19'!G124</f>
        <v>267.72999999998137</v>
      </c>
      <c r="AQ22" s="261">
        <f>'19'!G35</f>
        <v>-0.30000000004656613</v>
      </c>
      <c r="AR22" s="19">
        <f>'19'!G37</f>
        <v>1591.0299999999988</v>
      </c>
      <c r="AS22" s="19">
        <f>'19'!G38</f>
        <v>1606.5299999999988</v>
      </c>
      <c r="AT22" s="19">
        <f>'19'!G39</f>
        <v>3770.3300000000163</v>
      </c>
      <c r="AU22" s="19">
        <f>'19'!G40</f>
        <v>359.20000000000073</v>
      </c>
      <c r="AV22" s="19">
        <f>'19'!G41</f>
        <v>-0.34999999997671694</v>
      </c>
      <c r="AW22" s="19">
        <f>'19'!G42</f>
        <v>824.08999999999651</v>
      </c>
      <c r="AX22" s="19">
        <f>'19'!G43</f>
        <v>2549.8999999999069</v>
      </c>
      <c r="AY22" s="23">
        <f>'19'!G44</f>
        <v>0</v>
      </c>
      <c r="AZ22" s="262">
        <f>'19'!G36</f>
        <v>815.72000000000116</v>
      </c>
      <c r="BA22" s="261">
        <f>'19'!G49</f>
        <v>3252.6020000000135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5622.8099999999977</v>
      </c>
      <c r="BG22" s="19">
        <f>'19'!G56</f>
        <v>-0.34999999997671694</v>
      </c>
      <c r="BH22" s="19">
        <f>'19'!G57</f>
        <v>-0.32999999999992724</v>
      </c>
      <c r="BI22" s="262">
        <f>'19'!G50</f>
        <v>1093.9300000000512</v>
      </c>
      <c r="BJ22" s="370">
        <f t="shared" si="12"/>
        <v>6446.2000000000407</v>
      </c>
      <c r="BK22" s="370">
        <f>'19'!G84</f>
        <v>776</v>
      </c>
      <c r="BL22" s="23">
        <f t="shared" si="13"/>
        <v>56.396493381692736</v>
      </c>
      <c r="BM22" s="23">
        <f t="shared" si="14"/>
        <v>17.360560167494114</v>
      </c>
      <c r="BN22" s="24">
        <f t="shared" si="15"/>
        <v>7.3969773167530006E-2</v>
      </c>
      <c r="BO22" s="25">
        <f t="shared" si="16"/>
        <v>269886.85000000376</v>
      </c>
      <c r="BP22" s="213">
        <f t="shared" si="17"/>
        <v>9771.7699999999477</v>
      </c>
      <c r="BQ22">
        <f t="shared" si="18"/>
        <v>1.2401982434764238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0.67</v>
      </c>
      <c r="G23" s="19">
        <f>'20'!G8</f>
        <v>22217.270000000019</v>
      </c>
      <c r="H23" s="19">
        <f>'20'!G7</f>
        <v>22117.960000000021</v>
      </c>
      <c r="I23" s="19">
        <f>'20'!G8</f>
        <v>22217.270000000019</v>
      </c>
      <c r="J23" s="19">
        <v>9</v>
      </c>
      <c r="K23" s="242">
        <f t="shared" si="3"/>
        <v>199955.43000000017</v>
      </c>
      <c r="L23" s="238">
        <f t="shared" si="4"/>
        <v>109.98648514851494</v>
      </c>
      <c r="M23" s="19">
        <f>'20'!G15</f>
        <v>465</v>
      </c>
      <c r="N23" s="19">
        <v>53</v>
      </c>
      <c r="O23" s="234">
        <f t="shared" si="5"/>
        <v>24645</v>
      </c>
      <c r="P23" s="19">
        <f>'20'!G20</f>
        <v>143</v>
      </c>
      <c r="Q23" s="19">
        <v>108</v>
      </c>
      <c r="R23" s="239">
        <f t="shared" si="0"/>
        <v>15444</v>
      </c>
      <c r="S23" s="240">
        <f t="shared" si="1"/>
        <v>105.65981971331462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51</v>
      </c>
      <c r="X23" s="22">
        <f>'20'!G97</f>
        <v>15</v>
      </c>
      <c r="Y23" s="22">
        <f>'20'!G98</f>
        <v>17</v>
      </c>
      <c r="Z23" s="22">
        <f t="shared" si="7"/>
        <v>83</v>
      </c>
      <c r="AA23" s="19">
        <f>'20'!G133</f>
        <v>9.9999999998544808E-2</v>
      </c>
      <c r="AB23" s="19">
        <f>'20'!G134</f>
        <v>12.589999999999975</v>
      </c>
      <c r="AC23" s="19">
        <f>'20'!G135</f>
        <v>23.139999999999418</v>
      </c>
      <c r="AD23" s="19">
        <f>'20'!G136</f>
        <v>0</v>
      </c>
      <c r="AE23" s="19">
        <f t="shared" si="8"/>
        <v>35.829999999997938</v>
      </c>
      <c r="AF23" s="23">
        <f t="shared" si="2"/>
        <v>7204.5400000000081</v>
      </c>
      <c r="AG23" s="23">
        <f t="shared" si="9"/>
        <v>201.07563494279717</v>
      </c>
      <c r="AH23" s="19">
        <f>'20'!G137</f>
        <v>0.27999999999883585</v>
      </c>
      <c r="AI23" s="19">
        <f>'20'!G138</f>
        <v>0.15999999999985448</v>
      </c>
      <c r="AJ23" s="19">
        <f>'20'!G139</f>
        <v>0</v>
      </c>
      <c r="AK23" s="19">
        <f t="shared" si="10"/>
        <v>0.43999999999869033</v>
      </c>
      <c r="AL23" s="19">
        <f>'20'!G140</f>
        <v>0</v>
      </c>
      <c r="AM23" s="19">
        <f>'20'!G141</f>
        <v>9.1499999999996362</v>
      </c>
      <c r="AN23" s="19"/>
      <c r="AO23" s="19">
        <f t="shared" si="11"/>
        <v>9.1499999999996362</v>
      </c>
      <c r="AP23" s="258">
        <f>'20'!G124</f>
        <v>260.44999999995343</v>
      </c>
      <c r="AQ23" s="261">
        <f>'20'!G35</f>
        <v>0</v>
      </c>
      <c r="AR23" s="19">
        <f>'20'!G37</f>
        <v>1586.9700000000012</v>
      </c>
      <c r="AS23" s="19">
        <f>'20'!G38</f>
        <v>1448.929999999993</v>
      </c>
      <c r="AT23" s="19">
        <f>'20'!G39</f>
        <v>3767.429999999993</v>
      </c>
      <c r="AU23" s="19">
        <f>'20'!G40</f>
        <v>531.88999999999942</v>
      </c>
      <c r="AV23" s="19">
        <f>'20'!G41</f>
        <v>0.34999999997671694</v>
      </c>
      <c r="AW23" s="19">
        <f>'20'!G42</f>
        <v>2322.570000000007</v>
      </c>
      <c r="AX23" s="19">
        <f>'20'!G43</f>
        <v>2710.6999999999534</v>
      </c>
      <c r="AY23" s="23">
        <f>'20'!G44</f>
        <v>0</v>
      </c>
      <c r="AZ23" s="262">
        <f>'20'!G36</f>
        <v>1166.5199999999968</v>
      </c>
      <c r="BA23" s="261">
        <f>'20'!G49</f>
        <v>2573.210000000021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4850.4700000000012</v>
      </c>
      <c r="BG23" s="19">
        <f>'20'!G56</f>
        <v>31.150000000023283</v>
      </c>
      <c r="BH23" s="19">
        <f>'20'!G57</f>
        <v>0</v>
      </c>
      <c r="BI23" s="262">
        <f>'20'!G50</f>
        <v>1063.75</v>
      </c>
      <c r="BJ23" s="370">
        <f t="shared" si="12"/>
        <v>7204.5400000000081</v>
      </c>
      <c r="BK23" s="370">
        <f>'20'!G84</f>
        <v>727</v>
      </c>
      <c r="BL23" s="23">
        <f t="shared" si="13"/>
        <v>56.210551521406416</v>
      </c>
      <c r="BM23" s="23">
        <f t="shared" si="14"/>
        <v>16.957213915120938</v>
      </c>
      <c r="BN23" s="24">
        <f t="shared" si="15"/>
        <v>6.5216383471056155E-2</v>
      </c>
      <c r="BO23" s="25">
        <f t="shared" si="16"/>
        <v>240044.43000000017</v>
      </c>
      <c r="BP23" s="213">
        <f t="shared" si="17"/>
        <v>10642.239999999962</v>
      </c>
      <c r="BQ23">
        <f t="shared" si="18"/>
        <v>1.0607870499581928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21222.559999999998</v>
      </c>
      <c r="H24" s="19">
        <f>'21'!G7</f>
        <v>21118.709999999963</v>
      </c>
      <c r="I24" s="19">
        <f>'21'!G8</f>
        <v>21222.559999999998</v>
      </c>
      <c r="J24" s="19">
        <v>9</v>
      </c>
      <c r="K24" s="242">
        <f t="shared" si="3"/>
        <v>191003.03999999998</v>
      </c>
      <c r="L24" s="238">
        <f t="shared" si="4"/>
        <v>105.06217821782177</v>
      </c>
      <c r="M24" s="19">
        <f>'21'!G15</f>
        <v>926.71999999997206</v>
      </c>
      <c r="N24" s="19">
        <v>53</v>
      </c>
      <c r="O24" s="234">
        <f t="shared" si="5"/>
        <v>49116.159999998519</v>
      </c>
      <c r="P24" s="19">
        <f>'21'!G20</f>
        <v>175</v>
      </c>
      <c r="Q24" s="19">
        <v>108</v>
      </c>
      <c r="R24" s="239">
        <f t="shared" si="0"/>
        <v>18900</v>
      </c>
      <c r="S24" s="240">
        <f t="shared" si="1"/>
        <v>131.26312631263127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79</v>
      </c>
      <c r="X24" s="22">
        <f>'21'!G97</f>
        <v>18</v>
      </c>
      <c r="Y24" s="22">
        <f>'21'!G98</f>
        <v>23</v>
      </c>
      <c r="Z24" s="22">
        <f t="shared" si="7"/>
        <v>120</v>
      </c>
      <c r="AA24" s="19">
        <f>'21'!G133</f>
        <v>0</v>
      </c>
      <c r="AB24" s="19">
        <f>'21'!G134</f>
        <v>18.180000000000007</v>
      </c>
      <c r="AC24" s="19">
        <f>'21'!G135</f>
        <v>9.3899999999994179</v>
      </c>
      <c r="AD24" s="19">
        <f>'21'!G136</f>
        <v>0</v>
      </c>
      <c r="AE24" s="19">
        <f t="shared" si="8"/>
        <v>27.569999999999425</v>
      </c>
      <c r="AF24" s="23">
        <f t="shared" si="2"/>
        <v>6289.1099999999278</v>
      </c>
      <c r="AG24" s="23">
        <f t="shared" si="9"/>
        <v>228.11425462459408</v>
      </c>
      <c r="AH24" s="19">
        <f>'21'!G137</f>
        <v>10.069999999999709</v>
      </c>
      <c r="AI24" s="19">
        <f>'21'!G138</f>
        <v>0</v>
      </c>
      <c r="AJ24" s="19">
        <f>'21'!G139</f>
        <v>0</v>
      </c>
      <c r="AK24" s="19">
        <f t="shared" si="10"/>
        <v>10.069999999999709</v>
      </c>
      <c r="AL24" s="19">
        <f>'21'!G140</f>
        <v>0</v>
      </c>
      <c r="AM24" s="19">
        <f>'21'!G141</f>
        <v>9.4600000000000364</v>
      </c>
      <c r="AN24" s="19"/>
      <c r="AO24" s="19">
        <f t="shared" si="11"/>
        <v>9.4600000000000364</v>
      </c>
      <c r="AP24" s="258">
        <f>'21'!G124</f>
        <v>269.23000000009779</v>
      </c>
      <c r="AQ24" s="261">
        <f>'21'!G35</f>
        <v>0</v>
      </c>
      <c r="AR24" s="19">
        <f>'21'!G37</f>
        <v>1602.9200000000128</v>
      </c>
      <c r="AS24" s="19">
        <f>'21'!G38</f>
        <v>1577.9800000000105</v>
      </c>
      <c r="AT24" s="19">
        <f>'21'!G39</f>
        <v>3741.5200000000186</v>
      </c>
      <c r="AU24" s="19">
        <f>'21'!G40</f>
        <v>267.51000000000022</v>
      </c>
      <c r="AV24" s="19">
        <f>'21'!G41</f>
        <v>0</v>
      </c>
      <c r="AW24" s="19">
        <f>'21'!G42</f>
        <v>4011.5299999999988</v>
      </c>
      <c r="AX24" s="19">
        <f>'21'!G43</f>
        <v>2552.6000000000931</v>
      </c>
      <c r="AY24" s="23">
        <f>'21'!G44</f>
        <v>0</v>
      </c>
      <c r="AZ24" s="262">
        <f>'21'!G36</f>
        <v>759.40000000000146</v>
      </c>
      <c r="BA24" s="261">
        <f>'21'!G49</f>
        <v>2837.539999999979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2266.5400000000081</v>
      </c>
      <c r="BG24" s="19">
        <f>'21'!G56</f>
        <v>11.039999999920838</v>
      </c>
      <c r="BH24" s="19">
        <f>'21'!G57</f>
        <v>0</v>
      </c>
      <c r="BI24" s="262">
        <f>'21'!G50</f>
        <v>1014.9200000000419</v>
      </c>
      <c r="BJ24" s="370">
        <f t="shared" si="12"/>
        <v>6289.1099999999278</v>
      </c>
      <c r="BK24" s="370">
        <f>'21'!G84</f>
        <v>697</v>
      </c>
      <c r="BL24" s="23">
        <f t="shared" si="13"/>
        <v>55.032239277448156</v>
      </c>
      <c r="BM24" s="23">
        <f t="shared" si="14"/>
        <v>17.629918351037851</v>
      </c>
      <c r="BN24" s="24">
        <f t="shared" si="15"/>
        <v>7.4357193477128089E-2</v>
      </c>
      <c r="BO24" s="25">
        <f t="shared" si="16"/>
        <v>259019.1999999985</v>
      </c>
      <c r="BP24" s="213">
        <f t="shared" si="17"/>
        <v>9538.710000000021</v>
      </c>
      <c r="BQ24">
        <f t="shared" si="18"/>
        <v>1.2356482201150605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0.8</v>
      </c>
      <c r="G25" s="19">
        <f>'22'!G8</f>
        <v>21681.119999999995</v>
      </c>
      <c r="H25" s="19">
        <f>'22'!G7</f>
        <v>21609.760000000009</v>
      </c>
      <c r="I25" s="19">
        <f>'22'!G8</f>
        <v>21681.119999999995</v>
      </c>
      <c r="J25" s="19">
        <v>9</v>
      </c>
      <c r="K25" s="242">
        <f t="shared" si="3"/>
        <v>195130.07999999996</v>
      </c>
      <c r="L25" s="238">
        <f t="shared" si="4"/>
        <v>107.33227722772276</v>
      </c>
      <c r="M25" s="19">
        <f>'22'!G15</f>
        <v>730.32000000006519</v>
      </c>
      <c r="N25" s="19">
        <v>53</v>
      </c>
      <c r="O25" s="234">
        <f t="shared" si="5"/>
        <v>38706.960000003455</v>
      </c>
      <c r="P25" s="19">
        <f>'22'!G20</f>
        <v>187</v>
      </c>
      <c r="Q25" s="19">
        <v>108</v>
      </c>
      <c r="R25" s="239">
        <f t="shared" si="0"/>
        <v>20196</v>
      </c>
      <c r="S25" s="240">
        <f t="shared" si="1"/>
        <v>115.71782178217819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73</v>
      </c>
      <c r="X25" s="22">
        <f>'22'!G97</f>
        <v>22</v>
      </c>
      <c r="Y25" s="22">
        <f>'22'!G98</f>
        <v>20</v>
      </c>
      <c r="Z25" s="22">
        <f t="shared" si="7"/>
        <v>115</v>
      </c>
      <c r="AA25" s="19">
        <f>'22'!G133</f>
        <v>6.9500000000043656</v>
      </c>
      <c r="AB25" s="19">
        <f>'22'!G134</f>
        <v>0</v>
      </c>
      <c r="AC25" s="19">
        <f>'22'!G135</f>
        <v>24.480000000003201</v>
      </c>
      <c r="AD25" s="19">
        <f>'22'!G136</f>
        <v>5.0000000002910383E-2</v>
      </c>
      <c r="AE25" s="19">
        <f t="shared" si="8"/>
        <v>31.480000000010477</v>
      </c>
      <c r="AF25" s="23">
        <f t="shared" si="2"/>
        <v>6891.7000000000116</v>
      </c>
      <c r="AG25" s="23">
        <f t="shared" si="9"/>
        <v>218.92312579408252</v>
      </c>
      <c r="AH25" s="19">
        <f>'22'!G137</f>
        <v>5.7000000000007276</v>
      </c>
      <c r="AI25" s="19">
        <f>'22'!G138</f>
        <v>0</v>
      </c>
      <c r="AJ25" s="19">
        <f>'22'!G139</f>
        <v>0</v>
      </c>
      <c r="AK25" s="19">
        <f t="shared" si="10"/>
        <v>5.7000000000007276</v>
      </c>
      <c r="AL25" s="19">
        <f>'22'!G140</f>
        <v>0</v>
      </c>
      <c r="AM25" s="19">
        <f>'22'!G141</f>
        <v>9.180000000000291</v>
      </c>
      <c r="AN25" s="19"/>
      <c r="AO25" s="19">
        <f t="shared" si="11"/>
        <v>9.180000000000291</v>
      </c>
      <c r="AP25" s="258">
        <f>'22'!G124</f>
        <v>265</v>
      </c>
      <c r="AQ25" s="261">
        <f>'22'!G35</f>
        <v>0</v>
      </c>
      <c r="AR25" s="19">
        <f>'22'!G37</f>
        <v>1618.9799999999814</v>
      </c>
      <c r="AS25" s="19">
        <f>'22'!G38</f>
        <v>1490.7999999999884</v>
      </c>
      <c r="AT25" s="19">
        <f>'22'!G39</f>
        <v>3759.0800000000163</v>
      </c>
      <c r="AU25" s="19">
        <f>'22'!G40</f>
        <v>445.32999999999993</v>
      </c>
      <c r="AV25" s="19">
        <f>'22'!G41</f>
        <v>1337.2000000000116</v>
      </c>
      <c r="AW25" s="19">
        <f>'22'!G42</f>
        <v>0</v>
      </c>
      <c r="AX25" s="19">
        <f>'22'!G43</f>
        <v>2641.5999999998603</v>
      </c>
      <c r="AY25" s="23">
        <f>'22'!G44</f>
        <v>0</v>
      </c>
      <c r="AZ25" s="262">
        <f>'22'!G36</f>
        <v>653.86000000000058</v>
      </c>
      <c r="BA25" s="261">
        <f>'22'!G49</f>
        <v>2925.7600000000093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5543.859999999986</v>
      </c>
      <c r="BG25" s="19">
        <f>'22'!G56</f>
        <v>10.64000000001397</v>
      </c>
      <c r="BH25" s="19">
        <f>'22'!G57</f>
        <v>0</v>
      </c>
      <c r="BI25" s="262">
        <f>'22'!G50</f>
        <v>1079.5199999999022</v>
      </c>
      <c r="BJ25" s="370">
        <f t="shared" si="12"/>
        <v>6891.7000000000116</v>
      </c>
      <c r="BK25" s="370">
        <f>'22'!G84</f>
        <v>700</v>
      </c>
      <c r="BL25" s="23">
        <f t="shared" si="13"/>
        <v>57.465020257255546</v>
      </c>
      <c r="BM25" s="23">
        <f t="shared" si="14"/>
        <v>17.338034197495411</v>
      </c>
      <c r="BN25" s="24">
        <f t="shared" si="15"/>
        <v>6.876028544650778E-2</v>
      </c>
      <c r="BO25" s="25">
        <f t="shared" si="16"/>
        <v>254033.04000000341</v>
      </c>
      <c r="BP25" s="213">
        <f t="shared" si="17"/>
        <v>10233.299999999872</v>
      </c>
      <c r="BQ25">
        <f t="shared" si="18"/>
        <v>1.1609752223630043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0.85</v>
      </c>
      <c r="G26" s="19">
        <f>'23'!G8</f>
        <v>22659.959999999963</v>
      </c>
      <c r="H26" s="19">
        <f>'23'!G7</f>
        <v>22568.900000000023</v>
      </c>
      <c r="I26" s="19">
        <f>'23'!G8</f>
        <v>22659.959999999963</v>
      </c>
      <c r="J26" s="19">
        <v>9</v>
      </c>
      <c r="K26" s="242">
        <f t="shared" si="3"/>
        <v>203939.63999999966</v>
      </c>
      <c r="L26" s="238">
        <f t="shared" si="4"/>
        <v>112.17801980198001</v>
      </c>
      <c r="M26" s="19">
        <f>'23'!G15</f>
        <v>871.31000000005588</v>
      </c>
      <c r="N26" s="19">
        <v>53</v>
      </c>
      <c r="O26" s="234">
        <f t="shared" si="5"/>
        <v>46179.430000002962</v>
      </c>
      <c r="P26" s="19">
        <f>'23'!G20</f>
        <v>170</v>
      </c>
      <c r="Q26" s="19">
        <v>108</v>
      </c>
      <c r="R26" s="239">
        <f t="shared" si="0"/>
        <v>18360</v>
      </c>
      <c r="S26" s="240">
        <f t="shared" si="1"/>
        <v>99.009900990099013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67</v>
      </c>
      <c r="X26" s="22">
        <f>'23'!G97</f>
        <v>20</v>
      </c>
      <c r="Y26" s="22">
        <f>'23'!G98</f>
        <v>21</v>
      </c>
      <c r="Z26" s="22">
        <f t="shared" si="7"/>
        <v>108</v>
      </c>
      <c r="AA26" s="19">
        <f>'23'!G133</f>
        <v>0</v>
      </c>
      <c r="AB26" s="19">
        <f>'23'!G134</f>
        <v>9.339999999999975</v>
      </c>
      <c r="AC26" s="19">
        <f>'23'!G135</f>
        <v>24.099999999998545</v>
      </c>
      <c r="AD26" s="19">
        <f>'23'!G136</f>
        <v>0</v>
      </c>
      <c r="AE26" s="19">
        <f t="shared" si="8"/>
        <v>33.43999999999852</v>
      </c>
      <c r="AF26" s="23">
        <f t="shared" si="2"/>
        <v>7521.0500000000466</v>
      </c>
      <c r="AG26" s="23">
        <f t="shared" si="9"/>
        <v>224.91178229666207</v>
      </c>
      <c r="AH26" s="19">
        <f>'23'!G137</f>
        <v>9.6700000000018917</v>
      </c>
      <c r="AI26" s="19">
        <f>'23'!G138</f>
        <v>0</v>
      </c>
      <c r="AJ26" s="19">
        <f>'23'!G139</f>
        <v>0</v>
      </c>
      <c r="AK26" s="19">
        <f t="shared" si="10"/>
        <v>9.6700000000018917</v>
      </c>
      <c r="AL26" s="19">
        <f>'23'!G140</f>
        <v>0</v>
      </c>
      <c r="AM26" s="19">
        <f>'23'!G141</f>
        <v>9.0399999999999636</v>
      </c>
      <c r="AN26" s="19"/>
      <c r="AO26" s="19">
        <f t="shared" si="11"/>
        <v>9.0399999999999636</v>
      </c>
      <c r="AP26" s="258">
        <f>'23'!G124</f>
        <v>259.03999999992084</v>
      </c>
      <c r="AQ26" s="261">
        <f>'23'!G35</f>
        <v>0</v>
      </c>
      <c r="AR26" s="19">
        <f>'23'!G37</f>
        <v>1602.1600000000035</v>
      </c>
      <c r="AS26" s="19">
        <f>'23'!G38</f>
        <v>1578.8600000000151</v>
      </c>
      <c r="AT26" s="19">
        <f>'23'!G39</f>
        <v>3787.9599999999627</v>
      </c>
      <c r="AU26" s="19">
        <f>'23'!G40</f>
        <v>586.75</v>
      </c>
      <c r="AV26" s="19">
        <f>'23'!G41</f>
        <v>0</v>
      </c>
      <c r="AW26" s="19">
        <f>'23'!G42</f>
        <v>1924.9899999999907</v>
      </c>
      <c r="AX26" s="19">
        <f>'23'!G43</f>
        <v>2699.2000000001863</v>
      </c>
      <c r="AY26" s="23">
        <f>'23'!G44</f>
        <v>0</v>
      </c>
      <c r="AZ26" s="262">
        <f>'23'!G36</f>
        <v>684.05999999999767</v>
      </c>
      <c r="BA26" s="261">
        <f>'23'!G49</f>
        <v>3047.5800000000163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5585.6199999999953</v>
      </c>
      <c r="BG26" s="19">
        <f>'23'!G56</f>
        <v>10.440000000060536</v>
      </c>
      <c r="BH26" s="19">
        <f>'23'!G57</f>
        <v>0</v>
      </c>
      <c r="BI26" s="262">
        <f>'23'!G50</f>
        <v>996.76000000000931</v>
      </c>
      <c r="BJ26" s="370">
        <f t="shared" si="12"/>
        <v>7521.0500000000466</v>
      </c>
      <c r="BK26" s="370">
        <f>'23'!G84</f>
        <v>709</v>
      </c>
      <c r="BL26" s="23">
        <f t="shared" si="13"/>
        <v>58.55186858229348</v>
      </c>
      <c r="BM26" s="23">
        <f t="shared" si="14"/>
        <v>16.716534362814272</v>
      </c>
      <c r="BN26" s="24">
        <f t="shared" si="15"/>
        <v>6.967620419453599E-2</v>
      </c>
      <c r="BO26" s="25">
        <f t="shared" si="16"/>
        <v>268479.07000000263</v>
      </c>
      <c r="BP26" s="213">
        <f t="shared" si="17"/>
        <v>10929.250000000233</v>
      </c>
      <c r="BQ26">
        <f t="shared" si="18"/>
        <v>1.1672558527000081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1</v>
      </c>
      <c r="G27" s="19">
        <f>'24'!G8</f>
        <v>22644.090000000026</v>
      </c>
      <c r="H27" s="19">
        <f>'24'!G7</f>
        <v>22575.669999999984</v>
      </c>
      <c r="I27" s="19">
        <f>'24'!G8</f>
        <v>22644.090000000026</v>
      </c>
      <c r="J27" s="19">
        <v>9</v>
      </c>
      <c r="K27" s="242">
        <f t="shared" si="3"/>
        <v>203796.81000000023</v>
      </c>
      <c r="L27" s="238">
        <f t="shared" si="4"/>
        <v>112.09945544554468</v>
      </c>
      <c r="M27" s="19">
        <f>'24'!G15</f>
        <v>866.64999999990687</v>
      </c>
      <c r="N27" s="19">
        <v>53</v>
      </c>
      <c r="O27" s="234">
        <f t="shared" si="5"/>
        <v>45932.449999995064</v>
      </c>
      <c r="P27" s="19">
        <f>'24'!G20</f>
        <v>174</v>
      </c>
      <c r="Q27" s="19">
        <v>108</v>
      </c>
      <c r="R27" s="239">
        <f t="shared" si="0"/>
        <v>18792</v>
      </c>
      <c r="S27" s="240">
        <f t="shared" si="1"/>
        <v>86.138613861386133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64</v>
      </c>
      <c r="X27" s="22">
        <f>'24'!G97</f>
        <v>23</v>
      </c>
      <c r="Y27" s="22">
        <f>'24'!G98</f>
        <v>34</v>
      </c>
      <c r="Z27" s="22">
        <f t="shared" si="7"/>
        <v>121</v>
      </c>
      <c r="AA27" s="19">
        <f>'24'!G133</f>
        <v>-5.0000000002910383E-2</v>
      </c>
      <c r="AB27" s="19">
        <f>'24'!G134</f>
        <v>9.8500000000000227</v>
      </c>
      <c r="AC27" s="19">
        <f>'24'!G135</f>
        <v>23.889999999999418</v>
      </c>
      <c r="AD27" s="19">
        <f>'24'!G136</f>
        <v>-5.0000000002910383E-2</v>
      </c>
      <c r="AE27" s="19">
        <f t="shared" si="8"/>
        <v>33.63999999999362</v>
      </c>
      <c r="AF27" s="23">
        <f t="shared" si="2"/>
        <v>7305.1499999999942</v>
      </c>
      <c r="AG27" s="23">
        <f t="shared" si="9"/>
        <v>217.15665873963673</v>
      </c>
      <c r="AH27" s="19">
        <f>'24'!G137</f>
        <v>7.9499999999970896</v>
      </c>
      <c r="AI27" s="19">
        <f>'24'!G138</f>
        <v>-0.15999999999985448</v>
      </c>
      <c r="AJ27" s="19">
        <f>'24'!G139</f>
        <v>0.39999999999417923</v>
      </c>
      <c r="AK27" s="19">
        <f t="shared" si="10"/>
        <v>8.1899999999914144</v>
      </c>
      <c r="AL27" s="19">
        <f>'24'!G140</f>
        <v>0</v>
      </c>
      <c r="AM27" s="19">
        <f>'24'!G141</f>
        <v>8.8299999999999272</v>
      </c>
      <c r="AN27" s="19"/>
      <c r="AO27" s="19">
        <f t="shared" si="11"/>
        <v>8.8299999999999272</v>
      </c>
      <c r="AP27" s="258">
        <f>'24'!G124</f>
        <v>254.28000000002794</v>
      </c>
      <c r="AQ27" s="261">
        <f>'24'!G35</f>
        <v>0</v>
      </c>
      <c r="AR27" s="19">
        <f>'24'!G37</f>
        <v>1631.9700000000012</v>
      </c>
      <c r="AS27" s="19">
        <f>'24'!G38</f>
        <v>1604.429999999993</v>
      </c>
      <c r="AT27" s="19">
        <f>'24'!G39</f>
        <v>3817.0100000000093</v>
      </c>
      <c r="AU27" s="19">
        <f>'24'!G40</f>
        <v>428.52000000000044</v>
      </c>
      <c r="AV27" s="19">
        <f>'24'!G41</f>
        <v>0</v>
      </c>
      <c r="AW27" s="19">
        <f>'24'!G42</f>
        <v>1849.9100000000035</v>
      </c>
      <c r="AX27" s="19">
        <f>'24'!G43</f>
        <v>2784.8999999999069</v>
      </c>
      <c r="AY27" s="23">
        <f>'24'!G44</f>
        <v>0</v>
      </c>
      <c r="AZ27" s="262">
        <f>'24'!G36</f>
        <v>689.16000000000349</v>
      </c>
      <c r="BA27" s="261">
        <f>'24'!G49</f>
        <v>3076.9099999999744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5455.5100000000093</v>
      </c>
      <c r="BG27" s="19">
        <f>'24'!G56</f>
        <v>-0.27000000001862645</v>
      </c>
      <c r="BH27" s="19">
        <f>'24'!G57</f>
        <v>0</v>
      </c>
      <c r="BI27" s="262">
        <f>'24'!G50</f>
        <v>988.05000000004657</v>
      </c>
      <c r="BJ27" s="370">
        <f t="shared" si="12"/>
        <v>7305.1499999999942</v>
      </c>
      <c r="BK27" s="370">
        <f>'24'!G84</f>
        <v>782</v>
      </c>
      <c r="BL27" s="23">
        <f t="shared" si="13"/>
        <v>58.147445978177352</v>
      </c>
      <c r="BM27" s="23">
        <f t="shared" si="14"/>
        <v>16.858350236198405</v>
      </c>
      <c r="BN27" s="24">
        <f t="shared" si="15"/>
        <v>7.0851158072593887E-2</v>
      </c>
      <c r="BO27" s="25">
        <f t="shared" si="16"/>
        <v>268521.25999999529</v>
      </c>
      <c r="BP27" s="213">
        <f t="shared" si="17"/>
        <v>10872.049999999901</v>
      </c>
      <c r="BQ27">
        <f t="shared" si="18"/>
        <v>1.1542434601666769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0.74</v>
      </c>
      <c r="G28" s="19">
        <f>'25'!G8</f>
        <v>23122</v>
      </c>
      <c r="H28" s="19">
        <f>'25'!G7</f>
        <v>23023</v>
      </c>
      <c r="I28" s="19">
        <f>'25'!G8</f>
        <v>23122</v>
      </c>
      <c r="J28" s="19">
        <v>9</v>
      </c>
      <c r="K28" s="242">
        <f t="shared" si="3"/>
        <v>208098</v>
      </c>
      <c r="L28" s="238">
        <f t="shared" si="4"/>
        <v>114.46534653465346</v>
      </c>
      <c r="M28" s="19">
        <f>'25'!G15</f>
        <v>892</v>
      </c>
      <c r="N28" s="19">
        <v>53</v>
      </c>
      <c r="O28" s="234">
        <f t="shared" si="5"/>
        <v>47276</v>
      </c>
      <c r="P28" s="19">
        <f>'25'!G20</f>
        <v>222</v>
      </c>
      <c r="Q28" s="19">
        <v>108</v>
      </c>
      <c r="R28" s="239">
        <f t="shared" si="0"/>
        <v>23976</v>
      </c>
      <c r="S28" s="240">
        <f t="shared" si="1"/>
        <v>148.51485148514851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78</v>
      </c>
      <c r="X28" s="22">
        <f>'25'!G97</f>
        <v>31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9.6200000000000045</v>
      </c>
      <c r="AC28" s="19">
        <f>'25'!G135</f>
        <v>24</v>
      </c>
      <c r="AD28" s="19">
        <f>'25'!G136</f>
        <v>0</v>
      </c>
      <c r="AE28" s="19">
        <f t="shared" si="8"/>
        <v>33.620000000000005</v>
      </c>
      <c r="AF28" s="23">
        <f t="shared" si="2"/>
        <v>5647.4500000000116</v>
      </c>
      <c r="AG28" s="23">
        <f t="shared" si="9"/>
        <v>167.97888161808478</v>
      </c>
      <c r="AH28" s="19">
        <f>'24'!G137</f>
        <v>7.9499999999970896</v>
      </c>
      <c r="AI28" s="19">
        <f>'24'!G138</f>
        <v>-0.15999999999985448</v>
      </c>
      <c r="AJ28" s="19">
        <f>'24'!G139</f>
        <v>0.39999999999417923</v>
      </c>
      <c r="AK28" s="19">
        <f t="shared" si="10"/>
        <v>8.1899999999914144</v>
      </c>
      <c r="AL28" s="19">
        <f>'23'!G140</f>
        <v>0</v>
      </c>
      <c r="AM28" s="19">
        <f>'24'!G141</f>
        <v>8.8299999999999272</v>
      </c>
      <c r="AN28" s="19"/>
      <c r="AO28" s="19">
        <f t="shared" si="11"/>
        <v>8.8299999999999272</v>
      </c>
      <c r="AP28" s="258">
        <f>'25'!G124</f>
        <v>280</v>
      </c>
      <c r="AQ28" s="261">
        <f>'25'!G35</f>
        <v>0</v>
      </c>
      <c r="AR28" s="19">
        <f>'25'!G37</f>
        <v>1678</v>
      </c>
      <c r="AS28" s="19">
        <f>'25'!G38</f>
        <v>1682</v>
      </c>
      <c r="AT28" s="19">
        <f>'25'!G39</f>
        <v>3772</v>
      </c>
      <c r="AU28" s="19">
        <f>'25'!G40</f>
        <v>640</v>
      </c>
      <c r="AV28" s="19">
        <f>'25'!G41</f>
        <v>0.45000000001164153</v>
      </c>
      <c r="AW28" s="19"/>
      <c r="AX28" s="19">
        <f>'25'!G43</f>
        <v>2870</v>
      </c>
      <c r="AY28" s="23">
        <f>'25'!G44</f>
        <v>0</v>
      </c>
      <c r="AZ28" s="262">
        <f>'25'!G36</f>
        <v>718</v>
      </c>
      <c r="BA28" s="261">
        <f>'25'!G49</f>
        <v>2993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5647</v>
      </c>
      <c r="BG28" s="19">
        <f>'25'!G56</f>
        <v>0</v>
      </c>
      <c r="BH28" s="19">
        <f>'25'!G57</f>
        <v>0</v>
      </c>
      <c r="BI28" s="262">
        <f>'25'!G50</f>
        <v>1138</v>
      </c>
      <c r="BJ28" s="370">
        <f t="shared" si="12"/>
        <v>5647.4500000000116</v>
      </c>
      <c r="BK28" s="370">
        <f>'25'!G84</f>
        <v>784</v>
      </c>
      <c r="BL28" s="23">
        <f t="shared" si="13"/>
        <v>49.7813770435084</v>
      </c>
      <c r="BM28" s="23">
        <f t="shared" si="14"/>
        <v>16.313467693106134</v>
      </c>
      <c r="BN28" s="24">
        <f t="shared" si="15"/>
        <v>7.2747599688606043E-2</v>
      </c>
      <c r="BO28" s="25">
        <f t="shared" si="16"/>
        <v>279350</v>
      </c>
      <c r="BP28" s="213">
        <f t="shared" si="17"/>
        <v>9301.4500000000116</v>
      </c>
      <c r="BQ28">
        <f t="shared" si="18"/>
        <v>0.98808638565479834</v>
      </c>
    </row>
    <row r="29" spans="1:69">
      <c r="A29" s="16">
        <v>26</v>
      </c>
      <c r="B29" s="26">
        <v>26</v>
      </c>
      <c r="C29" s="29"/>
      <c r="D29" s="19">
        <f>'26'!D3</f>
        <v>27</v>
      </c>
      <c r="E29" s="256">
        <f>'26'!D4</f>
        <v>0.78</v>
      </c>
      <c r="F29" s="256">
        <f>'26'!D2</f>
        <v>0.75</v>
      </c>
      <c r="G29" s="19">
        <f>'26'!G8</f>
        <v>22721</v>
      </c>
      <c r="H29" s="19">
        <f>'26'!G7</f>
        <v>22622</v>
      </c>
      <c r="I29" s="19">
        <f>'26'!G8</f>
        <v>22721</v>
      </c>
      <c r="J29" s="19">
        <v>9</v>
      </c>
      <c r="K29" s="242">
        <f t="shared" si="3"/>
        <v>204489</v>
      </c>
      <c r="L29" s="238">
        <f t="shared" si="4"/>
        <v>112.48019801980197</v>
      </c>
      <c r="M29" s="19">
        <f>'26'!G15</f>
        <v>754</v>
      </c>
      <c r="N29" s="19">
        <v>53</v>
      </c>
      <c r="O29" s="234">
        <f t="shared" si="5"/>
        <v>39962</v>
      </c>
      <c r="P29" s="19">
        <f>'26'!G20</f>
        <v>185</v>
      </c>
      <c r="Q29" s="19">
        <v>108</v>
      </c>
      <c r="R29" s="239">
        <f t="shared" si="0"/>
        <v>19980</v>
      </c>
      <c r="S29" s="240">
        <f t="shared" si="1"/>
        <v>122.11221122112212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69</v>
      </c>
      <c r="X29" s="22">
        <f>'26'!G97</f>
        <v>24</v>
      </c>
      <c r="Y29" s="22">
        <f>'26'!G98</f>
        <v>22</v>
      </c>
      <c r="Z29" s="22">
        <f t="shared" si="7"/>
        <v>115</v>
      </c>
      <c r="AA29" s="19">
        <f>'26'!G133</f>
        <v>0</v>
      </c>
      <c r="AB29" s="19">
        <f>'26'!G134</f>
        <v>12</v>
      </c>
      <c r="AC29" s="19">
        <f>'26'!G135</f>
        <v>20</v>
      </c>
      <c r="AD29" s="19">
        <f>'26'!G136</f>
        <v>0</v>
      </c>
      <c r="AE29" s="19">
        <f t="shared" si="8"/>
        <v>32</v>
      </c>
      <c r="AF29" s="23">
        <f t="shared" si="2"/>
        <v>7309</v>
      </c>
      <c r="AG29" s="23">
        <f t="shared" si="9"/>
        <v>228.40625</v>
      </c>
      <c r="AH29" s="19">
        <f>'26'!G137</f>
        <v>7</v>
      </c>
      <c r="AI29" s="19">
        <f>'26'!G138</f>
        <v>0</v>
      </c>
      <c r="AJ29" s="19">
        <f>'26'!G139</f>
        <v>0</v>
      </c>
      <c r="AK29" s="19">
        <f t="shared" si="10"/>
        <v>7</v>
      </c>
      <c r="AL29" s="19">
        <f>'26'!G140</f>
        <v>9.2699999999999818</v>
      </c>
      <c r="AM29" s="19">
        <f>'26'!G141</f>
        <v>0</v>
      </c>
      <c r="AN29" s="19"/>
      <c r="AO29" s="19">
        <f t="shared" si="11"/>
        <v>9.2699999999999818</v>
      </c>
      <c r="AP29" s="258">
        <f>'26'!G124</f>
        <v>252</v>
      </c>
      <c r="AQ29" s="261">
        <f>'26'!G35</f>
        <v>0</v>
      </c>
      <c r="AR29" s="19">
        <f>'26'!G37</f>
        <v>1663</v>
      </c>
      <c r="AS29" s="19">
        <f>'26'!G38</f>
        <v>1573</v>
      </c>
      <c r="AT29" s="19">
        <f>'26'!G39</f>
        <v>3750</v>
      </c>
      <c r="AU29" s="19">
        <f>'26'!G40</f>
        <v>360</v>
      </c>
      <c r="AV29" s="19">
        <f>'26'!G41</f>
        <v>0</v>
      </c>
      <c r="AW29" s="19">
        <f>'26'!G42</f>
        <v>2781</v>
      </c>
      <c r="AX29" s="19">
        <f>'26'!G43</f>
        <v>2794</v>
      </c>
      <c r="AY29" s="23">
        <f>'26'!G44</f>
        <v>0</v>
      </c>
      <c r="AZ29" s="262">
        <f>'26'!G36</f>
        <v>755</v>
      </c>
      <c r="BA29" s="261">
        <f>'26'!G49</f>
        <v>3145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4528</v>
      </c>
      <c r="BG29" s="19">
        <f>'26'!G56</f>
        <v>0</v>
      </c>
      <c r="BH29" s="19">
        <f>'26'!G57</f>
        <v>0</v>
      </c>
      <c r="BI29" s="262">
        <f>'26'!G50</f>
        <v>928</v>
      </c>
      <c r="BJ29" s="370">
        <f t="shared" si="12"/>
        <v>7309</v>
      </c>
      <c r="BK29" s="370">
        <f>'26'!G84</f>
        <v>829</v>
      </c>
      <c r="BL29" s="23">
        <f t="shared" si="13"/>
        <v>58.307292812816335</v>
      </c>
      <c r="BM29" s="23">
        <f t="shared" si="14"/>
        <v>16.504555257250999</v>
      </c>
      <c r="BN29" s="24">
        <f t="shared" si="15"/>
        <v>6.9231107785748869E-2</v>
      </c>
      <c r="BO29" s="25">
        <f t="shared" si="16"/>
        <v>264431</v>
      </c>
      <c r="BP29" s="213">
        <f t="shared" si="17"/>
        <v>10932</v>
      </c>
      <c r="BQ29">
        <f t="shared" si="18"/>
        <v>1.2200892857142858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0.85</v>
      </c>
      <c r="F30" s="256">
        <f>'27'!D2</f>
        <v>0.64</v>
      </c>
      <c r="G30" s="19">
        <f>'27'!G8</f>
        <v>21225</v>
      </c>
      <c r="H30" s="19">
        <f>'27'!G7</f>
        <v>21119</v>
      </c>
      <c r="I30" s="19">
        <f>'27'!G8</f>
        <v>21225</v>
      </c>
      <c r="J30" s="19">
        <v>9</v>
      </c>
      <c r="K30" s="242">
        <f t="shared" si="3"/>
        <v>191025</v>
      </c>
      <c r="L30" s="238">
        <f t="shared" si="4"/>
        <v>105.07425742574257</v>
      </c>
      <c r="M30" s="19">
        <f>'27'!G15</f>
        <v>794</v>
      </c>
      <c r="N30" s="19">
        <v>53</v>
      </c>
      <c r="O30" s="234">
        <f t="shared" si="5"/>
        <v>42082</v>
      </c>
      <c r="P30" s="19">
        <f>'27'!G20</f>
        <v>175</v>
      </c>
      <c r="Q30" s="19">
        <v>108</v>
      </c>
      <c r="R30" s="239">
        <f t="shared" si="0"/>
        <v>18900</v>
      </c>
      <c r="S30" s="240">
        <f t="shared" si="1"/>
        <v>135.365099009901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62</v>
      </c>
      <c r="X30" s="22">
        <f>'27'!G97</f>
        <v>19</v>
      </c>
      <c r="Y30" s="22">
        <f>'27'!G98</f>
        <v>24</v>
      </c>
      <c r="Z30" s="22">
        <f t="shared" si="7"/>
        <v>105</v>
      </c>
      <c r="AA30" s="19">
        <f>'27'!G133</f>
        <v>0</v>
      </c>
      <c r="AB30" s="19">
        <f>'27'!G134</f>
        <v>24</v>
      </c>
      <c r="AC30" s="19">
        <f>'27'!G135</f>
        <v>6</v>
      </c>
      <c r="AD30" s="19">
        <f>'27'!G136</f>
        <v>0</v>
      </c>
      <c r="AE30" s="19">
        <f t="shared" si="8"/>
        <v>30</v>
      </c>
      <c r="AF30" s="23">
        <f t="shared" si="2"/>
        <v>6213</v>
      </c>
      <c r="AG30" s="23">
        <f t="shared" si="9"/>
        <v>207.1</v>
      </c>
      <c r="AH30" s="19">
        <f>'27'!G137</f>
        <v>8.7799999999988358</v>
      </c>
      <c r="AI30" s="19">
        <f>'27'!G138</f>
        <v>0.15999999999985448</v>
      </c>
      <c r="AJ30" s="19">
        <f>'27'!G139</f>
        <v>-0.39999999999417923</v>
      </c>
      <c r="AK30" s="19">
        <f t="shared" si="10"/>
        <v>8.5400000000045111</v>
      </c>
      <c r="AL30" s="19">
        <f>'27'!G140</f>
        <v>9.1599999999998545</v>
      </c>
      <c r="AM30" s="19">
        <f>'27'!G141</f>
        <v>0</v>
      </c>
      <c r="AN30" s="19"/>
      <c r="AO30" s="19">
        <f t="shared" si="11"/>
        <v>9.1599999999998545</v>
      </c>
      <c r="AP30" s="258">
        <f>'27'!G124</f>
        <v>250</v>
      </c>
      <c r="AQ30" s="261">
        <f>'27'!G35</f>
        <v>0</v>
      </c>
      <c r="AR30" s="19">
        <f>'27'!G37</f>
        <v>1655</v>
      </c>
      <c r="AS30" s="19">
        <f>'27'!G38</f>
        <v>1508</v>
      </c>
      <c r="AT30" s="19">
        <f>'27'!G39</f>
        <v>3783</v>
      </c>
      <c r="AU30" s="19">
        <f>'27'!G40</f>
        <v>386</v>
      </c>
      <c r="AV30" s="19">
        <f>'27'!G41</f>
        <v>0</v>
      </c>
      <c r="AW30" s="19">
        <f>'27'!G42</f>
        <v>4991</v>
      </c>
      <c r="AX30" s="19">
        <f>'27'!G43</f>
        <v>2676</v>
      </c>
      <c r="AY30" s="23">
        <f>'27'!G44</f>
        <v>0</v>
      </c>
      <c r="AZ30" s="262">
        <f>'27'!G36</f>
        <v>671</v>
      </c>
      <c r="BA30" s="261">
        <f>'27'!G49</f>
        <v>2883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1179</v>
      </c>
      <c r="BG30" s="19">
        <f>'27'!G56</f>
        <v>43</v>
      </c>
      <c r="BH30" s="19">
        <f>'27'!G57</f>
        <v>0</v>
      </c>
      <c r="BI30" s="262">
        <f>'27'!G50</f>
        <v>988</v>
      </c>
      <c r="BJ30" s="370">
        <f t="shared" si="12"/>
        <v>6213</v>
      </c>
      <c r="BK30" s="370">
        <f>'27'!G84</f>
        <v>835</v>
      </c>
      <c r="BL30" s="23">
        <f t="shared" si="13"/>
        <v>55.46289752650177</v>
      </c>
      <c r="BM30" s="23">
        <f t="shared" si="14"/>
        <v>17.823321554770317</v>
      </c>
      <c r="BN30" s="24">
        <f t="shared" si="15"/>
        <v>7.1044994110720905E-2</v>
      </c>
      <c r="BO30" s="25">
        <f t="shared" si="16"/>
        <v>252007</v>
      </c>
      <c r="BP30" s="213">
        <f t="shared" si="17"/>
        <v>9724</v>
      </c>
      <c r="BQ30">
        <f t="shared" si="18"/>
        <v>1.1576190476190475</v>
      </c>
    </row>
    <row r="31" spans="1:69">
      <c r="A31" s="16">
        <v>28</v>
      </c>
      <c r="B31" s="26">
        <v>28</v>
      </c>
      <c r="C31" s="28"/>
      <c r="D31" s="19">
        <f>'28'!D3</f>
        <v>27</v>
      </c>
      <c r="E31" s="256">
        <f>'28'!D4</f>
        <v>0.9</v>
      </c>
      <c r="F31" s="256">
        <f>'28'!D2</f>
        <v>0.56999999999999995</v>
      </c>
      <c r="G31" s="19">
        <f>'28'!G8</f>
        <v>21058</v>
      </c>
      <c r="H31" s="19">
        <f>'28'!G7</f>
        <v>20961</v>
      </c>
      <c r="I31" s="19">
        <f>'28'!G8</f>
        <v>21058</v>
      </c>
      <c r="J31" s="19">
        <v>9</v>
      </c>
      <c r="K31" s="242">
        <f t="shared" si="3"/>
        <v>189522</v>
      </c>
      <c r="L31" s="238">
        <f t="shared" si="4"/>
        <v>104.24752475247524</v>
      </c>
      <c r="M31" s="19">
        <f>'28'!G15</f>
        <v>691</v>
      </c>
      <c r="N31" s="19">
        <v>53</v>
      </c>
      <c r="O31" s="234">
        <f t="shared" si="5"/>
        <v>36623</v>
      </c>
      <c r="P31" s="19">
        <f>'28'!G20</f>
        <v>126</v>
      </c>
      <c r="Q31" s="19">
        <v>108</v>
      </c>
      <c r="R31" s="239">
        <f t="shared" si="0"/>
        <v>13608</v>
      </c>
      <c r="S31" s="240">
        <f t="shared" si="1"/>
        <v>109.43199583116208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61</v>
      </c>
      <c r="X31" s="22">
        <f>'28'!G97</f>
        <v>21</v>
      </c>
      <c r="Y31" s="22">
        <f>'28'!G98</f>
        <v>24</v>
      </c>
      <c r="Z31" s="22">
        <f t="shared" si="7"/>
        <v>106</v>
      </c>
      <c r="AA31" s="19">
        <f>'28'!G133</f>
        <v>0</v>
      </c>
      <c r="AB31" s="19">
        <f>'28'!G134</f>
        <v>24</v>
      </c>
      <c r="AC31" s="19">
        <f>'28'!G135</f>
        <v>6</v>
      </c>
      <c r="AD31" s="19">
        <f>'28'!G136</f>
        <v>0</v>
      </c>
      <c r="AE31" s="19">
        <f t="shared" si="8"/>
        <v>30</v>
      </c>
      <c r="AF31" s="23">
        <f t="shared" si="2"/>
        <v>6109</v>
      </c>
      <c r="AG31" s="23">
        <f t="shared" si="9"/>
        <v>203.63333333333333</v>
      </c>
      <c r="AH31" s="19">
        <f>'28'!G137</f>
        <v>5.8000000000029104</v>
      </c>
      <c r="AI31" s="19">
        <f>'28'!G138</f>
        <v>2.0000000000436557E-2</v>
      </c>
      <c r="AJ31" s="19">
        <f>'28'!G139</f>
        <v>0</v>
      </c>
      <c r="AK31" s="19">
        <f t="shared" si="10"/>
        <v>5.8200000000033469</v>
      </c>
      <c r="AL31" s="19">
        <f>'28'!G140</f>
        <v>9.3899999999998727</v>
      </c>
      <c r="AM31" s="19">
        <f>'28'!G141</f>
        <v>0.32999999999992724</v>
      </c>
      <c r="AN31" s="19"/>
      <c r="AO31" s="19">
        <f t="shared" si="11"/>
        <v>9.7199999999997999</v>
      </c>
      <c r="AP31" s="258">
        <f>'28'!G124</f>
        <v>243</v>
      </c>
      <c r="AQ31" s="261">
        <f>'28'!G35</f>
        <v>0</v>
      </c>
      <c r="AR31" s="19">
        <f>'28'!G37</f>
        <v>1600</v>
      </c>
      <c r="AS31" s="19">
        <f>'28'!G38</f>
        <v>1549</v>
      </c>
      <c r="AT31" s="19">
        <f>'28'!G39</f>
        <v>3785</v>
      </c>
      <c r="AU31" s="19">
        <f>'28'!G40</f>
        <v>473</v>
      </c>
      <c r="AV31" s="19">
        <f>'28'!G41</f>
        <v>0</v>
      </c>
      <c r="AW31" s="19">
        <f>'28'!G42</f>
        <v>4964</v>
      </c>
      <c r="AX31" s="439">
        <f>'28'!G43</f>
        <v>2686</v>
      </c>
      <c r="AY31" s="23">
        <f>'28'!G44</f>
        <v>0</v>
      </c>
      <c r="AZ31" s="262">
        <f>'28'!G36</f>
        <v>674</v>
      </c>
      <c r="BA31" s="261">
        <f>'28'!G49</f>
        <v>2896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1134</v>
      </c>
      <c r="BG31" s="19">
        <f>'28'!G56</f>
        <v>11</v>
      </c>
      <c r="BH31" s="19">
        <f>'28'!G57</f>
        <v>0.32999999999992724</v>
      </c>
      <c r="BI31" s="262">
        <f>'28'!G50</f>
        <v>920</v>
      </c>
      <c r="BJ31" s="370">
        <f t="shared" si="12"/>
        <v>6109</v>
      </c>
      <c r="BK31" s="370">
        <f>'28'!G84</f>
        <v>779</v>
      </c>
      <c r="BL31" s="23">
        <f>SUM(AQ31,AV31,AW31,AX31,BA31,BF31,BG31,BH31)/I31%</f>
        <v>55.519659986703388</v>
      </c>
      <c r="BM31" s="23">
        <f t="shared" si="14"/>
        <v>17.97416658752018</v>
      </c>
      <c r="BN31" s="24">
        <f t="shared" si="15"/>
        <v>7.3562066672995946E-2</v>
      </c>
      <c r="BO31" s="25">
        <f t="shared" si="16"/>
        <v>239753</v>
      </c>
      <c r="BP31" s="213">
        <f t="shared" si="17"/>
        <v>9574.33</v>
      </c>
      <c r="BQ31">
        <f t="shared" si="18"/>
        <v>1.1398011904761904</v>
      </c>
    </row>
    <row r="32" spans="1:69">
      <c r="A32" s="16">
        <v>29</v>
      </c>
      <c r="B32" s="26">
        <v>29</v>
      </c>
      <c r="C32" s="28"/>
      <c r="D32" s="19">
        <f>'29'!D3</f>
        <v>27</v>
      </c>
      <c r="E32" s="256">
        <f>'29'!D4</f>
        <v>0.9</v>
      </c>
      <c r="F32" s="256">
        <f>'29'!D2</f>
        <v>0.7</v>
      </c>
      <c r="G32" s="19">
        <f>'29'!G8</f>
        <v>23083</v>
      </c>
      <c r="H32" s="19">
        <f>'29'!G7</f>
        <v>22978</v>
      </c>
      <c r="I32" s="19">
        <f>'29'!G8</f>
        <v>23083</v>
      </c>
      <c r="J32" s="19">
        <v>9</v>
      </c>
      <c r="K32" s="242">
        <f t="shared" si="3"/>
        <v>207747</v>
      </c>
      <c r="L32" s="238">
        <f t="shared" si="4"/>
        <v>114.27227722772277</v>
      </c>
      <c r="M32" s="19">
        <f>'29'!G15</f>
        <v>988</v>
      </c>
      <c r="N32" s="19">
        <v>53</v>
      </c>
      <c r="O32" s="234">
        <f t="shared" si="5"/>
        <v>52364</v>
      </c>
      <c r="P32" s="19">
        <f>'29'!G20</f>
        <v>204</v>
      </c>
      <c r="Q32" s="19">
        <v>108</v>
      </c>
      <c r="R32" s="239">
        <f t="shared" si="0"/>
        <v>22032</v>
      </c>
      <c r="S32" s="240">
        <f t="shared" si="1"/>
        <v>144.27157001414429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69</v>
      </c>
      <c r="X32" s="22">
        <f>'29'!G97</f>
        <v>20</v>
      </c>
      <c r="Y32" s="22">
        <f>'29'!G98</f>
        <v>25</v>
      </c>
      <c r="Z32" s="22">
        <f t="shared" si="7"/>
        <v>114</v>
      </c>
      <c r="AA32" s="19">
        <f>'29'!G133</f>
        <v>0</v>
      </c>
      <c r="AB32" s="19">
        <f>'29'!G134</f>
        <v>20</v>
      </c>
      <c r="AC32" s="19">
        <f>'29'!G135</f>
        <v>14</v>
      </c>
      <c r="AD32" s="19">
        <f>'29'!G136</f>
        <v>0</v>
      </c>
      <c r="AE32" s="19">
        <f t="shared" si="8"/>
        <v>34</v>
      </c>
      <c r="AF32" s="23">
        <f t="shared" si="2"/>
        <v>7255</v>
      </c>
      <c r="AG32" s="23">
        <f t="shared" si="9"/>
        <v>213.38235294117646</v>
      </c>
      <c r="AH32" s="19">
        <f>'29'!G137</f>
        <v>-2.0000000000436557E-2</v>
      </c>
      <c r="AI32" s="19">
        <f>'29'!G138</f>
        <v>10.770000000000437</v>
      </c>
      <c r="AJ32" s="19">
        <f>'29'!G139</f>
        <v>0.39999999999417923</v>
      </c>
      <c r="AK32" s="19">
        <f t="shared" si="10"/>
        <v>11.149999999994179</v>
      </c>
      <c r="AL32" s="19">
        <f>'29'!G140</f>
        <v>9.3099999999999454</v>
      </c>
      <c r="AM32" s="19">
        <f>'29'!G141</f>
        <v>0</v>
      </c>
      <c r="AN32" s="19"/>
      <c r="AO32" s="19">
        <f t="shared" si="11"/>
        <v>9.3099999999999454</v>
      </c>
      <c r="AP32" s="258">
        <f>'29'!G124</f>
        <v>265</v>
      </c>
      <c r="AQ32" s="261">
        <f>'29'!G35</f>
        <v>0</v>
      </c>
      <c r="AR32" s="19">
        <f>'29'!G37</f>
        <v>1607</v>
      </c>
      <c r="AS32" s="19">
        <f>'29'!G38</f>
        <v>1643</v>
      </c>
      <c r="AT32" s="19">
        <f>'29'!G39</f>
        <v>3817</v>
      </c>
      <c r="AU32" s="19">
        <f>'29'!G40</f>
        <v>395</v>
      </c>
      <c r="AV32" s="19">
        <f>'29'!G41</f>
        <v>0</v>
      </c>
      <c r="AW32" s="19">
        <f>'29'!G42</f>
        <v>3970</v>
      </c>
      <c r="AX32" s="19">
        <f>'29'!G43</f>
        <v>2798</v>
      </c>
      <c r="AY32" s="23">
        <f>'29'!G44</f>
        <v>0</v>
      </c>
      <c r="AZ32" s="262">
        <f>'29'!G36</f>
        <v>1126</v>
      </c>
      <c r="BA32" s="261">
        <f>'29'!G49</f>
        <v>3024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3274</v>
      </c>
      <c r="BG32" s="19">
        <f>'29'!G56</f>
        <v>11</v>
      </c>
      <c r="BH32" s="19">
        <f>'29'!G57</f>
        <v>-0.32999999999992724</v>
      </c>
      <c r="BI32" s="262">
        <f>'29'!G50</f>
        <v>980</v>
      </c>
      <c r="BJ32" s="370">
        <f t="shared" si="12"/>
        <v>7255</v>
      </c>
      <c r="BK32" s="370">
        <f>'29'!G84</f>
        <v>793</v>
      </c>
      <c r="BL32" s="23">
        <f t="shared" si="13"/>
        <v>56.650651994974652</v>
      </c>
      <c r="BM32" s="23">
        <f t="shared" si="14"/>
        <v>16.535978858900489</v>
      </c>
      <c r="BN32" s="24">
        <f t="shared" si="15"/>
        <v>7.1177923146904645E-2</v>
      </c>
      <c r="BO32" s="25">
        <f t="shared" si="16"/>
        <v>282143</v>
      </c>
      <c r="BP32" s="213">
        <f t="shared" si="17"/>
        <v>10845.67</v>
      </c>
      <c r="BQ32">
        <f t="shared" si="18"/>
        <v>1.1392510504201681</v>
      </c>
    </row>
    <row r="33" spans="1:69">
      <c r="A33" s="16">
        <v>30</v>
      </c>
      <c r="B33" s="27">
        <v>30</v>
      </c>
      <c r="C33" s="28"/>
      <c r="D33" s="19">
        <f>'30'!D3</f>
        <v>27</v>
      </c>
      <c r="E33" s="256">
        <f>'30'!D4</f>
        <v>0.9</v>
      </c>
      <c r="F33" s="256">
        <f>'30'!D2</f>
        <v>0.66</v>
      </c>
      <c r="G33" s="19">
        <f>'30'!G8</f>
        <v>22284</v>
      </c>
      <c r="H33" s="19">
        <f>'30'!G7</f>
        <v>22205</v>
      </c>
      <c r="I33" s="19">
        <f>'30'!G8</f>
        <v>22284</v>
      </c>
      <c r="J33" s="19">
        <v>9</v>
      </c>
      <c r="K33" s="242">
        <f t="shared" si="3"/>
        <v>200556</v>
      </c>
      <c r="L33" s="238">
        <f t="shared" si="4"/>
        <v>110.31683168316832</v>
      </c>
      <c r="M33" s="19">
        <f>'30'!G15</f>
        <v>921</v>
      </c>
      <c r="N33" s="19">
        <v>53</v>
      </c>
      <c r="O33" s="234">
        <f t="shared" si="5"/>
        <v>48813</v>
      </c>
      <c r="P33" s="19">
        <f>'30'!G20</f>
        <v>212</v>
      </c>
      <c r="Q33" s="19">
        <v>108</v>
      </c>
      <c r="R33" s="239">
        <f t="shared" si="0"/>
        <v>22896</v>
      </c>
      <c r="S33" s="240">
        <f t="shared" si="1"/>
        <v>159.01590159015902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73</v>
      </c>
      <c r="X33" s="22">
        <f>'30'!G97</f>
        <v>23</v>
      </c>
      <c r="Y33" s="22">
        <f>'30'!G98</f>
        <v>26</v>
      </c>
      <c r="Z33" s="22">
        <f t="shared" si="7"/>
        <v>122</v>
      </c>
      <c r="AA33" s="19">
        <f>'30'!G133</f>
        <v>0</v>
      </c>
      <c r="AB33" s="19">
        <f>'30'!G134</f>
        <v>5</v>
      </c>
      <c r="AC33" s="19">
        <f>'30'!G135</f>
        <v>24</v>
      </c>
      <c r="AD33" s="19">
        <f>'30'!G136</f>
        <v>0</v>
      </c>
      <c r="AE33" s="19">
        <f t="shared" si="8"/>
        <v>29</v>
      </c>
      <c r="AF33" s="23">
        <f t="shared" si="2"/>
        <v>6835</v>
      </c>
      <c r="AG33" s="23">
        <f t="shared" si="9"/>
        <v>235.68965517241378</v>
      </c>
      <c r="AH33" s="19">
        <f>'30'!G137</f>
        <v>0</v>
      </c>
      <c r="AI33" s="19">
        <f>'30'!G138</f>
        <v>9.5</v>
      </c>
      <c r="AJ33" s="19">
        <f>'30'!G139</f>
        <v>-0.39999999999417923</v>
      </c>
      <c r="AK33" s="19">
        <f t="shared" si="10"/>
        <v>9.1000000000058208</v>
      </c>
      <c r="AL33" s="19">
        <f>'30'!G140</f>
        <v>8.8400000000001455</v>
      </c>
      <c r="AM33" s="19">
        <f>'30'!G141</f>
        <v>0</v>
      </c>
      <c r="AN33" s="19"/>
      <c r="AO33" s="19">
        <f t="shared" si="11"/>
        <v>8.8400000000001455</v>
      </c>
      <c r="AP33" s="258">
        <f>'30'!G124</f>
        <v>162</v>
      </c>
      <c r="AQ33" s="261">
        <f>'30'!G35</f>
        <v>0</v>
      </c>
      <c r="AR33" s="19">
        <f>'30'!G37</f>
        <v>1632</v>
      </c>
      <c r="AS33" s="19">
        <f>'30'!G38</f>
        <v>1700</v>
      </c>
      <c r="AT33" s="19">
        <f>'30'!G39</f>
        <v>3848</v>
      </c>
      <c r="AU33" s="19">
        <f>'30'!G40</f>
        <v>648</v>
      </c>
      <c r="AV33" s="19">
        <f>'30'!G41</f>
        <v>0</v>
      </c>
      <c r="AW33" s="19">
        <f>'30'!G42</f>
        <v>1096</v>
      </c>
      <c r="AX33" s="19">
        <f>'30'!G43</f>
        <v>2640</v>
      </c>
      <c r="AY33" s="23">
        <f>'30'!G44</f>
        <v>0</v>
      </c>
      <c r="AZ33" s="262">
        <f>'30'!G36</f>
        <v>857</v>
      </c>
      <c r="BA33" s="261">
        <f>'30'!G49</f>
        <v>3004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5727</v>
      </c>
      <c r="BG33" s="19">
        <f>'30'!G56</f>
        <v>12</v>
      </c>
      <c r="BH33" s="19">
        <f>'30'!G57</f>
        <v>0</v>
      </c>
      <c r="BI33" s="262">
        <f>'30'!G50</f>
        <v>1029</v>
      </c>
      <c r="BJ33" s="370">
        <f t="shared" ref="BJ33" si="19">SUM(AV33,AW33,BF33,BG33)</f>
        <v>6835</v>
      </c>
      <c r="BK33" s="370">
        <f>'30'!G84</f>
        <v>802</v>
      </c>
      <c r="BL33" s="23">
        <f t="shared" si="13"/>
        <v>55.999820499012742</v>
      </c>
      <c r="BM33" s="23">
        <f t="shared" si="14"/>
        <v>17.267994973972357</v>
      </c>
      <c r="BN33" s="24">
        <f t="shared" si="15"/>
        <v>7.6284778316283039E-2</v>
      </c>
      <c r="BO33" s="25">
        <f t="shared" si="16"/>
        <v>272265</v>
      </c>
      <c r="BP33" s="213">
        <f t="shared" si="17"/>
        <v>10277</v>
      </c>
      <c r="BQ33">
        <f t="shared" si="18"/>
        <v>1.26564039408867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27</v>
      </c>
      <c r="G34" s="19">
        <f>'31'!G8</f>
        <v>23292</v>
      </c>
      <c r="H34" s="19">
        <f>'31'!G7</f>
        <v>23200</v>
      </c>
      <c r="I34" s="19">
        <f>'31'!G8</f>
        <v>23292</v>
      </c>
      <c r="J34" s="19">
        <v>9</v>
      </c>
      <c r="K34" s="242">
        <f t="shared" si="3"/>
        <v>209628</v>
      </c>
      <c r="L34" s="238">
        <f t="shared" ref="L34" si="20">I34/202</f>
        <v>115.3069306930693</v>
      </c>
      <c r="M34" s="19">
        <f>'31'!G15</f>
        <v>928</v>
      </c>
      <c r="N34" s="19">
        <v>53</v>
      </c>
      <c r="O34" s="234">
        <f t="shared" ref="O34" si="21">M34*N34</f>
        <v>49184</v>
      </c>
      <c r="P34" s="19">
        <f>'31'!G20</f>
        <v>223</v>
      </c>
      <c r="Q34" s="19">
        <v>108</v>
      </c>
      <c r="R34" s="239">
        <f t="shared" ref="R34" si="22">P34*Q34</f>
        <v>24084</v>
      </c>
      <c r="S34" s="240">
        <f t="shared" ref="S34" si="23">P34/(F34*202/100)</f>
        <v>4.0887422075540885</v>
      </c>
      <c r="T34" s="19">
        <f>'30'!G25</f>
        <v>0</v>
      </c>
      <c r="U34" s="19">
        <v>70</v>
      </c>
      <c r="V34" s="241">
        <f t="shared" ref="V34" si="24">T34*U34</f>
        <v>0</v>
      </c>
      <c r="W34" s="22">
        <f>'30'!G97</f>
        <v>23</v>
      </c>
      <c r="X34" s="22">
        <f>'30'!G98</f>
        <v>26</v>
      </c>
      <c r="Y34" s="22">
        <f>'30'!G99</f>
        <v>23</v>
      </c>
      <c r="Z34" s="22">
        <f t="shared" ref="Z34" si="25">W34+X34+Y34</f>
        <v>72</v>
      </c>
      <c r="AA34" s="19">
        <f>'30'!G134</f>
        <v>5</v>
      </c>
      <c r="AB34" s="19">
        <f>'30'!G135</f>
        <v>24</v>
      </c>
      <c r="AC34" s="19">
        <f>'30'!G136</f>
        <v>0</v>
      </c>
      <c r="AD34" s="19">
        <f>'30'!G137</f>
        <v>0</v>
      </c>
      <c r="AE34" s="19">
        <f t="shared" ref="AE34" si="26">AA34+AB34+AC34+AD34</f>
        <v>29</v>
      </c>
      <c r="AF34" s="23">
        <f t="shared" ref="AF34" si="27">AV34+AW34+BF34+BG34</f>
        <v>7247</v>
      </c>
      <c r="AG34" s="23">
        <f t="shared" ref="AG34" si="28">AF34/AE34</f>
        <v>249.89655172413794</v>
      </c>
      <c r="AH34" s="19">
        <f>'30'!G138</f>
        <v>9.5</v>
      </c>
      <c r="AI34" s="19">
        <f>'30'!G139</f>
        <v>-0.39999999999417923</v>
      </c>
      <c r="AJ34" s="19">
        <f>'30'!G140</f>
        <v>8.8400000000001455</v>
      </c>
      <c r="AK34" s="19">
        <f t="shared" ref="AK34" si="29">AH34+AI34+AJ34</f>
        <v>17.940000000005966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258">
        <f>'30'!G125</f>
        <v>0.39999999999417923</v>
      </c>
      <c r="AQ34" s="261">
        <f>'31'!G35</f>
        <v>0</v>
      </c>
      <c r="AR34" s="19">
        <f>'31'!G37</f>
        <v>1656</v>
      </c>
      <c r="AS34" s="19">
        <f>'31'!G38</f>
        <v>1745</v>
      </c>
      <c r="AT34" s="19">
        <f>'31'!G39</f>
        <v>3807</v>
      </c>
      <c r="AU34" s="19">
        <f>'31'!G40</f>
        <v>397</v>
      </c>
      <c r="AV34" s="19">
        <f>'31'!G41</f>
        <v>0</v>
      </c>
      <c r="AW34" s="19">
        <f>'31'!G42</f>
        <v>2943</v>
      </c>
      <c r="AX34" s="19">
        <f>'31'!G43</f>
        <v>2824</v>
      </c>
      <c r="AY34" s="23">
        <f>'31'!G44</f>
        <v>0</v>
      </c>
      <c r="AZ34" s="262">
        <f>'31'!G36</f>
        <v>946</v>
      </c>
      <c r="BA34" s="261">
        <f>'31'!G49</f>
        <v>3072</v>
      </c>
      <c r="BB34" s="19">
        <f>'31'!G51</f>
        <v>0</v>
      </c>
      <c r="BC34" s="19">
        <f>'31'!G52</f>
        <v>0</v>
      </c>
      <c r="BD34" s="19">
        <f>'31'!G53</f>
        <v>0</v>
      </c>
      <c r="BE34" s="19">
        <f>'31'!G54</f>
        <v>0</v>
      </c>
      <c r="BF34" s="19">
        <f>'31'!G55</f>
        <v>4293</v>
      </c>
      <c r="BG34" s="19">
        <f>'31'!G56</f>
        <v>11</v>
      </c>
      <c r="BH34" s="19">
        <f>'31'!G57</f>
        <v>0</v>
      </c>
      <c r="BI34" s="262">
        <f>'31'!G50</f>
        <v>1177</v>
      </c>
      <c r="BJ34" s="370">
        <f t="shared" ref="BJ34" si="31">SUM(AV34,AW34,BF34,BG34)</f>
        <v>7247</v>
      </c>
      <c r="BK34" s="370">
        <f>'31'!G84</f>
        <v>820</v>
      </c>
      <c r="BL34" s="23">
        <f t="shared" ref="BL34" si="32">SUM(AQ34,AV34,AW34,AX34,BA34,BF34,BG34,BH34)/I34%</f>
        <v>56.427099433281818</v>
      </c>
      <c r="BM34" s="23">
        <f t="shared" ref="BM34" si="33">SUM(AT34,BD34)/I34%</f>
        <v>16.344667697063372</v>
      </c>
      <c r="BN34" s="24">
        <f t="shared" ref="BN34" si="34">(AS34+BC34)/I34</f>
        <v>7.4918426927700496E-2</v>
      </c>
      <c r="BO34" s="25">
        <f t="shared" ref="BO34" si="35">K34+O34+R34+V34</f>
        <v>282896</v>
      </c>
      <c r="BP34" s="213">
        <f t="shared" ref="BP34" si="36">SUM(AV34,AW34,AX34,BF34,BG34,BH34,BK34)</f>
        <v>10891</v>
      </c>
      <c r="BQ34">
        <f t="shared" ref="BQ34" si="37">BP34/(AE34*280)</f>
        <v>1.341256157635468</v>
      </c>
    </row>
    <row r="35" spans="1:69">
      <c r="A35" s="16" t="s">
        <v>200</v>
      </c>
      <c r="B35" s="30"/>
      <c r="C35" s="31"/>
      <c r="D35" s="32">
        <f>AVERAGE(D4:D34)</f>
        <v>29.032258064516128</v>
      </c>
      <c r="E35" s="33"/>
      <c r="F35" s="384">
        <f>AVERAGE(F4:F34)</f>
        <v>1.4672322580645161</v>
      </c>
      <c r="G35" s="34">
        <f>SUM(G4:G34)</f>
        <v>688875</v>
      </c>
      <c r="H35" s="34">
        <f>SUM(H4:H34)</f>
        <v>685720</v>
      </c>
      <c r="I35" s="34">
        <f t="shared" ref="I35:BO35" si="38">SUM(I4:I34)</f>
        <v>688875</v>
      </c>
      <c r="J35" s="19">
        <v>9</v>
      </c>
      <c r="K35" s="34">
        <f t="shared" si="38"/>
        <v>6199875</v>
      </c>
      <c r="L35" s="34">
        <f t="shared" si="38"/>
        <v>3410.2722772277225</v>
      </c>
      <c r="M35" s="34">
        <f t="shared" si="38"/>
        <v>25871</v>
      </c>
      <c r="N35" s="34">
        <f t="shared" si="38"/>
        <v>1643</v>
      </c>
      <c r="O35" s="34">
        <f t="shared" si="38"/>
        <v>1371163</v>
      </c>
      <c r="P35" s="34">
        <f t="shared" si="38"/>
        <v>5945</v>
      </c>
      <c r="Q35" s="34">
        <f t="shared" si="38"/>
        <v>3348</v>
      </c>
      <c r="R35" s="34">
        <f t="shared" si="38"/>
        <v>642060</v>
      </c>
      <c r="S35" s="34">
        <f t="shared" si="38"/>
        <v>5971.6592010769818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2480</v>
      </c>
      <c r="X35" s="34">
        <f t="shared" si="38"/>
        <v>688</v>
      </c>
      <c r="Y35" s="34">
        <f t="shared" si="38"/>
        <v>783</v>
      </c>
      <c r="Z35" s="34">
        <f t="shared" si="38"/>
        <v>3951</v>
      </c>
      <c r="AA35" s="34">
        <f t="shared" si="38"/>
        <v>171</v>
      </c>
      <c r="AB35" s="34">
        <f t="shared" si="38"/>
        <v>283</v>
      </c>
      <c r="AC35" s="34">
        <f t="shared" si="38"/>
        <v>508</v>
      </c>
      <c r="AD35" s="34">
        <f t="shared" si="38"/>
        <v>0</v>
      </c>
      <c r="AE35" s="34">
        <f t="shared" si="38"/>
        <v>962</v>
      </c>
      <c r="AF35" s="34">
        <f t="shared" si="38"/>
        <v>210058.11000000002</v>
      </c>
      <c r="AG35" s="34">
        <f t="shared" si="38"/>
        <v>6800.5588330207029</v>
      </c>
      <c r="AH35" s="34">
        <f t="shared" si="38"/>
        <v>214.18999999999505</v>
      </c>
      <c r="AI35" s="34">
        <f t="shared" si="38"/>
        <v>27.500000000007276</v>
      </c>
      <c r="AJ35" s="34">
        <f t="shared" si="38"/>
        <v>12.220000000004802</v>
      </c>
      <c r="AK35" s="34">
        <f t="shared" si="38"/>
        <v>253.91000000000713</v>
      </c>
      <c r="AL35" s="34">
        <f t="shared" si="38"/>
        <v>164.55999999999995</v>
      </c>
      <c r="AM35" s="34">
        <f t="shared" si="38"/>
        <v>123.34000000000015</v>
      </c>
      <c r="AN35" s="34">
        <f t="shared" si="38"/>
        <v>0</v>
      </c>
      <c r="AO35" s="34">
        <f t="shared" si="38"/>
        <v>287.90000000000009</v>
      </c>
      <c r="AP35" s="34">
        <f t="shared" si="38"/>
        <v>7937.3999999999942</v>
      </c>
      <c r="AQ35" s="34">
        <f t="shared" si="38"/>
        <v>29883</v>
      </c>
      <c r="AR35" s="34">
        <f t="shared" si="38"/>
        <v>49603</v>
      </c>
      <c r="AS35" s="34">
        <f t="shared" si="38"/>
        <v>50100</v>
      </c>
      <c r="AT35" s="34">
        <f t="shared" si="38"/>
        <v>115654</v>
      </c>
      <c r="AU35" s="34">
        <f t="shared" si="38"/>
        <v>13060</v>
      </c>
      <c r="AV35" s="34">
        <f t="shared" si="38"/>
        <v>37198</v>
      </c>
      <c r="AW35" s="34">
        <f t="shared" si="38"/>
        <v>54493.11</v>
      </c>
      <c r="AX35" s="34">
        <f t="shared" si="38"/>
        <v>84009</v>
      </c>
      <c r="AY35" s="34">
        <f t="shared" si="38"/>
        <v>0</v>
      </c>
      <c r="AZ35" s="34">
        <f t="shared" si="38"/>
        <v>26337</v>
      </c>
      <c r="BA35" s="34">
        <f t="shared" si="38"/>
        <v>63356</v>
      </c>
      <c r="BB35" s="34">
        <f t="shared" si="38"/>
        <v>0</v>
      </c>
      <c r="BC35" s="34">
        <f t="shared" si="38"/>
        <v>0</v>
      </c>
      <c r="BD35" s="34">
        <f t="shared" si="38"/>
        <v>0</v>
      </c>
      <c r="BE35" s="34">
        <f t="shared" si="38"/>
        <v>-0.38999999999941792</v>
      </c>
      <c r="BF35" s="34">
        <f t="shared" si="38"/>
        <v>118038</v>
      </c>
      <c r="BG35" s="34">
        <f t="shared" si="38"/>
        <v>329</v>
      </c>
      <c r="BH35" s="34">
        <f t="shared" si="38"/>
        <v>0</v>
      </c>
      <c r="BI35" s="34">
        <f t="shared" si="38"/>
        <v>35262</v>
      </c>
      <c r="BJ35" s="34">
        <f t="shared" si="38"/>
        <v>210058.11000000002</v>
      </c>
      <c r="BK35" s="34">
        <f t="shared" si="38"/>
        <v>24263</v>
      </c>
      <c r="BL35" s="34">
        <f t="shared" si="38"/>
        <v>1742.5048953200237</v>
      </c>
      <c r="BM35" s="34">
        <f t="shared" si="38"/>
        <v>521.66539096830445</v>
      </c>
      <c r="BN35" s="34">
        <f t="shared" si="38"/>
        <v>2.255648330766765</v>
      </c>
      <c r="BO35" s="34">
        <f t="shared" si="38"/>
        <v>8213097.9999999991</v>
      </c>
      <c r="BP35" s="213">
        <f t="shared" si="17"/>
        <v>318330.11</v>
      </c>
      <c r="BQ35">
        <f t="shared" si="18"/>
        <v>1.1818017151767151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1</v>
      </c>
      <c r="E36" s="35">
        <f t="shared" si="39"/>
        <v>8.0000000000000071E-2</v>
      </c>
      <c r="F36" s="35">
        <f t="shared" si="39"/>
        <v>0.22020000000000001</v>
      </c>
      <c r="G36" s="35"/>
      <c r="H36" s="35"/>
      <c r="I36" s="35">
        <f t="shared" ref="I36:AO36" si="40">I18-I17</f>
        <v>374.05999999996857</v>
      </c>
      <c r="J36" s="35">
        <f t="shared" si="40"/>
        <v>0</v>
      </c>
      <c r="K36" s="235">
        <f t="shared" si="40"/>
        <v>3366.5399999997171</v>
      </c>
      <c r="L36" s="235">
        <f t="shared" si="40"/>
        <v>1.8517821782176753</v>
      </c>
      <c r="M36" s="35">
        <f t="shared" si="40"/>
        <v>150.00299999979325</v>
      </c>
      <c r="N36" s="35">
        <f t="shared" si="40"/>
        <v>0</v>
      </c>
      <c r="O36" s="235">
        <f t="shared" si="40"/>
        <v>7950.1589999890421</v>
      </c>
      <c r="P36" s="35">
        <f t="shared" si="40"/>
        <v>-21</v>
      </c>
      <c r="Q36" s="35">
        <f t="shared" si="40"/>
        <v>0</v>
      </c>
      <c r="R36" s="235">
        <f t="shared" si="40"/>
        <v>-2268</v>
      </c>
      <c r="S36" s="235">
        <f t="shared" si="40"/>
        <v>-212.21641517618372</v>
      </c>
      <c r="T36" s="35">
        <f t="shared" si="40"/>
        <v>0</v>
      </c>
      <c r="U36" s="35">
        <f t="shared" si="40"/>
        <v>0</v>
      </c>
      <c r="V36" s="235">
        <f t="shared" si="40"/>
        <v>0</v>
      </c>
      <c r="W36" s="35">
        <f t="shared" si="40"/>
        <v>4</v>
      </c>
      <c r="X36" s="35">
        <f t="shared" si="40"/>
        <v>-3</v>
      </c>
      <c r="Y36" s="35">
        <f t="shared" si="40"/>
        <v>4</v>
      </c>
      <c r="Z36" s="35">
        <f t="shared" si="40"/>
        <v>5</v>
      </c>
      <c r="AA36" s="35">
        <f t="shared" si="40"/>
        <v>6.5499999999956344</v>
      </c>
      <c r="AB36" s="35">
        <f t="shared" si="40"/>
        <v>-0.34000000000003183</v>
      </c>
      <c r="AC36" s="35">
        <f t="shared" si="40"/>
        <v>-7.4599999999991269</v>
      </c>
      <c r="AD36" s="35">
        <f t="shared" si="40"/>
        <v>0</v>
      </c>
      <c r="AE36" s="35">
        <f t="shared" si="40"/>
        <v>-1.2500000000035243</v>
      </c>
      <c r="AF36" s="35">
        <f t="shared" si="40"/>
        <v>261.63000000004831</v>
      </c>
      <c r="AG36" s="35">
        <f t="shared" si="40"/>
        <v>16.48114366854324</v>
      </c>
      <c r="AH36" s="35">
        <f t="shared" si="40"/>
        <v>4.1899999999986903</v>
      </c>
      <c r="AI36" s="35">
        <f t="shared" si="40"/>
        <v>0</v>
      </c>
      <c r="AJ36" s="35">
        <f t="shared" si="40"/>
        <v>-2.3100000000122236</v>
      </c>
      <c r="AK36" s="35">
        <f t="shared" si="40"/>
        <v>1.8799999999864667</v>
      </c>
      <c r="AL36" s="35">
        <f t="shared" si="40"/>
        <v>0</v>
      </c>
      <c r="AM36" s="35">
        <f t="shared" si="40"/>
        <v>0.23999999999978172</v>
      </c>
      <c r="AN36" s="35">
        <f t="shared" si="40"/>
        <v>0</v>
      </c>
      <c r="AO36" s="35">
        <f t="shared" si="40"/>
        <v>0.23999999999978172</v>
      </c>
      <c r="AP36" s="35"/>
      <c r="AQ36" s="35">
        <f t="shared" ref="AQ36:AX36" si="41">AQ18-AQ17</f>
        <v>-0.30000000004656613</v>
      </c>
      <c r="AR36" s="35">
        <f t="shared" si="41"/>
        <v>-53.970000000001164</v>
      </c>
      <c r="AS36" s="35">
        <f t="shared" si="41"/>
        <v>59.649999999994179</v>
      </c>
      <c r="AT36" s="35">
        <f t="shared" si="41"/>
        <v>16.53000000002794</v>
      </c>
      <c r="AU36" s="35">
        <f t="shared" si="41"/>
        <v>103.59000000000015</v>
      </c>
      <c r="AV36" s="35">
        <f t="shared" si="41"/>
        <v>1438.4400000000023</v>
      </c>
      <c r="AW36" s="35">
        <f t="shared" si="41"/>
        <v>96.419999999998254</v>
      </c>
      <c r="AX36" s="35">
        <f t="shared" si="41"/>
        <v>134</v>
      </c>
      <c r="AY36" s="35"/>
      <c r="AZ36" s="35"/>
      <c r="BA36" s="35">
        <f t="shared" ref="BA36:BH36" si="42">BA18-BA17</f>
        <v>69.350000000034925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-1274.2799999999988</v>
      </c>
      <c r="BG36" s="35">
        <f t="shared" si="42"/>
        <v>1.0500000000465661</v>
      </c>
      <c r="BH36" s="35">
        <f t="shared" si="42"/>
        <v>0</v>
      </c>
      <c r="BI36" s="35"/>
      <c r="BJ36" s="35"/>
      <c r="BK36" s="35"/>
      <c r="BL36" s="35">
        <f>BL18-BL17</f>
        <v>1.1899228979897813</v>
      </c>
      <c r="BM36" s="35">
        <f>BM18-BM17</f>
        <v>-0.20113756585572062</v>
      </c>
      <c r="BN36" s="35"/>
      <c r="BO36" s="35">
        <f>BO18-BO17</f>
        <v>9048.6989999887883</v>
      </c>
      <c r="BP36" s="35">
        <f>BP18-BP17</f>
        <v>373.63000000004831</v>
      </c>
    </row>
    <row r="37" spans="1:69">
      <c r="F37" s="213">
        <f>AVERAGE(F4:F35)</f>
        <v>1.4672322580645161</v>
      </c>
      <c r="G37" s="213"/>
      <c r="H37" s="213"/>
      <c r="I37" s="213">
        <f>AVERAGE(I4:I35)</f>
        <v>43054.6875</v>
      </c>
    </row>
    <row r="38" spans="1:69">
      <c r="B38" s="36" t="s">
        <v>67</v>
      </c>
      <c r="F38" s="383">
        <f>AVERAGE(F4:F35)</f>
        <v>1.4672322580645161</v>
      </c>
      <c r="G38" s="383"/>
      <c r="H38" s="383"/>
    </row>
    <row r="41" spans="1:69">
      <c r="BJ41">
        <f>(BJ31+BK31)/400</f>
        <v>17.22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abSelected="1" topLeftCell="A18" workbookViewId="0">
      <selection activeCell="G35" sqref="G35"/>
    </sheetView>
  </sheetViews>
  <sheetFormatPr defaultRowHeight="15.75"/>
  <cols>
    <col min="2" max="2" width="8.5546875" style="1157" customWidth="1"/>
    <col min="3" max="3" width="7.44140625" style="1157" customWidth="1"/>
    <col min="4" max="4" width="7.5546875" style="1157" customWidth="1"/>
    <col min="5" max="5" width="7.88671875" style="1157" customWidth="1"/>
    <col min="6" max="6" width="10.6640625" style="1157" customWidth="1"/>
    <col min="8" max="8" width="7.5546875" customWidth="1"/>
  </cols>
  <sheetData>
    <row r="1" spans="1:11" ht="47.25">
      <c r="A1" s="1025"/>
      <c r="B1" s="1230" t="s">
        <v>364</v>
      </c>
      <c r="C1" s="1230" t="s">
        <v>302</v>
      </c>
      <c r="D1" s="1230" t="s">
        <v>303</v>
      </c>
      <c r="E1" s="1230" t="s">
        <v>305</v>
      </c>
      <c r="F1" s="1230" t="s">
        <v>304</v>
      </c>
      <c r="G1" s="1267" t="s">
        <v>307</v>
      </c>
      <c r="H1" s="1489" t="s">
        <v>347</v>
      </c>
    </row>
    <row r="2" spans="1:11">
      <c r="A2" s="1025">
        <v>1</v>
      </c>
      <c r="B2" s="1231">
        <f>C2/202%</f>
        <v>32.67326732673267</v>
      </c>
      <c r="C2" s="1231">
        <v>66</v>
      </c>
      <c r="D2" s="1231">
        <v>27</v>
      </c>
      <c r="E2" s="1231">
        <f>SUM(C2:D2)/202%</f>
        <v>46.039603960396036</v>
      </c>
      <c r="F2" s="1266">
        <v>467</v>
      </c>
      <c r="G2" s="1266">
        <f>C2+D2</f>
        <v>93</v>
      </c>
      <c r="H2" s="1490">
        <f>C2/202%</f>
        <v>32.67326732673267</v>
      </c>
      <c r="K2">
        <f>10/202</f>
        <v>4.9504950495049507E-2</v>
      </c>
    </row>
    <row r="3" spans="1:11">
      <c r="A3" s="1025">
        <v>2</v>
      </c>
      <c r="B3" s="1231">
        <f t="shared" ref="B3:B32" si="0">C3/202%</f>
        <v>58.415841584158414</v>
      </c>
      <c r="C3" s="1231">
        <v>118</v>
      </c>
      <c r="D3" s="1231">
        <v>26</v>
      </c>
      <c r="E3" s="1231">
        <f t="shared" ref="E3:E5" si="1">SUM(C3:D3)/202%</f>
        <v>71.287128712871294</v>
      </c>
      <c r="F3" s="1266">
        <v>417</v>
      </c>
      <c r="G3" s="1266">
        <f t="shared" ref="G3:G32" si="2">C3+D3</f>
        <v>144</v>
      </c>
      <c r="H3" s="1490">
        <f t="shared" ref="H3:H32" si="3">C3/202%</f>
        <v>58.415841584158414</v>
      </c>
    </row>
    <row r="4" spans="1:11">
      <c r="A4" s="1025">
        <v>3</v>
      </c>
      <c r="B4" s="1231">
        <f t="shared" si="0"/>
        <v>82.178217821782184</v>
      </c>
      <c r="C4" s="1231">
        <v>166</v>
      </c>
      <c r="D4" s="1231">
        <v>21</v>
      </c>
      <c r="E4" s="1231">
        <f t="shared" si="1"/>
        <v>92.574257425742573</v>
      </c>
      <c r="F4" s="1266">
        <v>483</v>
      </c>
      <c r="G4" s="1266">
        <f t="shared" si="2"/>
        <v>187</v>
      </c>
      <c r="H4" s="1490">
        <f t="shared" si="3"/>
        <v>82.178217821782184</v>
      </c>
    </row>
    <row r="5" spans="1:11">
      <c r="A5" s="1025">
        <v>4</v>
      </c>
      <c r="B5" s="1231">
        <f t="shared" si="0"/>
        <v>33.663366336633665</v>
      </c>
      <c r="C5" s="1231">
        <v>68</v>
      </c>
      <c r="D5" s="1231">
        <v>24</v>
      </c>
      <c r="E5" s="1231">
        <f t="shared" si="1"/>
        <v>45.544554455445542</v>
      </c>
      <c r="F5" s="1266">
        <v>378</v>
      </c>
      <c r="G5" s="1266">
        <f t="shared" si="2"/>
        <v>92</v>
      </c>
      <c r="H5" s="1490">
        <f t="shared" si="3"/>
        <v>33.663366336633665</v>
      </c>
    </row>
    <row r="6" spans="1:11">
      <c r="A6" s="1025">
        <v>5</v>
      </c>
      <c r="B6" s="1231">
        <f t="shared" si="0"/>
        <v>41.584158415841586</v>
      </c>
      <c r="C6" s="1231">
        <v>84</v>
      </c>
      <c r="D6" s="1231">
        <v>27</v>
      </c>
      <c r="E6" s="1231">
        <f t="shared" ref="E6:E32" si="4">SUM(C6:D6)/202%</f>
        <v>54.950495049504951</v>
      </c>
      <c r="F6" s="1266">
        <v>252</v>
      </c>
      <c r="G6" s="1266">
        <f t="shared" si="2"/>
        <v>111</v>
      </c>
      <c r="H6" s="1490">
        <f t="shared" si="3"/>
        <v>41.584158415841586</v>
      </c>
    </row>
    <row r="7" spans="1:11">
      <c r="A7" s="1025">
        <v>6</v>
      </c>
      <c r="B7" s="1231">
        <f t="shared" si="0"/>
        <v>46.534653465346537</v>
      </c>
      <c r="C7" s="1231">
        <v>94</v>
      </c>
      <c r="D7" s="1231">
        <v>28</v>
      </c>
      <c r="E7" s="1231">
        <f t="shared" si="4"/>
        <v>60.396039603960396</v>
      </c>
      <c r="F7" s="1266">
        <v>292</v>
      </c>
      <c r="G7" s="1266">
        <f t="shared" si="2"/>
        <v>122</v>
      </c>
      <c r="H7" s="1490">
        <f t="shared" si="3"/>
        <v>46.534653465346537</v>
      </c>
    </row>
    <row r="8" spans="1:11">
      <c r="A8" s="1025">
        <v>7</v>
      </c>
      <c r="B8" s="1231">
        <f t="shared" si="0"/>
        <v>53.465346534653463</v>
      </c>
      <c r="C8" s="1231">
        <v>108</v>
      </c>
      <c r="D8" s="1231">
        <v>28.27</v>
      </c>
      <c r="E8" s="1231">
        <f t="shared" si="4"/>
        <v>67.460396039603964</v>
      </c>
      <c r="F8" s="1266">
        <v>402</v>
      </c>
      <c r="G8" s="1266">
        <f t="shared" si="2"/>
        <v>136.27000000000001</v>
      </c>
      <c r="H8" s="1490">
        <f t="shared" si="3"/>
        <v>53.465346534653463</v>
      </c>
    </row>
    <row r="9" spans="1:11">
      <c r="A9" s="1025">
        <v>8</v>
      </c>
      <c r="B9" s="1231">
        <f t="shared" si="0"/>
        <v>49.504950495049506</v>
      </c>
      <c r="C9" s="1231">
        <v>100</v>
      </c>
      <c r="D9" s="1231">
        <v>27</v>
      </c>
      <c r="E9" s="1231">
        <f t="shared" si="4"/>
        <v>62.871287128712872</v>
      </c>
      <c r="F9" s="1266">
        <v>318</v>
      </c>
      <c r="G9" s="1266">
        <f t="shared" si="2"/>
        <v>127</v>
      </c>
      <c r="H9" s="1490">
        <f t="shared" si="3"/>
        <v>49.504950495049506</v>
      </c>
    </row>
    <row r="10" spans="1:11">
      <c r="A10" s="1025">
        <v>9</v>
      </c>
      <c r="B10" s="1231">
        <f t="shared" si="0"/>
        <v>64.356435643564353</v>
      </c>
      <c r="C10" s="1231">
        <v>130</v>
      </c>
      <c r="D10" s="1231">
        <v>21</v>
      </c>
      <c r="E10" s="1231">
        <f t="shared" si="4"/>
        <v>74.752475247524757</v>
      </c>
      <c r="F10" s="1266">
        <v>464</v>
      </c>
      <c r="G10" s="1266">
        <f t="shared" si="2"/>
        <v>151</v>
      </c>
      <c r="H10" s="1490">
        <f t="shared" si="3"/>
        <v>64.356435643564353</v>
      </c>
    </row>
    <row r="11" spans="1:11">
      <c r="A11" s="1025">
        <v>10</v>
      </c>
      <c r="B11" s="1231">
        <f t="shared" si="0"/>
        <v>82.178217821782184</v>
      </c>
      <c r="C11" s="1231">
        <v>166</v>
      </c>
      <c r="D11" s="1231">
        <v>22</v>
      </c>
      <c r="E11" s="1231">
        <f t="shared" si="4"/>
        <v>93.069306930693074</v>
      </c>
      <c r="F11" s="1266">
        <v>520</v>
      </c>
      <c r="G11" s="1266">
        <f t="shared" si="2"/>
        <v>188</v>
      </c>
      <c r="H11" s="1490">
        <f t="shared" si="3"/>
        <v>82.178217821782184</v>
      </c>
    </row>
    <row r="12" spans="1:11">
      <c r="A12" s="1025">
        <v>11</v>
      </c>
      <c r="B12" s="1231">
        <f t="shared" si="0"/>
        <v>60.89108910891089</v>
      </c>
      <c r="C12" s="1231">
        <v>123</v>
      </c>
      <c r="D12" s="1231">
        <v>27</v>
      </c>
      <c r="E12" s="1231">
        <f t="shared" si="4"/>
        <v>74.257425742574256</v>
      </c>
      <c r="F12" s="1266">
        <v>668</v>
      </c>
      <c r="G12" s="1266">
        <f t="shared" si="2"/>
        <v>150</v>
      </c>
      <c r="H12" s="1490">
        <f t="shared" si="3"/>
        <v>60.89108910891089</v>
      </c>
    </row>
    <row r="13" spans="1:11">
      <c r="A13" s="1025">
        <v>12</v>
      </c>
      <c r="B13" s="1231">
        <f t="shared" si="0"/>
        <v>48.019801980198018</v>
      </c>
      <c r="C13" s="1231">
        <v>97</v>
      </c>
      <c r="D13" s="1231">
        <v>29</v>
      </c>
      <c r="E13" s="1231">
        <f t="shared" si="4"/>
        <v>62.376237623762378</v>
      </c>
      <c r="F13" s="1231">
        <v>391</v>
      </c>
      <c r="G13" s="1266">
        <f t="shared" si="2"/>
        <v>126</v>
      </c>
      <c r="H13" s="1490">
        <f t="shared" si="3"/>
        <v>48.019801980198018</v>
      </c>
    </row>
    <row r="14" spans="1:11">
      <c r="A14" s="1025">
        <v>13</v>
      </c>
      <c r="B14" s="1231">
        <f t="shared" si="0"/>
        <v>52.475247524752476</v>
      </c>
      <c r="C14" s="1231">
        <v>106</v>
      </c>
      <c r="D14" s="1231">
        <v>28</v>
      </c>
      <c r="E14" s="1231">
        <f t="shared" si="4"/>
        <v>66.336633663366342</v>
      </c>
      <c r="F14" s="1231">
        <v>583</v>
      </c>
      <c r="G14" s="1266">
        <f t="shared" si="2"/>
        <v>134</v>
      </c>
      <c r="H14" s="1490">
        <f t="shared" si="3"/>
        <v>52.475247524752476</v>
      </c>
    </row>
    <row r="15" spans="1:11">
      <c r="A15" s="1025">
        <v>14</v>
      </c>
      <c r="B15" s="1231">
        <f t="shared" si="0"/>
        <v>61.881188118811878</v>
      </c>
      <c r="C15" s="1231">
        <v>125</v>
      </c>
      <c r="D15" s="1231">
        <v>28</v>
      </c>
      <c r="E15" s="1231">
        <f t="shared" si="4"/>
        <v>75.742574257425744</v>
      </c>
      <c r="F15" s="1231">
        <v>775</v>
      </c>
      <c r="G15" s="1266">
        <f t="shared" si="2"/>
        <v>153</v>
      </c>
      <c r="H15" s="1490">
        <f t="shared" si="3"/>
        <v>61.881188118811878</v>
      </c>
    </row>
    <row r="16" spans="1:11">
      <c r="A16" s="1025">
        <v>15</v>
      </c>
      <c r="B16" s="1231">
        <f t="shared" si="0"/>
        <v>58.415841584158414</v>
      </c>
      <c r="C16" s="1231">
        <v>118</v>
      </c>
      <c r="D16" s="1231">
        <v>23</v>
      </c>
      <c r="E16" s="1231">
        <f t="shared" si="4"/>
        <v>69.801980198019805</v>
      </c>
      <c r="F16" s="1231">
        <v>680</v>
      </c>
      <c r="G16" s="1266">
        <f t="shared" si="2"/>
        <v>141</v>
      </c>
      <c r="H16" s="1490">
        <f t="shared" si="3"/>
        <v>58.415841584158414</v>
      </c>
    </row>
    <row r="17" spans="1:10">
      <c r="A17" s="1025">
        <v>16</v>
      </c>
      <c r="B17" s="1231">
        <f t="shared" si="0"/>
        <v>62.376237623762378</v>
      </c>
      <c r="C17" s="1231">
        <v>126</v>
      </c>
      <c r="D17" s="1231">
        <v>25</v>
      </c>
      <c r="E17" s="1231">
        <f>SUM(C17:D17)/202%</f>
        <v>74.752475247524757</v>
      </c>
      <c r="F17" s="1231">
        <v>632</v>
      </c>
      <c r="G17" s="1266">
        <f t="shared" si="2"/>
        <v>151</v>
      </c>
      <c r="H17" s="1490">
        <f t="shared" si="3"/>
        <v>62.376237623762378</v>
      </c>
    </row>
    <row r="18" spans="1:10">
      <c r="A18" s="1025">
        <v>17</v>
      </c>
      <c r="B18" s="1231">
        <f t="shared" si="0"/>
        <v>81.683168316831683</v>
      </c>
      <c r="C18" s="1231">
        <v>165</v>
      </c>
      <c r="D18" s="1231">
        <v>25</v>
      </c>
      <c r="E18" s="1231">
        <f t="shared" si="4"/>
        <v>94.059405940594061</v>
      </c>
      <c r="F18" s="1231">
        <v>798</v>
      </c>
      <c r="G18" s="1266">
        <f t="shared" si="2"/>
        <v>190</v>
      </c>
      <c r="H18" s="1490">
        <f t="shared" si="3"/>
        <v>81.683168316831683</v>
      </c>
    </row>
    <row r="19" spans="1:10">
      <c r="A19" s="1025">
        <v>18</v>
      </c>
      <c r="B19" s="1231">
        <f t="shared" si="0"/>
        <v>60.89108910891089</v>
      </c>
      <c r="C19" s="1157">
        <v>123</v>
      </c>
      <c r="D19" s="1157">
        <v>27</v>
      </c>
      <c r="E19" s="1231">
        <f t="shared" si="4"/>
        <v>74.257425742574256</v>
      </c>
      <c r="F19" s="1157">
        <v>993</v>
      </c>
      <c r="G19" s="1266">
        <f t="shared" si="2"/>
        <v>150</v>
      </c>
      <c r="H19" s="1490">
        <f t="shared" si="3"/>
        <v>60.89108910891089</v>
      </c>
    </row>
    <row r="20" spans="1:10">
      <c r="A20" s="1025">
        <v>19</v>
      </c>
      <c r="B20" s="1231">
        <f t="shared" si="0"/>
        <v>40.594059405940591</v>
      </c>
      <c r="C20" s="1231">
        <v>82</v>
      </c>
      <c r="D20" s="1231">
        <v>24</v>
      </c>
      <c r="E20" s="1231">
        <f t="shared" si="4"/>
        <v>52.475247524752476</v>
      </c>
      <c r="F20" s="1231">
        <v>364</v>
      </c>
      <c r="G20" s="1266">
        <f t="shared" si="2"/>
        <v>106</v>
      </c>
      <c r="H20" s="1490">
        <f t="shared" si="3"/>
        <v>40.594059405940591</v>
      </c>
      <c r="J20">
        <f>165/192</f>
        <v>0.859375</v>
      </c>
    </row>
    <row r="21" spans="1:10">
      <c r="A21" s="1025">
        <v>20</v>
      </c>
      <c r="B21" s="1231">
        <f t="shared" si="0"/>
        <v>52.475247524752476</v>
      </c>
      <c r="C21" s="1231">
        <v>106</v>
      </c>
      <c r="D21" s="1231">
        <v>29</v>
      </c>
      <c r="E21" s="1231">
        <f t="shared" si="4"/>
        <v>66.831683168316829</v>
      </c>
      <c r="F21" s="1231">
        <v>484</v>
      </c>
      <c r="G21" s="1266">
        <f t="shared" si="2"/>
        <v>135</v>
      </c>
      <c r="H21" s="1490">
        <f t="shared" si="3"/>
        <v>52.475247524752476</v>
      </c>
    </row>
    <row r="22" spans="1:10">
      <c r="A22" s="1025">
        <v>21</v>
      </c>
      <c r="B22" s="1231">
        <f t="shared" si="0"/>
        <v>62.376237623762378</v>
      </c>
      <c r="C22" s="1231">
        <v>126</v>
      </c>
      <c r="D22" s="1231">
        <v>33</v>
      </c>
      <c r="E22" s="1231">
        <f t="shared" si="4"/>
        <v>78.712871287128706</v>
      </c>
      <c r="F22" s="1231">
        <v>398</v>
      </c>
      <c r="G22" s="1266">
        <f t="shared" si="2"/>
        <v>159</v>
      </c>
      <c r="H22" s="1490">
        <f t="shared" si="3"/>
        <v>62.376237623762378</v>
      </c>
    </row>
    <row r="23" spans="1:10">
      <c r="A23" s="1025">
        <v>22</v>
      </c>
      <c r="B23" s="1231">
        <f t="shared" si="0"/>
        <v>57.920792079207921</v>
      </c>
      <c r="C23" s="1231">
        <v>117</v>
      </c>
      <c r="D23" s="1231">
        <v>30</v>
      </c>
      <c r="E23" s="1231">
        <f t="shared" si="4"/>
        <v>72.772277227722768</v>
      </c>
      <c r="F23" s="1231">
        <v>439</v>
      </c>
      <c r="G23" s="1266">
        <f t="shared" si="2"/>
        <v>147</v>
      </c>
      <c r="H23" s="1490">
        <f t="shared" si="3"/>
        <v>57.920792079207921</v>
      </c>
    </row>
    <row r="24" spans="1:10">
      <c r="A24" s="1025">
        <v>23</v>
      </c>
      <c r="B24" s="1231">
        <f t="shared" si="0"/>
        <v>52.970297029702969</v>
      </c>
      <c r="C24" s="1231">
        <v>107</v>
      </c>
      <c r="D24" s="1231">
        <v>22</v>
      </c>
      <c r="E24" s="1231">
        <f t="shared" si="4"/>
        <v>63.861386138613859</v>
      </c>
      <c r="F24" s="1231">
        <v>443</v>
      </c>
      <c r="G24" s="1266">
        <f t="shared" si="2"/>
        <v>129</v>
      </c>
      <c r="H24" s="1490">
        <f t="shared" si="3"/>
        <v>52.970297029702969</v>
      </c>
    </row>
    <row r="25" spans="1:10">
      <c r="A25" s="1025">
        <v>24</v>
      </c>
      <c r="B25" s="1231">
        <f t="shared" si="0"/>
        <v>59.405940594059409</v>
      </c>
      <c r="C25" s="1231">
        <v>120</v>
      </c>
      <c r="D25" s="1231">
        <v>21</v>
      </c>
      <c r="E25" s="1231">
        <f t="shared" si="4"/>
        <v>69.801980198019805</v>
      </c>
      <c r="F25" s="1231">
        <v>531</v>
      </c>
      <c r="G25" s="1266">
        <f t="shared" si="2"/>
        <v>141</v>
      </c>
      <c r="H25" s="1490">
        <f t="shared" si="3"/>
        <v>59.405940594059409</v>
      </c>
    </row>
    <row r="26" spans="1:10">
      <c r="A26" s="1025">
        <v>25</v>
      </c>
      <c r="B26" s="1231">
        <f t="shared" si="0"/>
        <v>83.168316831683171</v>
      </c>
      <c r="C26" s="1231">
        <v>168</v>
      </c>
      <c r="D26" s="1231">
        <v>21</v>
      </c>
      <c r="E26" s="1231">
        <f t="shared" si="4"/>
        <v>93.56435643564356</v>
      </c>
      <c r="F26" s="1231">
        <v>573</v>
      </c>
      <c r="G26" s="1266">
        <f t="shared" si="2"/>
        <v>189</v>
      </c>
      <c r="H26" s="1490">
        <f t="shared" si="3"/>
        <v>83.168316831683171</v>
      </c>
    </row>
    <row r="27" spans="1:10">
      <c r="A27" s="1025">
        <v>26</v>
      </c>
      <c r="B27" s="1231">
        <f t="shared" si="0"/>
        <v>58.415841584158414</v>
      </c>
      <c r="C27" s="1231">
        <v>118</v>
      </c>
      <c r="D27" s="1231">
        <v>23</v>
      </c>
      <c r="E27" s="1231">
        <f t="shared" si="4"/>
        <v>69.801980198019805</v>
      </c>
      <c r="F27" s="1231">
        <v>444</v>
      </c>
      <c r="G27" s="1266">
        <f t="shared" si="2"/>
        <v>141</v>
      </c>
      <c r="H27" s="1490">
        <f t="shared" si="3"/>
        <v>58.415841584158414</v>
      </c>
    </row>
    <row r="28" spans="1:10">
      <c r="A28" s="1025">
        <v>27</v>
      </c>
      <c r="B28" s="1231">
        <f t="shared" si="0"/>
        <v>62.376237623762378</v>
      </c>
      <c r="C28" s="1231">
        <v>126</v>
      </c>
      <c r="D28" s="1231">
        <v>25</v>
      </c>
      <c r="E28" s="1231">
        <f t="shared" si="4"/>
        <v>74.752475247524757</v>
      </c>
      <c r="F28" s="1231">
        <v>369</v>
      </c>
      <c r="G28" s="1266">
        <f t="shared" si="2"/>
        <v>151</v>
      </c>
      <c r="H28" s="1490">
        <f t="shared" si="3"/>
        <v>62.376237623762378</v>
      </c>
    </row>
    <row r="29" spans="1:10">
      <c r="A29" s="1025">
        <v>28</v>
      </c>
      <c r="B29" s="1231">
        <f t="shared" si="0"/>
        <v>57.425742574257427</v>
      </c>
      <c r="C29" s="1231">
        <v>116</v>
      </c>
      <c r="D29" s="1231">
        <v>26</v>
      </c>
      <c r="E29" s="1231">
        <f t="shared" si="4"/>
        <v>70.297029702970292</v>
      </c>
      <c r="F29" s="1231">
        <v>421</v>
      </c>
      <c r="G29" s="1266">
        <f t="shared" si="2"/>
        <v>142</v>
      </c>
      <c r="H29" s="1490">
        <f t="shared" si="3"/>
        <v>57.425742574257427</v>
      </c>
    </row>
    <row r="30" spans="1:10">
      <c r="A30" s="1025">
        <v>29</v>
      </c>
      <c r="B30" s="1231">
        <f t="shared" si="0"/>
        <v>70.297029702970292</v>
      </c>
      <c r="C30" s="1231">
        <v>142</v>
      </c>
      <c r="D30" s="1231">
        <v>24</v>
      </c>
      <c r="E30" s="1231">
        <f t="shared" si="4"/>
        <v>82.178217821782184</v>
      </c>
      <c r="F30" s="1231">
        <v>567</v>
      </c>
      <c r="G30" s="1266">
        <f t="shared" si="2"/>
        <v>166</v>
      </c>
      <c r="H30" s="1490">
        <f t="shared" si="3"/>
        <v>70.297029702970292</v>
      </c>
    </row>
    <row r="31" spans="1:10">
      <c r="A31" s="1025">
        <v>30</v>
      </c>
      <c r="B31" s="1231">
        <f t="shared" si="0"/>
        <v>67.32673267326733</v>
      </c>
      <c r="C31" s="1231">
        <v>136</v>
      </c>
      <c r="D31" s="1231">
        <v>22</v>
      </c>
      <c r="E31" s="1231">
        <f t="shared" si="4"/>
        <v>78.21782178217822</v>
      </c>
      <c r="F31" s="1231">
        <v>536</v>
      </c>
      <c r="G31" s="1312">
        <f t="shared" si="2"/>
        <v>158</v>
      </c>
      <c r="H31" s="1490">
        <f t="shared" si="3"/>
        <v>67.32673267326733</v>
      </c>
    </row>
    <row r="32" spans="1:10">
      <c r="A32" s="1025">
        <v>31</v>
      </c>
      <c r="B32" s="1231">
        <f t="shared" si="0"/>
        <v>80.693069306930695</v>
      </c>
      <c r="C32" s="1231">
        <v>163</v>
      </c>
      <c r="D32" s="1231">
        <v>23</v>
      </c>
      <c r="E32" s="1231">
        <f t="shared" si="4"/>
        <v>92.079207920792072</v>
      </c>
      <c r="F32" s="1231">
        <v>696</v>
      </c>
      <c r="G32" s="1312">
        <f t="shared" si="2"/>
        <v>186</v>
      </c>
      <c r="H32" s="1490">
        <f t="shared" si="3"/>
        <v>80.693069306930695</v>
      </c>
    </row>
    <row r="33" spans="1:8">
      <c r="A33" t="s">
        <v>368</v>
      </c>
      <c r="B33" s="1157">
        <f>AVERAGE(B2:B31)</f>
        <v>58.53135313531353</v>
      </c>
      <c r="C33" s="1157">
        <f>AVERAGE(C2:C32)</f>
        <v>119.6774193548387</v>
      </c>
      <c r="D33" s="1157">
        <f>AVERAGE(D2:D32)</f>
        <v>25.363548387096774</v>
      </c>
      <c r="E33" s="1157">
        <f>AVERAGE(E2:E32)</f>
        <v>71.802459278185879</v>
      </c>
      <c r="F33" s="1157">
        <f>AVERAGE(F2:F32)</f>
        <v>508.96774193548384</v>
      </c>
      <c r="G33" s="1157">
        <f>AVERAGE(G2:G32)</f>
        <v>145.0409677419355</v>
      </c>
      <c r="H33" s="1157">
        <f t="shared" ref="C33:H33" si="5">AVERAGE(H2:H31)</f>
        <v>58.53135313531353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I1" zoomScale="90" zoomScaleNormal="90" workbookViewId="0">
      <selection activeCell="AE6" sqref="AE6:AH6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6"/>
      <c r="C3" s="1067" t="s">
        <v>0</v>
      </c>
      <c r="D3" s="1027">
        <v>1</v>
      </c>
      <c r="E3" s="1027">
        <v>2</v>
      </c>
      <c r="F3" s="1027">
        <v>3</v>
      </c>
      <c r="G3" s="1027">
        <v>4</v>
      </c>
      <c r="H3" s="1027">
        <v>5</v>
      </c>
      <c r="I3" s="1027">
        <v>6</v>
      </c>
      <c r="J3" s="1027">
        <v>7</v>
      </c>
      <c r="K3" s="1027">
        <v>8</v>
      </c>
      <c r="L3" s="1027">
        <v>9</v>
      </c>
      <c r="M3" s="1027">
        <v>10</v>
      </c>
      <c r="N3" s="1027">
        <v>11</v>
      </c>
      <c r="O3" s="1027">
        <v>12</v>
      </c>
      <c r="P3" s="1027">
        <v>13</v>
      </c>
      <c r="Q3" s="1027">
        <v>14</v>
      </c>
      <c r="R3" s="1067">
        <v>15</v>
      </c>
      <c r="S3" s="1067">
        <v>16</v>
      </c>
      <c r="T3" s="1067">
        <v>17</v>
      </c>
      <c r="U3" s="1067">
        <v>18</v>
      </c>
      <c r="V3" s="1067">
        <v>19</v>
      </c>
      <c r="W3" s="1067">
        <v>20</v>
      </c>
      <c r="X3" s="1067">
        <v>21</v>
      </c>
      <c r="Y3" s="1067">
        <v>22</v>
      </c>
      <c r="Z3" s="1067">
        <v>23</v>
      </c>
      <c r="AA3" s="1067">
        <v>24</v>
      </c>
      <c r="AB3" s="1067">
        <v>25</v>
      </c>
      <c r="AC3" s="1067">
        <v>26</v>
      </c>
      <c r="AD3" s="1067">
        <v>27</v>
      </c>
      <c r="AE3" s="1067">
        <v>28</v>
      </c>
      <c r="AF3" s="1067">
        <v>29</v>
      </c>
      <c r="AG3" s="1067">
        <v>30</v>
      </c>
      <c r="AH3" s="1067">
        <v>31</v>
      </c>
      <c r="AI3" s="1067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90</v>
      </c>
      <c r="E5" s="450">
        <f>'2'!G18</f>
        <v>100</v>
      </c>
      <c r="F5" s="450">
        <f>'3'!G18</f>
        <v>150</v>
      </c>
      <c r="G5" s="450">
        <f>'4'!G18</f>
        <v>210</v>
      </c>
      <c r="H5" s="450">
        <f>'5'!G18</f>
        <v>180</v>
      </c>
      <c r="I5" s="450">
        <f>'6'!G18</f>
        <v>90</v>
      </c>
      <c r="J5" s="450">
        <f>'7'!G18</f>
        <v>110</v>
      </c>
      <c r="K5" s="450">
        <f>'8'!G18</f>
        <v>100</v>
      </c>
      <c r="L5" s="450">
        <f>'9'!G18</f>
        <v>130</v>
      </c>
      <c r="M5" s="450">
        <f>'10'!G18</f>
        <v>160</v>
      </c>
      <c r="N5" s="450">
        <f>'11'!G18</f>
        <v>180</v>
      </c>
      <c r="O5" s="450">
        <f>'12'!G18</f>
        <v>120</v>
      </c>
      <c r="P5" s="450">
        <f>'13'!G18</f>
        <v>140</v>
      </c>
      <c r="Q5" s="450">
        <f>'14'!G18</f>
        <v>140</v>
      </c>
      <c r="R5" s="450">
        <f>'15'!G18</f>
        <v>120</v>
      </c>
      <c r="S5" s="450">
        <f>'16'!G18</f>
        <v>110</v>
      </c>
      <c r="T5" s="450">
        <f>'17'!G18</f>
        <v>140</v>
      </c>
      <c r="U5" s="450">
        <f>'18'!G18</f>
        <v>170</v>
      </c>
      <c r="V5" s="450">
        <f>'19'!G18</f>
        <v>200</v>
      </c>
      <c r="W5" s="450">
        <f>'20'!G18</f>
        <v>80</v>
      </c>
      <c r="X5" s="450">
        <f>'21'!G18</f>
        <v>100</v>
      </c>
      <c r="Y5" s="450">
        <f>'22'!G18</f>
        <v>120</v>
      </c>
      <c r="Z5" s="450">
        <f>'23'!G18</f>
        <v>100</v>
      </c>
      <c r="AA5" s="450">
        <f>'24'!G18</f>
        <v>110</v>
      </c>
      <c r="AB5" s="450">
        <f>'25'!G18</f>
        <v>160</v>
      </c>
      <c r="AC5" s="450">
        <f>'26'!G18</f>
        <v>120</v>
      </c>
      <c r="AD5" s="450">
        <f>'27'!G18</f>
        <v>110</v>
      </c>
      <c r="AE5" s="450">
        <f>'28'!G18</f>
        <v>60</v>
      </c>
      <c r="AF5" s="450">
        <f>'29'!G18</f>
        <v>140</v>
      </c>
      <c r="AG5" s="450">
        <f>'30'!G18</f>
        <v>150</v>
      </c>
      <c r="AH5" s="450">
        <f>'31'!G18</f>
        <v>160</v>
      </c>
      <c r="AI5" s="448"/>
    </row>
    <row r="6" spans="2:35">
      <c r="B6" s="452"/>
      <c r="C6" s="448" t="s">
        <v>70</v>
      </c>
      <c r="D6" s="450">
        <f>'1'!G19</f>
        <v>64</v>
      </c>
      <c r="E6" s="450">
        <f>'2'!G19</f>
        <v>62</v>
      </c>
      <c r="F6" s="450">
        <f>'3'!G19</f>
        <v>60</v>
      </c>
      <c r="G6" s="450">
        <f>'4'!G19</f>
        <v>61</v>
      </c>
      <c r="H6" s="450">
        <f>'5'!G19</f>
        <v>61</v>
      </c>
      <c r="I6" s="450">
        <f>'6'!G19</f>
        <v>59</v>
      </c>
      <c r="J6" s="450">
        <f>'7'!G19</f>
        <v>58</v>
      </c>
      <c r="K6" s="450">
        <f>'8'!G19</f>
        <v>61</v>
      </c>
      <c r="L6" s="450">
        <f>'9'!G19</f>
        <v>61</v>
      </c>
      <c r="M6" s="450">
        <f>'10'!G19</f>
        <v>58</v>
      </c>
      <c r="N6" s="450">
        <f>'11'!G19</f>
        <v>60</v>
      </c>
      <c r="O6" s="450">
        <f>'12'!G19</f>
        <v>66</v>
      </c>
      <c r="P6" s="450">
        <f>'13'!G19</f>
        <v>62</v>
      </c>
      <c r="Q6" s="450">
        <f>'14'!G19</f>
        <v>65</v>
      </c>
      <c r="R6" s="450">
        <f>'15'!G19</f>
        <v>64</v>
      </c>
      <c r="S6" s="450">
        <f>'16'!G19</f>
        <v>60</v>
      </c>
      <c r="T6" s="450">
        <f>'17'!G19</f>
        <v>61</v>
      </c>
      <c r="U6" s="450">
        <f>'18'!G19</f>
        <v>9</v>
      </c>
      <c r="V6" s="450">
        <f>'19'!G19</f>
        <v>57</v>
      </c>
      <c r="W6" s="450">
        <f>'20'!G19</f>
        <v>63</v>
      </c>
      <c r="X6" s="450">
        <f>'21'!G19</f>
        <v>75</v>
      </c>
      <c r="Y6" s="450">
        <f>'22'!G19</f>
        <v>67</v>
      </c>
      <c r="Z6" s="450">
        <f>'23'!G19</f>
        <v>70</v>
      </c>
      <c r="AA6" s="450">
        <f>'24'!G19</f>
        <v>64</v>
      </c>
      <c r="AB6" s="450">
        <f>'25'!G19</f>
        <v>62</v>
      </c>
      <c r="AC6" s="450">
        <f>'26'!G19</f>
        <v>65</v>
      </c>
      <c r="AD6" s="450">
        <f>'27'!G19</f>
        <v>65</v>
      </c>
      <c r="AE6" s="450">
        <f>'28'!G19</f>
        <v>66</v>
      </c>
      <c r="AF6" s="450">
        <f>'29'!G19</f>
        <v>64</v>
      </c>
      <c r="AG6" s="450">
        <f>'30'!G19</f>
        <v>62</v>
      </c>
      <c r="AH6" s="450">
        <f>'31'!G19</f>
        <v>63</v>
      </c>
      <c r="AI6" s="448"/>
    </row>
    <row r="7" spans="2:35">
      <c r="B7" s="452"/>
      <c r="C7" s="448" t="s">
        <v>71</v>
      </c>
      <c r="D7" s="450">
        <f>'1'!G93</f>
        <v>89</v>
      </c>
      <c r="E7" s="450">
        <f>'2'!G93</f>
        <v>88</v>
      </c>
      <c r="F7" s="450">
        <f>'3'!G93</f>
        <v>123</v>
      </c>
      <c r="G7" s="450">
        <f>'4'!G93</f>
        <v>178</v>
      </c>
      <c r="H7" s="450">
        <f>'5'!G93</f>
        <v>123</v>
      </c>
      <c r="I7" s="450">
        <f>'6'!G93</f>
        <v>44</v>
      </c>
      <c r="J7" s="450">
        <f>'7'!G93</f>
        <v>77</v>
      </c>
      <c r="K7" s="450">
        <f>'8'!G93</f>
        <v>81</v>
      </c>
      <c r="L7" s="450">
        <f>'9'!G93</f>
        <v>87</v>
      </c>
      <c r="M7" s="450">
        <f>'10'!G93</f>
        <v>121</v>
      </c>
      <c r="N7" s="450">
        <f>'11'!G93</f>
        <v>129</v>
      </c>
      <c r="O7" s="450">
        <f>'12'!G93</f>
        <v>95</v>
      </c>
      <c r="P7" s="450">
        <f>'13'!G93</f>
        <v>91</v>
      </c>
      <c r="Q7" s="450">
        <f>'14'!G93</f>
        <v>87</v>
      </c>
      <c r="R7" s="450">
        <f>'15'!G93</f>
        <v>75</v>
      </c>
      <c r="S7" s="450">
        <f>'16'!G93</f>
        <v>103</v>
      </c>
      <c r="T7" s="450">
        <f>'17'!G93</f>
        <v>101</v>
      </c>
      <c r="U7" s="450">
        <f>'18'!G93</f>
        <v>163</v>
      </c>
      <c r="V7" s="450">
        <f>'19'!G93</f>
        <v>100</v>
      </c>
      <c r="W7" s="450">
        <f>'20'!G93</f>
        <v>35</v>
      </c>
      <c r="X7" s="450">
        <f>'21'!G93</f>
        <v>79</v>
      </c>
      <c r="Y7" s="450">
        <f>'22'!G93</f>
        <v>81</v>
      </c>
      <c r="Z7" s="450">
        <f>'23'!G93</f>
        <v>102</v>
      </c>
      <c r="AA7" s="450">
        <f>'24'!G93</f>
        <v>124</v>
      </c>
      <c r="AB7" s="450">
        <f>'25'!G93</f>
        <v>134</v>
      </c>
      <c r="AC7" s="450">
        <f>'26'!G93</f>
        <v>82</v>
      </c>
      <c r="AD7" s="450">
        <f>'27'!G93</f>
        <v>54</v>
      </c>
      <c r="AE7" s="450">
        <f>'28'!G93</f>
        <v>61</v>
      </c>
      <c r="AF7" s="450">
        <f>'29'!G93</f>
        <v>67</v>
      </c>
      <c r="AG7" s="450">
        <f>'30'!G93</f>
        <v>85</v>
      </c>
      <c r="AH7" s="450">
        <f>'31'!G93</f>
        <v>103</v>
      </c>
      <c r="AI7" s="448"/>
    </row>
    <row r="8" spans="2:35">
      <c r="B8" s="452"/>
      <c r="C8" s="448" t="s">
        <v>333</v>
      </c>
      <c r="D8" s="450">
        <f>'1'!G94</f>
        <v>97</v>
      </c>
      <c r="E8" s="450">
        <f>'2'!G94</f>
        <v>122</v>
      </c>
      <c r="F8" s="450">
        <f>'3'!G94</f>
        <v>85</v>
      </c>
      <c r="G8" s="450">
        <f>'4'!G94</f>
        <v>154</v>
      </c>
      <c r="H8" s="450">
        <f>'5'!G94</f>
        <v>124</v>
      </c>
      <c r="I8" s="450">
        <f>'6'!G94</f>
        <v>91</v>
      </c>
      <c r="J8" s="450">
        <f>'7'!G94</f>
        <v>113</v>
      </c>
      <c r="K8" s="450">
        <f>'8'!G94</f>
        <v>121</v>
      </c>
      <c r="L8" s="450">
        <f>'9'!G94</f>
        <v>91</v>
      </c>
      <c r="M8" s="450">
        <f>'10'!G94</f>
        <v>96</v>
      </c>
      <c r="N8" s="450">
        <f>'11'!G94</f>
        <v>163</v>
      </c>
      <c r="O8" s="450">
        <f>'12'!G94</f>
        <v>131</v>
      </c>
      <c r="P8" s="450">
        <f>'13'!G94</f>
        <v>106</v>
      </c>
      <c r="Q8" s="450">
        <f>'14'!G94</f>
        <v>99</v>
      </c>
      <c r="R8" s="450">
        <f>'15'!G94</f>
        <v>147</v>
      </c>
      <c r="S8" s="450">
        <f>'16'!G94</f>
        <v>71</v>
      </c>
      <c r="T8" s="450">
        <f>'17'!G94</f>
        <v>190</v>
      </c>
      <c r="U8" s="450">
        <f>'18'!G94</f>
        <v>160</v>
      </c>
      <c r="V8" s="450">
        <f>'19'!G94</f>
        <v>154</v>
      </c>
      <c r="W8" s="450">
        <f>'20'!G94</f>
        <v>151</v>
      </c>
      <c r="X8" s="450">
        <f>'21'!G94</f>
        <v>118</v>
      </c>
      <c r="Y8" s="450">
        <f>'22'!G94</f>
        <v>30</v>
      </c>
      <c r="Z8" s="450">
        <f>'23'!G94</f>
        <v>124</v>
      </c>
      <c r="AA8" s="450">
        <f>'24'!G94</f>
        <v>110</v>
      </c>
      <c r="AB8" s="450">
        <f>'25'!G94</f>
        <v>67</v>
      </c>
      <c r="AC8" s="450">
        <f>'26'!G94</f>
        <v>108</v>
      </c>
      <c r="AD8" s="450">
        <f>'27'!G94</f>
        <v>15</v>
      </c>
      <c r="AE8" s="450">
        <f>'28'!G94</f>
        <v>119</v>
      </c>
      <c r="AF8" s="450">
        <f>'29'!G94</f>
        <v>108</v>
      </c>
      <c r="AG8" s="450">
        <f>'30'!G94</f>
        <v>76</v>
      </c>
      <c r="AH8" s="450">
        <f>'31'!G94</f>
        <v>103</v>
      </c>
      <c r="AI8" s="448"/>
    </row>
    <row r="9" spans="2:35">
      <c r="B9" s="1536" t="s">
        <v>72</v>
      </c>
      <c r="C9" s="448" t="s">
        <v>32</v>
      </c>
      <c r="D9" s="450">
        <f>'1'!G96</f>
        <v>86</v>
      </c>
      <c r="E9" s="450">
        <f>'2'!G96</f>
        <v>100</v>
      </c>
      <c r="F9" s="450">
        <f>'3'!G96</f>
        <v>102</v>
      </c>
      <c r="G9" s="450">
        <f>'4'!G96</f>
        <v>147</v>
      </c>
      <c r="H9" s="450">
        <f>'5'!G96</f>
        <v>120</v>
      </c>
      <c r="I9" s="450">
        <f>'6'!G96</f>
        <v>59</v>
      </c>
      <c r="J9" s="450">
        <f>'7'!G96</f>
        <v>76</v>
      </c>
      <c r="K9" s="450">
        <f>'8'!G96</f>
        <v>80</v>
      </c>
      <c r="L9" s="450">
        <f>'9'!G96</f>
        <v>93</v>
      </c>
      <c r="M9" s="450">
        <f>'10'!G96</f>
        <v>76</v>
      </c>
      <c r="N9" s="450">
        <f>'11'!G96</f>
        <v>77</v>
      </c>
      <c r="O9" s="450">
        <f>'12'!G96</f>
        <v>91</v>
      </c>
      <c r="P9" s="450">
        <f>'13'!G96</f>
        <v>101</v>
      </c>
      <c r="Q9" s="450">
        <f>'14'!G96</f>
        <v>74</v>
      </c>
      <c r="R9" s="450">
        <f>'15'!G96</f>
        <v>78</v>
      </c>
      <c r="S9" s="450">
        <f>'16'!G96</f>
        <v>96</v>
      </c>
      <c r="T9" s="450">
        <f>'17'!G96</f>
        <v>89</v>
      </c>
      <c r="U9" s="450">
        <f>'18'!G96</f>
        <v>90</v>
      </c>
      <c r="V9" s="450">
        <f>'19'!G96</f>
        <v>76</v>
      </c>
      <c r="W9" s="450">
        <f>'20'!G96</f>
        <v>51</v>
      </c>
      <c r="X9" s="450">
        <f>'21'!G96</f>
        <v>79</v>
      </c>
      <c r="Y9" s="450">
        <f>'22'!G96</f>
        <v>73</v>
      </c>
      <c r="Z9" s="450">
        <f>'23'!G96</f>
        <v>67</v>
      </c>
      <c r="AA9" s="450">
        <f>'24'!G96</f>
        <v>64</v>
      </c>
      <c r="AB9" s="450">
        <f>'25'!G96</f>
        <v>78</v>
      </c>
      <c r="AC9" s="450">
        <f>'26'!G96</f>
        <v>69</v>
      </c>
      <c r="AD9" s="450">
        <f>'27'!G96</f>
        <v>62</v>
      </c>
      <c r="AE9" s="450">
        <f>'28'!G96</f>
        <v>61</v>
      </c>
      <c r="AF9" s="450">
        <f>'29'!G96</f>
        <v>69</v>
      </c>
      <c r="AG9" s="450">
        <f>'30'!G96</f>
        <v>73</v>
      </c>
      <c r="AH9" s="450">
        <f>'31'!G96</f>
        <v>80</v>
      </c>
      <c r="AI9" s="448"/>
    </row>
    <row r="10" spans="2:35">
      <c r="B10" s="1536"/>
      <c r="C10" s="448" t="s">
        <v>33</v>
      </c>
      <c r="D10" s="450">
        <f>'1'!G97</f>
        <v>17</v>
      </c>
      <c r="E10" s="450">
        <f>'2'!G97</f>
        <v>15</v>
      </c>
      <c r="F10" s="450">
        <f>'3'!G97</f>
        <v>30</v>
      </c>
      <c r="G10" s="450">
        <f>'4'!G97</f>
        <v>39</v>
      </c>
      <c r="H10" s="450">
        <f>'5'!G97</f>
        <v>12</v>
      </c>
      <c r="I10" s="450">
        <f>'6'!G97</f>
        <v>18</v>
      </c>
      <c r="J10" s="450">
        <f>'7'!G97</f>
        <v>15</v>
      </c>
      <c r="K10" s="450">
        <f>'8'!G97</f>
        <v>17</v>
      </c>
      <c r="L10" s="450">
        <f>'9'!G97</f>
        <v>19</v>
      </c>
      <c r="M10" s="450">
        <f>'10'!G97</f>
        <v>26</v>
      </c>
      <c r="N10" s="450">
        <f>'11'!G97</f>
        <v>32</v>
      </c>
      <c r="O10" s="450">
        <f>'12'!G97</f>
        <v>22</v>
      </c>
      <c r="P10" s="450">
        <f>'13'!G97</f>
        <v>15</v>
      </c>
      <c r="Q10" s="450">
        <f>'14'!G97</f>
        <v>24</v>
      </c>
      <c r="R10" s="450">
        <f>'15'!G97</f>
        <v>21</v>
      </c>
      <c r="S10" s="450">
        <f>'16'!G97</f>
        <v>26</v>
      </c>
      <c r="T10" s="450">
        <f>'17'!G97</f>
        <v>30</v>
      </c>
      <c r="U10" s="450">
        <f>'18'!G97</f>
        <v>30</v>
      </c>
      <c r="V10" s="450">
        <f>'19'!G97</f>
        <v>18</v>
      </c>
      <c r="W10" s="450">
        <f>'20'!G97</f>
        <v>15</v>
      </c>
      <c r="X10" s="450">
        <f>'21'!G97</f>
        <v>18</v>
      </c>
      <c r="Y10" s="450">
        <f>'22'!G97</f>
        <v>22</v>
      </c>
      <c r="Z10" s="450">
        <f>'23'!G97</f>
        <v>20</v>
      </c>
      <c r="AA10" s="450">
        <f>'24'!G97</f>
        <v>23</v>
      </c>
      <c r="AB10" s="450">
        <f>'25'!G97</f>
        <v>31</v>
      </c>
      <c r="AC10" s="450">
        <f>'26'!G97</f>
        <v>24</v>
      </c>
      <c r="AD10" s="450">
        <f>'27'!G97</f>
        <v>19</v>
      </c>
      <c r="AE10" s="450">
        <f>'28'!G97</f>
        <v>21</v>
      </c>
      <c r="AF10" s="450">
        <f>'29'!G97</f>
        <v>20</v>
      </c>
      <c r="AG10" s="450">
        <f>'30'!G97</f>
        <v>23</v>
      </c>
      <c r="AH10" s="450">
        <f>'31'!G97</f>
        <v>24</v>
      </c>
      <c r="AI10" s="448"/>
    </row>
    <row r="11" spans="2:35">
      <c r="B11" s="1536"/>
      <c r="C11" s="448" t="s">
        <v>34</v>
      </c>
      <c r="D11" s="450">
        <f>'1'!G98</f>
        <v>18</v>
      </c>
      <c r="E11" s="450">
        <f>'2'!G98</f>
        <v>19</v>
      </c>
      <c r="F11" s="450">
        <f>'3'!G98</f>
        <v>31</v>
      </c>
      <c r="G11" s="450">
        <f>'4'!G98</f>
        <v>32</v>
      </c>
      <c r="H11" s="450">
        <f>'5'!G98</f>
        <v>18</v>
      </c>
      <c r="I11" s="450">
        <f>'6'!G98</f>
        <v>21</v>
      </c>
      <c r="J11" s="450">
        <f>'7'!G98</f>
        <v>22</v>
      </c>
      <c r="K11" s="450">
        <f>'8'!G98</f>
        <v>24</v>
      </c>
      <c r="L11" s="450">
        <f>'9'!G98</f>
        <v>24</v>
      </c>
      <c r="M11" s="450">
        <f>'10'!G98</f>
        <v>35</v>
      </c>
      <c r="N11" s="450">
        <f>'11'!G98</f>
        <v>41</v>
      </c>
      <c r="O11" s="450">
        <f>'12'!G98</f>
        <v>21</v>
      </c>
      <c r="P11" s="450">
        <f>'13'!G98</f>
        <v>24</v>
      </c>
      <c r="Q11" s="450">
        <f>'14'!G98</f>
        <v>22</v>
      </c>
      <c r="R11" s="450">
        <f>'15'!G98</f>
        <v>26</v>
      </c>
      <c r="S11" s="450">
        <f>'16'!G98</f>
        <v>25</v>
      </c>
      <c r="T11" s="450">
        <f>'17'!G98</f>
        <v>30</v>
      </c>
      <c r="U11" s="450">
        <f>'18'!G98</f>
        <v>29</v>
      </c>
      <c r="V11" s="450">
        <f>'19'!G98</f>
        <v>23</v>
      </c>
      <c r="W11" s="450">
        <f>'20'!G98</f>
        <v>17</v>
      </c>
      <c r="X11" s="450">
        <f>'21'!G98</f>
        <v>23</v>
      </c>
      <c r="Y11" s="450">
        <f>'22'!G98</f>
        <v>20</v>
      </c>
      <c r="Z11" s="450">
        <f>'23'!G98</f>
        <v>21</v>
      </c>
      <c r="AA11" s="450">
        <f>'24'!G98</f>
        <v>34</v>
      </c>
      <c r="AB11" s="450">
        <f>'25'!G98</f>
        <v>39</v>
      </c>
      <c r="AC11" s="450">
        <f>'26'!G98</f>
        <v>22</v>
      </c>
      <c r="AD11" s="450">
        <f>'27'!G98</f>
        <v>24</v>
      </c>
      <c r="AE11" s="450">
        <f>'28'!G98</f>
        <v>24</v>
      </c>
      <c r="AF11" s="450">
        <f>'29'!G98</f>
        <v>25</v>
      </c>
      <c r="AG11" s="450">
        <f>'30'!G98</f>
        <v>26</v>
      </c>
      <c r="AH11" s="450">
        <f>'31'!G98</f>
        <v>31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36" t="s">
        <v>73</v>
      </c>
      <c r="C13" s="448" t="s">
        <v>32</v>
      </c>
      <c r="D13" s="450">
        <f>'1'!G99</f>
        <v>50</v>
      </c>
      <c r="E13" s="450">
        <f>'2'!G99</f>
        <v>40</v>
      </c>
      <c r="F13" s="450">
        <f>'3'!G99</f>
        <v>32</v>
      </c>
      <c r="G13" s="450">
        <f>'4'!G99</f>
        <v>38</v>
      </c>
      <c r="H13" s="450">
        <f>'5'!G99</f>
        <v>31</v>
      </c>
      <c r="I13" s="450">
        <f>'6'!G99</f>
        <v>36</v>
      </c>
      <c r="J13" s="450">
        <f>'7'!G99</f>
        <v>18</v>
      </c>
      <c r="K13" s="450">
        <f>'8'!G99</f>
        <v>20</v>
      </c>
      <c r="L13" s="450">
        <f>'9'!G99</f>
        <v>14</v>
      </c>
      <c r="M13" s="450">
        <f>'10'!G99</f>
        <v>25</v>
      </c>
      <c r="N13" s="450">
        <f>'11'!G99</f>
        <v>17</v>
      </c>
      <c r="O13" s="450">
        <f>'12'!G99</f>
        <v>71</v>
      </c>
      <c r="P13" s="450">
        <f>'13'!G99</f>
        <v>17</v>
      </c>
      <c r="Q13" s="450">
        <f>'14'!G99</f>
        <v>22</v>
      </c>
      <c r="R13" s="450">
        <f>'15'!G99</f>
        <v>36</v>
      </c>
      <c r="S13" s="450">
        <f>'16'!G99</f>
        <v>13</v>
      </c>
      <c r="T13" s="450">
        <f>'17'!G99</f>
        <v>23</v>
      </c>
      <c r="U13" s="450">
        <f>'18'!G99</f>
        <v>27</v>
      </c>
      <c r="V13" s="450">
        <f>'19'!G99</f>
        <v>35</v>
      </c>
      <c r="W13" s="450">
        <f>'20'!G99</f>
        <v>10</v>
      </c>
      <c r="X13" s="450">
        <f>'21'!G99</f>
        <v>18</v>
      </c>
      <c r="Y13" s="450">
        <f>'22'!G99</f>
        <v>14</v>
      </c>
      <c r="Z13" s="450">
        <f>'23'!G99</f>
        <v>49</v>
      </c>
      <c r="AA13" s="450">
        <f>'24'!G99</f>
        <v>6</v>
      </c>
      <c r="AB13" s="450">
        <f>'25'!G99</f>
        <v>35</v>
      </c>
      <c r="AC13" s="450">
        <f>'26'!G99</f>
        <v>27</v>
      </c>
      <c r="AD13" s="450">
        <f>'27'!G99</f>
        <v>7</v>
      </c>
      <c r="AE13" s="450">
        <f>'28'!G99</f>
        <v>47</v>
      </c>
      <c r="AF13" s="450">
        <f>'29'!G99</f>
        <v>30</v>
      </c>
      <c r="AG13" s="450">
        <f>'30'!G99</f>
        <v>23</v>
      </c>
      <c r="AH13" s="450">
        <f>'31'!G99</f>
        <v>15</v>
      </c>
      <c r="AI13" s="448"/>
    </row>
    <row r="14" spans="2:35">
      <c r="B14" s="1536"/>
      <c r="C14" s="448" t="s">
        <v>33</v>
      </c>
      <c r="D14" s="450">
        <f>'1'!G115</f>
        <v>6</v>
      </c>
      <c r="E14" s="450">
        <f>'2'!G115</f>
        <v>8</v>
      </c>
      <c r="F14" s="450">
        <f>'3'!G115</f>
        <v>17</v>
      </c>
      <c r="G14" s="450">
        <f>'4'!G115</f>
        <v>28</v>
      </c>
      <c r="H14" s="450">
        <f>'5'!G115</f>
        <v>8</v>
      </c>
      <c r="I14" s="450">
        <f>'6'!G115</f>
        <v>11</v>
      </c>
      <c r="J14" s="450">
        <f>'7'!G115</f>
        <v>10</v>
      </c>
      <c r="K14" s="450">
        <f>'8'!G115</f>
        <v>11</v>
      </c>
      <c r="L14" s="450">
        <f>'9'!G115</f>
        <v>12</v>
      </c>
      <c r="M14" s="450">
        <f>'10'!G115</f>
        <v>22</v>
      </c>
      <c r="N14" s="450">
        <f>'11'!G115</f>
        <v>17</v>
      </c>
      <c r="O14" s="450">
        <f>'12'!G115</f>
        <v>16</v>
      </c>
      <c r="P14" s="450">
        <f>'13'!G115</f>
        <v>11</v>
      </c>
      <c r="Q14" s="450">
        <f>'14'!G115</f>
        <v>10</v>
      </c>
      <c r="R14" s="450">
        <f>'15'!G115</f>
        <v>14</v>
      </c>
      <c r="S14" s="450">
        <f>'16'!G115</f>
        <v>12</v>
      </c>
      <c r="T14" s="450">
        <f>'17'!G115</f>
        <v>16</v>
      </c>
      <c r="U14" s="450">
        <f>'18'!G115</f>
        <v>19</v>
      </c>
      <c r="V14" s="450">
        <f>'19'!G115</f>
        <v>11</v>
      </c>
      <c r="W14" s="450">
        <f>'20'!G115</f>
        <v>15</v>
      </c>
      <c r="X14" s="450">
        <f>'21'!G115</f>
        <v>19</v>
      </c>
      <c r="Y14" s="450">
        <f>'22'!G115</f>
        <v>23</v>
      </c>
      <c r="Z14" s="450">
        <f>'23'!G115</f>
        <v>12</v>
      </c>
      <c r="AA14" s="450">
        <f>'24'!G115</f>
        <v>12</v>
      </c>
      <c r="AB14" s="450">
        <f>'25'!G115</f>
        <v>19</v>
      </c>
      <c r="AC14" s="450">
        <f>'26'!G115</f>
        <v>21</v>
      </c>
      <c r="AD14" s="450">
        <f>'27'!G115</f>
        <v>10</v>
      </c>
      <c r="AE14" s="450">
        <f>'28'!G115</f>
        <v>11</v>
      </c>
      <c r="AF14" s="450">
        <f>'29'!G115</f>
        <v>10</v>
      </c>
      <c r="AG14" s="450">
        <f>'30'!G115</f>
        <v>18</v>
      </c>
      <c r="AH14" s="450">
        <f>'31'!G115</f>
        <v>23</v>
      </c>
      <c r="AI14" s="448"/>
    </row>
    <row r="15" spans="2:35">
      <c r="B15" s="1536"/>
      <c r="C15" s="448" t="s">
        <v>34</v>
      </c>
      <c r="D15" s="450">
        <f>'1'!G116</f>
        <v>6</v>
      </c>
      <c r="E15" s="450">
        <f>'2'!G116</f>
        <v>5</v>
      </c>
      <c r="F15" s="450">
        <f>'3'!G116</f>
        <v>7</v>
      </c>
      <c r="G15" s="450">
        <f>'4'!G116</f>
        <v>10</v>
      </c>
      <c r="H15" s="450">
        <f>'5'!G116</f>
        <v>3</v>
      </c>
      <c r="I15" s="450">
        <f>'6'!G116</f>
        <v>5</v>
      </c>
      <c r="J15" s="450">
        <f>'7'!G116</f>
        <v>12</v>
      </c>
      <c r="K15" s="450">
        <f>'8'!G116</f>
        <v>8</v>
      </c>
      <c r="L15" s="450">
        <f>'9'!G116</f>
        <v>6</v>
      </c>
      <c r="M15" s="450">
        <f>'10'!G116</f>
        <v>22</v>
      </c>
      <c r="N15" s="450">
        <f>'11'!G116</f>
        <v>9</v>
      </c>
      <c r="O15" s="450">
        <f>'12'!G116</f>
        <v>11</v>
      </c>
      <c r="P15" s="450">
        <f>'13'!G116</f>
        <v>4</v>
      </c>
      <c r="Q15" s="450">
        <f>'14'!G116</f>
        <v>16</v>
      </c>
      <c r="R15" s="450">
        <f>'15'!G116</f>
        <v>8</v>
      </c>
      <c r="S15" s="450">
        <f>'16'!G116</f>
        <v>7</v>
      </c>
      <c r="T15" s="450">
        <f>'17'!G116</f>
        <v>8</v>
      </c>
      <c r="U15" s="450">
        <f>'18'!G116</f>
        <v>9</v>
      </c>
      <c r="V15" s="450">
        <f>'19'!G116</f>
        <v>6</v>
      </c>
      <c r="W15" s="450">
        <f>'20'!G116</f>
        <v>4</v>
      </c>
      <c r="X15" s="450">
        <f>'21'!G116</f>
        <v>11</v>
      </c>
      <c r="Y15" s="450">
        <f>'22'!G116</f>
        <v>11</v>
      </c>
      <c r="Z15" s="450">
        <f>'23'!G116</f>
        <v>8</v>
      </c>
      <c r="AA15" s="450">
        <f>'24'!G116</f>
        <v>6</v>
      </c>
      <c r="AB15" s="450">
        <f>'25'!G116</f>
        <v>15</v>
      </c>
      <c r="AC15" s="450">
        <f>'26'!G116</f>
        <v>6</v>
      </c>
      <c r="AD15" s="450">
        <f>'27'!G116</f>
        <v>7</v>
      </c>
      <c r="AE15" s="450">
        <f>'28'!G116</f>
        <v>9</v>
      </c>
      <c r="AF15" s="450">
        <f>'29'!G116</f>
        <v>7</v>
      </c>
      <c r="AG15" s="450">
        <f>'30'!G116</f>
        <v>10</v>
      </c>
      <c r="AH15" s="450">
        <f>'31'!G116</f>
        <v>9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36" t="s">
        <v>74</v>
      </c>
      <c r="C17" s="448" t="s">
        <v>75</v>
      </c>
      <c r="D17" s="448">
        <f>'1'!G105</f>
        <v>0</v>
      </c>
      <c r="E17" s="450">
        <f>'2'!G105</f>
        <v>60</v>
      </c>
      <c r="F17" s="450">
        <f>'3'!G105</f>
        <v>0</v>
      </c>
      <c r="G17" s="450">
        <f>'4'!G105</f>
        <v>0</v>
      </c>
      <c r="H17" s="450">
        <f>'5'!G105</f>
        <v>40</v>
      </c>
      <c r="I17" s="450">
        <f>'6'!G105</f>
        <v>30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36"/>
      <c r="C18" s="448" t="s">
        <v>76</v>
      </c>
      <c r="D18" s="448">
        <f>'1'!G106</f>
        <v>12</v>
      </c>
      <c r="E18" s="450">
        <f>'2'!G106</f>
        <v>0</v>
      </c>
      <c r="F18" s="450">
        <f>'3'!G106</f>
        <v>12</v>
      </c>
      <c r="G18" s="450">
        <f>'4'!G106</f>
        <v>11</v>
      </c>
      <c r="H18" s="450">
        <f>'5'!G106</f>
        <v>10</v>
      </c>
      <c r="I18" s="450">
        <f>'6'!G106</f>
        <v>0</v>
      </c>
      <c r="J18" s="450">
        <f>'7'!G106</f>
        <v>11</v>
      </c>
      <c r="K18" s="450">
        <f>'8'!G106</f>
        <v>7</v>
      </c>
      <c r="L18" s="450">
        <f>'9'!G106</f>
        <v>7</v>
      </c>
      <c r="M18" s="450">
        <f>'10'!G106</f>
        <v>11</v>
      </c>
      <c r="N18" s="450">
        <f>'11'!G106</f>
        <v>12</v>
      </c>
      <c r="O18" s="450">
        <f>'12'!G106</f>
        <v>14</v>
      </c>
      <c r="P18" s="450">
        <f>'13'!G106</f>
        <v>23</v>
      </c>
      <c r="Q18" s="450">
        <f>'14'!G106</f>
        <v>10</v>
      </c>
      <c r="R18" s="450">
        <f>'15'!G106</f>
        <v>8</v>
      </c>
      <c r="S18" s="450">
        <f>'16'!G106</f>
        <v>11</v>
      </c>
      <c r="T18" s="450">
        <f>'17'!G106</f>
        <v>11</v>
      </c>
      <c r="U18" s="450">
        <f>'18'!G106</f>
        <v>10</v>
      </c>
      <c r="V18" s="450">
        <f>'19'!G106</f>
        <v>10</v>
      </c>
      <c r="W18" s="450">
        <f>'20'!G106</f>
        <v>0</v>
      </c>
      <c r="X18" s="450">
        <f>'21'!G106</f>
        <v>12</v>
      </c>
      <c r="Y18" s="450">
        <f>'22'!G106</f>
        <v>10</v>
      </c>
      <c r="Z18" s="450">
        <f>'23'!G106</f>
        <v>9</v>
      </c>
      <c r="AA18" s="450">
        <f>'24'!G106</f>
        <v>10</v>
      </c>
      <c r="AB18" s="450">
        <f>'25'!G106</f>
        <v>10</v>
      </c>
      <c r="AC18" s="450">
        <f>'26'!G106</f>
        <v>12</v>
      </c>
      <c r="AD18" s="450">
        <f>'27'!G106</f>
        <v>9</v>
      </c>
      <c r="AE18" s="450">
        <f>'28'!G106</f>
        <v>8</v>
      </c>
      <c r="AF18" s="450">
        <f>'29'!G106</f>
        <v>8</v>
      </c>
      <c r="AG18" s="450">
        <f>'30'!G106</f>
        <v>11</v>
      </c>
      <c r="AH18" s="450">
        <f>'31'!G106</f>
        <v>9</v>
      </c>
      <c r="AI18" s="448"/>
    </row>
    <row r="19" spans="2:35">
      <c r="B19" s="1536"/>
      <c r="C19" s="448" t="s">
        <v>77</v>
      </c>
      <c r="D19" s="448">
        <f>'1'!G107</f>
        <v>5</v>
      </c>
      <c r="E19" s="450">
        <f>'2'!G107</f>
        <v>0</v>
      </c>
      <c r="F19" s="450">
        <f>'3'!G107</f>
        <v>6</v>
      </c>
      <c r="G19" s="450">
        <f>'4'!G107</f>
        <v>5</v>
      </c>
      <c r="H19" s="450">
        <f>'5'!G107</f>
        <v>5</v>
      </c>
      <c r="I19" s="450">
        <f>'6'!G107</f>
        <v>0</v>
      </c>
      <c r="J19" s="450">
        <f>'7'!G107</f>
        <v>5</v>
      </c>
      <c r="K19" s="450">
        <f>'8'!G107</f>
        <v>5</v>
      </c>
      <c r="L19" s="450">
        <f>'9'!G107</f>
        <v>6</v>
      </c>
      <c r="M19" s="450">
        <f>'10'!G107</f>
        <v>5</v>
      </c>
      <c r="N19" s="450">
        <f>'11'!G107</f>
        <v>5</v>
      </c>
      <c r="O19" s="450">
        <f>'12'!G107</f>
        <v>5</v>
      </c>
      <c r="P19" s="450">
        <f>'13'!G107</f>
        <v>5</v>
      </c>
      <c r="Q19" s="450">
        <f>'14'!G107</f>
        <v>4</v>
      </c>
      <c r="R19" s="450">
        <f>'15'!G107</f>
        <v>4</v>
      </c>
      <c r="S19" s="450">
        <f>'16'!G107</f>
        <v>6</v>
      </c>
      <c r="T19" s="450">
        <f>'17'!G107</f>
        <v>4</v>
      </c>
      <c r="U19" s="450">
        <f>'18'!G107</f>
        <v>5</v>
      </c>
      <c r="V19" s="450">
        <f>'19'!G107</f>
        <v>6</v>
      </c>
      <c r="W19" s="450">
        <f>'20'!G107</f>
        <v>0</v>
      </c>
      <c r="X19" s="450">
        <f>'21'!G107</f>
        <v>6</v>
      </c>
      <c r="Y19" s="450">
        <f>'22'!G107</f>
        <v>5</v>
      </c>
      <c r="Z19" s="450">
        <f>'23'!G107</f>
        <v>5</v>
      </c>
      <c r="AA19" s="450">
        <f>'24'!G107</f>
        <v>5</v>
      </c>
      <c r="AB19" s="450">
        <f>'25'!G107</f>
        <v>5</v>
      </c>
      <c r="AC19" s="450">
        <f>'26'!G107</f>
        <v>4</v>
      </c>
      <c r="AD19" s="450">
        <f>'27'!G107</f>
        <v>5</v>
      </c>
      <c r="AE19" s="450">
        <f>'28'!G107</f>
        <v>3</v>
      </c>
      <c r="AF19" s="450">
        <f>'29'!G107</f>
        <v>5</v>
      </c>
      <c r="AG19" s="450">
        <f>'30'!G107</f>
        <v>6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36" t="s">
        <v>78</v>
      </c>
      <c r="C21" s="448" t="s">
        <v>79</v>
      </c>
      <c r="D21" s="448">
        <f>'1'!G110</f>
        <v>98</v>
      </c>
      <c r="E21" s="450">
        <f>'2'!G110</f>
        <v>64</v>
      </c>
      <c r="F21" s="450">
        <f>'3'!G110</f>
        <v>43</v>
      </c>
      <c r="G21" s="450">
        <f>'4'!G110</f>
        <v>52</v>
      </c>
      <c r="H21" s="450">
        <f>'5'!G110</f>
        <v>155</v>
      </c>
      <c r="I21" s="450">
        <f>'6'!G110</f>
        <v>65</v>
      </c>
      <c r="J21" s="450">
        <f>'7'!G110</f>
        <v>74</v>
      </c>
      <c r="K21" s="450">
        <f>'8'!G110</f>
        <v>79</v>
      </c>
      <c r="L21" s="450">
        <f>'9'!G110</f>
        <v>89</v>
      </c>
      <c r="M21" s="450">
        <f>'10'!G110</f>
        <v>87</v>
      </c>
      <c r="N21" s="450">
        <f>'11'!G110</f>
        <v>65</v>
      </c>
      <c r="O21" s="450">
        <f>'12'!G110</f>
        <v>64</v>
      </c>
      <c r="P21" s="450">
        <f>'13'!G110</f>
        <v>65</v>
      </c>
      <c r="Q21" s="450">
        <f>'14'!G110</f>
        <v>65</v>
      </c>
      <c r="R21" s="450">
        <f>'15'!G110</f>
        <v>65</v>
      </c>
      <c r="S21" s="450">
        <f>'16'!G110</f>
        <v>66</v>
      </c>
      <c r="T21" s="450">
        <f>'17'!G110</f>
        <v>66</v>
      </c>
      <c r="U21" s="450">
        <f>'18'!G110</f>
        <v>65</v>
      </c>
      <c r="V21" s="450">
        <f>'19'!G110</f>
        <v>66</v>
      </c>
      <c r="W21" s="450">
        <f>'20'!G110</f>
        <v>66</v>
      </c>
      <c r="X21" s="450">
        <f>'21'!G110</f>
        <v>66</v>
      </c>
      <c r="Y21" s="450">
        <f>'22'!G110</f>
        <v>68</v>
      </c>
      <c r="Z21" s="450">
        <f>'23'!G110</f>
        <v>71</v>
      </c>
      <c r="AA21" s="450">
        <f>'24'!G110</f>
        <v>72</v>
      </c>
      <c r="AB21" s="450">
        <f>'25'!G110</f>
        <v>72</v>
      </c>
      <c r="AC21" s="450">
        <f>'26'!G110</f>
        <v>73</v>
      </c>
      <c r="AD21" s="450">
        <f>'27'!G110</f>
        <v>71</v>
      </c>
      <c r="AE21" s="450">
        <f>'28'!G110</f>
        <v>70</v>
      </c>
      <c r="AF21" s="450">
        <f>'29'!G110</f>
        <v>70</v>
      </c>
      <c r="AG21" s="450">
        <f>'30'!G110</f>
        <v>86</v>
      </c>
      <c r="AH21" s="450">
        <f>'31'!G110</f>
        <v>82</v>
      </c>
      <c r="AI21" s="448"/>
    </row>
    <row r="22" spans="2:35">
      <c r="B22" s="1536"/>
      <c r="C22" s="448" t="s">
        <v>80</v>
      </c>
      <c r="D22" s="448">
        <f>'1'!G111</f>
        <v>40</v>
      </c>
      <c r="E22" s="450">
        <f>'2'!G111</f>
        <v>83</v>
      </c>
      <c r="F22" s="450">
        <f>'3'!G111</f>
        <v>0</v>
      </c>
      <c r="G22" s="450">
        <f>'4'!G111</f>
        <v>50</v>
      </c>
      <c r="H22" s="450">
        <f>'5'!G111</f>
        <v>25</v>
      </c>
      <c r="I22" s="450">
        <f>'6'!G111</f>
        <v>22</v>
      </c>
      <c r="J22" s="450">
        <f>'7'!G111</f>
        <v>25</v>
      </c>
      <c r="K22" s="450">
        <f>'8'!G111</f>
        <v>21</v>
      </c>
      <c r="L22" s="450">
        <f>'9'!G111</f>
        <v>26</v>
      </c>
      <c r="M22" s="450">
        <f>'10'!G111</f>
        <v>14</v>
      </c>
      <c r="N22" s="450">
        <f>'11'!G111</f>
        <v>24</v>
      </c>
      <c r="O22" s="450">
        <f>'12'!G111</f>
        <v>70</v>
      </c>
      <c r="P22" s="450">
        <f>'13'!G111</f>
        <v>26</v>
      </c>
      <c r="Q22" s="450">
        <f>'14'!G111</f>
        <v>13</v>
      </c>
      <c r="R22" s="450">
        <f>'15'!G111</f>
        <v>7</v>
      </c>
      <c r="S22" s="450">
        <f>'16'!G111</f>
        <v>28</v>
      </c>
      <c r="T22" s="450">
        <f>'17'!G111</f>
        <v>26</v>
      </c>
      <c r="U22" s="450">
        <f>'18'!G111</f>
        <v>12</v>
      </c>
      <c r="V22" s="450">
        <f>'19'!G111</f>
        <v>40</v>
      </c>
      <c r="W22" s="450">
        <f>'20'!G111</f>
        <v>33</v>
      </c>
      <c r="X22" s="450">
        <f>'21'!G111</f>
        <v>4</v>
      </c>
      <c r="Y22" s="450">
        <f>'22'!G111</f>
        <v>15</v>
      </c>
      <c r="Z22" s="450">
        <f>'23'!G111</f>
        <v>26</v>
      </c>
      <c r="AA22" s="450">
        <f>'24'!G111</f>
        <v>31</v>
      </c>
      <c r="AB22" s="450">
        <f>'25'!G111</f>
        <v>37</v>
      </c>
      <c r="AC22" s="450">
        <f>'26'!G111</f>
        <v>11</v>
      </c>
      <c r="AD22" s="450">
        <f>'27'!G111</f>
        <v>29</v>
      </c>
      <c r="AE22" s="450">
        <f>'28'!G111</f>
        <v>19</v>
      </c>
      <c r="AF22" s="450">
        <f>'29'!G111</f>
        <v>0</v>
      </c>
      <c r="AG22" s="450">
        <f>'30'!G111</f>
        <v>0</v>
      </c>
      <c r="AH22" s="450">
        <f>'31'!G111</f>
        <v>0</v>
      </c>
      <c r="AI22" s="448"/>
    </row>
    <row r="23" spans="2:35">
      <c r="B23" s="1536"/>
      <c r="C23" s="448" t="s">
        <v>81</v>
      </c>
      <c r="D23" s="448">
        <f>'1'!G112</f>
        <v>0</v>
      </c>
      <c r="E23" s="450">
        <f>'2'!G112</f>
        <v>0</v>
      </c>
      <c r="F23" s="450">
        <f>'3'!G112</f>
        <v>0.3000000000001819</v>
      </c>
      <c r="G23" s="450">
        <f>'4'!G112</f>
        <v>0</v>
      </c>
      <c r="H23" s="450">
        <f>'5'!G112</f>
        <v>0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335</v>
      </c>
      <c r="C24" s="448"/>
      <c r="D24" s="450">
        <f>SUM(D5:D6)</f>
        <v>154</v>
      </c>
      <c r="E24" s="450">
        <f t="shared" ref="E24:AH24" si="0">SUM(E5:E6)</f>
        <v>162</v>
      </c>
      <c r="F24" s="450">
        <f t="shared" si="0"/>
        <v>210</v>
      </c>
      <c r="G24" s="450">
        <f t="shared" si="0"/>
        <v>271</v>
      </c>
      <c r="H24" s="450">
        <f t="shared" si="0"/>
        <v>241</v>
      </c>
      <c r="I24" s="450">
        <f t="shared" si="0"/>
        <v>149</v>
      </c>
      <c r="J24" s="450">
        <f t="shared" si="0"/>
        <v>168</v>
      </c>
      <c r="K24" s="450">
        <f t="shared" si="0"/>
        <v>161</v>
      </c>
      <c r="L24" s="450">
        <f t="shared" si="0"/>
        <v>191</v>
      </c>
      <c r="M24" s="450">
        <f t="shared" si="0"/>
        <v>218</v>
      </c>
      <c r="N24" s="450">
        <f t="shared" si="0"/>
        <v>240</v>
      </c>
      <c r="O24" s="450">
        <f t="shared" si="0"/>
        <v>186</v>
      </c>
      <c r="P24" s="450">
        <f t="shared" si="0"/>
        <v>202</v>
      </c>
      <c r="Q24" s="450">
        <f t="shared" si="0"/>
        <v>205</v>
      </c>
      <c r="R24" s="450">
        <f t="shared" si="0"/>
        <v>184</v>
      </c>
      <c r="S24" s="450">
        <f t="shared" si="0"/>
        <v>170</v>
      </c>
      <c r="T24" s="450">
        <f t="shared" si="0"/>
        <v>201</v>
      </c>
      <c r="U24" s="450">
        <f t="shared" si="0"/>
        <v>179</v>
      </c>
      <c r="V24" s="450">
        <f t="shared" si="0"/>
        <v>257</v>
      </c>
      <c r="W24" s="450">
        <f t="shared" si="0"/>
        <v>143</v>
      </c>
      <c r="X24" s="450">
        <f t="shared" si="0"/>
        <v>175</v>
      </c>
      <c r="Y24" s="450">
        <f t="shared" si="0"/>
        <v>187</v>
      </c>
      <c r="Z24" s="450">
        <f t="shared" si="0"/>
        <v>170</v>
      </c>
      <c r="AA24" s="450">
        <f t="shared" si="0"/>
        <v>174</v>
      </c>
      <c r="AB24" s="450">
        <f t="shared" si="0"/>
        <v>222</v>
      </c>
      <c r="AC24" s="450">
        <f t="shared" si="0"/>
        <v>185</v>
      </c>
      <c r="AD24" s="450">
        <f t="shared" si="0"/>
        <v>175</v>
      </c>
      <c r="AE24" s="450">
        <f t="shared" si="0"/>
        <v>126</v>
      </c>
      <c r="AF24" s="450">
        <f t="shared" si="0"/>
        <v>204</v>
      </c>
      <c r="AG24" s="450">
        <f t="shared" si="0"/>
        <v>212</v>
      </c>
      <c r="AH24" s="450">
        <f t="shared" si="0"/>
        <v>223</v>
      </c>
      <c r="AI24" s="448"/>
    </row>
    <row r="25" spans="2:35" ht="30">
      <c r="B25" s="452" t="s">
        <v>82</v>
      </c>
      <c r="C25" s="448"/>
      <c r="D25" s="450">
        <f>SUM(D9:D11,D14:D15,)</f>
        <v>133</v>
      </c>
      <c r="E25" s="450">
        <f t="shared" ref="E25:AI25" si="1">SUM(E9:E11,E14:E15,)</f>
        <v>147</v>
      </c>
      <c r="F25" s="450">
        <f t="shared" si="1"/>
        <v>187</v>
      </c>
      <c r="G25" s="450">
        <f t="shared" si="1"/>
        <v>256</v>
      </c>
      <c r="H25" s="450">
        <f t="shared" si="1"/>
        <v>161</v>
      </c>
      <c r="I25" s="450">
        <f t="shared" si="1"/>
        <v>114</v>
      </c>
      <c r="J25" s="450">
        <f t="shared" si="1"/>
        <v>135</v>
      </c>
      <c r="K25" s="450">
        <f t="shared" si="1"/>
        <v>140</v>
      </c>
      <c r="L25" s="450">
        <f t="shared" si="1"/>
        <v>154</v>
      </c>
      <c r="M25" s="450">
        <f t="shared" si="1"/>
        <v>181</v>
      </c>
      <c r="N25" s="450">
        <f t="shared" si="1"/>
        <v>176</v>
      </c>
      <c r="O25" s="450">
        <f t="shared" si="1"/>
        <v>161</v>
      </c>
      <c r="P25" s="450">
        <f t="shared" si="1"/>
        <v>155</v>
      </c>
      <c r="Q25" s="450">
        <f t="shared" si="1"/>
        <v>146</v>
      </c>
      <c r="R25" s="450">
        <f t="shared" si="1"/>
        <v>147</v>
      </c>
      <c r="S25" s="450">
        <f t="shared" si="1"/>
        <v>166</v>
      </c>
      <c r="T25" s="450">
        <f>SUM(T9:T11,T14:T15,)</f>
        <v>173</v>
      </c>
      <c r="U25" s="450">
        <f t="shared" si="1"/>
        <v>177</v>
      </c>
      <c r="V25" s="450">
        <f t="shared" si="1"/>
        <v>134</v>
      </c>
      <c r="W25" s="450">
        <f t="shared" si="1"/>
        <v>102</v>
      </c>
      <c r="X25" s="450">
        <f t="shared" si="1"/>
        <v>150</v>
      </c>
      <c r="Y25" s="450">
        <f t="shared" si="1"/>
        <v>149</v>
      </c>
      <c r="Z25" s="450">
        <f t="shared" si="1"/>
        <v>128</v>
      </c>
      <c r="AA25" s="450">
        <f t="shared" si="1"/>
        <v>139</v>
      </c>
      <c r="AB25" s="450">
        <f t="shared" si="1"/>
        <v>182</v>
      </c>
      <c r="AC25" s="450">
        <f t="shared" si="1"/>
        <v>142</v>
      </c>
      <c r="AD25" s="450">
        <f t="shared" si="1"/>
        <v>122</v>
      </c>
      <c r="AE25" s="450">
        <f t="shared" si="1"/>
        <v>126</v>
      </c>
      <c r="AF25" s="450">
        <f t="shared" si="1"/>
        <v>131</v>
      </c>
      <c r="AG25" s="450">
        <f t="shared" si="1"/>
        <v>150</v>
      </c>
      <c r="AH25" s="450">
        <f t="shared" si="1"/>
        <v>167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148</v>
      </c>
      <c r="E27" s="450">
        <f t="shared" ref="E27:AH27" si="2">SUM(E13,E21,E23)</f>
        <v>104</v>
      </c>
      <c r="F27" s="450">
        <f>SUM(F13,F21,F23)</f>
        <v>75.300000000000182</v>
      </c>
      <c r="G27" s="450">
        <f t="shared" si="2"/>
        <v>90</v>
      </c>
      <c r="H27" s="450">
        <f t="shared" si="2"/>
        <v>186</v>
      </c>
      <c r="I27" s="450">
        <f t="shared" si="2"/>
        <v>101</v>
      </c>
      <c r="J27" s="450">
        <f t="shared" si="2"/>
        <v>92</v>
      </c>
      <c r="K27" s="450">
        <f t="shared" si="2"/>
        <v>99</v>
      </c>
      <c r="L27" s="450">
        <f t="shared" si="2"/>
        <v>103</v>
      </c>
      <c r="M27" s="450">
        <f t="shared" si="2"/>
        <v>112</v>
      </c>
      <c r="N27" s="450">
        <f t="shared" si="2"/>
        <v>82</v>
      </c>
      <c r="O27" s="450">
        <f t="shared" si="2"/>
        <v>135</v>
      </c>
      <c r="P27" s="450">
        <f t="shared" si="2"/>
        <v>82</v>
      </c>
      <c r="Q27" s="450">
        <f t="shared" si="2"/>
        <v>87</v>
      </c>
      <c r="R27" s="450">
        <f t="shared" si="2"/>
        <v>101</v>
      </c>
      <c r="S27" s="450">
        <f t="shared" si="2"/>
        <v>79</v>
      </c>
      <c r="T27" s="450">
        <f t="shared" si="2"/>
        <v>89</v>
      </c>
      <c r="U27" s="450">
        <f t="shared" si="2"/>
        <v>92</v>
      </c>
      <c r="V27" s="450">
        <f t="shared" si="2"/>
        <v>101</v>
      </c>
      <c r="W27" s="450">
        <f t="shared" si="2"/>
        <v>76</v>
      </c>
      <c r="X27" s="450">
        <f t="shared" si="2"/>
        <v>84</v>
      </c>
      <c r="Y27" s="450">
        <f t="shared" si="2"/>
        <v>82</v>
      </c>
      <c r="Z27" s="450">
        <f t="shared" si="2"/>
        <v>120</v>
      </c>
      <c r="AA27" s="450">
        <f t="shared" si="2"/>
        <v>78</v>
      </c>
      <c r="AB27" s="450">
        <f t="shared" si="2"/>
        <v>107</v>
      </c>
      <c r="AC27" s="450">
        <f t="shared" si="2"/>
        <v>100</v>
      </c>
      <c r="AD27" s="450">
        <f t="shared" si="2"/>
        <v>78</v>
      </c>
      <c r="AE27" s="450">
        <f t="shared" si="2"/>
        <v>117</v>
      </c>
      <c r="AF27" s="450">
        <f t="shared" si="2"/>
        <v>100</v>
      </c>
      <c r="AG27" s="450">
        <f t="shared" si="2"/>
        <v>109</v>
      </c>
      <c r="AH27" s="450">
        <f t="shared" si="2"/>
        <v>97</v>
      </c>
      <c r="AI27" s="450">
        <f t="shared" ref="AI27" si="3">SUM(AI13)</f>
        <v>0</v>
      </c>
    </row>
    <row r="28" spans="2:35">
      <c r="B28" s="1024"/>
      <c r="C28" s="1025"/>
      <c r="D28" s="1025"/>
      <c r="E28" s="1025"/>
      <c r="F28" s="1025"/>
      <c r="G28" s="1025"/>
      <c r="H28" s="1025"/>
      <c r="I28" s="1025"/>
      <c r="J28" s="1025"/>
      <c r="K28" s="1025"/>
      <c r="L28" s="1025"/>
      <c r="M28" s="1025"/>
      <c r="N28" s="1025"/>
      <c r="O28" s="1025"/>
      <c r="P28" s="1025"/>
      <c r="Q28" s="1025"/>
      <c r="R28" s="1025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  <c r="AD28" s="1025"/>
      <c r="AE28" s="1025"/>
      <c r="AF28" s="1025"/>
      <c r="AG28" s="1025"/>
      <c r="AH28" s="1025"/>
      <c r="AI28" s="1025"/>
    </row>
    <row r="29" spans="2:35">
      <c r="B29" s="1024" t="s">
        <v>84</v>
      </c>
      <c r="C29" s="1025"/>
      <c r="D29" s="1026">
        <f>D9</f>
        <v>86</v>
      </c>
      <c r="E29" s="1026">
        <f t="shared" ref="E29:AH29" si="4">E9</f>
        <v>100</v>
      </c>
      <c r="F29" s="1026">
        <f t="shared" si="4"/>
        <v>102</v>
      </c>
      <c r="G29" s="1026">
        <f t="shared" si="4"/>
        <v>147</v>
      </c>
      <c r="H29" s="1026">
        <f t="shared" si="4"/>
        <v>120</v>
      </c>
      <c r="I29" s="1026">
        <f t="shared" si="4"/>
        <v>59</v>
      </c>
      <c r="J29" s="1026">
        <f t="shared" si="4"/>
        <v>76</v>
      </c>
      <c r="K29" s="1026">
        <f t="shared" si="4"/>
        <v>80</v>
      </c>
      <c r="L29" s="1026">
        <f t="shared" si="4"/>
        <v>93</v>
      </c>
      <c r="M29" s="1026">
        <f t="shared" si="4"/>
        <v>76</v>
      </c>
      <c r="N29" s="1026">
        <f t="shared" si="4"/>
        <v>77</v>
      </c>
      <c r="O29" s="1026">
        <f t="shared" si="4"/>
        <v>91</v>
      </c>
      <c r="P29" s="1026">
        <f t="shared" si="4"/>
        <v>101</v>
      </c>
      <c r="Q29" s="1026">
        <f t="shared" si="4"/>
        <v>74</v>
      </c>
      <c r="R29" s="1026">
        <f t="shared" si="4"/>
        <v>78</v>
      </c>
      <c r="S29" s="1026">
        <f t="shared" si="4"/>
        <v>96</v>
      </c>
      <c r="T29" s="1026">
        <f t="shared" si="4"/>
        <v>89</v>
      </c>
      <c r="U29" s="1026">
        <f t="shared" si="4"/>
        <v>90</v>
      </c>
      <c r="V29" s="1026">
        <f t="shared" si="4"/>
        <v>76</v>
      </c>
      <c r="W29" s="1026">
        <f t="shared" si="4"/>
        <v>51</v>
      </c>
      <c r="X29" s="1026">
        <f t="shared" si="4"/>
        <v>79</v>
      </c>
      <c r="Y29" s="1026">
        <f t="shared" si="4"/>
        <v>73</v>
      </c>
      <c r="Z29" s="1026">
        <f t="shared" si="4"/>
        <v>67</v>
      </c>
      <c r="AA29" s="1026">
        <f t="shared" si="4"/>
        <v>64</v>
      </c>
      <c r="AB29" s="1026">
        <f t="shared" si="4"/>
        <v>78</v>
      </c>
      <c r="AC29" s="1026">
        <f t="shared" si="4"/>
        <v>69</v>
      </c>
      <c r="AD29" s="1026">
        <f t="shared" si="4"/>
        <v>62</v>
      </c>
      <c r="AE29" s="1026">
        <f t="shared" si="4"/>
        <v>61</v>
      </c>
      <c r="AF29" s="1026">
        <f t="shared" si="4"/>
        <v>69</v>
      </c>
      <c r="AG29" s="1026">
        <f t="shared" si="4"/>
        <v>73</v>
      </c>
      <c r="AH29" s="1026">
        <f t="shared" si="4"/>
        <v>80</v>
      </c>
      <c r="AI29" s="1025"/>
    </row>
    <row r="30" spans="2:35">
      <c r="B30" s="1024" t="s">
        <v>85</v>
      </c>
      <c r="C30" s="1025"/>
      <c r="D30" s="1026">
        <f>SUM(D10:D11,D14:D15)</f>
        <v>47</v>
      </c>
      <c r="E30" s="1026">
        <f t="shared" ref="E30:AH30" si="5">SUM(E10:E11,E14:E15)</f>
        <v>47</v>
      </c>
      <c r="F30" s="1026">
        <f t="shared" si="5"/>
        <v>85</v>
      </c>
      <c r="G30" s="1026">
        <f t="shared" si="5"/>
        <v>109</v>
      </c>
      <c r="H30" s="1026">
        <f t="shared" si="5"/>
        <v>41</v>
      </c>
      <c r="I30" s="1026">
        <f t="shared" si="5"/>
        <v>55</v>
      </c>
      <c r="J30" s="1026">
        <f t="shared" si="5"/>
        <v>59</v>
      </c>
      <c r="K30" s="1026">
        <f t="shared" si="5"/>
        <v>60</v>
      </c>
      <c r="L30" s="1026">
        <f t="shared" si="5"/>
        <v>61</v>
      </c>
      <c r="M30" s="1026">
        <f t="shared" si="5"/>
        <v>105</v>
      </c>
      <c r="N30" s="1026">
        <f t="shared" si="5"/>
        <v>99</v>
      </c>
      <c r="O30" s="1026">
        <f t="shared" si="5"/>
        <v>70</v>
      </c>
      <c r="P30" s="1026">
        <f t="shared" si="5"/>
        <v>54</v>
      </c>
      <c r="Q30" s="1026">
        <f t="shared" si="5"/>
        <v>72</v>
      </c>
      <c r="R30" s="1026">
        <f t="shared" si="5"/>
        <v>69</v>
      </c>
      <c r="S30" s="1026">
        <f t="shared" si="5"/>
        <v>70</v>
      </c>
      <c r="T30" s="1026">
        <f t="shared" si="5"/>
        <v>84</v>
      </c>
      <c r="U30" s="1026">
        <f t="shared" si="5"/>
        <v>87</v>
      </c>
      <c r="V30" s="1026">
        <f t="shared" si="5"/>
        <v>58</v>
      </c>
      <c r="W30" s="1026">
        <f t="shared" si="5"/>
        <v>51</v>
      </c>
      <c r="X30" s="1026">
        <f t="shared" si="5"/>
        <v>71</v>
      </c>
      <c r="Y30" s="1026">
        <f t="shared" si="5"/>
        <v>76</v>
      </c>
      <c r="Z30" s="1026">
        <f t="shared" si="5"/>
        <v>61</v>
      </c>
      <c r="AA30" s="1026">
        <f t="shared" si="5"/>
        <v>75</v>
      </c>
      <c r="AB30" s="1026">
        <f t="shared" si="5"/>
        <v>104</v>
      </c>
      <c r="AC30" s="1026">
        <f t="shared" si="5"/>
        <v>73</v>
      </c>
      <c r="AD30" s="1026">
        <f t="shared" si="5"/>
        <v>60</v>
      </c>
      <c r="AE30" s="1026">
        <f t="shared" si="5"/>
        <v>65</v>
      </c>
      <c r="AF30" s="1026">
        <f t="shared" si="5"/>
        <v>62</v>
      </c>
      <c r="AG30" s="1026">
        <f t="shared" si="5"/>
        <v>77</v>
      </c>
      <c r="AH30" s="1026">
        <f t="shared" si="5"/>
        <v>87</v>
      </c>
      <c r="AI30" s="1025"/>
    </row>
    <row r="31" spans="2:35">
      <c r="B31" s="1024" t="s">
        <v>86</v>
      </c>
      <c r="C31" s="1025"/>
      <c r="D31" s="1025">
        <f>D30/SUM(D29:D30)%</f>
        <v>35.338345864661655</v>
      </c>
      <c r="E31" s="1025">
        <f t="shared" ref="E31:AH31" si="6">E30/SUM(E29:E30)%</f>
        <v>31.972789115646258</v>
      </c>
      <c r="F31" s="1025">
        <f t="shared" si="6"/>
        <v>45.454545454545453</v>
      </c>
      <c r="G31" s="1025">
        <f t="shared" si="6"/>
        <v>42.578125</v>
      </c>
      <c r="H31" s="1025">
        <f t="shared" si="6"/>
        <v>25.465838509316768</v>
      </c>
      <c r="I31" s="1025">
        <f t="shared" si="6"/>
        <v>48.245614035087726</v>
      </c>
      <c r="J31" s="1025">
        <f t="shared" si="6"/>
        <v>43.703703703703702</v>
      </c>
      <c r="K31" s="1025">
        <f t="shared" si="6"/>
        <v>42.857142857142861</v>
      </c>
      <c r="L31" s="1025">
        <f t="shared" si="6"/>
        <v>39.61038961038961</v>
      </c>
      <c r="M31" s="1025">
        <f t="shared" si="6"/>
        <v>58.011049723756905</v>
      </c>
      <c r="N31" s="1025">
        <f t="shared" si="6"/>
        <v>56.25</v>
      </c>
      <c r="O31" s="1025">
        <f t="shared" si="6"/>
        <v>43.478260869565212</v>
      </c>
      <c r="P31" s="1025">
        <f t="shared" si="6"/>
        <v>34.838709677419352</v>
      </c>
      <c r="Q31" s="1025">
        <f t="shared" si="6"/>
        <v>49.315068493150683</v>
      </c>
      <c r="R31" s="1025">
        <f t="shared" si="6"/>
        <v>46.938775510204081</v>
      </c>
      <c r="S31" s="1025">
        <f t="shared" si="6"/>
        <v>42.168674698795179</v>
      </c>
      <c r="T31" s="1025">
        <f t="shared" si="6"/>
        <v>48.554913294797686</v>
      </c>
      <c r="U31" s="1025">
        <f t="shared" si="6"/>
        <v>49.152542372881356</v>
      </c>
      <c r="V31" s="1025">
        <f t="shared" si="6"/>
        <v>43.283582089552233</v>
      </c>
      <c r="W31" s="1025">
        <f t="shared" si="6"/>
        <v>50</v>
      </c>
      <c r="X31" s="1025">
        <f t="shared" si="6"/>
        <v>47.333333333333336</v>
      </c>
      <c r="Y31" s="1025">
        <f t="shared" si="6"/>
        <v>51.006711409395976</v>
      </c>
      <c r="Z31" s="1025">
        <f t="shared" si="6"/>
        <v>47.65625</v>
      </c>
      <c r="AA31" s="1025">
        <f t="shared" si="6"/>
        <v>53.956834532374103</v>
      </c>
      <c r="AB31" s="1025">
        <f t="shared" si="6"/>
        <v>57.142857142857139</v>
      </c>
      <c r="AC31" s="1025">
        <f t="shared" si="6"/>
        <v>51.408450704225352</v>
      </c>
      <c r="AD31" s="1025">
        <f t="shared" si="6"/>
        <v>49.180327868852459</v>
      </c>
      <c r="AE31" s="1025">
        <f t="shared" si="6"/>
        <v>51.587301587301589</v>
      </c>
      <c r="AF31" s="1025">
        <f t="shared" si="6"/>
        <v>47.328244274809158</v>
      </c>
      <c r="AG31" s="1025">
        <f t="shared" si="6"/>
        <v>51.333333333333336</v>
      </c>
      <c r="AH31" s="1025">
        <f t="shared" si="6"/>
        <v>52.095808383233532</v>
      </c>
      <c r="AI31" s="102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4" zoomScale="70" zoomScaleNormal="70" workbookViewId="0">
      <pane ySplit="1" topLeftCell="A5" activePane="bottomLeft" state="frozen"/>
      <selection activeCell="A4" sqref="A4"/>
      <selection pane="bottomLeft" activeCell="C37" sqref="C37"/>
    </sheetView>
  </sheetViews>
  <sheetFormatPr defaultRowHeight="15.75"/>
  <cols>
    <col min="1" max="4" width="8.88671875" style="1035"/>
    <col min="5" max="5" width="8.88671875" style="1035" customWidth="1"/>
    <col min="6" max="6" width="8.109375" customWidth="1"/>
    <col min="7" max="7" width="6.44140625" customWidth="1"/>
    <col min="8" max="8" width="7.5546875" customWidth="1"/>
    <col min="9" max="9" width="7.77734375" customWidth="1"/>
    <col min="10" max="10" width="8.109375" customWidth="1"/>
    <col min="11" max="11" width="8.21875" customWidth="1"/>
    <col min="12" max="13" width="7.109375" customWidth="1"/>
    <col min="14" max="32" width="7.33203125" style="1035" customWidth="1"/>
    <col min="33" max="51" width="7" style="1035" customWidth="1"/>
    <col min="52" max="16384" width="8.88671875" style="1035"/>
  </cols>
  <sheetData>
    <row r="1" spans="1:53" ht="16.5" thickBot="1">
      <c r="F1" s="1035"/>
      <c r="G1" s="1035"/>
      <c r="H1" s="1035"/>
      <c r="I1" s="1035"/>
      <c r="J1" s="1035"/>
      <c r="K1" s="1035"/>
      <c r="L1" s="1035"/>
      <c r="M1" s="1035"/>
    </row>
    <row r="2" spans="1:53">
      <c r="F2" s="1540" t="s">
        <v>342</v>
      </c>
      <c r="G2" s="1534"/>
      <c r="H2" s="1534"/>
      <c r="I2" s="1534"/>
      <c r="J2" s="1534"/>
      <c r="K2" s="1534"/>
      <c r="L2" s="1534"/>
      <c r="M2" s="1535"/>
      <c r="N2" s="1539" t="s">
        <v>87</v>
      </c>
      <c r="O2" s="1539"/>
      <c r="P2" s="1539"/>
      <c r="Q2" s="1539"/>
      <c r="R2" s="1539"/>
      <c r="S2" s="1539"/>
      <c r="T2" s="1539"/>
      <c r="U2" s="1539"/>
      <c r="V2" s="1539"/>
      <c r="W2" s="1539"/>
      <c r="X2" s="1539"/>
      <c r="Y2" s="1539"/>
      <c r="Z2" s="1539"/>
      <c r="AA2" s="1539"/>
      <c r="AB2" s="1539"/>
      <c r="AC2" s="1539"/>
      <c r="AD2" s="1539"/>
      <c r="AE2" s="1539"/>
      <c r="AF2" s="1539"/>
      <c r="AG2" s="1539"/>
      <c r="AH2" s="1539"/>
      <c r="AI2" s="1539"/>
      <c r="AJ2" s="1539"/>
      <c r="AK2" s="1539"/>
      <c r="AL2" s="1539"/>
      <c r="AM2" s="1539"/>
      <c r="AN2" s="1538"/>
      <c r="AO2" s="1538"/>
      <c r="AP2" s="1538"/>
      <c r="AQ2" s="1538"/>
      <c r="AR2" s="1538"/>
      <c r="AS2" s="1538"/>
      <c r="AT2" s="1538"/>
      <c r="AU2" s="1112"/>
      <c r="AV2" s="1537" t="s">
        <v>88</v>
      </c>
      <c r="AW2" s="1537"/>
      <c r="AX2" s="1537"/>
      <c r="AY2" s="1537"/>
    </row>
    <row r="3" spans="1:53">
      <c r="F3" s="1281"/>
      <c r="G3" s="438"/>
      <c r="H3" s="438"/>
      <c r="I3" s="438"/>
      <c r="J3" s="438"/>
      <c r="K3" s="438"/>
      <c r="L3" s="438"/>
      <c r="M3" s="1282"/>
      <c r="N3" s="1280"/>
      <c r="O3" s="1280"/>
      <c r="P3" s="1280"/>
      <c r="Q3" s="1280"/>
      <c r="R3" s="1280"/>
      <c r="S3" s="1280"/>
      <c r="T3" s="1280"/>
      <c r="U3" s="1280"/>
      <c r="V3" s="1280"/>
      <c r="W3" s="1280"/>
      <c r="X3" s="1280"/>
      <c r="Y3" s="1280"/>
      <c r="Z3" s="1280"/>
      <c r="AA3" s="1283"/>
      <c r="AB3" s="1283"/>
      <c r="AC3" s="1283"/>
      <c r="AD3" s="1283"/>
      <c r="AE3" s="1283"/>
      <c r="AF3" s="1283"/>
      <c r="AG3" s="1283"/>
      <c r="AH3" s="1283"/>
      <c r="AI3" s="1283"/>
      <c r="AJ3" s="1283"/>
      <c r="AK3" s="1283"/>
      <c r="AL3" s="1283"/>
      <c r="AM3" s="1280"/>
      <c r="AN3" s="1541" t="s">
        <v>138</v>
      </c>
      <c r="AO3" s="1541"/>
      <c r="AP3" s="1541"/>
      <c r="AQ3" s="1541"/>
      <c r="AR3" s="1541"/>
      <c r="AS3" s="1541"/>
      <c r="AT3" s="1541"/>
      <c r="AU3" s="1542" t="s">
        <v>316</v>
      </c>
      <c r="AV3" s="1542"/>
      <c r="AW3" s="1542"/>
      <c r="AX3" s="1542"/>
      <c r="AY3" s="1542"/>
    </row>
    <row r="4" spans="1:53" ht="34.5" customHeight="1">
      <c r="A4" s="1036"/>
      <c r="B4" s="1372" t="s">
        <v>338</v>
      </c>
      <c r="C4" s="1372" t="s">
        <v>339</v>
      </c>
      <c r="D4" s="1372" t="s">
        <v>341</v>
      </c>
      <c r="E4" s="1372" t="s">
        <v>340</v>
      </c>
      <c r="F4" s="1284" t="s">
        <v>317</v>
      </c>
      <c r="G4" s="1285" t="s">
        <v>318</v>
      </c>
      <c r="H4" s="1285" t="s">
        <v>319</v>
      </c>
      <c r="I4" s="1285" t="s">
        <v>320</v>
      </c>
      <c r="J4" s="1285" t="s">
        <v>315</v>
      </c>
      <c r="K4" s="1285" t="s">
        <v>52</v>
      </c>
      <c r="L4" s="1286" t="s">
        <v>61</v>
      </c>
      <c r="M4" s="1286" t="s">
        <v>54</v>
      </c>
      <c r="N4" s="1036" t="s">
        <v>89</v>
      </c>
      <c r="O4" s="1036" t="s">
        <v>90</v>
      </c>
      <c r="P4" s="1036" t="s">
        <v>105</v>
      </c>
      <c r="Q4" s="1036" t="s">
        <v>321</v>
      </c>
      <c r="R4" s="1036" t="s">
        <v>322</v>
      </c>
      <c r="S4" s="1036" t="s">
        <v>323</v>
      </c>
      <c r="T4" s="1036" t="s">
        <v>324</v>
      </c>
      <c r="U4" s="1036" t="s">
        <v>91</v>
      </c>
      <c r="V4" s="1036" t="s">
        <v>325</v>
      </c>
      <c r="W4" s="1036" t="s">
        <v>326</v>
      </c>
      <c r="X4" s="1036" t="s">
        <v>311</v>
      </c>
      <c r="Y4" s="1036" t="s">
        <v>76</v>
      </c>
      <c r="Z4" s="1036" t="s">
        <v>327</v>
      </c>
      <c r="AA4" s="1037" t="s">
        <v>328</v>
      </c>
      <c r="AB4" s="1037" t="s">
        <v>101</v>
      </c>
      <c r="AC4" s="1037" t="s">
        <v>95</v>
      </c>
      <c r="AD4" s="1037" t="s">
        <v>96</v>
      </c>
      <c r="AE4" s="433" t="s">
        <v>329</v>
      </c>
      <c r="AF4" s="434" t="s">
        <v>98</v>
      </c>
      <c r="AG4" s="434" t="s">
        <v>98</v>
      </c>
      <c r="AH4" s="434" t="s">
        <v>99</v>
      </c>
      <c r="AI4" s="434" t="s">
        <v>310</v>
      </c>
      <c r="AJ4" s="434" t="s">
        <v>101</v>
      </c>
      <c r="AK4" s="434" t="s">
        <v>102</v>
      </c>
      <c r="AL4" s="434" t="s">
        <v>103</v>
      </c>
      <c r="AM4" s="1036" t="s">
        <v>199</v>
      </c>
      <c r="AN4" s="1036" t="s">
        <v>330</v>
      </c>
      <c r="AO4" s="1036" t="s">
        <v>104</v>
      </c>
      <c r="AP4" s="1036" t="s">
        <v>105</v>
      </c>
      <c r="AQ4" s="1036" t="s">
        <v>106</v>
      </c>
      <c r="AR4" s="1036" t="s">
        <v>107</v>
      </c>
      <c r="AS4" s="1036" t="s">
        <v>108</v>
      </c>
      <c r="AT4" s="1036" t="s">
        <v>331</v>
      </c>
      <c r="AU4" s="1036" t="s">
        <v>104</v>
      </c>
      <c r="AV4" s="1036" t="s">
        <v>40</v>
      </c>
      <c r="AW4" s="1036" t="s">
        <v>41</v>
      </c>
      <c r="AX4" s="1036" t="s">
        <v>308</v>
      </c>
      <c r="AY4" s="1036" t="s">
        <v>109</v>
      </c>
    </row>
    <row r="5" spans="1:53">
      <c r="A5" s="1038">
        <v>44013</v>
      </c>
      <c r="B5" s="261">
        <f>'1'!G7</f>
        <v>23102.75</v>
      </c>
      <c r="C5" s="261">
        <f>'1'!G8</f>
        <v>23260.790000000037</v>
      </c>
      <c r="D5" s="261">
        <f>'1'!G15</f>
        <v>918.37800000002608</v>
      </c>
      <c r="E5" s="261">
        <f>'1'!G20</f>
        <v>154</v>
      </c>
      <c r="F5" s="261">
        <f>SUM('1'!G35,'1'!G49)</f>
        <v>2908.2299999999814</v>
      </c>
      <c r="G5" s="261">
        <f>SUM('1'!H37,'1'!H51)</f>
        <v>1476.320000000007</v>
      </c>
      <c r="H5" s="261">
        <f>SUM('1'!G38,'1'!G52)</f>
        <v>1714.9899999999907</v>
      </c>
      <c r="I5" s="261">
        <f>SUM('1'!G39,'1'!G53)</f>
        <v>3790.0200000000186</v>
      </c>
      <c r="J5" s="261">
        <f>SUM('1'!G41,'1'!G42,'1'!G55,'1'!G56)</f>
        <v>7659.8599999999569</v>
      </c>
      <c r="K5" s="261">
        <f>SUM('1'!G43,'1'!G57)</f>
        <v>2635</v>
      </c>
      <c r="L5" s="1039">
        <f>'1'!G50</f>
        <v>1429.3499999999767</v>
      </c>
      <c r="M5" s="1039">
        <f>'1'!G36</f>
        <v>947.75</v>
      </c>
      <c r="N5" s="1039">
        <f>'1'!G72</f>
        <v>9</v>
      </c>
      <c r="O5" s="1039">
        <f>'1'!$G$73</f>
        <v>2</v>
      </c>
      <c r="P5" s="1039">
        <f>'1'!$G$74</f>
        <v>1.6999999999970896</v>
      </c>
      <c r="Q5" s="1039">
        <f>'1'!$G$75</f>
        <v>143.18000000000029</v>
      </c>
      <c r="R5" s="1039">
        <f>'1'!$G$76</f>
        <v>69.3799999999992</v>
      </c>
      <c r="S5" s="1039">
        <f>'1'!$G$77</f>
        <v>53</v>
      </c>
      <c r="T5" s="1039">
        <f>'1'!$G$78</f>
        <v>114</v>
      </c>
      <c r="U5" s="1039">
        <f>'1'!$G$79</f>
        <v>153</v>
      </c>
      <c r="V5" s="1039">
        <f>'1'!$G$80</f>
        <v>409.92000000004191</v>
      </c>
      <c r="W5" s="1039">
        <f>'1'!$G$81</f>
        <v>131.64000000001397</v>
      </c>
      <c r="X5" s="1039">
        <f>'1'!$G$82</f>
        <v>24.899999999994179</v>
      </c>
      <c r="Y5" s="1039">
        <f>'1'!$G$58</f>
        <v>214.19999999999709</v>
      </c>
      <c r="Z5" s="1039">
        <f>'1'!$G$83</f>
        <v>351</v>
      </c>
      <c r="AA5" s="1039">
        <f>'1'!G86</f>
        <v>22.880000000004657</v>
      </c>
      <c r="AB5" s="1039">
        <f>'1'!G87</f>
        <v>33.30000000000291</v>
      </c>
      <c r="AC5" s="1039">
        <f>'1'!G88</f>
        <v>137.05999999999767</v>
      </c>
      <c r="AD5" s="1039">
        <f>'1'!G89+'1'!G90</f>
        <v>39.79999999999427</v>
      </c>
      <c r="AE5" s="1039">
        <f>'1'!$G$62</f>
        <v>0</v>
      </c>
      <c r="AF5" s="1039">
        <f>'1'!$G$63</f>
        <v>0</v>
      </c>
      <c r="AG5" s="1039">
        <f>'1'!$G$64</f>
        <v>372.89000000001397</v>
      </c>
      <c r="AH5" s="1039">
        <f>'1'!$G$65</f>
        <v>431.97000000000116</v>
      </c>
      <c r="AI5" s="1039">
        <f>'1'!$G$66</f>
        <v>433.91999999999825</v>
      </c>
      <c r="AJ5" s="1039">
        <f>'1'!$G$67</f>
        <v>472.40999999997439</v>
      </c>
      <c r="AK5" s="1039">
        <f>'1'!$G$68</f>
        <v>0</v>
      </c>
      <c r="AL5" s="1039">
        <f>'1'!$G$69</f>
        <v>236.61999999999534</v>
      </c>
      <c r="AM5" s="1039">
        <f>'1'!$G$84</f>
        <v>816</v>
      </c>
      <c r="AN5" s="1039">
        <f>'1'!$G$15</f>
        <v>918.37800000002608</v>
      </c>
      <c r="AO5" s="1039">
        <f>'1'!$G$124</f>
        <v>269.55000000004657</v>
      </c>
      <c r="AP5" s="1039">
        <f>'1'!$G$125</f>
        <v>0</v>
      </c>
      <c r="AQ5" s="1039">
        <f>'1'!$G$126</f>
        <v>95.690000000002328</v>
      </c>
      <c r="AR5" s="1039">
        <f>'1'!$G$127</f>
        <v>33.200000000000728</v>
      </c>
      <c r="AS5" s="1039">
        <f>'1'!$G$128</f>
        <v>4.2999999999992724</v>
      </c>
      <c r="AT5" s="1039">
        <f>AN5-SUM(AO5:AS5)</f>
        <v>515.63799999997718</v>
      </c>
      <c r="AU5" s="1039">
        <f>SUM('1'!G140:G141)</f>
        <v>9.8800000000005639</v>
      </c>
      <c r="AV5" s="1039">
        <f>'1'!$G$137</f>
        <v>10.169999999998254</v>
      </c>
      <c r="AW5" s="1039">
        <f>'1'!$G$138</f>
        <v>0</v>
      </c>
      <c r="AX5" s="1039">
        <f>'1'!$G$139</f>
        <v>0</v>
      </c>
      <c r="AY5" s="1036">
        <f>SUM(AV5:AX5)</f>
        <v>10.169999999998254</v>
      </c>
      <c r="AZ5" s="1035">
        <v>23260.790000000037</v>
      </c>
      <c r="BA5" s="1044">
        <f>AZ5-C5</f>
        <v>0</v>
      </c>
    </row>
    <row r="6" spans="1:53">
      <c r="A6" s="1038">
        <v>44014</v>
      </c>
      <c r="B6" s="261">
        <f>'2'!G7</f>
        <v>20930</v>
      </c>
      <c r="C6" s="261">
        <f>'2'!G8</f>
        <v>21035.119999999995</v>
      </c>
      <c r="D6" s="261">
        <f>'2'!G15</f>
        <v>510.87400000006892</v>
      </c>
      <c r="E6" s="261">
        <f>'2'!G20</f>
        <v>162</v>
      </c>
      <c r="F6" s="261">
        <f>SUM('2'!G35,'2'!G49)</f>
        <v>2899.4000000000233</v>
      </c>
      <c r="G6" s="261">
        <f>SUM('2'!G37,'2'!G51)</f>
        <v>1439.8799999999756</v>
      </c>
      <c r="H6" s="261">
        <f>SUM('2'!G38,'2'!G52)</f>
        <v>1509.8399999999965</v>
      </c>
      <c r="I6" s="261">
        <f>SUM('2'!G39,'2'!G53)</f>
        <v>3743.4799999999814</v>
      </c>
      <c r="J6" s="261">
        <f>SUM('2'!G41,'2'!G42,'2'!G55,'2'!G56)</f>
        <v>6559.910000000069</v>
      </c>
      <c r="K6" s="261">
        <f>SUM('2'!G43,'2'!G57)</f>
        <v>2514.3999999999069</v>
      </c>
      <c r="L6" s="1039">
        <f>'2'!G50</f>
        <v>1047.9200000000419</v>
      </c>
      <c r="M6" s="1039">
        <f>'2'!G36</f>
        <v>884.90000000000146</v>
      </c>
      <c r="N6" s="1039">
        <f>'2'!G72</f>
        <v>13</v>
      </c>
      <c r="O6" s="1039">
        <f>'2'!$G$73</f>
        <v>1</v>
      </c>
      <c r="P6" s="1039">
        <f>'2'!$G$74</f>
        <v>1</v>
      </c>
      <c r="Q6" s="1039">
        <f>'2'!$G$75</f>
        <v>152.95999999999913</v>
      </c>
      <c r="R6" s="1039">
        <f>'2'!$G$76</f>
        <v>62.480000000001382</v>
      </c>
      <c r="S6" s="1039">
        <f>'2'!$G$77</f>
        <v>58</v>
      </c>
      <c r="T6" s="1039">
        <f>'2'!$G$78</f>
        <v>132</v>
      </c>
      <c r="U6" s="1039">
        <f>'2'!$G$79</f>
        <v>265</v>
      </c>
      <c r="V6" s="1039">
        <f>'2'!$G$80</f>
        <v>417.03999999992084</v>
      </c>
      <c r="W6" s="1030">
        <f>'2'!$G$81</f>
        <v>172.28000000002794</v>
      </c>
      <c r="X6" s="1030">
        <f>'2'!$G$82</f>
        <v>12.380000000004657</v>
      </c>
      <c r="Y6" s="1030">
        <f>'2'!$G$58</f>
        <v>0.71000000000640284</v>
      </c>
      <c r="Z6" s="1030">
        <f>'2'!$G$83</f>
        <v>277</v>
      </c>
      <c r="AA6" s="1030">
        <f>'2'!G86</f>
        <v>16.71999999997206</v>
      </c>
      <c r="AB6" s="1039">
        <f>'2'!G87</f>
        <v>36.5</v>
      </c>
      <c r="AC6" s="1039">
        <f>'2'!G88</f>
        <v>163.67000000001281</v>
      </c>
      <c r="AD6" s="1039">
        <f>'2'!G89+'2'!G90</f>
        <v>35.700000000008458</v>
      </c>
      <c r="AE6" s="1039">
        <f>'2'!$G$62</f>
        <v>0</v>
      </c>
      <c r="AF6" s="1039">
        <f>'2'!$G$63</f>
        <v>0</v>
      </c>
      <c r="AG6" s="1039">
        <f>'2'!$G$64</f>
        <v>375.4199999999837</v>
      </c>
      <c r="AH6" s="1039">
        <f>'2'!$G$65</f>
        <v>424.23999999999069</v>
      </c>
      <c r="AI6" s="1039">
        <f>'2'!$G$66</f>
        <v>424.19000000000233</v>
      </c>
      <c r="AJ6" s="1039">
        <f>'2'!$G$67</f>
        <v>500.62000000005355</v>
      </c>
      <c r="AK6" s="1039">
        <f>'2'!$G$68</f>
        <v>0</v>
      </c>
      <c r="AL6" s="1039">
        <f>'2'!$G$69</f>
        <v>241.7100000000064</v>
      </c>
      <c r="AM6" s="1039">
        <f>'2'!$G$84</f>
        <v>846</v>
      </c>
      <c r="AN6" s="1039">
        <f>'2'!$G$15</f>
        <v>510.87400000006892</v>
      </c>
      <c r="AO6" s="1039">
        <f>'2'!$G$124</f>
        <v>259.19999999995343</v>
      </c>
      <c r="AP6" s="1039">
        <f>'2'!$G$125</f>
        <v>0</v>
      </c>
      <c r="AQ6" s="1039">
        <f>'2'!$G$126</f>
        <v>98.730000000010477</v>
      </c>
      <c r="AR6" s="1039">
        <f>'2'!$G$127</f>
        <v>36.299999999999272</v>
      </c>
      <c r="AS6" s="1039">
        <f>'2'!$G$128</f>
        <v>2.6000000000003638</v>
      </c>
      <c r="AT6" s="1039">
        <f t="shared" ref="AT6:AT34" si="0">AN6-SUM(AO6:AS6)</f>
        <v>114.04400000010537</v>
      </c>
      <c r="AU6" s="1039">
        <f>SUM('2'!G140:G141)</f>
        <v>9.6999999999998181</v>
      </c>
      <c r="AV6" s="1039">
        <f>'2'!$G$137</f>
        <v>0</v>
      </c>
      <c r="AW6" s="1039">
        <f>'2'!$G$138</f>
        <v>0</v>
      </c>
      <c r="AX6" s="1039">
        <f>'2'!$G$139</f>
        <v>0</v>
      </c>
      <c r="AY6" s="1036">
        <f t="shared" ref="AY6:AY34" si="1">SUM(AV6:AX6)</f>
        <v>0</v>
      </c>
      <c r="AZ6" s="1035">
        <v>21035.119999999995</v>
      </c>
      <c r="BA6" s="1044">
        <f t="shared" ref="BA6:BA35" si="2">AZ6-C6</f>
        <v>0</v>
      </c>
    </row>
    <row r="7" spans="1:53" s="1041" customFormat="1">
      <c r="A7" s="1038">
        <v>44015</v>
      </c>
      <c r="B7" s="261">
        <f>'3'!G7</f>
        <v>22034.25</v>
      </c>
      <c r="C7" s="261">
        <f>'3'!G8</f>
        <v>22104.089999999967</v>
      </c>
      <c r="D7" s="261">
        <f>'3'!G15</f>
        <v>940.26799999992363</v>
      </c>
      <c r="E7" s="261">
        <f>'3'!G20</f>
        <v>210</v>
      </c>
      <c r="F7" s="261">
        <f>SUM('3'!G35,'3'!G49)</f>
        <v>3065.4000000000233</v>
      </c>
      <c r="G7" s="261">
        <f>SUM('3'!G37,'3'!G51)</f>
        <v>1600.140000000014</v>
      </c>
      <c r="H7" s="261">
        <f>SUM('3'!G38,'3'!G52)</f>
        <v>1669.2400000000198</v>
      </c>
      <c r="I7" s="261">
        <f>SUM('3'!G39,'3'!G53)</f>
        <v>3847.8400000000256</v>
      </c>
      <c r="J7" s="261">
        <f>SUM('3'!G41,'3'!G42,'3'!G55,'3'!G56)</f>
        <v>6902.2899999998917</v>
      </c>
      <c r="K7" s="261">
        <f>SUM('3'!G43,'3'!G57)</f>
        <v>2589.8000000000466</v>
      </c>
      <c r="L7" s="1030">
        <f>'3'!G50</f>
        <v>1085.7999999999302</v>
      </c>
      <c r="M7" s="1030">
        <f>'3'!G36</f>
        <v>680.21999999999753</v>
      </c>
      <c r="N7" s="1030">
        <f>'3'!G72</f>
        <v>13</v>
      </c>
      <c r="O7" s="1030">
        <f>'3'!$G$73</f>
        <v>2</v>
      </c>
      <c r="P7" s="1030">
        <f>'3'!$G$74</f>
        <v>1.1000000000058208</v>
      </c>
      <c r="Q7" s="1030">
        <f>'3'!$G$75</f>
        <v>172.11000000000058</v>
      </c>
      <c r="R7" s="1030">
        <f>'3'!$G$76</f>
        <v>68.260000000000218</v>
      </c>
      <c r="S7" s="1030">
        <f>'3'!$G$77</f>
        <v>55</v>
      </c>
      <c r="T7" s="1030">
        <f>'3'!$G$78</f>
        <v>140</v>
      </c>
      <c r="U7" s="1030">
        <f>'3'!$G$79</f>
        <v>37</v>
      </c>
      <c r="V7" s="1030">
        <f>'3'!$G$80</f>
        <v>423.35999999998603</v>
      </c>
      <c r="W7" s="1030">
        <f>'3'!$G$81</f>
        <v>163.11999999999534</v>
      </c>
      <c r="X7" s="1030">
        <f>'3'!$G$82</f>
        <v>28.130000000004657</v>
      </c>
      <c r="Y7" s="1030">
        <f>'3'!$G$58</f>
        <v>218.60999999999331</v>
      </c>
      <c r="Z7" s="1030">
        <f>'3'!$G$83</f>
        <v>127</v>
      </c>
      <c r="AA7" s="1039">
        <f>'3'!G86</f>
        <v>16.440000000002328</v>
      </c>
      <c r="AB7" s="1039">
        <f>'1'!G87</f>
        <v>33.30000000000291</v>
      </c>
      <c r="AC7" s="1039">
        <f>'3'!G88</f>
        <v>120.92999999999302</v>
      </c>
      <c r="AD7" s="1039">
        <f>'3'!G89+'3'!G90</f>
        <v>27.499999999997272</v>
      </c>
      <c r="AE7" s="1030">
        <f>'3'!$G$62</f>
        <v>0</v>
      </c>
      <c r="AF7" s="1030">
        <f>'3'!$G$63</f>
        <v>0</v>
      </c>
      <c r="AG7" s="1030">
        <f>'3'!$G$64</f>
        <v>378.98000000001048</v>
      </c>
      <c r="AH7" s="1030">
        <f>'3'!$G$65</f>
        <v>431.92000000001281</v>
      </c>
      <c r="AI7" s="1030">
        <f>'3'!$G$66</f>
        <v>421.44000000000233</v>
      </c>
      <c r="AJ7" s="781">
        <f>'3'!$G$67</f>
        <v>529.57999999995809</v>
      </c>
      <c r="AK7" s="781">
        <f>'3'!$G$68</f>
        <v>0</v>
      </c>
      <c r="AL7" s="1030">
        <f>'3'!$G$69</f>
        <v>275.31999999999243</v>
      </c>
      <c r="AM7" s="1030">
        <f>'3'!$G$84</f>
        <v>817</v>
      </c>
      <c r="AN7" s="1030">
        <f>'3'!$G$15</f>
        <v>940.26799999992363</v>
      </c>
      <c r="AO7" s="1030">
        <f>'3'!$G$124</f>
        <v>301.71999999997206</v>
      </c>
      <c r="AP7" s="1030">
        <f>'3'!$G$125</f>
        <v>0</v>
      </c>
      <c r="AQ7" s="1030">
        <f>'3'!$G$126</f>
        <v>76.539999999979045</v>
      </c>
      <c r="AR7" s="1030">
        <f>'3'!$G$127</f>
        <v>41.700000000000728</v>
      </c>
      <c r="AS7" s="1030">
        <f>'3'!$G$128</f>
        <v>5.5</v>
      </c>
      <c r="AT7" s="1030">
        <f t="shared" si="0"/>
        <v>514.8079999999718</v>
      </c>
      <c r="AU7" s="1039">
        <f>SUM('3'!G140:G141)</f>
        <v>11.119999999999891</v>
      </c>
      <c r="AV7" s="1030">
        <f>'3'!$G$137</f>
        <v>10.130000000001019</v>
      </c>
      <c r="AW7" s="1030">
        <f>'3'!$G$138</f>
        <v>0</v>
      </c>
      <c r="AX7" s="1030">
        <f>'3'!$G$139</f>
        <v>0</v>
      </c>
      <c r="AY7" s="1040">
        <f t="shared" si="1"/>
        <v>10.130000000001019</v>
      </c>
      <c r="AZ7" s="1035">
        <v>22104.089999999967</v>
      </c>
      <c r="BA7" s="1044">
        <f t="shared" si="2"/>
        <v>0</v>
      </c>
    </row>
    <row r="8" spans="1:53">
      <c r="A8" s="1038">
        <v>44016</v>
      </c>
      <c r="B8" s="261">
        <f>'4'!G7</f>
        <v>21708.650000000023</v>
      </c>
      <c r="C8" s="261">
        <f>'4'!G8</f>
        <v>21866.599999999977</v>
      </c>
      <c r="D8" s="261">
        <f>'4'!G15</f>
        <v>786.87999999988824</v>
      </c>
      <c r="E8" s="261">
        <f>'4'!G20</f>
        <v>271</v>
      </c>
      <c r="F8" s="261">
        <f>SUM('4'!G35,'4'!G49)</f>
        <v>2968.9000000000233</v>
      </c>
      <c r="G8" s="261">
        <f>SUM('4'!G37,'4'!G51)</f>
        <v>1478.6399999999849</v>
      </c>
      <c r="H8" s="261">
        <f>SUM('4'!G38,'4'!G52)</f>
        <v>1792.8899999999558</v>
      </c>
      <c r="I8" s="261">
        <f>SUM('4'!G39,'4'!G53)</f>
        <v>3681.5999999999767</v>
      </c>
      <c r="J8" s="261">
        <f>SUM('4'!G41,'4'!G42,'4'!G55,'4'!G56)</f>
        <v>6765.8400000000911</v>
      </c>
      <c r="K8" s="261">
        <f>SUM('4'!G43,'4'!G57)</f>
        <v>2614</v>
      </c>
      <c r="L8" s="1039">
        <f>'4'!G50</f>
        <v>1085.9300000000512</v>
      </c>
      <c r="M8" s="1039">
        <f>'4'!G36</f>
        <v>713.35000000000218</v>
      </c>
      <c r="N8" s="1039">
        <f>'4'!G72</f>
        <v>14</v>
      </c>
      <c r="O8" s="1039">
        <f>'4'!$G$73</f>
        <v>1</v>
      </c>
      <c r="P8" s="1039">
        <f>'4'!$G$74</f>
        <v>1.0999999999912689</v>
      </c>
      <c r="Q8" s="1039">
        <f>'4'!$G$75</f>
        <v>140.72999999999956</v>
      </c>
      <c r="R8" s="1039">
        <f>'4'!$G$76</f>
        <v>61.8799999999992</v>
      </c>
      <c r="S8" s="1039">
        <f>'4'!$G$77</f>
        <v>52</v>
      </c>
      <c r="T8" s="1039">
        <f>'4'!$G$78</f>
        <v>138</v>
      </c>
      <c r="U8" s="1039">
        <f>'4'!$G$79</f>
        <v>150</v>
      </c>
      <c r="V8" s="1030">
        <f>'4'!$G$80</f>
        <v>419.32000000006519</v>
      </c>
      <c r="W8" s="1030">
        <f>'4'!$G$81</f>
        <v>202.47999999998137</v>
      </c>
      <c r="X8" s="1039">
        <f>'4'!$G$82</f>
        <v>14.589999999996508</v>
      </c>
      <c r="Y8" s="1039">
        <f>'4'!$G$58</f>
        <v>186.86000000000058</v>
      </c>
      <c r="Z8" s="1039">
        <f>'4'!$G$83</f>
        <v>313</v>
      </c>
      <c r="AA8" s="1039">
        <f>'4'!G86</f>
        <v>43.360000000044238</v>
      </c>
      <c r="AB8" s="1039">
        <f>'4'!G87</f>
        <v>14.80000000000291</v>
      </c>
      <c r="AC8" s="1039">
        <f>'4'!G88</f>
        <v>32.910000000003492</v>
      </c>
      <c r="AD8" s="1039">
        <f>'4'!G89+'4'!G90</f>
        <v>16.899999999994179</v>
      </c>
      <c r="AE8" s="1039">
        <f>'4'!$G$62</f>
        <v>0</v>
      </c>
      <c r="AF8" s="1039">
        <f>'4'!$G$63</f>
        <v>0</v>
      </c>
      <c r="AG8" s="1039">
        <f>'4'!$G$64</f>
        <v>367.17999999999302</v>
      </c>
      <c r="AH8" s="1039">
        <f>'4'!$G$65</f>
        <v>422.88000000000466</v>
      </c>
      <c r="AI8" s="1039">
        <f>'4'!$G$66</f>
        <v>412.73999999999069</v>
      </c>
      <c r="AJ8" s="1039">
        <f>'4'!$G$67</f>
        <v>442.14000000001397</v>
      </c>
      <c r="AK8" s="1039">
        <f>'4'!$G$68</f>
        <v>0</v>
      </c>
      <c r="AL8" s="1039">
        <f>'4'!$G$69</f>
        <v>272.54000000000815</v>
      </c>
      <c r="AM8" s="1039">
        <f>'4'!$G$84</f>
        <v>844</v>
      </c>
      <c r="AN8" s="1039">
        <f>'4'!$G$15</f>
        <v>786.87999999988824</v>
      </c>
      <c r="AO8" s="1039">
        <f>'4'!$G$124</f>
        <v>327.72999999998137</v>
      </c>
      <c r="AP8" s="1039">
        <f>'4'!$G$125</f>
        <v>0</v>
      </c>
      <c r="AQ8" s="1039">
        <f>'4'!$G$126</f>
        <v>79.529999999998836</v>
      </c>
      <c r="AR8" s="1039">
        <f>'4'!$G$127</f>
        <v>37.399999999997817</v>
      </c>
      <c r="AS8" s="1039">
        <f>'4'!$G$128</f>
        <v>1.5</v>
      </c>
      <c r="AT8" s="1039">
        <f t="shared" si="0"/>
        <v>340.71999999991021</v>
      </c>
      <c r="AU8" s="1039">
        <f>SUM('4'!G140:G141)</f>
        <v>12.139999999999873</v>
      </c>
      <c r="AV8" s="1039">
        <f>'4'!$G$137</f>
        <v>6.1199999999989814</v>
      </c>
      <c r="AW8" s="1039">
        <f>'4'!$G$138</f>
        <v>0</v>
      </c>
      <c r="AX8" s="1039">
        <f>'4'!$G$139</f>
        <v>0</v>
      </c>
      <c r="AY8" s="1036">
        <f t="shared" si="1"/>
        <v>6.1199999999989814</v>
      </c>
      <c r="AZ8" s="1035">
        <v>21866.599999999977</v>
      </c>
      <c r="BA8" s="1044">
        <f t="shared" si="2"/>
        <v>0</v>
      </c>
    </row>
    <row r="9" spans="1:53">
      <c r="A9" s="1038">
        <v>44017</v>
      </c>
      <c r="B9" s="261">
        <f>'5'!G7</f>
        <v>20879.79</v>
      </c>
      <c r="C9" s="261">
        <f>'5'!G8</f>
        <v>20992.61</v>
      </c>
      <c r="D9" s="261">
        <f>'5'!G15</f>
        <v>925.06000000005588</v>
      </c>
      <c r="E9" s="261">
        <f>'5'!G20</f>
        <v>241</v>
      </c>
      <c r="F9" s="261">
        <f>SUM('5'!G35,'5'!G49)</f>
        <v>2828.6999999999534</v>
      </c>
      <c r="G9" s="261">
        <f>SUM('5'!G37,'5'!G51)</f>
        <v>1447.6800000000221</v>
      </c>
      <c r="H9" s="261">
        <f>SUM('5'!G38,'5'!G52)</f>
        <v>1640.5</v>
      </c>
      <c r="I9" s="261">
        <f>SUM('5'!G39,'5'!G53)</f>
        <v>3669.3600000000442</v>
      </c>
      <c r="J9" s="261">
        <f>SUM('5'!G41,'5'!G42,'5'!G55,'5'!G56)</f>
        <v>6521.6600000000326</v>
      </c>
      <c r="K9" s="261">
        <f>SUM('5'!G43,'5'!G57)</f>
        <v>2554.6999999999534</v>
      </c>
      <c r="L9" s="1039">
        <f>'5'!G50</f>
        <v>1002.1300000000047</v>
      </c>
      <c r="M9" s="1039">
        <f>'5'!G36</f>
        <v>728.12999999999738</v>
      </c>
      <c r="N9" s="1039">
        <f>'5'!G72</f>
        <v>10</v>
      </c>
      <c r="O9" s="1039">
        <f>'5'!$G$73</f>
        <v>1</v>
      </c>
      <c r="P9" s="1039">
        <f>'5'!$G$74</f>
        <v>1.2000000000116415</v>
      </c>
      <c r="Q9" s="1049">
        <f>'5'!$G$75</f>
        <v>142.04999999999927</v>
      </c>
      <c r="R9" s="1039">
        <f>'5'!$G$76</f>
        <v>66.180000000000291</v>
      </c>
      <c r="S9" s="1030">
        <f>'5'!$G$77</f>
        <v>66</v>
      </c>
      <c r="T9" s="1048">
        <f>'5'!$G$78</f>
        <v>19</v>
      </c>
      <c r="U9" s="1048">
        <f>'5'!$G$79</f>
        <v>149</v>
      </c>
      <c r="V9" s="1042">
        <f>'5'!$G$80</f>
        <v>400.28000000002794</v>
      </c>
      <c r="W9" s="1048">
        <f>'5'!$G$81</f>
        <v>242.28000000002794</v>
      </c>
      <c r="X9" s="1039">
        <f>'5'!$G$82</f>
        <v>27.389999999999418</v>
      </c>
      <c r="Y9" s="1039">
        <f>'5'!$G$58</f>
        <v>211.28000000000611</v>
      </c>
      <c r="Z9" s="1039">
        <f>'5'!$G$83</f>
        <v>256</v>
      </c>
      <c r="AA9" s="1048">
        <f>'5'!G86</f>
        <v>23.599999999976717</v>
      </c>
      <c r="AB9" s="1039">
        <f>'5'!G87</f>
        <v>30.80000000000291</v>
      </c>
      <c r="AC9" s="1039">
        <f>'5'!G88</f>
        <v>125.78999999997905</v>
      </c>
      <c r="AD9" s="1039">
        <f>'5'!G89+'5'!G90</f>
        <v>26.800000000011551</v>
      </c>
      <c r="AE9" s="1039">
        <f>'5'!$G$62</f>
        <v>0</v>
      </c>
      <c r="AF9" s="1039">
        <f>'5'!$G$63</f>
        <v>0</v>
      </c>
      <c r="AG9" s="1039">
        <f>'5'!$G$64</f>
        <v>373.77999999999884</v>
      </c>
      <c r="AH9" s="1039">
        <f>'5'!$G$65</f>
        <v>436.66000000000349</v>
      </c>
      <c r="AI9" s="1039">
        <f>'5'!$G$66</f>
        <v>410.41000000000349</v>
      </c>
      <c r="AJ9" s="1039">
        <f>'5'!$G$67</f>
        <v>450.53999999997905</v>
      </c>
      <c r="AK9" s="1039">
        <f>'5'!$G$68</f>
        <v>0</v>
      </c>
      <c r="AL9" s="1039">
        <f>'5'!$G$69</f>
        <v>224.31999999999243</v>
      </c>
      <c r="AM9" s="1039">
        <f>'5'!$G$84</f>
        <v>825</v>
      </c>
      <c r="AN9" s="1048">
        <f>'5'!$G$15</f>
        <v>925.06000000005588</v>
      </c>
      <c r="AO9" s="1039">
        <f>'5'!$G$124</f>
        <v>265.82000000006519</v>
      </c>
      <c r="AP9" s="1039">
        <f>'5'!$G$125</f>
        <v>0</v>
      </c>
      <c r="AQ9" s="1039">
        <f>'5'!$G$126</f>
        <v>61.290000000008149</v>
      </c>
      <c r="AR9" s="1039">
        <f>'5'!$G$127</f>
        <v>27</v>
      </c>
      <c r="AS9" s="1039">
        <f>'5'!$G$128</f>
        <v>0.8999999999996362</v>
      </c>
      <c r="AT9" s="1039">
        <f t="shared" si="0"/>
        <v>570.0499999999829</v>
      </c>
      <c r="AU9" s="1039">
        <f>SUM('5'!G140:G141)</f>
        <v>9.8200000000001637</v>
      </c>
      <c r="AV9" s="1039">
        <f>'5'!$G$137</f>
        <v>7.0900000000001455</v>
      </c>
      <c r="AW9" s="1039">
        <f>'5'!$G$138</f>
        <v>3.6300000000010186</v>
      </c>
      <c r="AX9" s="1039">
        <f>'5'!$G$139</f>
        <v>0.66999999999825377</v>
      </c>
      <c r="AY9" s="1036">
        <f t="shared" si="1"/>
        <v>11.389999999999418</v>
      </c>
      <c r="AZ9" s="1035">
        <v>20992.61</v>
      </c>
      <c r="BA9" s="1044">
        <f t="shared" si="2"/>
        <v>0</v>
      </c>
    </row>
    <row r="10" spans="1:53">
      <c r="A10" s="1038">
        <v>44018</v>
      </c>
      <c r="B10" s="261">
        <f>'6'!G7</f>
        <v>19757.91</v>
      </c>
      <c r="C10" s="261">
        <f>'6'!G8</f>
        <v>19837.629999999997</v>
      </c>
      <c r="D10" s="261">
        <f>'6'!G15</f>
        <v>430.95999999996275</v>
      </c>
      <c r="E10" s="261">
        <f>'6'!G20</f>
        <v>149</v>
      </c>
      <c r="F10" s="261">
        <f>SUM('6'!G35,'6'!G49)</f>
        <v>2786.1999999999534</v>
      </c>
      <c r="G10" s="261">
        <f>SUM('6'!G37,'6'!G51)</f>
        <v>1525.2599999999802</v>
      </c>
      <c r="H10" s="261">
        <f>SUM('6'!G38,'6'!G52)</f>
        <v>1382.5</v>
      </c>
      <c r="I10" s="261">
        <f>SUM('6'!G39,'6'!G53)</f>
        <v>3628.7599999999511</v>
      </c>
      <c r="J10" s="261">
        <f>SUM('6'!G41,'6'!G42,'6'!G55,'6'!G56)</f>
        <v>5789.6300000000192</v>
      </c>
      <c r="K10" s="261">
        <f>SUM('6'!G43,'6'!G57)</f>
        <v>2584.9000000001397</v>
      </c>
      <c r="L10" s="1039">
        <f>'6'!G50</f>
        <v>959.02000000001863</v>
      </c>
      <c r="M10" s="1039">
        <f>'6'!G36</f>
        <v>727.79000000000087</v>
      </c>
      <c r="N10" s="1039">
        <f>'6'!G72</f>
        <v>11</v>
      </c>
      <c r="O10" s="1039">
        <f>'6'!$G$73</f>
        <v>1</v>
      </c>
      <c r="P10" s="1039">
        <f>'6'!$G$74</f>
        <v>1.0999999999912689</v>
      </c>
      <c r="Q10" s="1039">
        <f>'6'!$G$75</f>
        <v>141.79000000000087</v>
      </c>
      <c r="R10" s="1039">
        <f>'6'!$G$76</f>
        <v>73.119999999998981</v>
      </c>
      <c r="S10" s="1039">
        <f>'6'!$G$77</f>
        <v>78</v>
      </c>
      <c r="T10" s="1030">
        <f>'6'!$G$78</f>
        <v>153</v>
      </c>
      <c r="U10" s="1030">
        <f>'6'!$G$79</f>
        <v>149</v>
      </c>
      <c r="V10" s="1030">
        <f>'6'!$G$80</f>
        <v>356.51999999990221</v>
      </c>
      <c r="W10" s="1030">
        <f>'6'!$G$81</f>
        <v>178.35999999998603</v>
      </c>
      <c r="X10" s="1030">
        <f>'6'!$G$82</f>
        <v>13.180000000007567</v>
      </c>
      <c r="Y10" s="1030">
        <f>'6'!$G$58</f>
        <v>21.529999999998836</v>
      </c>
      <c r="Z10" s="1030">
        <f>'6'!$G$83</f>
        <v>163</v>
      </c>
      <c r="AA10" s="1030">
        <f>'6'!G86</f>
        <v>19.71999999997206</v>
      </c>
      <c r="AB10" s="1030">
        <f>'6'!G87</f>
        <v>29.899999999994179</v>
      </c>
      <c r="AC10" s="1030">
        <f>'6'!G88</f>
        <v>115.90000000002328</v>
      </c>
      <c r="AD10" s="1030">
        <f>'6'!G89+'6'!G90</f>
        <v>49.299999999991542</v>
      </c>
      <c r="AE10" s="1039">
        <f>'6'!$G$62</f>
        <v>0</v>
      </c>
      <c r="AF10" s="1039">
        <f>'6'!$G$63</f>
        <v>0</v>
      </c>
      <c r="AG10" s="1039">
        <f>'6'!$G$64</f>
        <v>399.55999999999767</v>
      </c>
      <c r="AH10" s="1039">
        <f>'6'!$G$65</f>
        <v>261.95999999999185</v>
      </c>
      <c r="AI10" s="1039">
        <f>'6'!$G$66</f>
        <v>413.80999999999767</v>
      </c>
      <c r="AJ10" s="1039">
        <f>'6'!$G$67</f>
        <v>529.70000000001164</v>
      </c>
      <c r="AK10" s="1039">
        <f>'6'!$G$68</f>
        <v>0</v>
      </c>
      <c r="AL10" s="1039">
        <f>'6'!$G$69</f>
        <v>210.34000000001106</v>
      </c>
      <c r="AM10" s="1039">
        <f>'6'!$G$84</f>
        <v>809</v>
      </c>
      <c r="AN10" s="1039">
        <f>'6'!$G$15</f>
        <v>430.95999999996275</v>
      </c>
      <c r="AO10" s="1076">
        <f>'6'!$G$124</f>
        <v>261.8399999999674</v>
      </c>
      <c r="AP10" s="1039">
        <f>'6'!$G$125</f>
        <v>0</v>
      </c>
      <c r="AQ10" s="1039">
        <f>'6'!$G$126</f>
        <v>67.130000000004657</v>
      </c>
      <c r="AR10" s="1039">
        <f>'6'!$G$127</f>
        <v>35.200000000000728</v>
      </c>
      <c r="AS10" s="1039">
        <f>'6'!$G$128</f>
        <v>1</v>
      </c>
      <c r="AT10" s="1039">
        <f t="shared" si="0"/>
        <v>65.789999999989959</v>
      </c>
      <c r="AU10" s="1039">
        <f>SUM('6'!G140:G141)</f>
        <v>9.8899999999998727</v>
      </c>
      <c r="AV10" s="1039">
        <f>'6'!$G$137</f>
        <v>9.9999999998544808E-2</v>
      </c>
      <c r="AW10" s="1039">
        <f>'6'!$G$138</f>
        <v>0</v>
      </c>
      <c r="AX10" s="1039">
        <f>'6'!$G$139</f>
        <v>0</v>
      </c>
      <c r="AY10" s="1036">
        <f t="shared" si="1"/>
        <v>9.9999999998544808E-2</v>
      </c>
      <c r="AZ10" s="1035">
        <v>19837.629999999997</v>
      </c>
      <c r="BA10" s="1044">
        <f t="shared" si="2"/>
        <v>0</v>
      </c>
    </row>
    <row r="11" spans="1:53">
      <c r="A11" s="1038">
        <v>44019</v>
      </c>
      <c r="B11" s="261">
        <f>'7'!G7</f>
        <v>21808.890000000007</v>
      </c>
      <c r="C11" s="261">
        <f>'7'!G8</f>
        <v>21913.78</v>
      </c>
      <c r="D11" s="261">
        <f>'7'!G15</f>
        <v>850.19000000017695</v>
      </c>
      <c r="E11" s="261">
        <f>'7'!G20</f>
        <v>168</v>
      </c>
      <c r="F11" s="261">
        <f>SUM('7'!G35,'7'!G49)</f>
        <v>2919.1999999999534</v>
      </c>
      <c r="G11" s="261">
        <f>SUM('7'!G37,'7'!G51)</f>
        <v>1587.7400000000198</v>
      </c>
      <c r="H11" s="261">
        <f>SUM('7'!G38,'7'!G52)</f>
        <v>1549.2399999999907</v>
      </c>
      <c r="I11" s="261">
        <f>SUM('7'!G39,'7'!G53)</f>
        <v>3603.3999999999651</v>
      </c>
      <c r="J11" s="261">
        <f>SUM('7'!G41,'7'!G42,'7'!G55,'7'!G56)</f>
        <v>6831.7899999999208</v>
      </c>
      <c r="K11" s="261">
        <f>SUM('7'!G43,'7'!G57)</f>
        <v>2722.6999999999534</v>
      </c>
      <c r="L11" s="1039">
        <f>'7'!G50</f>
        <v>1261.9199999999255</v>
      </c>
      <c r="M11" s="1039">
        <f>'7'!G36</f>
        <v>820.85000000000218</v>
      </c>
      <c r="N11" s="1039">
        <f>'7'!G72</f>
        <v>11</v>
      </c>
      <c r="O11" s="1039">
        <f>'7'!$G$73</f>
        <v>1</v>
      </c>
      <c r="P11" s="1039">
        <f>'7'!$G$74</f>
        <v>1.1000000000058208</v>
      </c>
      <c r="Q11" s="1039">
        <f>'7'!$G$75</f>
        <v>140.84999999999854</v>
      </c>
      <c r="R11" s="1039">
        <f>'7'!$G$76</f>
        <v>66.06000000000131</v>
      </c>
      <c r="S11" s="1039">
        <f>'7'!$G$77</f>
        <v>51</v>
      </c>
      <c r="T11" s="1030">
        <f>'7'!$G$78</f>
        <v>122</v>
      </c>
      <c r="U11" s="1030">
        <f>'7'!$G$79</f>
        <v>141</v>
      </c>
      <c r="V11" s="1030">
        <f>'7'!$G$80</f>
        <v>400.60000000009313</v>
      </c>
      <c r="W11" s="1030">
        <f>'7'!$G$81</f>
        <v>167.64000000001397</v>
      </c>
      <c r="X11" s="1030">
        <f>'7'!$G$82</f>
        <v>26.399999999994179</v>
      </c>
      <c r="Y11" s="1030">
        <f>'7'!$G$58</f>
        <v>187.40999999999622</v>
      </c>
      <c r="Z11" s="1042">
        <f>'7'!$G$83</f>
        <v>215</v>
      </c>
      <c r="AA11" s="1064">
        <f>'7'!G86</f>
        <v>25.480000000039581</v>
      </c>
      <c r="AB11" s="1030">
        <f>'7'!G87</f>
        <v>32.200000000011642</v>
      </c>
      <c r="AC11" s="1030">
        <f>'7'!G88</f>
        <v>85.829999999987194</v>
      </c>
      <c r="AD11" s="1030">
        <f>'7'!G89+'7'!G90</f>
        <v>81.400000000002819</v>
      </c>
      <c r="AE11" s="1039">
        <f>'7'!$G$62</f>
        <v>0</v>
      </c>
      <c r="AF11" s="1039">
        <f>'7'!$G$63</f>
        <v>0</v>
      </c>
      <c r="AG11" s="1039">
        <f>'7'!$G$64</f>
        <v>433.54000000000815</v>
      </c>
      <c r="AH11" s="1039">
        <f>'7'!$G$65</f>
        <v>267.29999999998836</v>
      </c>
      <c r="AI11" s="1039">
        <f>'7'!$G$66</f>
        <v>427.31000000001222</v>
      </c>
      <c r="AJ11" s="1039">
        <f>'7'!$G$67</f>
        <v>492.70000000001164</v>
      </c>
      <c r="AK11" s="1042">
        <f>'7'!$G$68</f>
        <v>0</v>
      </c>
      <c r="AL11" s="1039">
        <f>'7'!$G$69</f>
        <v>221.58999999999651</v>
      </c>
      <c r="AM11" s="1039">
        <f>'7'!$G$84</f>
        <v>792</v>
      </c>
      <c r="AN11" s="1039">
        <f>'7'!$G$15</f>
        <v>850.19000000017695</v>
      </c>
      <c r="AO11" s="1076">
        <f>'7'!$G$124</f>
        <v>259.97999999998137</v>
      </c>
      <c r="AP11" s="1039">
        <f>'7'!$G$125</f>
        <v>-0.39999999999417923</v>
      </c>
      <c r="AQ11" s="1039">
        <f>'7'!$G$126</f>
        <v>79.419999999983702</v>
      </c>
      <c r="AR11" s="1039">
        <f>'7'!$G$127</f>
        <v>36.700000000000728</v>
      </c>
      <c r="AS11" s="1039">
        <f>'7'!$G$128</f>
        <v>1.4000000000014552</v>
      </c>
      <c r="AT11" s="1039">
        <f t="shared" si="0"/>
        <v>473.09000000020387</v>
      </c>
      <c r="AU11" s="1039">
        <f>SUM('7'!G140:G141)</f>
        <v>9.5599999999999454</v>
      </c>
      <c r="AV11" s="1039">
        <f>'7'!$G$137</f>
        <v>9.1100000000005821</v>
      </c>
      <c r="AW11" s="1039">
        <f>'7'!$G$138</f>
        <v>0</v>
      </c>
      <c r="AX11" s="1039">
        <f>'7'!$G$139</f>
        <v>0</v>
      </c>
      <c r="AY11" s="1036">
        <f t="shared" si="1"/>
        <v>9.1100000000005821</v>
      </c>
      <c r="AZ11" s="1035">
        <v>21913.78</v>
      </c>
      <c r="BA11" s="1044">
        <f t="shared" si="2"/>
        <v>0</v>
      </c>
    </row>
    <row r="12" spans="1:53">
      <c r="A12" s="1038">
        <v>44020</v>
      </c>
      <c r="B12" s="261">
        <f>'8'!G7</f>
        <v>21620.319999999992</v>
      </c>
      <c r="C12" s="261">
        <f>'8'!G8</f>
        <v>21721.17</v>
      </c>
      <c r="D12" s="261">
        <f>'8'!G15</f>
        <v>821.54999999981374</v>
      </c>
      <c r="E12" s="261">
        <f>'8'!G20</f>
        <v>161</v>
      </c>
      <c r="F12" s="261">
        <f>SUM('8'!G35,'8'!G49)</f>
        <v>3141.7000000001863</v>
      </c>
      <c r="G12" s="261">
        <f>SUM('8'!G37,'8'!G51)</f>
        <v>1563.2200000000012</v>
      </c>
      <c r="H12" s="261">
        <f>SUM('8'!G38,'8'!G52)</f>
        <v>1545.1600000000035</v>
      </c>
      <c r="I12" s="261">
        <f>SUM('8'!G39,'8'!G53)</f>
        <v>3552.4000000000233</v>
      </c>
      <c r="J12" s="261">
        <f>SUM('8'!G41,'8'!G42,'8'!G55,'8'!G56)</f>
        <v>6741.3199999999779</v>
      </c>
      <c r="K12" s="261">
        <f>SUM('8'!G43,'8'!G57)</f>
        <v>2769</v>
      </c>
      <c r="L12" s="1039">
        <f>'8'!G50</f>
        <v>1089.6300000000047</v>
      </c>
      <c r="M12" s="1039">
        <f>'8'!G36</f>
        <v>674.62999999999738</v>
      </c>
      <c r="N12" s="1039">
        <f>'8'!G72</f>
        <v>13</v>
      </c>
      <c r="O12" s="1039">
        <f>'8'!$G$73</f>
        <v>1</v>
      </c>
      <c r="P12" s="1039">
        <f>'8'!$G$74</f>
        <v>1</v>
      </c>
      <c r="Q12" s="1039">
        <f>'8'!$G$75</f>
        <v>144.14000000000306</v>
      </c>
      <c r="R12" s="1039">
        <f>'8'!$G$76</f>
        <v>67.219999999999345</v>
      </c>
      <c r="S12" s="1039">
        <f>'8'!$G$77</f>
        <v>71</v>
      </c>
      <c r="T12" s="1030">
        <f>'8'!$G$78</f>
        <v>86</v>
      </c>
      <c r="U12" s="1030">
        <f>'8'!$G$79</f>
        <v>152</v>
      </c>
      <c r="V12" s="1030">
        <f>'8'!$G$80</f>
        <v>414.23999999999069</v>
      </c>
      <c r="W12" s="1030">
        <f>'8'!$G$81</f>
        <v>194.8399999999674</v>
      </c>
      <c r="X12" s="1030">
        <f>'8'!$G$82</f>
        <v>19.880000000004657</v>
      </c>
      <c r="Y12" s="1030">
        <f>'8'!$G$58</f>
        <v>177.37000000000262</v>
      </c>
      <c r="Z12" s="1030">
        <f>'8'!$G$83</f>
        <v>225</v>
      </c>
      <c r="AA12" s="1030">
        <f>'8'!G86</f>
        <v>29.71999999997206</v>
      </c>
      <c r="AB12" s="1030">
        <f>'8'!G87</f>
        <v>31.399999999994179</v>
      </c>
      <c r="AC12" s="1030">
        <f>'8'!G88</f>
        <v>151.57000000000698</v>
      </c>
      <c r="AD12" s="1030">
        <f>'8'!G89+'8'!G90</f>
        <v>183.10000000000582</v>
      </c>
      <c r="AE12" s="1039">
        <f>'8'!$G$62</f>
        <v>0</v>
      </c>
      <c r="AF12" s="1039">
        <f>'8'!$G$63</f>
        <v>0</v>
      </c>
      <c r="AG12" s="1039">
        <f>'8'!$G$64</f>
        <v>525.04000000000815</v>
      </c>
      <c r="AH12" s="1039">
        <f>'8'!$G$65</f>
        <v>271.82000000000698</v>
      </c>
      <c r="AI12" s="1039">
        <f>'8'!$G$66</f>
        <v>398.20999999999185</v>
      </c>
      <c r="AJ12" s="1039">
        <f>'8'!$G$67</f>
        <v>444.44000000000233</v>
      </c>
      <c r="AK12" s="1039">
        <f>'8'!$G$68</f>
        <v>0</v>
      </c>
      <c r="AL12" s="1039">
        <f>'8'!$G$69</f>
        <v>261.61999999999534</v>
      </c>
      <c r="AM12" s="1039">
        <f>'8'!$G$84</f>
        <v>809</v>
      </c>
      <c r="AN12" s="1039">
        <f>'8'!$G$15</f>
        <v>821.54999999981374</v>
      </c>
      <c r="AO12" s="1039">
        <f>'8'!$G$124</f>
        <v>251.29000000003725</v>
      </c>
      <c r="AP12" s="1039">
        <f>'8'!$G$125</f>
        <v>0.39999999999417923</v>
      </c>
      <c r="AQ12" s="1039">
        <f>'8'!$G$126</f>
        <v>86.580000000016298</v>
      </c>
      <c r="AR12" s="1039">
        <f>'8'!$G$127</f>
        <v>35.700000000000728</v>
      </c>
      <c r="AS12" s="1039">
        <f>'8'!$G$128</f>
        <v>2</v>
      </c>
      <c r="AT12" s="1039">
        <f t="shared" si="0"/>
        <v>445.57999999976528</v>
      </c>
      <c r="AU12" s="1039">
        <f>SUM('8'!G140:G141)</f>
        <v>9.2300000000000182</v>
      </c>
      <c r="AV12" s="1039">
        <f>'8'!$G$137</f>
        <v>8.069999999999709</v>
      </c>
      <c r="AW12" s="1039">
        <f>'8'!$G$138</f>
        <v>0</v>
      </c>
      <c r="AX12" s="1039">
        <f>'8'!$G$139</f>
        <v>0</v>
      </c>
      <c r="AY12" s="1036">
        <f t="shared" si="1"/>
        <v>8.069999999999709</v>
      </c>
      <c r="AZ12" s="1035">
        <v>21721.17</v>
      </c>
      <c r="BA12" s="1044">
        <f t="shared" si="2"/>
        <v>0</v>
      </c>
    </row>
    <row r="13" spans="1:53">
      <c r="A13" s="1038">
        <v>44021</v>
      </c>
      <c r="B13" s="261">
        <f>'9'!G7</f>
        <v>22577.440000000002</v>
      </c>
      <c r="C13" s="261">
        <f>'9'!G8</f>
        <v>22673.210000000006</v>
      </c>
      <c r="D13" s="261">
        <f>'9'!G15</f>
        <v>830.84000000008382</v>
      </c>
      <c r="E13" s="261">
        <f>'9'!G20</f>
        <v>191</v>
      </c>
      <c r="F13" s="261">
        <f>SUM('9'!G35,'9'!G49)</f>
        <v>3259.2699999999022</v>
      </c>
      <c r="G13" s="261">
        <f>SUM('9'!G37,'9'!G51)</f>
        <v>1605.9899999999907</v>
      </c>
      <c r="H13" s="261">
        <f>SUM('9'!G38,'9'!G52)</f>
        <v>1594.7099999999919</v>
      </c>
      <c r="I13" s="261">
        <f>SUM('9'!G39,'9'!G53)</f>
        <v>3607.8099999999977</v>
      </c>
      <c r="J13" s="261">
        <f>SUM('9'!G41,'9'!G42,'9'!G55,'9'!G56)</f>
        <v>7248.8100000000413</v>
      </c>
      <c r="K13" s="261">
        <f>SUM('9'!G43,'9'!G57)</f>
        <v>2915.5</v>
      </c>
      <c r="L13" s="1039">
        <f>'9'!G50</f>
        <v>981.30000000004657</v>
      </c>
      <c r="M13" s="1039">
        <f>'9'!G36</f>
        <v>812.38000000000102</v>
      </c>
      <c r="N13" s="1039">
        <f>'9'!G72</f>
        <v>14</v>
      </c>
      <c r="O13" s="1039">
        <f>'9'!$G$73</f>
        <v>1</v>
      </c>
      <c r="P13" s="1039">
        <f>'9'!$G$74</f>
        <v>1.6999999999970896</v>
      </c>
      <c r="Q13" s="1039">
        <f>'9'!$G$75</f>
        <v>171.18999999999869</v>
      </c>
      <c r="R13" s="1039">
        <f>'9'!$G$76</f>
        <v>64.420000000000073</v>
      </c>
      <c r="S13" s="1039">
        <f>'9'!$G$77</f>
        <v>88</v>
      </c>
      <c r="T13" s="1030">
        <f>'9'!$G$78</f>
        <v>71</v>
      </c>
      <c r="U13" s="1030">
        <f>'9'!$G$79</f>
        <v>150</v>
      </c>
      <c r="V13" s="1030">
        <f>'9'!$G$80</f>
        <v>440.71999999997206</v>
      </c>
      <c r="W13" s="1030">
        <f>'9'!$G$81</f>
        <v>224.35999999998603</v>
      </c>
      <c r="X13" s="1030">
        <f>'9'!$G$82</f>
        <v>22.149999999994179</v>
      </c>
      <c r="Y13" s="1030">
        <f>'9'!$G$58</f>
        <v>191.02999999999884</v>
      </c>
      <c r="Z13" s="1030">
        <f>'9'!$G$83</f>
        <v>239</v>
      </c>
      <c r="AA13" s="1030">
        <f>'9'!G86</f>
        <v>20.080000000016298</v>
      </c>
      <c r="AB13" s="1030">
        <f>'9'!G87</f>
        <v>31</v>
      </c>
      <c r="AC13" s="1030">
        <f>'9'!G88</f>
        <v>116.33999999999651</v>
      </c>
      <c r="AD13" s="1030">
        <f>'9'!G89+'9'!H90</f>
        <v>64.499999999994088</v>
      </c>
      <c r="AE13" s="1039">
        <f>'9'!$G$62</f>
        <v>0</v>
      </c>
      <c r="AF13" s="1039">
        <f>'9'!$G$63</f>
        <v>0</v>
      </c>
      <c r="AG13" s="1039">
        <f>'9'!$G$64</f>
        <v>415.60999999998603</v>
      </c>
      <c r="AH13" s="1048">
        <f>'9'!$G$65</f>
        <v>341.25</v>
      </c>
      <c r="AI13" s="1048">
        <f>'9'!$G$66</f>
        <v>396.97000000000116</v>
      </c>
      <c r="AJ13" s="1039">
        <f>'9'!$G$67</f>
        <v>435.86999999999534</v>
      </c>
      <c r="AK13" s="1039">
        <f>'9'!$G$68</f>
        <v>0</v>
      </c>
      <c r="AL13" s="1039">
        <f>'9'!$G$69</f>
        <v>285.94000000000233</v>
      </c>
      <c r="AM13" s="1039">
        <f>'9'!$G$84</f>
        <v>856</v>
      </c>
      <c r="AN13" s="1039">
        <f>'9'!$G$15</f>
        <v>830.84000000008382</v>
      </c>
      <c r="AO13" s="1039">
        <f>'9'!$G$124</f>
        <v>315.86999999999534</v>
      </c>
      <c r="AP13" s="1039">
        <f>'9'!$G$125</f>
        <v>0</v>
      </c>
      <c r="AQ13" s="1039">
        <f>'9'!$G$126</f>
        <v>98.089999999996508</v>
      </c>
      <c r="AR13" s="1039">
        <f>'9'!$G$127</f>
        <v>37.799999999999272</v>
      </c>
      <c r="AS13" s="1039">
        <f>'9'!$G$128</f>
        <v>2.7999999999992724</v>
      </c>
      <c r="AT13" s="1039">
        <f t="shared" si="0"/>
        <v>376.28000000009342</v>
      </c>
      <c r="AU13" s="1039">
        <f>SUM('9'!G140:G141)</f>
        <v>9.6700000000000728</v>
      </c>
      <c r="AV13" s="1039">
        <f>'9'!$G$137</f>
        <v>8.069999999999709</v>
      </c>
      <c r="AW13" s="1039">
        <f>'9'!$G$138</f>
        <v>0.18000000000029104</v>
      </c>
      <c r="AX13" s="1039">
        <f>'9'!$G$139</f>
        <v>0</v>
      </c>
      <c r="AY13" s="1036">
        <f t="shared" si="1"/>
        <v>8.25</v>
      </c>
      <c r="AZ13" s="1035">
        <v>22673.210000000006</v>
      </c>
      <c r="BA13" s="1044">
        <f t="shared" si="2"/>
        <v>0</v>
      </c>
    </row>
    <row r="14" spans="1:53">
      <c r="A14" s="1038">
        <v>44022</v>
      </c>
      <c r="B14" s="261">
        <f>'10'!G7</f>
        <v>21024</v>
      </c>
      <c r="C14" s="261">
        <f>'10'!G8</f>
        <v>21102</v>
      </c>
      <c r="D14" s="261">
        <f>'10'!G15</f>
        <v>829</v>
      </c>
      <c r="E14" s="261">
        <f>'10'!G20</f>
        <v>218</v>
      </c>
      <c r="F14" s="261">
        <f>SUM('10'!G35,'10'!G49)</f>
        <v>3138</v>
      </c>
      <c r="G14" s="261">
        <f>SUM('10'!G37,'10'!G51)</f>
        <v>1601</v>
      </c>
      <c r="H14" s="261">
        <f>SUM('10'!G38,'10'!G52)</f>
        <v>1644</v>
      </c>
      <c r="I14" s="261">
        <f>SUM('10'!G39,'10'!G53)</f>
        <v>3580.3300000000163</v>
      </c>
      <c r="J14" s="261">
        <f>SUM('10'!G41,'10'!G42,'10'!G55,'10'!G56)</f>
        <v>6097</v>
      </c>
      <c r="K14" s="261">
        <f>SUM('10'!G43,'10'!G57)</f>
        <v>2543</v>
      </c>
      <c r="L14" s="1039">
        <f>'10'!G50</f>
        <v>1093</v>
      </c>
      <c r="M14" s="1039">
        <f>'10'!G36</f>
        <v>769</v>
      </c>
      <c r="N14" s="1039">
        <f>'10'!G72</f>
        <v>10</v>
      </c>
      <c r="O14" s="1039">
        <f>'10'!$G$73</f>
        <v>2</v>
      </c>
      <c r="P14" s="1039">
        <f>'10'!$G$74</f>
        <v>1</v>
      </c>
      <c r="Q14" s="1039">
        <f>'10'!$G$75</f>
        <v>170</v>
      </c>
      <c r="R14" s="1039">
        <f>'10'!$G$76</f>
        <v>63</v>
      </c>
      <c r="S14" s="1039">
        <f>'10'!$G$77</f>
        <v>60</v>
      </c>
      <c r="T14" s="1030">
        <f>'10'!$G$78</f>
        <v>59</v>
      </c>
      <c r="U14" s="1030">
        <f>'10'!$G$79</f>
        <v>162</v>
      </c>
      <c r="V14" s="1043">
        <f>'10'!$G$80</f>
        <v>406</v>
      </c>
      <c r="W14" s="1043">
        <f>'10'!$G$81</f>
        <v>216</v>
      </c>
      <c r="X14" s="1030">
        <f>'10'!$G$82</f>
        <v>13</v>
      </c>
      <c r="Y14" s="1030">
        <f>'10'!$G$58</f>
        <v>194</v>
      </c>
      <c r="Z14" s="1030">
        <f>'10'!$G$83</f>
        <v>227</v>
      </c>
      <c r="AA14" s="1030">
        <f>'10'!G86</f>
        <v>23</v>
      </c>
      <c r="AB14" s="1030">
        <f>'10'!G87</f>
        <v>15</v>
      </c>
      <c r="AC14" s="1030">
        <f>'10'!G88</f>
        <v>117</v>
      </c>
      <c r="AD14" s="1030">
        <f>'10'!G87+'10'!H90</f>
        <v>27.099999999999909</v>
      </c>
      <c r="AE14" s="1039">
        <f>'10'!$G$62</f>
        <v>0</v>
      </c>
      <c r="AF14" s="1039">
        <f>'10'!$G$63</f>
        <v>0</v>
      </c>
      <c r="AG14" s="1039">
        <f>'10'!$G$64</f>
        <v>374</v>
      </c>
      <c r="AH14" s="1039">
        <f>'10'!$G$65</f>
        <v>396</v>
      </c>
      <c r="AI14" s="1039">
        <f>'10'!$G$66</f>
        <v>401</v>
      </c>
      <c r="AJ14" s="1039">
        <f>'10'!$G$67</f>
        <v>440</v>
      </c>
      <c r="AK14" s="1039">
        <f>'10'!$G$68</f>
        <v>0</v>
      </c>
      <c r="AL14" s="1039">
        <f>'10'!$G$69</f>
        <v>257</v>
      </c>
      <c r="AM14" s="1039">
        <f>'10'!$G$84</f>
        <v>785</v>
      </c>
      <c r="AN14" s="1039">
        <f>'10'!$G$15</f>
        <v>829</v>
      </c>
      <c r="AO14" s="1039">
        <f>'10'!$G$124</f>
        <v>223</v>
      </c>
      <c r="AP14" s="1039">
        <f>'10'!$G$125</f>
        <v>0</v>
      </c>
      <c r="AQ14" s="1039">
        <f>'10'!$G$126</f>
        <v>102</v>
      </c>
      <c r="AR14" s="1039">
        <f>'10'!$G$127</f>
        <v>44</v>
      </c>
      <c r="AS14" s="1039">
        <f>'10'!$G$128</f>
        <v>8</v>
      </c>
      <c r="AT14" s="1039">
        <f t="shared" si="0"/>
        <v>452</v>
      </c>
      <c r="AU14" s="1039">
        <f>SUM('10'!G140:G141)</f>
        <v>10.150000000000091</v>
      </c>
      <c r="AV14" s="1039">
        <f>'10'!$G$137</f>
        <v>6.5100000000020373</v>
      </c>
      <c r="AW14" s="1039">
        <f>'10'!$G$138</f>
        <v>0</v>
      </c>
      <c r="AX14" s="1039">
        <f>'10'!$G$139</f>
        <v>0</v>
      </c>
      <c r="AY14" s="1036">
        <f t="shared" si="1"/>
        <v>6.5100000000020373</v>
      </c>
      <c r="AZ14" s="1035">
        <v>21102</v>
      </c>
      <c r="BA14" s="1044">
        <f t="shared" si="2"/>
        <v>0</v>
      </c>
    </row>
    <row r="15" spans="1:53">
      <c r="A15" s="1038">
        <v>44023</v>
      </c>
      <c r="B15" s="261">
        <f>'11'!G7</f>
        <v>22731.5</v>
      </c>
      <c r="C15" s="261">
        <f>'11'!G8</f>
        <v>22829.97</v>
      </c>
      <c r="D15" s="261">
        <f>'11'!G15</f>
        <v>986.40999999991618</v>
      </c>
      <c r="E15" s="261">
        <f>'11'!G20</f>
        <v>240</v>
      </c>
      <c r="F15" s="261">
        <f>SUM('11'!G35,'11'!G49)</f>
        <v>2956.0300000000279</v>
      </c>
      <c r="G15" s="261">
        <f>SUM('11'!G37,'11'!G51)</f>
        <v>1589.75</v>
      </c>
      <c r="H15" s="261">
        <f>SUM('11'!G38,'11'!G52)</f>
        <v>1661.7900000000081</v>
      </c>
      <c r="I15" s="261">
        <f>SUM('11'!G39,'11'!G53)</f>
        <v>3609.2600000000093</v>
      </c>
      <c r="J15" s="261">
        <f>SUM('11'!G41,'11'!G42,'11'!G55,'11'!G56)</f>
        <v>7134.0600000000122</v>
      </c>
      <c r="K15" s="261">
        <f>SUM('11'!G43,'11'!G57)</f>
        <v>2942.3999999999069</v>
      </c>
      <c r="L15" s="1039">
        <f>'11'!G50</f>
        <v>1216.5500000000466</v>
      </c>
      <c r="M15" s="1039">
        <f>'11'!G36</f>
        <v>1013.2099999999991</v>
      </c>
      <c r="N15" s="1039">
        <f>'11'!G72</f>
        <v>11</v>
      </c>
      <c r="O15" s="1039">
        <f>'11'!$G$73</f>
        <v>1</v>
      </c>
      <c r="P15" s="1039">
        <f>'11'!$G$74</f>
        <v>1.6000000000058208</v>
      </c>
      <c r="Q15" s="1039">
        <f>'11'!$G$75</f>
        <v>150.29000000000087</v>
      </c>
      <c r="R15" s="1039">
        <f>'11'!$G$76</f>
        <v>60.290000000000873</v>
      </c>
      <c r="S15" s="1039">
        <f>'11'!$G$77</f>
        <v>52</v>
      </c>
      <c r="T15" s="1030">
        <f>'11'!$G$78</f>
        <v>61</v>
      </c>
      <c r="U15" s="1030">
        <f>'11'!$G$79</f>
        <v>144</v>
      </c>
      <c r="V15" s="1030">
        <f>'11'!$G$80</f>
        <v>448.1600000000326</v>
      </c>
      <c r="W15" s="1030">
        <f>'11'!$G$81</f>
        <v>279</v>
      </c>
      <c r="X15" s="1030">
        <f>'11'!$G$82</f>
        <v>28.610000000000582</v>
      </c>
      <c r="Y15" s="1030">
        <f>'11'!$G$58</f>
        <v>222.05999999999767</v>
      </c>
      <c r="Z15" s="1030">
        <f>'11'!$G$83</f>
        <v>262</v>
      </c>
      <c r="AA15" s="1030">
        <f>'11'!G86</f>
        <v>49.799999999988358</v>
      </c>
      <c r="AB15" s="1030">
        <f>'11'!G87</f>
        <v>11.30000000000291</v>
      </c>
      <c r="AC15" s="1030">
        <f>'11'!G88</f>
        <v>36.410000000003492</v>
      </c>
      <c r="AD15" s="1030">
        <f>'11'!G87+'11'!H90</f>
        <v>12.700000000003001</v>
      </c>
      <c r="AE15" s="1039">
        <f>'11'!$G$62</f>
        <v>0</v>
      </c>
      <c r="AF15" s="1039">
        <f>'11'!$G$63</f>
        <v>0</v>
      </c>
      <c r="AG15" s="1039">
        <f>'11'!$G$64</f>
        <v>374.42999999999302</v>
      </c>
      <c r="AH15" s="1039">
        <f>'11'!$G$65</f>
        <v>386.92999999999302</v>
      </c>
      <c r="AI15" s="1039">
        <f>'11'!$G$66</f>
        <v>431.13000000000466</v>
      </c>
      <c r="AJ15" s="1039">
        <f>'11'!$G$67</f>
        <v>435.69000000000233</v>
      </c>
      <c r="AK15" s="1039">
        <f>'11'!$G$68</f>
        <v>0</v>
      </c>
      <c r="AL15" s="1039">
        <f>'11'!$G$69</f>
        <v>281</v>
      </c>
      <c r="AM15" s="1039">
        <f>'11'!$G$84</f>
        <v>784</v>
      </c>
      <c r="AN15" s="1039">
        <f>'11'!$G$15</f>
        <v>986.40999999991618</v>
      </c>
      <c r="AO15" s="1039">
        <f>'11'!$G$124</f>
        <v>295.88000000000466</v>
      </c>
      <c r="AP15" s="1039">
        <f>'11'!$G$125</f>
        <v>0</v>
      </c>
      <c r="AQ15" s="1039">
        <f>'11'!$G$126</f>
        <v>89.910000000003492</v>
      </c>
      <c r="AR15" s="1039">
        <f>'11'!$G$127</f>
        <v>46.799999999999272</v>
      </c>
      <c r="AS15" s="1039">
        <f>'11'!$G$128</f>
        <v>4.7000000000007276</v>
      </c>
      <c r="AT15" s="1039">
        <f t="shared" si="0"/>
        <v>549.11999999990803</v>
      </c>
      <c r="AU15" s="1039">
        <f>SUM('11'!G140:G141)</f>
        <v>10.840000000000146</v>
      </c>
      <c r="AV15" s="1039">
        <f>'11'!$G$137</f>
        <v>6.9899999999979627</v>
      </c>
      <c r="AW15" s="1039">
        <f>'11'!$G$138</f>
        <v>3.9599999999991269</v>
      </c>
      <c r="AX15" s="1039">
        <f>'11'!$G$139</f>
        <v>0</v>
      </c>
      <c r="AY15" s="1036">
        <f t="shared" si="1"/>
        <v>10.94999999999709</v>
      </c>
      <c r="AZ15" s="1035">
        <v>22829.97</v>
      </c>
      <c r="BA15" s="1044">
        <f t="shared" si="2"/>
        <v>0</v>
      </c>
    </row>
    <row r="16" spans="1:53">
      <c r="A16" s="1038">
        <v>44024</v>
      </c>
      <c r="B16" s="261">
        <f>'12'!G7</f>
        <v>21127.51999999999</v>
      </c>
      <c r="C16" s="261">
        <f>'12'!G8</f>
        <v>21239.899999999994</v>
      </c>
      <c r="D16" s="261">
        <f>'12'!G15</f>
        <v>914.79000000003725</v>
      </c>
      <c r="E16" s="261">
        <f>'12'!G20</f>
        <v>186</v>
      </c>
      <c r="F16" s="261">
        <f>SUM('12'!G35,'12'!G49)</f>
        <v>3001.4000000000233</v>
      </c>
      <c r="G16" s="261">
        <f>SUM('12'!G37,'12'!G51)</f>
        <v>1595.1199999999953</v>
      </c>
      <c r="H16" s="261">
        <f>SUM('12'!G38,'12'!G52)</f>
        <v>1595.1999999999825</v>
      </c>
      <c r="I16" s="261">
        <f>SUM('12'!G39,'12'!G53)</f>
        <v>3711.7399999999907</v>
      </c>
      <c r="J16" s="261">
        <f>SUM('12'!G41,'12'!G42,'12'!G55,'12'!G56)</f>
        <v>6204.239999999998</v>
      </c>
      <c r="K16" s="261">
        <f>SUM('12'!G43,'12'!G57)</f>
        <v>2563.2000000001863</v>
      </c>
      <c r="L16" s="1039">
        <f>'12'!G50</f>
        <v>1103.5599999999395</v>
      </c>
      <c r="M16" s="1039">
        <f>'12'!G36</f>
        <v>695.77000000000044</v>
      </c>
      <c r="N16" s="1039">
        <f>'12'!G72</f>
        <v>13</v>
      </c>
      <c r="O16" s="1039">
        <f>'12'!$G$73</f>
        <v>1</v>
      </c>
      <c r="P16" s="1039">
        <f>'12'!$G$74</f>
        <v>1.6999999999970896</v>
      </c>
      <c r="Q16" s="1039">
        <f>'12'!$G$75</f>
        <v>145.54999999999927</v>
      </c>
      <c r="R16" s="1039">
        <f>'12'!$G$76</f>
        <v>66</v>
      </c>
      <c r="S16" s="1039">
        <f>'12'!$G$77</f>
        <v>53</v>
      </c>
      <c r="T16" s="1030">
        <f>'12'!$G$78</f>
        <v>56</v>
      </c>
      <c r="U16" s="1030">
        <f>'12'!$G$79</f>
        <v>155</v>
      </c>
      <c r="V16" s="1030">
        <f>'12'!$G$80</f>
        <v>418.88000000000466</v>
      </c>
      <c r="W16" s="1030">
        <f>'12'!$G$81</f>
        <v>132.31999999994878</v>
      </c>
      <c r="X16" s="1030">
        <f>'12'!$G$82</f>
        <v>14.160000000003492</v>
      </c>
      <c r="Y16" s="1030">
        <f>'12'!$G$58</f>
        <v>231.10000000000582</v>
      </c>
      <c r="Z16" s="1030">
        <f>'12'!$G$83</f>
        <v>237</v>
      </c>
      <c r="AA16" s="1030">
        <f>'12'!G86</f>
        <v>31.840000000025611</v>
      </c>
      <c r="AB16" s="1030">
        <f>'12'!G87</f>
        <v>24.80000000000291</v>
      </c>
      <c r="AC16" s="1030">
        <f>'12'!G88</f>
        <v>112.32000000000698</v>
      </c>
      <c r="AD16" s="1030">
        <f>'12'!G87+'12'!H90</f>
        <v>28.600000000002638</v>
      </c>
      <c r="AE16" s="1039">
        <f>'12'!$G$62</f>
        <v>0</v>
      </c>
      <c r="AF16" s="1039">
        <f>'12'!$G$63</f>
        <v>0</v>
      </c>
      <c r="AG16" s="1039">
        <f>'12'!$G$64</f>
        <v>374.82000000000698</v>
      </c>
      <c r="AH16" s="1039">
        <f>'12'!$G$65</f>
        <v>381.96000000002095</v>
      </c>
      <c r="AI16" s="1039">
        <f>'12'!$G$66</f>
        <v>421.83000000000175</v>
      </c>
      <c r="AJ16" s="1039">
        <f>'12'!$G$67</f>
        <v>440.97999999998137</v>
      </c>
      <c r="AK16" s="1039">
        <f>'12'!$G$68</f>
        <v>0</v>
      </c>
      <c r="AL16" s="1039">
        <f>'12'!$G$69</f>
        <v>282.99000000000524</v>
      </c>
      <c r="AM16" s="1039">
        <f>'12'!$G$84</f>
        <v>767</v>
      </c>
      <c r="AN16" s="1039">
        <f>'12'!$G$15</f>
        <v>914.79000000003725</v>
      </c>
      <c r="AO16" s="1076">
        <f>'12'!$G$124</f>
        <v>267.13000000000466</v>
      </c>
      <c r="AP16" s="1039">
        <f>'12'!$G$125</f>
        <v>-0.39999999999417923</v>
      </c>
      <c r="AQ16" s="1065">
        <f>'12'!$G$126</f>
        <v>104.32000000000698</v>
      </c>
      <c r="AR16" s="1039">
        <f>'12'!$G$127</f>
        <v>35.400000000001455</v>
      </c>
      <c r="AS16" s="1039">
        <f>'12'!$G$128</f>
        <v>4.1999999999989086</v>
      </c>
      <c r="AT16" s="1039">
        <f t="shared" si="0"/>
        <v>504.14000000001943</v>
      </c>
      <c r="AU16" s="1039">
        <f>SUM('12'!G140:G141)</f>
        <v>9.7099999999995816</v>
      </c>
      <c r="AV16" s="1039">
        <f>'12'!$G$137</f>
        <v>8.4800000000032014</v>
      </c>
      <c r="AW16" s="1039">
        <f>'12'!$G$138</f>
        <v>0</v>
      </c>
      <c r="AX16" s="1039">
        <f>'12'!$G$139</f>
        <v>0</v>
      </c>
      <c r="AY16" s="1036">
        <f t="shared" si="1"/>
        <v>8.4800000000032014</v>
      </c>
      <c r="AZ16" s="1035">
        <v>21239.899999999994</v>
      </c>
      <c r="BA16" s="1044">
        <f t="shared" si="2"/>
        <v>0</v>
      </c>
    </row>
    <row r="17" spans="1:53">
      <c r="A17" s="1038">
        <v>44025</v>
      </c>
      <c r="B17" s="261">
        <f>'13'!G7</f>
        <v>21500</v>
      </c>
      <c r="C17" s="261">
        <f>'13'!G8</f>
        <v>21611.399999999994</v>
      </c>
      <c r="D17" s="261">
        <f>'13'!G15</f>
        <v>943.80000000004657</v>
      </c>
      <c r="E17" s="261">
        <f>'13'!G20</f>
        <v>202</v>
      </c>
      <c r="F17" s="261">
        <f>SUM('13'!G35,'13'!G49)</f>
        <v>2899.5699999999488</v>
      </c>
      <c r="G17" s="261">
        <f>SUM('13'!G37,'13'!G51)</f>
        <v>1577.1300000000047</v>
      </c>
      <c r="H17" s="261">
        <f>SUM('13'!G38,'13'!G52)</f>
        <v>1632.0100000000093</v>
      </c>
      <c r="I17" s="261">
        <f>SUM('13'!G39,'13'!G53)</f>
        <v>3726</v>
      </c>
      <c r="J17" s="261">
        <f>SUM('13'!G41,'13'!G42,'13'!G55,'13'!G56)</f>
        <v>6191.8099999999613</v>
      </c>
      <c r="K17" s="261">
        <f>SUM('13'!G43,'13'!G57)</f>
        <v>2552.7299999999068</v>
      </c>
      <c r="L17" s="1039">
        <f>'13'!G50</f>
        <v>1162.890000000014</v>
      </c>
      <c r="M17" s="1039">
        <f>'13'!G36</f>
        <v>969.02000000000044</v>
      </c>
      <c r="N17" s="1039">
        <f>'13'!G72</f>
        <v>13</v>
      </c>
      <c r="O17" s="1039">
        <f>'13'!$G$73</f>
        <v>2</v>
      </c>
      <c r="P17" s="1039">
        <f>'13'!$G$74</f>
        <v>1.6999999999970896</v>
      </c>
      <c r="Q17" s="1039">
        <f>'13'!$G$75</f>
        <v>155.15999999999985</v>
      </c>
      <c r="R17" s="1039">
        <f>'13'!$G$76</f>
        <v>64.709999999999127</v>
      </c>
      <c r="S17" s="1039">
        <f>'13'!$G$77</f>
        <v>53</v>
      </c>
      <c r="T17" s="1030">
        <f>'13'!$G$78</f>
        <v>93</v>
      </c>
      <c r="U17" s="1030">
        <f>'13'!$G$79</f>
        <v>175</v>
      </c>
      <c r="V17" s="1030">
        <f>'13'!$G$80</f>
        <v>404.95999999996275</v>
      </c>
      <c r="W17" s="1030">
        <f>'13'!$G$81</f>
        <v>153.68000000005122</v>
      </c>
      <c r="X17" s="1030">
        <f>'13'!$G$82</f>
        <v>30.229999999995925</v>
      </c>
      <c r="Y17" s="1030">
        <f>'13'!$G$58</f>
        <v>206.83999999999651</v>
      </c>
      <c r="Z17" s="1030">
        <f>'13'!$G$83</f>
        <v>232</v>
      </c>
      <c r="AA17" s="1030">
        <f>'13'!G86</f>
        <v>17.35999999998603</v>
      </c>
      <c r="AB17" s="1030">
        <f>'13'!G87</f>
        <v>26.899999999994179</v>
      </c>
      <c r="AC17" s="1030">
        <f>'13'!G88</f>
        <v>148.26999999998952</v>
      </c>
      <c r="AD17" s="1030">
        <f>'13'!G87+'13'!H90</f>
        <v>29.699999999994361</v>
      </c>
      <c r="AE17" s="1039">
        <f>'13'!$G$62</f>
        <v>0</v>
      </c>
      <c r="AF17" s="1039">
        <f>'13'!$G$63</f>
        <v>0</v>
      </c>
      <c r="AG17" s="1039">
        <f>'13'!$G$64</f>
        <v>373.75</v>
      </c>
      <c r="AH17" s="1039">
        <f>'13'!$G$65</f>
        <v>405.10999999998603</v>
      </c>
      <c r="AI17" s="1039">
        <f>'13'!$G$66</f>
        <v>405.0399999999936</v>
      </c>
      <c r="AJ17" s="1039">
        <f>'13'!$G$67</f>
        <v>465.3300000000163</v>
      </c>
      <c r="AK17" s="1039">
        <f>'13'!$G$68</f>
        <v>0</v>
      </c>
      <c r="AL17" s="1039">
        <f>'13'!$G$69</f>
        <v>281.00999999999476</v>
      </c>
      <c r="AM17" s="1039">
        <f>'13'!$G$84</f>
        <v>787</v>
      </c>
      <c r="AN17" s="1039">
        <f>'13'!$G$15</f>
        <v>943.80000000004657</v>
      </c>
      <c r="AO17" s="1076">
        <f>'13'!$G$124</f>
        <v>254.98999999999069</v>
      </c>
      <c r="AP17" s="1039">
        <f>'13'!$G$125</f>
        <v>0</v>
      </c>
      <c r="AQ17" s="1039">
        <f>'13'!$G$126</f>
        <v>94.769999999989523</v>
      </c>
      <c r="AR17" s="1039">
        <f>'13'!$G$127</f>
        <v>41.799999999999272</v>
      </c>
      <c r="AS17" s="1039">
        <f>'13'!$G$128</f>
        <v>6.1000000000003638</v>
      </c>
      <c r="AT17" s="1039">
        <f t="shared" si="0"/>
        <v>546.14000000006672</v>
      </c>
      <c r="AU17" s="1039">
        <f>SUM('13'!G140:G141)</f>
        <v>8.8400000000001455</v>
      </c>
      <c r="AV17" s="1039">
        <f>'13'!$G$137</f>
        <v>10.44999999999709</v>
      </c>
      <c r="AW17" s="1039">
        <f>'13'!$G$138</f>
        <v>0</v>
      </c>
      <c r="AX17" s="1039">
        <f>'13'!$G$139</f>
        <v>0</v>
      </c>
      <c r="AY17" s="1036">
        <f t="shared" si="1"/>
        <v>10.44999999999709</v>
      </c>
      <c r="AZ17" s="19">
        <v>21611.399999999994</v>
      </c>
      <c r="BA17" s="1044">
        <f t="shared" si="2"/>
        <v>0</v>
      </c>
    </row>
    <row r="18" spans="1:53">
      <c r="A18" s="1038">
        <v>44026</v>
      </c>
      <c r="B18" s="261">
        <f>'14'!G7</f>
        <v>22050.430000000022</v>
      </c>
      <c r="C18" s="261">
        <f>'14'!G8</f>
        <v>22172.24000000002</v>
      </c>
      <c r="D18" s="261">
        <f>'14'!G15</f>
        <v>797.81000000005588</v>
      </c>
      <c r="E18" s="261">
        <f>'14'!G20</f>
        <v>205</v>
      </c>
      <c r="F18" s="261">
        <f>SUM('14'!G35,'14'!G49)</f>
        <v>2878.4700000000303</v>
      </c>
      <c r="G18" s="261">
        <f>SUM('14'!G37,'14'!G51)</f>
        <v>1649.3500000000058</v>
      </c>
      <c r="H18" s="261">
        <f>SUM('14'!G38,'14'!G52)</f>
        <v>1585.7900000000081</v>
      </c>
      <c r="I18" s="261">
        <f>SUM('14'!G39,'14'!G53)</f>
        <v>3716.460000000021</v>
      </c>
      <c r="J18" s="261">
        <f>SUM('14'!G41,'14'!G42,'14'!G55,'14'!G56)</f>
        <v>6122.539999999979</v>
      </c>
      <c r="K18" s="261">
        <f>SUM('14'!G43,'14'!G57)</f>
        <v>2640.3000000000466</v>
      </c>
      <c r="L18" s="1039">
        <f>'14'!G50</f>
        <v>1781.5699999999488</v>
      </c>
      <c r="M18" s="1039">
        <f>'14'!G36</f>
        <v>950.38000000000102</v>
      </c>
      <c r="N18" s="1039">
        <f>'14'!G72</f>
        <v>14</v>
      </c>
      <c r="O18" s="1039">
        <f>'14'!$G$73</f>
        <v>1</v>
      </c>
      <c r="P18" s="1039">
        <f>'14'!$G$74</f>
        <v>0</v>
      </c>
      <c r="Q18" s="1039">
        <f>'14'!$G$75</f>
        <v>147.93000000000029</v>
      </c>
      <c r="R18" s="1039">
        <f>'14'!$G$76</f>
        <v>61.979999999999563</v>
      </c>
      <c r="S18" s="1039">
        <f>'14'!$G$77</f>
        <v>52</v>
      </c>
      <c r="T18" s="1030">
        <f>'14'!$G$78</f>
        <v>136</v>
      </c>
      <c r="U18" s="1030">
        <f>'14'!$G$79</f>
        <v>173</v>
      </c>
      <c r="V18" s="1030">
        <f>'14'!$G$80</f>
        <v>486.80000000004657</v>
      </c>
      <c r="W18" s="1030">
        <f>'14'!$G$81</f>
        <v>196.04000000003725</v>
      </c>
      <c r="X18" s="1030">
        <f>'14'!$G$82</f>
        <v>13.5</v>
      </c>
      <c r="Y18" s="1030">
        <f>'14'!$G$58</f>
        <v>164.37999999999738</v>
      </c>
      <c r="Z18" s="1030">
        <f>'14'!$G$83</f>
        <v>246</v>
      </c>
      <c r="AA18" s="1030">
        <f>'14'!G86</f>
        <v>31.760000000009313</v>
      </c>
      <c r="AB18" s="1030">
        <f>'14'!G87</f>
        <v>32.80000000000291</v>
      </c>
      <c r="AC18" s="1030">
        <f>'14'!G88</f>
        <v>139.52999999999884</v>
      </c>
      <c r="AD18" s="1030">
        <f>'14'!G87+'14'!H90</f>
        <v>36.000000000002728</v>
      </c>
      <c r="AE18" s="1039">
        <f>'14'!$G$62</f>
        <v>0</v>
      </c>
      <c r="AF18" s="1039">
        <f>'14'!$G$63</f>
        <v>0</v>
      </c>
      <c r="AG18" s="1039">
        <f>'14'!$G$64</f>
        <v>360.13000000000466</v>
      </c>
      <c r="AH18" s="1039">
        <f>'14'!$G$65</f>
        <v>397.63000000000466</v>
      </c>
      <c r="AI18" s="1039">
        <f>'14'!$G$66</f>
        <v>388.41999999999825</v>
      </c>
      <c r="AJ18" s="1039">
        <f>'14'!$G$67</f>
        <v>511.77000000001863</v>
      </c>
      <c r="AK18" s="1039">
        <f>'14'!$G$68</f>
        <v>0</v>
      </c>
      <c r="AL18" s="1039">
        <f>'14'!$G$69</f>
        <v>275.39999999999418</v>
      </c>
      <c r="AM18" s="1039">
        <f>'14'!$G$84</f>
        <v>765</v>
      </c>
      <c r="AN18" s="1039">
        <f>'14'!$G$15</f>
        <v>797.81000000005588</v>
      </c>
      <c r="AO18" s="1039">
        <f>'14'!$G$124</f>
        <v>251.73999999999069</v>
      </c>
      <c r="AP18" s="1039">
        <f>'14'!$G$125</f>
        <v>0.39999999999417923</v>
      </c>
      <c r="AQ18" s="1039">
        <f>'14'!$G$126</f>
        <v>119.19000000000233</v>
      </c>
      <c r="AR18" s="1039">
        <f>'14'!$G$127</f>
        <v>45.299999999999272</v>
      </c>
      <c r="AS18" s="1039">
        <f>'14'!$G$128</f>
        <v>3.7000000000007276</v>
      </c>
      <c r="AT18" s="1039">
        <f t="shared" si="0"/>
        <v>377.48000000006869</v>
      </c>
      <c r="AU18" s="1039">
        <f>SUM('14'!G140:G141)</f>
        <v>8.7600000000002183</v>
      </c>
      <c r="AV18" s="1039">
        <f>'14'!$G$137</f>
        <v>5.4000000000014552</v>
      </c>
      <c r="AW18" s="1039">
        <f>'14'!$G$138</f>
        <v>0</v>
      </c>
      <c r="AX18" s="1039">
        <f>'14'!$G$139</f>
        <v>2.3100000000122236</v>
      </c>
      <c r="AY18" s="1036">
        <f t="shared" si="1"/>
        <v>7.7100000000136788</v>
      </c>
      <c r="AZ18" s="19">
        <v>22172.24000000002</v>
      </c>
      <c r="BA18" s="1044">
        <f t="shared" si="2"/>
        <v>0</v>
      </c>
    </row>
    <row r="19" spans="1:53">
      <c r="A19" s="1038">
        <v>44027</v>
      </c>
      <c r="B19" s="261">
        <f>'15'!G7</f>
        <v>22451.940000000002</v>
      </c>
      <c r="C19" s="261">
        <f>'15'!G8</f>
        <v>22546.299999999988</v>
      </c>
      <c r="D19" s="1448">
        <f>'15'!G15</f>
        <v>947.81299999984913</v>
      </c>
      <c r="E19" s="261">
        <f>'15'!G20</f>
        <v>184</v>
      </c>
      <c r="F19" s="1448">
        <f>SUM('15'!G35,'15'!G49)</f>
        <v>2947.5200000000186</v>
      </c>
      <c r="G19" s="1448">
        <f>SUM('15'!G37,'15'!G51)</f>
        <v>1595.3800000000047</v>
      </c>
      <c r="H19" s="1448">
        <f>SUM('15'!G38,'15'!G52)</f>
        <v>1645.3700000000536</v>
      </c>
      <c r="I19" s="1448">
        <f>SUM('15'!G39,'15'!G53)</f>
        <v>3733.8099999999977</v>
      </c>
      <c r="J19" s="1448">
        <f>SUM('15'!G41,'15'!G42,'15'!G55,'15'!G56)</f>
        <v>6384.1700000000274</v>
      </c>
      <c r="K19" s="261">
        <f>SUM('15'!G43,'15'!G57)</f>
        <v>2774.3000000000466</v>
      </c>
      <c r="L19" s="1449">
        <f>'15'!G50</f>
        <v>1449.7000000000698</v>
      </c>
      <c r="M19" s="1039">
        <f>'15'!G36</f>
        <v>1106.869999999999</v>
      </c>
      <c r="N19" s="1039">
        <f>'15'!G72</f>
        <v>13</v>
      </c>
      <c r="O19" s="1039">
        <f>'15'!$G$73</f>
        <v>2</v>
      </c>
      <c r="P19" s="1039">
        <f>'15'!$G$74</f>
        <v>1</v>
      </c>
      <c r="Q19" s="1039">
        <f>'15'!$G$75</f>
        <v>154.77000000000044</v>
      </c>
      <c r="R19" s="1039">
        <f>'15'!$G$76</f>
        <v>67.170000000000073</v>
      </c>
      <c r="S19" s="1039">
        <f>'15'!$G$77</f>
        <v>64</v>
      </c>
      <c r="T19" s="1030">
        <f>'15'!$G$78</f>
        <v>100</v>
      </c>
      <c r="U19" s="1030">
        <f>'15'!$G$79</f>
        <v>176</v>
      </c>
      <c r="V19" s="1030">
        <f>'15'!$G$80</f>
        <v>465.67999999993481</v>
      </c>
      <c r="W19" s="1030">
        <f>'15'!$G$81</f>
        <v>176.56999999994878</v>
      </c>
      <c r="X19" s="1030">
        <f>'15'!$G$82</f>
        <v>28.690000000002328</v>
      </c>
      <c r="Y19" s="1030">
        <f>'15'!$G$58</f>
        <v>195.43000000000029</v>
      </c>
      <c r="Z19" s="1030">
        <f>'15'!$G$83</f>
        <v>216</v>
      </c>
      <c r="AA19" s="1030">
        <f>'15'!G86</f>
        <v>8.8800000000046566</v>
      </c>
      <c r="AB19" s="1030">
        <f>'15'!G87</f>
        <v>36.19999999999709</v>
      </c>
      <c r="AC19" s="1030">
        <f>'15'!G88</f>
        <v>70.480000000010477</v>
      </c>
      <c r="AD19" s="1030">
        <f>'15'!G87+'15'!H90</f>
        <v>43.299999999997453</v>
      </c>
      <c r="AE19" s="1039">
        <f>'15'!$G$62</f>
        <v>0.18000000000029104</v>
      </c>
      <c r="AF19" s="1039">
        <f>'15'!$G$63</f>
        <v>0</v>
      </c>
      <c r="AG19" s="1039">
        <f>'15'!$G$64</f>
        <v>408.38000000000466</v>
      </c>
      <c r="AH19" s="1039">
        <f>'15'!$G$65</f>
        <v>381.13999999998487</v>
      </c>
      <c r="AI19" s="1039">
        <f>'15'!$G$66</f>
        <v>388.25999999999476</v>
      </c>
      <c r="AJ19" s="1039">
        <f>'15'!$G$67</f>
        <v>472.39999999996508</v>
      </c>
      <c r="AK19" s="1039">
        <f>'15'!$G$68</f>
        <v>0</v>
      </c>
      <c r="AL19" s="1039">
        <f>'15'!$G$69</f>
        <v>299.85000000000582</v>
      </c>
      <c r="AM19" s="1039">
        <f>'15'!$G$84</f>
        <v>743</v>
      </c>
      <c r="AN19" s="1039">
        <f>'15'!$G$15</f>
        <v>947.81299999984913</v>
      </c>
      <c r="AO19" s="1039">
        <f>'15'!$G$124</f>
        <v>253.43000000005122</v>
      </c>
      <c r="AP19" s="1039">
        <f>'15'!$G$125</f>
        <v>0</v>
      </c>
      <c r="AQ19" s="1039">
        <f>'15'!$G$126</f>
        <v>122.16000000000349</v>
      </c>
      <c r="AR19" s="1039">
        <f>'15'!$G$127</f>
        <v>37.900000000001455</v>
      </c>
      <c r="AS19" s="1039">
        <f>'15'!$G$128</f>
        <v>5.6999999999989086</v>
      </c>
      <c r="AT19" s="1039">
        <f t="shared" si="0"/>
        <v>528.62299999979405</v>
      </c>
      <c r="AU19" s="1039">
        <f>SUM('15'!G140:G141)</f>
        <v>9</v>
      </c>
      <c r="AV19" s="1039">
        <f>'15'!$G$137</f>
        <v>9.5900000000001455</v>
      </c>
      <c r="AW19" s="1039">
        <f>'15'!$G$138</f>
        <v>0</v>
      </c>
      <c r="AX19" s="1039">
        <f>'15'!$G$139</f>
        <v>0</v>
      </c>
      <c r="AY19" s="1036">
        <f t="shared" si="1"/>
        <v>9.5900000000001455</v>
      </c>
      <c r="AZ19" s="19">
        <v>22546.299999999988</v>
      </c>
      <c r="BA19" s="1044">
        <f t="shared" si="2"/>
        <v>0</v>
      </c>
    </row>
    <row r="20" spans="1:53">
      <c r="A20" s="1038">
        <v>44028</v>
      </c>
      <c r="B20" s="261">
        <f>'16'!G7</f>
        <v>22073.339999999967</v>
      </c>
      <c r="C20" s="261">
        <f>'16'!G8</f>
        <v>22174.580000000016</v>
      </c>
      <c r="D20" s="261">
        <f>'16'!G15</f>
        <v>837.25699999998324</v>
      </c>
      <c r="E20" s="261">
        <f>'16'!G20</f>
        <v>170</v>
      </c>
      <c r="F20" s="261">
        <f>SUM('16'!G35,'16'!G49)</f>
        <v>3155.4799999999814</v>
      </c>
      <c r="G20" s="261">
        <f>SUM('16'!G37,'16'!G51)</f>
        <v>1642.1699999999837</v>
      </c>
      <c r="H20" s="261">
        <f>SUM('16'!G38,'16'!G52)</f>
        <v>1628.4099999999453</v>
      </c>
      <c r="I20" s="261">
        <f>SUM('16'!G39,'16'!G53)</f>
        <v>3776.2200000000303</v>
      </c>
      <c r="J20" s="261">
        <f>SUM('16'!G41,'16'!G42,'16'!G55,'16'!G56)</f>
        <v>6367.0100000000384</v>
      </c>
      <c r="K20" s="261">
        <f>SUM('16'!G43,'16'!G57)</f>
        <v>2623.8999999999069</v>
      </c>
      <c r="L20" s="1039">
        <f>'16'!G50</f>
        <v>1102.1600000000326</v>
      </c>
      <c r="M20" s="1039">
        <f>'16'!G36</f>
        <v>1003.5800000000017</v>
      </c>
      <c r="N20" s="1039">
        <f>'16'!G72</f>
        <v>13</v>
      </c>
      <c r="O20" s="1039">
        <f>'16'!$G$73</f>
        <v>2</v>
      </c>
      <c r="P20" s="1039">
        <f>'16'!$G$74</f>
        <v>34.600000000005821</v>
      </c>
      <c r="Q20" s="1039">
        <f>'16'!$G$75</f>
        <v>183.88999999999942</v>
      </c>
      <c r="R20" s="1039">
        <f>'16'!$G$76</f>
        <v>69.860000000000582</v>
      </c>
      <c r="S20" s="1039">
        <f>'16'!$G$77</f>
        <v>70</v>
      </c>
      <c r="T20" s="1030">
        <f>'16'!$G$78</f>
        <v>102</v>
      </c>
      <c r="U20" s="1030">
        <f>'16'!$G$79</f>
        <v>166</v>
      </c>
      <c r="V20" s="1030">
        <f>'16'!$G$80</f>
        <v>461.28000000002794</v>
      </c>
      <c r="W20" s="1030">
        <f>'16'!$G$81</f>
        <v>181.46999999997206</v>
      </c>
      <c r="X20" s="1030">
        <f>'16'!$G$82</f>
        <v>16.690000000002328</v>
      </c>
      <c r="Y20" s="1030">
        <f>'16'!$G$58</f>
        <v>207.38000000000466</v>
      </c>
      <c r="Z20" s="1030">
        <f>'16'!$G$83</f>
        <v>176</v>
      </c>
      <c r="AA20" s="1030">
        <f>'16'!G86</f>
        <v>10.239999999990687</v>
      </c>
      <c r="AB20" s="1030">
        <f>'16'!G87</f>
        <v>25.399999999994179</v>
      </c>
      <c r="AC20" s="1030">
        <f>'16'!G88</f>
        <v>127.64999999999418</v>
      </c>
      <c r="AD20" s="1030">
        <f>'16'!G87+'16'!H90</f>
        <v>31.999999999994088</v>
      </c>
      <c r="AE20" s="1039">
        <f>'16'!$G$62</f>
        <v>0</v>
      </c>
      <c r="AF20" s="1039">
        <f>'16'!$G$63</f>
        <v>0</v>
      </c>
      <c r="AG20" s="1039">
        <f>'16'!$G$64</f>
        <v>399.29999999998836</v>
      </c>
      <c r="AH20" s="1039">
        <f>'16'!$G$65</f>
        <v>392.30000000001746</v>
      </c>
      <c r="AI20" s="1039">
        <f>'16'!$G$66</f>
        <v>396.9600000000064</v>
      </c>
      <c r="AJ20" s="1039">
        <f>'16'!$G$67</f>
        <v>469.88000000000466</v>
      </c>
      <c r="AK20" s="1039">
        <f>'16'!$G$68</f>
        <v>0</v>
      </c>
      <c r="AL20" s="1039">
        <f>'16'!$G$69</f>
        <v>303.86999999999534</v>
      </c>
      <c r="AM20" s="1039">
        <f>'16'!$G$84</f>
        <v>734</v>
      </c>
      <c r="AN20" s="1039">
        <f>'16'!$G$15</f>
        <v>837.25699999998324</v>
      </c>
      <c r="AO20" s="1076">
        <f>'16'!$G$124</f>
        <v>265.3399999999674</v>
      </c>
      <c r="AP20" s="1039">
        <f>'16'!$G$125</f>
        <v>0</v>
      </c>
      <c r="AQ20" s="1039">
        <f>'16'!$G$126</f>
        <v>99.179999999993015</v>
      </c>
      <c r="AR20" s="1039">
        <f>'16'!$G$127</f>
        <v>41</v>
      </c>
      <c r="AS20" s="1039">
        <f>'16'!$G$128</f>
        <v>7</v>
      </c>
      <c r="AT20" s="1039">
        <f t="shared" si="0"/>
        <v>424.73700000002282</v>
      </c>
      <c r="AU20" s="1039">
        <f>SUM('16'!G140:G141)</f>
        <v>9.0500000000001819</v>
      </c>
      <c r="AV20" s="1039">
        <f>'16'!$G$137</f>
        <v>8.0200000000004366</v>
      </c>
      <c r="AW20" s="1039">
        <f>'16'!$G$138</f>
        <v>0</v>
      </c>
      <c r="AX20" s="1039">
        <f>'16'!$G$139</f>
        <v>0</v>
      </c>
      <c r="AY20" s="1036">
        <f t="shared" si="1"/>
        <v>8.0200000000004366</v>
      </c>
      <c r="AZ20" s="19">
        <v>22174.580000000016</v>
      </c>
      <c r="BA20" s="1044">
        <f t="shared" si="2"/>
        <v>0</v>
      </c>
    </row>
    <row r="21" spans="1:53">
      <c r="A21" s="1038">
        <v>44029</v>
      </c>
      <c r="B21" s="261">
        <f>'17'!G7</f>
        <v>24778.48000000004</v>
      </c>
      <c r="C21" s="261">
        <f>'17'!G8</f>
        <v>24914.739999999991</v>
      </c>
      <c r="D21" s="261">
        <f>'17'!G15</f>
        <v>981.66100000008009</v>
      </c>
      <c r="E21" s="261">
        <f>'17'!G20</f>
        <v>201</v>
      </c>
      <c r="F21" s="261">
        <f>SUM('17'!G35,'17'!G49)</f>
        <v>3270.4200000000419</v>
      </c>
      <c r="G21" s="261">
        <f>SUM('17'!G37,'17'!G51)</f>
        <v>1656.5500000000175</v>
      </c>
      <c r="H21" s="261">
        <f>SUM('17'!G38,'17'!G52)</f>
        <v>1759.9199999999837</v>
      </c>
      <c r="I21" s="261">
        <f>SUM('17'!G39,'17'!G53)</f>
        <v>3718.9299999999348</v>
      </c>
      <c r="J21" s="261">
        <f>SUM('17'!G41,'17'!G42,'17'!G55,'17'!G56)</f>
        <v>8133.399999999936</v>
      </c>
      <c r="K21" s="261">
        <f>SUM('17'!G43,'17'!G57)</f>
        <v>3097.3999999999069</v>
      </c>
      <c r="L21" s="1039">
        <f>'17'!G50</f>
        <v>1300.4399999999441</v>
      </c>
      <c r="M21" s="1039">
        <f>'17'!G36</f>
        <v>1131.8199999999997</v>
      </c>
      <c r="N21" s="1039">
        <f>'18'!G72</f>
        <v>15</v>
      </c>
      <c r="O21" s="1039">
        <f>'17'!$G$73</f>
        <v>1</v>
      </c>
      <c r="P21" s="1039">
        <f>'17'!$G$74</f>
        <v>1</v>
      </c>
      <c r="Q21" s="1039">
        <f>'17'!$G$75</f>
        <v>176.70999999999913</v>
      </c>
      <c r="R21" s="1039">
        <f>'17'!$G$76</f>
        <v>65.119999999998981</v>
      </c>
      <c r="S21" s="1039">
        <f>'17'!$G$77</f>
        <v>65</v>
      </c>
      <c r="T21" s="1030">
        <f>'17'!$G$78</f>
        <v>100</v>
      </c>
      <c r="U21" s="1030">
        <f>'17'!$G$79</f>
        <v>199</v>
      </c>
      <c r="V21" s="1030">
        <f>'17'!$G$80</f>
        <v>476.55999999993946</v>
      </c>
      <c r="W21" s="1030">
        <f>'17'!$G$81</f>
        <v>231.20000000006985</v>
      </c>
      <c r="X21" s="1030">
        <f>'17'!$G$82</f>
        <v>27.369999999995343</v>
      </c>
      <c r="Y21" s="1030">
        <f>'17'!$G$58</f>
        <v>192.36999999999534</v>
      </c>
      <c r="Z21" s="1030">
        <f>'17'!$G$83</f>
        <v>276</v>
      </c>
      <c r="AA21" s="1030">
        <f>'17'!G86</f>
        <v>17.960000000020955</v>
      </c>
      <c r="AB21" s="1030">
        <f>'17'!G87</f>
        <v>19.600000000005821</v>
      </c>
      <c r="AC21" s="1030">
        <f>'17'!G88</f>
        <v>121.05999999999767</v>
      </c>
      <c r="AD21" s="1030">
        <f>'17'!G87+'17'!H90</f>
        <v>21.70000000000573</v>
      </c>
      <c r="AE21" s="1039">
        <f>'17'!$G$62</f>
        <v>-0.18000000000029104</v>
      </c>
      <c r="AF21" s="1039">
        <f>'17'!$G$63</f>
        <v>0</v>
      </c>
      <c r="AG21" s="1039">
        <f>'17'!$G$64</f>
        <v>365.26000000000931</v>
      </c>
      <c r="AH21" s="1039">
        <f>'17'!$G$65</f>
        <v>386.53999999997905</v>
      </c>
      <c r="AI21" s="1039">
        <f>'17'!$G$66</f>
        <v>390.9600000000064</v>
      </c>
      <c r="AJ21" s="1039">
        <f>'17'!$G$67</f>
        <v>477.85999999998603</v>
      </c>
      <c r="AK21" s="1039">
        <f>'17'!$G$68</f>
        <v>0</v>
      </c>
      <c r="AL21" s="1039">
        <f>'17'!$G$69</f>
        <v>301.97000000000116</v>
      </c>
      <c r="AM21" s="1039">
        <f>'17'!$G$84</f>
        <v>678</v>
      </c>
      <c r="AN21" s="1039">
        <f>'17'!$G$15</f>
        <v>981.66100000008009</v>
      </c>
      <c r="AO21" s="1039">
        <f>'17'!$G$124</f>
        <v>289.02000000001863</v>
      </c>
      <c r="AP21" s="1039">
        <f>'17'!$G$125</f>
        <v>0</v>
      </c>
      <c r="AQ21" s="1039">
        <f>'17'!$G$126</f>
        <v>114.20000000001164</v>
      </c>
      <c r="AR21" s="1039">
        <f>'17'!$G$127</f>
        <v>41</v>
      </c>
      <c r="AS21" s="1039">
        <f>'17'!$G$128</f>
        <v>6.7000000000007276</v>
      </c>
      <c r="AT21" s="1039">
        <f t="shared" si="0"/>
        <v>530.7410000000491</v>
      </c>
      <c r="AU21" s="1039">
        <f>SUM('17'!G140:G141)</f>
        <v>10.059999999999491</v>
      </c>
      <c r="AV21" s="1039">
        <f>'17'!$G$137</f>
        <v>9.1100000000005821</v>
      </c>
      <c r="AW21" s="1039">
        <f>'17'!$G$138</f>
        <v>0</v>
      </c>
      <c r="AX21" s="1039">
        <f>'17'!$G$139</f>
        <v>0</v>
      </c>
      <c r="AY21" s="1036">
        <f t="shared" si="1"/>
        <v>9.1100000000005821</v>
      </c>
      <c r="AZ21" s="19">
        <v>24914.739999999991</v>
      </c>
      <c r="BA21" s="1044">
        <f t="shared" si="2"/>
        <v>0</v>
      </c>
    </row>
    <row r="22" spans="1:53">
      <c r="A22" s="1038">
        <v>44030</v>
      </c>
      <c r="B22" s="261">
        <f>'18'!G7</f>
        <v>25838.119999999995</v>
      </c>
      <c r="C22" s="261">
        <f>'18'!G8</f>
        <v>25951.080000000016</v>
      </c>
      <c r="D22" s="261">
        <f>'18'!G15</f>
        <v>908.87899999995716</v>
      </c>
      <c r="E22" s="261">
        <f>'18'!G20</f>
        <v>179</v>
      </c>
      <c r="F22" s="261">
        <f>SUM('18'!G35,'18'!G49)</f>
        <v>3484.8079999999609</v>
      </c>
      <c r="G22" s="261">
        <f>SUM('18'!G37,'18'!G51)</f>
        <v>1846.5199999999895</v>
      </c>
      <c r="H22" s="261">
        <f>SUM('18'!G38,'18'!G52)</f>
        <v>1840.9800000000105</v>
      </c>
      <c r="I22" s="261">
        <f>SUM('18'!G39,'18'!G53)</f>
        <v>3750.8400000000256</v>
      </c>
      <c r="J22" s="261">
        <f>SUM('18'!G41,'18'!G42,'18'!G55,'18'!G56)</f>
        <v>8129.570000000007</v>
      </c>
      <c r="K22" s="261">
        <f>SUM('18'!G43,'18'!G57)</f>
        <v>3145.2000000001863</v>
      </c>
      <c r="L22" s="1039">
        <f>'18'!G50</f>
        <v>1712.1999999999534</v>
      </c>
      <c r="M22" s="1039">
        <f>'18'!G36</f>
        <v>1191.6299999999974</v>
      </c>
      <c r="N22" s="1039">
        <f>'18'!G72</f>
        <v>15</v>
      </c>
      <c r="O22" s="1039">
        <f>'18'!$G$73</f>
        <v>1</v>
      </c>
      <c r="P22" s="1039">
        <f>'18'!$G$74</f>
        <v>0.5</v>
      </c>
      <c r="Q22" s="1039">
        <f>'18'!$G$75</f>
        <v>172.45000000000073</v>
      </c>
      <c r="R22" s="1039">
        <f>'18'!$G$76</f>
        <v>63.150000000001455</v>
      </c>
      <c r="S22" s="1039">
        <f>'18'!$G$77</f>
        <v>86</v>
      </c>
      <c r="T22" s="1030">
        <f>'18'!$G$78</f>
        <v>104</v>
      </c>
      <c r="U22" s="1030">
        <f>'18'!$G$79</f>
        <v>157</v>
      </c>
      <c r="V22" s="1042">
        <f>'18'!$G$80</f>
        <v>503.68000000005122</v>
      </c>
      <c r="W22" s="1042">
        <f>'18'!$G$81</f>
        <v>226.23999999999069</v>
      </c>
      <c r="X22" s="1042">
        <f>'18'!$G$82</f>
        <v>22.600000000005821</v>
      </c>
      <c r="Y22" s="1042">
        <f>'18'!$G$58</f>
        <v>191.56999999999971</v>
      </c>
      <c r="Z22" s="1042">
        <f>'18'!$G$83</f>
        <v>229</v>
      </c>
      <c r="AA22" s="1042">
        <f>'18'!G86</f>
        <v>8.1599999999743886</v>
      </c>
      <c r="AB22" s="1030">
        <f>'18'!G87</f>
        <v>9.6000000000058208</v>
      </c>
      <c r="AC22" s="1030">
        <f>'18'!G88</f>
        <v>75.279999999998836</v>
      </c>
      <c r="AD22" s="1030">
        <f>'18'!G87+'18'!H90</f>
        <v>10.600000000005821</v>
      </c>
      <c r="AE22" s="1039">
        <f>'18'!$G$62</f>
        <v>0.18000000000029104</v>
      </c>
      <c r="AF22" s="1039">
        <f>'18'!$G$63</f>
        <v>0</v>
      </c>
      <c r="AG22" s="1039">
        <f>'18'!$G$64</f>
        <v>372.07999999998719</v>
      </c>
      <c r="AH22" s="1039">
        <f>'18'!$G$65</f>
        <v>408.42000000001281</v>
      </c>
      <c r="AI22" s="1039">
        <f>'18'!$G$66</f>
        <v>427.29999999998836</v>
      </c>
      <c r="AJ22" s="1039">
        <f>'18'!$G$67</f>
        <v>472.20000000001164</v>
      </c>
      <c r="AK22" s="1039">
        <f>'18'!$G$68</f>
        <v>0</v>
      </c>
      <c r="AL22" s="1039">
        <f>'18'!$G$69</f>
        <v>307.29000000000815</v>
      </c>
      <c r="AM22" s="1039">
        <f>'18'!$G$84</f>
        <v>823</v>
      </c>
      <c r="AN22" s="1039">
        <f>'18'!$G$15</f>
        <v>908.87899999995716</v>
      </c>
      <c r="AO22" s="1039">
        <f>'18'!$G$124</f>
        <v>295.73999999999069</v>
      </c>
      <c r="AP22" s="1039">
        <f>'18'!$G$125</f>
        <v>0</v>
      </c>
      <c r="AQ22" s="1039">
        <f>'18'!$G$126</f>
        <v>107.79999999998836</v>
      </c>
      <c r="AR22" s="1039">
        <f>'18'!$G$127</f>
        <v>45.100000000002183</v>
      </c>
      <c r="AS22" s="1039">
        <f>'18'!$G$128</f>
        <v>4.8999999999996362</v>
      </c>
      <c r="AT22" s="1039">
        <f t="shared" si="0"/>
        <v>455.33899999997629</v>
      </c>
      <c r="AU22" s="1039">
        <f>SUM('18'!G140:G141)</f>
        <v>10.289999999999964</v>
      </c>
      <c r="AV22" s="1039">
        <f>'18'!$G$137</f>
        <v>8.5399999999972351</v>
      </c>
      <c r="AW22" s="1039">
        <f>'18'!$G$138</f>
        <v>0</v>
      </c>
      <c r="AX22" s="1039">
        <f>'18'!$G$139</f>
        <v>0</v>
      </c>
      <c r="AY22" s="1036">
        <f t="shared" si="1"/>
        <v>8.5399999999972351</v>
      </c>
      <c r="AZ22" s="19">
        <v>25951.080000000016</v>
      </c>
      <c r="BA22" s="1044">
        <f t="shared" si="2"/>
        <v>0</v>
      </c>
    </row>
    <row r="23" spans="1:53" s="1041" customFormat="1">
      <c r="A23" s="1038">
        <v>44031</v>
      </c>
      <c r="B23" s="261">
        <f>'19'!G7</f>
        <v>21625.669999999984</v>
      </c>
      <c r="C23" s="261">
        <f>'19'!G8</f>
        <v>21717.789999999979</v>
      </c>
      <c r="D23" s="261">
        <f>'19'!G15</f>
        <v>880.58000000007451</v>
      </c>
      <c r="E23" s="261">
        <f>'19'!G20</f>
        <v>257</v>
      </c>
      <c r="F23" s="261">
        <f>SUM('19'!G35,'19'!G49)</f>
        <v>3252.3019999999669</v>
      </c>
      <c r="G23" s="261">
        <f>SUM('19'!G37,'19'!G51)</f>
        <v>1591.1600000000035</v>
      </c>
      <c r="H23" s="261">
        <f>SUM('19'!G38,'19'!G52)</f>
        <v>1606.4600000000501</v>
      </c>
      <c r="I23" s="261">
        <f>SUM('19'!G39,'19'!G53)</f>
        <v>3770.3300000000163</v>
      </c>
      <c r="J23" s="261">
        <f>SUM('19'!G41,'19'!G42,'19'!G55,'19'!G56)</f>
        <v>6446.2000000000407</v>
      </c>
      <c r="K23" s="261">
        <f>SUM('19'!G43,'19'!G57)</f>
        <v>2549.5699999999069</v>
      </c>
      <c r="L23" s="1030">
        <f>'19'!G50</f>
        <v>1093.9300000000512</v>
      </c>
      <c r="M23" s="1030">
        <f>'19'!G36</f>
        <v>815.72000000000116</v>
      </c>
      <c r="N23" s="1030">
        <f>'19'!G72</f>
        <v>14</v>
      </c>
      <c r="O23" s="1030">
        <f>'19'!$G$73</f>
        <v>2</v>
      </c>
      <c r="P23" s="1030">
        <f>'19'!$G$74</f>
        <v>-0.10000000000582077</v>
      </c>
      <c r="Q23" s="1030">
        <f>'19'!$G$75</f>
        <v>148.25</v>
      </c>
      <c r="R23" s="1039">
        <f>'19'!G76</f>
        <v>60.719999999999345</v>
      </c>
      <c r="S23" s="1030">
        <f>'19'!$G$77</f>
        <v>68</v>
      </c>
      <c r="T23" s="1030">
        <f>'19'!$G$78</f>
        <v>82</v>
      </c>
      <c r="U23" s="1030">
        <f>'19'!$G$79</f>
        <v>155</v>
      </c>
      <c r="V23" s="1030">
        <f>'19'!$G$80</f>
        <v>401</v>
      </c>
      <c r="W23" s="1030">
        <f>'19'!$G$81</f>
        <v>219.47999999998137</v>
      </c>
      <c r="X23" s="1030">
        <f>'19'!$G$82</f>
        <v>24.149999999994179</v>
      </c>
      <c r="Y23" s="1030">
        <f>'19'!$G$58</f>
        <v>217.87000000000262</v>
      </c>
      <c r="Z23" s="1030">
        <f>'19'!$G$83</f>
        <v>272</v>
      </c>
      <c r="AA23" s="1030">
        <f>'19'!G86</f>
        <v>17</v>
      </c>
      <c r="AB23" s="1030">
        <f>'19'!G87</f>
        <v>30.399999999994179</v>
      </c>
      <c r="AC23" s="1030">
        <f>'19'!G88</f>
        <v>126</v>
      </c>
      <c r="AD23" s="1030">
        <f>'19'!G87+'19'!H90</f>
        <v>33.399999999994179</v>
      </c>
      <c r="AE23" s="1030">
        <f>'19'!$G$62</f>
        <v>2.0000000000436557E-2</v>
      </c>
      <c r="AF23" s="1030">
        <f>'19'!$G$63</f>
        <v>0</v>
      </c>
      <c r="AG23" s="1030">
        <f>'19'!$G$64</f>
        <v>374.85000000000582</v>
      </c>
      <c r="AH23" s="1030">
        <f>'19'!$G$65</f>
        <v>395.97000000000116</v>
      </c>
      <c r="AI23" s="1030">
        <f>'19'!$G$66</f>
        <v>429.10000000000582</v>
      </c>
      <c r="AJ23" s="1030">
        <f>'19'!$G$67</f>
        <v>481.89000000001397</v>
      </c>
      <c r="AK23" s="1030">
        <f>'19'!$G$68</f>
        <v>0</v>
      </c>
      <c r="AL23" s="1030">
        <f>'19'!$G$69</f>
        <v>305.61999999999534</v>
      </c>
      <c r="AM23" s="1030">
        <f>'19'!$G$84</f>
        <v>776</v>
      </c>
      <c r="AN23" s="1030">
        <f>'19'!$G$15</f>
        <v>880.58000000007451</v>
      </c>
      <c r="AO23" s="1030">
        <f>'19'!$G$124</f>
        <v>267.72999999998137</v>
      </c>
      <c r="AP23" s="1030">
        <f>'19'!$G$125</f>
        <v>0</v>
      </c>
      <c r="AQ23" s="1030">
        <f>'19'!$G$126</f>
        <v>68.470000000001164</v>
      </c>
      <c r="AR23" s="1030">
        <f>'19'!$G$127</f>
        <v>31.69999999999709</v>
      </c>
      <c r="AS23" s="1030">
        <f>'19'!$G$128</f>
        <v>0</v>
      </c>
      <c r="AT23" s="1030">
        <f t="shared" si="0"/>
        <v>512.68000000009488</v>
      </c>
      <c r="AU23" s="1030">
        <f>SUM('19'!G140:G141)</f>
        <v>9.4000000000005457</v>
      </c>
      <c r="AV23" s="1030">
        <f>'19'!$G$137</f>
        <v>9.5600000000013097</v>
      </c>
      <c r="AW23" s="1030">
        <f>'19'!$G$138</f>
        <v>-0.15999999999985448</v>
      </c>
      <c r="AX23" s="1030">
        <f>'19'!$G$139</f>
        <v>0</v>
      </c>
      <c r="AY23" s="1040">
        <f t="shared" si="1"/>
        <v>9.4000000000014552</v>
      </c>
      <c r="AZ23" s="19">
        <v>21717.789999999979</v>
      </c>
      <c r="BA23" s="1044">
        <f t="shared" si="2"/>
        <v>0</v>
      </c>
    </row>
    <row r="24" spans="1:53">
      <c r="A24" s="1038">
        <v>44032</v>
      </c>
      <c r="B24" s="261">
        <f>'20'!G7</f>
        <v>22117.960000000021</v>
      </c>
      <c r="C24" s="261">
        <f>'20'!G8</f>
        <v>22217.270000000019</v>
      </c>
      <c r="D24" s="261">
        <f>'20'!G15</f>
        <v>465</v>
      </c>
      <c r="E24" s="261">
        <f>'20'!G20</f>
        <v>143</v>
      </c>
      <c r="F24" s="261">
        <f>SUM('20'!G35,'20'!G49)</f>
        <v>2573.210000000021</v>
      </c>
      <c r="G24" s="261">
        <f>SUM('20'!G37,'20'!G51)</f>
        <v>1586.9700000000012</v>
      </c>
      <c r="H24" s="261">
        <f>SUM('20'!G38,'20'!G52)</f>
        <v>1448.929999999993</v>
      </c>
      <c r="I24" s="261">
        <f>SUM('20'!G39,'20'!G53)</f>
        <v>3767.429999999993</v>
      </c>
      <c r="J24" s="261">
        <f>SUM('20'!G41,'20'!G42,'20'!G55,'20'!G56)</f>
        <v>7204.5400000000081</v>
      </c>
      <c r="K24" s="261">
        <f>SUM('20'!G43,'20'!G57)</f>
        <v>2710.6999999999534</v>
      </c>
      <c r="L24" s="1039">
        <f>'20'!G50</f>
        <v>1063.75</v>
      </c>
      <c r="M24" s="1039">
        <f>'20'!G36</f>
        <v>1166.5199999999968</v>
      </c>
      <c r="N24" s="1039">
        <f>'20'!G72</f>
        <v>13</v>
      </c>
      <c r="O24" s="1039">
        <f>'20'!$G$73</f>
        <v>2</v>
      </c>
      <c r="P24" s="1039">
        <f>'20'!$G$74</f>
        <v>3.3000000000029104</v>
      </c>
      <c r="Q24" s="1039">
        <f>'20'!$G$75</f>
        <v>166.63000000000102</v>
      </c>
      <c r="R24" s="1039">
        <f>'20'!$G$76</f>
        <v>63.899999999999636</v>
      </c>
      <c r="S24" s="1039">
        <f>'20'!$G$77</f>
        <v>57</v>
      </c>
      <c r="T24" s="1030">
        <f>'20'!$G$78</f>
        <v>90</v>
      </c>
      <c r="U24" s="1030">
        <f>'20'!$G$79</f>
        <v>150</v>
      </c>
      <c r="V24" s="1030">
        <f>'20'!$G$80</f>
        <v>428.28000000002794</v>
      </c>
      <c r="W24" s="1030">
        <f>'20'!$G$81</f>
        <v>238.04000000003725</v>
      </c>
      <c r="X24" s="1030">
        <f>'20'!$G$82</f>
        <v>13.070000000006985</v>
      </c>
      <c r="Y24" s="1030">
        <f>'20'!$G$58</f>
        <v>7.7399999999979627</v>
      </c>
      <c r="Z24" s="1030">
        <f>'20'!$G$83</f>
        <v>238</v>
      </c>
      <c r="AA24" s="1030">
        <f>'20'!G86</f>
        <v>23.35999999998603</v>
      </c>
      <c r="AB24" s="1030">
        <f>'20'!G87</f>
        <v>38</v>
      </c>
      <c r="AC24" s="1030">
        <f>'20'!G88</f>
        <v>168.45999999999185</v>
      </c>
      <c r="AD24" s="1030">
        <f>'20'!G87+'20'!H90</f>
        <v>43</v>
      </c>
      <c r="AE24" s="1039">
        <f>'20'!$G$62</f>
        <v>0</v>
      </c>
      <c r="AF24" s="1039">
        <f>'20'!$G$63</f>
        <v>0</v>
      </c>
      <c r="AG24" s="1039">
        <f>'20'!$G$64</f>
        <v>363.47000000000116</v>
      </c>
      <c r="AH24" s="1039">
        <f>'20'!$G$65</f>
        <v>386.08999999999651</v>
      </c>
      <c r="AI24" s="1039">
        <f>'20'!$G$66</f>
        <v>428.92999999999302</v>
      </c>
      <c r="AJ24" s="1039">
        <f>'20'!$G$67</f>
        <v>501.6699999999837</v>
      </c>
      <c r="AK24" s="1039">
        <f>'20'!$G$68</f>
        <v>0</v>
      </c>
      <c r="AL24" s="1039">
        <f>'20'!$G$69</f>
        <v>295.63000000000466</v>
      </c>
      <c r="AM24" s="1039">
        <f>'20'!$G$84</f>
        <v>727</v>
      </c>
      <c r="AN24" s="1039">
        <f>'20'!$G$15</f>
        <v>465</v>
      </c>
      <c r="AO24" s="1039">
        <f>'20'!$G$124</f>
        <v>260.44999999995343</v>
      </c>
      <c r="AP24" s="1039">
        <f>'20'!$G$125</f>
        <v>0</v>
      </c>
      <c r="AQ24" s="1039">
        <f>'20'!$G$126</f>
        <v>81.230000000010477</v>
      </c>
      <c r="AR24" s="1039">
        <f>'20'!$G$127</f>
        <v>37</v>
      </c>
      <c r="AS24" s="1039">
        <f>'20'!$G$128</f>
        <v>1.7000000000007276</v>
      </c>
      <c r="AT24" s="1039">
        <f t="shared" si="0"/>
        <v>84.620000000035361</v>
      </c>
      <c r="AU24" s="1039">
        <f>SUM('20'!G140:G141)</f>
        <v>9.1499999999996362</v>
      </c>
      <c r="AV24" s="1039">
        <f>'20'!$G$137</f>
        <v>0.27999999999883585</v>
      </c>
      <c r="AW24" s="1039">
        <f>'20'!$G$138</f>
        <v>0.15999999999985448</v>
      </c>
      <c r="AX24" s="1039">
        <f>'20'!$G$139</f>
        <v>0</v>
      </c>
      <c r="AY24" s="1036">
        <f t="shared" si="1"/>
        <v>0.43999999999869033</v>
      </c>
      <c r="AZ24" s="19">
        <v>22217.270000000019</v>
      </c>
      <c r="BA24" s="1044">
        <f t="shared" si="2"/>
        <v>0</v>
      </c>
    </row>
    <row r="25" spans="1:53">
      <c r="A25" s="1038">
        <v>44033</v>
      </c>
      <c r="B25" s="261">
        <f>'21'!G7</f>
        <v>21118.709999999963</v>
      </c>
      <c r="C25" s="261">
        <f>'21'!G8</f>
        <v>21222.559999999998</v>
      </c>
      <c r="D25" s="261">
        <f>'21'!G15</f>
        <v>926.71999999997206</v>
      </c>
      <c r="E25" s="261">
        <f>'21'!G20</f>
        <v>175</v>
      </c>
      <c r="F25" s="261">
        <f>SUM('21'!G35,'21'!G49)</f>
        <v>2837.539999999979</v>
      </c>
      <c r="G25" s="261">
        <f>SUM('21'!G37,'21'!G51)</f>
        <v>1602.9200000000128</v>
      </c>
      <c r="H25" s="261">
        <f>SUM('21'!G38,'21'!G52)</f>
        <v>1578.0499999999593</v>
      </c>
      <c r="I25" s="261">
        <f>SUM('21'!G39,'21'!G53)</f>
        <v>3741.5200000000186</v>
      </c>
      <c r="J25" s="261">
        <f>SUM('21'!G41,'21'!G42,'21'!G55,'21'!G56)</f>
        <v>6289.1099999999278</v>
      </c>
      <c r="K25" s="261">
        <f>SUM('21'!G43,'21'!G57)</f>
        <v>2552.6000000000931</v>
      </c>
      <c r="L25" s="1039">
        <f>'21'!G50</f>
        <v>1014.9200000000419</v>
      </c>
      <c r="M25" s="1039">
        <f>'21'!G36</f>
        <v>759.40000000000146</v>
      </c>
      <c r="N25" s="1039">
        <f>'21'!G72</f>
        <v>13</v>
      </c>
      <c r="O25" s="1039">
        <f>'21'!$G$73</f>
        <v>1</v>
      </c>
      <c r="P25" s="1039">
        <f>'21'!$G$74</f>
        <v>1.3000000000029104</v>
      </c>
      <c r="Q25" s="1039">
        <f>'21'!$G$75</f>
        <v>153.25</v>
      </c>
      <c r="R25" s="1039">
        <f>'21'!$G$76</f>
        <v>69.450000000000728</v>
      </c>
      <c r="S25" s="1039">
        <f>'21'!$G$77</f>
        <v>93</v>
      </c>
      <c r="T25" s="1030">
        <f>'21'!$G$78</f>
        <v>126</v>
      </c>
      <c r="U25" s="1030">
        <f>'21'!$G$79</f>
        <v>155</v>
      </c>
      <c r="V25" s="1030">
        <f>'21'!$G$80</f>
        <v>421.71999999997206</v>
      </c>
      <c r="W25" s="1030">
        <f>'21'!$G$81</f>
        <v>184.95999999996275</v>
      </c>
      <c r="X25" s="1030">
        <f>'21'!$G$82</f>
        <v>26.44999999999709</v>
      </c>
      <c r="Y25" s="1030">
        <f>'21'!$G$58</f>
        <v>222.88999999999942</v>
      </c>
      <c r="Z25" s="1030">
        <f>'21'!$G$83</f>
        <v>206</v>
      </c>
      <c r="AA25" s="1030">
        <f>'21'!G86</f>
        <v>22.160000000032596</v>
      </c>
      <c r="AB25" s="1030">
        <f>'21'!G87</f>
        <v>34.80000000000291</v>
      </c>
      <c r="AC25" s="1030">
        <f>'21'!G88</f>
        <v>103.36999999999534</v>
      </c>
      <c r="AD25" s="1030">
        <f>'21'!G87+'21'!H90</f>
        <v>42.80000000000291</v>
      </c>
      <c r="AE25" s="1039">
        <f>'21'!$G$62</f>
        <v>0</v>
      </c>
      <c r="AF25" s="1039">
        <f>'21'!$G$63</f>
        <v>0</v>
      </c>
      <c r="AG25" s="1039">
        <f>'21'!$G$64</f>
        <v>348.01999999998952</v>
      </c>
      <c r="AH25" s="1039">
        <f>'21'!$G$65</f>
        <v>382.5</v>
      </c>
      <c r="AI25" s="1039">
        <f>'21'!$G$66</f>
        <v>407.82000000000698</v>
      </c>
      <c r="AJ25" s="1039">
        <f>'21'!$G$67</f>
        <v>501.44000000000233</v>
      </c>
      <c r="AK25" s="1039">
        <f>'21'!$G$68</f>
        <v>0</v>
      </c>
      <c r="AL25" s="1039">
        <f>'21'!$G$69</f>
        <v>284.54999999998836</v>
      </c>
      <c r="AM25" s="1039">
        <f>'21'!$G$84</f>
        <v>697</v>
      </c>
      <c r="AN25" s="1039">
        <f>'21'!$G$15</f>
        <v>926.71999999997206</v>
      </c>
      <c r="AO25" s="1039">
        <f>'21'!$G$124</f>
        <v>269.23000000009779</v>
      </c>
      <c r="AP25" s="1039">
        <f>'21'!$G$125</f>
        <v>0</v>
      </c>
      <c r="AQ25" s="1039">
        <f>'21'!$G$126</f>
        <v>85.069999999977881</v>
      </c>
      <c r="AR25" s="1039">
        <f>'21'!$G$127</f>
        <v>39.599999999998545</v>
      </c>
      <c r="AS25" s="1039">
        <f>'21'!$G$128</f>
        <v>1.2999999999992724</v>
      </c>
      <c r="AT25" s="1039">
        <f t="shared" si="0"/>
        <v>531.51999999989857</v>
      </c>
      <c r="AU25" s="1039">
        <f>SUM('21'!G140:G141)</f>
        <v>9.4600000000000364</v>
      </c>
      <c r="AV25" s="1039">
        <f>'21'!$G$137</f>
        <v>10.069999999999709</v>
      </c>
      <c r="AW25" s="1039">
        <f>'21'!$G$138</f>
        <v>0</v>
      </c>
      <c r="AX25" s="1039">
        <f>'21'!$G$139</f>
        <v>0</v>
      </c>
      <c r="AY25" s="1036">
        <f t="shared" si="1"/>
        <v>10.069999999999709</v>
      </c>
      <c r="AZ25" s="19">
        <v>21222.559999999998</v>
      </c>
      <c r="BA25" s="1044">
        <f t="shared" si="2"/>
        <v>0</v>
      </c>
    </row>
    <row r="26" spans="1:53">
      <c r="A26" s="1038">
        <v>44034</v>
      </c>
      <c r="B26" s="261">
        <f>'22'!G7</f>
        <v>21609.760000000009</v>
      </c>
      <c r="C26" s="261">
        <f>'22'!G8</f>
        <v>21681.119999999995</v>
      </c>
      <c r="D26" s="261">
        <f>'22'!G15</f>
        <v>730.32000000006519</v>
      </c>
      <c r="E26" s="261">
        <f>'22'!G20</f>
        <v>187</v>
      </c>
      <c r="F26" s="261">
        <f>SUM('22'!G35,'22'!G49)</f>
        <v>2925.7600000000093</v>
      </c>
      <c r="G26" s="261">
        <f>SUM('22'!G37,'22'!G51)</f>
        <v>1618.9799999999814</v>
      </c>
      <c r="H26" s="261">
        <f>SUM('22'!G38,'22'!G52)</f>
        <v>1490.7999999999884</v>
      </c>
      <c r="I26" s="261">
        <f>SUM('22'!G39,'22'!G53)</f>
        <v>3759.0800000000163</v>
      </c>
      <c r="J26" s="261">
        <f>SUM('22'!G41,'22'!G42,'22'!G55,'22'!G56)</f>
        <v>6891.7000000000116</v>
      </c>
      <c r="K26" s="261">
        <f>SUM('22'!G43,'22'!G57)</f>
        <v>2641.5999999998603</v>
      </c>
      <c r="L26" s="1039">
        <f>'22'!G50</f>
        <v>1079.5199999999022</v>
      </c>
      <c r="M26" s="1039">
        <f>'22'!G36</f>
        <v>653.86000000000058</v>
      </c>
      <c r="N26" s="1039">
        <f>'22'!G72</f>
        <v>11</v>
      </c>
      <c r="O26" s="1039">
        <f>'22'!$G$73</f>
        <v>1</v>
      </c>
      <c r="P26" s="1039">
        <f>'22'!$G$74</f>
        <v>1.3999999999941792</v>
      </c>
      <c r="Q26" s="1039">
        <f>'22'!$G$75</f>
        <v>149.95000000000073</v>
      </c>
      <c r="R26" s="1039">
        <f>'22'!$G$76</f>
        <v>65.600000000000364</v>
      </c>
      <c r="S26" s="1039">
        <f>'22'!$G$77</f>
        <v>65</v>
      </c>
      <c r="T26" s="1030">
        <f>'22'!$G$78</f>
        <v>100</v>
      </c>
      <c r="U26" s="1030">
        <f>'22'!$G$79</f>
        <v>145</v>
      </c>
      <c r="V26" s="1030">
        <f>'22'!$G$80</f>
        <v>386</v>
      </c>
      <c r="W26" s="1030">
        <f>'22'!$G$81</f>
        <v>186</v>
      </c>
      <c r="X26" s="1030">
        <f>'22'!$G$82</f>
        <v>12.69999999999709</v>
      </c>
      <c r="Y26" s="1030">
        <f>'22'!$G$58</f>
        <v>189.5</v>
      </c>
      <c r="Z26" s="1030">
        <f>'22'!$G$83</f>
        <v>188</v>
      </c>
      <c r="AA26" s="1030">
        <f>'22'!G86</f>
        <v>22.479999999981374</v>
      </c>
      <c r="AB26" s="1030">
        <f>'22'!G87</f>
        <v>30.099999999991269</v>
      </c>
      <c r="AC26" s="1030">
        <f>'22'!G88</f>
        <v>129.88000000000466</v>
      </c>
      <c r="AD26" s="1030">
        <f>'22'!G87+'22'!H90</f>
        <v>42.399999999991451</v>
      </c>
      <c r="AE26" s="1039">
        <f>'22'!$G$62</f>
        <v>0</v>
      </c>
      <c r="AF26" s="1039">
        <f>'22'!$G$63</f>
        <v>0</v>
      </c>
      <c r="AG26" s="1039">
        <f>'22'!$G$64</f>
        <v>374.86000000001513</v>
      </c>
      <c r="AH26" s="1039">
        <f>'22'!$G$65</f>
        <v>402</v>
      </c>
      <c r="AI26" s="1039">
        <f>'22'!$G$66</f>
        <v>392.5399999999936</v>
      </c>
      <c r="AJ26" s="1039">
        <f>'22'!$G$67</f>
        <v>489.61999999999534</v>
      </c>
      <c r="AK26" s="1039">
        <f>'22'!$G$68</f>
        <v>0</v>
      </c>
      <c r="AL26" s="1039">
        <f>'22'!$G$69</f>
        <v>300.81000000001222</v>
      </c>
      <c r="AM26" s="1039">
        <f>'22'!$G$84</f>
        <v>700</v>
      </c>
      <c r="AN26" s="1039">
        <f>'22'!$G$15</f>
        <v>730.32000000006519</v>
      </c>
      <c r="AO26" s="1076">
        <f>'22'!$G$124</f>
        <v>265</v>
      </c>
      <c r="AP26" s="1039">
        <f>'22'!$G$125</f>
        <v>0</v>
      </c>
      <c r="AQ26" s="1039">
        <f>'22'!$G$126</f>
        <v>82.090000000025611</v>
      </c>
      <c r="AR26" s="1039">
        <f>'22'!$G$127</f>
        <v>44.700000000004366</v>
      </c>
      <c r="AS26" s="1039">
        <f>'22'!$G$128</f>
        <v>1</v>
      </c>
      <c r="AT26" s="1039">
        <f t="shared" si="0"/>
        <v>337.53000000003522</v>
      </c>
      <c r="AU26" s="1039">
        <f>SUM('22'!G140:G141)</f>
        <v>9.180000000000291</v>
      </c>
      <c r="AV26" s="1039">
        <f>'22'!$G$137</f>
        <v>5.7000000000007276</v>
      </c>
      <c r="AW26" s="1039">
        <f>'22'!$G$138</f>
        <v>0</v>
      </c>
      <c r="AX26" s="1039">
        <f>'22'!$G$139</f>
        <v>0</v>
      </c>
      <c r="AY26" s="1036">
        <f t="shared" si="1"/>
        <v>5.7000000000007276</v>
      </c>
      <c r="AZ26" s="19">
        <v>21681.119999999995</v>
      </c>
      <c r="BA26" s="1044">
        <f t="shared" si="2"/>
        <v>0</v>
      </c>
    </row>
    <row r="27" spans="1:53">
      <c r="A27" s="1038">
        <v>44035</v>
      </c>
      <c r="B27" s="261">
        <f>'23'!G7</f>
        <v>22568.900000000023</v>
      </c>
      <c r="C27" s="261">
        <f>'23'!G8</f>
        <v>22659.959999999963</v>
      </c>
      <c r="D27" s="261">
        <f>'23'!G15</f>
        <v>871.31000000005588</v>
      </c>
      <c r="E27" s="261">
        <f>'23'!G20</f>
        <v>170</v>
      </c>
      <c r="F27" s="261">
        <f>SUM('23'!G35,'23'!G49)</f>
        <v>3047.5800000000163</v>
      </c>
      <c r="G27" s="261">
        <f>SUM('23'!G37,'23'!G51)</f>
        <v>1602.1600000000035</v>
      </c>
      <c r="H27" s="261">
        <f>SUM('23'!G38,'23'!G52)</f>
        <v>1578.8600000000151</v>
      </c>
      <c r="I27" s="261">
        <f>SUM('23'!G39,'23'!G53)</f>
        <v>3787.9599999999627</v>
      </c>
      <c r="J27" s="261">
        <f>SUM('23'!G41,'23'!G42,'23'!G55,'23'!G56)</f>
        <v>7521.0500000000466</v>
      </c>
      <c r="K27" s="261">
        <f>SUM('23'!G43,'23'!G57)</f>
        <v>2699.2000000001863</v>
      </c>
      <c r="L27" s="1039">
        <f>'23'!G50</f>
        <v>996.76000000000931</v>
      </c>
      <c r="M27" s="1039">
        <f>'23'!G36</f>
        <v>684.05999999999767</v>
      </c>
      <c r="N27" s="1039">
        <f>'23'!G72</f>
        <v>12</v>
      </c>
      <c r="O27" s="1039">
        <f>'23'!G73</f>
        <v>2</v>
      </c>
      <c r="P27" s="1039">
        <f>'23'!$G$74</f>
        <v>1</v>
      </c>
      <c r="Q27" s="1039">
        <f>'23'!$G$75</f>
        <v>148.45999999999913</v>
      </c>
      <c r="R27" s="1039">
        <f>'23'!$G$76</f>
        <v>68.849999999998545</v>
      </c>
      <c r="S27" s="1039">
        <f>'23'!$G$77</f>
        <v>52</v>
      </c>
      <c r="T27" s="1030">
        <f>'23'!$G$78</f>
        <v>106</v>
      </c>
      <c r="U27" s="1030">
        <f>'23'!$G$79</f>
        <v>149</v>
      </c>
      <c r="V27" s="1030">
        <f>'23'!$G$80</f>
        <v>358.52000000001863</v>
      </c>
      <c r="W27" s="1030">
        <f>'23'!$G$81</f>
        <v>186.1600000000326</v>
      </c>
      <c r="X27" s="1030">
        <f>'23'!$G$82</f>
        <v>27.160000000003492</v>
      </c>
      <c r="Y27" s="1030">
        <f>'23'!$G$58</f>
        <v>209.9800000000032</v>
      </c>
      <c r="Z27" s="1074">
        <f>'23'!$G$83</f>
        <v>241</v>
      </c>
      <c r="AA27" s="1030">
        <f>'23'!$G$86</f>
        <v>12</v>
      </c>
      <c r="AB27" s="1030">
        <f>'23'!G87</f>
        <v>32.80000000000291</v>
      </c>
      <c r="AC27" s="1030">
        <f>'23'!G88</f>
        <v>131.08999999999651</v>
      </c>
      <c r="AD27" s="1030">
        <f>'23'!G87+'23'!H90</f>
        <v>50.500000000002728</v>
      </c>
      <c r="AE27" s="1039">
        <f>'23'!$G$62</f>
        <v>-0.2000000000007276</v>
      </c>
      <c r="AF27" s="1039">
        <f>'23'!$G$63</f>
        <v>0</v>
      </c>
      <c r="AG27" s="1039">
        <f>'23'!$G$64</f>
        <v>370.27999999999884</v>
      </c>
      <c r="AH27" s="1039">
        <f>'23'!$G$65</f>
        <v>415.05999999999767</v>
      </c>
      <c r="AI27" s="1039">
        <f>'23'!$G$66</f>
        <v>396.06000000001222</v>
      </c>
      <c r="AJ27" s="1039">
        <f>'23'!$G$67</f>
        <v>512.54000000003725</v>
      </c>
      <c r="AK27" s="1039">
        <f>'23'!$G$68</f>
        <v>0</v>
      </c>
      <c r="AL27" s="1039">
        <f>'23'!$G$69</f>
        <v>314.67999999999302</v>
      </c>
      <c r="AM27" s="1039">
        <f>'23'!$G$84</f>
        <v>709</v>
      </c>
      <c r="AN27" s="1039">
        <f>'23'!$G$15</f>
        <v>871.31000000005588</v>
      </c>
      <c r="AO27" s="1039">
        <f>'23'!$G$124</f>
        <v>259.03999999992084</v>
      </c>
      <c r="AP27" s="1039">
        <f>'23'!$G$125</f>
        <v>0</v>
      </c>
      <c r="AQ27" s="1039">
        <f>'23'!$G$126</f>
        <v>78.819999999977881</v>
      </c>
      <c r="AR27" s="1039">
        <f>'23'!$G$127</f>
        <v>41.399999999994179</v>
      </c>
      <c r="AS27" s="1039">
        <f>'23'!$G$128</f>
        <v>1.8999999999996362</v>
      </c>
      <c r="AT27" s="1039">
        <f t="shared" si="0"/>
        <v>490.15000000016335</v>
      </c>
      <c r="AU27" s="1039">
        <f>SUM('23'!G140:G141)</f>
        <v>9.0399999999999636</v>
      </c>
      <c r="AV27" s="1039">
        <f>'23'!$G$137</f>
        <v>9.6700000000018917</v>
      </c>
      <c r="AW27" s="1039">
        <f>'23'!$G$138</f>
        <v>0</v>
      </c>
      <c r="AX27" s="1039">
        <f>'23'!$G$139</f>
        <v>0</v>
      </c>
      <c r="AY27" s="1036">
        <f t="shared" si="1"/>
        <v>9.6700000000018917</v>
      </c>
      <c r="AZ27" s="19">
        <v>22659.959999999963</v>
      </c>
      <c r="BA27" s="1044">
        <f t="shared" si="2"/>
        <v>0</v>
      </c>
    </row>
    <row r="28" spans="1:53" s="1077" customFormat="1">
      <c r="A28" s="1038">
        <v>44036</v>
      </c>
      <c r="B28" s="261">
        <f>'24'!G7</f>
        <v>22575.669999999984</v>
      </c>
      <c r="C28" s="261">
        <f>'24'!G8</f>
        <v>22644.090000000026</v>
      </c>
      <c r="D28" s="261">
        <f>'24'!G15</f>
        <v>866.64999999990687</v>
      </c>
      <c r="E28" s="261">
        <f>'24'!G20</f>
        <v>174</v>
      </c>
      <c r="F28" s="261">
        <f>SUM('24'!G35,'24'!G49)</f>
        <v>3076.9099999999744</v>
      </c>
      <c r="G28" s="261">
        <f>SUM('24'!G37,'24'!G51)</f>
        <v>1631.9700000000012</v>
      </c>
      <c r="H28" s="261">
        <f>SUM('24'!G38,'24'!G52)</f>
        <v>1604.3600000000442</v>
      </c>
      <c r="I28" s="261">
        <f>SUM('24'!G39,'24'!G53)</f>
        <v>3817.4199999999837</v>
      </c>
      <c r="J28" s="261">
        <f>SUM('24'!G41,'24'!G42,'24'!G55,'24'!G56)</f>
        <v>7305.1499999999942</v>
      </c>
      <c r="K28" s="261">
        <f>SUM('24'!G43,'24'!G57)</f>
        <v>2784.8999999999069</v>
      </c>
      <c r="L28" s="1039">
        <f>'24'!G50</f>
        <v>988.05000000004657</v>
      </c>
      <c r="M28" s="1030">
        <f>'24'!G36</f>
        <v>689.16000000000349</v>
      </c>
      <c r="N28" s="1030">
        <f>'24'!G72</f>
        <v>14</v>
      </c>
      <c r="O28" s="1030">
        <f>'24'!G73</f>
        <v>1</v>
      </c>
      <c r="P28" s="1030">
        <f>'24'!$G$74</f>
        <v>0</v>
      </c>
      <c r="Q28" s="1030">
        <f>'24'!$G$75</f>
        <v>175.70999999999913</v>
      </c>
      <c r="R28" s="1030">
        <f>'24'!$G$76</f>
        <v>65.200000000000728</v>
      </c>
      <c r="S28" s="1030">
        <f>'24'!$G$77</f>
        <v>54</v>
      </c>
      <c r="T28" s="1030">
        <f>'24'!$G$78</f>
        <v>173</v>
      </c>
      <c r="U28" s="1030">
        <f>'24'!$G$79</f>
        <v>159</v>
      </c>
      <c r="V28" s="1030">
        <f>'24'!$G$80</f>
        <v>398.47999999998137</v>
      </c>
      <c r="W28" s="1030">
        <f>'24'!$G$81</f>
        <v>186.8399999999674</v>
      </c>
      <c r="X28" s="1030">
        <f>'24'!$G$82</f>
        <v>20.619999999995343</v>
      </c>
      <c r="Y28" s="1030">
        <f>'24'!$G$58</f>
        <v>207.88999999999942</v>
      </c>
      <c r="Z28" s="1030">
        <f>'24'!$G$83</f>
        <v>190</v>
      </c>
      <c r="AA28" s="1030">
        <f>'24'!G86</f>
        <v>9</v>
      </c>
      <c r="AB28" s="1030">
        <f>'24'!G87</f>
        <v>22.30000000000291</v>
      </c>
      <c r="AC28" s="1030">
        <f>'24'!G88</f>
        <v>75.200000000011642</v>
      </c>
      <c r="AD28" s="1030">
        <f>'24'!G87+'24'!H90</f>
        <v>26.600000000003092</v>
      </c>
      <c r="AE28" s="1030">
        <f>'24'!$G$62</f>
        <v>0</v>
      </c>
      <c r="AF28" s="1030">
        <f>'24'!$G$63</f>
        <v>0</v>
      </c>
      <c r="AG28" s="1030">
        <f>'24'!$G$64</f>
        <v>339.36999999999534</v>
      </c>
      <c r="AH28" s="1030">
        <f>'24'!$G$65</f>
        <v>404.35000000000582</v>
      </c>
      <c r="AI28" s="1030">
        <f>'24'!$G$66</f>
        <v>409.64999999999418</v>
      </c>
      <c r="AJ28" s="1030">
        <f>'24'!$G$67</f>
        <v>551.72999999998137</v>
      </c>
      <c r="AK28" s="1030">
        <f>'24'!$G$68</f>
        <v>0</v>
      </c>
      <c r="AL28" s="1030">
        <f>'24'!$G$69</f>
        <v>311.33000000000175</v>
      </c>
      <c r="AM28" s="1030">
        <f>'24'!$G$84</f>
        <v>782</v>
      </c>
      <c r="AN28" s="1030">
        <f>'24'!$G$15</f>
        <v>866.64999999990687</v>
      </c>
      <c r="AO28" s="1076">
        <f>'24'!$G$124</f>
        <v>254.28000000002794</v>
      </c>
      <c r="AP28" s="1076">
        <f>'24'!$G$125</f>
        <v>-0.39999999999417923</v>
      </c>
      <c r="AQ28" s="1076">
        <f>'24'!$G$126</f>
        <v>87.790000000008149</v>
      </c>
      <c r="AR28" s="1030">
        <f>'24'!$G$127</f>
        <v>50.30000000000291</v>
      </c>
      <c r="AS28" s="1030">
        <f>'24'!$G$128</f>
        <v>4.1000000000003638</v>
      </c>
      <c r="AT28" s="1076">
        <f>AN28-SUM(AO28:AS28)</f>
        <v>470.57999999986168</v>
      </c>
      <c r="AU28" s="1030">
        <f>SUM('24'!G140:G141)</f>
        <v>8.8299999999999272</v>
      </c>
      <c r="AV28" s="1030">
        <f>'24'!$G$137</f>
        <v>7.9499999999970896</v>
      </c>
      <c r="AW28" s="1030">
        <f>'24'!$G$138</f>
        <v>-0.15999999999985448</v>
      </c>
      <c r="AX28" s="1030">
        <f>'24'!$G$139</f>
        <v>0.39999999999417923</v>
      </c>
      <c r="AY28" s="1040">
        <f t="shared" si="1"/>
        <v>8.1899999999914144</v>
      </c>
      <c r="AZ28" s="19">
        <v>22644.090000000026</v>
      </c>
      <c r="BA28" s="1044">
        <f t="shared" si="2"/>
        <v>0</v>
      </c>
    </row>
    <row r="29" spans="1:53">
      <c r="A29" s="1038">
        <v>44037</v>
      </c>
      <c r="B29" s="261">
        <f>'25'!G7</f>
        <v>23023</v>
      </c>
      <c r="C29" s="261">
        <f>'25'!G8</f>
        <v>23122</v>
      </c>
      <c r="D29" s="261">
        <f>'25'!G15</f>
        <v>892</v>
      </c>
      <c r="E29" s="261">
        <f>'25'!G20</f>
        <v>222</v>
      </c>
      <c r="F29" s="261">
        <f>SUM('25'!G35,'25'!G49)</f>
        <v>2993</v>
      </c>
      <c r="G29" s="261">
        <f>SUM('25'!G37,'25'!G51)</f>
        <v>1677.8699999999953</v>
      </c>
      <c r="H29" s="261">
        <f>SUM('25'!G38,'25'!G52)</f>
        <v>1682.0699999999488</v>
      </c>
      <c r="I29" s="261">
        <f>SUM('25'!G39,'25'!G53)</f>
        <v>3772</v>
      </c>
      <c r="J29" s="261">
        <f>SUM('25'!G41,'25'!G42,'25'!G55,'25'!G56)</f>
        <v>7467.4500000000116</v>
      </c>
      <c r="K29" s="261">
        <f>SUM('25'!G43,'25'!G57)</f>
        <v>2870</v>
      </c>
      <c r="L29" s="1039">
        <f>'25'!G50</f>
        <v>1138</v>
      </c>
      <c r="M29" s="1039">
        <f>'25'!G36</f>
        <v>718</v>
      </c>
      <c r="N29" s="1039">
        <f>'25'!G72</f>
        <v>10</v>
      </c>
      <c r="O29" s="1039">
        <f>'25'!$G$73</f>
        <v>1</v>
      </c>
      <c r="P29" s="1039">
        <f>'25'!$G$74</f>
        <v>0</v>
      </c>
      <c r="Q29" s="1039">
        <f>'25'!$G$75</f>
        <v>165</v>
      </c>
      <c r="R29" s="1039">
        <f>'25'!$G$76</f>
        <v>71</v>
      </c>
      <c r="S29" s="1039">
        <f>'25'!$G$77</f>
        <v>55</v>
      </c>
      <c r="T29" s="1030">
        <f>'25'!$G$78</f>
        <v>134</v>
      </c>
      <c r="U29" s="1030">
        <f>'25'!$G$79</f>
        <v>142</v>
      </c>
      <c r="V29" s="1030">
        <f>'25'!$G$80</f>
        <v>443</v>
      </c>
      <c r="W29" s="1030">
        <f>'25'!$G$81</f>
        <v>224</v>
      </c>
      <c r="X29" s="1030">
        <f>'25'!$G$82</f>
        <v>27</v>
      </c>
      <c r="Y29" s="1030">
        <f>'25'!$G$58</f>
        <v>236</v>
      </c>
      <c r="Z29" s="1030">
        <f>'25'!$G$83</f>
        <v>674</v>
      </c>
      <c r="AA29" s="1030">
        <f>'25'!G86</f>
        <v>9</v>
      </c>
      <c r="AB29" s="1030">
        <f>'25'!G87</f>
        <v>17</v>
      </c>
      <c r="AC29" s="1030">
        <f>'25'!G88</f>
        <v>18</v>
      </c>
      <c r="AD29" s="1030">
        <f>'25'!G87+'25'!H90</f>
        <v>19</v>
      </c>
      <c r="AE29" s="1039">
        <f>'25'!$G$62</f>
        <v>0</v>
      </c>
      <c r="AF29" s="1039">
        <f>'25'!$G$63</f>
        <v>0</v>
      </c>
      <c r="AG29" s="1039">
        <f>'25'!$G$64</f>
        <v>349</v>
      </c>
      <c r="AH29" s="1039">
        <f>'25'!$G$65</f>
        <v>390</v>
      </c>
      <c r="AI29" s="1039">
        <f>'25'!$G$66</f>
        <v>399</v>
      </c>
      <c r="AJ29" s="1039">
        <f>'25'!$G$67</f>
        <v>497</v>
      </c>
      <c r="AK29" s="1039">
        <f>'25'!$G$68</f>
        <v>0</v>
      </c>
      <c r="AL29" s="1039">
        <f>'25'!$G$69</f>
        <v>328</v>
      </c>
      <c r="AM29" s="1039">
        <f>'25'!$G$84</f>
        <v>784</v>
      </c>
      <c r="AN29" s="1039">
        <f>'25'!$G$15</f>
        <v>892</v>
      </c>
      <c r="AO29" s="1039">
        <f>'25'!$G$124</f>
        <v>280</v>
      </c>
      <c r="AP29" s="1039">
        <f>'25'!$G$125</f>
        <v>0</v>
      </c>
      <c r="AQ29" s="1039">
        <f>'25'!$G$126</f>
        <v>73</v>
      </c>
      <c r="AR29" s="1039">
        <f>'25'!$G$127</f>
        <v>40</v>
      </c>
      <c r="AS29" s="1039">
        <f>'25'!$G$128</f>
        <v>4</v>
      </c>
      <c r="AT29" s="1039">
        <f t="shared" si="0"/>
        <v>495</v>
      </c>
      <c r="AU29" s="1039">
        <f>SUM('25'!G140:G141)</f>
        <v>10.079999999999927</v>
      </c>
      <c r="AV29" s="1039">
        <f>'25'!$G$137</f>
        <v>9.3300000000017462</v>
      </c>
      <c r="AW29" s="1039">
        <f>'25'!$G$138</f>
        <v>0</v>
      </c>
      <c r="AX29" s="1039">
        <f>'25'!$G$139</f>
        <v>0</v>
      </c>
      <c r="AY29" s="1036">
        <f t="shared" si="1"/>
        <v>9.3300000000017462</v>
      </c>
      <c r="AZ29" s="19">
        <v>23122</v>
      </c>
      <c r="BA29" s="1044">
        <f t="shared" si="2"/>
        <v>0</v>
      </c>
    </row>
    <row r="30" spans="1:53">
      <c r="A30" s="1038">
        <v>44038</v>
      </c>
      <c r="B30" s="261">
        <f>'26'!G7</f>
        <v>22622</v>
      </c>
      <c r="C30" s="261">
        <f>'26'!G8</f>
        <v>22721</v>
      </c>
      <c r="D30" s="261">
        <f>'26'!G15</f>
        <v>754</v>
      </c>
      <c r="E30" s="261">
        <f>'26'!G20</f>
        <v>185</v>
      </c>
      <c r="F30" s="261">
        <f>SUM('26'!G35,'26'!G49)</f>
        <v>3145</v>
      </c>
      <c r="G30" s="261">
        <f>SUM('26'!G37,'26'!G51)</f>
        <v>1663</v>
      </c>
      <c r="H30" s="261">
        <f>SUM('26'!G38,'26'!G52)</f>
        <v>1573</v>
      </c>
      <c r="I30" s="261">
        <f>SUM('26'!G39,'26'!G53)</f>
        <v>3750</v>
      </c>
      <c r="J30" s="261">
        <f>SUM('26'!G41,'26'!G42,'26'!G55,'26'!G56)</f>
        <v>7309</v>
      </c>
      <c r="K30" s="261">
        <f>SUM('26'!G43,'26'!G57)</f>
        <v>2794</v>
      </c>
      <c r="L30" s="1039">
        <f>'26'!G50</f>
        <v>928</v>
      </c>
      <c r="M30" s="1039">
        <f>'26'!G36</f>
        <v>755</v>
      </c>
      <c r="N30" s="1039">
        <f>'26'!G72</f>
        <v>11</v>
      </c>
      <c r="O30" s="1039">
        <f>'26'!$G$73</f>
        <v>1</v>
      </c>
      <c r="P30" s="1039">
        <f>'26'!$G$74</f>
        <v>0</v>
      </c>
      <c r="Q30" s="1039">
        <f>'26'!$G$75</f>
        <v>145</v>
      </c>
      <c r="R30" s="1039">
        <f>'26'!$G$76</f>
        <v>81</v>
      </c>
      <c r="S30" s="1039">
        <f>'26'!$G$77</f>
        <v>133</v>
      </c>
      <c r="T30" s="1030">
        <f>'26'!$G$78</f>
        <v>89</v>
      </c>
      <c r="U30" s="1030">
        <f>'26'!$G$79</f>
        <v>154</v>
      </c>
      <c r="V30" s="1030">
        <f>'26'!$G$80</f>
        <v>408</v>
      </c>
      <c r="W30" s="1030">
        <f>'26'!$G$81</f>
        <v>193</v>
      </c>
      <c r="X30" s="1030">
        <f>'26'!$G$82</f>
        <v>14</v>
      </c>
      <c r="Y30" s="1030">
        <f>'26'!$G$58</f>
        <v>208</v>
      </c>
      <c r="Z30" s="1030">
        <f>'26'!$G$83</f>
        <v>11</v>
      </c>
      <c r="AA30" s="1030">
        <f>'26'!G86</f>
        <v>14</v>
      </c>
      <c r="AB30" s="1030">
        <f>'26'!G87</f>
        <v>35</v>
      </c>
      <c r="AC30" s="1030">
        <f>'26'!G88</f>
        <v>26</v>
      </c>
      <c r="AD30" s="1030">
        <f>'26'!G87+'26'!H90</f>
        <v>42</v>
      </c>
      <c r="AE30" s="1039">
        <f>'26'!$G$62</f>
        <v>0</v>
      </c>
      <c r="AF30" s="1039">
        <f>'26'!$G$63</f>
        <v>0</v>
      </c>
      <c r="AG30" s="1039">
        <f>'26'!$G$64</f>
        <v>403</v>
      </c>
      <c r="AH30" s="1039">
        <f>'26'!$G$65</f>
        <v>369</v>
      </c>
      <c r="AI30" s="1039">
        <f>'26'!$G$66</f>
        <v>414</v>
      </c>
      <c r="AJ30" s="1039">
        <f>'26'!$G$67</f>
        <v>481</v>
      </c>
      <c r="AK30" s="1039">
        <f>'26'!$G$68</f>
        <v>0</v>
      </c>
      <c r="AL30" s="1039">
        <f>'26'!$G$69</f>
        <v>352</v>
      </c>
      <c r="AM30" s="1039">
        <f>'26'!$G$84</f>
        <v>829</v>
      </c>
      <c r="AN30" s="1039">
        <f>'26'!$G$15</f>
        <v>754</v>
      </c>
      <c r="AO30" s="1039">
        <f>'26'!$G$124</f>
        <v>252</v>
      </c>
      <c r="AP30" s="1039">
        <f>'26'!$G$125</f>
        <v>0</v>
      </c>
      <c r="AQ30" s="1039">
        <f>'26'!$G$126</f>
        <v>71</v>
      </c>
      <c r="AR30" s="1039">
        <f>'26'!$G$127</f>
        <v>35</v>
      </c>
      <c r="AS30" s="1039">
        <f>'26'!$G$128</f>
        <v>2</v>
      </c>
      <c r="AT30" s="1039">
        <f t="shared" si="0"/>
        <v>394</v>
      </c>
      <c r="AU30" s="1039">
        <f>SUM('26'!G140:G141)</f>
        <v>9.2699999999999818</v>
      </c>
      <c r="AV30" s="1039">
        <f>'26'!$G$137</f>
        <v>7</v>
      </c>
      <c r="AW30" s="1039">
        <f>'26'!$G$138</f>
        <v>0</v>
      </c>
      <c r="AX30" s="1039">
        <f>'26'!$G$139</f>
        <v>0</v>
      </c>
      <c r="AY30" s="1036">
        <f t="shared" si="1"/>
        <v>7</v>
      </c>
      <c r="AZ30" s="19">
        <v>22721</v>
      </c>
      <c r="BA30" s="1044">
        <f t="shared" si="2"/>
        <v>0</v>
      </c>
    </row>
    <row r="31" spans="1:53">
      <c r="A31" s="1038">
        <v>44039</v>
      </c>
      <c r="B31" s="261">
        <f>'27'!G7</f>
        <v>21119</v>
      </c>
      <c r="C31" s="261">
        <f>'27'!G8</f>
        <v>21225</v>
      </c>
      <c r="D31" s="261">
        <f>'27'!G15</f>
        <v>794</v>
      </c>
      <c r="E31" s="261">
        <f>'27'!G20</f>
        <v>175</v>
      </c>
      <c r="F31" s="261">
        <f>SUM('27'!G35,'27'!G49)</f>
        <v>2883</v>
      </c>
      <c r="G31" s="261">
        <f>SUM('27'!G37,'27'!G51)</f>
        <v>1655.1300000000047</v>
      </c>
      <c r="H31" s="261">
        <f>SUM('27'!G38,'27'!G52)</f>
        <v>1507.9300000000512</v>
      </c>
      <c r="I31" s="261">
        <f>SUM('27'!G39,'27'!G53)</f>
        <v>3783</v>
      </c>
      <c r="J31" s="261">
        <f>SUM('27'!G41,'27'!G42,'27'!G55,'27'!G56)</f>
        <v>6213</v>
      </c>
      <c r="K31" s="261">
        <f>SUM('27'!G43,'27'!G57)</f>
        <v>2676</v>
      </c>
      <c r="L31" s="1039">
        <f>'27'!G50</f>
        <v>988</v>
      </c>
      <c r="M31" s="1039">
        <f>'27'!G36</f>
        <v>671</v>
      </c>
      <c r="N31" s="1039">
        <f>'27'!G72</f>
        <v>13</v>
      </c>
      <c r="O31" s="1039">
        <f>'27'!$G$73</f>
        <v>1</v>
      </c>
      <c r="P31" s="1039">
        <f>'27'!$G$74</f>
        <v>3</v>
      </c>
      <c r="Q31" s="1039">
        <f>'27'!$G$75</f>
        <v>148</v>
      </c>
      <c r="R31" s="1039">
        <f>'27'!$G$76</f>
        <v>78</v>
      </c>
      <c r="S31" s="1039">
        <f>'27'!$G$77</f>
        <v>113</v>
      </c>
      <c r="T31" s="1030">
        <f>'27'!$G$78</f>
        <v>185</v>
      </c>
      <c r="U31" s="1030">
        <f>'27'!$G$79</f>
        <v>144</v>
      </c>
      <c r="V31" s="1030">
        <f>'27'!$G$80</f>
        <v>374</v>
      </c>
      <c r="W31" s="1030">
        <f>'27'!$G$81</f>
        <v>185</v>
      </c>
      <c r="X31" s="1030">
        <f>'27'!$G$82</f>
        <v>23</v>
      </c>
      <c r="Y31" s="1030">
        <f>'27'!$G$58</f>
        <v>192</v>
      </c>
      <c r="Z31" s="1030">
        <f>'27'!$G$83</f>
        <v>29</v>
      </c>
      <c r="AA31" s="1030">
        <f>'27'!G86</f>
        <v>79</v>
      </c>
      <c r="AB31" s="1030">
        <f>'27'!G87</f>
        <v>30</v>
      </c>
      <c r="AC31" s="1030">
        <f>'27'!G88</f>
        <v>34</v>
      </c>
      <c r="AD31" s="1030">
        <f>'27'!G87+'27'!H90</f>
        <v>35</v>
      </c>
      <c r="AE31" s="1039">
        <f>'27'!$G$62</f>
        <v>0</v>
      </c>
      <c r="AF31" s="1039">
        <f>'27'!$G$63</f>
        <v>0</v>
      </c>
      <c r="AG31" s="1039">
        <f>'27'!$G$64</f>
        <v>351</v>
      </c>
      <c r="AH31" s="1039">
        <f>'27'!$G$65</f>
        <v>358</v>
      </c>
      <c r="AI31" s="1039">
        <f>'27'!$G$66</f>
        <v>402</v>
      </c>
      <c r="AJ31" s="1039">
        <f>'27'!$G$67</f>
        <v>529</v>
      </c>
      <c r="AK31" s="1039">
        <f>'27'!$G$68</f>
        <v>0</v>
      </c>
      <c r="AL31" s="1039">
        <f>'27'!$G$69</f>
        <v>345</v>
      </c>
      <c r="AM31" s="1039">
        <f>'27'!$G$84</f>
        <v>835</v>
      </c>
      <c r="AN31" s="1039">
        <f>'27'!$G$15</f>
        <v>794</v>
      </c>
      <c r="AO31" s="1039">
        <f>'27'!$G$124</f>
        <v>250</v>
      </c>
      <c r="AP31" s="1039">
        <f>'27'!$G$125</f>
        <v>0.39999999999417923</v>
      </c>
      <c r="AQ31" s="1039">
        <f>'27'!$G$126</f>
        <v>62</v>
      </c>
      <c r="AR31" s="1039">
        <f>'27'!$G$127</f>
        <v>30</v>
      </c>
      <c r="AS31" s="1039">
        <f>'27'!$G$128</f>
        <v>1</v>
      </c>
      <c r="AT31" s="1039">
        <f t="shared" si="0"/>
        <v>450.60000000000582</v>
      </c>
      <c r="AU31" s="1039">
        <f>SUM('27'!G140:G141)</f>
        <v>9.1599999999998545</v>
      </c>
      <c r="AV31" s="1039">
        <f>'27'!$G$137</f>
        <v>8.7799999999988358</v>
      </c>
      <c r="AW31" s="1039">
        <f>'27'!$G$138</f>
        <v>0.15999999999985448</v>
      </c>
      <c r="AX31" s="1039">
        <f>'27'!$G$139</f>
        <v>-0.39999999999417923</v>
      </c>
      <c r="AY31" s="1036">
        <f t="shared" si="1"/>
        <v>8.5400000000045111</v>
      </c>
      <c r="AZ31" s="19">
        <v>21225</v>
      </c>
      <c r="BA31" s="1044">
        <f t="shared" si="2"/>
        <v>0</v>
      </c>
    </row>
    <row r="32" spans="1:53">
      <c r="A32" s="1038">
        <v>44040</v>
      </c>
      <c r="B32" s="261">
        <f>'28'!G7</f>
        <v>20961</v>
      </c>
      <c r="C32" s="261">
        <f>'28'!G8</f>
        <v>21058</v>
      </c>
      <c r="D32" s="261">
        <f>'28'!G15</f>
        <v>691</v>
      </c>
      <c r="E32" s="261">
        <f>'28'!G20</f>
        <v>126</v>
      </c>
      <c r="F32" s="261">
        <f>SUM('28'!G35,'28'!G49)</f>
        <v>2896</v>
      </c>
      <c r="G32" s="261">
        <f>SUM('28'!G37,'28'!G51)</f>
        <v>1600</v>
      </c>
      <c r="H32" s="261">
        <f>SUM('28'!G38,'28'!G52)</f>
        <v>1549.0699999999488</v>
      </c>
      <c r="I32" s="261">
        <f>SUM('28'!G39,'28'!G53)</f>
        <v>3785</v>
      </c>
      <c r="J32" s="261">
        <f>SUM('28'!G41,'28'!G42,'28'!G55,'28'!G56)</f>
        <v>6109</v>
      </c>
      <c r="K32" s="261">
        <f>SUM('28'!G43,'28'!G57)</f>
        <v>2686.33</v>
      </c>
      <c r="L32" s="1039">
        <f>'28'!G50</f>
        <v>920</v>
      </c>
      <c r="M32" s="1039">
        <f>'28'!G36</f>
        <v>674</v>
      </c>
      <c r="N32" s="1039">
        <f>'28'!G72</f>
        <v>13</v>
      </c>
      <c r="O32" s="1039">
        <f>'28'!$G$73</f>
        <v>1</v>
      </c>
      <c r="P32" s="1039">
        <f>'28'!$G$74</f>
        <v>3</v>
      </c>
      <c r="Q32" s="1039">
        <f>'28'!$G$75</f>
        <v>152</v>
      </c>
      <c r="R32" s="1039">
        <f>'28'!$G$76</f>
        <v>71</v>
      </c>
      <c r="S32" s="1039">
        <f>'28'!$G$77</f>
        <v>78</v>
      </c>
      <c r="T32" s="1030">
        <f>'28'!$G$78</f>
        <v>81</v>
      </c>
      <c r="U32" s="1030">
        <f>'28'!$G$79</f>
        <v>145</v>
      </c>
      <c r="V32" s="1030">
        <f>'28'!$G$80</f>
        <v>361</v>
      </c>
      <c r="W32" s="1030">
        <f>'28'!$G$81</f>
        <v>190</v>
      </c>
      <c r="X32" s="1030">
        <f>'28'!$G$82</f>
        <v>15</v>
      </c>
      <c r="Y32" s="1030">
        <f>'28'!$G$58</f>
        <v>162</v>
      </c>
      <c r="Z32" s="1030">
        <f>'28'!$G$83</f>
        <v>224</v>
      </c>
      <c r="AA32" s="1030">
        <f>'28'!G86</f>
        <v>19</v>
      </c>
      <c r="AB32" s="1030">
        <f>'28'!G87</f>
        <v>34</v>
      </c>
      <c r="AC32" s="1030">
        <f>'28'!G88</f>
        <v>26</v>
      </c>
      <c r="AD32" s="1030">
        <f>'28'!G87+'28'!H90</f>
        <v>40</v>
      </c>
      <c r="AE32" s="1039">
        <f>'28'!$G$62</f>
        <v>0</v>
      </c>
      <c r="AF32" s="1039">
        <f>'28'!$G$63</f>
        <v>0</v>
      </c>
      <c r="AG32" s="1039">
        <f>'28'!$G$64</f>
        <v>389</v>
      </c>
      <c r="AH32" s="1039">
        <f>'28'!$G$65</f>
        <v>382</v>
      </c>
      <c r="AI32" s="1039">
        <f>'28'!$G$66</f>
        <v>396</v>
      </c>
      <c r="AJ32" s="1039">
        <f>'28'!$G$67</f>
        <v>497</v>
      </c>
      <c r="AK32" s="1039">
        <f>'28'!$G$68</f>
        <v>0</v>
      </c>
      <c r="AL32" s="1039">
        <f>'28'!$G$69</f>
        <v>350</v>
      </c>
      <c r="AM32" s="1039">
        <f>'28'!$G$84</f>
        <v>779</v>
      </c>
      <c r="AN32" s="1039">
        <f>'28'!$G$15</f>
        <v>691</v>
      </c>
      <c r="AO32" s="1039">
        <f>'28'!$G$124</f>
        <v>243</v>
      </c>
      <c r="AP32" s="1039">
        <f>'28'!$G$125</f>
        <v>0</v>
      </c>
      <c r="AQ32" s="1039">
        <f>'28'!$G$126</f>
        <v>66</v>
      </c>
      <c r="AR32" s="1039">
        <f>'28'!$G$127</f>
        <v>32</v>
      </c>
      <c r="AS32" s="1039">
        <f>'28'!$G$128</f>
        <v>2</v>
      </c>
      <c r="AT32" s="1039">
        <f t="shared" si="0"/>
        <v>348</v>
      </c>
      <c r="AU32" s="1039">
        <f>SUM('28'!G140:G141)</f>
        <v>9.7199999999997999</v>
      </c>
      <c r="AV32" s="1039">
        <f>'28'!$G$137</f>
        <v>5.8000000000029104</v>
      </c>
      <c r="AW32" s="1039">
        <f>'28'!$G$138</f>
        <v>2.0000000000436557E-2</v>
      </c>
      <c r="AX32" s="1039">
        <f>'28'!$G$139</f>
        <v>0</v>
      </c>
      <c r="AY32" s="1036">
        <f t="shared" si="1"/>
        <v>5.8200000000033469</v>
      </c>
      <c r="AZ32" s="19">
        <v>21058</v>
      </c>
      <c r="BA32" s="1044">
        <f t="shared" si="2"/>
        <v>0</v>
      </c>
    </row>
    <row r="33" spans="1:53">
      <c r="A33" s="1038">
        <v>44041</v>
      </c>
      <c r="B33" s="261">
        <f>'29'!G7</f>
        <v>22978</v>
      </c>
      <c r="C33" s="261">
        <f>'29'!G8</f>
        <v>23083</v>
      </c>
      <c r="D33" s="261">
        <f>'29'!G15</f>
        <v>988</v>
      </c>
      <c r="E33" s="261">
        <f>'29'!G20</f>
        <v>204</v>
      </c>
      <c r="F33" s="261">
        <f>SUM('29'!G35,'29'!G49)</f>
        <v>3024</v>
      </c>
      <c r="G33" s="261">
        <f>SUM('29'!G37,'29'!G51)</f>
        <v>1606.8699999999953</v>
      </c>
      <c r="H33" s="261">
        <f>SUM('29'!G38,'29'!G52)</f>
        <v>1643</v>
      </c>
      <c r="I33" s="261">
        <f>SUM('29'!G39,'29'!G53)</f>
        <v>3817</v>
      </c>
      <c r="J33" s="261">
        <f>SUM('29'!G41,'29'!G42,'29'!G55,'29'!G56)</f>
        <v>7255</v>
      </c>
      <c r="K33" s="261">
        <f>SUM('29'!G43,'29'!G57)</f>
        <v>2797.67</v>
      </c>
      <c r="L33" s="1039">
        <f>'29'!G50</f>
        <v>980</v>
      </c>
      <c r="M33" s="1039">
        <f>'29'!G36</f>
        <v>1126</v>
      </c>
      <c r="N33" s="1039">
        <f>'29'!G72</f>
        <v>13</v>
      </c>
      <c r="O33" s="1039">
        <f>'29'!$G$73</f>
        <v>1</v>
      </c>
      <c r="P33" s="1039">
        <f>'29'!$G$74</f>
        <v>2</v>
      </c>
      <c r="Q33" s="1039">
        <f>'29'!$G$75</f>
        <v>159</v>
      </c>
      <c r="R33" s="1039">
        <f>'29'!$G$76</f>
        <v>73</v>
      </c>
      <c r="S33" s="1039">
        <f>'29'!$G$77</f>
        <v>58</v>
      </c>
      <c r="T33" s="1039">
        <f>'29'!$G$78</f>
        <v>130</v>
      </c>
      <c r="U33" s="1039">
        <f>'29'!$G$79</f>
        <v>148</v>
      </c>
      <c r="V33" s="1039">
        <f>'29'!$G$80</f>
        <v>381</v>
      </c>
      <c r="W33" s="1039">
        <f>'29'!$G$81</f>
        <v>197</v>
      </c>
      <c r="X33" s="1039">
        <f>'29'!$G$82</f>
        <v>27</v>
      </c>
      <c r="Y33" s="1039">
        <f>'29'!$G$58</f>
        <v>197</v>
      </c>
      <c r="Z33" s="1039">
        <f>'29'!$G$83</f>
        <v>296</v>
      </c>
      <c r="AA33" s="1039">
        <f>'29'!G86</f>
        <v>9</v>
      </c>
      <c r="AB33" s="1039">
        <f>'29'!G87</f>
        <v>39</v>
      </c>
      <c r="AC33" s="1039">
        <f>'29'!G88</f>
        <v>23</v>
      </c>
      <c r="AD33" s="1039">
        <f>'29'!G87+'29'!H90</f>
        <v>44</v>
      </c>
      <c r="AE33" s="1039">
        <f>'29'!$G$62</f>
        <v>0</v>
      </c>
      <c r="AF33" s="1039">
        <f>'29'!$G$63</f>
        <v>0</v>
      </c>
      <c r="AG33" s="1039">
        <f>'29'!$G$64</f>
        <v>405</v>
      </c>
      <c r="AH33" s="1039">
        <f>'29'!$G$65</f>
        <v>399</v>
      </c>
      <c r="AI33" s="1039">
        <f>'29'!$G$66</f>
        <v>406</v>
      </c>
      <c r="AJ33" s="1039">
        <f>'29'!$G$67</f>
        <v>509</v>
      </c>
      <c r="AK33" s="1039">
        <f>'29'!$G$68</f>
        <v>0</v>
      </c>
      <c r="AL33" s="1039">
        <f>'29'!$G$69</f>
        <v>350</v>
      </c>
      <c r="AM33" s="1039">
        <f>'29'!$G$84</f>
        <v>793</v>
      </c>
      <c r="AN33" s="1039">
        <f>'29'!$G$15</f>
        <v>988</v>
      </c>
      <c r="AO33" s="1039">
        <f>'29'!$G$124</f>
        <v>265</v>
      </c>
      <c r="AP33" s="1039">
        <f>'29'!$G$125</f>
        <v>-0.39999999999417923</v>
      </c>
      <c r="AQ33" s="1039">
        <f>'29'!$G$126</f>
        <v>89</v>
      </c>
      <c r="AR33" s="1039">
        <f>'29'!$G$127</f>
        <v>44</v>
      </c>
      <c r="AS33" s="1039">
        <f>'29'!$G$128</f>
        <v>1</v>
      </c>
      <c r="AT33" s="1039">
        <f t="shared" si="0"/>
        <v>589.39999999999418</v>
      </c>
      <c r="AU33" s="1039">
        <f>SUM('29'!G140:G141)</f>
        <v>9.3099999999999454</v>
      </c>
      <c r="AV33" s="1039">
        <f>'29'!$G$137</f>
        <v>-2.0000000000436557E-2</v>
      </c>
      <c r="AW33" s="1039">
        <f>'29'!$G$138</f>
        <v>10.770000000000437</v>
      </c>
      <c r="AX33" s="1039">
        <f>'29'!$G$139</f>
        <v>0.39999999999417923</v>
      </c>
      <c r="AY33" s="1036">
        <f t="shared" si="1"/>
        <v>11.149999999994179</v>
      </c>
      <c r="AZ33" s="19">
        <v>23083</v>
      </c>
      <c r="BA33" s="1044">
        <f t="shared" si="2"/>
        <v>0</v>
      </c>
    </row>
    <row r="34" spans="1:53" s="1041" customFormat="1">
      <c r="A34" s="1038">
        <v>44042</v>
      </c>
      <c r="B34" s="261">
        <f>'30'!G7</f>
        <v>22205</v>
      </c>
      <c r="C34" s="261">
        <f>'30'!G8</f>
        <v>22284</v>
      </c>
      <c r="D34" s="261">
        <f>'30'!G15</f>
        <v>921</v>
      </c>
      <c r="E34" s="261">
        <f>'30'!G20</f>
        <v>212</v>
      </c>
      <c r="F34" s="1456">
        <f>SUM('30'!G35,'30'!G49)</f>
        <v>3004</v>
      </c>
      <c r="G34" s="1456">
        <f>SUM('30'!G37,'30'!G51)</f>
        <v>1632.1300000000047</v>
      </c>
      <c r="H34" s="1456">
        <f>SUM('30'!G38,'30'!G52)</f>
        <v>1699.9300000000512</v>
      </c>
      <c r="I34" s="261">
        <f>SUM('30'!G39,'30'!G53)</f>
        <v>3848</v>
      </c>
      <c r="J34" s="1456">
        <f>SUM('30'!G41,'30'!G42,'30'!G55,'30'!G56)</f>
        <v>6835</v>
      </c>
      <c r="K34" s="1456">
        <f>SUM('30'!G43,'30'!G57)</f>
        <v>2640</v>
      </c>
      <c r="L34" s="781">
        <f>'30'!G50</f>
        <v>1029</v>
      </c>
      <c r="M34" s="781">
        <f>'30'!G36</f>
        <v>857</v>
      </c>
      <c r="N34" s="1030">
        <f>'30'!G72</f>
        <v>15</v>
      </c>
      <c r="O34" s="1030">
        <f>'30'!$G$73</f>
        <v>2</v>
      </c>
      <c r="P34" s="1030">
        <f>'30'!$G$74</f>
        <v>1</v>
      </c>
      <c r="Q34" s="1030">
        <f>'30'!$G$75</f>
        <v>172</v>
      </c>
      <c r="R34" s="1030">
        <f>'30'!$G$76</f>
        <v>73</v>
      </c>
      <c r="S34" s="1030">
        <f>'30'!$G$77</f>
        <v>57</v>
      </c>
      <c r="T34" s="1030">
        <f>'30'!$G$78</f>
        <v>177</v>
      </c>
      <c r="U34" s="1030">
        <f>'30'!$G$79</f>
        <v>139</v>
      </c>
      <c r="V34" s="1030">
        <f>'30'!$G$80</f>
        <v>410</v>
      </c>
      <c r="W34" s="1030">
        <f>'30'!$G$81</f>
        <v>188</v>
      </c>
      <c r="X34" s="1030">
        <f>'30'!$G$82</f>
        <v>14</v>
      </c>
      <c r="Y34" s="1030">
        <f>'30'!$G$58</f>
        <v>220</v>
      </c>
      <c r="Z34" s="1030">
        <f>'30'!$G$83</f>
        <v>321</v>
      </c>
      <c r="AA34" s="1030">
        <f>'30'!G86</f>
        <v>12</v>
      </c>
      <c r="AB34" s="1030">
        <f>'30'!G87</f>
        <v>32</v>
      </c>
      <c r="AC34" s="1030">
        <f>'30'!G88</f>
        <v>20</v>
      </c>
      <c r="AD34" s="1030">
        <f>'30'!G87+'30'!H90</f>
        <v>42</v>
      </c>
      <c r="AE34" s="1030">
        <f>'30'!$G$62</f>
        <v>0</v>
      </c>
      <c r="AF34" s="1030">
        <f>'30'!$G$63</f>
        <v>0</v>
      </c>
      <c r="AG34" s="1030">
        <f>'30'!$G$64</f>
        <v>379</v>
      </c>
      <c r="AH34" s="1030">
        <f>'30'!$G$65</f>
        <v>402</v>
      </c>
      <c r="AI34" s="1030">
        <f>'30'!$G$66</f>
        <v>418</v>
      </c>
      <c r="AJ34" s="1030">
        <f>'30'!$G$67</f>
        <v>525</v>
      </c>
      <c r="AK34" s="1030">
        <f>'30'!$G$68</f>
        <v>0</v>
      </c>
      <c r="AL34" s="1030">
        <f>'30'!$G$69</f>
        <v>347</v>
      </c>
      <c r="AM34" s="1030">
        <f>'30'!$G$84</f>
        <v>802</v>
      </c>
      <c r="AN34" s="1030">
        <f>'30'!$G$15</f>
        <v>921</v>
      </c>
      <c r="AO34" s="1030">
        <f>'30'!$G$124</f>
        <v>162</v>
      </c>
      <c r="AP34" s="1030">
        <f>'30'!$G$125</f>
        <v>0.39999999999417923</v>
      </c>
      <c r="AQ34" s="1030">
        <f>'30'!$G$126</f>
        <v>91</v>
      </c>
      <c r="AR34" s="1030">
        <f>'30'!$G$127</f>
        <v>49</v>
      </c>
      <c r="AS34" s="1030">
        <f>'30'!$G$128</f>
        <v>4</v>
      </c>
      <c r="AT34" s="1030">
        <f t="shared" si="0"/>
        <v>614.60000000000582</v>
      </c>
      <c r="AU34" s="1030">
        <f>SUM('30'!G140:G141)</f>
        <v>8.8400000000001455</v>
      </c>
      <c r="AV34" s="1030">
        <f>'30'!$G$137</f>
        <v>0</v>
      </c>
      <c r="AW34" s="1030">
        <f>'30'!$G$138</f>
        <v>9.5</v>
      </c>
      <c r="AX34" s="1030">
        <f>'30'!$G$139</f>
        <v>-0.39999999999417923</v>
      </c>
      <c r="AY34" s="1040">
        <f t="shared" si="1"/>
        <v>9.1000000000058208</v>
      </c>
      <c r="AZ34" s="19">
        <v>22284</v>
      </c>
      <c r="BA34" s="1044">
        <f t="shared" si="2"/>
        <v>0</v>
      </c>
    </row>
    <row r="35" spans="1:53">
      <c r="A35" s="1038">
        <v>44043</v>
      </c>
      <c r="B35" s="261">
        <f>'31'!G7</f>
        <v>23200</v>
      </c>
      <c r="C35" s="261">
        <f>'31'!G8</f>
        <v>23292</v>
      </c>
      <c r="D35" s="261">
        <f>'31'!G15</f>
        <v>928</v>
      </c>
      <c r="E35" s="261">
        <f>'31'!G20</f>
        <v>223</v>
      </c>
      <c r="F35" s="1456">
        <f>SUM('31'!G35,'31'!G49)</f>
        <v>3072</v>
      </c>
      <c r="G35" s="1456">
        <f>SUM('31'!G37,'31'!G51)</f>
        <v>1656</v>
      </c>
      <c r="H35" s="1456">
        <f>SUM('31'!G38,'31'!G52)</f>
        <v>1745</v>
      </c>
      <c r="I35" s="261">
        <f>SUM('31'!G39,'31'!G53)</f>
        <v>3807</v>
      </c>
      <c r="J35" s="1456">
        <f>SUM('31'!G41,'31'!G42,'31'!G55,'31'!G56)</f>
        <v>7247</v>
      </c>
      <c r="K35" s="1456">
        <f>SUM('31'!G43,'31'!G57)</f>
        <v>2824</v>
      </c>
      <c r="L35" s="781">
        <f>'31'!G50</f>
        <v>1177</v>
      </c>
      <c r="M35" s="781">
        <f>'31'!G36</f>
        <v>946</v>
      </c>
      <c r="N35" s="1030">
        <f>'31'!G72</f>
        <v>12</v>
      </c>
      <c r="O35" s="1030">
        <f>'31'!$G$73</f>
        <v>1</v>
      </c>
      <c r="P35" s="1030">
        <f>'31'!$G$74</f>
        <v>1</v>
      </c>
      <c r="Q35" s="1030">
        <f>'31'!$G$75</f>
        <v>187</v>
      </c>
      <c r="R35" s="1030">
        <f>'31'!$G$76</f>
        <v>70</v>
      </c>
      <c r="S35" s="1030">
        <f>'31'!$G$77</f>
        <v>69</v>
      </c>
      <c r="T35" s="1030">
        <f>'31'!$G$78</f>
        <v>180</v>
      </c>
      <c r="U35" s="1030">
        <f>'31'!$G$79</f>
        <v>161</v>
      </c>
      <c r="V35" s="1030">
        <f>'31'!$G$80</f>
        <v>414</v>
      </c>
      <c r="W35" s="1030">
        <f>'31'!$G$81</f>
        <v>185</v>
      </c>
      <c r="X35" s="1030">
        <f>'31'!$G$82</f>
        <v>27</v>
      </c>
      <c r="Y35" s="1030">
        <f>'31'!$G$58</f>
        <v>208</v>
      </c>
      <c r="Z35" s="1030">
        <f>'31'!$G$83</f>
        <v>317</v>
      </c>
      <c r="AA35" s="1030">
        <f>'31'!G87</f>
        <v>26</v>
      </c>
      <c r="AB35" s="1030">
        <f>'31'!G88</f>
        <v>10</v>
      </c>
      <c r="AC35" s="1030">
        <f>'31'!G89</f>
        <v>34</v>
      </c>
      <c r="AD35" s="1030">
        <f>'31'!G88+'31'!H92</f>
        <v>10</v>
      </c>
      <c r="AE35" s="1030">
        <f>'31'!$G$62</f>
        <v>0</v>
      </c>
      <c r="AF35" s="1030">
        <f>'31'!$G$63</f>
        <v>0</v>
      </c>
      <c r="AG35" s="1030">
        <f>'31'!$G$64</f>
        <v>347</v>
      </c>
      <c r="AH35" s="1030">
        <f>'31'!$G$65</f>
        <v>395</v>
      </c>
      <c r="AI35" s="1030">
        <f>'31'!$G$66</f>
        <v>413</v>
      </c>
      <c r="AJ35" s="1030">
        <f>'31'!$G$67</f>
        <v>538</v>
      </c>
      <c r="AK35" s="1030">
        <f>'31'!$G$68</f>
        <v>0</v>
      </c>
      <c r="AL35" s="1030">
        <f>'31'!$G$69</f>
        <v>337</v>
      </c>
      <c r="AM35" s="1030">
        <f>'31'!$G$84</f>
        <v>820</v>
      </c>
      <c r="AN35" s="1030">
        <f>'31'!$G$15</f>
        <v>928</v>
      </c>
      <c r="AO35" s="1030">
        <f>'31'!$G$124</f>
        <v>359</v>
      </c>
      <c r="AP35" s="1030">
        <f>'31'!$G$125</f>
        <v>0</v>
      </c>
      <c r="AQ35" s="1030">
        <f>'31'!$G$126</f>
        <v>92</v>
      </c>
      <c r="AR35" s="1030">
        <f>'31'!$G$127</f>
        <v>43</v>
      </c>
      <c r="AS35" s="1030">
        <f>'31'!$G$128</f>
        <v>4</v>
      </c>
      <c r="AT35" s="1030">
        <f t="shared" ref="AT35" si="3">AN35-SUM(AO35:AS35)</f>
        <v>430</v>
      </c>
      <c r="AU35" s="1030">
        <f>SUM('31'!G141:G142)</f>
        <v>0</v>
      </c>
      <c r="AV35" s="1030">
        <f>'31'!$G$137</f>
        <v>9</v>
      </c>
      <c r="AW35" s="1030">
        <f>'31'!$G$138</f>
        <v>0</v>
      </c>
      <c r="AX35" s="1030">
        <f>'30'!$G$139</f>
        <v>-0.39999999999417923</v>
      </c>
      <c r="AY35" s="1040">
        <f t="shared" ref="AY35" si="4">SUM(AV35:AX35)</f>
        <v>8.6000000000058208</v>
      </c>
      <c r="AZ35" s="19">
        <v>23292</v>
      </c>
      <c r="BA35" s="1044">
        <f t="shared" si="2"/>
        <v>0</v>
      </c>
    </row>
    <row r="36" spans="1:53" s="1454" customFormat="1">
      <c r="A36" s="1453" t="s">
        <v>345</v>
      </c>
      <c r="B36" s="1455">
        <f>AVERAGE(B5:B35)</f>
        <v>22120</v>
      </c>
      <c r="C36" s="1521">
        <f>AVERAGE(C5:C35)</f>
        <v>22221.774193548386</v>
      </c>
      <c r="D36" s="1522">
        <f t="shared" ref="D36:AY36" si="5">AVERAGE(D5:D35)</f>
        <v>834.54838709677415</v>
      </c>
      <c r="E36" s="1522">
        <f t="shared" si="5"/>
        <v>191.7741935483871</v>
      </c>
      <c r="F36" s="1453">
        <f t="shared" si="5"/>
        <v>3007.7096774193546</v>
      </c>
      <c r="G36" s="1453">
        <f t="shared" si="5"/>
        <v>1600.0967741935483</v>
      </c>
      <c r="H36" s="1453">
        <f t="shared" si="5"/>
        <v>1616.1290322580646</v>
      </c>
      <c r="I36" s="1453">
        <f t="shared" si="5"/>
        <v>3730.7741935483873</v>
      </c>
      <c r="J36" s="1453">
        <f t="shared" si="5"/>
        <v>6834.7777419354843</v>
      </c>
      <c r="K36" s="1453">
        <f t="shared" si="5"/>
        <v>2709.9677419354839</v>
      </c>
      <c r="L36" s="1453">
        <f t="shared" si="5"/>
        <v>1137.483870967742</v>
      </c>
      <c r="M36" s="1453">
        <f t="shared" si="5"/>
        <v>849.58064516129036</v>
      </c>
      <c r="N36" s="1453">
        <f t="shared" si="5"/>
        <v>12.548387096774194</v>
      </c>
      <c r="O36" s="1453">
        <f t="shared" si="5"/>
        <v>1.3225806451612903</v>
      </c>
      <c r="P36" s="1453">
        <f t="shared" si="5"/>
        <v>2.2903225806451615</v>
      </c>
      <c r="Q36" s="1453">
        <f t="shared" si="5"/>
        <v>157.29032258064515</v>
      </c>
      <c r="R36" s="1453">
        <f t="shared" si="5"/>
        <v>67.451612903225808</v>
      </c>
      <c r="S36" s="1453">
        <f t="shared" si="5"/>
        <v>67.064516129032256</v>
      </c>
      <c r="T36" s="1453">
        <f t="shared" si="5"/>
        <v>110.93548387096774</v>
      </c>
      <c r="U36" s="1453">
        <f t="shared" si="5"/>
        <v>154.80645161290323</v>
      </c>
      <c r="V36" s="1453">
        <f t="shared" si="5"/>
        <v>417.38709677419354</v>
      </c>
      <c r="W36" s="1453">
        <f t="shared" si="5"/>
        <v>194.61290322580646</v>
      </c>
      <c r="X36" s="1453">
        <f t="shared" si="5"/>
        <v>21.129032258064516</v>
      </c>
      <c r="Y36" s="1453">
        <f t="shared" si="5"/>
        <v>183.64516129032259</v>
      </c>
      <c r="Z36" s="1453">
        <f t="shared" si="5"/>
        <v>241.09677419354838</v>
      </c>
      <c r="AA36" s="1453">
        <f t="shared" si="5"/>
        <v>22.29032258064516</v>
      </c>
      <c r="AB36" s="1453">
        <f t="shared" si="5"/>
        <v>27.748387096774568</v>
      </c>
      <c r="AC36" s="1453">
        <f t="shared" si="5"/>
        <v>93.967741935483872</v>
      </c>
      <c r="AD36" s="1453">
        <f t="shared" si="5"/>
        <v>39.91612903225807</v>
      </c>
      <c r="AE36" s="1453">
        <f t="shared" si="5"/>
        <v>0</v>
      </c>
      <c r="AF36" s="1453">
        <f t="shared" si="5"/>
        <v>0</v>
      </c>
      <c r="AG36" s="1453">
        <f t="shared" si="5"/>
        <v>381.87096774193549</v>
      </c>
      <c r="AH36" s="1453">
        <f t="shared" si="5"/>
        <v>384.09677419354841</v>
      </c>
      <c r="AI36" s="1453">
        <f t="shared" si="5"/>
        <v>409.74193548387098</v>
      </c>
      <c r="AJ36" s="1453">
        <f t="shared" si="5"/>
        <v>487.06451612903226</v>
      </c>
      <c r="AK36" s="1453">
        <f t="shared" si="5"/>
        <v>0</v>
      </c>
      <c r="AL36" s="1453">
        <f t="shared" si="5"/>
        <v>291.67741935483872</v>
      </c>
      <c r="AM36" s="1453">
        <f t="shared" si="5"/>
        <v>784.29032258064512</v>
      </c>
      <c r="AN36" s="1453">
        <f t="shared" si="5"/>
        <v>834.54838709677415</v>
      </c>
      <c r="AO36" s="1453">
        <f t="shared" si="5"/>
        <v>267.61290322580646</v>
      </c>
      <c r="AP36" s="1453">
        <f t="shared" si="5"/>
        <v>0</v>
      </c>
      <c r="AQ36" s="1453">
        <f t="shared" si="5"/>
        <v>87.870967741935488</v>
      </c>
      <c r="AR36" s="1453">
        <f t="shared" si="5"/>
        <v>39.258064516129032</v>
      </c>
      <c r="AS36" s="1453">
        <f t="shared" si="5"/>
        <v>3.2580645161290325</v>
      </c>
      <c r="AT36" s="1453">
        <f t="shared" si="5"/>
        <v>436.54838709677421</v>
      </c>
      <c r="AU36" s="1453">
        <f t="shared" si="5"/>
        <v>9.3274193548387121</v>
      </c>
      <c r="AV36" s="1453">
        <f t="shared" si="5"/>
        <v>6.9377419354838619</v>
      </c>
      <c r="AW36" s="1453">
        <f t="shared" si="5"/>
        <v>0.90516129032262294</v>
      </c>
      <c r="AX36" s="1453">
        <f t="shared" si="5"/>
        <v>8.3225806452138645E-2</v>
      </c>
      <c r="AY36" s="1453">
        <f t="shared" si="5"/>
        <v>7.9261290322586229</v>
      </c>
      <c r="AZ36" s="19"/>
    </row>
    <row r="37" spans="1:53">
      <c r="A37" s="1078" t="s">
        <v>200</v>
      </c>
      <c r="B37" s="1455">
        <f>SUM(B5:B35)</f>
        <v>685720</v>
      </c>
      <c r="C37" s="1455">
        <f t="shared" ref="C37:AY37" si="6">SUM(C5:C35)</f>
        <v>688875</v>
      </c>
      <c r="D37" s="1455">
        <f t="shared" si="6"/>
        <v>25871</v>
      </c>
      <c r="E37" s="1455">
        <f t="shared" si="6"/>
        <v>5945</v>
      </c>
      <c r="F37" s="1455">
        <f t="shared" si="6"/>
        <v>93239</v>
      </c>
      <c r="G37" s="1455">
        <f t="shared" si="6"/>
        <v>49603</v>
      </c>
      <c r="H37" s="1455">
        <f t="shared" si="6"/>
        <v>50100</v>
      </c>
      <c r="I37" s="1455">
        <f t="shared" si="6"/>
        <v>115654</v>
      </c>
      <c r="J37" s="1455">
        <f t="shared" si="6"/>
        <v>211878.11000000002</v>
      </c>
      <c r="K37" s="1455">
        <f t="shared" si="6"/>
        <v>84009</v>
      </c>
      <c r="L37" s="1455">
        <f t="shared" si="6"/>
        <v>35262</v>
      </c>
      <c r="M37" s="1455">
        <f t="shared" si="6"/>
        <v>26337</v>
      </c>
      <c r="N37" s="1455">
        <f t="shared" si="6"/>
        <v>389</v>
      </c>
      <c r="O37" s="1455">
        <f t="shared" si="6"/>
        <v>41</v>
      </c>
      <c r="P37" s="1455">
        <f t="shared" si="6"/>
        <v>71</v>
      </c>
      <c r="Q37" s="1455">
        <f t="shared" si="6"/>
        <v>4876</v>
      </c>
      <c r="R37" s="1455">
        <f t="shared" si="6"/>
        <v>2091</v>
      </c>
      <c r="S37" s="1455">
        <f t="shared" si="6"/>
        <v>2079</v>
      </c>
      <c r="T37" s="1455">
        <f t="shared" si="6"/>
        <v>3439</v>
      </c>
      <c r="U37" s="1455">
        <f t="shared" si="6"/>
        <v>4799</v>
      </c>
      <c r="V37" s="1455">
        <f t="shared" si="6"/>
        <v>12939</v>
      </c>
      <c r="W37" s="1455">
        <f t="shared" si="6"/>
        <v>6033</v>
      </c>
      <c r="X37" s="1455">
        <f t="shared" si="6"/>
        <v>655</v>
      </c>
      <c r="Y37" s="1455">
        <f t="shared" si="6"/>
        <v>5693</v>
      </c>
      <c r="Z37" s="1455">
        <f t="shared" si="6"/>
        <v>7474</v>
      </c>
      <c r="AA37" s="1455">
        <f t="shared" si="6"/>
        <v>691</v>
      </c>
      <c r="AB37" s="1455">
        <f t="shared" si="6"/>
        <v>860.20000000001164</v>
      </c>
      <c r="AC37" s="1455">
        <f t="shared" si="6"/>
        <v>2913</v>
      </c>
      <c r="AD37" s="1455">
        <f t="shared" si="6"/>
        <v>1237.4000000000001</v>
      </c>
      <c r="AE37" s="1455">
        <f t="shared" si="6"/>
        <v>0</v>
      </c>
      <c r="AF37" s="1455">
        <f t="shared" si="6"/>
        <v>0</v>
      </c>
      <c r="AG37" s="1455">
        <f t="shared" si="6"/>
        <v>11838</v>
      </c>
      <c r="AH37" s="1455">
        <f t="shared" si="6"/>
        <v>11907</v>
      </c>
      <c r="AI37" s="1455">
        <f t="shared" si="6"/>
        <v>12702</v>
      </c>
      <c r="AJ37" s="1455">
        <f t="shared" si="6"/>
        <v>15099</v>
      </c>
      <c r="AK37" s="1455">
        <f t="shared" si="6"/>
        <v>0</v>
      </c>
      <c r="AL37" s="1455">
        <f t="shared" si="6"/>
        <v>9042</v>
      </c>
      <c r="AM37" s="1455">
        <f t="shared" si="6"/>
        <v>24313</v>
      </c>
      <c r="AN37" s="1455">
        <f t="shared" si="6"/>
        <v>25871</v>
      </c>
      <c r="AO37" s="1455">
        <f t="shared" si="6"/>
        <v>8296</v>
      </c>
      <c r="AP37" s="1455">
        <f t="shared" si="6"/>
        <v>0</v>
      </c>
      <c r="AQ37" s="1455">
        <f t="shared" si="6"/>
        <v>2724</v>
      </c>
      <c r="AR37" s="1455">
        <f t="shared" si="6"/>
        <v>1217</v>
      </c>
      <c r="AS37" s="1455">
        <f t="shared" si="6"/>
        <v>101</v>
      </c>
      <c r="AT37" s="1455">
        <f t="shared" si="6"/>
        <v>13533</v>
      </c>
      <c r="AU37" s="1455">
        <f t="shared" si="6"/>
        <v>289.15000000000009</v>
      </c>
      <c r="AV37" s="1455">
        <f t="shared" si="6"/>
        <v>215.06999999999971</v>
      </c>
      <c r="AW37" s="1455">
        <f t="shared" si="6"/>
        <v>28.06000000000131</v>
      </c>
      <c r="AX37" s="1455">
        <f t="shared" si="6"/>
        <v>2.5800000000162981</v>
      </c>
      <c r="AY37" s="1455">
        <f t="shared" si="6"/>
        <v>245.71000000001732</v>
      </c>
      <c r="AZ37" s="19"/>
    </row>
    <row r="38" spans="1:53">
      <c r="A38" s="1078"/>
      <c r="B38" s="1523">
        <f>B37/31</f>
        <v>22120</v>
      </c>
      <c r="C38" s="1523">
        <f>C37/31</f>
        <v>22221.774193548386</v>
      </c>
      <c r="D38" s="1078"/>
      <c r="E38" s="1078"/>
      <c r="AO38" s="1081"/>
      <c r="AP38" s="1081">
        <v>88</v>
      </c>
      <c r="AQ38" s="1081"/>
      <c r="AR38" s="1081"/>
      <c r="AZ38" s="19"/>
    </row>
    <row r="39" spans="1:53">
      <c r="A39" s="1078"/>
      <c r="B39" s="1078"/>
      <c r="C39" s="1078"/>
      <c r="D39" s="1078"/>
      <c r="E39" s="1078"/>
      <c r="AO39" s="1081"/>
      <c r="AP39" s="1082">
        <f>SUM(AP37:AP38)</f>
        <v>88</v>
      </c>
      <c r="AQ39" s="1083" t="s">
        <v>110</v>
      </c>
      <c r="AR39" s="1083">
        <v>335</v>
      </c>
      <c r="AZ39" s="19"/>
    </row>
    <row r="40" spans="1:53">
      <c r="A40" s="1078"/>
      <c r="B40" s="1078"/>
      <c r="C40" s="1078"/>
      <c r="D40" s="1078"/>
      <c r="E40" s="1078"/>
      <c r="AO40" s="1081"/>
      <c r="AP40" s="1081"/>
      <c r="AQ40" s="1081"/>
      <c r="AR40" s="1081"/>
      <c r="AZ40" s="19"/>
    </row>
    <row r="41" spans="1:53">
      <c r="A41" s="1078"/>
      <c r="B41" s="1078"/>
      <c r="C41" s="1078"/>
      <c r="D41" s="1078"/>
      <c r="E41" s="1078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N41" s="1044"/>
      <c r="AO41" s="1080" t="s">
        <v>111</v>
      </c>
      <c r="AP41" s="1082">
        <v>168</v>
      </c>
      <c r="AQ41" s="1081"/>
      <c r="AR41" s="1081"/>
      <c r="AZ41" s="19"/>
    </row>
    <row r="42" spans="1:53">
      <c r="A42" s="1078"/>
      <c r="B42" s="1078"/>
      <c r="C42" s="1078"/>
      <c r="D42" s="1078"/>
      <c r="E42" s="1078"/>
      <c r="AO42" s="1081"/>
      <c r="AP42" s="1081"/>
      <c r="AQ42" s="1083" t="s">
        <v>112</v>
      </c>
      <c r="AR42" s="1081"/>
      <c r="AZ42" s="19"/>
    </row>
    <row r="43" spans="1:53">
      <c r="A43" s="1078"/>
      <c r="B43" s="1078"/>
      <c r="C43" s="1078"/>
      <c r="D43" s="1078"/>
      <c r="E43" s="1078"/>
      <c r="AO43" s="1081" t="s">
        <v>113</v>
      </c>
      <c r="AP43" s="1081">
        <f>20*38.68</f>
        <v>773.6</v>
      </c>
      <c r="AQ43" s="1081" t="s">
        <v>114</v>
      </c>
      <c r="AR43" s="1081"/>
      <c r="AZ43" s="19"/>
    </row>
    <row r="44" spans="1:53">
      <c r="A44" s="1078"/>
      <c r="B44" s="1078"/>
      <c r="C44" s="1078"/>
      <c r="D44" s="1078"/>
      <c r="E44" s="1078"/>
      <c r="AZ44" s="19"/>
    </row>
    <row r="45" spans="1:53">
      <c r="A45" s="1078"/>
      <c r="B45" s="1078"/>
      <c r="C45" s="1078"/>
      <c r="D45" s="1078"/>
      <c r="E45" s="1078"/>
      <c r="AZ45" s="19"/>
    </row>
    <row r="46" spans="1:53">
      <c r="A46" s="1078"/>
      <c r="B46" s="1078"/>
      <c r="C46" s="1078"/>
      <c r="D46" s="1078"/>
      <c r="E46" s="1078"/>
      <c r="AZ46" s="19"/>
    </row>
    <row r="47" spans="1:53">
      <c r="A47" s="1078"/>
      <c r="B47" s="1078"/>
      <c r="C47" s="1078"/>
      <c r="D47" s="1078"/>
      <c r="E47" s="1078"/>
      <c r="AZ47" s="19"/>
    </row>
    <row r="48" spans="1:53">
      <c r="A48" s="1078"/>
      <c r="B48" s="1078"/>
      <c r="C48" s="1078"/>
      <c r="D48" s="1078"/>
      <c r="E48" s="1078"/>
    </row>
    <row r="49" spans="1:5">
      <c r="A49" s="1078"/>
      <c r="B49" s="1078"/>
      <c r="C49" s="1078"/>
      <c r="D49" s="1078"/>
      <c r="E49" s="1078"/>
    </row>
    <row r="50" spans="1:5">
      <c r="A50" s="1078"/>
      <c r="B50" s="1078"/>
      <c r="C50" s="1078"/>
      <c r="D50" s="1078"/>
      <c r="E50" s="1078"/>
    </row>
    <row r="51" spans="1:5">
      <c r="A51" s="1078"/>
      <c r="B51" s="1078"/>
      <c r="C51" s="1078"/>
      <c r="D51" s="1078"/>
      <c r="E51" s="1078"/>
    </row>
    <row r="52" spans="1:5">
      <c r="A52" s="1078"/>
      <c r="B52" s="1078"/>
      <c r="C52" s="1078"/>
      <c r="D52" s="1078"/>
      <c r="E52" s="1078"/>
    </row>
    <row r="53" spans="1:5">
      <c r="A53" s="1078"/>
      <c r="B53" s="1078"/>
      <c r="C53" s="1078"/>
      <c r="D53" s="1078"/>
      <c r="E53" s="1078"/>
    </row>
    <row r="54" spans="1:5">
      <c r="A54" s="1078"/>
      <c r="B54" s="1078"/>
      <c r="C54" s="1078"/>
      <c r="D54" s="1078"/>
      <c r="E54" s="1078"/>
    </row>
    <row r="55" spans="1:5">
      <c r="A55" s="1078"/>
      <c r="B55" s="1078"/>
      <c r="C55" s="1078"/>
      <c r="D55" s="1078"/>
      <c r="E55" s="1078"/>
    </row>
    <row r="56" spans="1:5">
      <c r="A56" s="1078"/>
      <c r="B56" s="1078"/>
      <c r="C56" s="1078"/>
      <c r="D56" s="1078"/>
      <c r="E56" s="1078"/>
    </row>
    <row r="57" spans="1:5">
      <c r="A57" s="1078"/>
      <c r="B57" s="1078"/>
      <c r="C57" s="1078"/>
      <c r="D57" s="1078"/>
      <c r="E57" s="1078"/>
    </row>
    <row r="58" spans="1:5">
      <c r="A58" s="1078"/>
      <c r="B58" s="1078"/>
      <c r="C58" s="1078"/>
      <c r="D58" s="1078"/>
      <c r="E58" s="1078"/>
    </row>
    <row r="59" spans="1:5">
      <c r="A59" s="1078"/>
      <c r="B59" s="1078"/>
      <c r="C59" s="1078"/>
      <c r="D59" s="1078"/>
      <c r="E59" s="1078"/>
    </row>
    <row r="60" spans="1:5">
      <c r="A60" s="1078"/>
      <c r="B60" s="1078"/>
      <c r="C60" s="1078"/>
      <c r="D60" s="1078"/>
      <c r="E60" s="1078"/>
    </row>
    <row r="61" spans="1:5">
      <c r="A61" s="1078"/>
      <c r="B61" s="1078"/>
      <c r="C61" s="1078"/>
      <c r="D61" s="1078"/>
      <c r="E61" s="1078"/>
    </row>
    <row r="62" spans="1:5">
      <c r="A62" s="1078"/>
      <c r="B62" s="1078"/>
      <c r="C62" s="1078"/>
      <c r="D62" s="1078"/>
      <c r="E62" s="1078"/>
    </row>
    <row r="63" spans="1:5">
      <c r="A63" s="1078"/>
      <c r="B63" s="1078"/>
      <c r="C63" s="1078"/>
      <c r="D63" s="1078"/>
      <c r="E63" s="1078"/>
    </row>
    <row r="64" spans="1:5">
      <c r="A64" s="1078"/>
      <c r="B64" s="1078"/>
      <c r="C64" s="1078"/>
      <c r="D64" s="1078"/>
      <c r="E64" s="1078"/>
    </row>
    <row r="65" spans="1:5">
      <c r="A65" s="1078"/>
      <c r="B65" s="1078"/>
      <c r="C65" s="1078"/>
      <c r="D65" s="1078"/>
      <c r="E65" s="1078"/>
    </row>
    <row r="66" spans="1:5">
      <c r="A66" s="1078"/>
      <c r="B66" s="1078"/>
      <c r="C66" s="1078"/>
      <c r="D66" s="1078"/>
      <c r="E66" s="1078"/>
    </row>
    <row r="67" spans="1:5">
      <c r="A67" s="1078"/>
      <c r="B67" s="1078"/>
      <c r="C67" s="1078"/>
      <c r="D67" s="1078"/>
      <c r="E67" s="1078"/>
    </row>
    <row r="68" spans="1:5">
      <c r="A68" s="1078"/>
      <c r="B68" s="1078"/>
      <c r="C68" s="1078"/>
      <c r="D68" s="1078"/>
      <c r="E68" s="1078"/>
    </row>
    <row r="69" spans="1:5">
      <c r="A69" s="1078"/>
      <c r="B69" s="1078"/>
      <c r="C69" s="1078"/>
      <c r="D69" s="1078"/>
      <c r="E69" s="1078"/>
    </row>
    <row r="70" spans="1:5">
      <c r="A70" s="1078"/>
      <c r="B70" s="1078"/>
      <c r="C70" s="1078"/>
      <c r="D70" s="1078"/>
      <c r="E70" s="1078"/>
    </row>
    <row r="71" spans="1:5">
      <c r="A71" s="1078"/>
      <c r="B71" s="1078"/>
      <c r="C71" s="1078"/>
      <c r="D71" s="1078"/>
      <c r="E71" s="1078"/>
    </row>
    <row r="72" spans="1:5">
      <c r="A72" s="1078"/>
      <c r="B72" s="1078"/>
      <c r="C72" s="1078"/>
      <c r="D72" s="1078"/>
      <c r="E72" s="1078"/>
    </row>
    <row r="73" spans="1:5">
      <c r="A73" s="1078"/>
      <c r="B73" s="1078"/>
      <c r="C73" s="1078"/>
      <c r="D73" s="1078"/>
      <c r="E73" s="1078"/>
    </row>
    <row r="74" spans="1:5">
      <c r="A74" s="1078"/>
      <c r="B74" s="1078"/>
      <c r="C74" s="1078"/>
      <c r="D74" s="1078"/>
      <c r="E74" s="1078"/>
    </row>
    <row r="75" spans="1:5">
      <c r="A75" s="1078"/>
      <c r="B75" s="1078"/>
      <c r="C75" s="1078"/>
      <c r="D75" s="1078"/>
      <c r="E75" s="1078"/>
    </row>
    <row r="76" spans="1:5">
      <c r="A76" s="1078"/>
      <c r="B76" s="1078"/>
      <c r="C76" s="1078"/>
      <c r="D76" s="1078"/>
      <c r="E76" s="1078"/>
    </row>
    <row r="77" spans="1:5">
      <c r="A77" s="1078"/>
      <c r="B77" s="1078"/>
      <c r="C77" s="1078"/>
      <c r="D77" s="1078"/>
      <c r="E77" s="1078"/>
    </row>
    <row r="78" spans="1:5">
      <c r="A78" s="1078"/>
      <c r="B78" s="1078"/>
      <c r="C78" s="1078"/>
      <c r="D78" s="1078"/>
      <c r="E78" s="1078"/>
    </row>
    <row r="79" spans="1:5">
      <c r="A79" s="1078"/>
      <c r="B79" s="1078"/>
      <c r="C79" s="1078"/>
      <c r="D79" s="1078"/>
      <c r="E79" s="1078"/>
    </row>
    <row r="80" spans="1:5">
      <c r="A80" s="1078"/>
      <c r="B80" s="1078"/>
      <c r="C80" s="1078"/>
      <c r="D80" s="1078"/>
      <c r="E80" s="1078"/>
    </row>
    <row r="81" spans="1:5">
      <c r="A81" s="1078"/>
      <c r="B81" s="1078"/>
      <c r="C81" s="1078"/>
      <c r="D81" s="1078"/>
      <c r="E81" s="1078"/>
    </row>
    <row r="82" spans="1:5">
      <c r="A82" s="1078"/>
      <c r="B82" s="1078"/>
      <c r="C82" s="1078"/>
      <c r="D82" s="1078"/>
      <c r="E82" s="1078"/>
    </row>
    <row r="83" spans="1:5">
      <c r="A83" s="1078"/>
      <c r="B83" s="1078"/>
      <c r="C83" s="1078"/>
      <c r="D83" s="1078"/>
      <c r="E83" s="1078"/>
    </row>
    <row r="84" spans="1:5">
      <c r="A84" s="1078"/>
      <c r="B84" s="1078"/>
      <c r="C84" s="1078"/>
      <c r="D84" s="1078"/>
      <c r="E84" s="1078"/>
    </row>
    <row r="85" spans="1:5">
      <c r="A85" s="1078"/>
      <c r="B85" s="1078"/>
      <c r="C85" s="1078"/>
      <c r="D85" s="1078"/>
      <c r="E85" s="1078"/>
    </row>
    <row r="86" spans="1:5">
      <c r="A86" s="1078"/>
      <c r="B86" s="1078"/>
      <c r="C86" s="1078"/>
      <c r="D86" s="1078"/>
      <c r="E86" s="1078"/>
    </row>
    <row r="87" spans="1:5">
      <c r="A87" s="1079"/>
      <c r="B87" s="1079"/>
      <c r="C87" s="1079"/>
      <c r="D87" s="1079"/>
      <c r="E87" s="1079"/>
    </row>
    <row r="88" spans="1:5">
      <c r="A88" s="1079"/>
      <c r="B88" s="1079"/>
      <c r="C88" s="1079"/>
      <c r="D88" s="1079"/>
      <c r="E88" s="1079"/>
    </row>
    <row r="89" spans="1:5">
      <c r="A89" s="1079"/>
      <c r="B89" s="1079"/>
      <c r="C89" s="1079"/>
      <c r="D89" s="1079"/>
      <c r="E89" s="1079"/>
    </row>
    <row r="90" spans="1:5">
      <c r="A90" s="1079"/>
      <c r="B90" s="1079"/>
      <c r="C90" s="1079"/>
      <c r="D90" s="1079"/>
      <c r="E90" s="1079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40" zoomScaleNormal="61" zoomScaleSheetLayoutView="40" zoomScalePageLayoutView="70" workbookViewId="0">
      <selection activeCell="P30" sqref="P30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5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213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273</v>
      </c>
      <c r="B2" s="1031">
        <v>44378</v>
      </c>
      <c r="C2" s="1302" t="s">
        <v>68</v>
      </c>
      <c r="D2" s="611">
        <v>0.73</v>
      </c>
      <c r="E2" s="736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302" t="s">
        <v>118</v>
      </c>
      <c r="D3" s="612">
        <v>30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2" t="s">
        <v>120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514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129</v>
      </c>
      <c r="B7" s="579"/>
      <c r="C7" s="579"/>
      <c r="D7" s="523" t="s">
        <v>130</v>
      </c>
      <c r="E7" s="455">
        <v>921953</v>
      </c>
      <c r="F7" s="455">
        <v>945055.75</v>
      </c>
      <c r="G7" s="473">
        <f>F7-E7</f>
        <v>23102.75</v>
      </c>
      <c r="H7" s="460">
        <f>G7</f>
        <v>23102.75</v>
      </c>
      <c r="I7" s="474">
        <v>12000</v>
      </c>
      <c r="J7" s="552">
        <f>H7/DAY(B2)</f>
        <v>23102.75</v>
      </c>
      <c r="K7" s="549"/>
      <c r="L7" s="377"/>
      <c r="N7" s="382"/>
      <c r="O7" s="382"/>
    </row>
    <row r="8" spans="1:15" ht="27.75" thickBot="1">
      <c r="A8" s="580" t="s">
        <v>131</v>
      </c>
      <c r="B8" s="581"/>
      <c r="C8" s="582"/>
      <c r="D8" s="617" t="s">
        <v>25</v>
      </c>
      <c r="E8" s="455">
        <v>926722</v>
      </c>
      <c r="F8" s="475">
        <v>949982.79</v>
      </c>
      <c r="G8" s="476">
        <f>F8-E8</f>
        <v>23260.790000000037</v>
      </c>
      <c r="H8" s="460">
        <f>G8</f>
        <v>23260.790000000037</v>
      </c>
      <c r="I8" s="477">
        <v>12000</v>
      </c>
      <c r="J8" s="552">
        <f>H8/DAY(B2)</f>
        <v>23260.790000000037</v>
      </c>
      <c r="K8" s="549"/>
      <c r="L8" s="425"/>
      <c r="M8" s="440"/>
      <c r="N8" s="382"/>
      <c r="O8" s="382"/>
    </row>
    <row r="9" spans="1:15">
      <c r="A9" s="583" t="s">
        <v>132</v>
      </c>
      <c r="B9" s="584"/>
      <c r="C9" s="584"/>
      <c r="D9" s="523" t="s">
        <v>130</v>
      </c>
      <c r="E9" s="478">
        <v>2031002</v>
      </c>
      <c r="F9" s="478">
        <v>2055214.3</v>
      </c>
      <c r="G9" s="473">
        <f>F9-E9</f>
        <v>24212.300000000047</v>
      </c>
      <c r="H9" s="460">
        <f t="shared" ref="H9:H13" si="0">G9</f>
        <v>24212.300000000047</v>
      </c>
      <c r="I9" s="479">
        <f>I8-J8</f>
        <v>-11260.790000000037</v>
      </c>
      <c r="J9" s="552">
        <f>H9/DAY(B2)</f>
        <v>24212.300000000047</v>
      </c>
      <c r="K9" s="428"/>
      <c r="L9" s="377"/>
      <c r="N9" s="382"/>
      <c r="O9" s="382"/>
    </row>
    <row r="10" spans="1:15">
      <c r="A10" s="578" t="s">
        <v>133</v>
      </c>
      <c r="B10" s="579"/>
      <c r="C10" s="579"/>
      <c r="D10" s="523" t="s">
        <v>130</v>
      </c>
      <c r="E10" s="478">
        <v>2323</v>
      </c>
      <c r="F10" s="478">
        <v>2323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134</v>
      </c>
      <c r="B11" s="579"/>
      <c r="C11" s="579"/>
      <c r="D11" s="523" t="s">
        <v>130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135</v>
      </c>
      <c r="B12" s="579"/>
      <c r="C12" s="579"/>
      <c r="D12" s="523" t="s">
        <v>130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136</v>
      </c>
      <c r="B13" s="586"/>
      <c r="C13" s="586"/>
      <c r="D13" s="523"/>
      <c r="E13" s="455"/>
      <c r="F13" s="455"/>
      <c r="G13" s="481">
        <f>G9+G10+G11+G12</f>
        <v>24212.300000000047</v>
      </c>
      <c r="H13" s="460">
        <f t="shared" si="0"/>
        <v>24212.300000000047</v>
      </c>
      <c r="I13" s="482">
        <f>G7-G13</f>
        <v>-1109.5500000000466</v>
      </c>
      <c r="J13" s="552">
        <f>H13/DAY(B2)</f>
        <v>24212.300000000047</v>
      </c>
      <c r="K13" s="428"/>
      <c r="L13" s="377"/>
      <c r="N13" s="382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0" t="s">
        <v>138</v>
      </c>
      <c r="B15" s="589"/>
      <c r="C15" s="589"/>
      <c r="D15" s="523" t="s">
        <v>139</v>
      </c>
      <c r="E15" s="484">
        <v>1703683</v>
      </c>
      <c r="F15" s="484">
        <v>1704601.378</v>
      </c>
      <c r="G15" s="779">
        <f>(F15-E15)</f>
        <v>918.37800000002608</v>
      </c>
      <c r="H15" s="460">
        <f>G15</f>
        <v>918.37800000002608</v>
      </c>
      <c r="I15" s="474">
        <v>800</v>
      </c>
      <c r="J15" s="552">
        <f>H15/DAY(B2)</f>
        <v>918.37800000002608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-118.37800000002608</v>
      </c>
      <c r="J16" s="553"/>
      <c r="K16" s="428"/>
      <c r="L16" s="377"/>
      <c r="N16" s="382"/>
      <c r="O16" s="382"/>
    </row>
    <row r="17" spans="1:15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84">
        <v>7</v>
      </c>
      <c r="F18" s="484">
        <v>9</v>
      </c>
      <c r="G18" s="481">
        <f>F18*10</f>
        <v>90</v>
      </c>
      <c r="H18" s="460">
        <f>G18</f>
        <v>90</v>
      </c>
      <c r="I18" s="474">
        <v>65</v>
      </c>
      <c r="J18" s="552">
        <f>H18/DAY(B2)</f>
        <v>90</v>
      </c>
      <c r="K18" s="428"/>
      <c r="L18" s="377"/>
      <c r="N18" s="382"/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84">
        <v>141495</v>
      </c>
      <c r="F19" s="484">
        <v>141559</v>
      </c>
      <c r="G19" s="473">
        <f t="shared" ref="G19" si="2">F19-E19</f>
        <v>64</v>
      </c>
      <c r="H19" s="460">
        <f t="shared" ref="H19" si="3">G19</f>
        <v>64</v>
      </c>
      <c r="I19" s="489"/>
      <c r="J19" s="552">
        <f>H19/DAY(B2)</f>
        <v>64</v>
      </c>
      <c r="K19" s="428"/>
      <c r="L19" s="377"/>
      <c r="N19" s="382"/>
      <c r="O19" s="382"/>
    </row>
    <row r="20" spans="1:15">
      <c r="A20" s="585" t="s">
        <v>143</v>
      </c>
      <c r="B20" s="586"/>
      <c r="C20" s="586"/>
      <c r="D20" s="490"/>
      <c r="E20" s="490"/>
      <c r="F20" s="490"/>
      <c r="G20" s="491">
        <f>G18+G19</f>
        <v>154</v>
      </c>
      <c r="H20" s="460">
        <f>G20</f>
        <v>154</v>
      </c>
      <c r="I20" s="492">
        <f>I18-J20</f>
        <v>-89</v>
      </c>
      <c r="J20" s="552">
        <f>H20/DAY(B2)</f>
        <v>154</v>
      </c>
      <c r="K20" s="428"/>
      <c r="L20" s="377"/>
      <c r="N20" s="382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0" t="s">
        <v>145</v>
      </c>
      <c r="B22" s="589"/>
      <c r="C22" s="589"/>
      <c r="D22" s="523" t="s">
        <v>146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0" t="s">
        <v>147</v>
      </c>
      <c r="B23" s="589"/>
      <c r="C23" s="589"/>
      <c r="D23" s="523" t="s">
        <v>146</v>
      </c>
      <c r="E23" s="484">
        <v>2000</v>
      </c>
      <c r="F23" s="484">
        <v>2000</v>
      </c>
      <c r="G23" s="481">
        <f t="shared" ref="G23" si="4">(F23-E23)</f>
        <v>0</v>
      </c>
      <c r="H23" s="460">
        <f t="shared" ref="H23:H24" si="5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148</v>
      </c>
      <c r="B24" s="591"/>
      <c r="C24" s="591"/>
      <c r="D24" s="511" t="s">
        <v>146</v>
      </c>
      <c r="E24" s="493">
        <v>4970</v>
      </c>
      <c r="F24" s="493">
        <v>4850</v>
      </c>
      <c r="G24" s="481">
        <f>SUM(G22:G23)</f>
        <v>0</v>
      </c>
      <c r="H24" s="460">
        <f t="shared" si="5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23260.790000000037</v>
      </c>
      <c r="F27" s="501">
        <v>9</v>
      </c>
      <c r="G27" s="502">
        <f>E27*F27</f>
        <v>209347.11000000034</v>
      </c>
      <c r="H27" s="460">
        <f>G27</f>
        <v>209347.11000000034</v>
      </c>
      <c r="I27" s="503"/>
      <c r="J27" s="552">
        <f>H27/DAY(B2)</f>
        <v>209347.11000000034</v>
      </c>
      <c r="K27" s="373"/>
      <c r="L27" s="443"/>
      <c r="N27" s="444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1">
        <f>G15</f>
        <v>918.37800000002608</v>
      </c>
      <c r="F28" s="501">
        <v>52</v>
      </c>
      <c r="G28" s="502">
        <f>E28*F28</f>
        <v>47755.656000001356</v>
      </c>
      <c r="H28" s="460">
        <f>G28</f>
        <v>47755.656000001356</v>
      </c>
      <c r="I28" s="505"/>
      <c r="J28" s="552">
        <f>H28/DAY(B2)</f>
        <v>47755.656000001356</v>
      </c>
      <c r="K28" s="373"/>
      <c r="L28" s="443"/>
      <c r="N28" s="444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1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508">
        <f>G27+G28+G29+G30+G31</f>
        <v>267462.76600000169</v>
      </c>
      <c r="H32" s="460">
        <f t="shared" ref="H32" si="6">G32</f>
        <v>267462.76600000169</v>
      </c>
      <c r="I32" s="509"/>
      <c r="J32" s="552">
        <f>H32/DAY(B2)</f>
        <v>267462.76600000169</v>
      </c>
      <c r="K32" s="373"/>
      <c r="L32" s="443"/>
      <c r="N32" s="444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  <c r="O33" s="382"/>
    </row>
    <row r="34" spans="1:15">
      <c r="A34" s="598" t="s">
        <v>161</v>
      </c>
      <c r="B34" s="1305"/>
      <c r="C34" s="1305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162</v>
      </c>
      <c r="B35" s="579"/>
      <c r="C35" s="579"/>
      <c r="D35" s="523" t="s">
        <v>130</v>
      </c>
      <c r="E35" s="510">
        <v>1028714</v>
      </c>
      <c r="F35" s="510">
        <v>1031622.1</v>
      </c>
      <c r="G35" s="473">
        <f>F35-E35</f>
        <v>2908.0999999999767</v>
      </c>
      <c r="H35" s="460">
        <f>G35</f>
        <v>2908.0999999999767</v>
      </c>
      <c r="I35" s="455"/>
      <c r="J35" s="552">
        <f>H35/DAY(B2)</f>
        <v>2908.0999999999767</v>
      </c>
      <c r="K35" s="428"/>
      <c r="L35" s="377"/>
      <c r="N35" s="382"/>
      <c r="O35" s="628"/>
    </row>
    <row r="36" spans="1:15">
      <c r="A36" s="578" t="s">
        <v>163</v>
      </c>
      <c r="B36" s="579"/>
      <c r="C36" s="579"/>
      <c r="D36" s="523" t="s">
        <v>130</v>
      </c>
      <c r="E36" s="510">
        <v>20461</v>
      </c>
      <c r="F36" s="510">
        <v>21408.75</v>
      </c>
      <c r="G36" s="473">
        <f t="shared" ref="G36:G46" si="7">F36-E36</f>
        <v>947.75</v>
      </c>
      <c r="H36" s="460">
        <f t="shared" ref="H36:H47" si="8">G36</f>
        <v>947.75</v>
      </c>
      <c r="I36" s="455"/>
      <c r="J36" s="552">
        <f>H36/DAY(B2)</f>
        <v>947.75</v>
      </c>
      <c r="K36" s="428"/>
      <c r="L36" s="377"/>
      <c r="N36" s="382"/>
      <c r="O36" s="628"/>
    </row>
    <row r="37" spans="1:15">
      <c r="A37" s="578" t="s">
        <v>164</v>
      </c>
      <c r="B37" s="579"/>
      <c r="C37" s="579"/>
      <c r="D37" s="523" t="s">
        <v>130</v>
      </c>
      <c r="E37" s="510">
        <v>176570</v>
      </c>
      <c r="F37" s="510">
        <v>178046.45</v>
      </c>
      <c r="G37" s="473">
        <f t="shared" si="7"/>
        <v>1476.4500000000116</v>
      </c>
      <c r="H37" s="460">
        <f t="shared" si="8"/>
        <v>1476.4500000000116</v>
      </c>
      <c r="I37" s="455"/>
      <c r="J37" s="552">
        <f>H37/DAY(B2)</f>
        <v>1476.4500000000116</v>
      </c>
      <c r="K37" s="428"/>
      <c r="L37" s="377"/>
      <c r="N37" s="382"/>
      <c r="O37" s="382"/>
    </row>
    <row r="38" spans="1:15">
      <c r="A38" s="578" t="s">
        <v>165</v>
      </c>
      <c r="B38" s="579"/>
      <c r="C38" s="579"/>
      <c r="D38" s="523" t="s">
        <v>130</v>
      </c>
      <c r="E38" s="469">
        <v>198459</v>
      </c>
      <c r="F38" s="469">
        <v>200173.99</v>
      </c>
      <c r="G38" s="473">
        <f t="shared" si="7"/>
        <v>1714.9899999999907</v>
      </c>
      <c r="H38" s="460">
        <f t="shared" si="8"/>
        <v>1714.9899999999907</v>
      </c>
      <c r="I38" s="455"/>
      <c r="J38" s="552">
        <f>H38/DAY(B2)</f>
        <v>1714.9899999999907</v>
      </c>
      <c r="K38" s="428"/>
      <c r="L38" s="377"/>
      <c r="N38" s="382"/>
      <c r="O38" s="382"/>
    </row>
    <row r="39" spans="1:15">
      <c r="A39" s="578" t="s">
        <v>166</v>
      </c>
      <c r="B39" s="579"/>
      <c r="C39" s="579"/>
      <c r="D39" s="523" t="s">
        <v>130</v>
      </c>
      <c r="E39" s="510">
        <v>404864</v>
      </c>
      <c r="F39" s="510">
        <v>408654.43</v>
      </c>
      <c r="G39" s="473">
        <f t="shared" si="7"/>
        <v>3790.429999999993</v>
      </c>
      <c r="H39" s="460">
        <f t="shared" si="8"/>
        <v>3790.429999999993</v>
      </c>
      <c r="I39" s="455"/>
      <c r="J39" s="552">
        <f>H39/DAY(B2)</f>
        <v>3790.429999999993</v>
      </c>
      <c r="K39" s="428"/>
      <c r="L39" s="377"/>
      <c r="N39" s="382"/>
      <c r="O39" s="382"/>
    </row>
    <row r="40" spans="1:15">
      <c r="A40" s="599" t="s">
        <v>167</v>
      </c>
      <c r="B40" s="600"/>
      <c r="C40" s="600"/>
      <c r="D40" s="523" t="s">
        <v>130</v>
      </c>
      <c r="E40" s="510">
        <v>7113</v>
      </c>
      <c r="F40" s="510">
        <v>7598.05</v>
      </c>
      <c r="G40" s="473">
        <f t="shared" si="7"/>
        <v>485.05000000000018</v>
      </c>
      <c r="H40" s="460">
        <f t="shared" si="8"/>
        <v>485.05000000000018</v>
      </c>
      <c r="I40" s="455"/>
      <c r="J40" s="552">
        <f>H40/DAY(B2)</f>
        <v>485.05000000000018</v>
      </c>
      <c r="K40" s="429"/>
      <c r="L40" s="377"/>
      <c r="N40" s="382"/>
      <c r="O40" s="382"/>
    </row>
    <row r="41" spans="1:15">
      <c r="A41" s="578" t="s">
        <v>168</v>
      </c>
      <c r="B41" s="579"/>
      <c r="C41" s="579"/>
      <c r="D41" s="523" t="s">
        <v>130</v>
      </c>
      <c r="E41" s="510">
        <v>329642</v>
      </c>
      <c r="F41" s="510">
        <v>333734.05</v>
      </c>
      <c r="G41" s="473">
        <f t="shared" si="7"/>
        <v>4092.0499999999884</v>
      </c>
      <c r="H41" s="460">
        <f t="shared" si="8"/>
        <v>4092.0499999999884</v>
      </c>
      <c r="I41" s="455"/>
      <c r="J41" s="552">
        <f>H41/DAY(B2)</f>
        <v>4092.0499999999884</v>
      </c>
      <c r="K41" s="428"/>
      <c r="L41" s="377"/>
      <c r="N41" s="382"/>
      <c r="O41" s="721"/>
    </row>
    <row r="42" spans="1:15">
      <c r="A42" s="578" t="s">
        <v>169</v>
      </c>
      <c r="B42" s="579"/>
      <c r="C42" s="579"/>
      <c r="D42" s="523" t="s">
        <v>130</v>
      </c>
      <c r="E42" s="510">
        <v>59210</v>
      </c>
      <c r="F42" s="510">
        <v>59210.080000000002</v>
      </c>
      <c r="G42" s="473">
        <f t="shared" si="7"/>
        <v>8.000000000174623E-2</v>
      </c>
      <c r="H42" s="460">
        <f t="shared" si="8"/>
        <v>8.000000000174623E-2</v>
      </c>
      <c r="I42" s="455"/>
      <c r="J42" s="552">
        <f>H42/DAY(B2)</f>
        <v>8.000000000174623E-2</v>
      </c>
      <c r="K42" s="428"/>
      <c r="L42" s="377"/>
      <c r="N42" s="382"/>
      <c r="O42" s="382"/>
    </row>
    <row r="43" spans="1:15">
      <c r="A43" s="578" t="s">
        <v>170</v>
      </c>
      <c r="B43" s="579"/>
      <c r="C43" s="579"/>
      <c r="D43" s="523" t="s">
        <v>130</v>
      </c>
      <c r="E43" s="510">
        <v>1120452</v>
      </c>
      <c r="F43" s="510">
        <v>1123087</v>
      </c>
      <c r="G43" s="473">
        <f t="shared" si="7"/>
        <v>2635</v>
      </c>
      <c r="H43" s="460">
        <f t="shared" si="8"/>
        <v>2635</v>
      </c>
      <c r="I43" s="455"/>
      <c r="J43" s="552">
        <f>H43/DAY(B2)</f>
        <v>2635</v>
      </c>
      <c r="K43" s="428"/>
      <c r="L43" s="377"/>
      <c r="N43" s="382"/>
      <c r="O43" s="382"/>
    </row>
    <row r="44" spans="1:15">
      <c r="A44" s="578" t="s">
        <v>171</v>
      </c>
      <c r="B44" s="579"/>
      <c r="C44" s="579"/>
      <c r="D44" s="523" t="s">
        <v>130</v>
      </c>
      <c r="E44" s="510">
        <v>0</v>
      </c>
      <c r="F44" s="510">
        <v>0</v>
      </c>
      <c r="G44" s="473">
        <f t="shared" si="7"/>
        <v>0</v>
      </c>
      <c r="H44" s="460">
        <f t="shared" si="8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172</v>
      </c>
      <c r="B45" s="579"/>
      <c r="C45" s="579"/>
      <c r="D45" s="523" t="s">
        <v>130</v>
      </c>
      <c r="E45" s="510">
        <v>0</v>
      </c>
      <c r="F45" s="510">
        <v>614</v>
      </c>
      <c r="G45" s="473">
        <f t="shared" si="7"/>
        <v>614</v>
      </c>
      <c r="H45" s="460">
        <f t="shared" si="8"/>
        <v>614</v>
      </c>
      <c r="I45" s="455"/>
      <c r="J45" s="552">
        <f>H45/DAY(B2)</f>
        <v>614</v>
      </c>
      <c r="K45" s="428"/>
      <c r="L45" s="377"/>
      <c r="N45" s="382"/>
      <c r="O45" s="382"/>
    </row>
    <row r="46" spans="1:15">
      <c r="A46" s="578" t="s">
        <v>173</v>
      </c>
      <c r="B46" s="579"/>
      <c r="C46" s="579"/>
      <c r="D46" s="523" t="s">
        <v>130</v>
      </c>
      <c r="E46" s="510">
        <v>0</v>
      </c>
      <c r="F46" s="510">
        <v>187</v>
      </c>
      <c r="G46" s="473">
        <f t="shared" si="7"/>
        <v>187</v>
      </c>
      <c r="H46" s="460">
        <f t="shared" si="8"/>
        <v>187</v>
      </c>
      <c r="I46" s="455"/>
      <c r="J46" s="552">
        <f>H46/DAY(B2)</f>
        <v>187</v>
      </c>
      <c r="K46" s="428"/>
      <c r="L46" s="377"/>
      <c r="N46" s="382"/>
      <c r="O46" s="382"/>
    </row>
    <row r="47" spans="1:15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18850.899999999961</v>
      </c>
      <c r="H47" s="460">
        <f t="shared" si="8"/>
        <v>18850.899999999961</v>
      </c>
      <c r="I47" s="455"/>
      <c r="J47" s="552">
        <f>H47/DAY(B2)</f>
        <v>18850.899999999961</v>
      </c>
      <c r="K47" s="428"/>
      <c r="L47" s="377"/>
      <c r="N47" s="382"/>
      <c r="O47" s="382"/>
    </row>
    <row r="48" spans="1:15">
      <c r="A48" s="598" t="s">
        <v>175</v>
      </c>
      <c r="B48" s="1305"/>
      <c r="C48" s="1305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162</v>
      </c>
      <c r="B49" s="601"/>
      <c r="C49" s="601"/>
      <c r="D49" s="523" t="s">
        <v>130</v>
      </c>
      <c r="E49" s="510">
        <v>260732</v>
      </c>
      <c r="F49" s="510">
        <v>260732.13</v>
      </c>
      <c r="G49" s="473">
        <f t="shared" ref="G49:G58" si="9">F49-E49</f>
        <v>0.13000000000465661</v>
      </c>
      <c r="H49" s="460">
        <f>G49</f>
        <v>0.13000000000465661</v>
      </c>
      <c r="I49" s="455"/>
      <c r="J49" s="552">
        <f>H49/DAY(B2)</f>
        <v>0.13000000000465661</v>
      </c>
      <c r="K49" s="428"/>
      <c r="L49" s="377"/>
      <c r="N49" s="382"/>
      <c r="O49" s="382"/>
    </row>
    <row r="50" spans="1:15">
      <c r="A50" s="578" t="s">
        <v>176</v>
      </c>
      <c r="B50" s="601"/>
      <c r="C50" s="601"/>
      <c r="D50" s="523" t="s">
        <v>130</v>
      </c>
      <c r="E50" s="510">
        <v>534663</v>
      </c>
      <c r="F50" s="510">
        <v>536092.35</v>
      </c>
      <c r="G50" s="473">
        <f t="shared" si="9"/>
        <v>1429.3499999999767</v>
      </c>
      <c r="H50" s="460">
        <f t="shared" ref="H50:H60" si="10">G50</f>
        <v>1429.3499999999767</v>
      </c>
      <c r="I50" s="455"/>
      <c r="J50" s="552">
        <f>H50/DAY(B2)</f>
        <v>1429.3499999999767</v>
      </c>
      <c r="K50" s="428"/>
      <c r="L50" s="377"/>
      <c r="N50" s="382"/>
      <c r="O50" s="382"/>
    </row>
    <row r="51" spans="1:15">
      <c r="A51" s="578" t="s">
        <v>164</v>
      </c>
      <c r="B51" s="601"/>
      <c r="C51" s="601"/>
      <c r="D51" s="523" t="s">
        <v>130</v>
      </c>
      <c r="E51" s="510">
        <v>144640</v>
      </c>
      <c r="F51" s="510">
        <v>144639.87</v>
      </c>
      <c r="G51" s="473">
        <f t="shared" si="9"/>
        <v>-0.13000000000465661</v>
      </c>
      <c r="H51" s="460">
        <f t="shared" si="10"/>
        <v>-0.13000000000465661</v>
      </c>
      <c r="I51" s="455"/>
      <c r="J51" s="552">
        <f>H51/DAY(B2)</f>
        <v>-0.13000000000465661</v>
      </c>
      <c r="K51" s="428"/>
      <c r="L51" s="377"/>
      <c r="N51" s="382"/>
      <c r="O51" s="382"/>
    </row>
    <row r="52" spans="1:15">
      <c r="A52" s="578" t="s">
        <v>177</v>
      </c>
      <c r="B52" s="601"/>
      <c r="C52" s="601"/>
      <c r="D52" s="523" t="s">
        <v>130</v>
      </c>
      <c r="E52" s="510">
        <v>539606</v>
      </c>
      <c r="F52" s="510">
        <v>539606</v>
      </c>
      <c r="G52" s="473">
        <f t="shared" si="9"/>
        <v>0</v>
      </c>
      <c r="H52" s="460">
        <f t="shared" si="10"/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166</v>
      </c>
      <c r="B53" s="601"/>
      <c r="C53" s="601"/>
      <c r="D53" s="523" t="s">
        <v>130</v>
      </c>
      <c r="E53" s="510">
        <v>434232</v>
      </c>
      <c r="F53" s="510">
        <v>434231.59</v>
      </c>
      <c r="G53" s="473">
        <f t="shared" si="9"/>
        <v>-0.40999999997438863</v>
      </c>
      <c r="H53" s="460">
        <f t="shared" si="10"/>
        <v>-0.40999999997438863</v>
      </c>
      <c r="I53" s="455"/>
      <c r="J53" s="552">
        <f>H53/DAY(B2)</f>
        <v>-0.40999999997438863</v>
      </c>
      <c r="K53" s="428"/>
      <c r="L53" s="377"/>
      <c r="N53" s="382"/>
      <c r="O53" s="382"/>
    </row>
    <row r="54" spans="1:15">
      <c r="A54" s="578" t="s">
        <v>178</v>
      </c>
      <c r="B54" s="601"/>
      <c r="C54" s="601"/>
      <c r="D54" s="523" t="s">
        <v>130</v>
      </c>
      <c r="E54" s="510">
        <v>14967</v>
      </c>
      <c r="F54" s="510">
        <v>14967</v>
      </c>
      <c r="G54" s="473">
        <f t="shared" si="9"/>
        <v>0</v>
      </c>
      <c r="H54" s="460">
        <f t="shared" si="10"/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179</v>
      </c>
      <c r="B55" s="601"/>
      <c r="C55" s="601"/>
      <c r="D55" s="523" t="s">
        <v>130</v>
      </c>
      <c r="E55" s="510">
        <v>117636</v>
      </c>
      <c r="F55" s="510">
        <v>121192.26</v>
      </c>
      <c r="G55" s="473">
        <f t="shared" si="9"/>
        <v>3556.2599999999948</v>
      </c>
      <c r="H55" s="460">
        <f t="shared" si="10"/>
        <v>3556.2599999999948</v>
      </c>
      <c r="I55" s="455"/>
      <c r="J55" s="552">
        <f>H55/DAY(B2)</f>
        <v>3556.2599999999948</v>
      </c>
      <c r="K55" s="428"/>
      <c r="L55" s="377"/>
      <c r="N55" s="382"/>
      <c r="O55" s="382"/>
    </row>
    <row r="56" spans="1:15">
      <c r="A56" s="578" t="s">
        <v>180</v>
      </c>
      <c r="B56" s="601"/>
      <c r="C56" s="601"/>
      <c r="D56" s="523" t="s">
        <v>181</v>
      </c>
      <c r="E56" s="510">
        <v>649032</v>
      </c>
      <c r="F56" s="510">
        <v>649043.47</v>
      </c>
      <c r="G56" s="473">
        <f t="shared" si="9"/>
        <v>11.46999999997206</v>
      </c>
      <c r="H56" s="460">
        <f t="shared" si="10"/>
        <v>11.46999999997206</v>
      </c>
      <c r="I56" s="455"/>
      <c r="J56" s="552">
        <f>H56/DAY(B2)</f>
        <v>11.46999999997206</v>
      </c>
      <c r="K56" s="427"/>
      <c r="L56" s="377"/>
      <c r="N56" s="382"/>
      <c r="O56" s="382"/>
    </row>
    <row r="57" spans="1:15">
      <c r="A57" s="578" t="s">
        <v>170</v>
      </c>
      <c r="B57" s="601"/>
      <c r="C57" s="601"/>
      <c r="D57" s="523" t="s">
        <v>130</v>
      </c>
      <c r="E57" s="510">
        <v>7711</v>
      </c>
      <c r="F57" s="510">
        <v>7711</v>
      </c>
      <c r="G57" s="473">
        <f t="shared" si="9"/>
        <v>0</v>
      </c>
      <c r="H57" s="460">
        <f t="shared" si="10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182</v>
      </c>
      <c r="B58" s="601"/>
      <c r="C58" s="601"/>
      <c r="D58" s="523" t="s">
        <v>130</v>
      </c>
      <c r="E58" s="510">
        <v>53986</v>
      </c>
      <c r="F58" s="510">
        <v>54200.2</v>
      </c>
      <c r="G58" s="473">
        <f t="shared" si="9"/>
        <v>214.19999999999709</v>
      </c>
      <c r="H58" s="460">
        <f t="shared" si="10"/>
        <v>214.19999999999709</v>
      </c>
      <c r="I58" s="455"/>
      <c r="J58" s="552">
        <f>H58/DAY(B2)</f>
        <v>214.19999999999709</v>
      </c>
      <c r="K58" s="428"/>
      <c r="L58" s="377"/>
      <c r="N58" s="382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5210.8699999999662</v>
      </c>
      <c r="H59" s="460">
        <f t="shared" si="10"/>
        <v>5210.8699999999662</v>
      </c>
      <c r="I59" s="455">
        <f>G7-G60</f>
        <v>-959.01999999992768</v>
      </c>
      <c r="J59" s="552">
        <f>H59/DAY(B2)</f>
        <v>5210.8699999999662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481">
        <f>G47+G59</f>
        <v>24061.769999999928</v>
      </c>
      <c r="H60" s="460">
        <f t="shared" si="10"/>
        <v>24061.769999999928</v>
      </c>
      <c r="I60" s="455">
        <f>G13-G60</f>
        <v>150.53000000011889</v>
      </c>
      <c r="J60" s="552">
        <f>H60/DAY(B2)</f>
        <v>24061.769999999928</v>
      </c>
      <c r="K60" s="428"/>
      <c r="L60" s="377"/>
      <c r="N60" s="382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v>20419</v>
      </c>
      <c r="F62" s="514">
        <v>20419</v>
      </c>
      <c r="G62" s="473">
        <f t="shared" ref="G62:G69" si="11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186</v>
      </c>
      <c r="B63" s="604"/>
      <c r="C63" s="604"/>
      <c r="D63" s="511" t="s">
        <v>185</v>
      </c>
      <c r="E63" s="514">
        <v>0</v>
      </c>
      <c r="F63" s="514">
        <v>0</v>
      </c>
      <c r="G63" s="473">
        <f t="shared" si="11"/>
        <v>0</v>
      </c>
      <c r="H63" s="460">
        <f t="shared" ref="H63:H70" si="12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84">
        <v>170022</v>
      </c>
      <c r="F64" s="484">
        <v>170394.89</v>
      </c>
      <c r="G64" s="473">
        <f t="shared" si="11"/>
        <v>372.89000000001397</v>
      </c>
      <c r="H64" s="460">
        <f t="shared" si="12"/>
        <v>372.89000000001397</v>
      </c>
      <c r="I64" s="480"/>
      <c r="J64" s="552">
        <f>H64/DAY(B2)</f>
        <v>372.89000000001397</v>
      </c>
      <c r="K64" s="428"/>
      <c r="L64" s="377"/>
      <c r="N64" s="382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84">
        <v>170302</v>
      </c>
      <c r="F65" s="484">
        <v>170733.97</v>
      </c>
      <c r="G65" s="473">
        <f t="shared" si="11"/>
        <v>431.97000000000116</v>
      </c>
      <c r="H65" s="460">
        <f t="shared" si="12"/>
        <v>431.97000000000116</v>
      </c>
      <c r="I65" s="489"/>
      <c r="J65" s="552">
        <f>H65/DAY(B2)</f>
        <v>431.97000000000116</v>
      </c>
      <c r="K65" s="428"/>
      <c r="L65" s="377"/>
      <c r="N65" s="382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84">
        <v>67970</v>
      </c>
      <c r="F66" s="484">
        <v>68403.92</v>
      </c>
      <c r="G66" s="473">
        <f t="shared" si="11"/>
        <v>433.91999999999825</v>
      </c>
      <c r="H66" s="460">
        <f t="shared" si="12"/>
        <v>433.91999999999825</v>
      </c>
      <c r="I66" s="480"/>
      <c r="J66" s="552">
        <f>H66/DAY(B2)</f>
        <v>433.91999999999825</v>
      </c>
      <c r="K66" s="428"/>
      <c r="L66" s="377"/>
      <c r="N66" s="382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84">
        <v>264959</v>
      </c>
      <c r="F67" s="484">
        <v>265431.40999999997</v>
      </c>
      <c r="G67" s="473">
        <f t="shared" si="11"/>
        <v>472.40999999997439</v>
      </c>
      <c r="H67" s="460">
        <f t="shared" si="12"/>
        <v>472.40999999997439</v>
      </c>
      <c r="I67" s="489"/>
      <c r="J67" s="552">
        <f>H67/DAY(B2)</f>
        <v>472.40999999997439</v>
      </c>
      <c r="K67" s="429"/>
      <c r="L67" s="377"/>
      <c r="N67" s="382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84">
        <v>85321</v>
      </c>
      <c r="F68" s="484">
        <v>85321</v>
      </c>
      <c r="G68" s="473">
        <f t="shared" si="11"/>
        <v>0</v>
      </c>
      <c r="H68" s="460">
        <f t="shared" si="12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84">
        <v>87515</v>
      </c>
      <c r="F69" s="484">
        <v>87751.62</v>
      </c>
      <c r="G69" s="473">
        <f t="shared" si="11"/>
        <v>236.61999999999534</v>
      </c>
      <c r="H69" s="460">
        <f t="shared" si="12"/>
        <v>236.61999999999534</v>
      </c>
      <c r="I69" s="516"/>
      <c r="J69" s="552">
        <f>H69/DAY(B2)</f>
        <v>236.61999999999534</v>
      </c>
      <c r="K69" s="431"/>
      <c r="L69" s="377"/>
      <c r="N69" s="382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 t="shared" si="12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519">
        <v>856222</v>
      </c>
      <c r="F72" s="519">
        <v>856231</v>
      </c>
      <c r="G72" s="473">
        <f t="shared" ref="G72:G84" si="13">F72-E72</f>
        <v>9</v>
      </c>
      <c r="H72" s="460">
        <f>G72</f>
        <v>9</v>
      </c>
      <c r="I72" s="480"/>
      <c r="J72" s="552">
        <f>H72/DAY(B2)</f>
        <v>9</v>
      </c>
      <c r="K72" s="431"/>
      <c r="L72" s="377"/>
      <c r="N72" s="382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520">
        <v>885972</v>
      </c>
      <c r="F73" s="520">
        <v>885974</v>
      </c>
      <c r="G73" s="473">
        <f t="shared" si="13"/>
        <v>2</v>
      </c>
      <c r="H73" s="460">
        <f t="shared" ref="H73:H88" si="14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84" t="s">
        <v>191</v>
      </c>
      <c r="B74" s="1585"/>
      <c r="C74" s="1586"/>
      <c r="D74" s="523" t="s">
        <v>185</v>
      </c>
      <c r="E74" s="521">
        <v>88696</v>
      </c>
      <c r="F74" s="521">
        <v>88697.7</v>
      </c>
      <c r="G74" s="473">
        <f t="shared" si="13"/>
        <v>1.6999999999970896</v>
      </c>
      <c r="H74" s="460">
        <f t="shared" si="14"/>
        <v>1.6999999999970896</v>
      </c>
      <c r="I74" s="480"/>
      <c r="J74" s="552">
        <f>H74/DAY(B2)</f>
        <v>1.6999999999970896</v>
      </c>
      <c r="K74" s="431"/>
      <c r="L74" s="377"/>
      <c r="N74" s="382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521">
        <v>16071</v>
      </c>
      <c r="F75" s="521">
        <v>16214.18</v>
      </c>
      <c r="G75" s="473">
        <f t="shared" si="13"/>
        <v>143.18000000000029</v>
      </c>
      <c r="H75" s="460">
        <f t="shared" si="14"/>
        <v>143.18000000000029</v>
      </c>
      <c r="I75" s="480"/>
      <c r="J75" s="552">
        <f>H75/DAY(B2)</f>
        <v>143.18000000000029</v>
      </c>
      <c r="K75" s="430"/>
      <c r="L75" s="377"/>
      <c r="N75" s="382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520">
        <v>9336</v>
      </c>
      <c r="F76" s="520">
        <v>9405.3799999999992</v>
      </c>
      <c r="G76" s="473">
        <f t="shared" si="13"/>
        <v>69.3799999999992</v>
      </c>
      <c r="H76" s="460">
        <f t="shared" si="14"/>
        <v>69.3799999999992</v>
      </c>
      <c r="I76" s="505"/>
      <c r="J76" s="552">
        <f>H76/DAY(B2)</f>
        <v>69.3799999999992</v>
      </c>
      <c r="K76" s="430"/>
      <c r="L76" s="377"/>
      <c r="N76" s="382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521">
        <v>704374</v>
      </c>
      <c r="F77" s="520">
        <v>704427</v>
      </c>
      <c r="G77" s="473">
        <f t="shared" si="13"/>
        <v>53</v>
      </c>
      <c r="H77" s="460">
        <f t="shared" si="14"/>
        <v>53</v>
      </c>
      <c r="I77" s="505"/>
      <c r="J77" s="552">
        <f>H77/DAY(B2)</f>
        <v>53</v>
      </c>
      <c r="K77" s="430"/>
      <c r="L77" s="377"/>
      <c r="N77" s="382"/>
      <c r="O77" s="382"/>
    </row>
    <row r="78" spans="1:15" ht="27.75">
      <c r="A78" s="1303" t="s">
        <v>195</v>
      </c>
      <c r="B78" s="1296"/>
      <c r="C78" s="1296"/>
      <c r="D78" s="523" t="s">
        <v>185</v>
      </c>
      <c r="E78" s="521">
        <v>675414</v>
      </c>
      <c r="F78" s="520">
        <v>675528</v>
      </c>
      <c r="G78" s="473">
        <f t="shared" si="13"/>
        <v>114</v>
      </c>
      <c r="H78" s="460">
        <f t="shared" si="14"/>
        <v>114</v>
      </c>
      <c r="I78" s="505"/>
      <c r="J78" s="552">
        <f>H78/DAY(B2)</f>
        <v>114</v>
      </c>
      <c r="K78" s="430"/>
      <c r="L78" s="377"/>
      <c r="N78" s="382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521">
        <v>835416</v>
      </c>
      <c r="F79" s="520">
        <v>835569</v>
      </c>
      <c r="G79" s="473">
        <f t="shared" si="13"/>
        <v>153</v>
      </c>
      <c r="H79" s="460">
        <f t="shared" si="14"/>
        <v>153</v>
      </c>
      <c r="I79" s="505"/>
      <c r="J79" s="552">
        <f>H79/DAY(B2)</f>
        <v>153</v>
      </c>
      <c r="K79" s="430"/>
      <c r="L79" s="377"/>
      <c r="N79" s="382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520">
        <v>539013</v>
      </c>
      <c r="F80" s="520">
        <v>539422.92000000004</v>
      </c>
      <c r="G80" s="473">
        <f t="shared" si="13"/>
        <v>409.92000000004191</v>
      </c>
      <c r="H80" s="460">
        <f t="shared" si="14"/>
        <v>409.92000000004191</v>
      </c>
      <c r="I80" s="505"/>
      <c r="J80" s="552">
        <f>H80/DAY(B2)</f>
        <v>409.92000000004191</v>
      </c>
      <c r="K80" s="430"/>
      <c r="L80" s="377"/>
      <c r="N80" s="382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520">
        <v>642985</v>
      </c>
      <c r="F81" s="520">
        <v>643116.64</v>
      </c>
      <c r="G81" s="473">
        <f t="shared" si="13"/>
        <v>131.64000000001397</v>
      </c>
      <c r="H81" s="460">
        <f t="shared" si="14"/>
        <v>131.64000000001397</v>
      </c>
      <c r="I81" s="505"/>
      <c r="J81" s="552">
        <f>H81/DAY(B2)</f>
        <v>131.64000000001397</v>
      </c>
      <c r="K81" s="430"/>
      <c r="L81" s="377"/>
      <c r="N81" s="382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522">
        <v>108681</v>
      </c>
      <c r="F82" s="541">
        <v>108705.9</v>
      </c>
      <c r="G82" s="473">
        <f t="shared" si="13"/>
        <v>24.899999999994179</v>
      </c>
      <c r="H82" s="460">
        <f t="shared" si="14"/>
        <v>24.899999999994179</v>
      </c>
      <c r="I82" s="486"/>
      <c r="J82" s="552">
        <f>H82/DAY(B2)</f>
        <v>24.899999999994179</v>
      </c>
      <c r="K82" s="430"/>
      <c r="L82" s="377"/>
      <c r="N82" s="382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511">
        <v>27551</v>
      </c>
      <c r="F83" s="1385">
        <v>27902</v>
      </c>
      <c r="G83" s="473">
        <f t="shared" si="13"/>
        <v>351</v>
      </c>
      <c r="H83" s="460">
        <f t="shared" si="14"/>
        <v>351</v>
      </c>
      <c r="I83" s="481"/>
      <c r="J83" s="552">
        <f>H83/DAY(B2)</f>
        <v>351</v>
      </c>
      <c r="K83" s="429"/>
      <c r="L83" s="377"/>
      <c r="N83" s="382"/>
      <c r="O83" s="721"/>
    </row>
    <row r="84" spans="1:15">
      <c r="A84" s="1304" t="s">
        <v>199</v>
      </c>
      <c r="B84" s="571"/>
      <c r="C84" s="571"/>
      <c r="D84" s="478" t="s">
        <v>130</v>
      </c>
      <c r="E84" s="627">
        <v>523080</v>
      </c>
      <c r="F84" s="627">
        <v>523896</v>
      </c>
      <c r="G84" s="473">
        <f t="shared" si="13"/>
        <v>816</v>
      </c>
      <c r="H84" s="460">
        <f t="shared" si="14"/>
        <v>816</v>
      </c>
      <c r="I84" s="481"/>
      <c r="J84" s="552">
        <f>H84/DAY(B2)</f>
        <v>816</v>
      </c>
      <c r="K84" s="380"/>
      <c r="L84" s="377"/>
      <c r="N84" s="382"/>
      <c r="O84" s="382"/>
    </row>
    <row r="85" spans="1:15" s="379" customFormat="1">
      <c r="A85" s="605" t="s">
        <v>200</v>
      </c>
      <c r="B85" s="572"/>
      <c r="C85" s="572"/>
      <c r="D85" s="489"/>
      <c r="E85" s="523"/>
      <c r="F85" s="627"/>
      <c r="G85" s="460">
        <f xml:space="preserve"> SUM(G71:G84)</f>
        <v>2278.7200000000466</v>
      </c>
      <c r="H85" s="460">
        <f t="shared" si="14"/>
        <v>2278.7200000000466</v>
      </c>
      <c r="I85" s="481"/>
      <c r="J85" s="552">
        <f>H85/DAY(B2)</f>
        <v>2278.7200000000466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181</v>
      </c>
      <c r="E86" s="647">
        <v>461821</v>
      </c>
      <c r="F86" s="647">
        <v>461843.88</v>
      </c>
      <c r="G86" s="705">
        <f t="shared" ref="G86:G91" si="15">F86-E86</f>
        <v>22.880000000004657</v>
      </c>
      <c r="H86" s="705">
        <f t="shared" si="14"/>
        <v>22.880000000004657</v>
      </c>
      <c r="I86" s="652"/>
      <c r="J86" s="707">
        <f>H86/DAY(B2)</f>
        <v>22.880000000004657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181</v>
      </c>
      <c r="E87" s="647">
        <v>82073</v>
      </c>
      <c r="F87" s="647">
        <v>82106.3</v>
      </c>
      <c r="G87" s="705">
        <f t="shared" si="15"/>
        <v>33.30000000000291</v>
      </c>
      <c r="H87" s="705">
        <f t="shared" si="14"/>
        <v>33.30000000000291</v>
      </c>
      <c r="I87" s="652"/>
      <c r="J87" s="707">
        <f>H87/DAY(B2)</f>
        <v>33.30000000000291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181</v>
      </c>
      <c r="E88" s="647">
        <v>155323</v>
      </c>
      <c r="F88" s="647">
        <v>155460.06</v>
      </c>
      <c r="G88" s="705">
        <f t="shared" si="15"/>
        <v>137.05999999999767</v>
      </c>
      <c r="H88" s="705">
        <f t="shared" si="14"/>
        <v>137.05999999999767</v>
      </c>
      <c r="I88" s="652"/>
      <c r="J88" s="707">
        <f>H88/DAY(B2)</f>
        <v>137.05999999999767</v>
      </c>
      <c r="K88" s="733"/>
      <c r="L88" s="734"/>
      <c r="N88" s="777"/>
      <c r="O88" s="382"/>
    </row>
    <row r="89" spans="1:15" s="735" customFormat="1">
      <c r="A89" s="730" t="s">
        <v>201</v>
      </c>
      <c r="B89" s="731"/>
      <c r="C89" s="731"/>
      <c r="D89" s="732" t="s">
        <v>181</v>
      </c>
      <c r="E89" s="647">
        <v>65846</v>
      </c>
      <c r="F89" s="647">
        <v>65880.399999999994</v>
      </c>
      <c r="G89" s="705">
        <f t="shared" si="15"/>
        <v>34.399999999994179</v>
      </c>
      <c r="H89" s="705">
        <f>G89</f>
        <v>34.399999999994179</v>
      </c>
      <c r="I89" s="652"/>
      <c r="J89" s="707">
        <f>H89/DAY(B2)</f>
        <v>34.399999999994179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47">
        <v>3344</v>
      </c>
      <c r="F90" s="647">
        <v>3349.4</v>
      </c>
      <c r="G90" s="705">
        <f t="shared" si="15"/>
        <v>5.4000000000000909</v>
      </c>
      <c r="H90" s="705">
        <f>G90</f>
        <v>5.4000000000000909</v>
      </c>
      <c r="I90" s="652"/>
      <c r="J90" s="707">
        <f>H90/DAY(B2)</f>
        <v>5.4000000000000909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47">
        <v>28250</v>
      </c>
      <c r="F91" s="647">
        <v>28259.024000000001</v>
      </c>
      <c r="G91" s="705">
        <f t="shared" si="15"/>
        <v>9.0240000000012515</v>
      </c>
      <c r="H91" s="705">
        <f>G91</f>
        <v>9.0240000000012515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306"/>
      <c r="C92" s="1306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v>247352</v>
      </c>
      <c r="F93" s="541">
        <v>247441</v>
      </c>
      <c r="G93" s="473">
        <f t="shared" ref="G93:G94" si="16">F93-E93</f>
        <v>89</v>
      </c>
      <c r="H93" s="460">
        <f t="shared" ref="H93" si="17">G93</f>
        <v>89</v>
      </c>
      <c r="I93" s="480"/>
      <c r="J93" s="552">
        <f>H93/DAY(B2)</f>
        <v>89</v>
      </c>
      <c r="K93" s="429"/>
      <c r="L93" s="377"/>
      <c r="N93" s="382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v>189454</v>
      </c>
      <c r="F94" s="541">
        <v>189551</v>
      </c>
      <c r="G94" s="473">
        <f t="shared" si="16"/>
        <v>97</v>
      </c>
      <c r="H94" s="460">
        <f>G94</f>
        <v>97</v>
      </c>
      <c r="I94" s="480"/>
      <c r="J94" s="552">
        <f>H94/DAY(B2)</f>
        <v>97</v>
      </c>
      <c r="K94" s="380"/>
      <c r="L94" s="377"/>
      <c r="N94" s="382"/>
      <c r="O94" s="382"/>
    </row>
    <row r="95" spans="1:15">
      <c r="A95" s="1594" t="s">
        <v>206</v>
      </c>
      <c r="B95" s="1595"/>
      <c r="C95" s="1596"/>
      <c r="D95" s="523"/>
      <c r="E95" s="484"/>
      <c r="F95" s="541"/>
      <c r="G95" s="473">
        <f>G93+G94</f>
        <v>186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v>415999</v>
      </c>
      <c r="F96" s="484">
        <v>416085</v>
      </c>
      <c r="G96" s="473">
        <f t="shared" ref="G96:G101" si="18">F96-E96</f>
        <v>86</v>
      </c>
      <c r="H96" s="460">
        <f t="shared" ref="H96:H102" si="19">G96</f>
        <v>86</v>
      </c>
      <c r="I96" s="480"/>
      <c r="J96" s="552">
        <f>H96/DAY(B2)</f>
        <v>86</v>
      </c>
      <c r="K96" s="380"/>
      <c r="L96" s="377"/>
      <c r="N96" s="382"/>
      <c r="O96" s="382"/>
    </row>
    <row r="97" spans="1:15" ht="27.75">
      <c r="A97" s="1300" t="s">
        <v>208</v>
      </c>
      <c r="B97" s="1301"/>
      <c r="C97" s="1301"/>
      <c r="D97" s="523" t="s">
        <v>142</v>
      </c>
      <c r="E97" s="484">
        <v>103163</v>
      </c>
      <c r="F97" s="484">
        <v>103180</v>
      </c>
      <c r="G97" s="473">
        <f t="shared" si="18"/>
        <v>17</v>
      </c>
      <c r="H97" s="460">
        <f t="shared" si="19"/>
        <v>17</v>
      </c>
      <c r="I97" s="480"/>
      <c r="J97" s="552">
        <f>H97/DAY(B2)</f>
        <v>17</v>
      </c>
      <c r="K97" s="427"/>
      <c r="L97" s="377"/>
      <c r="N97" s="382"/>
      <c r="O97" s="382"/>
    </row>
    <row r="98" spans="1:15" ht="27.75">
      <c r="A98" s="1300" t="s">
        <v>209</v>
      </c>
      <c r="B98" s="1301"/>
      <c r="C98" s="1301"/>
      <c r="D98" s="523" t="s">
        <v>142</v>
      </c>
      <c r="E98" s="484">
        <v>98657</v>
      </c>
      <c r="F98" s="484">
        <v>98675</v>
      </c>
      <c r="G98" s="473">
        <f t="shared" si="18"/>
        <v>18</v>
      </c>
      <c r="H98" s="460">
        <f t="shared" si="19"/>
        <v>18</v>
      </c>
      <c r="I98" s="480"/>
      <c r="J98" s="552">
        <f>H98/DAY(B2)</f>
        <v>18</v>
      </c>
      <c r="K98" s="432"/>
      <c r="L98" s="377"/>
      <c r="N98" s="382"/>
      <c r="O98" s="382"/>
    </row>
    <row r="99" spans="1:15" ht="27.75">
      <c r="A99" s="1300" t="s">
        <v>210</v>
      </c>
      <c r="B99" s="1301"/>
      <c r="C99" s="1301"/>
      <c r="D99" s="523" t="s">
        <v>142</v>
      </c>
      <c r="E99" s="484">
        <v>150405</v>
      </c>
      <c r="F99" s="484">
        <v>150455</v>
      </c>
      <c r="G99" s="473">
        <f t="shared" si="18"/>
        <v>50</v>
      </c>
      <c r="H99" s="460">
        <f t="shared" si="19"/>
        <v>50</v>
      </c>
      <c r="I99" s="480"/>
      <c r="J99" s="552">
        <f>H99/DAY(B2)</f>
        <v>50</v>
      </c>
      <c r="K99" s="380"/>
      <c r="L99" s="377"/>
      <c r="N99" s="382"/>
      <c r="O99" s="382"/>
    </row>
    <row r="100" spans="1:15" ht="27.75">
      <c r="A100" s="1300" t="s">
        <v>211</v>
      </c>
      <c r="B100" s="1301"/>
      <c r="C100" s="1301"/>
      <c r="D100" s="523" t="s">
        <v>142</v>
      </c>
      <c r="E100" s="484">
        <v>7797</v>
      </c>
      <c r="F100" s="484">
        <v>7802</v>
      </c>
      <c r="G100" s="473">
        <f t="shared" si="18"/>
        <v>5</v>
      </c>
      <c r="H100" s="460">
        <f t="shared" si="19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0" t="s">
        <v>212</v>
      </c>
      <c r="B101" s="1301"/>
      <c r="C101" s="1301"/>
      <c r="D101" s="523" t="s">
        <v>142</v>
      </c>
      <c r="E101" s="484">
        <v>5674</v>
      </c>
      <c r="F101" s="484">
        <v>5679</v>
      </c>
      <c r="G101" s="473">
        <f t="shared" si="18"/>
        <v>5</v>
      </c>
      <c r="H101" s="460">
        <f t="shared" si="19"/>
        <v>5</v>
      </c>
      <c r="I101" s="480" t="s">
        <v>213</v>
      </c>
      <c r="J101" s="552">
        <f>H101/DAY(B2)</f>
        <v>5</v>
      </c>
      <c r="K101" s="380"/>
      <c r="L101" s="377"/>
      <c r="N101" s="382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525">
        <f>SUM(G96:G101)</f>
        <v>181</v>
      </c>
      <c r="H102" s="460">
        <f t="shared" si="19"/>
        <v>181</v>
      </c>
      <c r="I102" s="526"/>
      <c r="J102" s="552">
        <f>H102/DAY(B2)</f>
        <v>181</v>
      </c>
      <c r="K102" s="380"/>
      <c r="L102" s="377"/>
      <c r="N102" s="382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4" t="s">
        <v>217</v>
      </c>
      <c r="B105" s="1555"/>
      <c r="C105" s="1298"/>
      <c r="D105" s="622" t="s">
        <v>142</v>
      </c>
      <c r="E105" s="532">
        <v>7637</v>
      </c>
      <c r="F105" s="534">
        <v>7637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54" t="s">
        <v>76</v>
      </c>
      <c r="B106" s="1555"/>
      <c r="C106" s="1298"/>
      <c r="D106" s="622" t="s">
        <v>142</v>
      </c>
      <c r="E106" s="534">
        <v>36162</v>
      </c>
      <c r="F106" s="534">
        <v>36174</v>
      </c>
      <c r="G106" s="532">
        <f t="shared" ref="G106:G107" si="20">F106-E106</f>
        <v>12</v>
      </c>
      <c r="H106" s="533">
        <f t="shared" ref="H106:H121" si="21">G106</f>
        <v>12</v>
      </c>
      <c r="I106" s="532"/>
      <c r="J106" s="558">
        <f>H106/DAY(B2)</f>
        <v>12</v>
      </c>
      <c r="N106" s="444"/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532">
        <v>19822</v>
      </c>
      <c r="F107" s="534">
        <v>19827</v>
      </c>
      <c r="G107" s="532">
        <f t="shared" si="20"/>
        <v>5</v>
      </c>
      <c r="H107" s="533">
        <f t="shared" si="21"/>
        <v>5</v>
      </c>
      <c r="I107" s="532"/>
      <c r="J107" s="558">
        <f>G110/DAY(B2)</f>
        <v>98</v>
      </c>
      <c r="N107" s="444"/>
      <c r="O107" s="382"/>
    </row>
    <row r="108" spans="1:15" s="442" customFormat="1" ht="27.75">
      <c r="A108" s="1556" t="s">
        <v>200</v>
      </c>
      <c r="B108" s="1557"/>
      <c r="C108" s="1298"/>
      <c r="D108" s="622"/>
      <c r="E108" s="532"/>
      <c r="F108" s="534"/>
      <c r="G108" s="532">
        <f>SUM(G105:G107)</f>
        <v>17</v>
      </c>
      <c r="H108" s="533">
        <f t="shared" si="21"/>
        <v>17</v>
      </c>
      <c r="I108" s="532"/>
      <c r="J108" s="558">
        <f>H108/DAY(B2)</f>
        <v>17</v>
      </c>
      <c r="N108" s="444"/>
      <c r="O108" s="382"/>
    </row>
    <row r="109" spans="1:15" s="442" customFormat="1" ht="27.75">
      <c r="A109" s="1560" t="s">
        <v>78</v>
      </c>
      <c r="B109" s="1561"/>
      <c r="C109" s="1298"/>
      <c r="D109" s="622" t="s">
        <v>142</v>
      </c>
      <c r="E109" s="532"/>
      <c r="F109" s="534"/>
      <c r="G109" s="532"/>
      <c r="H109" s="533">
        <f t="shared" si="21"/>
        <v>0</v>
      </c>
      <c r="I109" s="532"/>
      <c r="J109" s="558"/>
      <c r="N109" s="444"/>
      <c r="O109" s="382"/>
    </row>
    <row r="110" spans="1:15" s="442" customFormat="1" ht="27.75">
      <c r="A110" s="1554" t="s">
        <v>218</v>
      </c>
      <c r="B110" s="1555"/>
      <c r="C110" s="1298"/>
      <c r="D110" s="622" t="s">
        <v>142</v>
      </c>
      <c r="E110" s="532">
        <v>64843</v>
      </c>
      <c r="F110" s="534">
        <v>64941</v>
      </c>
      <c r="G110" s="532">
        <f>F110-E110</f>
        <v>98</v>
      </c>
      <c r="H110" s="533">
        <f t="shared" si="21"/>
        <v>98</v>
      </c>
      <c r="I110" s="532"/>
      <c r="J110" s="558">
        <f>H110/DAY(B2)</f>
        <v>98</v>
      </c>
      <c r="N110" s="444"/>
      <c r="O110" s="382"/>
    </row>
    <row r="111" spans="1:15" s="442" customFormat="1" ht="27.75">
      <c r="A111" s="1554" t="s">
        <v>219</v>
      </c>
      <c r="B111" s="1555"/>
      <c r="C111" s="1298"/>
      <c r="D111" s="622" t="s">
        <v>142</v>
      </c>
      <c r="E111" s="532">
        <v>33129</v>
      </c>
      <c r="F111" s="534">
        <v>33169</v>
      </c>
      <c r="G111" s="532">
        <f>F111-E111</f>
        <v>40</v>
      </c>
      <c r="H111" s="533">
        <f t="shared" si="21"/>
        <v>40</v>
      </c>
      <c r="I111" s="532"/>
      <c r="J111" s="558">
        <f>H111/DAY(B2)</f>
        <v>40</v>
      </c>
      <c r="N111" s="444"/>
      <c r="O111" s="382"/>
    </row>
    <row r="112" spans="1:15" s="442" customFormat="1" ht="27.75">
      <c r="A112" s="1554" t="s">
        <v>220</v>
      </c>
      <c r="B112" s="1555"/>
      <c r="C112" s="1298"/>
      <c r="D112" s="622" t="s">
        <v>142</v>
      </c>
      <c r="E112" s="532">
        <v>4621</v>
      </c>
      <c r="F112" s="534">
        <v>4621</v>
      </c>
      <c r="G112" s="532">
        <f>F112-E112</f>
        <v>0</v>
      </c>
      <c r="H112" s="533">
        <f t="shared" si="21"/>
        <v>0</v>
      </c>
      <c r="I112" s="532"/>
      <c r="J112" s="558">
        <f>H112/DAY(B2)</f>
        <v>0</v>
      </c>
      <c r="N112" s="444"/>
      <c r="O112" s="382"/>
    </row>
    <row r="113" spans="1:15" s="442" customFormat="1" ht="27.75">
      <c r="A113" s="1558" t="s">
        <v>109</v>
      </c>
      <c r="B113" s="1559"/>
      <c r="C113" s="1298"/>
      <c r="D113" s="622"/>
      <c r="E113" s="532"/>
      <c r="F113" s="534"/>
      <c r="G113" s="532">
        <f>SUM(G110:G112)</f>
        <v>138</v>
      </c>
      <c r="H113" s="533">
        <f t="shared" si="21"/>
        <v>138</v>
      </c>
      <c r="I113" s="532"/>
      <c r="J113" s="558">
        <f>H113/DAY(B2)</f>
        <v>138</v>
      </c>
      <c r="N113" s="444"/>
      <c r="O113" s="382"/>
    </row>
    <row r="114" spans="1:15" s="442" customFormat="1" ht="27.75">
      <c r="A114" s="1560" t="s">
        <v>221</v>
      </c>
      <c r="B114" s="1561"/>
      <c r="C114" s="1298"/>
      <c r="D114" s="622"/>
      <c r="E114" s="532"/>
      <c r="F114" s="532"/>
      <c r="G114" s="532"/>
      <c r="H114" s="533">
        <f t="shared" si="21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534">
        <v>12013</v>
      </c>
      <c r="F115" s="534">
        <v>12019</v>
      </c>
      <c r="G115" s="534">
        <f>F115-E115</f>
        <v>6</v>
      </c>
      <c r="H115" s="533">
        <f t="shared" si="21"/>
        <v>6</v>
      </c>
      <c r="I115" s="532"/>
      <c r="J115" s="558">
        <f>H115/DAY(B2)</f>
        <v>6</v>
      </c>
      <c r="N115" s="444"/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534">
        <v>8555</v>
      </c>
      <c r="F116" s="534">
        <v>8561</v>
      </c>
      <c r="G116" s="534">
        <f t="shared" ref="G116:G117" si="22">F116-E116</f>
        <v>6</v>
      </c>
      <c r="H116" s="533">
        <f t="shared" si="21"/>
        <v>6</v>
      </c>
      <c r="I116" s="532"/>
      <c r="J116" s="558">
        <f>H116/DAY(B2)</f>
        <v>6</v>
      </c>
      <c r="N116" s="444"/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534">
        <f t="shared" si="22"/>
        <v>0</v>
      </c>
      <c r="H117" s="533">
        <f t="shared" si="21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534"/>
      <c r="G118" s="534">
        <f>SUM(G115:G117)</f>
        <v>12</v>
      </c>
      <c r="H118" s="533">
        <f t="shared" si="21"/>
        <v>12</v>
      </c>
      <c r="I118" s="534"/>
      <c r="J118" s="558">
        <f>H118/DAY(B2)</f>
        <v>12</v>
      </c>
      <c r="N118" s="447"/>
      <c r="O118" s="382"/>
    </row>
    <row r="119" spans="1:15" s="446" customFormat="1" ht="27.75">
      <c r="A119" s="1550" t="s">
        <v>225</v>
      </c>
      <c r="B119" s="1551"/>
      <c r="C119" s="1297"/>
      <c r="D119" s="624" t="s">
        <v>142</v>
      </c>
      <c r="E119" s="536"/>
      <c r="F119" s="536">
        <f>SUM(G19+G93)</f>
        <v>153</v>
      </c>
      <c r="G119" s="536">
        <f>SUM(G19+G93)</f>
        <v>153</v>
      </c>
      <c r="H119" s="533">
        <f t="shared" si="21"/>
        <v>153</v>
      </c>
      <c r="I119" s="535"/>
      <c r="J119" s="559">
        <f>H119/DAY(B2)</f>
        <v>153</v>
      </c>
      <c r="N119" s="778"/>
      <c r="O119" s="382"/>
    </row>
    <row r="120" spans="1:15" s="446" customFormat="1" ht="27.75">
      <c r="A120" s="1550" t="s">
        <v>226</v>
      </c>
      <c r="B120" s="1551"/>
      <c r="C120" s="1297"/>
      <c r="D120" s="624" t="s">
        <v>142</v>
      </c>
      <c r="E120" s="536"/>
      <c r="F120" s="536">
        <f>SUM(G96,G97,G98,G100,G101)</f>
        <v>131</v>
      </c>
      <c r="G120" s="536">
        <f>SUM(G96,G97,G98,G100,G101)</f>
        <v>131</v>
      </c>
      <c r="H120" s="533">
        <f t="shared" si="21"/>
        <v>131</v>
      </c>
      <c r="I120" s="535"/>
      <c r="J120" s="559">
        <f>H120/DAY(B2)</f>
        <v>131</v>
      </c>
      <c r="N120" s="778"/>
      <c r="O120" s="382"/>
    </row>
    <row r="121" spans="1:15" s="446" customFormat="1" ht="27.75">
      <c r="A121" s="1550" t="s">
        <v>227</v>
      </c>
      <c r="B121" s="1551"/>
      <c r="C121" s="1297"/>
      <c r="D121" s="624" t="s">
        <v>142</v>
      </c>
      <c r="E121" s="534"/>
      <c r="F121" s="534">
        <f>SUM(G113)</f>
        <v>138</v>
      </c>
      <c r="G121" s="534">
        <f>SUM(G113)</f>
        <v>138</v>
      </c>
      <c r="H121" s="533">
        <f t="shared" si="21"/>
        <v>138</v>
      </c>
      <c r="I121" s="535"/>
      <c r="J121" s="559">
        <f>H121/DAY(B2)</f>
        <v>138</v>
      </c>
      <c r="N121" s="778"/>
      <c r="O121" s="382"/>
    </row>
    <row r="122" spans="1:15" s="442" customFormat="1" ht="27.75">
      <c r="A122" s="1552"/>
      <c r="B122" s="1553"/>
      <c r="C122" s="1298"/>
      <c r="D122" s="560"/>
      <c r="E122" s="560"/>
      <c r="F122" s="560" t="s">
        <v>213</v>
      </c>
      <c r="G122" s="560"/>
      <c r="H122" s="561"/>
      <c r="I122" s="560"/>
      <c r="J122" s="562"/>
      <c r="N122" s="444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0" t="s">
        <v>229</v>
      </c>
      <c r="B124" s="1301"/>
      <c r="C124" s="1301"/>
      <c r="D124" s="523" t="s">
        <v>139</v>
      </c>
      <c r="E124" s="651">
        <v>839670</v>
      </c>
      <c r="F124" s="651">
        <v>839939.55</v>
      </c>
      <c r="G124" s="473">
        <f>F124-E124</f>
        <v>269.55000000004657</v>
      </c>
      <c r="H124" s="460">
        <f>G124</f>
        <v>269.55000000004657</v>
      </c>
      <c r="I124" s="526"/>
      <c r="J124" s="552">
        <f>H124/DAY(B2)</f>
        <v>269.55000000004657</v>
      </c>
      <c r="K124" s="380"/>
      <c r="L124" s="377"/>
      <c r="N124" s="382"/>
      <c r="O124" s="382"/>
    </row>
    <row r="125" spans="1:15" ht="27.75">
      <c r="A125" s="1300" t="s">
        <v>230</v>
      </c>
      <c r="B125" s="1301"/>
      <c r="C125" s="1301"/>
      <c r="D125" s="523" t="s">
        <v>139</v>
      </c>
      <c r="E125" s="651">
        <v>73583.399999999994</v>
      </c>
      <c r="F125" s="651">
        <v>73583.399999999994</v>
      </c>
      <c r="G125" s="473">
        <f t="shared" ref="G125:G128" si="23">F125-E125</f>
        <v>0</v>
      </c>
      <c r="H125" s="460">
        <f t="shared" ref="H125:H129" si="24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651">
        <v>148597</v>
      </c>
      <c r="F126" s="651">
        <v>148692.69</v>
      </c>
      <c r="G126" s="473">
        <f t="shared" si="23"/>
        <v>95.690000000002328</v>
      </c>
      <c r="H126" s="460">
        <f t="shared" si="24"/>
        <v>95.690000000002328</v>
      </c>
      <c r="I126" s="526"/>
      <c r="J126" s="552">
        <f>H126/DAY(B2)</f>
        <v>95.690000000002328</v>
      </c>
      <c r="K126" s="380"/>
      <c r="L126" s="377"/>
      <c r="N126" s="382"/>
      <c r="O126" s="382"/>
    </row>
    <row r="127" spans="1:15" ht="27.75">
      <c r="A127" s="609" t="s">
        <v>232</v>
      </c>
      <c r="B127" s="1301"/>
      <c r="C127" s="1301"/>
      <c r="D127" s="523" t="s">
        <v>139</v>
      </c>
      <c r="E127" s="651">
        <v>32071</v>
      </c>
      <c r="F127" s="651">
        <v>32104.2</v>
      </c>
      <c r="G127" s="473">
        <f t="shared" si="23"/>
        <v>33.200000000000728</v>
      </c>
      <c r="H127" s="460">
        <f t="shared" si="24"/>
        <v>33.200000000000728</v>
      </c>
      <c r="I127" s="526"/>
      <c r="J127" s="552">
        <f>H127/DAY(B2)</f>
        <v>33.200000000000728</v>
      </c>
      <c r="K127" s="380"/>
      <c r="L127" s="377"/>
      <c r="N127" s="382"/>
      <c r="O127" s="382"/>
    </row>
    <row r="128" spans="1:15" ht="27.75">
      <c r="A128" s="609" t="s">
        <v>233</v>
      </c>
      <c r="B128" s="1301"/>
      <c r="C128" s="1301"/>
      <c r="D128" s="523" t="s">
        <v>139</v>
      </c>
      <c r="E128" s="651">
        <v>9012</v>
      </c>
      <c r="F128" s="651">
        <v>9016.2999999999993</v>
      </c>
      <c r="G128" s="473">
        <f t="shared" si="23"/>
        <v>4.2999999999992724</v>
      </c>
      <c r="H128" s="460">
        <f t="shared" si="24"/>
        <v>4.2999999999992724</v>
      </c>
      <c r="I128" s="480"/>
      <c r="J128" s="552">
        <f>H128/DAY(B2)</f>
        <v>4.2999999999992724</v>
      </c>
      <c r="K128" s="380"/>
      <c r="L128" s="377"/>
      <c r="N128" s="382"/>
      <c r="O128" s="382"/>
    </row>
    <row r="129" spans="1:15" s="281" customFormat="1" ht="27.75">
      <c r="A129" s="609" t="s">
        <v>234</v>
      </c>
      <c r="B129" s="1301"/>
      <c r="C129" s="1301"/>
      <c r="D129" s="523"/>
      <c r="E129" s="651"/>
      <c r="F129" s="651"/>
      <c r="G129" s="473">
        <f>G15-SUM(G124:G128)</f>
        <v>515.63799999997718</v>
      </c>
      <c r="H129" s="460">
        <f t="shared" si="24"/>
        <v>515.63799999997718</v>
      </c>
      <c r="I129" s="480"/>
      <c r="J129" s="552">
        <f>H129/DAY(B2)</f>
        <v>515.63799999997718</v>
      </c>
      <c r="K129" s="364"/>
      <c r="L129" s="292"/>
      <c r="N129" s="365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0" t="s">
        <v>236</v>
      </c>
      <c r="B131" s="1301"/>
      <c r="C131" s="1301"/>
      <c r="D131" s="523" t="s">
        <v>237</v>
      </c>
      <c r="E131" s="651">
        <v>0</v>
      </c>
      <c r="F131" s="484">
        <v>0</v>
      </c>
      <c r="G131" s="473">
        <f t="shared" ref="G131:G141" si="25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0" t="s">
        <v>238</v>
      </c>
      <c r="B132" s="1301"/>
      <c r="C132" s="1301"/>
      <c r="D132" s="523" t="s">
        <v>237</v>
      </c>
      <c r="E132" s="651">
        <v>0</v>
      </c>
      <c r="F132" s="484">
        <v>0</v>
      </c>
      <c r="G132" s="473">
        <f t="shared" si="25"/>
        <v>0</v>
      </c>
      <c r="H132" s="460">
        <f t="shared" ref="H132:H141" si="26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0" t="s">
        <v>239</v>
      </c>
      <c r="B133" s="1301"/>
      <c r="C133" s="1301"/>
      <c r="D133" s="523" t="s">
        <v>237</v>
      </c>
      <c r="E133" s="651">
        <v>40453</v>
      </c>
      <c r="F133" s="541">
        <v>40471.01</v>
      </c>
      <c r="G133" s="473">
        <f t="shared" si="25"/>
        <v>18.010000000002037</v>
      </c>
      <c r="H133" s="460">
        <f t="shared" si="26"/>
        <v>18.010000000002037</v>
      </c>
      <c r="I133" s="480"/>
      <c r="J133" s="552">
        <f>H133/DAY(B2)</f>
        <v>18.010000000002037</v>
      </c>
      <c r="N133" s="382"/>
      <c r="O133" s="382"/>
    </row>
    <row r="134" spans="1:15" s="775" customFormat="1" ht="27.75">
      <c r="A134" s="792" t="s">
        <v>240</v>
      </c>
      <c r="B134" s="1233"/>
      <c r="C134" s="1233"/>
      <c r="D134" s="524" t="s">
        <v>237</v>
      </c>
      <c r="E134" s="651">
        <v>300</v>
      </c>
      <c r="F134" s="522">
        <v>300</v>
      </c>
      <c r="G134" s="473">
        <f t="shared" si="25"/>
        <v>0</v>
      </c>
      <c r="H134" s="486">
        <f t="shared" si="26"/>
        <v>0</v>
      </c>
      <c r="I134" s="1234"/>
      <c r="J134" s="553">
        <f>H134/DAY(B2)</f>
        <v>0</v>
      </c>
      <c r="N134" s="721"/>
      <c r="O134" s="382"/>
    </row>
    <row r="135" spans="1:15" ht="27.75">
      <c r="A135" s="1300" t="s">
        <v>241</v>
      </c>
      <c r="B135" s="1301"/>
      <c r="C135" s="1301"/>
      <c r="D135" s="523" t="s">
        <v>237</v>
      </c>
      <c r="E135" s="651">
        <v>41972</v>
      </c>
      <c r="F135" s="541">
        <v>41986.21</v>
      </c>
      <c r="G135" s="473">
        <f t="shared" si="25"/>
        <v>14.209999999999127</v>
      </c>
      <c r="H135" s="460">
        <f t="shared" si="26"/>
        <v>14.209999999999127</v>
      </c>
      <c r="I135" s="480"/>
      <c r="J135" s="552">
        <f>H135/DAY(B2)</f>
        <v>14.209999999999127</v>
      </c>
      <c r="N135" s="382"/>
      <c r="O135" s="382"/>
    </row>
    <row r="136" spans="1:15" ht="27.75">
      <c r="A136" s="1300" t="s">
        <v>242</v>
      </c>
      <c r="B136" s="1301"/>
      <c r="C136" s="1301"/>
      <c r="D136" s="523" t="s">
        <v>237</v>
      </c>
      <c r="E136" s="541">
        <v>32874</v>
      </c>
      <c r="F136" s="541">
        <v>32874</v>
      </c>
      <c r="G136" s="473">
        <f t="shared" si="25"/>
        <v>0</v>
      </c>
      <c r="H136" s="460">
        <f t="shared" si="26"/>
        <v>0</v>
      </c>
      <c r="I136" s="480">
        <f>G133+G134+G135+G136</f>
        <v>32.220000000001164</v>
      </c>
      <c r="J136" s="552">
        <f>H136/DAY(B2)</f>
        <v>0</v>
      </c>
      <c r="N136" s="382"/>
      <c r="O136" s="382"/>
    </row>
    <row r="137" spans="1:15" ht="27.75">
      <c r="A137" s="1300" t="s">
        <v>243</v>
      </c>
      <c r="B137" s="1301"/>
      <c r="C137" s="1301"/>
      <c r="D137" s="523" t="s">
        <v>237</v>
      </c>
      <c r="E137" s="541">
        <v>22891.49</v>
      </c>
      <c r="F137" s="541">
        <v>22901.66</v>
      </c>
      <c r="G137" s="473">
        <f t="shared" si="25"/>
        <v>10.169999999998254</v>
      </c>
      <c r="H137" s="460">
        <f t="shared" si="26"/>
        <v>10.169999999998254</v>
      </c>
      <c r="I137" s="480"/>
      <c r="J137" s="552">
        <f>H137/DAY(B2)</f>
        <v>10.169999999998254</v>
      </c>
      <c r="N137" s="382"/>
      <c r="O137" s="382"/>
    </row>
    <row r="138" spans="1:15" ht="27.75">
      <c r="A138" s="1300" t="s">
        <v>244</v>
      </c>
      <c r="B138" s="1301"/>
      <c r="C138" s="1301"/>
      <c r="D138" s="523" t="s">
        <v>237</v>
      </c>
      <c r="E138" s="541">
        <v>25091.39</v>
      </c>
      <c r="F138" s="541">
        <v>25091.39</v>
      </c>
      <c r="G138" s="473">
        <f t="shared" si="25"/>
        <v>0</v>
      </c>
      <c r="H138" s="460">
        <f t="shared" si="26"/>
        <v>0</v>
      </c>
      <c r="I138" s="480"/>
      <c r="J138" s="552">
        <f>H138/DAY(B2)</f>
        <v>0</v>
      </c>
      <c r="N138" s="382"/>
      <c r="O138" s="382"/>
    </row>
    <row r="139" spans="1:15" ht="27.75">
      <c r="A139" s="1300" t="s">
        <v>245</v>
      </c>
      <c r="B139" s="1301"/>
      <c r="C139" s="1301"/>
      <c r="D139" s="523" t="s">
        <v>237</v>
      </c>
      <c r="E139" s="541">
        <v>70513.62</v>
      </c>
      <c r="F139" s="541">
        <v>70513.62</v>
      </c>
      <c r="G139" s="473">
        <f t="shared" si="25"/>
        <v>0</v>
      </c>
      <c r="H139" s="460">
        <f t="shared" si="26"/>
        <v>0</v>
      </c>
      <c r="I139" s="480">
        <f>G137+G138+G139</f>
        <v>10.169999999998254</v>
      </c>
      <c r="J139" s="552">
        <f>H139/DAY(B2)</f>
        <v>0</v>
      </c>
      <c r="N139" s="382"/>
      <c r="O139" s="382"/>
    </row>
    <row r="140" spans="1:15" ht="27.75">
      <c r="A140" s="1300" t="s">
        <v>246</v>
      </c>
      <c r="B140" s="1301"/>
      <c r="C140" s="1301"/>
      <c r="D140" s="523" t="s">
        <v>237</v>
      </c>
      <c r="E140" s="484">
        <v>2129.1799999999998</v>
      </c>
      <c r="F140" s="484">
        <v>2139.09</v>
      </c>
      <c r="G140" s="473">
        <f t="shared" si="25"/>
        <v>9.9100000000003092</v>
      </c>
      <c r="H140" s="460">
        <f t="shared" si="26"/>
        <v>9.9100000000003092</v>
      </c>
      <c r="I140" s="542"/>
      <c r="J140" s="552">
        <f>H140/DAY(B2)</f>
        <v>9.9100000000003092</v>
      </c>
      <c r="N140" s="382"/>
      <c r="O140" s="382"/>
    </row>
    <row r="141" spans="1:15" ht="27.75">
      <c r="A141" s="1300" t="s">
        <v>247</v>
      </c>
      <c r="B141" s="1301"/>
      <c r="C141" s="1301"/>
      <c r="D141" s="523" t="s">
        <v>237</v>
      </c>
      <c r="E141" s="484">
        <v>4637</v>
      </c>
      <c r="F141" s="484">
        <v>4636.97</v>
      </c>
      <c r="G141" s="473">
        <f t="shared" si="25"/>
        <v>-2.9999999999745341E-2</v>
      </c>
      <c r="H141" s="460">
        <f t="shared" si="26"/>
        <v>-2.9999999999745341E-2</v>
      </c>
      <c r="I141" s="542">
        <f>G140+G141</f>
        <v>9.8800000000005639</v>
      </c>
      <c r="J141" s="552">
        <f>H141/DAY(B2)</f>
        <v>-2.9999999999745341E-2</v>
      </c>
      <c r="N141" s="382"/>
      <c r="O141" s="382"/>
    </row>
    <row r="142" spans="1:15">
      <c r="A142" s="1565" t="s">
        <v>248</v>
      </c>
      <c r="B142" s="1566"/>
      <c r="C142" s="1306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5543.2299999999814</v>
      </c>
      <c r="H143" s="460">
        <f>G143</f>
        <v>5543.2299999999814</v>
      </c>
      <c r="I143" s="480"/>
      <c r="J143" s="552">
        <f>H143/DAY(B2)</f>
        <v>5543.2299999999814</v>
      </c>
      <c r="K143" s="380"/>
      <c r="L143" s="377"/>
      <c r="N143" s="382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0.23993810260683171</v>
      </c>
      <c r="H144" s="460">
        <f t="shared" ref="H144:H154" si="27">G144</f>
        <v>0.23993810260683171</v>
      </c>
      <c r="I144" s="544"/>
      <c r="J144" s="552">
        <f>H144/DAY(B2)</f>
        <v>0.23993810260683171</v>
      </c>
      <c r="K144" s="380"/>
      <c r="L144" s="377"/>
      <c r="N144" s="382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7659.8599999999569</v>
      </c>
      <c r="H145" s="460">
        <f t="shared" si="27"/>
        <v>7659.8599999999569</v>
      </c>
      <c r="I145" s="480"/>
      <c r="J145" s="552">
        <f>H145/DAY(B2)</f>
        <v>7659.8599999999569</v>
      </c>
      <c r="K145" s="380"/>
      <c r="L145" s="377"/>
      <c r="N145" s="382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0.33155620001947633</v>
      </c>
      <c r="H146" s="460">
        <f t="shared" si="27"/>
        <v>0.33155620001947633</v>
      </c>
      <c r="I146" s="544"/>
      <c r="J146" s="552">
        <f>H146/DAY(B2)</f>
        <v>0.33155620001947633</v>
      </c>
      <c r="K146" s="380"/>
      <c r="L146" s="377"/>
      <c r="N146" s="382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3790.0200000000186</v>
      </c>
      <c r="H147" s="460">
        <f t="shared" si="27"/>
        <v>3790.0200000000186</v>
      </c>
      <c r="I147" s="545"/>
      <c r="J147" s="552">
        <f>H147/DAY(B2)</f>
        <v>3790.0200000000186</v>
      </c>
      <c r="K147" s="380"/>
      <c r="L147" s="377"/>
      <c r="N147" s="382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0.16405060003679298</v>
      </c>
      <c r="H148" s="460">
        <f t="shared" si="27"/>
        <v>0.16405060003679298</v>
      </c>
      <c r="I148" s="545"/>
      <c r="J148" s="552">
        <f>H148/DAY(B2)</f>
        <v>0.16405060003679298</v>
      </c>
      <c r="N148" s="382"/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1714.9899999999907</v>
      </c>
      <c r="H149" s="460">
        <f t="shared" si="27"/>
        <v>1714.9899999999907</v>
      </c>
      <c r="I149" s="480"/>
      <c r="J149" s="552">
        <f>H149/DAY(B2)</f>
        <v>1714.9899999999907</v>
      </c>
      <c r="K149" s="381"/>
      <c r="N149" s="382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7.4233154061745493E-2</v>
      </c>
      <c r="H150" s="460">
        <f t="shared" si="27"/>
        <v>7.4233154061745493E-2</v>
      </c>
      <c r="I150" s="545"/>
      <c r="J150" s="552">
        <f>H150/DAY(B2)</f>
        <v>7.4233154061745493E-2</v>
      </c>
      <c r="N150" s="382"/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2377.0999999999767</v>
      </c>
      <c r="H151" s="460">
        <f t="shared" si="27"/>
        <v>2377.0999999999767</v>
      </c>
      <c r="I151" s="545"/>
      <c r="J151" s="552">
        <f>H151/DAY(B2)</f>
        <v>2377.0999999999767</v>
      </c>
      <c r="N151" s="382"/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0.1028925127960947</v>
      </c>
      <c r="H152" s="460">
        <f t="shared" si="27"/>
        <v>0.1028925127960947</v>
      </c>
      <c r="I152" s="480"/>
      <c r="J152" s="552">
        <f>H152/DAY(B2)</f>
        <v>0.1028925127960947</v>
      </c>
      <c r="N152" s="382"/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1476.320000000007</v>
      </c>
      <c r="H153" s="460">
        <f t="shared" si="27"/>
        <v>1476.320000000007</v>
      </c>
      <c r="I153" s="480"/>
      <c r="J153" s="552">
        <f>H153/DAY(B2)</f>
        <v>1476.320000000007</v>
      </c>
      <c r="N153" s="382"/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6.3902349287422791E-2</v>
      </c>
      <c r="H154" s="460">
        <f t="shared" si="27"/>
        <v>6.3902349287422791E-2</v>
      </c>
      <c r="I154" s="568"/>
      <c r="J154" s="569">
        <f>H154/DAY(B2)</f>
        <v>6.3902349287422791E-2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15">
      <c r="A161" s="784" t="s">
        <v>261</v>
      </c>
      <c r="B161" s="785"/>
      <c r="C161" s="785"/>
      <c r="D161" s="511" t="s">
        <v>185</v>
      </c>
      <c r="E161" s="658">
        <v>40843</v>
      </c>
      <c r="F161" s="658">
        <v>40925.67</v>
      </c>
      <c r="G161" s="473">
        <f t="shared" ref="G161:G176" si="28">F161-E161</f>
        <v>82.669999999998254</v>
      </c>
    </row>
    <row r="162" spans="1:15">
      <c r="A162" s="784" t="s">
        <v>262</v>
      </c>
      <c r="B162" s="785"/>
      <c r="C162" s="785"/>
      <c r="D162" s="511" t="s">
        <v>185</v>
      </c>
      <c r="E162" s="658">
        <v>107766</v>
      </c>
      <c r="F162" s="658">
        <v>108241.17</v>
      </c>
      <c r="G162" s="473">
        <f t="shared" si="28"/>
        <v>475.16999999999825</v>
      </c>
    </row>
    <row r="163" spans="1:15">
      <c r="A163" s="784" t="s">
        <v>263</v>
      </c>
      <c r="B163" s="785"/>
      <c r="C163" s="785"/>
      <c r="D163" s="511" t="s">
        <v>185</v>
      </c>
      <c r="E163" s="658">
        <v>61230</v>
      </c>
      <c r="F163" s="658">
        <v>61440.46</v>
      </c>
      <c r="G163" s="473">
        <f>F163-E163</f>
        <v>210.45999999999913</v>
      </c>
    </row>
    <row r="164" spans="1:15">
      <c r="A164" s="784" t="s">
        <v>264</v>
      </c>
      <c r="B164" s="785"/>
      <c r="C164" s="785"/>
      <c r="D164" s="511" t="s">
        <v>185</v>
      </c>
      <c r="E164" s="658">
        <v>6853</v>
      </c>
      <c r="F164" s="658">
        <v>6862.09</v>
      </c>
      <c r="G164" s="473">
        <f t="shared" si="28"/>
        <v>9.0900000000001455</v>
      </c>
    </row>
    <row r="165" spans="1:15">
      <c r="A165" s="786" t="s">
        <v>97</v>
      </c>
      <c r="B165" s="604"/>
      <c r="C165" s="604"/>
      <c r="D165" s="511" t="s">
        <v>185</v>
      </c>
      <c r="E165" s="514">
        <v>20419</v>
      </c>
      <c r="F165" s="514">
        <v>20419</v>
      </c>
      <c r="G165" s="473">
        <f>F165-E165</f>
        <v>0</v>
      </c>
    </row>
    <row r="166" spans="1:15">
      <c r="A166" s="786" t="s">
        <v>186</v>
      </c>
      <c r="B166" s="604"/>
      <c r="C166" s="604"/>
      <c r="D166" s="511" t="s">
        <v>185</v>
      </c>
      <c r="E166" s="514">
        <v>0</v>
      </c>
      <c r="F166" s="514">
        <v>2472</v>
      </c>
      <c r="G166" s="473">
        <f t="shared" si="28"/>
        <v>2472</v>
      </c>
    </row>
    <row r="167" spans="1:15" ht="27.75">
      <c r="A167" s="1549" t="s">
        <v>98</v>
      </c>
      <c r="B167" s="1549"/>
      <c r="C167" s="1549"/>
      <c r="D167" s="523" t="s">
        <v>185</v>
      </c>
      <c r="E167" s="514">
        <v>170022</v>
      </c>
      <c r="F167" s="514">
        <f t="shared" ref="F167:F172" si="29">F64</f>
        <v>170394.89</v>
      </c>
      <c r="G167" s="473">
        <f t="shared" si="28"/>
        <v>372.89000000001397</v>
      </c>
    </row>
    <row r="168" spans="1:15" ht="27.75">
      <c r="A168" s="1549" t="s">
        <v>99</v>
      </c>
      <c r="B168" s="1549"/>
      <c r="C168" s="1549"/>
      <c r="D168" s="523" t="s">
        <v>185</v>
      </c>
      <c r="E168" s="514">
        <v>170302</v>
      </c>
      <c r="F168" s="514">
        <f t="shared" si="29"/>
        <v>170733.97</v>
      </c>
      <c r="G168" s="473">
        <f t="shared" si="28"/>
        <v>431.97000000000116</v>
      </c>
    </row>
    <row r="169" spans="1:15" ht="27.75">
      <c r="A169" s="1549" t="s">
        <v>100</v>
      </c>
      <c r="B169" s="1549"/>
      <c r="C169" s="1549"/>
      <c r="D169" s="523" t="s">
        <v>185</v>
      </c>
      <c r="E169" s="514">
        <v>67970</v>
      </c>
      <c r="F169" s="514">
        <f t="shared" si="29"/>
        <v>68403.92</v>
      </c>
      <c r="G169" s="473">
        <f t="shared" si="28"/>
        <v>433.91999999999825</v>
      </c>
    </row>
    <row r="170" spans="1:15" ht="27.75">
      <c r="A170" s="1549" t="s">
        <v>101</v>
      </c>
      <c r="B170" s="1549"/>
      <c r="C170" s="1549"/>
      <c r="D170" s="523" t="s">
        <v>185</v>
      </c>
      <c r="E170" s="514">
        <v>264959</v>
      </c>
      <c r="F170" s="514">
        <f t="shared" si="29"/>
        <v>265431.40999999997</v>
      </c>
      <c r="G170" s="473">
        <f t="shared" si="28"/>
        <v>472.40999999997439</v>
      </c>
    </row>
    <row r="171" spans="1:15" ht="27.75">
      <c r="A171" s="1549" t="s">
        <v>102</v>
      </c>
      <c r="B171" s="1549"/>
      <c r="C171" s="1549"/>
      <c r="D171" s="523" t="s">
        <v>185</v>
      </c>
      <c r="E171" s="514">
        <v>85321</v>
      </c>
      <c r="F171" s="514">
        <f t="shared" si="29"/>
        <v>85321</v>
      </c>
      <c r="G171" s="473">
        <f t="shared" si="28"/>
        <v>0</v>
      </c>
    </row>
    <row r="172" spans="1:15" ht="27.75">
      <c r="A172" s="1549" t="s">
        <v>103</v>
      </c>
      <c r="B172" s="1549"/>
      <c r="C172" s="1549"/>
      <c r="D172" s="523" t="s">
        <v>185</v>
      </c>
      <c r="E172" s="514">
        <v>87515</v>
      </c>
      <c r="F172" s="514">
        <f t="shared" si="29"/>
        <v>87751.62</v>
      </c>
      <c r="G172" s="473">
        <f t="shared" si="28"/>
        <v>236.61999999999534</v>
      </c>
    </row>
    <row r="173" spans="1:15" ht="27.75">
      <c r="A173" s="1502"/>
      <c r="B173" s="1500"/>
      <c r="C173" s="1501"/>
      <c r="D173" s="523"/>
      <c r="E173" s="514"/>
      <c r="F173" s="514"/>
      <c r="G173" s="473"/>
    </row>
    <row r="174" spans="1:15" ht="21.95" customHeight="1">
      <c r="A174" s="1590" t="s">
        <v>348</v>
      </c>
      <c r="B174" s="1553"/>
      <c r="C174" s="784"/>
      <c r="D174" s="1492" t="s">
        <v>185</v>
      </c>
      <c r="E174" s="1493">
        <v>19002</v>
      </c>
      <c r="F174" s="1493">
        <v>19007.5</v>
      </c>
      <c r="G174" s="1494">
        <f>F174-E174</f>
        <v>5.5</v>
      </c>
      <c r="O174" s="377"/>
    </row>
    <row r="175" spans="1:15" ht="21.95" customHeight="1">
      <c r="A175" s="1590" t="s">
        <v>349</v>
      </c>
      <c r="B175" s="1553"/>
      <c r="C175" s="454"/>
      <c r="D175" s="1492" t="s">
        <v>185</v>
      </c>
      <c r="E175" s="1497">
        <v>27630</v>
      </c>
      <c r="F175" s="1497">
        <v>27634</v>
      </c>
      <c r="G175" s="1494">
        <f t="shared" si="28"/>
        <v>4</v>
      </c>
      <c r="O175" s="377"/>
    </row>
    <row r="176" spans="1:15" ht="21.95" customHeight="1">
      <c r="A176" s="1590" t="s">
        <v>348</v>
      </c>
      <c r="B176" s="1553"/>
      <c r="C176" s="454"/>
      <c r="D176" s="1492" t="s">
        <v>185</v>
      </c>
      <c r="E176" s="1493">
        <v>70336</v>
      </c>
      <c r="F176" s="1493">
        <v>70341.899999999994</v>
      </c>
      <c r="G176" s="1494">
        <f t="shared" si="28"/>
        <v>5.8999999999941792</v>
      </c>
      <c r="O176" s="377"/>
    </row>
    <row r="177" spans="7:7">
      <c r="G177" s="539">
        <f>SUM(G161:G172)</f>
        <v>5197.1999999999789</v>
      </c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zoomScale="40" zoomScaleSheetLayoutView="40" workbookViewId="0">
      <selection activeCell="F82" sqref="F82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273</v>
      </c>
      <c r="B2" s="1031">
        <v>44379</v>
      </c>
      <c r="C2" s="1302" t="s">
        <v>68</v>
      </c>
      <c r="D2" s="611">
        <v>0.6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302" t="s">
        <v>118</v>
      </c>
      <c r="D3" s="612">
        <v>30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2" t="s">
        <v>120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129</v>
      </c>
      <c r="B7" s="579"/>
      <c r="C7" s="579"/>
      <c r="D7" s="523" t="s">
        <v>130</v>
      </c>
      <c r="E7" s="455">
        <f>'1'!F7</f>
        <v>945055.75</v>
      </c>
      <c r="F7" s="455">
        <v>965985.75</v>
      </c>
      <c r="G7" s="473">
        <f>F7-E7</f>
        <v>20930</v>
      </c>
      <c r="H7" s="460">
        <f>G7+'1'!H7</f>
        <v>44032.75</v>
      </c>
      <c r="I7" s="474">
        <f>'[2]1'!I7</f>
        <v>12000</v>
      </c>
      <c r="J7" s="552">
        <f>H7/DAY(B2)</f>
        <v>22016.375</v>
      </c>
      <c r="K7" s="549"/>
      <c r="L7" s="377"/>
      <c r="O7" s="382"/>
    </row>
    <row r="8" spans="1:15" ht="27.75" thickBot="1">
      <c r="A8" s="580" t="s">
        <v>131</v>
      </c>
      <c r="B8" s="581"/>
      <c r="C8" s="582"/>
      <c r="D8" s="617" t="s">
        <v>25</v>
      </c>
      <c r="E8" s="455">
        <f>'1'!F8</f>
        <v>949982.79</v>
      </c>
      <c r="F8" s="475">
        <v>971017.91</v>
      </c>
      <c r="G8" s="476">
        <f>F8-E8</f>
        <v>21035.119999999995</v>
      </c>
      <c r="H8" s="460">
        <f>G8+'1'!H8</f>
        <v>44295.910000000033</v>
      </c>
      <c r="I8" s="477">
        <v>12000</v>
      </c>
      <c r="J8" s="552">
        <f>H8/DAY(B2)</f>
        <v>22147.955000000016</v>
      </c>
      <c r="K8" s="549"/>
      <c r="L8" s="425"/>
      <c r="M8" s="440"/>
      <c r="O8" s="382"/>
    </row>
    <row r="9" spans="1:15">
      <c r="A9" s="583" t="s">
        <v>132</v>
      </c>
      <c r="B9" s="584"/>
      <c r="C9" s="584"/>
      <c r="D9" s="523" t="s">
        <v>130</v>
      </c>
      <c r="E9" s="455">
        <f>'1'!F9</f>
        <v>2055214.3</v>
      </c>
      <c r="F9" s="478">
        <v>2075480.3</v>
      </c>
      <c r="G9" s="473">
        <f t="shared" ref="G9:G11" si="0">F9-E9</f>
        <v>20266</v>
      </c>
      <c r="H9" s="460">
        <f>G9+'1'!H9</f>
        <v>44478.300000000047</v>
      </c>
      <c r="I9" s="479">
        <f>I8-J8</f>
        <v>-10147.955000000016</v>
      </c>
      <c r="J9" s="552">
        <f>H9/DAY(B2)</f>
        <v>22239.150000000023</v>
      </c>
      <c r="K9" s="428"/>
      <c r="L9" s="377"/>
      <c r="O9" s="382"/>
    </row>
    <row r="10" spans="1:15">
      <c r="A10" s="578" t="s">
        <v>133</v>
      </c>
      <c r="B10" s="579"/>
      <c r="C10" s="579"/>
      <c r="D10" s="523" t="s">
        <v>130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134</v>
      </c>
      <c r="B11" s="579"/>
      <c r="C11" s="579"/>
      <c r="D11" s="523" t="s">
        <v>130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135</v>
      </c>
      <c r="B12" s="579"/>
      <c r="C12" s="579"/>
      <c r="D12" s="523" t="s">
        <v>130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136</v>
      </c>
      <c r="B13" s="586"/>
      <c r="C13" s="586"/>
      <c r="D13" s="523"/>
      <c r="E13" s="455"/>
      <c r="F13" s="455"/>
      <c r="G13" s="481">
        <f>G9+G10+G11+G12</f>
        <v>20266</v>
      </c>
      <c r="H13" s="460">
        <f>G13+'1'!H13</f>
        <v>44478.300000000047</v>
      </c>
      <c r="I13" s="482">
        <f>G7-G13</f>
        <v>664</v>
      </c>
      <c r="J13" s="552">
        <f>H13/DAY(B2)</f>
        <v>22239.150000000023</v>
      </c>
      <c r="K13" s="428"/>
      <c r="L13" s="377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0" t="s">
        <v>138</v>
      </c>
      <c r="B15" s="589"/>
      <c r="C15" s="589"/>
      <c r="D15" s="523" t="s">
        <v>139</v>
      </c>
      <c r="E15" s="455">
        <f>'1'!F15</f>
        <v>1704601.378</v>
      </c>
      <c r="F15" s="651">
        <v>1705112.2520000001</v>
      </c>
      <c r="G15" s="779">
        <f>(F15-E15)</f>
        <v>510.87400000006892</v>
      </c>
      <c r="H15" s="460">
        <f>G15+'1'!H15</f>
        <v>1429.252000000095</v>
      </c>
      <c r="I15" s="474">
        <v>800</v>
      </c>
      <c r="J15" s="552">
        <f>H15/DAY(B2)</f>
        <v>714.6260000000475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85.373999999952503</v>
      </c>
      <c r="J16" s="553"/>
      <c r="K16" s="428"/>
      <c r="L16" s="377"/>
      <c r="O16" s="382">
        <f>G15-150</f>
        <v>360.87400000006892</v>
      </c>
    </row>
    <row r="17" spans="1:15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84">
        <v>8</v>
      </c>
      <c r="F18" s="478">
        <v>10</v>
      </c>
      <c r="G18" s="481">
        <f>F18*10</f>
        <v>100</v>
      </c>
      <c r="H18" s="460">
        <f>G18+'1'!H18</f>
        <v>190</v>
      </c>
      <c r="I18" s="474">
        <f>'[2]1'!I18</f>
        <v>65</v>
      </c>
      <c r="J18" s="552">
        <f>H18/DAY(B2)</f>
        <v>95</v>
      </c>
      <c r="K18" s="428"/>
      <c r="L18" s="377"/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55">
        <f>'1'!F19</f>
        <v>141559</v>
      </c>
      <c r="F19" s="478">
        <v>141621</v>
      </c>
      <c r="G19" s="473">
        <f>F19-E19</f>
        <v>62</v>
      </c>
      <c r="H19" s="460">
        <f>G19+'1'!H19</f>
        <v>126</v>
      </c>
      <c r="I19" s="489"/>
      <c r="J19" s="552">
        <f>H19/DAY(B2)</f>
        <v>63</v>
      </c>
      <c r="K19" s="428"/>
      <c r="L19" s="377"/>
      <c r="O19" s="382"/>
    </row>
    <row r="20" spans="1:15">
      <c r="A20" s="585" t="s">
        <v>143</v>
      </c>
      <c r="B20" s="586"/>
      <c r="C20" s="586"/>
      <c r="D20" s="490"/>
      <c r="E20" s="490"/>
      <c r="F20" s="523"/>
      <c r="G20" s="1033">
        <f>G18+G19</f>
        <v>162</v>
      </c>
      <c r="H20" s="460">
        <f>G20+'1'!H20</f>
        <v>316</v>
      </c>
      <c r="I20" s="492">
        <f>I18-J20</f>
        <v>-93</v>
      </c>
      <c r="J20" s="552">
        <f>H20/DAY(B2)</f>
        <v>158</v>
      </c>
      <c r="K20" s="428"/>
      <c r="L20" s="377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0" t="s">
        <v>145</v>
      </c>
      <c r="B22" s="589"/>
      <c r="C22" s="589"/>
      <c r="D22" s="523" t="s">
        <v>146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0" t="s">
        <v>147</v>
      </c>
      <c r="B23" s="589"/>
      <c r="C23" s="589"/>
      <c r="D23" s="523" t="s">
        <v>146</v>
      </c>
      <c r="E23" s="484">
        <f>'1'!F23</f>
        <v>2000</v>
      </c>
      <c r="F23" s="478">
        <v>1880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148</v>
      </c>
      <c r="B24" s="591"/>
      <c r="C24" s="591"/>
      <c r="D24" s="511" t="s">
        <v>146</v>
      </c>
      <c r="E24" s="484">
        <v>4850</v>
      </c>
      <c r="F24" s="485">
        <v>4850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21035.119999999995</v>
      </c>
      <c r="F27" s="501">
        <v>9</v>
      </c>
      <c r="G27" s="502">
        <f>E27*F27</f>
        <v>189316.07999999996</v>
      </c>
      <c r="H27" s="460">
        <f>G27+'1'!H27</f>
        <v>398663.19000000029</v>
      </c>
      <c r="I27" s="503"/>
      <c r="J27" s="552">
        <f>H27/DAY(B2)</f>
        <v>199331.59500000015</v>
      </c>
      <c r="K27" s="373"/>
      <c r="L27" s="443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1">
        <f>G15</f>
        <v>510.87400000006892</v>
      </c>
      <c r="F28" s="501">
        <v>52</v>
      </c>
      <c r="G28" s="502">
        <f>E28*F28</f>
        <v>26565.448000003584</v>
      </c>
      <c r="H28" s="460">
        <f>G28+'1'!H28</f>
        <v>74321.10400000494</v>
      </c>
      <c r="I28" s="505"/>
      <c r="J28" s="552">
        <f>H28/DAY(B2)</f>
        <v>37160.55200000247</v>
      </c>
      <c r="K28" s="373"/>
      <c r="L28" s="443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1">
        <f>G19</f>
        <v>62</v>
      </c>
      <c r="F30" s="501">
        <v>146</v>
      </c>
      <c r="G30" s="502">
        <f>E30*F30</f>
        <v>9052</v>
      </c>
      <c r="H30" s="460">
        <f>G30+'1'!H30</f>
        <v>17812</v>
      </c>
      <c r="I30" s="505"/>
      <c r="J30" s="552">
        <f>H30/DAY(B2)</f>
        <v>8906</v>
      </c>
      <c r="K30" s="373"/>
      <c r="L30" s="443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1">
        <f>G18</f>
        <v>100</v>
      </c>
      <c r="F31" s="501">
        <v>80</v>
      </c>
      <c r="G31" s="502">
        <f>E31*F31</f>
        <v>8000</v>
      </c>
      <c r="H31" s="460">
        <f>G31+'1'!H31</f>
        <v>9600</v>
      </c>
      <c r="I31" s="505"/>
      <c r="J31" s="552">
        <f>H31/DAY(B2)</f>
        <v>4800</v>
      </c>
      <c r="K31" s="373"/>
      <c r="L31" s="443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232933.52800000354</v>
      </c>
      <c r="H32" s="460">
        <f>G32+'1'!H32</f>
        <v>500396.29400000523</v>
      </c>
      <c r="I32" s="509"/>
      <c r="J32" s="552">
        <f>H32/DAY(B2)</f>
        <v>250198.14700000262</v>
      </c>
      <c r="K32" s="373"/>
      <c r="L32" s="443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O33" s="382"/>
    </row>
    <row r="34" spans="1:15">
      <c r="A34" s="598" t="s">
        <v>161</v>
      </c>
      <c r="B34" s="1305"/>
      <c r="C34" s="130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162</v>
      </c>
      <c r="B35" s="579"/>
      <c r="C35" s="579"/>
      <c r="D35" s="523" t="s">
        <v>130</v>
      </c>
      <c r="E35" s="455">
        <f>'1'!F35</f>
        <v>1031622.1</v>
      </c>
      <c r="F35" s="510">
        <v>1034521.5</v>
      </c>
      <c r="G35" s="473">
        <f t="shared" ref="G35:G46" si="2">F35-E35</f>
        <v>2899.4000000000233</v>
      </c>
      <c r="H35" s="460">
        <f>G35+'1'!H35</f>
        <v>5807.5</v>
      </c>
      <c r="I35" s="455"/>
      <c r="J35" s="552">
        <f>H35/DAY(B2)</f>
        <v>2903.75</v>
      </c>
      <c r="K35" s="428"/>
      <c r="L35" s="377"/>
      <c r="O35" s="382"/>
    </row>
    <row r="36" spans="1:15">
      <c r="A36" s="578" t="s">
        <v>163</v>
      </c>
      <c r="B36" s="579"/>
      <c r="C36" s="579"/>
      <c r="D36" s="523" t="s">
        <v>130</v>
      </c>
      <c r="E36" s="455">
        <f>'1'!F36</f>
        <v>21408.75</v>
      </c>
      <c r="F36" s="510">
        <v>22293.65</v>
      </c>
      <c r="G36" s="473">
        <f t="shared" si="2"/>
        <v>884.90000000000146</v>
      </c>
      <c r="H36" s="460">
        <f>G36+'1'!H36</f>
        <v>1832.6500000000015</v>
      </c>
      <c r="I36" s="455"/>
      <c r="J36" s="552">
        <f>H36/DAY(B2)</f>
        <v>916.32500000000073</v>
      </c>
      <c r="K36" s="428"/>
      <c r="L36" s="377"/>
      <c r="O36" s="628"/>
    </row>
    <row r="37" spans="1:15">
      <c r="A37" s="578" t="s">
        <v>164</v>
      </c>
      <c r="B37" s="579"/>
      <c r="C37" s="579"/>
      <c r="D37" s="523" t="s">
        <v>130</v>
      </c>
      <c r="E37" s="455">
        <f>'1'!F37</f>
        <v>178046.45</v>
      </c>
      <c r="F37" s="510">
        <v>179486.33</v>
      </c>
      <c r="G37" s="473">
        <f t="shared" si="2"/>
        <v>1439.8799999999756</v>
      </c>
      <c r="H37" s="460">
        <f>G37+'1'!H37</f>
        <v>2916.3299999999872</v>
      </c>
      <c r="I37" s="455"/>
      <c r="J37" s="552">
        <f>H37/DAY(B2)</f>
        <v>1458.1649999999936</v>
      </c>
      <c r="K37" s="428"/>
      <c r="L37" s="377"/>
      <c r="O37" s="629"/>
    </row>
    <row r="38" spans="1:15">
      <c r="A38" s="578" t="s">
        <v>165</v>
      </c>
      <c r="B38" s="579"/>
      <c r="C38" s="579"/>
      <c r="D38" s="523" t="s">
        <v>130</v>
      </c>
      <c r="E38" s="455">
        <f>'1'!F38</f>
        <v>200173.99</v>
      </c>
      <c r="F38" s="469">
        <v>201683.83</v>
      </c>
      <c r="G38" s="473">
        <f t="shared" si="2"/>
        <v>1509.8399999999965</v>
      </c>
      <c r="H38" s="460">
        <f>G38+'1'!H38</f>
        <v>3224.8299999999872</v>
      </c>
      <c r="I38" s="455"/>
      <c r="J38" s="552">
        <f>H38/DAY(B2)</f>
        <v>1612.4149999999936</v>
      </c>
      <c r="K38" s="428"/>
      <c r="L38" s="377"/>
      <c r="O38" s="382"/>
    </row>
    <row r="39" spans="1:15">
      <c r="A39" s="578" t="s">
        <v>166</v>
      </c>
      <c r="B39" s="579"/>
      <c r="C39" s="579"/>
      <c r="D39" s="523" t="s">
        <v>130</v>
      </c>
      <c r="E39" s="455">
        <f>'1'!F39</f>
        <v>408654.43</v>
      </c>
      <c r="F39" s="510">
        <v>412397.91</v>
      </c>
      <c r="G39" s="473">
        <f t="shared" si="2"/>
        <v>3743.4799999999814</v>
      </c>
      <c r="H39" s="460">
        <f>G39+'1'!H39</f>
        <v>7533.9099999999744</v>
      </c>
      <c r="I39" s="455"/>
      <c r="J39" s="552">
        <f>H39/DAY(B2)</f>
        <v>3766.9549999999872</v>
      </c>
      <c r="K39" s="428"/>
      <c r="L39" s="377"/>
      <c r="O39" s="382"/>
    </row>
    <row r="40" spans="1:15">
      <c r="A40" s="599" t="s">
        <v>167</v>
      </c>
      <c r="B40" s="600"/>
      <c r="C40" s="600"/>
      <c r="D40" s="523" t="s">
        <v>130</v>
      </c>
      <c r="E40" s="455">
        <f>'1'!F40</f>
        <v>7598.05</v>
      </c>
      <c r="F40" s="510">
        <v>7902.3</v>
      </c>
      <c r="G40" s="473">
        <f t="shared" si="2"/>
        <v>304.25</v>
      </c>
      <c r="H40" s="460">
        <f>G40+'1'!H40</f>
        <v>789.30000000000018</v>
      </c>
      <c r="I40" s="455"/>
      <c r="J40" s="552">
        <f>H40/DAY(B2)</f>
        <v>394.65000000000009</v>
      </c>
      <c r="K40" s="429"/>
      <c r="L40" s="377"/>
      <c r="O40" s="382"/>
    </row>
    <row r="41" spans="1:15">
      <c r="A41" s="578" t="s">
        <v>168</v>
      </c>
      <c r="B41" s="579"/>
      <c r="C41" s="579"/>
      <c r="D41" s="523" t="s">
        <v>130</v>
      </c>
      <c r="E41" s="455">
        <f>'1'!F41</f>
        <v>333734.05</v>
      </c>
      <c r="F41" s="510">
        <v>336477.83</v>
      </c>
      <c r="G41" s="473">
        <f t="shared" si="2"/>
        <v>2743.7800000000279</v>
      </c>
      <c r="H41" s="460">
        <f>G41+'1'!H41</f>
        <v>6835.8300000000163</v>
      </c>
      <c r="I41" s="455"/>
      <c r="J41" s="552">
        <f>H41/DAY(B2)</f>
        <v>3417.9150000000081</v>
      </c>
      <c r="K41" s="428"/>
      <c r="L41" s="377"/>
      <c r="O41" s="382"/>
    </row>
    <row r="42" spans="1:15">
      <c r="A42" s="578" t="s">
        <v>169</v>
      </c>
      <c r="B42" s="579"/>
      <c r="C42" s="579"/>
      <c r="D42" s="523" t="s">
        <v>130</v>
      </c>
      <c r="E42" s="455">
        <v>59198.97</v>
      </c>
      <c r="F42" s="510">
        <v>59210.879999999997</v>
      </c>
      <c r="G42" s="473">
        <f t="shared" si="2"/>
        <v>11.909999999996217</v>
      </c>
      <c r="H42" s="460">
        <f>G42+'1'!H42</f>
        <v>11.989999999997963</v>
      </c>
      <c r="I42" s="455"/>
      <c r="J42" s="552">
        <f>H42/DAY(B2)</f>
        <v>5.9949999999989814</v>
      </c>
      <c r="K42" s="428"/>
      <c r="L42" s="377"/>
      <c r="O42" s="382"/>
    </row>
    <row r="43" spans="1:15">
      <c r="A43" s="578" t="s">
        <v>170</v>
      </c>
      <c r="B43" s="579"/>
      <c r="C43" s="579"/>
      <c r="D43" s="523" t="s">
        <v>130</v>
      </c>
      <c r="E43" s="455">
        <f>'1'!F43</f>
        <v>1123087</v>
      </c>
      <c r="F43" s="510">
        <v>1125601.3999999999</v>
      </c>
      <c r="G43" s="473">
        <f t="shared" si="2"/>
        <v>2514.3999999999069</v>
      </c>
      <c r="H43" s="460">
        <f>G43+'1'!H43</f>
        <v>5149.3999999999069</v>
      </c>
      <c r="I43" s="455"/>
      <c r="J43" s="552">
        <f>H43/DAY(B2)</f>
        <v>2574.6999999999534</v>
      </c>
      <c r="K43" s="428"/>
      <c r="L43" s="377"/>
      <c r="O43" s="382"/>
    </row>
    <row r="44" spans="1:15">
      <c r="A44" s="578" t="s">
        <v>171</v>
      </c>
      <c r="B44" s="579"/>
      <c r="C44" s="579"/>
      <c r="D44" s="523" t="s">
        <v>130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172</v>
      </c>
      <c r="B45" s="579"/>
      <c r="C45" s="579"/>
      <c r="D45" s="523" t="s">
        <v>130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173</v>
      </c>
      <c r="B46" s="579"/>
      <c r="C46" s="579"/>
      <c r="D46" s="523" t="s">
        <v>130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16051.839999999909</v>
      </c>
      <c r="H47" s="460">
        <f>G47+'1'!H47</f>
        <v>34902.739999999874</v>
      </c>
      <c r="I47" s="455"/>
      <c r="J47" s="552">
        <f>H47/DAY(B2)</f>
        <v>17451.369999999937</v>
      </c>
      <c r="K47" s="428"/>
      <c r="L47" s="377"/>
      <c r="N47" s="382"/>
      <c r="O47" s="382"/>
    </row>
    <row r="48" spans="1:15">
      <c r="A48" s="598" t="s">
        <v>175</v>
      </c>
      <c r="B48" s="1305"/>
      <c r="C48" s="130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162</v>
      </c>
      <c r="B49" s="601"/>
      <c r="C49" s="601"/>
      <c r="D49" s="523" t="s">
        <v>130</v>
      </c>
      <c r="E49" s="455">
        <f>'1'!F49</f>
        <v>260732.13</v>
      </c>
      <c r="F49" s="510">
        <v>260732.13</v>
      </c>
      <c r="G49" s="473">
        <f t="shared" ref="G49:G58" si="3">F49-E49</f>
        <v>0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176</v>
      </c>
      <c r="B50" s="601"/>
      <c r="C50" s="601"/>
      <c r="D50" s="523" t="s">
        <v>130</v>
      </c>
      <c r="E50" s="455">
        <f>'1'!F50</f>
        <v>536092.35</v>
      </c>
      <c r="F50" s="510">
        <v>537140.27</v>
      </c>
      <c r="G50" s="473">
        <f t="shared" si="3"/>
        <v>1047.9200000000419</v>
      </c>
      <c r="H50" s="460">
        <f>G50+'1'!H50</f>
        <v>2477.2700000000186</v>
      </c>
      <c r="I50" s="455"/>
      <c r="J50" s="552">
        <f>H50/DAY(B2)</f>
        <v>1238.6350000000093</v>
      </c>
      <c r="K50" s="428"/>
      <c r="L50" s="377"/>
      <c r="O50" s="382"/>
    </row>
    <row r="51" spans="1:15">
      <c r="A51" s="578" t="s">
        <v>164</v>
      </c>
      <c r="B51" s="601"/>
      <c r="C51" s="601"/>
      <c r="D51" s="523" t="s">
        <v>130</v>
      </c>
      <c r="E51" s="455">
        <f>'1'!F51</f>
        <v>144639.87</v>
      </c>
      <c r="F51" s="510">
        <v>144639.87</v>
      </c>
      <c r="G51" s="473">
        <f t="shared" si="3"/>
        <v>0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177</v>
      </c>
      <c r="B52" s="601"/>
      <c r="C52" s="601"/>
      <c r="D52" s="523" t="s">
        <v>130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166</v>
      </c>
      <c r="B53" s="601"/>
      <c r="C53" s="601"/>
      <c r="D53" s="523" t="s">
        <v>130</v>
      </c>
      <c r="E53" s="455">
        <f>'1'!F53</f>
        <v>434231.59</v>
      </c>
      <c r="F53" s="510">
        <v>434231.59</v>
      </c>
      <c r="G53" s="473">
        <f t="shared" si="3"/>
        <v>0</v>
      </c>
      <c r="H53" s="460">
        <f>G53+'1'!H53</f>
        <v>-0.40999999997438863</v>
      </c>
      <c r="I53" s="455"/>
      <c r="J53" s="552">
        <f>H53/DAY(B2)</f>
        <v>-0.20499999998719431</v>
      </c>
      <c r="K53" s="428"/>
      <c r="L53" s="377"/>
      <c r="O53" s="382"/>
    </row>
    <row r="54" spans="1:15">
      <c r="A54" s="578" t="s">
        <v>178</v>
      </c>
      <c r="B54" s="601"/>
      <c r="C54" s="601"/>
      <c r="D54" s="523" t="s">
        <v>130</v>
      </c>
      <c r="E54" s="455">
        <f>'1'!F54</f>
        <v>14967</v>
      </c>
      <c r="F54" s="510">
        <v>14967</v>
      </c>
      <c r="G54" s="473">
        <f t="shared" si="3"/>
        <v>0</v>
      </c>
      <c r="H54" s="460">
        <f>G54+'1'!H54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179</v>
      </c>
      <c r="B55" s="601"/>
      <c r="C55" s="601"/>
      <c r="D55" s="523" t="s">
        <v>130</v>
      </c>
      <c r="E55" s="455">
        <f>'1'!F55</f>
        <v>121192.26</v>
      </c>
      <c r="F55" s="1032">
        <v>124986.44</v>
      </c>
      <c r="G55" s="473">
        <f t="shared" si="3"/>
        <v>3794.1800000000076</v>
      </c>
      <c r="H55" s="460">
        <f>G55+'1'!H55</f>
        <v>7350.4400000000023</v>
      </c>
      <c r="I55" s="455"/>
      <c r="J55" s="552">
        <f>H55/DAY(B2)</f>
        <v>3675.2200000000012</v>
      </c>
      <c r="K55" s="428"/>
      <c r="L55" s="377"/>
      <c r="O55" s="382"/>
    </row>
    <row r="56" spans="1:15">
      <c r="A56" s="578" t="s">
        <v>180</v>
      </c>
      <c r="B56" s="601"/>
      <c r="C56" s="601"/>
      <c r="D56" s="523" t="s">
        <v>181</v>
      </c>
      <c r="E56" s="455">
        <f>'1'!F56</f>
        <v>649043.47</v>
      </c>
      <c r="F56" s="1032">
        <v>649053.51</v>
      </c>
      <c r="G56" s="473">
        <f t="shared" si="3"/>
        <v>10.040000000037253</v>
      </c>
      <c r="H56" s="460">
        <f>G56+'1'!H56</f>
        <v>21.510000000009313</v>
      </c>
      <c r="I56" s="455"/>
      <c r="J56" s="552">
        <f>H56/DAY(B2)</f>
        <v>10.755000000004657</v>
      </c>
      <c r="K56" s="427"/>
      <c r="L56" s="377"/>
      <c r="O56" s="382"/>
    </row>
    <row r="57" spans="1:15">
      <c r="A57" s="578" t="s">
        <v>170</v>
      </c>
      <c r="B57" s="601"/>
      <c r="C57" s="601"/>
      <c r="D57" s="523" t="s">
        <v>130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182</v>
      </c>
      <c r="B58" s="601"/>
      <c r="C58" s="601"/>
      <c r="D58" s="523" t="s">
        <v>130</v>
      </c>
      <c r="E58" s="455">
        <f>'1'!F58</f>
        <v>54200.2</v>
      </c>
      <c r="F58" s="653">
        <v>54200.91</v>
      </c>
      <c r="G58" s="473">
        <f t="shared" si="3"/>
        <v>0.71000000000640284</v>
      </c>
      <c r="H58" s="460">
        <f>G58+'1'!H58</f>
        <v>214.91000000000349</v>
      </c>
      <c r="I58" s="455"/>
      <c r="J58" s="552">
        <f>H58/DAY(B2)</f>
        <v>107.45500000000175</v>
      </c>
      <c r="K58" s="428"/>
      <c r="L58" s="377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4852.8500000000931</v>
      </c>
      <c r="H59" s="460">
        <f>G59+'1'!H59</f>
        <v>10063.720000000059</v>
      </c>
      <c r="I59" s="455">
        <f>G7-G60</f>
        <v>25.309999999997672</v>
      </c>
      <c r="J59" s="552">
        <f>H59/DAY(B2)</f>
        <v>5031.8600000000297</v>
      </c>
      <c r="K59" s="428"/>
      <c r="L59" s="377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481">
        <f>G47+G59</f>
        <v>20904.690000000002</v>
      </c>
      <c r="H60" s="460">
        <f>G60+'1'!H60</f>
        <v>44966.459999999934</v>
      </c>
      <c r="I60" s="455">
        <f>G13-G60</f>
        <v>-638.69000000000233</v>
      </c>
      <c r="J60" s="552">
        <f>H60/DAY(B2)</f>
        <v>22483.229999999967</v>
      </c>
      <c r="K60" s="428"/>
      <c r="L60" s="377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185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186</v>
      </c>
      <c r="B63" s="604"/>
      <c r="C63" s="604"/>
      <c r="D63" s="511" t="s">
        <v>185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55">
        <f>'1'!F64</f>
        <v>170394.89</v>
      </c>
      <c r="F64" s="478">
        <v>170770.31</v>
      </c>
      <c r="G64" s="473">
        <f t="shared" si="4"/>
        <v>375.4199999999837</v>
      </c>
      <c r="H64" s="460">
        <f>G64+'1'!H64</f>
        <v>748.30999999999767</v>
      </c>
      <c r="I64" s="480"/>
      <c r="J64" s="552">
        <f>H64/DAY(B2)</f>
        <v>374.15499999999884</v>
      </c>
      <c r="K64" s="428"/>
      <c r="L64" s="377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55">
        <f>'1'!F65</f>
        <v>170733.97</v>
      </c>
      <c r="F65" s="651">
        <v>171158.21</v>
      </c>
      <c r="G65" s="473">
        <f t="shared" si="4"/>
        <v>424.23999999999069</v>
      </c>
      <c r="H65" s="460">
        <f>G65+'1'!H65</f>
        <v>856.20999999999185</v>
      </c>
      <c r="I65" s="489"/>
      <c r="J65" s="552">
        <f>H65/DAY(B2)</f>
        <v>428.10499999999593</v>
      </c>
      <c r="K65" s="428"/>
      <c r="L65" s="377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55">
        <f>'1'!F66</f>
        <v>68403.92</v>
      </c>
      <c r="F66" s="478">
        <v>68828.11</v>
      </c>
      <c r="G66" s="473">
        <f t="shared" si="4"/>
        <v>424.19000000000233</v>
      </c>
      <c r="H66" s="460">
        <f>G66+'1'!H66</f>
        <v>858.11000000000058</v>
      </c>
      <c r="I66" s="480"/>
      <c r="J66" s="552">
        <f>H66/DAY(B2)</f>
        <v>429.05500000000029</v>
      </c>
      <c r="K66" s="428"/>
      <c r="L66" s="377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55">
        <f>'1'!F67</f>
        <v>265431.40999999997</v>
      </c>
      <c r="F67" s="478">
        <v>265932.03000000003</v>
      </c>
      <c r="G67" s="473">
        <f t="shared" si="4"/>
        <v>500.62000000005355</v>
      </c>
      <c r="H67" s="460">
        <f>G67+'1'!H67</f>
        <v>973.03000000002794</v>
      </c>
      <c r="I67" s="489"/>
      <c r="J67" s="552">
        <f>H67/DAY(B2)</f>
        <v>486.51500000001397</v>
      </c>
      <c r="K67" s="429"/>
      <c r="L67" s="377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55">
        <f>'1'!F69</f>
        <v>87751.62</v>
      </c>
      <c r="F69" s="478">
        <v>87993.33</v>
      </c>
      <c r="G69" s="473">
        <f t="shared" si="4"/>
        <v>241.7100000000064</v>
      </c>
      <c r="H69" s="460">
        <f>G69+'1'!H69</f>
        <v>478.33000000000175</v>
      </c>
      <c r="I69" s="516"/>
      <c r="J69" s="552">
        <f>H69/DAY(B2)</f>
        <v>239.16500000000087</v>
      </c>
      <c r="K69" s="431"/>
      <c r="L69" s="377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455">
        <f>'1'!F72</f>
        <v>856231</v>
      </c>
      <c r="F72" s="654">
        <v>856244</v>
      </c>
      <c r="G72" s="473">
        <f t="shared" ref="G72:G84" si="5">F72-E72</f>
        <v>13</v>
      </c>
      <c r="H72" s="460">
        <f>G72+'1'!H72</f>
        <v>22</v>
      </c>
      <c r="I72" s="480"/>
      <c r="J72" s="552">
        <f>H72/DAY(B2)</f>
        <v>11</v>
      </c>
      <c r="K72" s="431"/>
      <c r="L72" s="377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455">
        <f>'1'!F73</f>
        <v>885974</v>
      </c>
      <c r="F73" s="655">
        <v>885975</v>
      </c>
      <c r="G73" s="652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43" t="s">
        <v>191</v>
      </c>
      <c r="B74" s="1544"/>
      <c r="C74" s="1545"/>
      <c r="D74" s="523" t="s">
        <v>185</v>
      </c>
      <c r="E74" s="455">
        <f>'1'!F74</f>
        <v>88697.7</v>
      </c>
      <c r="F74" s="654">
        <v>88698.7</v>
      </c>
      <c r="G74" s="473">
        <f t="shared" si="5"/>
        <v>1</v>
      </c>
      <c r="H74" s="460">
        <f>G74+'1'!H74</f>
        <v>2.6999999999970896</v>
      </c>
      <c r="I74" s="480"/>
      <c r="J74" s="552">
        <f>H74/DAY(B2)</f>
        <v>1.3499999999985448</v>
      </c>
      <c r="K74" s="431"/>
      <c r="L74" s="377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455">
        <f>'1'!F75</f>
        <v>16214.18</v>
      </c>
      <c r="F75" s="656">
        <v>16367.14</v>
      </c>
      <c r="G75" s="473">
        <f t="shared" si="5"/>
        <v>152.95999999999913</v>
      </c>
      <c r="H75" s="460">
        <f>G75+'1'!H75</f>
        <v>296.13999999999942</v>
      </c>
      <c r="I75" s="480"/>
      <c r="J75" s="552">
        <f>H75/DAY(B2)</f>
        <v>148.06999999999971</v>
      </c>
      <c r="K75" s="430"/>
      <c r="L75" s="377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455">
        <f>'1'!F76</f>
        <v>9405.3799999999992</v>
      </c>
      <c r="F76" s="655">
        <v>9467.86</v>
      </c>
      <c r="G76" s="473">
        <f t="shared" si="5"/>
        <v>62.480000000001382</v>
      </c>
      <c r="H76" s="460">
        <f>G76+'1'!H76</f>
        <v>131.86000000000058</v>
      </c>
      <c r="I76" s="505"/>
      <c r="J76" s="552">
        <f>H76/DAY(B2)</f>
        <v>65.930000000000291</v>
      </c>
      <c r="K76" s="430"/>
      <c r="L76" s="377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455">
        <f>'1'!F77</f>
        <v>704427</v>
      </c>
      <c r="F77" s="655">
        <v>704485</v>
      </c>
      <c r="G77" s="652">
        <f t="shared" si="5"/>
        <v>58</v>
      </c>
      <c r="H77" s="460">
        <f>G77+'1'!H77</f>
        <v>111</v>
      </c>
      <c r="I77" s="505"/>
      <c r="J77" s="552">
        <f>H77/DAY(B2)</f>
        <v>55.5</v>
      </c>
      <c r="K77" s="430"/>
      <c r="L77" s="377"/>
      <c r="O77" s="382"/>
    </row>
    <row r="78" spans="1:15" ht="27.75">
      <c r="A78" s="1303" t="s">
        <v>195</v>
      </c>
      <c r="B78" s="1296"/>
      <c r="C78" s="1296"/>
      <c r="D78" s="523" t="s">
        <v>185</v>
      </c>
      <c r="E78" s="455">
        <f>'1'!F78</f>
        <v>675528</v>
      </c>
      <c r="F78" s="656">
        <v>675660</v>
      </c>
      <c r="G78" s="473">
        <f t="shared" si="5"/>
        <v>132</v>
      </c>
      <c r="H78" s="460">
        <f>G78+'1'!H78</f>
        <v>246</v>
      </c>
      <c r="I78" s="505"/>
      <c r="J78" s="552">
        <f>H78/DAY(B2)</f>
        <v>123</v>
      </c>
      <c r="K78" s="430"/>
      <c r="L78" s="377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455">
        <f>'1'!F79</f>
        <v>835569</v>
      </c>
      <c r="F79" s="656">
        <v>835834</v>
      </c>
      <c r="G79" s="473">
        <f t="shared" si="5"/>
        <v>265</v>
      </c>
      <c r="H79" s="460">
        <f>G79+'1'!H79</f>
        <v>418</v>
      </c>
      <c r="I79" s="505"/>
      <c r="J79" s="552">
        <f>H79/DAY(B2)</f>
        <v>209</v>
      </c>
      <c r="K79" s="430"/>
      <c r="L79" s="377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455">
        <f>'1'!F80</f>
        <v>539422.92000000004</v>
      </c>
      <c r="F80" s="655">
        <v>539839.96</v>
      </c>
      <c r="G80" s="473">
        <f t="shared" si="5"/>
        <v>417.03999999992084</v>
      </c>
      <c r="H80" s="460">
        <f>G80+'1'!H80</f>
        <v>826.95999999996275</v>
      </c>
      <c r="I80" s="505"/>
      <c r="J80" s="552">
        <f>H80/DAY(B2)</f>
        <v>413.47999999998137</v>
      </c>
      <c r="K80" s="430"/>
      <c r="L80" s="377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455">
        <f>'1'!F81</f>
        <v>643116.64</v>
      </c>
      <c r="F81" s="655">
        <v>643288.92000000004</v>
      </c>
      <c r="G81" s="473">
        <f t="shared" si="5"/>
        <v>172.28000000002794</v>
      </c>
      <c r="H81" s="460">
        <f>G81+'1'!H81</f>
        <v>303.92000000004191</v>
      </c>
      <c r="I81" s="505"/>
      <c r="J81" s="552">
        <f>H81/DAY(B2)</f>
        <v>151.96000000002095</v>
      </c>
      <c r="K81" s="430"/>
      <c r="L81" s="377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455">
        <f>'1'!F82</f>
        <v>108705.9</v>
      </c>
      <c r="F82" s="651">
        <v>108718.28</v>
      </c>
      <c r="G82" s="473">
        <f t="shared" si="5"/>
        <v>12.380000000004657</v>
      </c>
      <c r="H82" s="460">
        <f>G82+'1'!H82</f>
        <v>37.279999999998836</v>
      </c>
      <c r="I82" s="486"/>
      <c r="J82" s="552">
        <f>H82/DAY(B2)</f>
        <v>18.639999999999418</v>
      </c>
      <c r="K82" s="430"/>
      <c r="L82" s="377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455">
        <f>'1'!F83</f>
        <v>27902</v>
      </c>
      <c r="F83" s="511">
        <v>28179</v>
      </c>
      <c r="G83" s="473">
        <f t="shared" si="5"/>
        <v>277</v>
      </c>
      <c r="H83" s="460">
        <f>G83+'1'!H83</f>
        <v>628</v>
      </c>
      <c r="I83" s="481"/>
      <c r="J83" s="552">
        <f>H83/DAY(B2)</f>
        <v>314</v>
      </c>
      <c r="K83" s="429"/>
      <c r="L83" s="377"/>
      <c r="O83" s="382"/>
    </row>
    <row r="84" spans="1:15">
      <c r="A84" s="1304" t="s">
        <v>199</v>
      </c>
      <c r="B84" s="571"/>
      <c r="C84" s="571"/>
      <c r="D84" s="478" t="s">
        <v>130</v>
      </c>
      <c r="E84" s="455">
        <f>'1'!F84</f>
        <v>523896</v>
      </c>
      <c r="F84" s="627">
        <v>524742</v>
      </c>
      <c r="G84" s="473">
        <f t="shared" si="5"/>
        <v>846</v>
      </c>
      <c r="H84" s="460">
        <f>G84+'1'!H84</f>
        <v>1662</v>
      </c>
      <c r="I84" s="481"/>
      <c r="J84" s="552">
        <f>H84/DAY(B2)</f>
        <v>831</v>
      </c>
      <c r="K84" s="380"/>
      <c r="L84" s="377"/>
      <c r="O84" s="382"/>
    </row>
    <row r="85" spans="1:15" s="379" customFormat="1">
      <c r="A85" s="605" t="s">
        <v>200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2410.1399999999539</v>
      </c>
      <c r="H85" s="460">
        <f>G85+'1'!H85</f>
        <v>4688.8600000000006</v>
      </c>
      <c r="I85" s="481"/>
      <c r="J85" s="552">
        <f>H85/DAY(B2)</f>
        <v>2344.4300000000003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181</v>
      </c>
      <c r="E86" s="455">
        <f>'1'!F86</f>
        <v>461843.88</v>
      </c>
      <c r="F86" s="647">
        <v>461860.6</v>
      </c>
      <c r="G86" s="705">
        <f t="shared" ref="G86:G91" si="6">F86-E86</f>
        <v>16.71999999997206</v>
      </c>
      <c r="H86" s="460">
        <f>G86+'1'!H86</f>
        <v>39.599999999976717</v>
      </c>
      <c r="I86" s="652"/>
      <c r="J86" s="707">
        <f>H86/DAY(B2)</f>
        <v>19.799999999988358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455">
        <f>'1'!F87</f>
        <v>82106.3</v>
      </c>
      <c r="F87" s="647">
        <v>82142.8</v>
      </c>
      <c r="G87" s="705">
        <f t="shared" si="6"/>
        <v>36.5</v>
      </c>
      <c r="H87" s="460">
        <f>G87+'1'!H87</f>
        <v>69.80000000000291</v>
      </c>
      <c r="I87" s="652"/>
      <c r="J87" s="707">
        <f>H87/DAY(B2)</f>
        <v>34.900000000001455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455">
        <f>'1'!F88</f>
        <v>155460.06</v>
      </c>
      <c r="F88" s="647">
        <v>155623.73000000001</v>
      </c>
      <c r="G88" s="705">
        <f t="shared" si="6"/>
        <v>163.67000000001281</v>
      </c>
      <c r="H88" s="460">
        <f>G88+'1'!H88</f>
        <v>300.73000000001048</v>
      </c>
      <c r="I88" s="652"/>
      <c r="J88" s="707">
        <f>H88/DAY(B2)</f>
        <v>150.36500000000524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455">
        <f>'1'!F89</f>
        <v>65880.399999999994</v>
      </c>
      <c r="F89" s="647">
        <v>65912.3</v>
      </c>
      <c r="G89" s="705">
        <f t="shared" si="6"/>
        <v>31.900000000008731</v>
      </c>
      <c r="H89" s="460">
        <f>G89+'1'!H89</f>
        <v>66.30000000000291</v>
      </c>
      <c r="I89" s="652"/>
      <c r="J89" s="707">
        <f>H89/DAY(B2)</f>
        <v>33.150000000001455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455">
        <f>'1'!F90</f>
        <v>3349.4</v>
      </c>
      <c r="F90" s="647">
        <v>3353.2</v>
      </c>
      <c r="G90" s="705">
        <f t="shared" si="6"/>
        <v>3.7999999999997272</v>
      </c>
      <c r="H90" s="460">
        <f>G90+'1'!H90</f>
        <v>9.1999999999998181</v>
      </c>
      <c r="I90" s="652"/>
      <c r="J90" s="707">
        <f>H90/DAY(B2)</f>
        <v>4.5999999999999091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455">
        <f>'1'!F91</f>
        <v>28259.024000000001</v>
      </c>
      <c r="F91" s="647">
        <v>28268.144</v>
      </c>
      <c r="G91" s="705">
        <f t="shared" si="6"/>
        <v>9.1199999999989814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306"/>
      <c r="C92" s="1306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55">
        <f>'1'!F93</f>
        <v>247441</v>
      </c>
      <c r="F93" s="478">
        <v>247529</v>
      </c>
      <c r="G93" s="473">
        <f t="shared" ref="G93:G94" si="7">F93-E93</f>
        <v>88</v>
      </c>
      <c r="H93" s="460">
        <f>G93+'1'!H93</f>
        <v>177</v>
      </c>
      <c r="I93" s="480"/>
      <c r="J93" s="552">
        <f>H93/DAY(B2)</f>
        <v>88.5</v>
      </c>
      <c r="K93" s="429"/>
      <c r="L93" s="377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55">
        <f>'1'!F94</f>
        <v>189551</v>
      </c>
      <c r="F94" s="478">
        <v>189673</v>
      </c>
      <c r="G94" s="473">
        <f t="shared" si="7"/>
        <v>122</v>
      </c>
      <c r="H94" s="460">
        <f>G94+'1'!H94</f>
        <v>219</v>
      </c>
      <c r="I94" s="480"/>
      <c r="J94" s="552">
        <f>H94/DAY(B2)</f>
        <v>109.5</v>
      </c>
      <c r="K94" s="380"/>
      <c r="L94" s="377"/>
      <c r="O94" s="382"/>
    </row>
    <row r="95" spans="1:15">
      <c r="A95" s="1594" t="s">
        <v>206</v>
      </c>
      <c r="B95" s="1595"/>
      <c r="C95" s="1596"/>
      <c r="D95" s="523"/>
      <c r="E95" s="455">
        <f>'1'!F95</f>
        <v>0</v>
      </c>
      <c r="F95" s="478"/>
      <c r="G95" s="473">
        <f>G93+G94</f>
        <v>210</v>
      </c>
      <c r="H95" s="460">
        <f>G95+'1'!H95</f>
        <v>210</v>
      </c>
      <c r="I95" s="480"/>
      <c r="J95" s="552">
        <f>H95/DAY(B2)</f>
        <v>105</v>
      </c>
      <c r="K95" s="380"/>
      <c r="L95" s="377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55">
        <f>'1'!F96</f>
        <v>416085</v>
      </c>
      <c r="F96" s="478">
        <v>416185</v>
      </c>
      <c r="G96" s="473">
        <f t="shared" ref="G96:G101" si="8">F96-E96</f>
        <v>100</v>
      </c>
      <c r="H96" s="460">
        <f>G96+'1'!H96</f>
        <v>186</v>
      </c>
      <c r="I96" s="480"/>
      <c r="J96" s="552">
        <f>H96/DAY(B2)</f>
        <v>93</v>
      </c>
      <c r="K96" s="380"/>
      <c r="L96" s="377"/>
      <c r="O96" s="382"/>
    </row>
    <row r="97" spans="1:15" ht="27.75">
      <c r="A97" s="1300" t="s">
        <v>208</v>
      </c>
      <c r="B97" s="1301"/>
      <c r="C97" s="1301"/>
      <c r="D97" s="523" t="s">
        <v>142</v>
      </c>
      <c r="E97" s="455">
        <f>'1'!F97</f>
        <v>103180</v>
      </c>
      <c r="F97" s="478">
        <v>103195</v>
      </c>
      <c r="G97" s="473">
        <f t="shared" si="8"/>
        <v>15</v>
      </c>
      <c r="H97" s="460">
        <f>G97+'1'!H97</f>
        <v>32</v>
      </c>
      <c r="I97" s="480"/>
      <c r="J97" s="552">
        <f>H97/DAY(B2)</f>
        <v>16</v>
      </c>
      <c r="K97" s="427"/>
      <c r="L97" s="377"/>
      <c r="O97" s="382"/>
    </row>
    <row r="98" spans="1:15" ht="27.75">
      <c r="A98" s="1300" t="s">
        <v>209</v>
      </c>
      <c r="B98" s="1301"/>
      <c r="C98" s="1301"/>
      <c r="D98" s="523" t="s">
        <v>142</v>
      </c>
      <c r="E98" s="455">
        <f>'1'!F98</f>
        <v>98675</v>
      </c>
      <c r="F98" s="478">
        <v>98694</v>
      </c>
      <c r="G98" s="473">
        <f t="shared" si="8"/>
        <v>19</v>
      </c>
      <c r="H98" s="460">
        <f>G98+'1'!H98</f>
        <v>37</v>
      </c>
      <c r="I98" s="480"/>
      <c r="J98" s="552">
        <f>H98/DAY(B2)</f>
        <v>18.5</v>
      </c>
      <c r="K98" s="432"/>
      <c r="L98" s="377"/>
      <c r="O98" s="382"/>
    </row>
    <row r="99" spans="1:15" ht="27.75">
      <c r="A99" s="1300" t="s">
        <v>210</v>
      </c>
      <c r="B99" s="1301"/>
      <c r="C99" s="1301"/>
      <c r="D99" s="523" t="s">
        <v>142</v>
      </c>
      <c r="E99" s="455">
        <f>'1'!F99</f>
        <v>150455</v>
      </c>
      <c r="F99" s="478">
        <v>150495</v>
      </c>
      <c r="G99" s="473">
        <f t="shared" si="8"/>
        <v>40</v>
      </c>
      <c r="H99" s="460">
        <f>G99+'1'!H99</f>
        <v>90</v>
      </c>
      <c r="I99" s="480"/>
      <c r="J99" s="552">
        <f>H99/DAY(B2)</f>
        <v>45</v>
      </c>
      <c r="K99" s="380"/>
      <c r="L99" s="377"/>
      <c r="O99" s="382"/>
    </row>
    <row r="100" spans="1:15" ht="27.75">
      <c r="A100" s="1300" t="s">
        <v>211</v>
      </c>
      <c r="B100" s="1301"/>
      <c r="C100" s="1301"/>
      <c r="D100" s="523" t="s">
        <v>142</v>
      </c>
      <c r="E100" s="455">
        <f>'1'!F100</f>
        <v>7802</v>
      </c>
      <c r="F100" s="478">
        <v>7808</v>
      </c>
      <c r="G100" s="473">
        <f t="shared" si="8"/>
        <v>6</v>
      </c>
      <c r="H100" s="460">
        <f>G100+'1'!H100</f>
        <v>11</v>
      </c>
      <c r="I100" s="480"/>
      <c r="J100" s="552">
        <f>H100/DAY(B2)</f>
        <v>5.5</v>
      </c>
      <c r="K100" s="380"/>
      <c r="L100" s="377"/>
      <c r="O100" s="382"/>
    </row>
    <row r="101" spans="1:15" ht="27.75">
      <c r="A101" s="1300" t="s">
        <v>212</v>
      </c>
      <c r="B101" s="1301"/>
      <c r="C101" s="1301"/>
      <c r="D101" s="523" t="s">
        <v>142</v>
      </c>
      <c r="E101" s="455">
        <f>'1'!F101</f>
        <v>5679</v>
      </c>
      <c r="F101" s="478">
        <v>5684</v>
      </c>
      <c r="G101" s="473">
        <f t="shared" si="8"/>
        <v>5</v>
      </c>
      <c r="H101" s="460">
        <f>G101+'1'!H101</f>
        <v>10</v>
      </c>
      <c r="I101" s="480"/>
      <c r="J101" s="552">
        <f>H101/DAY(B2)</f>
        <v>5</v>
      </c>
      <c r="K101" s="380"/>
      <c r="L101" s="377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525">
        <f>SUM(G96:G101)</f>
        <v>185</v>
      </c>
      <c r="H102" s="460">
        <f>G102+'1'!H102</f>
        <v>366</v>
      </c>
      <c r="I102" s="526"/>
      <c r="J102" s="552">
        <f>H102/DAY(B2)</f>
        <v>183</v>
      </c>
      <c r="K102" s="380"/>
      <c r="L102" s="377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658"/>
      <c r="G104" s="532"/>
      <c r="H104" s="533"/>
      <c r="I104" s="532"/>
      <c r="J104" s="558"/>
      <c r="O104" s="382"/>
    </row>
    <row r="105" spans="1:15" s="442" customFormat="1" ht="27.75">
      <c r="A105" s="1554" t="s">
        <v>217</v>
      </c>
      <c r="B105" s="1555"/>
      <c r="C105" s="1298"/>
      <c r="D105" s="622" t="s">
        <v>142</v>
      </c>
      <c r="E105" s="1503">
        <f>'1'!F105</f>
        <v>7637</v>
      </c>
      <c r="F105" s="1310">
        <v>7697</v>
      </c>
      <c r="G105" s="532">
        <f>F105-E105</f>
        <v>60</v>
      </c>
      <c r="H105" s="460">
        <f>G105+'1'!H105</f>
        <v>60</v>
      </c>
      <c r="I105" s="532"/>
      <c r="J105" s="558">
        <f>H105/DAY(B2)</f>
        <v>30</v>
      </c>
      <c r="O105" s="382"/>
    </row>
    <row r="106" spans="1:15" s="442" customFormat="1" ht="27.75">
      <c r="A106" s="1554" t="s">
        <v>76</v>
      </c>
      <c r="B106" s="1555"/>
      <c r="C106" s="1298"/>
      <c r="D106" s="622" t="s">
        <v>142</v>
      </c>
      <c r="E106" s="455">
        <f>'1'!F106</f>
        <v>36174</v>
      </c>
      <c r="F106" s="659">
        <v>36174</v>
      </c>
      <c r="G106" s="532">
        <f t="shared" ref="G106:G107" si="9">F106-E106</f>
        <v>0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455">
        <f>'1'!F107</f>
        <v>19827</v>
      </c>
      <c r="F107" s="658">
        <v>19827</v>
      </c>
      <c r="G107" s="532">
        <f t="shared" si="9"/>
        <v>0</v>
      </c>
      <c r="H107" s="460">
        <f>G107+'1'!H107</f>
        <v>5</v>
      </c>
      <c r="I107" s="532"/>
      <c r="J107" s="558">
        <f>H107/DAY(B2)</f>
        <v>2.5</v>
      </c>
      <c r="O107" s="382"/>
    </row>
    <row r="108" spans="1:15" s="442" customFormat="1" ht="27.75">
      <c r="A108" s="1556" t="s">
        <v>200</v>
      </c>
      <c r="B108" s="1557"/>
      <c r="C108" s="1298"/>
      <c r="D108" s="622"/>
      <c r="E108" s="532"/>
      <c r="F108" s="658"/>
      <c r="G108" s="532">
        <f>SUM(G105:G107)</f>
        <v>60</v>
      </c>
      <c r="H108" s="460">
        <f>G108+'1'!H108</f>
        <v>77</v>
      </c>
      <c r="I108" s="532"/>
      <c r="J108" s="558">
        <f>H108/DAY(B2)</f>
        <v>38.5</v>
      </c>
      <c r="O108" s="382"/>
    </row>
    <row r="109" spans="1:15" s="442" customFormat="1" ht="27.75">
      <c r="A109" s="1560" t="s">
        <v>78</v>
      </c>
      <c r="B109" s="1561"/>
      <c r="C109" s="1298"/>
      <c r="D109" s="622" t="s">
        <v>142</v>
      </c>
      <c r="E109" s="532"/>
      <c r="F109" s="658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54" t="s">
        <v>218</v>
      </c>
      <c r="B110" s="1555"/>
      <c r="C110" s="1298"/>
      <c r="D110" s="622" t="s">
        <v>142</v>
      </c>
      <c r="E110" s="455">
        <f>'1'!F110</f>
        <v>64941</v>
      </c>
      <c r="F110" s="658">
        <v>65005</v>
      </c>
      <c r="G110" s="532">
        <f>F110-E110</f>
        <v>64</v>
      </c>
      <c r="H110" s="460">
        <f>G110+'1'!H110</f>
        <v>162</v>
      </c>
      <c r="I110" s="532"/>
      <c r="J110" s="558">
        <f>H110/DAY(B2)</f>
        <v>81</v>
      </c>
      <c r="O110" s="382"/>
    </row>
    <row r="111" spans="1:15" s="442" customFormat="1" ht="27.75">
      <c r="A111" s="1554" t="s">
        <v>219</v>
      </c>
      <c r="B111" s="1555"/>
      <c r="C111" s="1298"/>
      <c r="D111" s="622" t="s">
        <v>142</v>
      </c>
      <c r="E111" s="455">
        <f>'1'!F111</f>
        <v>33169</v>
      </c>
      <c r="F111" s="658">
        <v>33252</v>
      </c>
      <c r="G111" s="532">
        <f t="shared" ref="G111:G112" si="10">F111-E111</f>
        <v>83</v>
      </c>
      <c r="H111" s="460">
        <f>G111+'1'!H111</f>
        <v>123</v>
      </c>
      <c r="I111" s="532"/>
      <c r="J111" s="558">
        <f>H111/DAY(B2)</f>
        <v>61.5</v>
      </c>
      <c r="O111" s="382"/>
    </row>
    <row r="112" spans="1:15" s="442" customFormat="1" ht="27.75">
      <c r="A112" s="1554" t="s">
        <v>220</v>
      </c>
      <c r="B112" s="1555"/>
      <c r="C112" s="1298"/>
      <c r="D112" s="622" t="s">
        <v>142</v>
      </c>
      <c r="E112" s="455">
        <f>'1'!F112</f>
        <v>4621</v>
      </c>
      <c r="F112" s="658">
        <v>4621</v>
      </c>
      <c r="G112" s="532">
        <f t="shared" si="10"/>
        <v>0</v>
      </c>
      <c r="H112" s="460">
        <f>G112+'1'!H112</f>
        <v>0</v>
      </c>
      <c r="I112" s="532"/>
      <c r="J112" s="558">
        <f>H112/DAY(B2)</f>
        <v>0</v>
      </c>
      <c r="O112" s="382"/>
    </row>
    <row r="113" spans="1:15" s="442" customFormat="1" ht="27.75">
      <c r="A113" s="1558" t="s">
        <v>109</v>
      </c>
      <c r="B113" s="1559"/>
      <c r="C113" s="1298"/>
      <c r="D113" s="622"/>
      <c r="E113" s="532"/>
      <c r="F113" s="658"/>
      <c r="G113" s="532">
        <f>SUM(G110:G112)</f>
        <v>147</v>
      </c>
      <c r="H113" s="460">
        <f>G113+'1'!H113</f>
        <v>285</v>
      </c>
      <c r="I113" s="532"/>
      <c r="J113" s="558">
        <f>H113/DAY(B2)</f>
        <v>142.5</v>
      </c>
      <c r="O113" s="382"/>
    </row>
    <row r="114" spans="1:15" s="442" customFormat="1" ht="27.75">
      <c r="A114" s="1560" t="s">
        <v>221</v>
      </c>
      <c r="B114" s="1561"/>
      <c r="C114" s="1298"/>
      <c r="D114" s="622"/>
      <c r="E114" s="532"/>
      <c r="F114" s="658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455">
        <f>'1'!F115</f>
        <v>12019</v>
      </c>
      <c r="F115" s="659">
        <v>12027</v>
      </c>
      <c r="G115" s="534">
        <f>F115-E115</f>
        <v>8</v>
      </c>
      <c r="H115" s="460">
        <f>G115+'1'!H115</f>
        <v>14</v>
      </c>
      <c r="I115" s="532"/>
      <c r="J115" s="558">
        <f>H115/DAY(B2)</f>
        <v>7</v>
      </c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455">
        <f>'1'!F116</f>
        <v>8561</v>
      </c>
      <c r="F116" s="659">
        <v>8566</v>
      </c>
      <c r="G116" s="534">
        <f t="shared" ref="G116:G117" si="11">F116-E116</f>
        <v>5</v>
      </c>
      <c r="H116" s="460">
        <f>G116+'1'!H116</f>
        <v>11</v>
      </c>
      <c r="I116" s="532"/>
      <c r="J116" s="558">
        <f>H116/DAY(B2)</f>
        <v>5.5</v>
      </c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13</v>
      </c>
      <c r="H118" s="460">
        <f>G118+'1'!H118</f>
        <v>25</v>
      </c>
      <c r="I118" s="534"/>
      <c r="J118" s="558">
        <f>H118/DAY(B2)</f>
        <v>12.5</v>
      </c>
      <c r="O118" s="382"/>
    </row>
    <row r="119" spans="1:15" s="446" customFormat="1" ht="27.75">
      <c r="A119" s="1550" t="s">
        <v>225</v>
      </c>
      <c r="B119" s="1551"/>
      <c r="C119" s="1297"/>
      <c r="D119" s="624" t="s">
        <v>142</v>
      </c>
      <c r="E119" s="536"/>
      <c r="F119" s="660">
        <f>SUM(G19+G93)</f>
        <v>150</v>
      </c>
      <c r="G119" s="536">
        <f>SUM(G19+G93)</f>
        <v>150</v>
      </c>
      <c r="H119" s="460">
        <f>G119+'1'!H119</f>
        <v>303</v>
      </c>
      <c r="I119" s="535"/>
      <c r="J119" s="559">
        <f>H119/DAY(B2)</f>
        <v>151.5</v>
      </c>
      <c r="O119" s="382"/>
    </row>
    <row r="120" spans="1:15" s="446" customFormat="1" ht="27.75">
      <c r="A120" s="1550" t="s">
        <v>226</v>
      </c>
      <c r="B120" s="1551"/>
      <c r="C120" s="1297"/>
      <c r="D120" s="624" t="s">
        <v>142</v>
      </c>
      <c r="E120" s="536"/>
      <c r="F120" s="660">
        <f>SUM(G96,G97,G98,G100,G101)</f>
        <v>145</v>
      </c>
      <c r="G120" s="536">
        <f>SUM(G96,G97,G98,G100,G101)</f>
        <v>145</v>
      </c>
      <c r="H120" s="460">
        <f>G120+'1'!H120</f>
        <v>276</v>
      </c>
      <c r="I120" s="535"/>
      <c r="J120" s="559">
        <f>H120/DAY(B2)</f>
        <v>138</v>
      </c>
      <c r="O120" s="382"/>
    </row>
    <row r="121" spans="1:15" s="446" customFormat="1" ht="27.75">
      <c r="A121" s="1550" t="s">
        <v>227</v>
      </c>
      <c r="B121" s="1551"/>
      <c r="C121" s="1297"/>
      <c r="D121" s="624" t="s">
        <v>142</v>
      </c>
      <c r="E121" s="534"/>
      <c r="F121" s="659">
        <f>SUM(G113)</f>
        <v>147</v>
      </c>
      <c r="G121" s="534">
        <f>SUM(G113)</f>
        <v>147</v>
      </c>
      <c r="H121" s="460">
        <f>G121+'1'!H121</f>
        <v>285</v>
      </c>
      <c r="I121" s="535"/>
      <c r="J121" s="559">
        <f>H121/DAY(B2)</f>
        <v>142.5</v>
      </c>
      <c r="O121" s="382"/>
    </row>
    <row r="122" spans="1:15" s="442" customFormat="1" ht="27.75">
      <c r="A122" s="1552"/>
      <c r="B122" s="1553"/>
      <c r="C122" s="1298"/>
      <c r="D122" s="560"/>
      <c r="E122" s="560"/>
      <c r="F122" s="661" t="s">
        <v>213</v>
      </c>
      <c r="G122" s="560"/>
      <c r="H122" s="561"/>
      <c r="I122" s="560"/>
      <c r="J122" s="562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0" t="s">
        <v>229</v>
      </c>
      <c r="B124" s="1301"/>
      <c r="C124" s="1301"/>
      <c r="D124" s="523" t="s">
        <v>139</v>
      </c>
      <c r="E124" s="455">
        <f>'1'!F124</f>
        <v>839939.55</v>
      </c>
      <c r="F124" s="478">
        <v>840198.75</v>
      </c>
      <c r="G124" s="473">
        <f t="shared" ref="G124:G128" si="12">F124-E124</f>
        <v>259.19999999995343</v>
      </c>
      <c r="H124" s="460">
        <f>G124+'1'!H124</f>
        <v>528.75</v>
      </c>
      <c r="I124" s="526"/>
      <c r="J124" s="552">
        <f>H124/DAY(B2)</f>
        <v>264.375</v>
      </c>
      <c r="K124" s="380"/>
      <c r="L124" s="377"/>
      <c r="O124" s="382"/>
    </row>
    <row r="125" spans="1:15" ht="27.75">
      <c r="A125" s="1300" t="s">
        <v>230</v>
      </c>
      <c r="B125" s="1301"/>
      <c r="C125" s="1301"/>
      <c r="D125" s="523" t="s">
        <v>139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55">
        <f>'1'!F126</f>
        <v>148692.69</v>
      </c>
      <c r="F126" s="478">
        <v>148791.42000000001</v>
      </c>
      <c r="G126" s="473">
        <f t="shared" si="12"/>
        <v>98.730000000010477</v>
      </c>
      <c r="H126" s="460">
        <f>G126+'1'!H126</f>
        <v>194.42000000001281</v>
      </c>
      <c r="I126" s="526"/>
      <c r="J126" s="552">
        <f>H126/DAY(B2)</f>
        <v>97.210000000006403</v>
      </c>
      <c r="K126" s="380"/>
      <c r="L126" s="377"/>
      <c r="O126" s="382"/>
    </row>
    <row r="127" spans="1:15" ht="27.75">
      <c r="A127" s="609" t="s">
        <v>232</v>
      </c>
      <c r="B127" s="1301"/>
      <c r="C127" s="1301"/>
      <c r="D127" s="523" t="s">
        <v>139</v>
      </c>
      <c r="E127" s="455">
        <f>'1'!F127</f>
        <v>32104.2</v>
      </c>
      <c r="F127" s="626">
        <v>32140.5</v>
      </c>
      <c r="G127" s="473">
        <f t="shared" si="12"/>
        <v>36.299999999999272</v>
      </c>
      <c r="H127" s="460">
        <f>G127+'1'!H127</f>
        <v>69.5</v>
      </c>
      <c r="I127" s="526"/>
      <c r="J127" s="552">
        <f>H127/DAY(B2)</f>
        <v>34.75</v>
      </c>
      <c r="K127" s="380"/>
      <c r="L127" s="377"/>
      <c r="O127" s="382"/>
    </row>
    <row r="128" spans="1:15" ht="27.75">
      <c r="A128" s="609" t="s">
        <v>233</v>
      </c>
      <c r="B128" s="1301"/>
      <c r="C128" s="1301"/>
      <c r="D128" s="523" t="s">
        <v>139</v>
      </c>
      <c r="E128" s="455">
        <f>'1'!F128</f>
        <v>9016.2999999999993</v>
      </c>
      <c r="F128" s="626">
        <v>9018.9</v>
      </c>
      <c r="G128" s="473">
        <f t="shared" si="12"/>
        <v>2.6000000000003638</v>
      </c>
      <c r="H128" s="460">
        <f>G128+'1'!H128</f>
        <v>6.8999999999996362</v>
      </c>
      <c r="I128" s="480"/>
      <c r="J128" s="552">
        <f>H128/DAY(B2)</f>
        <v>3.4499999999998181</v>
      </c>
      <c r="K128" s="380"/>
      <c r="L128" s="377"/>
      <c r="O128" s="382"/>
    </row>
    <row r="129" spans="1:15" s="281" customFormat="1" ht="27.75">
      <c r="A129" s="609" t="s">
        <v>234</v>
      </c>
      <c r="B129" s="1301"/>
      <c r="C129" s="1301"/>
      <c r="D129" s="523"/>
      <c r="E129" s="478"/>
      <c r="F129" s="478"/>
      <c r="G129" s="473">
        <f>G15-SUM(G124:G128)</f>
        <v>114.04400000010537</v>
      </c>
      <c r="H129" s="460">
        <f>G129+'1'!H129</f>
        <v>629.68200000008255</v>
      </c>
      <c r="I129" s="480"/>
      <c r="J129" s="552">
        <f>H129/DAY(B2)</f>
        <v>314.84100000004128</v>
      </c>
      <c r="K129" s="364"/>
      <c r="L129" s="292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0" t="s">
        <v>236</v>
      </c>
      <c r="B131" s="1301"/>
      <c r="C131" s="1301"/>
      <c r="D131" s="523" t="s">
        <v>237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0" t="s">
        <v>238</v>
      </c>
      <c r="B132" s="1301"/>
      <c r="C132" s="1301"/>
      <c r="D132" s="523" t="s">
        <v>237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0" t="s">
        <v>239</v>
      </c>
      <c r="B133" s="1301"/>
      <c r="C133" s="1301"/>
      <c r="D133" s="523" t="s">
        <v>237</v>
      </c>
      <c r="E133" s="455">
        <f>'1'!F133</f>
        <v>40471.01</v>
      </c>
      <c r="F133" s="651">
        <v>40482.29</v>
      </c>
      <c r="G133" s="473">
        <f t="shared" si="13"/>
        <v>11.279999999998836</v>
      </c>
      <c r="H133" s="460">
        <f>G133+'1'!H133</f>
        <v>29.290000000000873</v>
      </c>
      <c r="I133" s="480"/>
      <c r="J133" s="552">
        <f>H133/DAY(B2)</f>
        <v>14.645000000000437</v>
      </c>
      <c r="O133" s="382"/>
    </row>
    <row r="134" spans="1:15" ht="27.75">
      <c r="A134" s="1300" t="s">
        <v>240</v>
      </c>
      <c r="B134" s="1301"/>
      <c r="C134" s="1301"/>
      <c r="D134" s="523" t="s">
        <v>237</v>
      </c>
      <c r="E134" s="455">
        <f>'1'!F134</f>
        <v>300</v>
      </c>
      <c r="F134" s="651">
        <v>300</v>
      </c>
      <c r="G134" s="473">
        <f t="shared" si="13"/>
        <v>0</v>
      </c>
      <c r="H134" s="460">
        <f>G134+'1'!H134</f>
        <v>0</v>
      </c>
      <c r="I134" s="480">
        <f>G133+G134+G135+G136</f>
        <v>28.110000000000582</v>
      </c>
      <c r="J134" s="552">
        <f>H134/DAY(B2)</f>
        <v>0</v>
      </c>
      <c r="O134" s="382"/>
    </row>
    <row r="135" spans="1:15" ht="27.75">
      <c r="A135" s="1300" t="s">
        <v>241</v>
      </c>
      <c r="B135" s="1301"/>
      <c r="C135" s="1301"/>
      <c r="D135" s="523" t="s">
        <v>237</v>
      </c>
      <c r="E135" s="455">
        <f>'1'!F135</f>
        <v>41986.21</v>
      </c>
      <c r="F135" s="651">
        <v>42003.040000000001</v>
      </c>
      <c r="G135" s="473">
        <f t="shared" si="13"/>
        <v>16.830000000001746</v>
      </c>
      <c r="H135" s="460">
        <f>G135+'1'!H135</f>
        <v>31.040000000000873</v>
      </c>
      <c r="I135" s="480"/>
      <c r="J135" s="552">
        <f>H135/DAY(B2)</f>
        <v>15.520000000000437</v>
      </c>
      <c r="O135" s="382"/>
    </row>
    <row r="136" spans="1:15" ht="27.75">
      <c r="A136" s="1300" t="s">
        <v>242</v>
      </c>
      <c r="B136" s="1301"/>
      <c r="C136" s="1301"/>
      <c r="D136" s="523" t="s">
        <v>237</v>
      </c>
      <c r="E136" s="455">
        <f>'1'!F136</f>
        <v>32874</v>
      </c>
      <c r="F136" s="651">
        <v>32874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0" t="s">
        <v>243</v>
      </c>
      <c r="B137" s="1301"/>
      <c r="C137" s="1301"/>
      <c r="D137" s="523" t="s">
        <v>237</v>
      </c>
      <c r="E137" s="455">
        <f>'1'!F137</f>
        <v>22901.66</v>
      </c>
      <c r="F137" s="651">
        <v>22901.66</v>
      </c>
      <c r="G137" s="473">
        <f t="shared" si="13"/>
        <v>0</v>
      </c>
      <c r="H137" s="460">
        <f>G137+'1'!H137</f>
        <v>10.169999999998254</v>
      </c>
      <c r="I137" s="480"/>
      <c r="J137" s="552">
        <f>H137/DAY(B2)</f>
        <v>5.0849999999991269</v>
      </c>
      <c r="O137" s="382"/>
    </row>
    <row r="138" spans="1:15" ht="27.75">
      <c r="A138" s="1300" t="s">
        <v>244</v>
      </c>
      <c r="B138" s="1301"/>
      <c r="C138" s="1301"/>
      <c r="D138" s="523" t="s">
        <v>237</v>
      </c>
      <c r="E138" s="455">
        <f>'1'!F138</f>
        <v>25091.39</v>
      </c>
      <c r="F138" s="651">
        <v>25091.39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0" t="s">
        <v>245</v>
      </c>
      <c r="B139" s="1301"/>
      <c r="C139" s="1301"/>
      <c r="D139" s="523" t="s">
        <v>237</v>
      </c>
      <c r="E139" s="455">
        <f>'1'!F139</f>
        <v>70513.62</v>
      </c>
      <c r="F139" s="651">
        <v>70513.62</v>
      </c>
      <c r="G139" s="473">
        <f t="shared" si="13"/>
        <v>0</v>
      </c>
      <c r="H139" s="460">
        <f>G139+'1'!H139</f>
        <v>0</v>
      </c>
      <c r="I139" s="480">
        <f>G137+G138+G139</f>
        <v>0</v>
      </c>
      <c r="J139" s="552">
        <f>H139/DAY(B2)</f>
        <v>0</v>
      </c>
      <c r="O139" s="382"/>
    </row>
    <row r="140" spans="1:15" ht="27.75">
      <c r="A140" s="1300" t="s">
        <v>246</v>
      </c>
      <c r="B140" s="1301"/>
      <c r="C140" s="1301"/>
      <c r="D140" s="523" t="s">
        <v>237</v>
      </c>
      <c r="E140" s="455">
        <f>'1'!F140</f>
        <v>2139.09</v>
      </c>
      <c r="F140" s="478">
        <v>2148.79</v>
      </c>
      <c r="G140" s="473">
        <f t="shared" si="13"/>
        <v>9.6999999999998181</v>
      </c>
      <c r="H140" s="460">
        <f>G140+'1'!H140</f>
        <v>19.610000000000127</v>
      </c>
      <c r="I140" s="542"/>
      <c r="J140" s="552">
        <f>H140/DAY(B2)</f>
        <v>9.8050000000000637</v>
      </c>
      <c r="O140" s="382"/>
    </row>
    <row r="141" spans="1:15" ht="27.75">
      <c r="A141" s="1300" t="s">
        <v>247</v>
      </c>
      <c r="B141" s="1301"/>
      <c r="C141" s="1301"/>
      <c r="D141" s="523" t="s">
        <v>237</v>
      </c>
      <c r="E141" s="455">
        <f>'1'!F141</f>
        <v>4636.97</v>
      </c>
      <c r="F141" s="478">
        <v>4636.97</v>
      </c>
      <c r="G141" s="473">
        <f t="shared" si="13"/>
        <v>0</v>
      </c>
      <c r="H141" s="460">
        <f>G141+'1'!H141</f>
        <v>-2.9999999999745341E-2</v>
      </c>
      <c r="I141" s="542">
        <f>G140+G141</f>
        <v>9.6999999999998181</v>
      </c>
      <c r="J141" s="552">
        <f>H141/DAY(B2)</f>
        <v>-1.4999999999872671E-2</v>
      </c>
      <c r="O141" s="382"/>
    </row>
    <row r="142" spans="1:15">
      <c r="A142" s="1565" t="s">
        <v>248</v>
      </c>
      <c r="B142" s="1566"/>
      <c r="C142" s="1306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5413.7999999999302</v>
      </c>
      <c r="H143" s="460">
        <f>G143+'1'!H143</f>
        <v>10957.029999999912</v>
      </c>
      <c r="I143" s="480"/>
      <c r="J143" s="552">
        <f>H143/DAY(B2)</f>
        <v>5478.5149999999558</v>
      </c>
      <c r="K143" s="380"/>
      <c r="L143" s="377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0.25866220735785622</v>
      </c>
      <c r="H144" s="460">
        <f>G144+'1'!H144</f>
        <v>0.49860030996468796</v>
      </c>
      <c r="I144" s="544"/>
      <c r="J144" s="552">
        <f>H144/DAY(B2)</f>
        <v>0.24930015498234398</v>
      </c>
      <c r="K144" s="380"/>
      <c r="L144" s="377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6559.910000000069</v>
      </c>
      <c r="H145" s="460">
        <f>G145+'1'!H145</f>
        <v>14219.770000000026</v>
      </c>
      <c r="I145" s="480"/>
      <c r="J145" s="552">
        <f>H145/DAY(B2)</f>
        <v>7109.885000000013</v>
      </c>
      <c r="K145" s="380"/>
      <c r="L145" s="377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0.31342140468227753</v>
      </c>
      <c r="H146" s="460">
        <f>G146+'1'!H146</f>
        <v>0.64497760470175391</v>
      </c>
      <c r="I146" s="544"/>
      <c r="J146" s="552">
        <f>H146/DAY(B2)</f>
        <v>0.32248880235087696</v>
      </c>
      <c r="K146" s="380"/>
      <c r="L146" s="377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3743.4799999999814</v>
      </c>
      <c r="H147" s="460">
        <f>G147+'1'!H147</f>
        <v>7533.5</v>
      </c>
      <c r="I147" s="545"/>
      <c r="J147" s="552">
        <f>H147/DAY(B2)</f>
        <v>3766.75</v>
      </c>
      <c r="K147" s="380"/>
      <c r="L147" s="377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0.17885714285714197</v>
      </c>
      <c r="H148" s="460">
        <f>G148+'1'!H148</f>
        <v>0.34290774289393494</v>
      </c>
      <c r="I148" s="545"/>
      <c r="J148" s="552">
        <f>H148/DAY(B2)</f>
        <v>0.17145387144696747</v>
      </c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1509.8399999999965</v>
      </c>
      <c r="H149" s="460">
        <f>G149+'1'!H149</f>
        <v>3224.8299999999872</v>
      </c>
      <c r="I149" s="480"/>
      <c r="J149" s="552">
        <f>H149/DAY(B2)</f>
        <v>1612.4149999999936</v>
      </c>
      <c r="K149" s="381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7.2137601528905707E-2</v>
      </c>
      <c r="H150" s="460">
        <f>G150+'1'!H150</f>
        <v>0.14637075559065121</v>
      </c>
      <c r="I150" s="545"/>
      <c r="J150" s="552">
        <f>H150/DAY(B2)</f>
        <v>7.3185377795325607E-2</v>
      </c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1932.8200000000434</v>
      </c>
      <c r="H151" s="460">
        <f>G151+'1'!H151</f>
        <v>4309.9200000000201</v>
      </c>
      <c r="I151" s="545"/>
      <c r="J151" s="552">
        <f>H151/DAY(B2)</f>
        <v>2154.96000000001</v>
      </c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9.2346870520785634E-2</v>
      </c>
      <c r="H152" s="460">
        <f>G152+'1'!H152</f>
        <v>0.19523938331688034</v>
      </c>
      <c r="I152" s="480"/>
      <c r="J152" s="552">
        <f>H152/DAY(B2)</f>
        <v>9.7619691658440172E-2</v>
      </c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1439.8799999999756</v>
      </c>
      <c r="H153" s="460">
        <f>G153+'1'!H153</f>
        <v>2916.1999999999825</v>
      </c>
      <c r="I153" s="480"/>
      <c r="J153" s="552">
        <f>H153/DAY(B2)</f>
        <v>1458.0999999999913</v>
      </c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6.8795031055899458E-2</v>
      </c>
      <c r="H154" s="460">
        <f>G154+'1'!H154</f>
        <v>0.13269738034332224</v>
      </c>
      <c r="I154" s="568"/>
      <c r="J154" s="569">
        <f>H154/DAY(B2)</f>
        <v>6.6348690171661118E-2</v>
      </c>
      <c r="O154" s="382"/>
    </row>
    <row r="155" spans="1:15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O155" s="382"/>
    </row>
    <row r="158" spans="1:15" ht="29.25" customHeight="1">
      <c r="A158" s="1603" t="s">
        <v>265</v>
      </c>
      <c r="B158" s="1604"/>
      <c r="C158" s="1604"/>
      <c r="D158" s="1604"/>
      <c r="E158" s="1604"/>
      <c r="F158" s="1604"/>
      <c r="G158" s="1605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261</v>
      </c>
      <c r="B161" s="785"/>
      <c r="C161" s="785"/>
      <c r="D161" s="511" t="s">
        <v>185</v>
      </c>
      <c r="E161" s="455">
        <f>'1'!F161</f>
        <v>40925.67</v>
      </c>
      <c r="F161" s="658">
        <v>41004.730000000003</v>
      </c>
      <c r="G161" s="473">
        <f t="shared" ref="G161:G175" si="14">F161-E161</f>
        <v>79.060000000004948</v>
      </c>
    </row>
    <row r="162" spans="1:15">
      <c r="A162" s="784" t="s">
        <v>262</v>
      </c>
      <c r="B162" s="785"/>
      <c r="C162" s="785"/>
      <c r="D162" s="511" t="s">
        <v>185</v>
      </c>
      <c r="E162" s="455">
        <f>'1'!F162</f>
        <v>108241.17</v>
      </c>
      <c r="F162" s="658">
        <v>108697.57</v>
      </c>
      <c r="G162" s="473">
        <f t="shared" si="14"/>
        <v>456.40000000000873</v>
      </c>
    </row>
    <row r="163" spans="1:15">
      <c r="A163" s="784" t="s">
        <v>263</v>
      </c>
      <c r="B163" s="785"/>
      <c r="C163" s="785"/>
      <c r="D163" s="511" t="s">
        <v>185</v>
      </c>
      <c r="E163" s="455">
        <f>'1'!F163</f>
        <v>61440.46</v>
      </c>
      <c r="F163" s="658">
        <v>61641.7</v>
      </c>
      <c r="G163" s="473">
        <f t="shared" si="14"/>
        <v>201.23999999999796</v>
      </c>
    </row>
    <row r="164" spans="1:15">
      <c r="A164" s="784" t="s">
        <v>264</v>
      </c>
      <c r="B164" s="785"/>
      <c r="C164" s="785"/>
      <c r="D164" s="511" t="s">
        <v>185</v>
      </c>
      <c r="E164" s="455">
        <f>'1'!F164</f>
        <v>6862.09</v>
      </c>
      <c r="F164" s="658">
        <v>6869.59</v>
      </c>
      <c r="G164" s="473">
        <f t="shared" si="14"/>
        <v>7.5</v>
      </c>
    </row>
    <row r="165" spans="1:15">
      <c r="A165" s="786" t="s">
        <v>97</v>
      </c>
      <c r="B165" s="604"/>
      <c r="C165" s="604"/>
      <c r="D165" s="511" t="s">
        <v>185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15">
      <c r="A166" s="786" t="s">
        <v>186</v>
      </c>
      <c r="B166" s="604"/>
      <c r="C166" s="604"/>
      <c r="D166" s="511" t="s">
        <v>185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15" ht="27.75">
      <c r="A167" s="1549" t="s">
        <v>98</v>
      </c>
      <c r="B167" s="1549"/>
      <c r="C167" s="1549"/>
      <c r="D167" s="523" t="s">
        <v>185</v>
      </c>
      <c r="E167" s="455">
        <f>'1'!F167</f>
        <v>170394.89</v>
      </c>
      <c r="F167" s="514">
        <f t="shared" si="15"/>
        <v>170770.31</v>
      </c>
      <c r="G167" s="473">
        <f t="shared" si="14"/>
        <v>375.4199999999837</v>
      </c>
    </row>
    <row r="168" spans="1:15" ht="27.75">
      <c r="A168" s="1549" t="s">
        <v>99</v>
      </c>
      <c r="B168" s="1549"/>
      <c r="C168" s="1549"/>
      <c r="D168" s="523" t="s">
        <v>185</v>
      </c>
      <c r="E168" s="455">
        <f>'1'!F168</f>
        <v>170733.97</v>
      </c>
      <c r="F168" s="514">
        <f t="shared" si="15"/>
        <v>171158.21</v>
      </c>
      <c r="G168" s="473">
        <f t="shared" si="14"/>
        <v>424.23999999999069</v>
      </c>
    </row>
    <row r="169" spans="1:15" ht="27.75">
      <c r="A169" s="1549" t="s">
        <v>100</v>
      </c>
      <c r="B169" s="1549"/>
      <c r="C169" s="1549"/>
      <c r="D169" s="523" t="s">
        <v>185</v>
      </c>
      <c r="E169" s="455">
        <f>'1'!F169</f>
        <v>68403.92</v>
      </c>
      <c r="F169" s="514">
        <f t="shared" si="15"/>
        <v>68828.11</v>
      </c>
      <c r="G169" s="473">
        <f t="shared" si="14"/>
        <v>424.19000000000233</v>
      </c>
    </row>
    <row r="170" spans="1:15" ht="27.75">
      <c r="A170" s="1549" t="s">
        <v>101</v>
      </c>
      <c r="B170" s="1549"/>
      <c r="C170" s="1549"/>
      <c r="D170" s="523" t="s">
        <v>185</v>
      </c>
      <c r="E170" s="455">
        <f>'1'!F170</f>
        <v>265431.40999999997</v>
      </c>
      <c r="F170" s="514">
        <f t="shared" si="15"/>
        <v>265932.03000000003</v>
      </c>
      <c r="G170" s="473">
        <f t="shared" si="14"/>
        <v>500.62000000005355</v>
      </c>
    </row>
    <row r="171" spans="1:15" ht="27.75">
      <c r="A171" s="1549" t="s">
        <v>102</v>
      </c>
      <c r="B171" s="1549"/>
      <c r="C171" s="1549"/>
      <c r="D171" s="523" t="s">
        <v>185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15" ht="27.75">
      <c r="A172" s="1549" t="s">
        <v>103</v>
      </c>
      <c r="B172" s="1549"/>
      <c r="C172" s="1549"/>
      <c r="D172" s="523" t="s">
        <v>185</v>
      </c>
      <c r="E172" s="455">
        <f>'1'!F172</f>
        <v>87751.62</v>
      </c>
      <c r="F172" s="514">
        <f t="shared" si="15"/>
        <v>87993.33</v>
      </c>
      <c r="G172" s="473">
        <f t="shared" si="14"/>
        <v>241.7100000000064</v>
      </c>
    </row>
    <row r="173" spans="1:15" ht="21.95" customHeight="1">
      <c r="A173" s="1590" t="s">
        <v>348</v>
      </c>
      <c r="B173" s="1553"/>
      <c r="C173" s="784"/>
      <c r="D173" s="1492" t="s">
        <v>185</v>
      </c>
      <c r="E173" s="1493">
        <v>19007.5</v>
      </c>
      <c r="F173" s="376">
        <v>19012.2</v>
      </c>
      <c r="G173" s="473">
        <f t="shared" si="14"/>
        <v>4.7000000000007276</v>
      </c>
      <c r="O173" s="377"/>
    </row>
    <row r="174" spans="1:15" ht="21.95" customHeight="1">
      <c r="A174" s="1590" t="s">
        <v>349</v>
      </c>
      <c r="B174" s="1553"/>
      <c r="C174" s="454"/>
      <c r="D174" s="1492" t="s">
        <v>185</v>
      </c>
      <c r="E174" s="1497">
        <v>27634</v>
      </c>
      <c r="F174" s="376">
        <v>27638</v>
      </c>
      <c r="G174" s="473">
        <f t="shared" si="14"/>
        <v>4</v>
      </c>
      <c r="O174" s="377"/>
    </row>
    <row r="175" spans="1:15" ht="21.95" customHeight="1">
      <c r="A175" s="1590" t="s">
        <v>348</v>
      </c>
      <c r="B175" s="1553"/>
      <c r="C175" s="454"/>
      <c r="D175" s="1492" t="s">
        <v>185</v>
      </c>
      <c r="E175" s="1493">
        <v>70341.899999999994</v>
      </c>
      <c r="F175" s="376">
        <v>70348.2</v>
      </c>
      <c r="G175" s="473">
        <f t="shared" si="14"/>
        <v>6.3000000000029104</v>
      </c>
      <c r="O175" s="377"/>
    </row>
    <row r="176" spans="1:15" ht="18.75" customHeight="1"/>
    <row r="177" ht="18.75" customHeight="1"/>
    <row r="178" ht="18.75" customHeight="1"/>
    <row r="179" ht="18.75" customHeight="1"/>
    <row r="180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5:B175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zoomScale="40" zoomScaleSheetLayoutView="40" workbookViewId="0">
      <selection activeCell="F79" sqref="F7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369</v>
      </c>
      <c r="B2" s="1031">
        <v>44380</v>
      </c>
      <c r="C2" s="1302" t="s">
        <v>68</v>
      </c>
      <c r="D2" s="611">
        <v>0.56999999999999995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302" t="s">
        <v>118</v>
      </c>
      <c r="D3" s="612">
        <v>29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2" t="s">
        <v>120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129</v>
      </c>
      <c r="B7" s="677"/>
      <c r="C7" s="677"/>
      <c r="D7" s="637" t="s">
        <v>130</v>
      </c>
      <c r="E7" s="455">
        <f>'2'!F7</f>
        <v>965985.75</v>
      </c>
      <c r="F7" s="455">
        <v>988020</v>
      </c>
      <c r="G7" s="689">
        <f>F7-E7</f>
        <v>22034.25</v>
      </c>
      <c r="H7" s="679">
        <f>G7+'2'!H7</f>
        <v>66067</v>
      </c>
      <c r="I7" s="680">
        <f>'[2]1'!I7</f>
        <v>12000</v>
      </c>
      <c r="J7" s="681">
        <f>H7/DAY(B2)</f>
        <v>22022.333333333332</v>
      </c>
      <c r="K7" s="549"/>
      <c r="L7" s="377"/>
      <c r="O7" s="382"/>
    </row>
    <row r="8" spans="1:15" ht="27.75" thickBot="1">
      <c r="A8" s="682" t="s">
        <v>131</v>
      </c>
      <c r="B8" s="683"/>
      <c r="C8" s="684"/>
      <c r="D8" s="685" t="s">
        <v>25</v>
      </c>
      <c r="E8" s="455">
        <f>'2'!F8</f>
        <v>971017.91</v>
      </c>
      <c r="F8" s="475">
        <v>993122</v>
      </c>
      <c r="G8" s="689">
        <f>F8-E8</f>
        <v>22104.089999999967</v>
      </c>
      <c r="H8" s="679">
        <f>G8+'2'!H8</f>
        <v>66400</v>
      </c>
      <c r="I8" s="686">
        <v>12000</v>
      </c>
      <c r="J8" s="681">
        <f>H8/DAY(B2)</f>
        <v>22133.333333333332</v>
      </c>
      <c r="K8" s="549"/>
      <c r="L8" s="425"/>
      <c r="M8" s="440"/>
      <c r="O8" s="382"/>
    </row>
    <row r="9" spans="1:15">
      <c r="A9" s="687" t="s">
        <v>132</v>
      </c>
      <c r="B9" s="688"/>
      <c r="C9" s="688"/>
      <c r="D9" s="637" t="s">
        <v>130</v>
      </c>
      <c r="E9" s="455">
        <f>'2'!F9</f>
        <v>2075480.3</v>
      </c>
      <c r="F9" s="478">
        <v>2096807.9</v>
      </c>
      <c r="G9" s="702">
        <f t="shared" ref="G9:G12" si="0">F9-E9</f>
        <v>21327.59999999986</v>
      </c>
      <c r="H9" s="679">
        <f>G9+'2'!H9</f>
        <v>65805.899999999907</v>
      </c>
      <c r="I9" s="690">
        <f>I8-J8</f>
        <v>-10133.333333333332</v>
      </c>
      <c r="J9" s="681">
        <f>H9/DAY(B2)</f>
        <v>21935.29999999997</v>
      </c>
      <c r="K9" s="428"/>
      <c r="L9" s="377"/>
      <c r="O9" s="382"/>
    </row>
    <row r="10" spans="1:15">
      <c r="A10" s="676" t="s">
        <v>133</v>
      </c>
      <c r="B10" s="677"/>
      <c r="C10" s="677"/>
      <c r="D10" s="637" t="s">
        <v>130</v>
      </c>
      <c r="E10" s="455">
        <f>'2'!F10</f>
        <v>2323</v>
      </c>
      <c r="F10" s="478">
        <v>2323</v>
      </c>
      <c r="G10" s="689">
        <f t="shared" si="0"/>
        <v>0</v>
      </c>
      <c r="H10" s="679">
        <f>G10+'2'!H10</f>
        <v>0</v>
      </c>
      <c r="I10" s="691"/>
      <c r="J10" s="681">
        <f>H10/DAY(B2)</f>
        <v>0</v>
      </c>
      <c r="K10" s="428"/>
      <c r="L10" s="377"/>
      <c r="N10" s="382">
        <f>G7-G13</f>
        <v>706.6500000001397</v>
      </c>
      <c r="O10" s="382"/>
    </row>
    <row r="11" spans="1:15">
      <c r="A11" s="676" t="s">
        <v>134</v>
      </c>
      <c r="B11" s="677"/>
      <c r="C11" s="677"/>
      <c r="D11" s="637" t="s">
        <v>130</v>
      </c>
      <c r="E11" s="455">
        <f>'2'!F11</f>
        <v>37000</v>
      </c>
      <c r="F11" s="455">
        <v>37000</v>
      </c>
      <c r="G11" s="689">
        <f t="shared" si="0"/>
        <v>0</v>
      </c>
      <c r="H11" s="679">
        <f>G11+'2'!H11</f>
        <v>0</v>
      </c>
      <c r="I11" s="691"/>
      <c r="J11" s="681">
        <f>H11/DAY(B2)</f>
        <v>0</v>
      </c>
      <c r="K11" s="428"/>
      <c r="L11" s="377"/>
      <c r="O11" s="382"/>
    </row>
    <row r="12" spans="1:15">
      <c r="A12" s="676" t="s">
        <v>135</v>
      </c>
      <c r="B12" s="677"/>
      <c r="C12" s="677"/>
      <c r="D12" s="637" t="s">
        <v>130</v>
      </c>
      <c r="E12" s="455">
        <f>'2'!F12</f>
        <v>40010</v>
      </c>
      <c r="F12" s="478">
        <v>40010</v>
      </c>
      <c r="G12" s="689">
        <f t="shared" si="0"/>
        <v>0</v>
      </c>
      <c r="H12" s="679">
        <f>G12+'2'!H12</f>
        <v>0</v>
      </c>
      <c r="I12" s="691"/>
      <c r="J12" s="681">
        <f>H12/DAY(B2)</f>
        <v>0</v>
      </c>
      <c r="K12" s="428"/>
      <c r="L12" s="377"/>
      <c r="O12" s="382"/>
    </row>
    <row r="13" spans="1:15">
      <c r="A13" s="692" t="s">
        <v>136</v>
      </c>
      <c r="B13" s="693"/>
      <c r="C13" s="693"/>
      <c r="D13" s="637"/>
      <c r="E13" s="633"/>
      <c r="F13" s="455"/>
      <c r="G13" s="694">
        <f>G9+G10+G11+G12</f>
        <v>21327.59999999986</v>
      </c>
      <c r="H13" s="679">
        <f>G13+'2'!H13</f>
        <v>65805.899999999907</v>
      </c>
      <c r="I13" s="695">
        <f>G7-G13</f>
        <v>706.6500000001397</v>
      </c>
      <c r="J13" s="681">
        <f>H13/DAY(B2)</f>
        <v>21935.29999999997</v>
      </c>
      <c r="K13" s="428"/>
      <c r="L13" s="377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2" t="s">
        <v>138</v>
      </c>
      <c r="B15" s="787"/>
      <c r="C15" s="787"/>
      <c r="D15" s="524" t="s">
        <v>139</v>
      </c>
      <c r="E15" s="455">
        <f>'2'!F15</f>
        <v>1705112.2520000001</v>
      </c>
      <c r="F15" s="485">
        <v>1706052.52</v>
      </c>
      <c r="G15" s="779">
        <f>F15-E15</f>
        <v>940.26799999992363</v>
      </c>
      <c r="H15" s="679">
        <f>G15+'2'!H15</f>
        <v>2369.5200000000186</v>
      </c>
      <c r="I15" s="474">
        <v>800</v>
      </c>
      <c r="J15" s="553">
        <f>H15/DAY(B2)</f>
        <v>789.84000000000617</v>
      </c>
      <c r="K15" s="428"/>
      <c r="L15" s="377"/>
      <c r="O15" s="382"/>
    </row>
    <row r="16" spans="1:15">
      <c r="A16" s="790"/>
      <c r="B16" s="791"/>
      <c r="C16" s="791"/>
      <c r="D16" s="788"/>
      <c r="E16" s="789"/>
      <c r="F16" s="485"/>
      <c r="G16" s="1034"/>
      <c r="H16" s="486"/>
      <c r="I16" s="487">
        <f>I15-J15</f>
        <v>10.159999999993829</v>
      </c>
      <c r="J16" s="553"/>
      <c r="K16" s="428"/>
      <c r="L16" s="377"/>
      <c r="O16" s="382"/>
    </row>
    <row r="17" spans="1:15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610" t="s">
        <v>141</v>
      </c>
      <c r="B18" s="1611"/>
      <c r="C18" s="1612"/>
      <c r="D18" s="637" t="s">
        <v>142</v>
      </c>
      <c r="E18" s="478">
        <v>6</v>
      </c>
      <c r="F18" s="478">
        <v>15</v>
      </c>
      <c r="G18" s="694">
        <f>F18*10</f>
        <v>150</v>
      </c>
      <c r="H18" s="679">
        <f>G18+'2'!H18</f>
        <v>340</v>
      </c>
      <c r="I18" s="680">
        <f>'[2]1'!I18</f>
        <v>65</v>
      </c>
      <c r="J18" s="681">
        <f>H18/DAY(B2)</f>
        <v>113.33333333333333</v>
      </c>
      <c r="K18" s="428"/>
      <c r="L18" s="377"/>
      <c r="O18" s="382"/>
    </row>
    <row r="19" spans="1:15" ht="27.75">
      <c r="A19" s="1610" t="s">
        <v>70</v>
      </c>
      <c r="B19" s="1611"/>
      <c r="C19" s="1612"/>
      <c r="D19" s="637" t="s">
        <v>142</v>
      </c>
      <c r="E19" s="455">
        <f>'2'!F19</f>
        <v>141621</v>
      </c>
      <c r="F19" s="478">
        <v>141681</v>
      </c>
      <c r="G19" s="689">
        <f>F19-E19</f>
        <v>60</v>
      </c>
      <c r="H19" s="679">
        <f>G19+'2'!H19</f>
        <v>186</v>
      </c>
      <c r="I19" s="696"/>
      <c r="J19" s="681">
        <f>H19/DAY(B2)</f>
        <v>62</v>
      </c>
      <c r="K19" s="428"/>
      <c r="L19" s="377"/>
      <c r="O19" s="382"/>
    </row>
    <row r="20" spans="1:15">
      <c r="A20" s="692" t="s">
        <v>143</v>
      </c>
      <c r="B20" s="693"/>
      <c r="C20" s="693"/>
      <c r="D20" s="637"/>
      <c r="E20" s="637"/>
      <c r="F20" s="523"/>
      <c r="G20" s="1033">
        <f>G18+G19</f>
        <v>210</v>
      </c>
      <c r="H20" s="679">
        <f>G20+'2'!H20</f>
        <v>526</v>
      </c>
      <c r="I20" s="698">
        <f>I18-J20</f>
        <v>-110.33333333333334</v>
      </c>
      <c r="J20" s="681">
        <f>H20/DAY(B2)</f>
        <v>175.33333333333334</v>
      </c>
      <c r="K20" s="428"/>
      <c r="L20" s="377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0" t="s">
        <v>145</v>
      </c>
      <c r="B22" s="589"/>
      <c r="C22" s="589"/>
      <c r="D22" s="523" t="s">
        <v>146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679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0" t="s">
        <v>147</v>
      </c>
      <c r="B23" s="589"/>
      <c r="C23" s="589"/>
      <c r="D23" s="523" t="s">
        <v>146</v>
      </c>
      <c r="E23" s="484">
        <f>'1'!F23</f>
        <v>2000</v>
      </c>
      <c r="F23" s="478">
        <v>1880</v>
      </c>
      <c r="G23" s="481">
        <v>0</v>
      </c>
      <c r="H23" s="679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148</v>
      </c>
      <c r="B24" s="591"/>
      <c r="C24" s="591"/>
      <c r="D24" s="511" t="s">
        <v>146</v>
      </c>
      <c r="E24" s="484">
        <v>4850</v>
      </c>
      <c r="F24" s="485">
        <v>4850</v>
      </c>
      <c r="G24" s="481">
        <v>0</v>
      </c>
      <c r="H24" s="679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22104.089999999967</v>
      </c>
      <c r="F27" s="501">
        <v>9</v>
      </c>
      <c r="G27" s="502">
        <f>E27*F27</f>
        <v>198936.80999999971</v>
      </c>
      <c r="H27" s="679">
        <f>G27+'2'!H27</f>
        <v>597600</v>
      </c>
      <c r="I27" s="503"/>
      <c r="J27" s="552">
        <f>H27/DAY(B2)</f>
        <v>199200</v>
      </c>
      <c r="K27" s="373"/>
      <c r="L27" s="443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699">
        <f>G15</f>
        <v>940.26799999992363</v>
      </c>
      <c r="F28" s="501">
        <v>52</v>
      </c>
      <c r="G28" s="502">
        <f>E28*F28</f>
        <v>48893.935999996029</v>
      </c>
      <c r="H28" s="679">
        <f>G28+'2'!H28</f>
        <v>123215.04000000097</v>
      </c>
      <c r="I28" s="505"/>
      <c r="J28" s="552">
        <f>H28/DAY(B2)</f>
        <v>41071.68000000032</v>
      </c>
      <c r="K28" s="373"/>
      <c r="L28" s="443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679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699">
        <f>G19</f>
        <v>60</v>
      </c>
      <c r="F30" s="501">
        <v>146</v>
      </c>
      <c r="G30" s="502">
        <f>E30*F30</f>
        <v>8760</v>
      </c>
      <c r="H30" s="679">
        <f>G30+'2'!H30</f>
        <v>26572</v>
      </c>
      <c r="I30" s="505"/>
      <c r="J30" s="552">
        <f>H30/DAY(B2)</f>
        <v>8857.3333333333339</v>
      </c>
      <c r="K30" s="373"/>
      <c r="L30" s="443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699">
        <f>G18</f>
        <v>150</v>
      </c>
      <c r="F31" s="501">
        <v>80</v>
      </c>
      <c r="G31" s="502">
        <f>E31*F31</f>
        <v>12000</v>
      </c>
      <c r="H31" s="679">
        <f>G31+'2'!H31</f>
        <v>21600</v>
      </c>
      <c r="I31" s="505"/>
      <c r="J31" s="552">
        <f>H31/DAY(B2)</f>
        <v>7200</v>
      </c>
      <c r="K31" s="373"/>
      <c r="L31" s="443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268590.74599999574</v>
      </c>
      <c r="H32" s="679">
        <f>G32+'2'!H32</f>
        <v>768987.04000000097</v>
      </c>
      <c r="I32" s="509"/>
      <c r="J32" s="552">
        <f>H32/DAY(B2)</f>
        <v>256329.01333333366</v>
      </c>
      <c r="K32" s="373"/>
      <c r="L32" s="443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O33" s="382"/>
    </row>
    <row r="34" spans="1:15">
      <c r="A34" s="598" t="s">
        <v>161</v>
      </c>
      <c r="B34" s="1305"/>
      <c r="C34" s="130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162</v>
      </c>
      <c r="B35" s="579"/>
      <c r="C35" s="579"/>
      <c r="D35" s="523" t="s">
        <v>130</v>
      </c>
      <c r="E35" s="455">
        <f>'2'!F35</f>
        <v>1034521.5</v>
      </c>
      <c r="F35" s="510">
        <v>1037586.9</v>
      </c>
      <c r="G35" s="473">
        <f t="shared" ref="G35:G46" si="2">F35-E35</f>
        <v>3065.4000000000233</v>
      </c>
      <c r="H35" s="679">
        <f>G35+'2'!H35</f>
        <v>8872.9000000000233</v>
      </c>
      <c r="I35" s="455"/>
      <c r="J35" s="552">
        <f>H35/DAY(B2)</f>
        <v>2957.6333333333409</v>
      </c>
      <c r="K35" s="428"/>
      <c r="L35" s="377"/>
      <c r="O35" s="382"/>
    </row>
    <row r="36" spans="1:15">
      <c r="A36" s="578" t="s">
        <v>163</v>
      </c>
      <c r="B36" s="579"/>
      <c r="C36" s="579"/>
      <c r="D36" s="523" t="s">
        <v>130</v>
      </c>
      <c r="E36" s="455">
        <f>'2'!F36</f>
        <v>22293.65</v>
      </c>
      <c r="F36" s="510">
        <v>22973.87</v>
      </c>
      <c r="G36" s="473">
        <f t="shared" si="2"/>
        <v>680.21999999999753</v>
      </c>
      <c r="H36" s="679">
        <f>G36+'2'!H36</f>
        <v>2512.869999999999</v>
      </c>
      <c r="I36" s="455"/>
      <c r="J36" s="552">
        <f>H36/DAY(B2)</f>
        <v>837.62333333333299</v>
      </c>
      <c r="K36" s="428"/>
      <c r="L36" s="377"/>
      <c r="O36" s="628"/>
    </row>
    <row r="37" spans="1:15">
      <c r="A37" s="578" t="s">
        <v>164</v>
      </c>
      <c r="B37" s="579"/>
      <c r="C37" s="579"/>
      <c r="D37" s="523" t="s">
        <v>130</v>
      </c>
      <c r="E37" s="455">
        <f>'2'!F37</f>
        <v>179486.33</v>
      </c>
      <c r="F37" s="510">
        <v>181086.47</v>
      </c>
      <c r="G37" s="473">
        <f t="shared" si="2"/>
        <v>1600.140000000014</v>
      </c>
      <c r="H37" s="679">
        <f>G37+'2'!H37</f>
        <v>4516.4700000000012</v>
      </c>
      <c r="I37" s="455"/>
      <c r="J37" s="552">
        <f>H37/DAY(B2)</f>
        <v>1505.4900000000005</v>
      </c>
      <c r="K37" s="428"/>
      <c r="L37" s="377"/>
      <c r="O37" s="629"/>
    </row>
    <row r="38" spans="1:15">
      <c r="A38" s="578" t="s">
        <v>165</v>
      </c>
      <c r="B38" s="579"/>
      <c r="C38" s="579"/>
      <c r="D38" s="523" t="s">
        <v>130</v>
      </c>
      <c r="E38" s="455">
        <f>'2'!F38</f>
        <v>201683.83</v>
      </c>
      <c r="F38" s="469">
        <v>203353.07</v>
      </c>
      <c r="G38" s="473">
        <f t="shared" si="2"/>
        <v>1669.2400000000198</v>
      </c>
      <c r="H38" s="679">
        <f>G38+'2'!H38</f>
        <v>4894.070000000007</v>
      </c>
      <c r="I38" s="455"/>
      <c r="J38" s="552">
        <f>H38/DAY(B2)</f>
        <v>1631.3566666666691</v>
      </c>
      <c r="K38" s="428"/>
      <c r="L38" s="377"/>
      <c r="O38" s="382"/>
    </row>
    <row r="39" spans="1:15">
      <c r="A39" s="578" t="s">
        <v>166</v>
      </c>
      <c r="B39" s="579"/>
      <c r="C39" s="579"/>
      <c r="D39" s="523" t="s">
        <v>130</v>
      </c>
      <c r="E39" s="455">
        <f>'2'!F39</f>
        <v>412397.91</v>
      </c>
      <c r="F39" s="510">
        <v>416245.75</v>
      </c>
      <c r="G39" s="473">
        <f t="shared" si="2"/>
        <v>3847.8400000000256</v>
      </c>
      <c r="H39" s="679">
        <f>G39+'2'!H39</f>
        <v>11381.75</v>
      </c>
      <c r="I39" s="455"/>
      <c r="J39" s="552">
        <f>H39/DAY(B2)</f>
        <v>3793.9166666666665</v>
      </c>
      <c r="K39" s="428"/>
      <c r="L39" s="377"/>
      <c r="O39" s="382"/>
    </row>
    <row r="40" spans="1:15">
      <c r="A40" s="599" t="s">
        <v>167</v>
      </c>
      <c r="B40" s="600"/>
      <c r="C40" s="600"/>
      <c r="D40" s="523" t="s">
        <v>130</v>
      </c>
      <c r="E40" s="455">
        <f>'2'!F40</f>
        <v>7902.3</v>
      </c>
      <c r="F40" s="510">
        <v>8221.3799999999992</v>
      </c>
      <c r="G40" s="473">
        <f t="shared" si="2"/>
        <v>319.07999999999902</v>
      </c>
      <c r="H40" s="679">
        <f>G40+'2'!H40</f>
        <v>1108.3799999999992</v>
      </c>
      <c r="I40" s="455"/>
      <c r="J40" s="552">
        <f>H40/DAY(B2)</f>
        <v>369.45999999999975</v>
      </c>
      <c r="K40" s="429"/>
      <c r="L40" s="377"/>
      <c r="O40" s="382"/>
    </row>
    <row r="41" spans="1:15">
      <c r="A41" s="578" t="s">
        <v>168</v>
      </c>
      <c r="B41" s="579"/>
      <c r="C41" s="579"/>
      <c r="D41" s="523" t="s">
        <v>130</v>
      </c>
      <c r="E41" s="455">
        <f>'2'!F41</f>
        <v>336477.83</v>
      </c>
      <c r="F41" s="510">
        <v>342452.91</v>
      </c>
      <c r="G41" s="473">
        <f t="shared" si="2"/>
        <v>5975.0799999999581</v>
      </c>
      <c r="H41" s="679">
        <f>G41+'2'!H41</f>
        <v>12810.909999999974</v>
      </c>
      <c r="I41" s="455"/>
      <c r="J41" s="552">
        <f>H41/DAY(B2)</f>
        <v>4270.3033333333251</v>
      </c>
      <c r="K41" s="428"/>
      <c r="L41" s="377"/>
      <c r="O41" s="382"/>
    </row>
    <row r="42" spans="1:15">
      <c r="A42" s="578" t="s">
        <v>169</v>
      </c>
      <c r="B42" s="579"/>
      <c r="C42" s="579"/>
      <c r="D42" s="523" t="s">
        <v>130</v>
      </c>
      <c r="E42" s="455">
        <f>'2'!F42</f>
        <v>59210.879999999997</v>
      </c>
      <c r="F42" s="510">
        <v>59210.879999999997</v>
      </c>
      <c r="G42" s="473">
        <f>F42-E42</f>
        <v>0</v>
      </c>
      <c r="H42" s="679">
        <f>G42+'2'!H42</f>
        <v>11.989999999997963</v>
      </c>
      <c r="I42" s="455"/>
      <c r="J42" s="552">
        <f>H42/DAY(B2)</f>
        <v>3.9966666666659876</v>
      </c>
      <c r="K42" s="428"/>
      <c r="L42" s="377"/>
      <c r="O42" s="382"/>
    </row>
    <row r="43" spans="1:15">
      <c r="A43" s="578" t="s">
        <v>170</v>
      </c>
      <c r="B43" s="579"/>
      <c r="C43" s="579"/>
      <c r="D43" s="523" t="s">
        <v>130</v>
      </c>
      <c r="E43" s="455">
        <f>'2'!F43</f>
        <v>1125601.3999999999</v>
      </c>
      <c r="F43" s="510">
        <v>1128191.2</v>
      </c>
      <c r="G43" s="473">
        <f t="shared" si="2"/>
        <v>2589.8000000000466</v>
      </c>
      <c r="H43" s="679">
        <f>G43+'2'!H43</f>
        <v>7739.1999999999534</v>
      </c>
      <c r="I43" s="455"/>
      <c r="J43" s="552">
        <f>H43/DAY(B2)</f>
        <v>2579.7333333333177</v>
      </c>
      <c r="K43" s="428"/>
      <c r="L43" s="377"/>
      <c r="O43" s="382"/>
    </row>
    <row r="44" spans="1:15">
      <c r="A44" s="578" t="s">
        <v>171</v>
      </c>
      <c r="B44" s="579"/>
      <c r="C44" s="579"/>
      <c r="D44" s="523" t="s">
        <v>130</v>
      </c>
      <c r="E44" s="455">
        <f>'2'!F44</f>
        <v>0</v>
      </c>
      <c r="F44" s="510">
        <v>0</v>
      </c>
      <c r="G44" s="473">
        <f t="shared" si="2"/>
        <v>0</v>
      </c>
      <c r="H44" s="679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172</v>
      </c>
      <c r="B45" s="579"/>
      <c r="C45" s="579"/>
      <c r="D45" s="523" t="s">
        <v>130</v>
      </c>
      <c r="E45" s="455">
        <f>'2'!F45</f>
        <v>614</v>
      </c>
      <c r="F45" s="510">
        <v>614</v>
      </c>
      <c r="G45" s="473">
        <f t="shared" si="2"/>
        <v>0</v>
      </c>
      <c r="H45" s="679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173</v>
      </c>
      <c r="B46" s="579"/>
      <c r="C46" s="579"/>
      <c r="D46" s="523" t="s">
        <v>130</v>
      </c>
      <c r="E46" s="455">
        <f>'2'!F46</f>
        <v>187</v>
      </c>
      <c r="F46" s="510">
        <v>187</v>
      </c>
      <c r="G46" s="473">
        <f t="shared" si="2"/>
        <v>0</v>
      </c>
      <c r="H46" s="679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19746.800000000083</v>
      </c>
      <c r="H47" s="679">
        <f>G47+'2'!H47</f>
        <v>54649.539999999957</v>
      </c>
      <c r="I47" s="455"/>
      <c r="J47" s="552">
        <f>H47/DAY(B2)</f>
        <v>18216.513333333318</v>
      </c>
      <c r="K47" s="428"/>
      <c r="L47" s="377"/>
      <c r="N47" s="382"/>
      <c r="O47" s="382"/>
    </row>
    <row r="48" spans="1:15">
      <c r="A48" s="598" t="s">
        <v>175</v>
      </c>
      <c r="B48" s="1305"/>
      <c r="C48" s="130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162</v>
      </c>
      <c r="B49" s="601"/>
      <c r="C49" s="601"/>
      <c r="D49" s="523" t="s">
        <v>130</v>
      </c>
      <c r="E49" s="455">
        <f>'2'!F49</f>
        <v>260732.13</v>
      </c>
      <c r="F49" s="510">
        <v>260732.13</v>
      </c>
      <c r="G49" s="473">
        <f t="shared" ref="G49:G58" si="3">F49-E49</f>
        <v>0</v>
      </c>
      <c r="H49" s="679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176</v>
      </c>
      <c r="B50" s="601"/>
      <c r="C50" s="601"/>
      <c r="D50" s="523" t="s">
        <v>130</v>
      </c>
      <c r="E50" s="455">
        <f>'2'!F50</f>
        <v>537140.27</v>
      </c>
      <c r="F50" s="510">
        <v>538226.06999999995</v>
      </c>
      <c r="G50" s="473">
        <f t="shared" si="3"/>
        <v>1085.7999999999302</v>
      </c>
      <c r="H50" s="679">
        <f>G50+'2'!H50</f>
        <v>3563.0699999999488</v>
      </c>
      <c r="I50" s="455"/>
      <c r="J50" s="552">
        <f>H50/DAY(B2)</f>
        <v>1187.689999999983</v>
      </c>
      <c r="K50" s="428"/>
      <c r="L50" s="377"/>
      <c r="O50" s="382"/>
    </row>
    <row r="51" spans="1:15">
      <c r="A51" s="578" t="s">
        <v>164</v>
      </c>
      <c r="B51" s="601"/>
      <c r="C51" s="601"/>
      <c r="D51" s="523" t="s">
        <v>130</v>
      </c>
      <c r="E51" s="455">
        <f>'2'!F51</f>
        <v>144639.87</v>
      </c>
      <c r="F51" s="510">
        <v>144639.87</v>
      </c>
      <c r="G51" s="473">
        <f t="shared" si="3"/>
        <v>0</v>
      </c>
      <c r="H51" s="679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177</v>
      </c>
      <c r="B52" s="601"/>
      <c r="C52" s="601"/>
      <c r="D52" s="523" t="s">
        <v>130</v>
      </c>
      <c r="E52" s="455">
        <f>'2'!F52</f>
        <v>539606</v>
      </c>
      <c r="F52" s="510">
        <v>539606</v>
      </c>
      <c r="G52" s="473">
        <f>F52-E52</f>
        <v>0</v>
      </c>
      <c r="H52" s="679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166</v>
      </c>
      <c r="B53" s="601"/>
      <c r="C53" s="601"/>
      <c r="D53" s="523" t="s">
        <v>130</v>
      </c>
      <c r="E53" s="455">
        <f>'2'!F53</f>
        <v>434231.59</v>
      </c>
      <c r="F53" s="510">
        <v>434231.59</v>
      </c>
      <c r="G53" s="473">
        <f t="shared" si="3"/>
        <v>0</v>
      </c>
      <c r="H53" s="679">
        <f>G53+'2'!H53</f>
        <v>-0.40999999997438863</v>
      </c>
      <c r="I53" s="455"/>
      <c r="J53" s="552">
        <f>H53/DAY(B2)</f>
        <v>-0.13666666665812954</v>
      </c>
      <c r="K53" s="428"/>
      <c r="L53" s="377"/>
      <c r="O53" s="382"/>
    </row>
    <row r="54" spans="1:15">
      <c r="A54" s="578" t="s">
        <v>178</v>
      </c>
      <c r="B54" s="601"/>
      <c r="C54" s="601"/>
      <c r="D54" s="523" t="s">
        <v>130</v>
      </c>
      <c r="E54" s="455">
        <f>'2'!F54</f>
        <v>14967</v>
      </c>
      <c r="F54" s="653">
        <v>14967</v>
      </c>
      <c r="G54" s="473">
        <f t="shared" si="3"/>
        <v>0</v>
      </c>
      <c r="H54" s="679">
        <f>G54+'2'!H54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179</v>
      </c>
      <c r="B55" s="601"/>
      <c r="C55" s="601"/>
      <c r="D55" s="523" t="s">
        <v>130</v>
      </c>
      <c r="E55" s="455">
        <f>'2'!F55</f>
        <v>124986.44</v>
      </c>
      <c r="F55" s="653">
        <v>125902.97</v>
      </c>
      <c r="G55" s="473">
        <f t="shared" si="3"/>
        <v>916.52999999999884</v>
      </c>
      <c r="H55" s="679">
        <f>G55+'2'!H55</f>
        <v>8266.9700000000012</v>
      </c>
      <c r="I55" s="455"/>
      <c r="J55" s="552">
        <f>H55/DAY(B2)</f>
        <v>2755.6566666666672</v>
      </c>
      <c r="K55" s="428"/>
      <c r="L55" s="377"/>
      <c r="O55" s="382"/>
    </row>
    <row r="56" spans="1:15">
      <c r="A56" s="578" t="s">
        <v>180</v>
      </c>
      <c r="B56" s="601"/>
      <c r="C56" s="601"/>
      <c r="D56" s="523" t="s">
        <v>181</v>
      </c>
      <c r="E56" s="455">
        <f>'2'!F56</f>
        <v>649053.51</v>
      </c>
      <c r="F56" s="653">
        <v>649064.18999999994</v>
      </c>
      <c r="G56" s="473">
        <f t="shared" si="3"/>
        <v>10.679999999934807</v>
      </c>
      <c r="H56" s="679">
        <f>G56+'2'!H56</f>
        <v>32.189999999944121</v>
      </c>
      <c r="I56" s="455"/>
      <c r="J56" s="552">
        <f>H56/DAY(B2)</f>
        <v>10.729999999981374</v>
      </c>
      <c r="K56" s="427"/>
      <c r="L56" s="377"/>
      <c r="O56" s="382"/>
    </row>
    <row r="57" spans="1:15">
      <c r="A57" s="578" t="s">
        <v>170</v>
      </c>
      <c r="B57" s="601"/>
      <c r="C57" s="601"/>
      <c r="D57" s="523" t="s">
        <v>130</v>
      </c>
      <c r="E57" s="455">
        <f>'2'!F57</f>
        <v>7711</v>
      </c>
      <c r="F57" s="653">
        <v>7711</v>
      </c>
      <c r="G57" s="473">
        <f t="shared" si="3"/>
        <v>0</v>
      </c>
      <c r="H57" s="679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182</v>
      </c>
      <c r="B58" s="601"/>
      <c r="C58" s="601"/>
      <c r="D58" s="523" t="s">
        <v>130</v>
      </c>
      <c r="E58" s="455">
        <f>'2'!F58</f>
        <v>54200.91</v>
      </c>
      <c r="F58" s="653">
        <v>54419.519999999997</v>
      </c>
      <c r="G58" s="473">
        <f t="shared" si="3"/>
        <v>218.60999999999331</v>
      </c>
      <c r="H58" s="679">
        <f>G58+'2'!H58</f>
        <v>433.5199999999968</v>
      </c>
      <c r="I58" s="455"/>
      <c r="J58" s="552">
        <f>H58/DAY(B2)</f>
        <v>144.50666666666561</v>
      </c>
      <c r="K58" s="428"/>
      <c r="L58" s="377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2231.6199999998571</v>
      </c>
      <c r="H59" s="679">
        <f>G59+'2'!H59</f>
        <v>12295.339999999916</v>
      </c>
      <c r="I59" s="455">
        <f>G7-G60</f>
        <v>55.830000000059954</v>
      </c>
      <c r="J59" s="552">
        <f>H59/DAY(B2)</f>
        <v>4098.4466666666385</v>
      </c>
      <c r="K59" s="428"/>
      <c r="L59" s="377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481">
        <f>G47+G59</f>
        <v>21978.41999999994</v>
      </c>
      <c r="H60" s="679">
        <f>G60+'2'!H60</f>
        <v>66944.879999999874</v>
      </c>
      <c r="I60" s="455">
        <f>G13-G60</f>
        <v>-650.82000000007974</v>
      </c>
      <c r="J60" s="552">
        <f>H60/DAY(B2)</f>
        <v>22314.959999999959</v>
      </c>
      <c r="K60" s="428"/>
      <c r="L60" s="377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v>20419</v>
      </c>
      <c r="F62" s="514">
        <v>20419</v>
      </c>
      <c r="G62" s="473">
        <f t="shared" ref="G62:G69" si="4">F62-E62</f>
        <v>0</v>
      </c>
      <c r="H62" s="679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186</v>
      </c>
      <c r="B63" s="604"/>
      <c r="C63" s="604"/>
      <c r="D63" s="511" t="s">
        <v>185</v>
      </c>
      <c r="E63" s="455">
        <f>'2'!F63</f>
        <v>0</v>
      </c>
      <c r="F63" s="514">
        <v>0</v>
      </c>
      <c r="G63" s="473">
        <f t="shared" si="4"/>
        <v>0</v>
      </c>
      <c r="H63" s="679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55">
        <f>'2'!F64</f>
        <v>170770.31</v>
      </c>
      <c r="F64" s="478">
        <v>171149.29</v>
      </c>
      <c r="G64" s="473">
        <f t="shared" si="4"/>
        <v>378.98000000001048</v>
      </c>
      <c r="H64" s="679">
        <f>G64+'2'!H64</f>
        <v>1127.2900000000081</v>
      </c>
      <c r="I64" s="480"/>
      <c r="J64" s="552">
        <f>H64/DAY(B2)</f>
        <v>375.76333333333605</v>
      </c>
      <c r="K64" s="428"/>
      <c r="L64" s="377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55">
        <f>'2'!F65</f>
        <v>171158.21</v>
      </c>
      <c r="F65" s="651">
        <v>171590.13</v>
      </c>
      <c r="G65" s="473">
        <f t="shared" si="4"/>
        <v>431.92000000001281</v>
      </c>
      <c r="H65" s="679">
        <f>G65+'2'!H65</f>
        <v>1288.1300000000047</v>
      </c>
      <c r="I65" s="489"/>
      <c r="J65" s="552">
        <f>H65/DAY(B2)</f>
        <v>429.3766666666682</v>
      </c>
      <c r="K65" s="428"/>
      <c r="L65" s="377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55">
        <f>'2'!F66</f>
        <v>68828.11</v>
      </c>
      <c r="F66" s="478">
        <v>69249.55</v>
      </c>
      <c r="G66" s="473">
        <f t="shared" si="4"/>
        <v>421.44000000000233</v>
      </c>
      <c r="H66" s="679">
        <f>G66+'2'!H66</f>
        <v>1279.5500000000029</v>
      </c>
      <c r="I66" s="480"/>
      <c r="J66" s="552">
        <f>H66/DAY(B2)</f>
        <v>426.51666666666762</v>
      </c>
      <c r="K66" s="428"/>
      <c r="L66" s="377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55">
        <f>'2'!F67</f>
        <v>265932.03000000003</v>
      </c>
      <c r="F67" s="478">
        <v>266461.61</v>
      </c>
      <c r="G67" s="473">
        <f t="shared" si="4"/>
        <v>529.57999999995809</v>
      </c>
      <c r="H67" s="679">
        <f>G67+'2'!H67</f>
        <v>1502.609999999986</v>
      </c>
      <c r="I67" s="489"/>
      <c r="J67" s="552">
        <f>H67/DAY(B2)</f>
        <v>500.86999999999534</v>
      </c>
      <c r="K67" s="429"/>
      <c r="L67" s="377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55">
        <f>'2'!F68</f>
        <v>85321</v>
      </c>
      <c r="F68" s="478">
        <v>85321</v>
      </c>
      <c r="G68" s="473">
        <f t="shared" si="4"/>
        <v>0</v>
      </c>
      <c r="H68" s="679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55">
        <f>'2'!F69</f>
        <v>87993.33</v>
      </c>
      <c r="F69" s="478">
        <v>88268.65</v>
      </c>
      <c r="G69" s="473">
        <f t="shared" si="4"/>
        <v>275.31999999999243</v>
      </c>
      <c r="H69" s="679">
        <f>G69+'2'!H69</f>
        <v>753.64999999999418</v>
      </c>
      <c r="I69" s="516"/>
      <c r="J69" s="552">
        <f>H69/DAY(B2)</f>
        <v>251.21666666666474</v>
      </c>
      <c r="K69" s="431"/>
      <c r="L69" s="377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455">
        <f>'2'!F72</f>
        <v>856244</v>
      </c>
      <c r="F72" s="654">
        <v>856257</v>
      </c>
      <c r="G72" s="473">
        <f t="shared" ref="G72:G84" si="5">F72-E72</f>
        <v>13</v>
      </c>
      <c r="H72" s="679">
        <f>G72+'2'!H72</f>
        <v>35</v>
      </c>
      <c r="I72" s="480"/>
      <c r="J72" s="552">
        <f>H72/DAY(B2)</f>
        <v>11.666666666666666</v>
      </c>
      <c r="K72" s="431"/>
      <c r="L72" s="377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455">
        <f>'2'!F73</f>
        <v>885975</v>
      </c>
      <c r="F73" s="655">
        <v>885977</v>
      </c>
      <c r="G73" s="652">
        <f t="shared" si="5"/>
        <v>2</v>
      </c>
      <c r="H73" s="679">
        <f>G73+'2'!H73</f>
        <v>5</v>
      </c>
      <c r="I73" s="480"/>
      <c r="J73" s="552">
        <f>H73/DAY(B2)</f>
        <v>1.6666666666666667</v>
      </c>
      <c r="K73" s="430"/>
      <c r="L73" s="377"/>
      <c r="O73" s="382"/>
    </row>
    <row r="74" spans="1:15" ht="27.75">
      <c r="A74" s="1543" t="s">
        <v>191</v>
      </c>
      <c r="B74" s="1544"/>
      <c r="C74" s="1545"/>
      <c r="D74" s="523" t="s">
        <v>185</v>
      </c>
      <c r="E74" s="455">
        <f>'2'!F74</f>
        <v>88698.7</v>
      </c>
      <c r="F74" s="656">
        <v>88699.8</v>
      </c>
      <c r="G74" s="473">
        <f t="shared" si="5"/>
        <v>1.1000000000058208</v>
      </c>
      <c r="H74" s="679">
        <f>G74+'2'!H74</f>
        <v>3.8000000000029104</v>
      </c>
      <c r="I74" s="480"/>
      <c r="J74" s="552">
        <f>H74/DAY(B2)</f>
        <v>1.2666666666676367</v>
      </c>
      <c r="K74" s="431"/>
      <c r="L74" s="377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455">
        <f>'2'!F75</f>
        <v>16367.14</v>
      </c>
      <c r="F75" s="656">
        <v>16539.25</v>
      </c>
      <c r="G75" s="473">
        <f t="shared" si="5"/>
        <v>172.11000000000058</v>
      </c>
      <c r="H75" s="679">
        <f>G75+'2'!H75</f>
        <v>468.25</v>
      </c>
      <c r="I75" s="480"/>
      <c r="J75" s="552">
        <f>H75/DAY(B2)</f>
        <v>156.08333333333334</v>
      </c>
      <c r="K75" s="430"/>
      <c r="L75" s="377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455">
        <f>'2'!F76</f>
        <v>9467.86</v>
      </c>
      <c r="F76" s="655">
        <v>9536.1200000000008</v>
      </c>
      <c r="G76" s="473">
        <f t="shared" si="5"/>
        <v>68.260000000000218</v>
      </c>
      <c r="H76" s="679">
        <f>G76+'2'!H76</f>
        <v>200.1200000000008</v>
      </c>
      <c r="I76" s="505"/>
      <c r="J76" s="552">
        <f>H76/DAY(B2)</f>
        <v>66.706666666666933</v>
      </c>
      <c r="K76" s="430"/>
      <c r="L76" s="377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455">
        <f>'2'!F77</f>
        <v>704485</v>
      </c>
      <c r="F77" s="655">
        <v>704540</v>
      </c>
      <c r="G77" s="652">
        <f t="shared" si="5"/>
        <v>55</v>
      </c>
      <c r="H77" s="679">
        <f>G77+'2'!H77</f>
        <v>166</v>
      </c>
      <c r="I77" s="505"/>
      <c r="J77" s="552">
        <f>H77/DAY(B2)</f>
        <v>55.333333333333336</v>
      </c>
      <c r="K77" s="430"/>
      <c r="L77" s="377"/>
      <c r="O77" s="382"/>
    </row>
    <row r="78" spans="1:15" ht="27.75">
      <c r="A78" s="1303" t="s">
        <v>195</v>
      </c>
      <c r="B78" s="1296"/>
      <c r="C78" s="1296"/>
      <c r="D78" s="523" t="s">
        <v>185</v>
      </c>
      <c r="E78" s="455">
        <f>'2'!F78</f>
        <v>675660</v>
      </c>
      <c r="F78" s="656">
        <v>675800</v>
      </c>
      <c r="G78" s="473">
        <f t="shared" si="5"/>
        <v>140</v>
      </c>
      <c r="H78" s="679">
        <f>G78+'2'!H78</f>
        <v>386</v>
      </c>
      <c r="I78" s="505"/>
      <c r="J78" s="552">
        <f>H78/DAY(B2)</f>
        <v>128.66666666666666</v>
      </c>
      <c r="K78" s="430"/>
      <c r="L78" s="377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455">
        <f>'2'!F79</f>
        <v>835834</v>
      </c>
      <c r="F79" s="656">
        <v>835871</v>
      </c>
      <c r="G79" s="473">
        <f t="shared" si="5"/>
        <v>37</v>
      </c>
      <c r="H79" s="679">
        <f>G79+'2'!H79</f>
        <v>455</v>
      </c>
      <c r="I79" s="505"/>
      <c r="J79" s="552">
        <f>H79/DAY(B2)</f>
        <v>151.66666666666666</v>
      </c>
      <c r="K79" s="430"/>
      <c r="L79" s="377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455">
        <f>'2'!F80</f>
        <v>539839.96</v>
      </c>
      <c r="F80" s="655">
        <v>540263.31999999995</v>
      </c>
      <c r="G80" s="473">
        <f t="shared" si="5"/>
        <v>423.35999999998603</v>
      </c>
      <c r="H80" s="679">
        <f>G80+'2'!H80</f>
        <v>1250.3199999999488</v>
      </c>
      <c r="I80" s="505"/>
      <c r="J80" s="552">
        <f>H80/DAY(B2)</f>
        <v>416.77333333331626</v>
      </c>
      <c r="K80" s="430"/>
      <c r="L80" s="377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455">
        <f>'2'!F81</f>
        <v>643288.92000000004</v>
      </c>
      <c r="F81" s="655">
        <v>643452.04</v>
      </c>
      <c r="G81" s="473">
        <f t="shared" si="5"/>
        <v>163.11999999999534</v>
      </c>
      <c r="H81" s="679">
        <f>G81+'2'!H81</f>
        <v>467.04000000003725</v>
      </c>
      <c r="I81" s="505"/>
      <c r="J81" s="552">
        <f>H81/DAY(B2)</f>
        <v>155.68000000001243</v>
      </c>
      <c r="K81" s="430"/>
      <c r="L81" s="377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455">
        <f>'2'!F82</f>
        <v>108718.28</v>
      </c>
      <c r="F82" s="651">
        <v>108746.41</v>
      </c>
      <c r="G82" s="473">
        <f t="shared" si="5"/>
        <v>28.130000000004657</v>
      </c>
      <c r="H82" s="679">
        <f>G82+'2'!H82</f>
        <v>65.410000000003492</v>
      </c>
      <c r="I82" s="486"/>
      <c r="J82" s="552">
        <f>H82/DAY(B2)</f>
        <v>21.803333333334496</v>
      </c>
      <c r="K82" s="430"/>
      <c r="L82" s="377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455">
        <f>'2'!F83</f>
        <v>28179</v>
      </c>
      <c r="F83" s="511">
        <v>28306</v>
      </c>
      <c r="G83" s="473">
        <f t="shared" si="5"/>
        <v>127</v>
      </c>
      <c r="H83" s="679">
        <f>G83+'2'!H83</f>
        <v>755</v>
      </c>
      <c r="I83" s="481"/>
      <c r="J83" s="552">
        <f>H83/DAY(B2)</f>
        <v>251.66666666666666</v>
      </c>
      <c r="K83" s="429"/>
      <c r="L83" s="377"/>
      <c r="O83" s="382"/>
    </row>
    <row r="84" spans="1:15">
      <c r="A84" s="1304" t="s">
        <v>199</v>
      </c>
      <c r="B84" s="571"/>
      <c r="C84" s="571"/>
      <c r="D84" s="478" t="s">
        <v>130</v>
      </c>
      <c r="E84" s="455">
        <f>'2'!F84</f>
        <v>524742</v>
      </c>
      <c r="F84" s="627">
        <v>525559</v>
      </c>
      <c r="G84" s="473">
        <f t="shared" si="5"/>
        <v>817</v>
      </c>
      <c r="H84" s="679">
        <f>G84+'2'!H84</f>
        <v>2479</v>
      </c>
      <c r="I84" s="481"/>
      <c r="J84" s="552">
        <f>H84/DAY(B2)</f>
        <v>826.33333333333337</v>
      </c>
      <c r="K84" s="380"/>
      <c r="L84" s="377"/>
      <c r="O84" s="382"/>
    </row>
    <row r="85" spans="1:15" s="379" customFormat="1">
      <c r="A85" s="605" t="s">
        <v>200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2047.0799999999927</v>
      </c>
      <c r="H85" s="679">
        <f>G85+'2'!H85</f>
        <v>6735.9399999999932</v>
      </c>
      <c r="I85" s="481"/>
      <c r="J85" s="552">
        <f>H85/DAY(B2)</f>
        <v>2245.3133333333312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181</v>
      </c>
      <c r="E86" s="455">
        <f>'2'!F86</f>
        <v>461860.6</v>
      </c>
      <c r="F86" s="647">
        <v>461877.04</v>
      </c>
      <c r="G86" s="705">
        <f t="shared" ref="G86:G91" si="6">F86-E86</f>
        <v>16.440000000002328</v>
      </c>
      <c r="H86" s="679">
        <f>G86+'2'!H86</f>
        <v>56.039999999979045</v>
      </c>
      <c r="I86" s="652"/>
      <c r="J86" s="707">
        <f>H86/DAY(B2)</f>
        <v>18.679999999993015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455">
        <f>'2'!F87</f>
        <v>82142.8</v>
      </c>
      <c r="F87" s="647">
        <v>82180.899999999994</v>
      </c>
      <c r="G87" s="705">
        <f t="shared" si="6"/>
        <v>38.099999999991269</v>
      </c>
      <c r="H87" s="679">
        <f>G87+'2'!H87</f>
        <v>107.89999999999418</v>
      </c>
      <c r="I87" s="652"/>
      <c r="J87" s="707">
        <f>H87/DAY(B2)</f>
        <v>35.966666666664729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455">
        <f>'2'!F88</f>
        <v>155623.73000000001</v>
      </c>
      <c r="F88" s="647">
        <v>155744.66</v>
      </c>
      <c r="G88" s="705">
        <f t="shared" si="6"/>
        <v>120.92999999999302</v>
      </c>
      <c r="H88" s="679">
        <f>G88+'2'!H88</f>
        <v>421.66000000000349</v>
      </c>
      <c r="I88" s="652"/>
      <c r="J88" s="707">
        <f>H88/DAY(B2)</f>
        <v>140.55333333333451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455">
        <f>'2'!F89</f>
        <v>65912.3</v>
      </c>
      <c r="F89" s="647">
        <v>65939</v>
      </c>
      <c r="G89" s="705">
        <f t="shared" si="6"/>
        <v>26.69999999999709</v>
      </c>
      <c r="H89" s="679">
        <f>G89+'2'!H89</f>
        <v>93</v>
      </c>
      <c r="I89" s="652"/>
      <c r="J89" s="707">
        <f>H89/DAY(B2)</f>
        <v>31</v>
      </c>
      <c r="K89" s="733" t="e">
        <f t="shared" ref="K89:K90" si="7">I89/DAY(C3)</f>
        <v>#VALUE!</v>
      </c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455">
        <f>'2'!F90</f>
        <v>3353.2</v>
      </c>
      <c r="F90" s="647">
        <v>3354</v>
      </c>
      <c r="G90" s="705">
        <f t="shared" si="6"/>
        <v>0.8000000000001819</v>
      </c>
      <c r="H90" s="679">
        <f>G90+'2'!H90</f>
        <v>10</v>
      </c>
      <c r="I90" s="652"/>
      <c r="J90" s="707">
        <f>H90/DAY(B2)</f>
        <v>3.3333333333333335</v>
      </c>
      <c r="K90" s="733" t="e">
        <f t="shared" si="7"/>
        <v>#VALUE!</v>
      </c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455">
        <f>'2'!F91</f>
        <v>28268.144</v>
      </c>
      <c r="F91" s="647">
        <v>28275.11</v>
      </c>
      <c r="G91" s="705">
        <f t="shared" si="6"/>
        <v>6.9660000000003492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306"/>
      <c r="C92" s="1306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55">
        <f>'2'!F93</f>
        <v>247529</v>
      </c>
      <c r="F93" s="478">
        <v>247652</v>
      </c>
      <c r="G93" s="473">
        <f t="shared" ref="G93:G94" si="8">F93-E93</f>
        <v>123</v>
      </c>
      <c r="H93" s="679">
        <f>G93+'2'!H93</f>
        <v>300</v>
      </c>
      <c r="I93" s="480"/>
      <c r="J93" s="552">
        <f>H93/DAY(B2)</f>
        <v>100</v>
      </c>
      <c r="K93" s="429"/>
      <c r="L93" s="377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55">
        <f>'2'!F94</f>
        <v>189673</v>
      </c>
      <c r="F94" s="478">
        <v>189758</v>
      </c>
      <c r="G94" s="473">
        <f t="shared" si="8"/>
        <v>85</v>
      </c>
      <c r="H94" s="679">
        <f>G94+'2'!H94</f>
        <v>304</v>
      </c>
      <c r="I94" s="480"/>
      <c r="J94" s="552">
        <f>H94/DAY(B2)</f>
        <v>101.33333333333333</v>
      </c>
      <c r="K94" s="380"/>
      <c r="L94" s="377"/>
      <c r="O94" s="382"/>
    </row>
    <row r="95" spans="1:15">
      <c r="A95" s="1594" t="s">
        <v>206</v>
      </c>
      <c r="B95" s="1595"/>
      <c r="C95" s="1596"/>
      <c r="D95" s="523"/>
      <c r="E95" s="455">
        <f>'2'!F95</f>
        <v>0</v>
      </c>
      <c r="F95" s="478"/>
      <c r="G95" s="473">
        <f>G93+G94</f>
        <v>208</v>
      </c>
      <c r="H95" s="679">
        <f>G95+'2'!H95</f>
        <v>418</v>
      </c>
      <c r="I95" s="480"/>
      <c r="J95" s="552">
        <f>H95/DAY(B2)</f>
        <v>139.33333333333334</v>
      </c>
      <c r="K95" s="380"/>
      <c r="L95" s="377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55">
        <f>'2'!F96</f>
        <v>416185</v>
      </c>
      <c r="F96" s="478">
        <v>416287</v>
      </c>
      <c r="G96" s="473">
        <f t="shared" ref="G96:G101" si="9">F96-E96</f>
        <v>102</v>
      </c>
      <c r="H96" s="679">
        <f>G96+'2'!H96</f>
        <v>288</v>
      </c>
      <c r="I96" s="480"/>
      <c r="J96" s="552">
        <f>H96/DAY(B2)</f>
        <v>96</v>
      </c>
      <c r="K96" s="380"/>
      <c r="L96" s="377"/>
      <c r="O96" s="382"/>
    </row>
    <row r="97" spans="1:15" ht="27.75">
      <c r="A97" s="1300" t="s">
        <v>208</v>
      </c>
      <c r="B97" s="1301"/>
      <c r="C97" s="1301"/>
      <c r="D97" s="523" t="s">
        <v>142</v>
      </c>
      <c r="E97" s="455">
        <f>'2'!F97</f>
        <v>103195</v>
      </c>
      <c r="F97" s="478">
        <v>103225</v>
      </c>
      <c r="G97" s="473">
        <f t="shared" si="9"/>
        <v>30</v>
      </c>
      <c r="H97" s="679">
        <f>G97+'2'!H97</f>
        <v>62</v>
      </c>
      <c r="I97" s="480"/>
      <c r="J97" s="552">
        <f>H97/DAY(B2)</f>
        <v>20.666666666666668</v>
      </c>
      <c r="K97" s="427"/>
      <c r="L97" s="377"/>
      <c r="O97" s="382"/>
    </row>
    <row r="98" spans="1:15" ht="27.75">
      <c r="A98" s="1300" t="s">
        <v>209</v>
      </c>
      <c r="B98" s="1301"/>
      <c r="C98" s="1301"/>
      <c r="D98" s="523" t="s">
        <v>142</v>
      </c>
      <c r="E98" s="455">
        <f>'2'!F98</f>
        <v>98694</v>
      </c>
      <c r="F98" s="478">
        <v>98725</v>
      </c>
      <c r="G98" s="473">
        <f t="shared" si="9"/>
        <v>31</v>
      </c>
      <c r="H98" s="679">
        <f>G98+'2'!H98</f>
        <v>68</v>
      </c>
      <c r="I98" s="480"/>
      <c r="J98" s="552">
        <f>H98/DAY(B2)</f>
        <v>22.666666666666668</v>
      </c>
      <c r="K98" s="432"/>
      <c r="L98" s="377"/>
      <c r="O98" s="382"/>
    </row>
    <row r="99" spans="1:15" ht="27.75">
      <c r="A99" s="1300" t="s">
        <v>210</v>
      </c>
      <c r="B99" s="1301"/>
      <c r="C99" s="1301"/>
      <c r="D99" s="523" t="s">
        <v>142</v>
      </c>
      <c r="E99" s="455">
        <f>'2'!F99</f>
        <v>150495</v>
      </c>
      <c r="F99" s="478">
        <v>150527</v>
      </c>
      <c r="G99" s="473">
        <f t="shared" si="9"/>
        <v>32</v>
      </c>
      <c r="H99" s="679">
        <f>G99+'2'!H99</f>
        <v>122</v>
      </c>
      <c r="I99" s="480"/>
      <c r="J99" s="552">
        <f>H99/DAY(B2)</f>
        <v>40.666666666666664</v>
      </c>
      <c r="K99" s="380"/>
      <c r="L99" s="377"/>
      <c r="O99" s="382"/>
    </row>
    <row r="100" spans="1:15" ht="27.75">
      <c r="A100" s="1300" t="s">
        <v>211</v>
      </c>
      <c r="B100" s="1301"/>
      <c r="C100" s="1301"/>
      <c r="D100" s="523" t="s">
        <v>142</v>
      </c>
      <c r="E100" s="455">
        <f>'2'!F100</f>
        <v>7808</v>
      </c>
      <c r="F100" s="478">
        <v>7822</v>
      </c>
      <c r="G100" s="473">
        <f t="shared" si="9"/>
        <v>14</v>
      </c>
      <c r="H100" s="679">
        <f>G100+'2'!H100</f>
        <v>25</v>
      </c>
      <c r="I100" s="480"/>
      <c r="J100" s="552">
        <f>H100/DAY(B2)</f>
        <v>8.3333333333333339</v>
      </c>
      <c r="K100" s="380"/>
      <c r="L100" s="377"/>
      <c r="O100" s="382"/>
    </row>
    <row r="101" spans="1:15" ht="27.75">
      <c r="A101" s="1300" t="s">
        <v>212</v>
      </c>
      <c r="B101" s="1301"/>
      <c r="C101" s="1301"/>
      <c r="D101" s="523" t="s">
        <v>142</v>
      </c>
      <c r="E101" s="455">
        <f>'2'!F101</f>
        <v>5684</v>
      </c>
      <c r="F101" s="478">
        <v>5689</v>
      </c>
      <c r="G101" s="473">
        <f t="shared" si="9"/>
        <v>5</v>
      </c>
      <c r="H101" s="679">
        <f>G101+'2'!H101</f>
        <v>15</v>
      </c>
      <c r="I101" s="480"/>
      <c r="J101" s="552">
        <f>H101/DAY(B2)</f>
        <v>5</v>
      </c>
      <c r="K101" s="380"/>
      <c r="L101" s="377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525">
        <f>SUM(G96:G101)</f>
        <v>214</v>
      </c>
      <c r="H102" s="679">
        <f>G102+'2'!H102</f>
        <v>580</v>
      </c>
      <c r="I102" s="526"/>
      <c r="J102" s="552">
        <f>H102/DAY(B2)</f>
        <v>193.33333333333334</v>
      </c>
      <c r="K102" s="380"/>
      <c r="L102" s="377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455"/>
      <c r="F104" s="658"/>
      <c r="G104" s="532"/>
      <c r="H104" s="533"/>
      <c r="I104" s="532"/>
      <c r="J104" s="558"/>
      <c r="O104" s="382"/>
    </row>
    <row r="105" spans="1:15" s="442" customFormat="1" ht="27.75">
      <c r="A105" s="1552" t="s">
        <v>217</v>
      </c>
      <c r="B105" s="1553"/>
      <c r="C105" s="1298"/>
      <c r="D105" s="622" t="s">
        <v>142</v>
      </c>
      <c r="E105" s="455">
        <f>'2'!F105</f>
        <v>7697</v>
      </c>
      <c r="F105" s="658">
        <v>7697</v>
      </c>
      <c r="G105" s="532">
        <f>F105-E105</f>
        <v>0</v>
      </c>
      <c r="H105" s="679">
        <f>G105+'2'!H105</f>
        <v>60</v>
      </c>
      <c r="I105" s="532"/>
      <c r="J105" s="558">
        <f>H109/DAY(B2)</f>
        <v>0</v>
      </c>
      <c r="O105" s="382"/>
    </row>
    <row r="106" spans="1:15" s="442" customFormat="1" ht="27.75">
      <c r="A106" s="1552" t="s">
        <v>76</v>
      </c>
      <c r="B106" s="1553"/>
      <c r="C106" s="1298"/>
      <c r="D106" s="622" t="s">
        <v>142</v>
      </c>
      <c r="E106" s="455">
        <f>'2'!F106</f>
        <v>36174</v>
      </c>
      <c r="F106" s="659">
        <v>36186</v>
      </c>
      <c r="G106" s="532">
        <f t="shared" ref="G106:G107" si="10">F106-E106</f>
        <v>12</v>
      </c>
      <c r="H106" s="679">
        <f>G106+'2'!H106</f>
        <v>24</v>
      </c>
      <c r="I106" s="532"/>
      <c r="J106" s="558">
        <f>H106/DAY(B2)</f>
        <v>8</v>
      </c>
      <c r="O106" s="382"/>
    </row>
    <row r="107" spans="1:15" s="442" customFormat="1" ht="27.75">
      <c r="A107" s="1552" t="s">
        <v>77</v>
      </c>
      <c r="B107" s="1608"/>
      <c r="C107" s="1553"/>
      <c r="D107" s="622" t="s">
        <v>142</v>
      </c>
      <c r="E107" s="455">
        <f>'2'!F107</f>
        <v>19827</v>
      </c>
      <c r="F107" s="659">
        <v>19833</v>
      </c>
      <c r="G107" s="532">
        <f t="shared" si="10"/>
        <v>6</v>
      </c>
      <c r="H107" s="679">
        <f>G107+'2'!H107</f>
        <v>11</v>
      </c>
      <c r="I107" s="532"/>
      <c r="J107" s="558">
        <f>H107/DAY(B2)</f>
        <v>3.6666666666666665</v>
      </c>
      <c r="O107" s="382"/>
    </row>
    <row r="108" spans="1:15" s="442" customFormat="1" ht="27.75">
      <c r="A108" s="1558" t="s">
        <v>200</v>
      </c>
      <c r="B108" s="1559"/>
      <c r="C108" s="1298"/>
      <c r="D108" s="622"/>
      <c r="E108" s="455"/>
      <c r="F108" s="659" t="s">
        <v>266</v>
      </c>
      <c r="G108" s="532">
        <f>SUM(G105:G107)</f>
        <v>18</v>
      </c>
      <c r="H108" s="679">
        <f>G108+'2'!H108</f>
        <v>95</v>
      </c>
      <c r="I108" s="532"/>
      <c r="J108" s="558">
        <f>H108/DAY(B2)</f>
        <v>31.666666666666668</v>
      </c>
      <c r="O108" s="382"/>
    </row>
    <row r="109" spans="1:15" s="442" customFormat="1" ht="27.75">
      <c r="A109" s="1606" t="s">
        <v>78</v>
      </c>
      <c r="B109" s="1607"/>
      <c r="C109" s="1298"/>
      <c r="D109" s="622" t="s">
        <v>142</v>
      </c>
      <c r="E109" s="455"/>
      <c r="F109" s="659"/>
      <c r="G109" s="532"/>
      <c r="H109" s="679">
        <f>G109+'2'!H109</f>
        <v>0</v>
      </c>
      <c r="I109" s="532"/>
      <c r="J109" s="558"/>
      <c r="O109" s="382"/>
    </row>
    <row r="110" spans="1:15" s="442" customFormat="1" ht="27.75">
      <c r="A110" s="1552" t="s">
        <v>218</v>
      </c>
      <c r="B110" s="1553"/>
      <c r="C110" s="1298"/>
      <c r="D110" s="622" t="s">
        <v>142</v>
      </c>
      <c r="E110" s="455">
        <f>'2'!F110</f>
        <v>65005</v>
      </c>
      <c r="F110" s="659">
        <v>65048</v>
      </c>
      <c r="G110" s="532">
        <f>F110-E110</f>
        <v>43</v>
      </c>
      <c r="H110" s="679">
        <f>G110+'2'!H110</f>
        <v>205</v>
      </c>
      <c r="I110" s="532"/>
      <c r="J110" s="558">
        <f>H110/DAY(B2)</f>
        <v>68.333333333333329</v>
      </c>
      <c r="O110" s="382"/>
    </row>
    <row r="111" spans="1:15" s="442" customFormat="1" ht="27.75">
      <c r="A111" s="1552" t="s">
        <v>219</v>
      </c>
      <c r="B111" s="1553"/>
      <c r="C111" s="1298"/>
      <c r="D111" s="622" t="s">
        <v>142</v>
      </c>
      <c r="E111" s="455">
        <f>'2'!F111</f>
        <v>33252</v>
      </c>
      <c r="F111" s="659">
        <v>33252</v>
      </c>
      <c r="G111" s="532">
        <f t="shared" ref="G111:G112" si="11">F111-E111</f>
        <v>0</v>
      </c>
      <c r="H111" s="679">
        <f>G111+'2'!H111</f>
        <v>123</v>
      </c>
      <c r="I111" s="532"/>
      <c r="J111" s="558">
        <f>H111/DAY(B2)</f>
        <v>41</v>
      </c>
      <c r="O111" s="382"/>
    </row>
    <row r="112" spans="1:15" s="442" customFormat="1" ht="27.75">
      <c r="A112" s="1552" t="s">
        <v>220</v>
      </c>
      <c r="B112" s="1553"/>
      <c r="C112" s="1298"/>
      <c r="D112" s="622" t="s">
        <v>142</v>
      </c>
      <c r="E112" s="455">
        <f>'2'!F112</f>
        <v>4621</v>
      </c>
      <c r="F112" s="659">
        <v>4621.3</v>
      </c>
      <c r="G112" s="532">
        <f t="shared" si="11"/>
        <v>0.3000000000001819</v>
      </c>
      <c r="H112" s="679">
        <f>G112+'2'!H112</f>
        <v>0.3000000000001819</v>
      </c>
      <c r="I112" s="532"/>
      <c r="J112" s="558">
        <f>H112/DAY(B2)</f>
        <v>0.10000000000006064</v>
      </c>
      <c r="O112" s="382"/>
    </row>
    <row r="113" spans="1:15" s="442" customFormat="1" ht="27.75">
      <c r="A113" s="1558" t="s">
        <v>109</v>
      </c>
      <c r="B113" s="1559"/>
      <c r="C113" s="1298"/>
      <c r="D113" s="622"/>
      <c r="E113" s="455"/>
      <c r="F113" s="659"/>
      <c r="G113" s="532">
        <f>SUM(G110:G112)</f>
        <v>43.300000000000182</v>
      </c>
      <c r="H113" s="679">
        <f>G113+'2'!H113</f>
        <v>328.30000000000018</v>
      </c>
      <c r="I113" s="532"/>
      <c r="J113" s="558">
        <f>H113/DAY(B2)</f>
        <v>109.43333333333339</v>
      </c>
      <c r="O113" s="382"/>
    </row>
    <row r="114" spans="1:15" s="442" customFormat="1" ht="27.75">
      <c r="A114" s="1606" t="s">
        <v>221</v>
      </c>
      <c r="B114" s="1607"/>
      <c r="C114" s="1298"/>
      <c r="D114" s="622"/>
      <c r="E114" s="455"/>
      <c r="F114" s="658"/>
      <c r="G114" s="532"/>
      <c r="H114" s="679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52" t="s">
        <v>222</v>
      </c>
      <c r="B115" s="1553"/>
      <c r="C115" s="1297"/>
      <c r="D115" s="622" t="s">
        <v>142</v>
      </c>
      <c r="E115" s="455">
        <f>'2'!F115</f>
        <v>12027</v>
      </c>
      <c r="F115" s="659">
        <v>12044</v>
      </c>
      <c r="G115" s="534">
        <f>F115-E115</f>
        <v>17</v>
      </c>
      <c r="H115" s="679">
        <f>G115+'2'!H115</f>
        <v>31</v>
      </c>
      <c r="I115" s="532"/>
      <c r="J115" s="558">
        <f>H115/DAY(B2)</f>
        <v>10.333333333333334</v>
      </c>
      <c r="O115" s="382"/>
    </row>
    <row r="116" spans="1:15" s="442" customFormat="1" ht="27.75">
      <c r="A116" s="1552" t="s">
        <v>223</v>
      </c>
      <c r="B116" s="1553"/>
      <c r="C116" s="1297"/>
      <c r="D116" s="622" t="s">
        <v>142</v>
      </c>
      <c r="E116" s="455">
        <f>'2'!F116</f>
        <v>8566</v>
      </c>
      <c r="F116" s="659">
        <v>8573</v>
      </c>
      <c r="G116" s="534">
        <f t="shared" ref="G116:G117" si="12">F116-E116</f>
        <v>7</v>
      </c>
      <c r="H116" s="679">
        <f>G116+'2'!H116</f>
        <v>18</v>
      </c>
      <c r="I116" s="532"/>
      <c r="J116" s="558">
        <f>H116/DAY(B2)</f>
        <v>6</v>
      </c>
      <c r="O116" s="382"/>
    </row>
    <row r="117" spans="1:15" s="442" customFormat="1" ht="27.75">
      <c r="A117" s="1552" t="s">
        <v>224</v>
      </c>
      <c r="B117" s="1553"/>
      <c r="C117" s="1297"/>
      <c r="D117" s="622" t="s">
        <v>142</v>
      </c>
      <c r="E117" s="455"/>
      <c r="F117" s="659"/>
      <c r="G117" s="534">
        <f t="shared" si="12"/>
        <v>0</v>
      </c>
      <c r="H117" s="679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8" t="s">
        <v>200</v>
      </c>
      <c r="B118" s="1559"/>
      <c r="C118" s="1297"/>
      <c r="D118" s="780"/>
      <c r="E118" s="455"/>
      <c r="F118" s="659"/>
      <c r="G118" s="534">
        <f>SUM(G115:G117)</f>
        <v>24</v>
      </c>
      <c r="H118" s="679">
        <f>G118+'2'!H118</f>
        <v>49</v>
      </c>
      <c r="I118" s="534"/>
      <c r="J118" s="558">
        <f>H118/DAY(B2)</f>
        <v>16.333333333333332</v>
      </c>
      <c r="O118" s="382"/>
    </row>
    <row r="119" spans="1:15" s="445" customFormat="1" ht="27.75">
      <c r="A119" s="1550" t="s">
        <v>225</v>
      </c>
      <c r="B119" s="1551"/>
      <c r="C119" s="1297"/>
      <c r="D119" s="624" t="s">
        <v>142</v>
      </c>
      <c r="E119" s="455"/>
      <c r="F119" s="660">
        <f>SUM(G19+G93)</f>
        <v>183</v>
      </c>
      <c r="G119" s="536">
        <f>SUM(G19+G93)</f>
        <v>183</v>
      </c>
      <c r="H119" s="679">
        <f>G119+'2'!H119</f>
        <v>486</v>
      </c>
      <c r="I119" s="535"/>
      <c r="J119" s="559">
        <f>H119/DAY(B2)</f>
        <v>162</v>
      </c>
      <c r="O119" s="382"/>
    </row>
    <row r="120" spans="1:15" s="445" customFormat="1" ht="27.75">
      <c r="A120" s="1550" t="s">
        <v>226</v>
      </c>
      <c r="B120" s="1551"/>
      <c r="C120" s="1297"/>
      <c r="D120" s="624" t="s">
        <v>142</v>
      </c>
      <c r="E120" s="536"/>
      <c r="F120" s="660">
        <f>SUM(G96,G97,G98,G100,G101)</f>
        <v>182</v>
      </c>
      <c r="G120" s="536">
        <f>SUM(G96,G97,G98,G100,G101)</f>
        <v>182</v>
      </c>
      <c r="H120" s="679">
        <f>G120+'2'!H120</f>
        <v>458</v>
      </c>
      <c r="I120" s="535"/>
      <c r="J120" s="559">
        <f>H120/DAY(B2)</f>
        <v>152.66666666666666</v>
      </c>
      <c r="O120" s="382"/>
    </row>
    <row r="121" spans="1:15" s="445" customFormat="1" ht="27.75">
      <c r="A121" s="1550" t="s">
        <v>227</v>
      </c>
      <c r="B121" s="1551"/>
      <c r="C121" s="1297"/>
      <c r="D121" s="624" t="s">
        <v>142</v>
      </c>
      <c r="E121" s="534"/>
      <c r="F121" s="659">
        <f>SUM(G113)</f>
        <v>43.300000000000182</v>
      </c>
      <c r="G121" s="534">
        <f>SUM(G113)</f>
        <v>43.300000000000182</v>
      </c>
      <c r="H121" s="679">
        <f>G121+'2'!H121</f>
        <v>328.30000000000018</v>
      </c>
      <c r="I121" s="535"/>
      <c r="J121" s="559">
        <f>H121/DAY(B2)</f>
        <v>109.43333333333339</v>
      </c>
      <c r="O121" s="382"/>
    </row>
    <row r="122" spans="1:15" s="442" customFormat="1" ht="27.75">
      <c r="A122" s="1552"/>
      <c r="B122" s="1553"/>
      <c r="C122" s="1298"/>
      <c r="D122" s="560"/>
      <c r="E122" s="560"/>
      <c r="F122" s="661" t="s">
        <v>213</v>
      </c>
      <c r="G122" s="560"/>
      <c r="H122" s="561"/>
      <c r="I122" s="560"/>
      <c r="J122" s="562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0" t="s">
        <v>229</v>
      </c>
      <c r="B124" s="1301"/>
      <c r="C124" s="1301"/>
      <c r="D124" s="523" t="s">
        <v>139</v>
      </c>
      <c r="E124" s="455">
        <f>'2'!F124</f>
        <v>840198.75</v>
      </c>
      <c r="F124" s="651">
        <v>840500.47</v>
      </c>
      <c r="G124" s="473">
        <f t="shared" ref="G124:G128" si="13">F124-E124</f>
        <v>301.71999999997206</v>
      </c>
      <c r="H124" s="679">
        <f>G124+'2'!H124</f>
        <v>830.46999999997206</v>
      </c>
      <c r="I124" s="526"/>
      <c r="J124" s="552">
        <f>H124/DAY(B2)</f>
        <v>276.823333333324</v>
      </c>
      <c r="K124" s="380"/>
      <c r="L124" s="377"/>
      <c r="O124" s="382"/>
    </row>
    <row r="125" spans="1:15" ht="27.75">
      <c r="A125" s="1300" t="s">
        <v>230</v>
      </c>
      <c r="B125" s="1301"/>
      <c r="C125" s="1301"/>
      <c r="D125" s="523" t="s">
        <v>139</v>
      </c>
      <c r="E125" s="455">
        <f>'2'!F125</f>
        <v>73583.399999999994</v>
      </c>
      <c r="F125" s="651">
        <v>73583.399999999994</v>
      </c>
      <c r="G125" s="473">
        <f t="shared" si="13"/>
        <v>0</v>
      </c>
      <c r="H125" s="679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55">
        <f>'2'!F126</f>
        <v>148791.42000000001</v>
      </c>
      <c r="F126" s="651">
        <v>148867.96</v>
      </c>
      <c r="G126" s="473">
        <f t="shared" si="13"/>
        <v>76.539999999979045</v>
      </c>
      <c r="H126" s="679">
        <f>G126+'2'!H126</f>
        <v>270.95999999999185</v>
      </c>
      <c r="I126" s="526"/>
      <c r="J126" s="552">
        <f>H126/DAY(B2)</f>
        <v>90.319999999997279</v>
      </c>
      <c r="K126" s="380"/>
      <c r="L126" s="377"/>
      <c r="O126" s="382"/>
    </row>
    <row r="127" spans="1:15" ht="27.75">
      <c r="A127" s="609" t="s">
        <v>232</v>
      </c>
      <c r="B127" s="1301"/>
      <c r="C127" s="1301"/>
      <c r="D127" s="523" t="s">
        <v>139</v>
      </c>
      <c r="E127" s="455">
        <f>'2'!F127</f>
        <v>32140.5</v>
      </c>
      <c r="F127" s="651">
        <v>32182.2</v>
      </c>
      <c r="G127" s="473">
        <f t="shared" si="13"/>
        <v>41.700000000000728</v>
      </c>
      <c r="H127" s="679">
        <f>G127+'2'!H127</f>
        <v>111.20000000000073</v>
      </c>
      <c r="I127" s="526"/>
      <c r="J127" s="552">
        <f>H127/DAY(B2)</f>
        <v>37.066666666666912</v>
      </c>
      <c r="K127" s="380"/>
      <c r="L127" s="377"/>
      <c r="O127" s="382"/>
    </row>
    <row r="128" spans="1:15" ht="27.75">
      <c r="A128" s="609" t="s">
        <v>233</v>
      </c>
      <c r="B128" s="1301"/>
      <c r="C128" s="1301"/>
      <c r="D128" s="523" t="s">
        <v>139</v>
      </c>
      <c r="E128" s="455">
        <f>'2'!F128</f>
        <v>9018.9</v>
      </c>
      <c r="F128" s="651">
        <v>9024.4</v>
      </c>
      <c r="G128" s="473">
        <f t="shared" si="13"/>
        <v>5.5</v>
      </c>
      <c r="H128" s="679">
        <f>G128+'2'!H128</f>
        <v>12.399999999999636</v>
      </c>
      <c r="I128" s="480"/>
      <c r="J128" s="552">
        <f>H128/DAY(B2)</f>
        <v>4.1333333333332121</v>
      </c>
      <c r="K128" s="380"/>
      <c r="L128" s="377"/>
      <c r="O128" s="382"/>
    </row>
    <row r="129" spans="1:15" s="281" customFormat="1" ht="27.75">
      <c r="A129" s="609" t="s">
        <v>234</v>
      </c>
      <c r="B129" s="1301"/>
      <c r="C129" s="1301"/>
      <c r="D129" s="523"/>
      <c r="E129" s="455">
        <f>'2'!F129</f>
        <v>0</v>
      </c>
      <c r="F129" s="478"/>
      <c r="G129" s="473">
        <f>G15-SUM(G124:G128)</f>
        <v>514.8079999999718</v>
      </c>
      <c r="H129" s="679">
        <f>G129+'2'!H129</f>
        <v>1144.4900000000544</v>
      </c>
      <c r="I129" s="480"/>
      <c r="J129" s="552">
        <f>H129/DAY(B2)</f>
        <v>381.4966666666848</v>
      </c>
      <c r="K129" s="364"/>
      <c r="L129" s="292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0" t="s">
        <v>236</v>
      </c>
      <c r="B131" s="1301"/>
      <c r="C131" s="1301"/>
      <c r="D131" s="523" t="s">
        <v>237</v>
      </c>
      <c r="E131" s="455">
        <f>'2'!F131</f>
        <v>0</v>
      </c>
      <c r="F131" s="478">
        <v>0</v>
      </c>
      <c r="G131" s="473">
        <f t="shared" ref="G131:G141" si="14">F131-E131</f>
        <v>0</v>
      </c>
      <c r="H131" s="679">
        <f>G131+'2'!H131</f>
        <v>0</v>
      </c>
      <c r="I131" s="480"/>
      <c r="J131" s="552">
        <f>H131/DAY(B2)</f>
        <v>0</v>
      </c>
      <c r="O131" s="382"/>
    </row>
    <row r="132" spans="1:15" ht="27.75">
      <c r="A132" s="1300" t="s">
        <v>238</v>
      </c>
      <c r="B132" s="1301"/>
      <c r="C132" s="1301"/>
      <c r="D132" s="523" t="s">
        <v>237</v>
      </c>
      <c r="E132" s="455">
        <f>'2'!F132</f>
        <v>0</v>
      </c>
      <c r="F132" s="651">
        <v>0</v>
      </c>
      <c r="G132" s="473">
        <f t="shared" si="14"/>
        <v>0</v>
      </c>
      <c r="H132" s="679">
        <f>G132+'2'!H132</f>
        <v>0</v>
      </c>
      <c r="I132" s="480"/>
      <c r="J132" s="552">
        <f>H132/DAY(B2)</f>
        <v>0</v>
      </c>
      <c r="O132" s="382"/>
    </row>
    <row r="133" spans="1:15" ht="27.75">
      <c r="A133" s="1300" t="s">
        <v>239</v>
      </c>
      <c r="B133" s="1301"/>
      <c r="C133" s="1301"/>
      <c r="D133" s="523" t="s">
        <v>237</v>
      </c>
      <c r="E133" s="455">
        <f>'2'!F133</f>
        <v>40482.29</v>
      </c>
      <c r="F133" s="651">
        <v>40506</v>
      </c>
      <c r="G133" s="473">
        <f t="shared" si="14"/>
        <v>23.709999999999127</v>
      </c>
      <c r="H133" s="679">
        <f>G133+'2'!H133</f>
        <v>53</v>
      </c>
      <c r="I133" s="480"/>
      <c r="J133" s="552">
        <f>H133/DAY(B2)</f>
        <v>17.666666666666668</v>
      </c>
      <c r="O133" s="382"/>
    </row>
    <row r="134" spans="1:15" ht="27.75">
      <c r="A134" s="1300" t="s">
        <v>240</v>
      </c>
      <c r="B134" s="1301"/>
      <c r="C134" s="1301"/>
      <c r="D134" s="523" t="s">
        <v>237</v>
      </c>
      <c r="E134" s="455">
        <f>'2'!F134</f>
        <v>300</v>
      </c>
      <c r="F134" s="651">
        <v>300</v>
      </c>
      <c r="G134" s="473">
        <f t="shared" si="14"/>
        <v>0</v>
      </c>
      <c r="H134" s="679">
        <f>G134+'2'!H134</f>
        <v>0</v>
      </c>
      <c r="I134" s="480"/>
      <c r="J134" s="552">
        <f>H134/DAY(B2)</f>
        <v>0</v>
      </c>
      <c r="O134" s="382"/>
    </row>
    <row r="135" spans="1:15" ht="27.75">
      <c r="A135" s="1300" t="s">
        <v>241</v>
      </c>
      <c r="B135" s="1301"/>
      <c r="C135" s="1301"/>
      <c r="D135" s="523" t="s">
        <v>237</v>
      </c>
      <c r="E135" s="455">
        <f>'2'!F135</f>
        <v>42003.040000000001</v>
      </c>
      <c r="F135" s="651">
        <v>42007.197999999997</v>
      </c>
      <c r="G135" s="473">
        <f t="shared" si="14"/>
        <v>4.157999999995809</v>
      </c>
      <c r="H135" s="679">
        <f>G135+'2'!H135</f>
        <v>35.197999999996682</v>
      </c>
      <c r="I135" s="480"/>
      <c r="J135" s="552">
        <f>H135/DAY(B2)</f>
        <v>11.73266666666556</v>
      </c>
      <c r="O135" s="382"/>
    </row>
    <row r="136" spans="1:15" ht="27.75">
      <c r="A136" s="1300" t="s">
        <v>242</v>
      </c>
      <c r="B136" s="1301"/>
      <c r="C136" s="1301"/>
      <c r="D136" s="523" t="s">
        <v>237</v>
      </c>
      <c r="E136" s="455">
        <f>'2'!F136</f>
        <v>32874</v>
      </c>
      <c r="F136" s="651">
        <v>32874</v>
      </c>
      <c r="G136" s="473">
        <f t="shared" si="14"/>
        <v>0</v>
      </c>
      <c r="H136" s="679">
        <f>G136+'2'!H136</f>
        <v>0</v>
      </c>
      <c r="I136" s="480">
        <f t="shared" ref="I136" si="15">G133+G134+G135+G136</f>
        <v>27.867999999994936</v>
      </c>
      <c r="J136" s="552">
        <f>H136/DAY(B2)</f>
        <v>0</v>
      </c>
      <c r="O136" s="382"/>
    </row>
    <row r="137" spans="1:15" ht="27.75">
      <c r="A137" s="1300" t="s">
        <v>243</v>
      </c>
      <c r="B137" s="1301"/>
      <c r="C137" s="1301"/>
      <c r="D137" s="523" t="s">
        <v>237</v>
      </c>
      <c r="E137" s="455">
        <f>'2'!F137</f>
        <v>22901.66</v>
      </c>
      <c r="F137" s="651">
        <v>22911.79</v>
      </c>
      <c r="G137" s="473">
        <f t="shared" si="14"/>
        <v>10.130000000001019</v>
      </c>
      <c r="H137" s="679">
        <f>G137+'2'!H137</f>
        <v>20.299999999999272</v>
      </c>
      <c r="I137" s="480"/>
      <c r="J137" s="552">
        <f>H137/DAY(B2)</f>
        <v>6.7666666666664241</v>
      </c>
      <c r="O137" s="382"/>
    </row>
    <row r="138" spans="1:15" ht="27.75">
      <c r="A138" s="1300" t="s">
        <v>244</v>
      </c>
      <c r="B138" s="1301"/>
      <c r="C138" s="1301"/>
      <c r="D138" s="523" t="s">
        <v>237</v>
      </c>
      <c r="E138" s="455">
        <f>'2'!F138</f>
        <v>25091.39</v>
      </c>
      <c r="F138" s="651">
        <v>25091.39</v>
      </c>
      <c r="G138" s="473">
        <f t="shared" si="14"/>
        <v>0</v>
      </c>
      <c r="H138" s="679">
        <f>G138+'2'!H138</f>
        <v>0</v>
      </c>
      <c r="I138" s="480"/>
      <c r="J138" s="552">
        <f>H138/DAY(B2)</f>
        <v>0</v>
      </c>
      <c r="O138" s="382"/>
    </row>
    <row r="139" spans="1:15" ht="27.75">
      <c r="A139" s="1300" t="s">
        <v>245</v>
      </c>
      <c r="B139" s="1301"/>
      <c r="C139" s="1301"/>
      <c r="D139" s="523" t="s">
        <v>237</v>
      </c>
      <c r="E139" s="455">
        <f>'2'!F139</f>
        <v>70513.62</v>
      </c>
      <c r="F139" s="651">
        <v>70513.62</v>
      </c>
      <c r="G139" s="473">
        <f t="shared" si="14"/>
        <v>0</v>
      </c>
      <c r="H139" s="679">
        <f>G139+'2'!H139</f>
        <v>0</v>
      </c>
      <c r="I139" s="480">
        <f>G137+G138+G139</f>
        <v>10.130000000001019</v>
      </c>
      <c r="J139" s="552">
        <f>H139/DAY(B2)</f>
        <v>0</v>
      </c>
      <c r="O139" s="382"/>
    </row>
    <row r="140" spans="1:15" ht="27.75">
      <c r="A140" s="1300" t="s">
        <v>246</v>
      </c>
      <c r="B140" s="1301"/>
      <c r="C140" s="1301"/>
      <c r="D140" s="523" t="s">
        <v>237</v>
      </c>
      <c r="E140" s="455">
        <f>'2'!F140</f>
        <v>2148.79</v>
      </c>
      <c r="F140" s="651">
        <v>2159.91</v>
      </c>
      <c r="G140" s="473">
        <f t="shared" si="14"/>
        <v>11.119999999999891</v>
      </c>
      <c r="H140" s="679">
        <f>G140+'2'!H140</f>
        <v>30.730000000000018</v>
      </c>
      <c r="I140" s="542"/>
      <c r="J140" s="552">
        <f>H140/DAY(B2)</f>
        <v>10.243333333333339</v>
      </c>
      <c r="O140" s="382"/>
    </row>
    <row r="141" spans="1:15" ht="27.75">
      <c r="A141" s="1300" t="s">
        <v>247</v>
      </c>
      <c r="B141" s="1301"/>
      <c r="C141" s="1301"/>
      <c r="D141" s="523" t="s">
        <v>237</v>
      </c>
      <c r="E141" s="455">
        <f>'2'!F141</f>
        <v>4636.97</v>
      </c>
      <c r="F141" s="651">
        <v>4636.97</v>
      </c>
      <c r="G141" s="473">
        <f t="shared" si="14"/>
        <v>0</v>
      </c>
      <c r="H141" s="679">
        <f>G141+'2'!H141</f>
        <v>-2.9999999999745341E-2</v>
      </c>
      <c r="I141" s="542">
        <f>G141+G181</f>
        <v>0</v>
      </c>
      <c r="J141" s="552">
        <f>H141/DAY(B2)</f>
        <v>-9.9999999999151132E-3</v>
      </c>
      <c r="O141" s="382"/>
    </row>
    <row r="142" spans="1:15">
      <c r="A142" s="1565" t="s">
        <v>248</v>
      </c>
      <c r="B142" s="1566"/>
      <c r="C142" s="1306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5655.2000000000698</v>
      </c>
      <c r="H143" s="679">
        <f>G143+'2'!H143</f>
        <v>16612.229999999981</v>
      </c>
      <c r="I143" s="480"/>
      <c r="J143" s="552">
        <f>H143/DAY(B2)</f>
        <v>5537.4099999999935</v>
      </c>
      <c r="K143" s="380"/>
      <c r="L143" s="377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0.25665498031474043</v>
      </c>
      <c r="H144" s="679">
        <f>G144+'2'!H144</f>
        <v>0.75525529027942839</v>
      </c>
      <c r="I144" s="544"/>
      <c r="J144" s="552">
        <f>H144/DAY(B2)</f>
        <v>0.25175176342647615</v>
      </c>
      <c r="K144" s="380"/>
      <c r="L144" s="377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6902.2899999998917</v>
      </c>
      <c r="H145" s="679">
        <f>G145+'2'!H145</f>
        <v>21122.059999999918</v>
      </c>
      <c r="I145" s="480"/>
      <c r="J145" s="552">
        <f>H145/DAY(B2)</f>
        <v>7040.6866666666392</v>
      </c>
      <c r="K145" s="380"/>
      <c r="L145" s="377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0.31325277692682491</v>
      </c>
      <c r="H146" s="679">
        <f>G146+'2'!H146</f>
        <v>0.95823038162857888</v>
      </c>
      <c r="I146" s="544"/>
      <c r="J146" s="552">
        <f>H146/DAY(B2)</f>
        <v>0.31941012720952627</v>
      </c>
      <c r="K146" s="380"/>
      <c r="L146" s="377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3847.8400000000256</v>
      </c>
      <c r="H147" s="679">
        <f>G147+'2'!H147</f>
        <v>11381.340000000026</v>
      </c>
      <c r="I147" s="545"/>
      <c r="J147" s="552">
        <f>H147/DAY(B2)</f>
        <v>3793.7800000000084</v>
      </c>
      <c r="K147" s="380"/>
      <c r="L147" s="377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0.17462995109885862</v>
      </c>
      <c r="H148" s="679">
        <f>G148+'2'!H148</f>
        <v>0.51753769399279359</v>
      </c>
      <c r="I148" s="545"/>
      <c r="J148" s="552">
        <f>H148/DAY(B2)</f>
        <v>0.17251256466426454</v>
      </c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1669.2400000000198</v>
      </c>
      <c r="H149" s="679">
        <f>G149+'2'!H149</f>
        <v>4894.070000000007</v>
      </c>
      <c r="I149" s="480"/>
      <c r="J149" s="552">
        <f>H149/DAY(B2)</f>
        <v>1631.3566666666691</v>
      </c>
      <c r="K149" s="381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7.5756606192632817E-2</v>
      </c>
      <c r="H150" s="679">
        <f>G150+'2'!H150</f>
        <v>0.22212736178328402</v>
      </c>
      <c r="I150" s="545"/>
      <c r="J150" s="552">
        <f>H150/DAY(B2)</f>
        <v>7.4042453927761334E-2</v>
      </c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1766.0199999999277</v>
      </c>
      <c r="H151" s="679">
        <f>G151+'2'!H151</f>
        <v>6075.9399999999478</v>
      </c>
      <c r="I151" s="545"/>
      <c r="J151" s="552">
        <f>H151/DAY(B2)</f>
        <v>2025.313333333316</v>
      </c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8.0148859162437011E-2</v>
      </c>
      <c r="H152" s="679">
        <f>G152+'2'!H152</f>
        <v>0.27538824247931737</v>
      </c>
      <c r="I152" s="480"/>
      <c r="J152" s="552">
        <f>H152/DAY(B2)</f>
        <v>9.1796080826439128E-2</v>
      </c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1600.140000000014</v>
      </c>
      <c r="H153" s="679">
        <f>G153+'2'!H153</f>
        <v>4516.3399999999965</v>
      </c>
      <c r="I153" s="480"/>
      <c r="J153" s="552">
        <f>H153/DAY(B2)</f>
        <v>1505.4466666666656</v>
      </c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7.2620579325369097E-2</v>
      </c>
      <c r="H154" s="679">
        <f>G154+'2'!H154</f>
        <v>0.20531795966869132</v>
      </c>
      <c r="I154" s="568"/>
      <c r="J154" s="569">
        <f>H154/DAY(B2)</f>
        <v>6.8439319889563768E-2</v>
      </c>
      <c r="O154" s="382"/>
    </row>
    <row r="155" spans="1:15">
      <c r="O155" s="382"/>
    </row>
    <row r="158" spans="1:15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261</v>
      </c>
      <c r="B161" s="785"/>
      <c r="C161" s="785"/>
      <c r="D161" s="511" t="s">
        <v>185</v>
      </c>
      <c r="E161" s="455">
        <f>'2'!F161</f>
        <v>41004.730000000003</v>
      </c>
      <c r="F161" s="658">
        <v>41085.230000000003</v>
      </c>
      <c r="G161" s="473">
        <f t="shared" ref="G161:G172" si="16">F161-E161</f>
        <v>80.5</v>
      </c>
    </row>
    <row r="162" spans="1:15">
      <c r="A162" s="784" t="s">
        <v>262</v>
      </c>
      <c r="B162" s="785"/>
      <c r="C162" s="785"/>
      <c r="D162" s="511" t="s">
        <v>185</v>
      </c>
      <c r="E162" s="455">
        <f>'2'!F162</f>
        <v>108697.57</v>
      </c>
      <c r="F162" s="658">
        <v>109179.36</v>
      </c>
      <c r="G162" s="473">
        <f t="shared" si="16"/>
        <v>481.7899999999936</v>
      </c>
    </row>
    <row r="163" spans="1:15">
      <c r="A163" s="784" t="s">
        <v>263</v>
      </c>
      <c r="B163" s="785"/>
      <c r="C163" s="785"/>
      <c r="D163" s="511" t="s">
        <v>185</v>
      </c>
      <c r="E163" s="455">
        <f>'2'!F163</f>
        <v>61641.7</v>
      </c>
      <c r="F163" s="658">
        <v>61852.59</v>
      </c>
      <c r="G163" s="473">
        <f t="shared" si="16"/>
        <v>210.88999999999942</v>
      </c>
    </row>
    <row r="164" spans="1:15">
      <c r="A164" s="784" t="s">
        <v>264</v>
      </c>
      <c r="B164" s="785"/>
      <c r="C164" s="785"/>
      <c r="D164" s="511" t="s">
        <v>185</v>
      </c>
      <c r="E164" s="455">
        <f>'2'!F164</f>
        <v>6869.59</v>
      </c>
      <c r="F164" s="658">
        <v>6880.13</v>
      </c>
      <c r="G164" s="473">
        <f t="shared" si="16"/>
        <v>10.539999999999964</v>
      </c>
    </row>
    <row r="165" spans="1:15">
      <c r="A165" s="786" t="s">
        <v>97</v>
      </c>
      <c r="B165" s="604"/>
      <c r="C165" s="604"/>
      <c r="D165" s="511" t="s">
        <v>185</v>
      </c>
      <c r="E165" s="455">
        <f>'2'!F165</f>
        <v>20419</v>
      </c>
      <c r="F165" s="514">
        <f>F62</f>
        <v>20419</v>
      </c>
      <c r="G165" s="473">
        <f t="shared" si="16"/>
        <v>0</v>
      </c>
    </row>
    <row r="166" spans="1:15">
      <c r="A166" s="786" t="s">
        <v>186</v>
      </c>
      <c r="B166" s="604"/>
      <c r="C166" s="604"/>
      <c r="D166" s="511" t="s">
        <v>185</v>
      </c>
      <c r="E166" s="455">
        <f>'2'!F166</f>
        <v>0</v>
      </c>
      <c r="F166" s="514">
        <v>2370</v>
      </c>
      <c r="G166" s="473">
        <f t="shared" si="16"/>
        <v>2370</v>
      </c>
    </row>
    <row r="167" spans="1:15" ht="21.75" customHeight="1">
      <c r="A167" s="1549" t="s">
        <v>98</v>
      </c>
      <c r="B167" s="1549"/>
      <c r="C167" s="1549"/>
      <c r="D167" s="523" t="s">
        <v>185</v>
      </c>
      <c r="E167" s="455">
        <f>'2'!F167</f>
        <v>170770.31</v>
      </c>
      <c r="F167" s="514">
        <f t="shared" ref="F167:F172" si="17">F64</f>
        <v>171149.29</v>
      </c>
      <c r="G167" s="473">
        <f t="shared" si="16"/>
        <v>378.98000000001048</v>
      </c>
    </row>
    <row r="168" spans="1:15" ht="21.75" customHeight="1">
      <c r="A168" s="1549" t="s">
        <v>99</v>
      </c>
      <c r="B168" s="1549"/>
      <c r="C168" s="1549"/>
      <c r="D168" s="523" t="s">
        <v>185</v>
      </c>
      <c r="E168" s="455">
        <f>'2'!F168</f>
        <v>171158.21</v>
      </c>
      <c r="F168" s="514">
        <f t="shared" si="17"/>
        <v>171590.13</v>
      </c>
      <c r="G168" s="473">
        <f t="shared" si="16"/>
        <v>431.92000000001281</v>
      </c>
    </row>
    <row r="169" spans="1:15" ht="21.75" customHeight="1">
      <c r="A169" s="1549" t="s">
        <v>100</v>
      </c>
      <c r="B169" s="1549"/>
      <c r="C169" s="1549"/>
      <c r="D169" s="523" t="s">
        <v>185</v>
      </c>
      <c r="E169" s="455">
        <f>'2'!F169</f>
        <v>68828.11</v>
      </c>
      <c r="F169" s="514">
        <f t="shared" si="17"/>
        <v>69249.55</v>
      </c>
      <c r="G169" s="473">
        <f t="shared" si="16"/>
        <v>421.44000000000233</v>
      </c>
      <c r="J169" s="539">
        <v>25</v>
      </c>
    </row>
    <row r="170" spans="1:15" ht="27.75" customHeight="1">
      <c r="A170" s="1549" t="s">
        <v>101</v>
      </c>
      <c r="B170" s="1549"/>
      <c r="C170" s="1549"/>
      <c r="D170" s="523" t="s">
        <v>185</v>
      </c>
      <c r="E170" s="455">
        <f>'2'!F170</f>
        <v>265932.03000000003</v>
      </c>
      <c r="F170" s="514">
        <f t="shared" si="17"/>
        <v>266461.61</v>
      </c>
      <c r="G170" s="473">
        <f t="shared" si="16"/>
        <v>529.57999999995809</v>
      </c>
      <c r="J170" s="539">
        <v>40118</v>
      </c>
    </row>
    <row r="171" spans="1:15" ht="24" customHeight="1">
      <c r="A171" s="1549" t="s">
        <v>102</v>
      </c>
      <c r="B171" s="1549"/>
      <c r="C171" s="1549"/>
      <c r="D171" s="523" t="s">
        <v>185</v>
      </c>
      <c r="E171" s="455">
        <f>'2'!F171</f>
        <v>85321</v>
      </c>
      <c r="F171" s="514">
        <f t="shared" si="17"/>
        <v>85321</v>
      </c>
      <c r="G171" s="473">
        <f t="shared" si="16"/>
        <v>0</v>
      </c>
      <c r="J171" s="539">
        <v>10</v>
      </c>
    </row>
    <row r="172" spans="1:15" ht="22.5" customHeight="1">
      <c r="A172" s="1549" t="s">
        <v>103</v>
      </c>
      <c r="B172" s="1549"/>
      <c r="C172" s="1549"/>
      <c r="D172" s="523" t="s">
        <v>185</v>
      </c>
      <c r="E172" s="455">
        <f>'2'!F172</f>
        <v>87993.33</v>
      </c>
      <c r="F172" s="514">
        <f t="shared" si="17"/>
        <v>88268.65</v>
      </c>
      <c r="G172" s="473">
        <f t="shared" si="16"/>
        <v>275.31999999999243</v>
      </c>
      <c r="J172" s="539">
        <v>70354</v>
      </c>
    </row>
    <row r="173" spans="1:15">
      <c r="J173" s="539">
        <v>19017</v>
      </c>
    </row>
    <row r="174" spans="1:15" ht="21.95" customHeight="1">
      <c r="A174" s="1609" t="s">
        <v>348</v>
      </c>
      <c r="B174" s="1609"/>
      <c r="C174" s="1504"/>
      <c r="D174" s="1505" t="s">
        <v>185</v>
      </c>
      <c r="E174" s="1506">
        <v>19012.2</v>
      </c>
      <c r="F174" s="1507">
        <v>19017</v>
      </c>
      <c r="G174" s="1508">
        <f t="shared" ref="G174:G176" si="18">F174-E174</f>
        <v>4.7999999999992724</v>
      </c>
      <c r="O174" s="377"/>
    </row>
    <row r="175" spans="1:15" ht="21.95" customHeight="1">
      <c r="A175" s="1609" t="s">
        <v>349</v>
      </c>
      <c r="B175" s="1609"/>
      <c r="C175" s="1504"/>
      <c r="D175" s="1505" t="s">
        <v>185</v>
      </c>
      <c r="E175" s="1509">
        <v>27638</v>
      </c>
      <c r="F175" s="1507">
        <v>27642</v>
      </c>
      <c r="G175" s="1508">
        <f t="shared" si="18"/>
        <v>4</v>
      </c>
      <c r="O175" s="377"/>
    </row>
    <row r="176" spans="1:15" ht="21.95" customHeight="1">
      <c r="A176" s="1609" t="s">
        <v>348</v>
      </c>
      <c r="B176" s="1609"/>
      <c r="C176" s="1504"/>
      <c r="D176" s="1505" t="s">
        <v>185</v>
      </c>
      <c r="E176" s="1506">
        <v>70348.2</v>
      </c>
      <c r="F176" s="1507">
        <v>70354</v>
      </c>
      <c r="G176" s="1508">
        <f t="shared" si="18"/>
        <v>5.8000000000029104</v>
      </c>
      <c r="O176" s="377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zoomScale="40" zoomScaleNormal="48" zoomScaleSheetLayoutView="40" workbookViewId="0">
      <selection activeCell="N25" sqref="N25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4" s="281" customFormat="1" ht="27">
      <c r="A2" s="575" t="s">
        <v>370</v>
      </c>
      <c r="B2" s="1031">
        <v>44381</v>
      </c>
      <c r="C2" s="1302" t="s">
        <v>68</v>
      </c>
      <c r="D2" s="611">
        <v>0.1</v>
      </c>
      <c r="E2" s="461"/>
      <c r="F2" s="630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4" s="281" customFormat="1" ht="27">
      <c r="A3" s="570"/>
      <c r="B3" s="614"/>
      <c r="C3" s="1302" t="s">
        <v>118</v>
      </c>
      <c r="D3" s="612">
        <v>34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2" t="s">
        <v>120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121</v>
      </c>
      <c r="B5" s="459"/>
      <c r="C5" s="459"/>
      <c r="D5" s="511" t="s">
        <v>122</v>
      </c>
      <c r="E5" s="467" t="s">
        <v>123</v>
      </c>
      <c r="F5" s="632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4">
      <c r="A6" s="1570" t="s">
        <v>128</v>
      </c>
      <c r="B6" s="1571"/>
      <c r="C6" s="1572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6" t="s">
        <v>129</v>
      </c>
      <c r="B7" s="677"/>
      <c r="C7" s="677"/>
      <c r="D7" s="637" t="s">
        <v>130</v>
      </c>
      <c r="E7" s="633">
        <f>'3'!F7</f>
        <v>988020</v>
      </c>
      <c r="F7" s="633">
        <v>1009728.65</v>
      </c>
      <c r="G7" s="689">
        <f>F7-E7</f>
        <v>21708.650000000023</v>
      </c>
      <c r="H7" s="679">
        <f>G7+'3'!H7</f>
        <v>87775.650000000023</v>
      </c>
      <c r="I7" s="680">
        <f>'[2]1'!I7</f>
        <v>12000</v>
      </c>
      <c r="J7" s="681">
        <f>H7/DAY(B2)</f>
        <v>21943.912500000006</v>
      </c>
      <c r="K7" s="549"/>
      <c r="L7" s="377"/>
      <c r="N7" s="382"/>
    </row>
    <row r="8" spans="1:14" ht="27.75" thickBot="1">
      <c r="A8" s="682" t="s">
        <v>131</v>
      </c>
      <c r="B8" s="683"/>
      <c r="C8" s="684"/>
      <c r="D8" s="685" t="s">
        <v>25</v>
      </c>
      <c r="E8" s="633">
        <f>'3'!F8</f>
        <v>993122</v>
      </c>
      <c r="F8" s="633">
        <v>1014988.6</v>
      </c>
      <c r="G8" s="1047">
        <f>F8-E8</f>
        <v>21866.599999999977</v>
      </c>
      <c r="H8" s="679">
        <f>G8+'3'!H8</f>
        <v>88266.599999999977</v>
      </c>
      <c r="I8" s="686">
        <v>12000</v>
      </c>
      <c r="J8" s="681">
        <f>H8/DAY(B2)</f>
        <v>22066.649999999994</v>
      </c>
      <c r="K8" s="549"/>
      <c r="L8" s="425"/>
      <c r="M8" s="440"/>
      <c r="N8" s="703">
        <f>G7/G8</f>
        <v>0.99277665480687649</v>
      </c>
    </row>
    <row r="9" spans="1:14">
      <c r="A9" s="687" t="s">
        <v>132</v>
      </c>
      <c r="B9" s="688"/>
      <c r="C9" s="688"/>
      <c r="D9" s="637" t="s">
        <v>130</v>
      </c>
      <c r="E9" s="633">
        <f>'3'!F9</f>
        <v>2096807.9</v>
      </c>
      <c r="F9" s="634">
        <v>2117828.81</v>
      </c>
      <c r="G9" s="702">
        <f t="shared" ref="G9:G12" si="0">F9-E9</f>
        <v>21020.910000000149</v>
      </c>
      <c r="H9" s="679">
        <f>G9+'3'!H9</f>
        <v>86826.810000000056</v>
      </c>
      <c r="I9" s="690">
        <f>I8-J8</f>
        <v>-10066.649999999994</v>
      </c>
      <c r="J9" s="681">
        <f>H9/DAY(B2)</f>
        <v>21706.702500000014</v>
      </c>
      <c r="K9" s="428"/>
      <c r="L9" s="377"/>
      <c r="N9" s="382"/>
    </row>
    <row r="10" spans="1:14">
      <c r="A10" s="676" t="s">
        <v>133</v>
      </c>
      <c r="B10" s="677"/>
      <c r="C10" s="677"/>
      <c r="D10" s="637" t="s">
        <v>130</v>
      </c>
      <c r="E10" s="633">
        <v>2606.5500000000002</v>
      </c>
      <c r="F10" s="634">
        <v>2606.5500000000002</v>
      </c>
      <c r="G10" s="689">
        <f t="shared" si="0"/>
        <v>0</v>
      </c>
      <c r="H10" s="679">
        <f>G10+'3'!H10</f>
        <v>0</v>
      </c>
      <c r="I10" s="691"/>
      <c r="J10" s="681">
        <f>H10/DAY(B2)</f>
        <v>0</v>
      </c>
      <c r="K10" s="428"/>
      <c r="L10" s="377"/>
      <c r="N10" s="382"/>
    </row>
    <row r="11" spans="1:14">
      <c r="A11" s="676" t="s">
        <v>134</v>
      </c>
      <c r="B11" s="677"/>
      <c r="C11" s="677"/>
      <c r="D11" s="637" t="s">
        <v>130</v>
      </c>
      <c r="E11" s="633">
        <f>'3'!F11</f>
        <v>37000</v>
      </c>
      <c r="F11" s="633">
        <v>37000</v>
      </c>
      <c r="G11" s="689">
        <f t="shared" si="0"/>
        <v>0</v>
      </c>
      <c r="H11" s="679">
        <f>G11+'[2]3'!H11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135</v>
      </c>
      <c r="B12" s="677"/>
      <c r="C12" s="677"/>
      <c r="D12" s="637" t="s">
        <v>130</v>
      </c>
      <c r="E12" s="633">
        <f>'3'!F12</f>
        <v>40010</v>
      </c>
      <c r="F12" s="634">
        <v>40010</v>
      </c>
      <c r="G12" s="689">
        <f t="shared" si="0"/>
        <v>0</v>
      </c>
      <c r="H12" s="679">
        <f>G12+'[2]3'!H12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136</v>
      </c>
      <c r="B13" s="693"/>
      <c r="C13" s="693"/>
      <c r="D13" s="637"/>
      <c r="E13" s="633"/>
      <c r="F13" s="633"/>
      <c r="G13" s="694">
        <f>G9+G10+G11+G12</f>
        <v>21020.910000000149</v>
      </c>
      <c r="H13" s="679">
        <f>G13+'3'!H13</f>
        <v>86826.810000000056</v>
      </c>
      <c r="I13" s="695">
        <f>G7-G13</f>
        <v>687.73999999987427</v>
      </c>
      <c r="J13" s="681">
        <f>H13/DAY(B2)</f>
        <v>21706.702500000014</v>
      </c>
      <c r="K13" s="428"/>
      <c r="L13" s="377"/>
      <c r="N13" s="382"/>
    </row>
    <row r="14" spans="1:14">
      <c r="A14" s="1573" t="s">
        <v>137</v>
      </c>
      <c r="B14" s="1574"/>
      <c r="C14" s="1575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2" t="s">
        <v>138</v>
      </c>
      <c r="B15" s="787"/>
      <c r="C15" s="787"/>
      <c r="D15" s="524" t="s">
        <v>139</v>
      </c>
      <c r="E15" s="485">
        <f>'3'!F15</f>
        <v>1706052.52</v>
      </c>
      <c r="F15" s="626">
        <v>1706839.4</v>
      </c>
      <c r="G15" s="773">
        <f>(F15-E15)</f>
        <v>786.87999999988824</v>
      </c>
      <c r="H15" s="679">
        <f>G15+'3'!H15</f>
        <v>3156.3999999999069</v>
      </c>
      <c r="I15" s="474">
        <v>800</v>
      </c>
      <c r="J15" s="553">
        <f>H15/DAY(B2)</f>
        <v>789.09999999997672</v>
      </c>
      <c r="K15" s="428"/>
      <c r="L15" s="377"/>
      <c r="N15" s="382"/>
    </row>
    <row r="16" spans="1:14">
      <c r="A16" s="790"/>
      <c r="B16" s="791"/>
      <c r="C16" s="791"/>
      <c r="D16" s="524"/>
      <c r="E16" s="485"/>
      <c r="F16" s="485"/>
      <c r="G16" s="473"/>
      <c r="H16" s="486"/>
      <c r="I16" s="487">
        <f>I15-J15</f>
        <v>10.900000000023283</v>
      </c>
      <c r="J16" s="553"/>
      <c r="K16" s="428"/>
      <c r="L16" s="377"/>
      <c r="N16" s="382"/>
    </row>
    <row r="17" spans="1:14">
      <c r="A17" s="1573" t="s">
        <v>140</v>
      </c>
      <c r="B17" s="1574"/>
      <c r="C17" s="1575"/>
      <c r="D17" s="472"/>
      <c r="E17" s="472"/>
      <c r="F17" s="483"/>
      <c r="G17" s="488" t="s">
        <v>213</v>
      </c>
      <c r="H17" s="472"/>
      <c r="I17" s="472"/>
      <c r="J17" s="551"/>
      <c r="K17" s="428"/>
      <c r="L17" s="377"/>
      <c r="N17" s="382"/>
    </row>
    <row r="18" spans="1:14" ht="27.75">
      <c r="A18" s="1610" t="s">
        <v>141</v>
      </c>
      <c r="B18" s="1611"/>
      <c r="C18" s="1612"/>
      <c r="D18" s="637" t="s">
        <v>142</v>
      </c>
      <c r="E18" s="634">
        <f>'3'!F18</f>
        <v>15</v>
      </c>
      <c r="F18" s="634">
        <v>21</v>
      </c>
      <c r="G18" s="694">
        <f>F18*10</f>
        <v>210</v>
      </c>
      <c r="H18" s="679">
        <f>G18+'3'!H18</f>
        <v>550</v>
      </c>
      <c r="I18" s="680">
        <f>'[2]1'!I18</f>
        <v>65</v>
      </c>
      <c r="J18" s="681">
        <f>H18/DAY(B2)</f>
        <v>137.5</v>
      </c>
      <c r="K18" s="428"/>
      <c r="L18" s="377"/>
      <c r="N18" s="382"/>
    </row>
    <row r="19" spans="1:14" ht="27.75">
      <c r="A19" s="1610" t="s">
        <v>70</v>
      </c>
      <c r="B19" s="1611"/>
      <c r="C19" s="1612"/>
      <c r="D19" s="637" t="s">
        <v>142</v>
      </c>
      <c r="E19" s="634">
        <f>'3'!F19</f>
        <v>141681</v>
      </c>
      <c r="F19" s="634">
        <v>141742</v>
      </c>
      <c r="G19" s="689">
        <f t="shared" ref="G19" si="1">F19-E19</f>
        <v>61</v>
      </c>
      <c r="H19" s="679">
        <f>G19+'3'!H19</f>
        <v>247</v>
      </c>
      <c r="I19" s="696"/>
      <c r="J19" s="681">
        <f>H19/DAY(B2)</f>
        <v>61.75</v>
      </c>
      <c r="K19" s="428"/>
      <c r="L19" s="377"/>
      <c r="N19" s="382"/>
    </row>
    <row r="20" spans="1:14">
      <c r="A20" s="692" t="s">
        <v>143</v>
      </c>
      <c r="B20" s="693"/>
      <c r="C20" s="693"/>
      <c r="D20" s="637"/>
      <c r="E20" s="634">
        <f>'3'!F20</f>
        <v>0</v>
      </c>
      <c r="F20" s="637"/>
      <c r="G20" s="1046">
        <f>G18+G19</f>
        <v>271</v>
      </c>
      <c r="H20" s="679">
        <f>G20+'3'!H20</f>
        <v>797</v>
      </c>
      <c r="I20" s="698">
        <f>I18-J20</f>
        <v>-134.25</v>
      </c>
      <c r="J20" s="681">
        <f>H20/DAY(B2)</f>
        <v>199.25</v>
      </c>
      <c r="K20" s="428"/>
      <c r="L20" s="377"/>
      <c r="N20" s="382"/>
    </row>
    <row r="21" spans="1:14">
      <c r="A21" s="1573" t="s">
        <v>144</v>
      </c>
      <c r="B21" s="1574"/>
      <c r="C21" s="1575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0" t="s">
        <v>145</v>
      </c>
      <c r="B22" s="589"/>
      <c r="C22" s="589"/>
      <c r="D22" s="523" t="s">
        <v>146</v>
      </c>
      <c r="E22" s="478">
        <v>2970</v>
      </c>
      <c r="F22" s="634">
        <v>2970</v>
      </c>
      <c r="G22" s="689">
        <f t="shared" ref="G22" si="2">F22-E22</f>
        <v>0</v>
      </c>
      <c r="H22" s="679">
        <f>G22+'3'!H22</f>
        <v>0</v>
      </c>
      <c r="I22" s="480">
        <f>E7+21708.65</f>
        <v>1009728.65</v>
      </c>
      <c r="J22" s="552">
        <f>H22/DAY(B2)</f>
        <v>0</v>
      </c>
      <c r="K22" s="428"/>
      <c r="L22" s="377"/>
      <c r="M22" s="376" t="s">
        <v>267</v>
      </c>
      <c r="N22" s="382"/>
    </row>
    <row r="23" spans="1:14">
      <c r="A23" s="1300" t="s">
        <v>147</v>
      </c>
      <c r="B23" s="589"/>
      <c r="C23" s="589"/>
      <c r="D23" s="523" t="s">
        <v>146</v>
      </c>
      <c r="E23" s="478">
        <v>2000</v>
      </c>
      <c r="F23" s="634">
        <v>2000</v>
      </c>
      <c r="G23" s="689">
        <v>0</v>
      </c>
      <c r="H23" s="679">
        <f>G23+'3'!H23</f>
        <v>0</v>
      </c>
      <c r="I23" s="480">
        <f>E8+21866.6</f>
        <v>1014988.6</v>
      </c>
      <c r="J23" s="552">
        <f>H23/DAY(B2)</f>
        <v>0</v>
      </c>
      <c r="K23" s="428"/>
      <c r="L23" s="377"/>
      <c r="N23" s="382"/>
    </row>
    <row r="24" spans="1:14">
      <c r="A24" s="590" t="s">
        <v>148</v>
      </c>
      <c r="B24" s="591"/>
      <c r="C24" s="591"/>
      <c r="D24" s="511" t="s">
        <v>146</v>
      </c>
      <c r="E24" s="485">
        <v>4970</v>
      </c>
      <c r="F24" s="636">
        <v>4970</v>
      </c>
      <c r="G24" s="689">
        <v>0</v>
      </c>
      <c r="H24" s="679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8" t="s">
        <v>149</v>
      </c>
      <c r="B25" s="1579"/>
      <c r="C25" s="1580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21866.599999999977</v>
      </c>
      <c r="F27" s="501">
        <v>9</v>
      </c>
      <c r="G27" s="502">
        <f>E27*F27</f>
        <v>196799.39999999979</v>
      </c>
      <c r="H27" s="679">
        <f>G27+'3'!H27</f>
        <v>794399.39999999979</v>
      </c>
      <c r="I27" s="503"/>
      <c r="J27" s="552">
        <f>H27/DAY(B2)</f>
        <v>198599.84999999995</v>
      </c>
      <c r="K27" s="373"/>
      <c r="L27" s="443"/>
      <c r="N27" s="382"/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786.87999999988824</v>
      </c>
      <c r="F28" s="501">
        <v>52</v>
      </c>
      <c r="G28" s="502">
        <f>E28*F28</f>
        <v>40917.759999994189</v>
      </c>
      <c r="H28" s="679">
        <f>G28+'3'!H28</f>
        <v>164132.79999999516</v>
      </c>
      <c r="I28" s="505"/>
      <c r="J28" s="552">
        <f>H28/DAY(B2)</f>
        <v>41033.199999998789</v>
      </c>
      <c r="K28" s="373"/>
      <c r="L28" s="443"/>
      <c r="N28" s="382"/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679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61</v>
      </c>
      <c r="F30" s="501">
        <v>146</v>
      </c>
      <c r="G30" s="502">
        <f>E30*F30</f>
        <v>8906</v>
      </c>
      <c r="H30" s="679">
        <f>G30+'3'!H30</f>
        <v>35478</v>
      </c>
      <c r="I30" s="505"/>
      <c r="J30" s="552">
        <f>H30/DAY(B2)</f>
        <v>8869.5</v>
      </c>
      <c r="K30" s="373"/>
      <c r="L30" s="443"/>
      <c r="N30" s="382"/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210</v>
      </c>
      <c r="F31" s="501">
        <v>80</v>
      </c>
      <c r="G31" s="502">
        <f>E31*F31</f>
        <v>16800</v>
      </c>
      <c r="H31" s="679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159</v>
      </c>
      <c r="B32" s="596"/>
      <c r="C32" s="597"/>
      <c r="D32" s="507"/>
      <c r="E32" s="507"/>
      <c r="F32" s="638"/>
      <c r="G32" s="508">
        <f>G27+G28+G29+G30+G31</f>
        <v>263423.15999999398</v>
      </c>
      <c r="H32" s="679">
        <f>G32+'3'!H32</f>
        <v>1032410.1999999949</v>
      </c>
      <c r="I32" s="509"/>
      <c r="J32" s="552">
        <f>H32/DAY(B2)</f>
        <v>258102.54999999874</v>
      </c>
      <c r="K32" s="373"/>
      <c r="L32" s="443"/>
      <c r="N32" s="382"/>
    </row>
    <row r="33" spans="1:14" ht="25.5" customHeight="1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</row>
    <row r="34" spans="1:14">
      <c r="A34" s="598" t="s">
        <v>161</v>
      </c>
      <c r="B34" s="1305"/>
      <c r="C34" s="1305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162</v>
      </c>
      <c r="B35" s="579"/>
      <c r="C35" s="579"/>
      <c r="D35" s="523" t="s">
        <v>130</v>
      </c>
      <c r="E35" s="510">
        <f>'3'!F35</f>
        <v>1037586.9</v>
      </c>
      <c r="F35" s="639">
        <v>1040555.8</v>
      </c>
      <c r="G35" s="473">
        <f t="shared" ref="G35:G46" si="3">F35-E35</f>
        <v>2968.9000000000233</v>
      </c>
      <c r="H35" s="679">
        <f>G35+'3'!H35</f>
        <v>11841.800000000047</v>
      </c>
      <c r="I35" s="455"/>
      <c r="J35" s="552">
        <f>H35/DAY(B2)</f>
        <v>2960.4500000000116</v>
      </c>
      <c r="K35" s="428"/>
      <c r="L35" s="377"/>
      <c r="N35" s="382"/>
    </row>
    <row r="36" spans="1:14">
      <c r="A36" s="578" t="s">
        <v>163</v>
      </c>
      <c r="B36" s="579"/>
      <c r="C36" s="579"/>
      <c r="D36" s="523" t="s">
        <v>130</v>
      </c>
      <c r="E36" s="510">
        <f>'3'!F36</f>
        <v>22973.87</v>
      </c>
      <c r="F36" s="639">
        <v>23687.22</v>
      </c>
      <c r="G36" s="473">
        <f t="shared" si="3"/>
        <v>713.35000000000218</v>
      </c>
      <c r="H36" s="679">
        <f>G36+'3'!H36</f>
        <v>3226.2200000000012</v>
      </c>
      <c r="I36" s="455"/>
      <c r="J36" s="552">
        <f>H36/DAY(B2)</f>
        <v>806.55500000000029</v>
      </c>
      <c r="K36" s="428"/>
      <c r="L36" s="377"/>
      <c r="N36" s="628"/>
    </row>
    <row r="37" spans="1:14">
      <c r="A37" s="578" t="s">
        <v>164</v>
      </c>
      <c r="B37" s="579"/>
      <c r="C37" s="579"/>
      <c r="D37" s="523" t="s">
        <v>130</v>
      </c>
      <c r="E37" s="510">
        <f>'3'!F37</f>
        <v>181086.47</v>
      </c>
      <c r="F37" s="639">
        <v>182565.11</v>
      </c>
      <c r="G37" s="473">
        <f t="shared" si="3"/>
        <v>1478.6399999999849</v>
      </c>
      <c r="H37" s="679">
        <f>G37+'3'!H37</f>
        <v>5995.109999999986</v>
      </c>
      <c r="I37" s="455"/>
      <c r="J37" s="552">
        <f>H37/DAY(B2)</f>
        <v>1498.7774999999965</v>
      </c>
      <c r="K37" s="428"/>
      <c r="L37" s="377"/>
      <c r="N37" s="629"/>
    </row>
    <row r="38" spans="1:14">
      <c r="A38" s="578" t="s">
        <v>165</v>
      </c>
      <c r="B38" s="579"/>
      <c r="C38" s="579"/>
      <c r="D38" s="523" t="s">
        <v>130</v>
      </c>
      <c r="E38" s="510">
        <f>'3'!F38</f>
        <v>203353.07</v>
      </c>
      <c r="F38" s="640">
        <v>205145.89</v>
      </c>
      <c r="G38" s="473">
        <f t="shared" si="3"/>
        <v>1792.820000000007</v>
      </c>
      <c r="H38" s="679">
        <f>G38+'3'!H38</f>
        <v>6686.890000000014</v>
      </c>
      <c r="I38" s="455"/>
      <c r="J38" s="552">
        <f>H38/DAY(B2)</f>
        <v>1671.7225000000035</v>
      </c>
      <c r="K38" s="428"/>
      <c r="L38" s="377"/>
      <c r="N38" s="382"/>
    </row>
    <row r="39" spans="1:14">
      <c r="A39" s="578" t="s">
        <v>166</v>
      </c>
      <c r="B39" s="579"/>
      <c r="C39" s="579"/>
      <c r="D39" s="523" t="s">
        <v>130</v>
      </c>
      <c r="E39" s="510">
        <f>'3'!F39</f>
        <v>416245.75</v>
      </c>
      <c r="F39" s="639">
        <v>419927.35</v>
      </c>
      <c r="G39" s="473">
        <f t="shared" si="3"/>
        <v>3681.5999999999767</v>
      </c>
      <c r="H39" s="679">
        <f>G39+'3'!H39</f>
        <v>15063.349999999977</v>
      </c>
      <c r="I39" s="455"/>
      <c r="J39" s="552">
        <f>H39/DAY(B2)</f>
        <v>3765.8374999999942</v>
      </c>
      <c r="K39" s="428"/>
      <c r="L39" s="377"/>
      <c r="N39" s="382"/>
    </row>
    <row r="40" spans="1:14">
      <c r="A40" s="599" t="s">
        <v>167</v>
      </c>
      <c r="B40" s="600"/>
      <c r="C40" s="600"/>
      <c r="D40" s="523" t="s">
        <v>130</v>
      </c>
      <c r="E40" s="510">
        <f>'3'!F40</f>
        <v>8221.3799999999992</v>
      </c>
      <c r="F40" s="639">
        <v>8719.42</v>
      </c>
      <c r="G40" s="473">
        <f t="shared" si="3"/>
        <v>498.04000000000087</v>
      </c>
      <c r="H40" s="679">
        <f>G40+'3'!H40</f>
        <v>1606.42</v>
      </c>
      <c r="I40" s="455"/>
      <c r="J40" s="552">
        <f>H40/DAY(B2)</f>
        <v>401.60500000000002</v>
      </c>
      <c r="K40" s="429"/>
      <c r="L40" s="377"/>
      <c r="N40" s="382"/>
    </row>
    <row r="41" spans="1:14">
      <c r="A41" s="578" t="s">
        <v>168</v>
      </c>
      <c r="B41" s="579"/>
      <c r="C41" s="579"/>
      <c r="D41" s="523" t="s">
        <v>130</v>
      </c>
      <c r="E41" s="510">
        <f>'3'!F41</f>
        <v>342452.91</v>
      </c>
      <c r="F41" s="639">
        <v>348154.91</v>
      </c>
      <c r="G41" s="473">
        <f t="shared" si="3"/>
        <v>5702</v>
      </c>
      <c r="H41" s="679">
        <f>G41+'3'!H41</f>
        <v>18512.909999999974</v>
      </c>
      <c r="I41" s="455"/>
      <c r="J41" s="552">
        <f>H41/DAY(B2)</f>
        <v>4628.2274999999936</v>
      </c>
      <c r="K41" s="428"/>
      <c r="L41" s="377"/>
      <c r="N41" s="382"/>
    </row>
    <row r="42" spans="1:14">
      <c r="A42" s="578" t="s">
        <v>169</v>
      </c>
      <c r="B42" s="579"/>
      <c r="C42" s="579"/>
      <c r="D42" s="523" t="s">
        <v>130</v>
      </c>
      <c r="E42" s="510">
        <f>'3'!F42</f>
        <v>59210.879999999997</v>
      </c>
      <c r="F42" s="639">
        <v>59210.080000000002</v>
      </c>
      <c r="G42" s="473">
        <f t="shared" si="3"/>
        <v>-0.79999999999563443</v>
      </c>
      <c r="H42" s="679">
        <f>G42+'3'!H42</f>
        <v>11.190000000002328</v>
      </c>
      <c r="I42" s="455"/>
      <c r="J42" s="552">
        <f>H42/DAY(B2)</f>
        <v>2.7975000000005821</v>
      </c>
      <c r="K42" s="428"/>
      <c r="L42" s="377"/>
      <c r="N42" s="382"/>
    </row>
    <row r="43" spans="1:14">
      <c r="A43" s="578" t="s">
        <v>170</v>
      </c>
      <c r="B43" s="579"/>
      <c r="C43" s="579"/>
      <c r="D43" s="523" t="s">
        <v>130</v>
      </c>
      <c r="E43" s="510">
        <f>'3'!F43</f>
        <v>1128191.2</v>
      </c>
      <c r="F43" s="639">
        <v>1130805.2</v>
      </c>
      <c r="G43" s="473">
        <f t="shared" si="3"/>
        <v>2614</v>
      </c>
      <c r="H43" s="679">
        <f>G43+'3'!H43</f>
        <v>10353.199999999953</v>
      </c>
      <c r="I43" s="455"/>
      <c r="J43" s="552">
        <f>H43/DAY(B2)</f>
        <v>2588.2999999999884</v>
      </c>
      <c r="K43" s="428"/>
      <c r="L43" s="377"/>
      <c r="N43" s="382"/>
    </row>
    <row r="44" spans="1:14">
      <c r="A44" s="578" t="s">
        <v>171</v>
      </c>
      <c r="B44" s="579"/>
      <c r="C44" s="579"/>
      <c r="D44" s="523" t="s">
        <v>130</v>
      </c>
      <c r="E44" s="510">
        <f>'3'!F44</f>
        <v>0</v>
      </c>
      <c r="F44" s="639">
        <v>0</v>
      </c>
      <c r="G44" s="473">
        <f t="shared" si="3"/>
        <v>0</v>
      </c>
      <c r="H44" s="679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172</v>
      </c>
      <c r="B45" s="579"/>
      <c r="C45" s="579"/>
      <c r="D45" s="523" t="s">
        <v>130</v>
      </c>
      <c r="E45" s="510">
        <f>'3'!F45</f>
        <v>614</v>
      </c>
      <c r="F45" s="639">
        <v>614</v>
      </c>
      <c r="G45" s="473">
        <f t="shared" si="3"/>
        <v>0</v>
      </c>
      <c r="H45" s="679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173</v>
      </c>
      <c r="B46" s="579"/>
      <c r="C46" s="579"/>
      <c r="D46" s="523" t="s">
        <v>130</v>
      </c>
      <c r="E46" s="510">
        <f>'3'!F46</f>
        <v>187</v>
      </c>
      <c r="F46" s="639">
        <v>187</v>
      </c>
      <c r="G46" s="473">
        <f t="shared" si="3"/>
        <v>0</v>
      </c>
      <c r="H46" s="679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174</v>
      </c>
      <c r="B47" s="586"/>
      <c r="C47" s="586"/>
      <c r="D47" s="470"/>
      <c r="E47" s="511"/>
      <c r="F47" s="641"/>
      <c r="G47" s="481">
        <f>G35+G36+G37+G38+G39+G40+G41+G42+G43+G44+G45+G46</f>
        <v>19448.55</v>
      </c>
      <c r="H47" s="679">
        <f>G47+'3'!H47</f>
        <v>74098.089999999953</v>
      </c>
      <c r="I47" s="455"/>
      <c r="J47" s="552">
        <f>H47/DAY(B2)</f>
        <v>18524.522499999988</v>
      </c>
      <c r="K47" s="428"/>
      <c r="L47" s="377"/>
      <c r="N47" s="382"/>
    </row>
    <row r="48" spans="1:14">
      <c r="A48" s="598" t="s">
        <v>175</v>
      </c>
      <c r="B48" s="1305"/>
      <c r="C48" s="1305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162</v>
      </c>
      <c r="B49" s="601"/>
      <c r="C49" s="601"/>
      <c r="D49" s="523" t="s">
        <v>130</v>
      </c>
      <c r="E49" s="510">
        <f>'3'!F49</f>
        <v>260732.13</v>
      </c>
      <c r="F49" s="639">
        <v>260732.13</v>
      </c>
      <c r="G49" s="473">
        <f t="shared" ref="G49:G58" si="4">F49-E49</f>
        <v>0</v>
      </c>
      <c r="H49" s="679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176</v>
      </c>
      <c r="B50" s="601"/>
      <c r="C50" s="601"/>
      <c r="D50" s="523" t="s">
        <v>130</v>
      </c>
      <c r="E50" s="510">
        <f>'3'!F50</f>
        <v>538226.06999999995</v>
      </c>
      <c r="F50" s="639">
        <v>539312</v>
      </c>
      <c r="G50" s="473">
        <f t="shared" si="4"/>
        <v>1085.9300000000512</v>
      </c>
      <c r="H50" s="679">
        <f>G50+'3'!H50</f>
        <v>4649</v>
      </c>
      <c r="I50" s="455"/>
      <c r="J50" s="552">
        <f>H50/DAY(B2)</f>
        <v>1162.25</v>
      </c>
      <c r="K50" s="428"/>
      <c r="L50" s="377"/>
      <c r="N50" s="382"/>
    </row>
    <row r="51" spans="1:14">
      <c r="A51" s="578" t="s">
        <v>164</v>
      </c>
      <c r="B51" s="601"/>
      <c r="C51" s="601"/>
      <c r="D51" s="523" t="s">
        <v>130</v>
      </c>
      <c r="E51" s="510">
        <f>'3'!F51</f>
        <v>144639.87</v>
      </c>
      <c r="F51" s="639">
        <v>144639.87</v>
      </c>
      <c r="G51" s="473">
        <f t="shared" si="4"/>
        <v>0</v>
      </c>
      <c r="H51" s="679">
        <f>G51+'3'!H51</f>
        <v>-0.13000000000465661</v>
      </c>
      <c r="I51" s="455"/>
      <c r="J51" s="552">
        <f>H51/DAY(B2)</f>
        <v>-3.2500000001164153E-2</v>
      </c>
      <c r="K51" s="428"/>
      <c r="L51" s="377"/>
      <c r="N51" s="382"/>
    </row>
    <row r="52" spans="1:14">
      <c r="A52" s="578" t="s">
        <v>177</v>
      </c>
      <c r="B52" s="601"/>
      <c r="C52" s="601"/>
      <c r="D52" s="523" t="s">
        <v>130</v>
      </c>
      <c r="E52" s="510">
        <f>'3'!F52</f>
        <v>539606</v>
      </c>
      <c r="F52" s="639">
        <v>539606.06999999995</v>
      </c>
      <c r="G52" s="473">
        <f t="shared" si="4"/>
        <v>6.9999999948777258E-2</v>
      </c>
      <c r="H52" s="679">
        <f>G52+'3'!H52</f>
        <v>6.9999999948777258E-2</v>
      </c>
      <c r="I52" s="455"/>
      <c r="J52" s="552">
        <f>H52/DAY(B2)</f>
        <v>1.7499999987194315E-2</v>
      </c>
      <c r="K52" s="428"/>
      <c r="L52" s="377"/>
      <c r="N52" s="382"/>
    </row>
    <row r="53" spans="1:14">
      <c r="A53" s="578" t="s">
        <v>166</v>
      </c>
      <c r="B53" s="601"/>
      <c r="C53" s="601"/>
      <c r="D53" s="523" t="s">
        <v>130</v>
      </c>
      <c r="E53" s="510">
        <f>'3'!F53</f>
        <v>434231.59</v>
      </c>
      <c r="F53" s="639">
        <v>434231.59</v>
      </c>
      <c r="G53" s="473">
        <f t="shared" si="4"/>
        <v>0</v>
      </c>
      <c r="H53" s="679">
        <f>G53+'3'!H53</f>
        <v>-0.40999999997438863</v>
      </c>
      <c r="I53" s="455"/>
      <c r="J53" s="552">
        <f>H53/DAY(B2)</f>
        <v>-0.10249999999359716</v>
      </c>
      <c r="K53" s="428"/>
      <c r="L53" s="377"/>
      <c r="N53" s="382"/>
    </row>
    <row r="54" spans="1:14">
      <c r="A54" s="578" t="s">
        <v>178</v>
      </c>
      <c r="B54" s="601"/>
      <c r="C54" s="601"/>
      <c r="D54" s="523" t="s">
        <v>130</v>
      </c>
      <c r="E54" s="510">
        <f>'3'!F54</f>
        <v>14967</v>
      </c>
      <c r="F54" s="639">
        <v>14967</v>
      </c>
      <c r="G54" s="473">
        <f t="shared" si="4"/>
        <v>0</v>
      </c>
      <c r="H54" s="679">
        <f>G54+'3'!H54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179</v>
      </c>
      <c r="B55" s="601"/>
      <c r="C55" s="601"/>
      <c r="D55" s="523" t="s">
        <v>130</v>
      </c>
      <c r="E55" s="510">
        <f>'3'!F55</f>
        <v>125902.97</v>
      </c>
      <c r="F55" s="642">
        <v>126957.01</v>
      </c>
      <c r="G55" s="473">
        <f t="shared" si="4"/>
        <v>1054.0399999999936</v>
      </c>
      <c r="H55" s="679">
        <f>G55+'3'!H55</f>
        <v>9321.0099999999948</v>
      </c>
      <c r="I55" s="455"/>
      <c r="J55" s="552">
        <f>H55/DAY(B2)</f>
        <v>2330.2524999999987</v>
      </c>
      <c r="K55" s="428"/>
      <c r="L55" s="377"/>
      <c r="N55" s="382"/>
    </row>
    <row r="56" spans="1:14">
      <c r="A56" s="578" t="s">
        <v>180</v>
      </c>
      <c r="B56" s="601"/>
      <c r="C56" s="601"/>
      <c r="D56" s="523" t="s">
        <v>181</v>
      </c>
      <c r="E56" s="510">
        <f>'3'!F56</f>
        <v>649064.18999999994</v>
      </c>
      <c r="F56" s="642">
        <v>649074.79</v>
      </c>
      <c r="G56" s="473">
        <f t="shared" si="4"/>
        <v>10.600000000093132</v>
      </c>
      <c r="H56" s="679">
        <f>G56+'3'!H56</f>
        <v>42.790000000037253</v>
      </c>
      <c r="I56" s="455"/>
      <c r="J56" s="552">
        <f>H56/DAY(B2)</f>
        <v>10.697500000009313</v>
      </c>
      <c r="K56" s="427"/>
      <c r="L56" s="377"/>
      <c r="N56" s="382"/>
    </row>
    <row r="57" spans="1:14">
      <c r="A57" s="578" t="s">
        <v>170</v>
      </c>
      <c r="B57" s="601"/>
      <c r="C57" s="601"/>
      <c r="D57" s="523" t="s">
        <v>130</v>
      </c>
      <c r="E57" s="510">
        <f>'3'!F57</f>
        <v>7711</v>
      </c>
      <c r="F57" s="642">
        <v>7711</v>
      </c>
      <c r="G57" s="473">
        <f t="shared" si="4"/>
        <v>0</v>
      </c>
      <c r="H57" s="679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182</v>
      </c>
      <c r="B58" s="601"/>
      <c r="C58" s="601"/>
      <c r="D58" s="523" t="s">
        <v>130</v>
      </c>
      <c r="E58" s="510">
        <f>'3'!F58</f>
        <v>54419.519999999997</v>
      </c>
      <c r="F58" s="642">
        <v>54606.38</v>
      </c>
      <c r="G58" s="473">
        <f t="shared" si="4"/>
        <v>186.86000000000058</v>
      </c>
      <c r="H58" s="679">
        <f>G58+'3'!H58</f>
        <v>620.37999999999738</v>
      </c>
      <c r="I58" s="455"/>
      <c r="J58" s="552">
        <f>H58/DAY(B2)</f>
        <v>155.09499999999935</v>
      </c>
      <c r="K58" s="428"/>
      <c r="L58" s="377"/>
      <c r="N58" s="382"/>
    </row>
    <row r="59" spans="1:14">
      <c r="A59" s="585" t="s">
        <v>174</v>
      </c>
      <c r="B59" s="586"/>
      <c r="C59" s="586"/>
      <c r="D59" s="511"/>
      <c r="E59" s="511"/>
      <c r="F59" s="641"/>
      <c r="G59" s="481">
        <f>G49+G50+G51+G52+G53+G54+G55+G56+G57+G58</f>
        <v>2337.5000000000873</v>
      </c>
      <c r="H59" s="679">
        <f>G59+'3'!H59</f>
        <v>14632.840000000004</v>
      </c>
      <c r="I59" s="455">
        <f>G7-G60</f>
        <v>-77.400000000063301</v>
      </c>
      <c r="J59" s="552">
        <f>H59/DAY(B2)</f>
        <v>3658.2100000000009</v>
      </c>
      <c r="K59" s="428"/>
      <c r="L59" s="377"/>
      <c r="N59" s="382"/>
    </row>
    <row r="60" spans="1:14">
      <c r="A60" s="578"/>
      <c r="B60" s="579"/>
      <c r="C60" s="579"/>
      <c r="D60" s="511" t="s">
        <v>183</v>
      </c>
      <c r="E60" s="511"/>
      <c r="F60" s="641"/>
      <c r="G60" s="481">
        <f>G47+G59</f>
        <v>21786.050000000087</v>
      </c>
      <c r="H60" s="679">
        <f>G60+'3'!H60</f>
        <v>88730.929999999964</v>
      </c>
      <c r="I60" s="455">
        <f>G13-G60</f>
        <v>-765.13999999993757</v>
      </c>
      <c r="J60" s="552">
        <f>H60/DAY(B2)</f>
        <v>22182.732499999991</v>
      </c>
      <c r="K60" s="428"/>
      <c r="L60" s="377"/>
      <c r="N60" s="382"/>
    </row>
    <row r="61" spans="1:14">
      <c r="A61" s="602" t="s">
        <v>184</v>
      </c>
      <c r="B61" s="453"/>
      <c r="C61" s="453"/>
      <c r="D61" s="513"/>
      <c r="E61" s="512"/>
      <c r="F61" s="643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185</v>
      </c>
      <c r="E62" s="514">
        <v>0</v>
      </c>
      <c r="F62" s="644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186</v>
      </c>
      <c r="B63" s="604"/>
      <c r="C63" s="604"/>
      <c r="D63" s="511" t="s">
        <v>185</v>
      </c>
      <c r="E63" s="514">
        <f>'3'!F63</f>
        <v>0</v>
      </c>
      <c r="F63" s="644">
        <v>0</v>
      </c>
      <c r="G63" s="473">
        <f t="shared" si="5"/>
        <v>0</v>
      </c>
      <c r="H63" s="679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3" t="s">
        <v>98</v>
      </c>
      <c r="B64" s="1544"/>
      <c r="C64" s="1545"/>
      <c r="D64" s="523" t="s">
        <v>185</v>
      </c>
      <c r="E64" s="514">
        <f>'3'!F64</f>
        <v>171149.29</v>
      </c>
      <c r="F64" s="634">
        <v>171516.47</v>
      </c>
      <c r="G64" s="473">
        <f t="shared" si="5"/>
        <v>367.17999999999302</v>
      </c>
      <c r="H64" s="679">
        <f>G64+'3'!H64</f>
        <v>1494.4700000000012</v>
      </c>
      <c r="I64" s="480"/>
      <c r="J64" s="552">
        <f>H64/DAY(B2)</f>
        <v>373.61750000000029</v>
      </c>
      <c r="K64" s="428"/>
      <c r="L64" s="377"/>
      <c r="N64" s="382"/>
    </row>
    <row r="65" spans="1:14" ht="27.75">
      <c r="A65" s="1543" t="s">
        <v>99</v>
      </c>
      <c r="B65" s="1544"/>
      <c r="C65" s="1545"/>
      <c r="D65" s="523" t="s">
        <v>185</v>
      </c>
      <c r="E65" s="514">
        <f>'3'!F65</f>
        <v>171590.13</v>
      </c>
      <c r="F65" s="635">
        <v>172013.01</v>
      </c>
      <c r="G65" s="473">
        <f t="shared" si="5"/>
        <v>422.88000000000466</v>
      </c>
      <c r="H65" s="679">
        <f>G65+'3'!H65</f>
        <v>1711.0100000000093</v>
      </c>
      <c r="I65" s="489"/>
      <c r="J65" s="552">
        <f>H65/DAY(B2)</f>
        <v>427.75250000000233</v>
      </c>
      <c r="K65" s="428"/>
      <c r="L65" s="377"/>
      <c r="N65" s="382"/>
    </row>
    <row r="66" spans="1:14" ht="27.75">
      <c r="A66" s="1543" t="s">
        <v>100</v>
      </c>
      <c r="B66" s="1544"/>
      <c r="C66" s="1545"/>
      <c r="D66" s="523" t="s">
        <v>185</v>
      </c>
      <c r="E66" s="514">
        <f>'3'!F66</f>
        <v>69249.55</v>
      </c>
      <c r="F66" s="634">
        <v>69662.289999999994</v>
      </c>
      <c r="G66" s="473">
        <f t="shared" si="5"/>
        <v>412.73999999999069</v>
      </c>
      <c r="H66" s="679">
        <f>G66+'3'!H66</f>
        <v>1692.2899999999936</v>
      </c>
      <c r="I66" s="480"/>
      <c r="J66" s="552">
        <f>H66/DAY(B2)</f>
        <v>423.0724999999984</v>
      </c>
      <c r="K66" s="428"/>
      <c r="L66" s="377"/>
      <c r="N66" s="382"/>
    </row>
    <row r="67" spans="1:14" ht="27.75">
      <c r="A67" s="1543" t="s">
        <v>101</v>
      </c>
      <c r="B67" s="1544"/>
      <c r="C67" s="1545"/>
      <c r="D67" s="523" t="s">
        <v>185</v>
      </c>
      <c r="E67" s="514">
        <f>'3'!F67</f>
        <v>266461.61</v>
      </c>
      <c r="F67" s="634">
        <v>266903.75</v>
      </c>
      <c r="G67" s="473">
        <f t="shared" si="5"/>
        <v>442.14000000001397</v>
      </c>
      <c r="H67" s="679">
        <f>G67+'3'!H67</f>
        <v>1944.75</v>
      </c>
      <c r="I67" s="489"/>
      <c r="J67" s="552">
        <f>H67/DAY(B2)</f>
        <v>486.1875</v>
      </c>
      <c r="K67" s="429"/>
      <c r="L67" s="377"/>
      <c r="N67" s="382"/>
    </row>
    <row r="68" spans="1:14" ht="27.75">
      <c r="A68" s="1543" t="s">
        <v>102</v>
      </c>
      <c r="B68" s="1544"/>
      <c r="C68" s="1545"/>
      <c r="D68" s="523" t="s">
        <v>185</v>
      </c>
      <c r="E68" s="514">
        <f>'3'!F68</f>
        <v>85321</v>
      </c>
      <c r="F68" s="634">
        <v>85321</v>
      </c>
      <c r="G68" s="473">
        <f t="shared" si="5"/>
        <v>0</v>
      </c>
      <c r="H68" s="679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3" t="s">
        <v>103</v>
      </c>
      <c r="B69" s="1544"/>
      <c r="C69" s="1545"/>
      <c r="D69" s="523" t="s">
        <v>185</v>
      </c>
      <c r="E69" s="514">
        <f>'3'!F69</f>
        <v>88268.65</v>
      </c>
      <c r="F69" s="634">
        <v>88541.19</v>
      </c>
      <c r="G69" s="473">
        <f t="shared" si="5"/>
        <v>272.54000000000815</v>
      </c>
      <c r="H69" s="679">
        <f>G69+'3'!H69</f>
        <v>1026.1900000000023</v>
      </c>
      <c r="I69" s="516"/>
      <c r="J69" s="552">
        <f>H69/DAY(B2)</f>
        <v>256.54750000000058</v>
      </c>
      <c r="K69" s="431"/>
      <c r="L69" s="377"/>
      <c r="N69" s="382"/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645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87"/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</row>
    <row r="72" spans="1:14" ht="27.75">
      <c r="A72" s="1543" t="s">
        <v>189</v>
      </c>
      <c r="B72" s="1544"/>
      <c r="C72" s="1545"/>
      <c r="D72" s="523" t="s">
        <v>185</v>
      </c>
      <c r="E72" s="654">
        <f>'3'!F72</f>
        <v>856257</v>
      </c>
      <c r="F72" s="646">
        <v>856271</v>
      </c>
      <c r="G72" s="473">
        <f t="shared" ref="G72:G84" si="6">F72-E72</f>
        <v>14</v>
      </c>
      <c r="H72" s="679">
        <f>G72+'3'!H72</f>
        <v>49</v>
      </c>
      <c r="I72" s="480"/>
      <c r="J72" s="552">
        <f>H72/DAY(B2)</f>
        <v>12.25</v>
      </c>
      <c r="K72" s="431"/>
      <c r="L72" s="377"/>
      <c r="N72" s="382"/>
    </row>
    <row r="73" spans="1:14" ht="27.75">
      <c r="A73" s="1543" t="s">
        <v>190</v>
      </c>
      <c r="B73" s="1544"/>
      <c r="C73" s="1545"/>
      <c r="D73" s="523" t="s">
        <v>185</v>
      </c>
      <c r="E73" s="654">
        <f>'3'!F73</f>
        <v>885977</v>
      </c>
      <c r="F73" s="646">
        <v>885978</v>
      </c>
      <c r="G73" s="652">
        <f t="shared" si="6"/>
        <v>1</v>
      </c>
      <c r="H73" s="679">
        <f>G73+'3'!H73</f>
        <v>6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43" t="s">
        <v>191</v>
      </c>
      <c r="B74" s="1544"/>
      <c r="C74" s="1545"/>
      <c r="D74" s="523" t="s">
        <v>185</v>
      </c>
      <c r="E74" s="654">
        <f>'3'!F74</f>
        <v>88699.8</v>
      </c>
      <c r="F74" s="646">
        <v>88700.9</v>
      </c>
      <c r="G74" s="473">
        <f>F74-E74</f>
        <v>1.0999999999912689</v>
      </c>
      <c r="H74" s="679">
        <f>G74+'3'!H74</f>
        <v>4.8999999999941792</v>
      </c>
      <c r="I74" s="480"/>
      <c r="J74" s="552">
        <f>H74/DAY(B2)</f>
        <v>1.2249999999985448</v>
      </c>
      <c r="K74" s="431"/>
      <c r="L74" s="377"/>
      <c r="N74" s="382"/>
    </row>
    <row r="75" spans="1:14" ht="27.75">
      <c r="A75" s="1546" t="s">
        <v>192</v>
      </c>
      <c r="B75" s="1547"/>
      <c r="C75" s="1548"/>
      <c r="D75" s="523" t="s">
        <v>185</v>
      </c>
      <c r="E75" s="654">
        <f>'3'!F75</f>
        <v>16539.25</v>
      </c>
      <c r="F75" s="646">
        <v>16679.98</v>
      </c>
      <c r="G75" s="473">
        <f t="shared" si="6"/>
        <v>140.72999999999956</v>
      </c>
      <c r="H75" s="679">
        <f>G75+'3'!H75</f>
        <v>608.97999999999956</v>
      </c>
      <c r="I75" s="480"/>
      <c r="J75" s="552">
        <f>H75/DAY(B2)</f>
        <v>152.24499999999989</v>
      </c>
      <c r="K75" s="430"/>
      <c r="L75" s="377"/>
      <c r="N75" s="382"/>
    </row>
    <row r="76" spans="1:14" ht="27.75">
      <c r="A76" s="1546" t="s">
        <v>193</v>
      </c>
      <c r="B76" s="1547"/>
      <c r="C76" s="1548"/>
      <c r="D76" s="523" t="s">
        <v>185</v>
      </c>
      <c r="E76" s="654">
        <f>'3'!F76</f>
        <v>9536.1200000000008</v>
      </c>
      <c r="F76" s="646">
        <v>9598</v>
      </c>
      <c r="G76" s="473">
        <f t="shared" si="6"/>
        <v>61.8799999999992</v>
      </c>
      <c r="H76" s="679">
        <f>G76+'3'!H76</f>
        <v>262</v>
      </c>
      <c r="I76" s="505"/>
      <c r="J76" s="552">
        <f>H76/DAY(B2)</f>
        <v>65.5</v>
      </c>
      <c r="K76" s="430"/>
      <c r="L76" s="377"/>
      <c r="N76" s="382"/>
    </row>
    <row r="77" spans="1:14" ht="27.75">
      <c r="A77" s="1543" t="s">
        <v>194</v>
      </c>
      <c r="B77" s="1544"/>
      <c r="C77" s="1545"/>
      <c r="D77" s="523" t="s">
        <v>185</v>
      </c>
      <c r="E77" s="654">
        <f>'3'!F77</f>
        <v>704540</v>
      </c>
      <c r="F77" s="646">
        <v>704592</v>
      </c>
      <c r="G77" s="652">
        <f t="shared" si="6"/>
        <v>52</v>
      </c>
      <c r="H77" s="679">
        <f>G77+'3'!H77</f>
        <v>218</v>
      </c>
      <c r="I77" s="505"/>
      <c r="J77" s="552">
        <f>H77/DAY(B2)</f>
        <v>54.5</v>
      </c>
      <c r="K77" s="430"/>
      <c r="L77" s="377"/>
      <c r="N77" s="382"/>
    </row>
    <row r="78" spans="1:14" ht="27.75">
      <c r="A78" s="1303" t="s">
        <v>195</v>
      </c>
      <c r="B78" s="1296"/>
      <c r="C78" s="1296"/>
      <c r="D78" s="523" t="s">
        <v>185</v>
      </c>
      <c r="E78" s="654">
        <f>'3'!F78</f>
        <v>675800</v>
      </c>
      <c r="F78" s="646">
        <v>675938</v>
      </c>
      <c r="G78" s="473">
        <f t="shared" si="6"/>
        <v>138</v>
      </c>
      <c r="H78" s="679">
        <f>G78+'3'!H78</f>
        <v>524</v>
      </c>
      <c r="I78" s="505"/>
      <c r="J78" s="552">
        <f>H78/DAY(B2)</f>
        <v>131</v>
      </c>
      <c r="K78" s="430"/>
      <c r="L78" s="377"/>
      <c r="N78" s="382"/>
    </row>
    <row r="79" spans="1:14" ht="27.75">
      <c r="A79" s="1546" t="s">
        <v>91</v>
      </c>
      <c r="B79" s="1547"/>
      <c r="C79" s="1548"/>
      <c r="D79" s="524" t="s">
        <v>185</v>
      </c>
      <c r="E79" s="654">
        <f>'3'!F79</f>
        <v>835871</v>
      </c>
      <c r="F79" s="646">
        <v>836021</v>
      </c>
      <c r="G79" s="473">
        <f t="shared" si="6"/>
        <v>150</v>
      </c>
      <c r="H79" s="679">
        <f>G79+'3'!H79</f>
        <v>605</v>
      </c>
      <c r="I79" s="505"/>
      <c r="J79" s="552">
        <f>H79/DAY(B2)</f>
        <v>151.25</v>
      </c>
      <c r="K79" s="430"/>
      <c r="L79" s="377"/>
      <c r="N79" s="382"/>
    </row>
    <row r="80" spans="1:14" ht="27.75">
      <c r="A80" s="1546" t="s">
        <v>196</v>
      </c>
      <c r="B80" s="1547"/>
      <c r="C80" s="1548"/>
      <c r="D80" s="524" t="s">
        <v>185</v>
      </c>
      <c r="E80" s="654">
        <f>'3'!F80</f>
        <v>540263.31999999995</v>
      </c>
      <c r="F80" s="646">
        <v>540682.64</v>
      </c>
      <c r="G80" s="473">
        <f t="shared" si="6"/>
        <v>419.32000000006519</v>
      </c>
      <c r="H80" s="679">
        <f>G80+'3'!H80</f>
        <v>1669.640000000014</v>
      </c>
      <c r="I80" s="505"/>
      <c r="J80" s="552">
        <f>H80/DAY(B2)</f>
        <v>417.41000000000349</v>
      </c>
      <c r="K80" s="430"/>
      <c r="L80" s="377"/>
      <c r="N80" s="382"/>
    </row>
    <row r="81" spans="1:15" ht="27.75">
      <c r="A81" s="1546" t="s">
        <v>197</v>
      </c>
      <c r="B81" s="1547"/>
      <c r="C81" s="1548"/>
      <c r="D81" s="524" t="s">
        <v>185</v>
      </c>
      <c r="E81" s="654">
        <f>'3'!F81</f>
        <v>643452.04</v>
      </c>
      <c r="F81" s="646">
        <v>643654.52</v>
      </c>
      <c r="G81" s="473">
        <f t="shared" si="6"/>
        <v>202.47999999998137</v>
      </c>
      <c r="H81" s="679">
        <f>G81+'3'!H81</f>
        <v>669.52000000001863</v>
      </c>
      <c r="I81" s="505"/>
      <c r="J81" s="552">
        <f>H81/DAY(B2)</f>
        <v>167.38000000000466</v>
      </c>
      <c r="K81" s="430"/>
      <c r="L81" s="377"/>
      <c r="N81" s="382"/>
    </row>
    <row r="82" spans="1:15" ht="27.75">
      <c r="A82" s="1546" t="s">
        <v>92</v>
      </c>
      <c r="B82" s="1547"/>
      <c r="C82" s="1548"/>
      <c r="D82" s="485" t="s">
        <v>130</v>
      </c>
      <c r="E82" s="654">
        <f>'3'!F82</f>
        <v>108746.41</v>
      </c>
      <c r="F82" s="654">
        <v>108761</v>
      </c>
      <c r="G82" s="473">
        <f t="shared" si="6"/>
        <v>14.589999999996508</v>
      </c>
      <c r="H82" s="679">
        <f>G82+'3'!H82</f>
        <v>80</v>
      </c>
      <c r="I82" s="486"/>
      <c r="J82" s="552">
        <f>H82/DAY(B2)</f>
        <v>20</v>
      </c>
      <c r="K82" s="430"/>
      <c r="L82" s="377"/>
      <c r="N82" s="382"/>
    </row>
    <row r="83" spans="1:15" ht="27.75">
      <c r="A83" s="1546" t="s">
        <v>198</v>
      </c>
      <c r="B83" s="1547"/>
      <c r="C83" s="1548"/>
      <c r="D83" s="620" t="s">
        <v>130</v>
      </c>
      <c r="E83" s="654">
        <f>'3'!F83</f>
        <v>28306</v>
      </c>
      <c r="F83" s="1400">
        <v>28619</v>
      </c>
      <c r="G83" s="473">
        <f t="shared" si="6"/>
        <v>313</v>
      </c>
      <c r="H83" s="679">
        <f>G83+'3'!H83</f>
        <v>1068</v>
      </c>
      <c r="I83" s="481"/>
      <c r="J83" s="552">
        <f>H83/DAY(B2)</f>
        <v>267</v>
      </c>
      <c r="K83" s="429"/>
      <c r="L83" s="377"/>
      <c r="N83" s="382"/>
    </row>
    <row r="84" spans="1:15">
      <c r="A84" s="1304" t="s">
        <v>199</v>
      </c>
      <c r="B84" s="571"/>
      <c r="C84" s="571"/>
      <c r="D84" s="478" t="s">
        <v>130</v>
      </c>
      <c r="E84" s="654">
        <f>'3'!F84</f>
        <v>525559</v>
      </c>
      <c r="F84" s="647">
        <v>526403</v>
      </c>
      <c r="G84" s="473">
        <f t="shared" si="6"/>
        <v>844</v>
      </c>
      <c r="H84" s="679">
        <f>G84+'3'!H84</f>
        <v>3323</v>
      </c>
      <c r="I84" s="481"/>
      <c r="J84" s="552">
        <f>H84/DAY(B2)</f>
        <v>830.75</v>
      </c>
      <c r="K84" s="380"/>
      <c r="L84" s="377"/>
      <c r="N84" s="382"/>
    </row>
    <row r="85" spans="1:15" s="379" customFormat="1">
      <c r="A85" s="605" t="s">
        <v>200</v>
      </c>
      <c r="B85" s="572"/>
      <c r="C85" s="572"/>
      <c r="D85" s="489"/>
      <c r="E85" s="523"/>
      <c r="F85" s="637"/>
      <c r="G85" s="460">
        <f xml:space="preserve"> SUM(G71:G84)</f>
        <v>2352.1000000000331</v>
      </c>
      <c r="H85" s="679">
        <f>G85+'3'!H85</f>
        <v>9088.0400000000263</v>
      </c>
      <c r="I85" s="481"/>
      <c r="J85" s="552">
        <f>H85/DAY(B2)</f>
        <v>2272.0100000000066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'3'!F86</f>
        <v>461877.04</v>
      </c>
      <c r="F86" s="647">
        <v>461920.4</v>
      </c>
      <c r="G86" s="705">
        <f t="shared" ref="G86:G87" si="7">F86-E86</f>
        <v>43.360000000044238</v>
      </c>
      <c r="H86" s="679">
        <f>G86+'3'!H86</f>
        <v>99.400000000023283</v>
      </c>
      <c r="I86" s="652"/>
      <c r="J86" s="707">
        <f>H86/DAY(B2)</f>
        <v>24.850000000005821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'3'!F87</f>
        <v>82180.899999999994</v>
      </c>
      <c r="F87" s="647">
        <v>82195.7</v>
      </c>
      <c r="G87" s="705">
        <f t="shared" si="7"/>
        <v>14.80000000000291</v>
      </c>
      <c r="H87" s="679">
        <f>G87+'3'!H87</f>
        <v>122.69999999999709</v>
      </c>
      <c r="I87" s="652"/>
      <c r="J87" s="707">
        <f>H87/DAY(B2)</f>
        <v>30.674999999999272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'3'!F88</f>
        <v>155744.66</v>
      </c>
      <c r="F88" s="647">
        <v>155777.57</v>
      </c>
      <c r="G88" s="705">
        <f>F88-E88</f>
        <v>32.910000000003492</v>
      </c>
      <c r="H88" s="679">
        <f>G88+'3'!H88</f>
        <v>454.57000000000698</v>
      </c>
      <c r="I88" s="652"/>
      <c r="J88" s="707">
        <f>H88/DAY(B2)</f>
        <v>113.64250000000175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627">
        <f>'3'!F89</f>
        <v>65939</v>
      </c>
      <c r="F89" s="647">
        <v>65953.899999999994</v>
      </c>
      <c r="G89" s="705">
        <f>F89-E89</f>
        <v>14.899999999994179</v>
      </c>
      <c r="H89" s="679">
        <f>G89+'3'!H89</f>
        <v>107.89999999999418</v>
      </c>
      <c r="I89" s="652"/>
      <c r="J89" s="707">
        <f>H89/DAY(B2)</f>
        <v>26.974999999998545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'3'!F90</f>
        <v>3354</v>
      </c>
      <c r="F90" s="647">
        <v>3356</v>
      </c>
      <c r="G90" s="705">
        <f t="shared" ref="G90:G91" si="8">F90-E90</f>
        <v>2</v>
      </c>
      <c r="H90" s="679">
        <f>G90+'3'!H90</f>
        <v>12</v>
      </c>
      <c r="I90" s="652"/>
      <c r="J90" s="707">
        <f>H90/DAY(B2)</f>
        <v>3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27">
        <f>'3'!F91</f>
        <v>28275.11</v>
      </c>
      <c r="F91" s="647">
        <v>28277.34</v>
      </c>
      <c r="G91" s="705">
        <f t="shared" si="8"/>
        <v>2.2299999999995634</v>
      </c>
      <c r="H91" s="679">
        <f>G91+'3'!H91</f>
        <v>2.2299999999995634</v>
      </c>
      <c r="I91" s="652"/>
      <c r="J91" s="707">
        <f>H91/DAY(B2)</f>
        <v>0.55749999999989086</v>
      </c>
      <c r="K91" s="733"/>
      <c r="L91" s="734"/>
      <c r="N91" s="777"/>
      <c r="O91" s="382"/>
    </row>
    <row r="92" spans="1:15" s="379" customFormat="1">
      <c r="A92" s="606" t="s">
        <v>203</v>
      </c>
      <c r="B92" s="1306"/>
      <c r="C92" s="1306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'3'!F93</f>
        <v>247652</v>
      </c>
      <c r="F93" s="634">
        <v>247830</v>
      </c>
      <c r="G93" s="473">
        <f t="shared" ref="G93:G94" si="9">F93-E93</f>
        <v>178</v>
      </c>
      <c r="H93" s="679">
        <f>G93+'3'!H93</f>
        <v>478</v>
      </c>
      <c r="I93" s="480"/>
      <c r="J93" s="552">
        <f>H93/DAY(B2)</f>
        <v>119.5</v>
      </c>
      <c r="K93" s="429"/>
      <c r="L93" s="377"/>
      <c r="N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'3'!F94</f>
        <v>189758</v>
      </c>
      <c r="F94" s="634">
        <v>189912</v>
      </c>
      <c r="G94" s="473">
        <f t="shared" si="9"/>
        <v>154</v>
      </c>
      <c r="H94" s="679">
        <f>G94+'3'!H94</f>
        <v>458</v>
      </c>
      <c r="I94" s="480"/>
      <c r="J94" s="552">
        <f>H94/DAY(B2)</f>
        <v>114.5</v>
      </c>
      <c r="K94" s="380"/>
      <c r="L94" s="377"/>
      <c r="N94" s="382"/>
    </row>
    <row r="95" spans="1:15">
      <c r="A95" s="1594" t="s">
        <v>206</v>
      </c>
      <c r="B95" s="1595"/>
      <c r="C95" s="1596"/>
      <c r="D95" s="523"/>
      <c r="E95" s="484"/>
      <c r="F95" s="634"/>
      <c r="G95" s="473">
        <f>G93+G94</f>
        <v>332</v>
      </c>
      <c r="H95" s="679">
        <f>G95+'3'!H95</f>
        <v>750</v>
      </c>
      <c r="I95" s="480"/>
      <c r="J95" s="552">
        <f>H95/DAY(B2)</f>
        <v>187.5</v>
      </c>
      <c r="K95" s="380"/>
      <c r="L95" s="377"/>
      <c r="N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'3'!F96</f>
        <v>416287</v>
      </c>
      <c r="F96" s="634">
        <v>416434</v>
      </c>
      <c r="G96" s="473">
        <f t="shared" ref="G96:G101" si="10">F96-E96</f>
        <v>147</v>
      </c>
      <c r="H96" s="679">
        <f>G96+'3'!H96</f>
        <v>435</v>
      </c>
      <c r="I96" s="480"/>
      <c r="J96" s="552">
        <f>H96/DAY(B2)</f>
        <v>108.75</v>
      </c>
      <c r="K96" s="380"/>
      <c r="L96" s="377"/>
      <c r="N96" s="382"/>
    </row>
    <row r="97" spans="1:14" ht="27.75">
      <c r="A97" s="1300" t="s">
        <v>208</v>
      </c>
      <c r="B97" s="1301"/>
      <c r="C97" s="1301"/>
      <c r="D97" s="523" t="s">
        <v>142</v>
      </c>
      <c r="E97" s="484">
        <f>'3'!F97</f>
        <v>103225</v>
      </c>
      <c r="F97" s="634">
        <v>103264</v>
      </c>
      <c r="G97" s="473">
        <f t="shared" si="10"/>
        <v>39</v>
      </c>
      <c r="H97" s="679">
        <f>G97+'3'!H97</f>
        <v>101</v>
      </c>
      <c r="I97" s="480"/>
      <c r="J97" s="552">
        <f>H97/DAY(B2)</f>
        <v>25.25</v>
      </c>
      <c r="K97" s="427"/>
      <c r="L97" s="377"/>
      <c r="N97" s="382"/>
    </row>
    <row r="98" spans="1:14" ht="27.75">
      <c r="A98" s="1300" t="s">
        <v>209</v>
      </c>
      <c r="B98" s="1301"/>
      <c r="C98" s="1301"/>
      <c r="D98" s="523" t="s">
        <v>142</v>
      </c>
      <c r="E98" s="484">
        <f>'3'!F98</f>
        <v>98725</v>
      </c>
      <c r="F98" s="634">
        <v>98757</v>
      </c>
      <c r="G98" s="473">
        <f t="shared" si="10"/>
        <v>32</v>
      </c>
      <c r="H98" s="679">
        <f>G98+'3'!H98</f>
        <v>100</v>
      </c>
      <c r="I98" s="480"/>
      <c r="J98" s="552">
        <f>H98/DAY(B2)</f>
        <v>25</v>
      </c>
      <c r="K98" s="432"/>
      <c r="L98" s="377"/>
      <c r="N98" s="382"/>
    </row>
    <row r="99" spans="1:14" ht="27.75">
      <c r="A99" s="1300" t="s">
        <v>210</v>
      </c>
      <c r="B99" s="1301"/>
      <c r="C99" s="1301"/>
      <c r="D99" s="523" t="s">
        <v>142</v>
      </c>
      <c r="E99" s="484">
        <f>'3'!F99</f>
        <v>150527</v>
      </c>
      <c r="F99" s="634">
        <v>150565</v>
      </c>
      <c r="G99" s="473">
        <f t="shared" si="10"/>
        <v>38</v>
      </c>
      <c r="H99" s="679">
        <f>G99+'3'!H99</f>
        <v>160</v>
      </c>
      <c r="I99" s="480"/>
      <c r="J99" s="552">
        <f>H99/DAY(B2)</f>
        <v>40</v>
      </c>
      <c r="K99" s="380"/>
      <c r="L99" s="377"/>
      <c r="N99" s="382"/>
    </row>
    <row r="100" spans="1:14" ht="27.75">
      <c r="A100" s="1300" t="s">
        <v>211</v>
      </c>
      <c r="B100" s="1301"/>
      <c r="C100" s="1301"/>
      <c r="D100" s="523" t="s">
        <v>142</v>
      </c>
      <c r="E100" s="484">
        <f>'3'!F100</f>
        <v>7822</v>
      </c>
      <c r="F100" s="634">
        <v>7845</v>
      </c>
      <c r="G100" s="473">
        <f t="shared" si="10"/>
        <v>23</v>
      </c>
      <c r="H100" s="679">
        <f>G100+'3'!H100</f>
        <v>48</v>
      </c>
      <c r="I100" s="480"/>
      <c r="J100" s="552">
        <f>H100/DAY(B2)</f>
        <v>12</v>
      </c>
      <c r="K100" s="380"/>
      <c r="L100" s="377"/>
      <c r="N100" s="382"/>
    </row>
    <row r="101" spans="1:14" ht="27.75">
      <c r="A101" s="1300" t="s">
        <v>212</v>
      </c>
      <c r="B101" s="1301"/>
      <c r="C101" s="1301"/>
      <c r="D101" s="523" t="s">
        <v>142</v>
      </c>
      <c r="E101" s="484">
        <f>'3'!F101</f>
        <v>5689</v>
      </c>
      <c r="F101" s="634">
        <v>5703</v>
      </c>
      <c r="G101" s="473">
        <f t="shared" si="10"/>
        <v>14</v>
      </c>
      <c r="H101" s="679">
        <f>G101+'3'!H101</f>
        <v>29</v>
      </c>
      <c r="I101" s="480"/>
      <c r="J101" s="552">
        <f>H101/DAY(B2)</f>
        <v>7.25</v>
      </c>
      <c r="K101" s="380"/>
      <c r="L101" s="377"/>
      <c r="N101" s="382"/>
    </row>
    <row r="102" spans="1:14">
      <c r="A102" s="1594" t="s">
        <v>214</v>
      </c>
      <c r="B102" s="1595"/>
      <c r="C102" s="1596"/>
      <c r="D102" s="524"/>
      <c r="E102" s="524"/>
      <c r="F102" s="638"/>
      <c r="G102" s="525">
        <f>SUM(G96:G101)</f>
        <v>293</v>
      </c>
      <c r="H102" s="679">
        <f>G102+'3'!H102</f>
        <v>873</v>
      </c>
      <c r="I102" s="526"/>
      <c r="J102" s="552">
        <f>H102/DAY(B2)</f>
        <v>218.25</v>
      </c>
      <c r="K102" s="380"/>
      <c r="L102" s="377"/>
      <c r="N102" s="382"/>
    </row>
    <row r="103" spans="1:14" s="442" customFormat="1" ht="27">
      <c r="A103" s="607" t="s">
        <v>215</v>
      </c>
      <c r="B103" s="608"/>
      <c r="C103" s="608"/>
      <c r="D103" s="621"/>
      <c r="E103" s="528"/>
      <c r="F103" s="648"/>
      <c r="G103" s="529"/>
      <c r="H103" s="530"/>
      <c r="I103" s="531"/>
      <c r="J103" s="557"/>
      <c r="N103" s="382"/>
    </row>
    <row r="104" spans="1:14" s="442" customFormat="1" ht="27.75">
      <c r="A104" s="1597" t="s">
        <v>216</v>
      </c>
      <c r="B104" s="1598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54" t="s">
        <v>217</v>
      </c>
      <c r="B105" s="1555"/>
      <c r="C105" s="1299"/>
      <c r="D105" s="622" t="s">
        <v>142</v>
      </c>
      <c r="E105" s="532">
        <f>'3'!F105</f>
        <v>7697</v>
      </c>
      <c r="F105" s="532">
        <v>7697</v>
      </c>
      <c r="G105" s="532">
        <f>F105-E105</f>
        <v>0</v>
      </c>
      <c r="H105" s="679">
        <f>G105+'3'!H105</f>
        <v>60</v>
      </c>
      <c r="I105" s="532"/>
      <c r="J105" s="558">
        <f>H105/DAY(B2)</f>
        <v>15</v>
      </c>
      <c r="N105" s="382"/>
    </row>
    <row r="106" spans="1:14" s="442" customFormat="1" ht="27.75">
      <c r="A106" s="1554" t="s">
        <v>76</v>
      </c>
      <c r="B106" s="1555"/>
      <c r="C106" s="1299"/>
      <c r="D106" s="622" t="s">
        <v>142</v>
      </c>
      <c r="E106" s="532">
        <f>'3'!F106</f>
        <v>36186</v>
      </c>
      <c r="F106" s="534">
        <v>36197</v>
      </c>
      <c r="G106" s="532">
        <f t="shared" ref="G106:G107" si="11">F106-E106</f>
        <v>11</v>
      </c>
      <c r="H106" s="679">
        <f>G106+'3'!H106</f>
        <v>35</v>
      </c>
      <c r="I106" s="532"/>
      <c r="J106" s="558">
        <f>H106/DAY(B2)</f>
        <v>8.75</v>
      </c>
      <c r="N106" s="382"/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532">
        <f>'3'!F107</f>
        <v>19833</v>
      </c>
      <c r="F107" s="1045">
        <v>19838</v>
      </c>
      <c r="G107" s="532">
        <f t="shared" si="11"/>
        <v>5</v>
      </c>
      <c r="H107" s="679">
        <f>G107+'3'!H107</f>
        <v>16</v>
      </c>
      <c r="I107" s="532"/>
      <c r="J107" s="558">
        <f>H107/DAY(B2)</f>
        <v>4</v>
      </c>
      <c r="N107" s="382"/>
    </row>
    <row r="108" spans="1:14" s="442" customFormat="1" ht="27.75">
      <c r="A108" s="1556" t="s">
        <v>200</v>
      </c>
      <c r="B108" s="1557"/>
      <c r="C108" s="1299"/>
      <c r="D108" s="622"/>
      <c r="E108" s="532" t="str">
        <f>'3'!F108</f>
        <v>.</v>
      </c>
      <c r="F108" s="532"/>
      <c r="G108" s="532">
        <f>SUM(G105:G107)</f>
        <v>16</v>
      </c>
      <c r="H108" s="679">
        <f>G108+'3'!H108</f>
        <v>111</v>
      </c>
      <c r="I108" s="532"/>
      <c r="J108" s="558">
        <f>H108/DAY(B2)</f>
        <v>27.75</v>
      </c>
      <c r="N108" s="382"/>
    </row>
    <row r="109" spans="1:14" s="442" customFormat="1" ht="27.75">
      <c r="A109" s="1560" t="s">
        <v>78</v>
      </c>
      <c r="B109" s="1561"/>
      <c r="C109" s="1299"/>
      <c r="D109" s="622" t="s">
        <v>142</v>
      </c>
      <c r="E109" s="532">
        <f>'3'!F109</f>
        <v>0</v>
      </c>
      <c r="F109" s="532"/>
      <c r="G109" s="532"/>
      <c r="H109" s="679">
        <f>G109+'3'!H109</f>
        <v>0</v>
      </c>
      <c r="I109" s="532"/>
      <c r="J109" s="558"/>
      <c r="N109" s="382"/>
    </row>
    <row r="110" spans="1:14" s="442" customFormat="1" ht="27.75">
      <c r="A110" s="1554" t="s">
        <v>218</v>
      </c>
      <c r="B110" s="1555"/>
      <c r="C110" s="1299"/>
      <c r="D110" s="622" t="s">
        <v>142</v>
      </c>
      <c r="E110" s="532">
        <f>'3'!F110</f>
        <v>65048</v>
      </c>
      <c r="F110" s="532">
        <v>65100</v>
      </c>
      <c r="G110" s="532">
        <f>F110-E110</f>
        <v>52</v>
      </c>
      <c r="H110" s="679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54" t="s">
        <v>219</v>
      </c>
      <c r="B111" s="1555"/>
      <c r="C111" s="1299"/>
      <c r="D111" s="622" t="s">
        <v>142</v>
      </c>
      <c r="E111" s="532">
        <f>'3'!F111</f>
        <v>33252</v>
      </c>
      <c r="F111" s="532">
        <v>33302</v>
      </c>
      <c r="G111" s="532">
        <f t="shared" ref="G111:G112" si="12">F111-E111</f>
        <v>50</v>
      </c>
      <c r="H111" s="679">
        <f>G111+'3'!H111</f>
        <v>173</v>
      </c>
      <c r="I111" s="532"/>
      <c r="J111" s="558">
        <f>H111/DAY(B2)</f>
        <v>43.25</v>
      </c>
      <c r="N111" s="382"/>
    </row>
    <row r="112" spans="1:14" s="442" customFormat="1" ht="27.75">
      <c r="A112" s="1554" t="s">
        <v>220</v>
      </c>
      <c r="B112" s="1555"/>
      <c r="C112" s="1299"/>
      <c r="D112" s="622" t="s">
        <v>142</v>
      </c>
      <c r="E112" s="532">
        <f>'3'!F112</f>
        <v>4621.3</v>
      </c>
      <c r="F112" s="532">
        <v>4621.3</v>
      </c>
      <c r="G112" s="532">
        <f t="shared" si="12"/>
        <v>0</v>
      </c>
      <c r="H112" s="679">
        <f>G112+'3'!H112</f>
        <v>0.3000000000001819</v>
      </c>
      <c r="I112" s="532"/>
      <c r="J112" s="558">
        <f>H112/DAY(B2)</f>
        <v>7.5000000000045475E-2</v>
      </c>
      <c r="N112" s="382"/>
    </row>
    <row r="113" spans="1:14" s="442" customFormat="1" ht="27.75">
      <c r="A113" s="1556" t="s">
        <v>109</v>
      </c>
      <c r="B113" s="1557"/>
      <c r="C113" s="1299"/>
      <c r="D113" s="622"/>
      <c r="E113" s="532">
        <f>'3'!F113</f>
        <v>0</v>
      </c>
      <c r="F113" s="532"/>
      <c r="G113" s="532">
        <f>SUM(G110:G112)</f>
        <v>102</v>
      </c>
      <c r="H113" s="679">
        <f>G113+'3'!H113</f>
        <v>430.30000000000018</v>
      </c>
      <c r="I113" s="532"/>
      <c r="J113" s="558">
        <f>H113/DAY(B2)</f>
        <v>107.57500000000005</v>
      </c>
      <c r="N113" s="382"/>
    </row>
    <row r="114" spans="1:14" s="442" customFormat="1" ht="27.75">
      <c r="A114" s="1560" t="s">
        <v>221</v>
      </c>
      <c r="B114" s="1561"/>
      <c r="C114" s="1299"/>
      <c r="D114" s="622"/>
      <c r="E114" s="532">
        <f>'3'!F114</f>
        <v>0</v>
      </c>
      <c r="F114" s="532"/>
      <c r="G114" s="532"/>
      <c r="H114" s="679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532">
        <f>'3'!F115</f>
        <v>12044</v>
      </c>
      <c r="F115" s="534">
        <v>12072</v>
      </c>
      <c r="G115" s="534">
        <f>F115-E115</f>
        <v>28</v>
      </c>
      <c r="H115" s="679">
        <f>G115+'3'!H115</f>
        <v>59</v>
      </c>
      <c r="I115" s="532"/>
      <c r="J115" s="558">
        <f>H115/DAY(B2)</f>
        <v>14.75</v>
      </c>
      <c r="N115" s="382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532">
        <f>'3'!F116</f>
        <v>8573</v>
      </c>
      <c r="F116" s="534">
        <v>8583</v>
      </c>
      <c r="G116" s="534">
        <f t="shared" ref="G116:G117" si="13">F116-E116</f>
        <v>10</v>
      </c>
      <c r="H116" s="679">
        <f>G116+'3'!H116</f>
        <v>28</v>
      </c>
      <c r="I116" s="532"/>
      <c r="J116" s="558">
        <f>H116/DAY(B2)</f>
        <v>7</v>
      </c>
      <c r="N116" s="382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534">
        <f t="shared" si="13"/>
        <v>0</v>
      </c>
      <c r="H117" s="679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200</v>
      </c>
      <c r="B118" s="1557"/>
      <c r="C118" s="574"/>
      <c r="D118" s="623"/>
      <c r="E118" s="534"/>
      <c r="F118" s="534"/>
      <c r="G118" s="534">
        <f>SUM(G115:G117)</f>
        <v>38</v>
      </c>
      <c r="H118" s="679">
        <f>G118+'3'!H118</f>
        <v>87</v>
      </c>
      <c r="I118" s="534"/>
      <c r="J118" s="558">
        <f>H118/DAY(B2)</f>
        <v>21.75</v>
      </c>
      <c r="N118" s="382"/>
    </row>
    <row r="119" spans="1:14" s="446" customFormat="1" ht="27.75">
      <c r="A119" s="1550" t="s">
        <v>225</v>
      </c>
      <c r="B119" s="1551"/>
      <c r="C119" s="1297"/>
      <c r="D119" s="624" t="s">
        <v>142</v>
      </c>
      <c r="E119" s="536"/>
      <c r="F119" s="536">
        <f>SUM(G19+G93)</f>
        <v>239</v>
      </c>
      <c r="G119" s="536">
        <f>SUM(G19+G93)</f>
        <v>239</v>
      </c>
      <c r="H119" s="679">
        <f>G119+'3'!H119</f>
        <v>725</v>
      </c>
      <c r="I119" s="535"/>
      <c r="J119" s="559">
        <f>H119/DAY(B2)</f>
        <v>181.25</v>
      </c>
      <c r="N119" s="382"/>
    </row>
    <row r="120" spans="1:14" s="446" customFormat="1" ht="27.75">
      <c r="A120" s="1550" t="s">
        <v>226</v>
      </c>
      <c r="B120" s="1551"/>
      <c r="C120" s="1297"/>
      <c r="D120" s="624" t="s">
        <v>142</v>
      </c>
      <c r="E120" s="536"/>
      <c r="F120" s="536">
        <f>SUM(G96,G97,G98,G100,G101)</f>
        <v>255</v>
      </c>
      <c r="G120" s="536">
        <f>SUM(G96,G97,G98,G100,G101)</f>
        <v>255</v>
      </c>
      <c r="H120" s="679">
        <f>G120+'3'!H120</f>
        <v>713</v>
      </c>
      <c r="I120" s="535"/>
      <c r="J120" s="559">
        <f>H120/DAY(B2)</f>
        <v>178.25</v>
      </c>
      <c r="N120" s="382"/>
    </row>
    <row r="121" spans="1:14" s="446" customFormat="1" ht="27.75">
      <c r="A121" s="1550" t="s">
        <v>227</v>
      </c>
      <c r="B121" s="1551"/>
      <c r="C121" s="1297"/>
      <c r="D121" s="624" t="s">
        <v>142</v>
      </c>
      <c r="E121" s="534"/>
      <c r="F121" s="534">
        <f>SUM(G113)</f>
        <v>102</v>
      </c>
      <c r="G121" s="534">
        <f>SUM(G113)</f>
        <v>102</v>
      </c>
      <c r="H121" s="679">
        <f>G121+'3'!H121</f>
        <v>430.30000000000018</v>
      </c>
      <c r="I121" s="535"/>
      <c r="J121" s="559">
        <f>H121/DAY(B2)</f>
        <v>107.57500000000005</v>
      </c>
      <c r="N121" s="382"/>
    </row>
    <row r="122" spans="1:14" s="442" customFormat="1" ht="27.75">
      <c r="A122" s="1552"/>
      <c r="B122" s="1553"/>
      <c r="C122" s="1298"/>
      <c r="D122" s="560"/>
      <c r="E122" s="560"/>
      <c r="F122" s="560" t="s">
        <v>213</v>
      </c>
      <c r="G122" s="560"/>
      <c r="H122" s="561"/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0" t="s">
        <v>229</v>
      </c>
      <c r="B124" s="1301"/>
      <c r="C124" s="1301"/>
      <c r="D124" s="523" t="s">
        <v>139</v>
      </c>
      <c r="E124" s="478">
        <f>'3'!F124</f>
        <v>840500.47</v>
      </c>
      <c r="F124" s="634">
        <v>840828.2</v>
      </c>
      <c r="G124" s="473">
        <f t="shared" ref="G124:G128" si="14">F124-E124</f>
        <v>327.72999999998137</v>
      </c>
      <c r="H124" s="679">
        <f>G124+'3'!H124</f>
        <v>1158.1999999999534</v>
      </c>
      <c r="I124" s="526"/>
      <c r="J124" s="552">
        <f>H124/DAY(B2)</f>
        <v>289.54999999998836</v>
      </c>
      <c r="K124" s="380"/>
      <c r="L124" s="377"/>
      <c r="N124" s="382"/>
    </row>
    <row r="125" spans="1:14" ht="27.75">
      <c r="A125" s="1300" t="s">
        <v>230</v>
      </c>
      <c r="B125" s="1301"/>
      <c r="C125" s="1301"/>
      <c r="D125" s="523" t="s">
        <v>139</v>
      </c>
      <c r="E125" s="478">
        <f>'3'!F125</f>
        <v>73583.399999999994</v>
      </c>
      <c r="F125" s="649">
        <v>73583.399999999994</v>
      </c>
      <c r="G125" s="473">
        <f t="shared" si="14"/>
        <v>0</v>
      </c>
      <c r="H125" s="679">
        <f>G125+'3'!H125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3" t="s">
        <v>231</v>
      </c>
      <c r="B126" s="1544"/>
      <c r="C126" s="1545"/>
      <c r="D126" s="523" t="s">
        <v>139</v>
      </c>
      <c r="E126" s="478">
        <f>'3'!F126</f>
        <v>148867.96</v>
      </c>
      <c r="F126" s="634">
        <v>148947.49</v>
      </c>
      <c r="G126" s="473">
        <f t="shared" si="14"/>
        <v>79.529999999998836</v>
      </c>
      <c r="H126" s="679">
        <f>G126+'3'!H126</f>
        <v>350.48999999999069</v>
      </c>
      <c r="I126" s="526"/>
      <c r="J126" s="552">
        <f>H126/DAY(B2)</f>
        <v>87.622499999997672</v>
      </c>
      <c r="K126" s="380"/>
      <c r="L126" s="377"/>
      <c r="N126" s="382"/>
    </row>
    <row r="127" spans="1:14" ht="27.75">
      <c r="A127" s="609" t="s">
        <v>232</v>
      </c>
      <c r="B127" s="1301"/>
      <c r="C127" s="1301"/>
      <c r="D127" s="523" t="s">
        <v>139</v>
      </c>
      <c r="E127" s="478">
        <f>'3'!F127</f>
        <v>32182.2</v>
      </c>
      <c r="F127" s="649">
        <v>32219.599999999999</v>
      </c>
      <c r="G127" s="473">
        <f t="shared" si="14"/>
        <v>37.399999999997817</v>
      </c>
      <c r="H127" s="679">
        <f>G127+'3'!H127</f>
        <v>148.59999999999854</v>
      </c>
      <c r="I127" s="526"/>
      <c r="J127" s="552">
        <f>H127/DAY(B2)</f>
        <v>37.149999999999636</v>
      </c>
      <c r="K127" s="380"/>
      <c r="L127" s="377"/>
      <c r="N127" s="382"/>
    </row>
    <row r="128" spans="1:14" ht="27.75">
      <c r="A128" s="609" t="s">
        <v>233</v>
      </c>
      <c r="B128" s="1301"/>
      <c r="C128" s="1301"/>
      <c r="D128" s="523" t="s">
        <v>139</v>
      </c>
      <c r="E128" s="478">
        <f>'3'!F128</f>
        <v>9024.4</v>
      </c>
      <c r="F128" s="649">
        <v>9025.9</v>
      </c>
      <c r="G128" s="473">
        <f t="shared" si="14"/>
        <v>1.5</v>
      </c>
      <c r="H128" s="679">
        <f>G128+'3'!H128</f>
        <v>13.899999999999636</v>
      </c>
      <c r="I128" s="480"/>
      <c r="J128" s="552">
        <f>H128/DAY(B2)</f>
        <v>3.4749999999999091</v>
      </c>
      <c r="K128" s="380"/>
      <c r="L128" s="377"/>
      <c r="N128" s="382"/>
    </row>
    <row r="129" spans="1:14" s="281" customFormat="1" ht="27.75">
      <c r="A129" s="609" t="s">
        <v>234</v>
      </c>
      <c r="B129" s="1301"/>
      <c r="C129" s="1301"/>
      <c r="D129" s="523"/>
      <c r="E129" s="478"/>
      <c r="F129" s="634"/>
      <c r="G129" s="473">
        <f>G15-SUM(G124:G128)</f>
        <v>340.71999999991021</v>
      </c>
      <c r="H129" s="679">
        <f>G129+'3'!H129</f>
        <v>1485.2099999999646</v>
      </c>
      <c r="I129" s="480"/>
      <c r="J129" s="552">
        <f>H129/DAY(B2)</f>
        <v>371.30249999999114</v>
      </c>
      <c r="K129" s="364"/>
      <c r="L129" s="292"/>
      <c r="N129" s="382"/>
    </row>
    <row r="130" spans="1:14">
      <c r="A130" s="610" t="s">
        <v>235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0" t="s">
        <v>236</v>
      </c>
      <c r="B131" s="1301"/>
      <c r="C131" s="1301"/>
      <c r="D131" s="523" t="s">
        <v>237</v>
      </c>
      <c r="E131" s="484">
        <f>'3'!F131</f>
        <v>0</v>
      </c>
      <c r="F131" s="634">
        <v>0</v>
      </c>
      <c r="G131" s="473">
        <f t="shared" ref="G131:G141" si="15">F131-E131</f>
        <v>0</v>
      </c>
      <c r="H131" s="679">
        <f>G131+'3'!H131</f>
        <v>0</v>
      </c>
      <c r="I131" s="480"/>
      <c r="J131" s="552">
        <f>H131/DAY(B2)</f>
        <v>0</v>
      </c>
      <c r="N131" s="382"/>
    </row>
    <row r="132" spans="1:14" ht="27.75">
      <c r="A132" s="1510" t="s">
        <v>266</v>
      </c>
      <c r="B132" s="1301"/>
      <c r="C132" s="1301"/>
      <c r="D132" s="523" t="s">
        <v>237</v>
      </c>
      <c r="E132" s="484">
        <f>'3'!F132</f>
        <v>0</v>
      </c>
      <c r="F132" s="634">
        <v>0</v>
      </c>
      <c r="G132" s="473">
        <f t="shared" si="15"/>
        <v>0</v>
      </c>
      <c r="H132" s="679">
        <f>G132+'3'!H132</f>
        <v>0</v>
      </c>
      <c r="I132" s="480"/>
      <c r="J132" s="552">
        <f>H132/DAY(B2)</f>
        <v>0</v>
      </c>
      <c r="N132" s="382"/>
    </row>
    <row r="133" spans="1:14" ht="27.75">
      <c r="A133" s="1300" t="s">
        <v>239</v>
      </c>
      <c r="B133" s="1301"/>
      <c r="C133" s="1301"/>
      <c r="D133" s="523" t="s">
        <v>237</v>
      </c>
      <c r="E133" s="484">
        <f>'3'!F133</f>
        <v>40506</v>
      </c>
      <c r="F133" s="635">
        <v>40530</v>
      </c>
      <c r="G133" s="473">
        <f t="shared" si="15"/>
        <v>24</v>
      </c>
      <c r="H133" s="679">
        <f>G133+'3'!H133</f>
        <v>77</v>
      </c>
      <c r="I133" s="480"/>
      <c r="J133" s="552">
        <f>H133/DAY(B2)</f>
        <v>19.25</v>
      </c>
      <c r="N133" s="382"/>
    </row>
    <row r="134" spans="1:14" ht="27.75">
      <c r="A134" s="1300" t="s">
        <v>240</v>
      </c>
      <c r="B134" s="1301"/>
      <c r="C134" s="1301"/>
      <c r="D134" s="523" t="s">
        <v>237</v>
      </c>
      <c r="E134" s="484">
        <f>'3'!F134</f>
        <v>300</v>
      </c>
      <c r="F134" s="649">
        <v>300</v>
      </c>
      <c r="G134" s="473">
        <f t="shared" si="15"/>
        <v>0</v>
      </c>
      <c r="H134" s="679">
        <f>G134+'3'!H134</f>
        <v>0</v>
      </c>
      <c r="I134" s="480">
        <f>G133+G134+G135+G136</f>
        <v>29.141999999999825</v>
      </c>
      <c r="J134" s="552">
        <f>H134/DAY(B2)</f>
        <v>0</v>
      </c>
      <c r="N134" s="382"/>
    </row>
    <row r="135" spans="1:14" ht="27.75">
      <c r="A135" s="1300" t="s">
        <v>241</v>
      </c>
      <c r="B135" s="1301"/>
      <c r="C135" s="1301"/>
      <c r="D135" s="523" t="s">
        <v>237</v>
      </c>
      <c r="E135" s="484">
        <f>'3'!F135</f>
        <v>42007.197999999997</v>
      </c>
      <c r="F135" s="649">
        <v>42012.34</v>
      </c>
      <c r="G135" s="473">
        <f t="shared" si="15"/>
        <v>5.1419999999998254</v>
      </c>
      <c r="H135" s="679">
        <f>G135+'3'!H135</f>
        <v>40.339999999996508</v>
      </c>
      <c r="I135" s="480"/>
      <c r="J135" s="552">
        <f>H135/DAY(B2)</f>
        <v>10.084999999999127</v>
      </c>
      <c r="N135" s="382"/>
    </row>
    <row r="136" spans="1:14" ht="27.75">
      <c r="A136" s="1300" t="s">
        <v>242</v>
      </c>
      <c r="B136" s="1301"/>
      <c r="C136" s="1301"/>
      <c r="D136" s="523" t="s">
        <v>237</v>
      </c>
      <c r="E136" s="484">
        <f>'3'!F136</f>
        <v>32874</v>
      </c>
      <c r="F136" s="649">
        <v>32874</v>
      </c>
      <c r="G136" s="473">
        <f t="shared" si="15"/>
        <v>0</v>
      </c>
      <c r="H136" s="679">
        <f>G136+'3'!H136</f>
        <v>0</v>
      </c>
      <c r="I136" s="480"/>
      <c r="J136" s="552">
        <f>H136/DAY(B2)</f>
        <v>0</v>
      </c>
      <c r="N136" s="382"/>
    </row>
    <row r="137" spans="1:14" ht="27.75">
      <c r="A137" s="1300" t="s">
        <v>243</v>
      </c>
      <c r="B137" s="1301"/>
      <c r="C137" s="1301"/>
      <c r="D137" s="523" t="s">
        <v>237</v>
      </c>
      <c r="E137" s="484">
        <f>'3'!F137</f>
        <v>22911.79</v>
      </c>
      <c r="F137" s="635">
        <v>22917.91</v>
      </c>
      <c r="G137" s="473">
        <f t="shared" si="15"/>
        <v>6.1199999999989814</v>
      </c>
      <c r="H137" s="679">
        <f>G137+'3'!H137</f>
        <v>26.419999999998254</v>
      </c>
      <c r="I137" s="480">
        <f>G137+G138+G139</f>
        <v>6.1199999999989814</v>
      </c>
      <c r="J137" s="552">
        <f>H137/DAY(B2)</f>
        <v>6.6049999999995634</v>
      </c>
      <c r="N137" s="382"/>
    </row>
    <row r="138" spans="1:14" ht="27.75">
      <c r="A138" s="1300" t="s">
        <v>244</v>
      </c>
      <c r="B138" s="1301"/>
      <c r="C138" s="1301"/>
      <c r="D138" s="523" t="s">
        <v>237</v>
      </c>
      <c r="E138" s="484">
        <f>'3'!F138</f>
        <v>25091.39</v>
      </c>
      <c r="F138" s="635">
        <v>25091.39</v>
      </c>
      <c r="G138" s="473">
        <f t="shared" si="15"/>
        <v>0</v>
      </c>
      <c r="H138" s="679">
        <f>G138+'3'!H138</f>
        <v>0</v>
      </c>
      <c r="I138" s="480"/>
      <c r="J138" s="552">
        <f>H138/DAY(B2)</f>
        <v>0</v>
      </c>
      <c r="N138" s="382"/>
    </row>
    <row r="139" spans="1:14" ht="27.75">
      <c r="A139" s="1300" t="s">
        <v>245</v>
      </c>
      <c r="B139" s="1301"/>
      <c r="C139" s="1301"/>
      <c r="D139" s="523" t="s">
        <v>237</v>
      </c>
      <c r="E139" s="484">
        <f>'3'!F139</f>
        <v>70513.62</v>
      </c>
      <c r="F139" s="635">
        <v>70513.62</v>
      </c>
      <c r="G139" s="473">
        <f t="shared" si="15"/>
        <v>0</v>
      </c>
      <c r="H139" s="679">
        <f>G139+'3'!H139</f>
        <v>0</v>
      </c>
      <c r="I139" s="480"/>
      <c r="J139" s="552">
        <f>H139/DAY(B2)</f>
        <v>0</v>
      </c>
      <c r="N139" s="382"/>
    </row>
    <row r="140" spans="1:14" ht="27.75">
      <c r="A140" s="1300" t="s">
        <v>246</v>
      </c>
      <c r="B140" s="1301"/>
      <c r="C140" s="1301"/>
      <c r="D140" s="523" t="s">
        <v>237</v>
      </c>
      <c r="E140" s="484">
        <f>'3'!F140</f>
        <v>2159.91</v>
      </c>
      <c r="F140" s="649">
        <v>2172.02</v>
      </c>
      <c r="G140" s="473">
        <f t="shared" si="15"/>
        <v>12.110000000000127</v>
      </c>
      <c r="H140" s="679">
        <f>G140+'3'!H140</f>
        <v>42.840000000000146</v>
      </c>
      <c r="I140" s="542">
        <f>G140+G141</f>
        <v>12.139999999999873</v>
      </c>
      <c r="J140" s="552">
        <f>H140/DAY(B2)</f>
        <v>10.710000000000036</v>
      </c>
      <c r="N140" s="382"/>
    </row>
    <row r="141" spans="1:14" ht="27.75">
      <c r="A141" s="1300" t="s">
        <v>247</v>
      </c>
      <c r="B141" s="1301"/>
      <c r="C141" s="1301"/>
      <c r="D141" s="523" t="s">
        <v>237</v>
      </c>
      <c r="E141" s="484">
        <f>'3'!F141</f>
        <v>4636.97</v>
      </c>
      <c r="F141" s="634">
        <v>4637</v>
      </c>
      <c r="G141" s="473">
        <f t="shared" si="15"/>
        <v>2.9999999999745341E-2</v>
      </c>
      <c r="H141" s="679">
        <f>G141+'3'!H141</f>
        <v>0</v>
      </c>
      <c r="I141" s="542"/>
      <c r="J141" s="552">
        <f>H141/DAY(B2)</f>
        <v>0</v>
      </c>
      <c r="N141" s="382"/>
    </row>
    <row r="142" spans="1:14">
      <c r="A142" s="1565" t="s">
        <v>248</v>
      </c>
      <c r="B142" s="1566"/>
      <c r="C142" s="1306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637"/>
      <c r="G143" s="460">
        <f>G35+G43+G49+G57</f>
        <v>5582.9000000000233</v>
      </c>
      <c r="H143" s="679">
        <f>G143+'3'!H143</f>
        <v>22195.130000000005</v>
      </c>
      <c r="I143" s="480"/>
      <c r="J143" s="552">
        <f>H143/DAY(B2)</f>
        <v>5548.7825000000012</v>
      </c>
      <c r="K143" s="380"/>
      <c r="L143" s="377"/>
      <c r="N143" s="382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641"/>
      <c r="G144" s="543">
        <f>G143/G7</f>
        <v>0.25717398364246591</v>
      </c>
      <c r="H144" s="679">
        <f>G144+'3'!H144</f>
        <v>1.0124292739218943</v>
      </c>
      <c r="I144" s="544"/>
      <c r="J144" s="552">
        <f>H144/DAY(B2)</f>
        <v>0.25310731848047358</v>
      </c>
      <c r="K144" s="380"/>
      <c r="L144" s="377"/>
      <c r="N144" s="382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633"/>
      <c r="G145" s="460">
        <f>G41+G42+G55+G56</f>
        <v>6765.8400000000911</v>
      </c>
      <c r="H145" s="679">
        <f>G145+'3'!H145</f>
        <v>27887.900000000009</v>
      </c>
      <c r="I145" s="480"/>
      <c r="J145" s="552">
        <f>H145/DAY(B2)</f>
        <v>6971.9750000000022</v>
      </c>
      <c r="K145" s="380"/>
      <c r="L145" s="377"/>
      <c r="N145" s="382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633"/>
      <c r="G146" s="543">
        <f>G145/G7</f>
        <v>0.31166562637474388</v>
      </c>
      <c r="H146" s="679">
        <f>G146+'3'!H146</f>
        <v>1.2698960080033228</v>
      </c>
      <c r="I146" s="544"/>
      <c r="J146" s="552">
        <f>H146/DAY(B2)</f>
        <v>0.3174740020008307</v>
      </c>
      <c r="K146" s="380"/>
      <c r="L146" s="377"/>
      <c r="N146" s="382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633"/>
      <c r="G147" s="460">
        <f>G39+G53</f>
        <v>3681.5999999999767</v>
      </c>
      <c r="H147" s="679">
        <f>G147+'3'!H147</f>
        <v>15062.940000000002</v>
      </c>
      <c r="I147" s="545"/>
      <c r="J147" s="552">
        <f>H147/DAY(B2)</f>
        <v>3765.7350000000006</v>
      </c>
      <c r="K147" s="380"/>
      <c r="L147" s="377"/>
      <c r="N147" s="382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633"/>
      <c r="G148" s="543">
        <f>G147/G7</f>
        <v>0.16959138407961677</v>
      </c>
      <c r="H148" s="679">
        <f>G148+'3'!H148</f>
        <v>0.68712907807241042</v>
      </c>
      <c r="I148" s="545"/>
      <c r="J148" s="552">
        <f>H148/DAY(B2)</f>
        <v>0.1717822695181026</v>
      </c>
      <c r="N148" s="382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633"/>
      <c r="G149" s="460">
        <f>G38+G52</f>
        <v>1792.8899999999558</v>
      </c>
      <c r="H149" s="679">
        <f>G149+'3'!H149</f>
        <v>6686.9599999999627</v>
      </c>
      <c r="I149" s="480"/>
      <c r="J149" s="552">
        <f>H149/DAY(B2)</f>
        <v>1671.7399999999907</v>
      </c>
      <c r="K149" s="381"/>
      <c r="N149" s="382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633"/>
      <c r="G150" s="543">
        <f>G149/G7</f>
        <v>8.2588737669083701E-2</v>
      </c>
      <c r="H150" s="679">
        <f>G150+'3'!H150</f>
        <v>0.30471609945236772</v>
      </c>
      <c r="I150" s="545"/>
      <c r="J150" s="552">
        <f>H150/DAY(B2)</f>
        <v>7.6179024863091929E-2</v>
      </c>
      <c r="N150" s="382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633"/>
      <c r="G151" s="460">
        <f>G36+G50</f>
        <v>1799.2800000000534</v>
      </c>
      <c r="H151" s="679">
        <f>G151+'3'!H151</f>
        <v>7875.2200000000012</v>
      </c>
      <c r="I151" s="545"/>
      <c r="J151" s="552">
        <f>H151/DAY(B2)</f>
        <v>1968.8050000000003</v>
      </c>
      <c r="N151" s="382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633"/>
      <c r="G152" s="543">
        <f>G151/G7</f>
        <v>8.2883090381025606E-2</v>
      </c>
      <c r="H152" s="679">
        <f>G152+'3'!H152</f>
        <v>0.35827133286034296</v>
      </c>
      <c r="I152" s="480"/>
      <c r="J152" s="552">
        <f>H152/DAY(B2)</f>
        <v>8.956783321508574E-2</v>
      </c>
      <c r="N152" s="382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633"/>
      <c r="G153" s="460">
        <f>G37+G51</f>
        <v>1478.6399999999849</v>
      </c>
      <c r="H153" s="679">
        <f>G153+'3'!H153</f>
        <v>5994.9799999999814</v>
      </c>
      <c r="I153" s="480"/>
      <c r="J153" s="552">
        <f>H153/DAY(B2)</f>
        <v>1498.7449999999953</v>
      </c>
      <c r="N153" s="382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650"/>
      <c r="G154" s="566">
        <f>G153/G7</f>
        <v>6.811294115479237E-2</v>
      </c>
      <c r="H154" s="679">
        <f>G154+'3'!H154</f>
        <v>0.2734309008234837</v>
      </c>
      <c r="I154" s="568"/>
      <c r="J154" s="569">
        <f>H154/DAY(B2)</f>
        <v>6.8357725205870926E-2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261</v>
      </c>
      <c r="B161" s="785"/>
      <c r="C161" s="785"/>
      <c r="D161" s="511" t="s">
        <v>185</v>
      </c>
      <c r="E161" s="658">
        <f>'3'!F161</f>
        <v>41085.230000000003</v>
      </c>
      <c r="F161" s="658">
        <v>41166.06</v>
      </c>
      <c r="G161" s="473">
        <f t="shared" ref="G161:G174" si="16">F161-E161</f>
        <v>80.82999999999447</v>
      </c>
    </row>
    <row r="162" spans="1:15">
      <c r="A162" s="784" t="s">
        <v>262</v>
      </c>
      <c r="B162" s="785"/>
      <c r="C162" s="785"/>
      <c r="D162" s="511" t="s">
        <v>185</v>
      </c>
      <c r="E162" s="658">
        <f>'3'!F162</f>
        <v>109179.36</v>
      </c>
      <c r="F162" s="658">
        <v>109612.51</v>
      </c>
      <c r="G162" s="473">
        <f t="shared" si="16"/>
        <v>433.14999999999418</v>
      </c>
    </row>
    <row r="163" spans="1:15">
      <c r="A163" s="784" t="s">
        <v>263</v>
      </c>
      <c r="B163" s="785"/>
      <c r="C163" s="785"/>
      <c r="D163" s="511" t="s">
        <v>185</v>
      </c>
      <c r="E163" s="658">
        <f>'3'!F163</f>
        <v>61852.59</v>
      </c>
      <c r="F163" s="658">
        <v>62055.34</v>
      </c>
      <c r="G163" s="473">
        <f t="shared" si="16"/>
        <v>202.75</v>
      </c>
    </row>
    <row r="164" spans="1:15">
      <c r="A164" s="784" t="s">
        <v>264</v>
      </c>
      <c r="B164" s="785"/>
      <c r="C164" s="785"/>
      <c r="D164" s="511" t="s">
        <v>185</v>
      </c>
      <c r="E164" s="658">
        <f>'3'!F164</f>
        <v>6880.13</v>
      </c>
      <c r="F164" s="658">
        <v>6886.98</v>
      </c>
      <c r="G164" s="473">
        <f t="shared" si="16"/>
        <v>6.8499999999994543</v>
      </c>
    </row>
    <row r="165" spans="1:15">
      <c r="A165" s="786" t="s">
        <v>97</v>
      </c>
      <c r="B165" s="604"/>
      <c r="C165" s="604"/>
      <c r="D165" s="511" t="s">
        <v>185</v>
      </c>
      <c r="E165" s="658">
        <v>0</v>
      </c>
      <c r="F165" s="514">
        <f>F62</f>
        <v>0</v>
      </c>
      <c r="G165" s="473">
        <f t="shared" si="16"/>
        <v>0</v>
      </c>
    </row>
    <row r="166" spans="1:15">
      <c r="A166" s="786" t="s">
        <v>186</v>
      </c>
      <c r="B166" s="604"/>
      <c r="C166" s="604"/>
      <c r="D166" s="511" t="s">
        <v>185</v>
      </c>
      <c r="E166" s="751">
        <f>'3'!F63</f>
        <v>0</v>
      </c>
      <c r="F166" s="514">
        <f>F63</f>
        <v>0</v>
      </c>
      <c r="G166" s="473">
        <f t="shared" si="16"/>
        <v>0</v>
      </c>
    </row>
    <row r="167" spans="1:15" ht="25.5" customHeight="1">
      <c r="A167" s="1549" t="s">
        <v>98</v>
      </c>
      <c r="B167" s="1549"/>
      <c r="C167" s="1549"/>
      <c r="D167" s="523" t="s">
        <v>185</v>
      </c>
      <c r="E167" s="751">
        <f>'3'!F64</f>
        <v>171149.29</v>
      </c>
      <c r="F167" s="514">
        <f t="shared" ref="F167:F172" si="17">F64</f>
        <v>171516.47</v>
      </c>
      <c r="G167" s="473">
        <f>F167-E167</f>
        <v>367.17999999999302</v>
      </c>
    </row>
    <row r="168" spans="1:15" ht="24.75" customHeight="1">
      <c r="A168" s="1549" t="s">
        <v>99</v>
      </c>
      <c r="B168" s="1549"/>
      <c r="C168" s="1549"/>
      <c r="D168" s="523" t="s">
        <v>185</v>
      </c>
      <c r="E168" s="751">
        <f>'3'!F65</f>
        <v>171590.13</v>
      </c>
      <c r="F168" s="514">
        <f t="shared" si="17"/>
        <v>172013.01</v>
      </c>
      <c r="G168" s="473">
        <f t="shared" si="16"/>
        <v>422.88000000000466</v>
      </c>
    </row>
    <row r="169" spans="1:15" ht="28.5" customHeight="1">
      <c r="A169" s="1549" t="s">
        <v>100</v>
      </c>
      <c r="B169" s="1549"/>
      <c r="C169" s="1549"/>
      <c r="D169" s="523" t="s">
        <v>185</v>
      </c>
      <c r="E169" s="751">
        <f>'3'!F66</f>
        <v>69249.55</v>
      </c>
      <c r="F169" s="514">
        <f t="shared" si="17"/>
        <v>69662.289999999994</v>
      </c>
      <c r="G169" s="473">
        <f t="shared" si="16"/>
        <v>412.73999999999069</v>
      </c>
    </row>
    <row r="170" spans="1:15" ht="24.75" customHeight="1">
      <c r="A170" s="1549" t="s">
        <v>101</v>
      </c>
      <c r="B170" s="1549"/>
      <c r="C170" s="1549"/>
      <c r="D170" s="523" t="s">
        <v>185</v>
      </c>
      <c r="E170" s="751">
        <f>'3'!F67</f>
        <v>266461.61</v>
      </c>
      <c r="F170" s="514">
        <f t="shared" si="17"/>
        <v>266903.75</v>
      </c>
      <c r="G170" s="473">
        <f t="shared" si="16"/>
        <v>442.14000000001397</v>
      </c>
    </row>
    <row r="171" spans="1:15" ht="24" customHeight="1">
      <c r="A171" s="1549" t="s">
        <v>102</v>
      </c>
      <c r="B171" s="1549"/>
      <c r="C171" s="1549"/>
      <c r="D171" s="523" t="s">
        <v>185</v>
      </c>
      <c r="E171" s="751">
        <f>'3'!F68</f>
        <v>85321</v>
      </c>
      <c r="F171" s="514">
        <f t="shared" si="17"/>
        <v>85321</v>
      </c>
      <c r="G171" s="473">
        <f t="shared" si="16"/>
        <v>0</v>
      </c>
    </row>
    <row r="172" spans="1:15" ht="27.75">
      <c r="A172" s="1549" t="s">
        <v>103</v>
      </c>
      <c r="B172" s="1549"/>
      <c r="C172" s="1549"/>
      <c r="D172" s="523" t="s">
        <v>185</v>
      </c>
      <c r="E172" s="751">
        <f>'3'!F69</f>
        <v>88268.65</v>
      </c>
      <c r="F172" s="514">
        <f t="shared" si="17"/>
        <v>88541.19</v>
      </c>
      <c r="G172" s="473">
        <f t="shared" si="16"/>
        <v>272.54000000000815</v>
      </c>
    </row>
    <row r="173" spans="1:15" ht="21.95" customHeight="1">
      <c r="A173" s="1609" t="s">
        <v>348</v>
      </c>
      <c r="B173" s="1609"/>
      <c r="C173" s="1504"/>
      <c r="D173" s="1505" t="s">
        <v>185</v>
      </c>
      <c r="E173" s="1511">
        <v>19017</v>
      </c>
      <c r="F173" s="1507">
        <v>19022.2</v>
      </c>
      <c r="G173" s="1508">
        <f t="shared" si="16"/>
        <v>5.2000000000007276</v>
      </c>
      <c r="O173" s="377"/>
    </row>
    <row r="174" spans="1:15" ht="21.95" customHeight="1">
      <c r="A174" s="1609" t="s">
        <v>348</v>
      </c>
      <c r="B174" s="1609"/>
      <c r="C174" s="1504"/>
      <c r="D174" s="1505" t="s">
        <v>185</v>
      </c>
      <c r="E174" s="1511">
        <v>70354</v>
      </c>
      <c r="F174" s="1507">
        <v>70360.899999999994</v>
      </c>
      <c r="G174" s="1508">
        <f t="shared" si="16"/>
        <v>6.8999999999941792</v>
      </c>
      <c r="O174" s="377"/>
    </row>
    <row r="175" spans="1:15" ht="27.75">
      <c r="A175" s="1609" t="s">
        <v>349</v>
      </c>
      <c r="B175" s="1609"/>
      <c r="C175" s="1504"/>
      <c r="D175" s="1505" t="s">
        <v>185</v>
      </c>
      <c r="E175" s="1511">
        <v>27642</v>
      </c>
      <c r="F175" s="1507">
        <v>27648</v>
      </c>
      <c r="G175" s="1508">
        <f>F175-E175</f>
        <v>6</v>
      </c>
      <c r="O175" s="377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48" zoomScaleSheetLayoutView="55" workbookViewId="0">
      <selection activeCell="H8" sqref="H8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371</v>
      </c>
      <c r="B2" s="1031">
        <v>44382</v>
      </c>
      <c r="C2" s="1139" t="s">
        <v>68</v>
      </c>
      <c r="D2" s="611">
        <v>0.98</v>
      </c>
      <c r="E2" s="461"/>
      <c r="F2" s="630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139" t="s">
        <v>118</v>
      </c>
      <c r="D3" s="612">
        <v>34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39" t="s">
        <v>120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632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6" t="s">
        <v>129</v>
      </c>
      <c r="B7" s="677"/>
      <c r="C7" s="677"/>
      <c r="D7" s="637" t="s">
        <v>332</v>
      </c>
      <c r="E7" s="633">
        <v>9728.65</v>
      </c>
      <c r="F7" s="1245">
        <v>30608.44</v>
      </c>
      <c r="G7" s="1249">
        <f>F7-E7</f>
        <v>20879.79</v>
      </c>
      <c r="H7" s="679">
        <f>G7+'4'!H7</f>
        <v>108655.44000000003</v>
      </c>
      <c r="I7" s="680">
        <f>'1'!I7</f>
        <v>12000</v>
      </c>
      <c r="J7" s="681">
        <f>H7/DAY(B2)</f>
        <v>21731.088000000007</v>
      </c>
      <c r="K7" s="549"/>
      <c r="L7" s="377"/>
      <c r="N7" s="382"/>
      <c r="O7" s="382"/>
    </row>
    <row r="8" spans="1:15" ht="27.75" thickBot="1">
      <c r="A8" s="682" t="s">
        <v>131</v>
      </c>
      <c r="B8" s="683"/>
      <c r="C8" s="684"/>
      <c r="D8" s="685" t="s">
        <v>25</v>
      </c>
      <c r="E8" s="633">
        <v>14988.6</v>
      </c>
      <c r="F8" s="1246">
        <v>35981.21</v>
      </c>
      <c r="G8" s="1249">
        <f t="shared" ref="G8:G9" si="0">F8-E8</f>
        <v>20992.61</v>
      </c>
      <c r="H8" s="679">
        <f>G8+'4'!H8</f>
        <v>109259.20999999998</v>
      </c>
      <c r="I8" s="686">
        <v>12000</v>
      </c>
      <c r="J8" s="681">
        <f>H8/DAY(B2)</f>
        <v>21851.841999999997</v>
      </c>
      <c r="K8" s="549"/>
      <c r="L8" s="425"/>
      <c r="M8" s="440"/>
      <c r="N8" s="703"/>
      <c r="O8" s="382"/>
    </row>
    <row r="9" spans="1:15">
      <c r="A9" s="687" t="s">
        <v>132</v>
      </c>
      <c r="B9" s="688"/>
      <c r="C9" s="688"/>
      <c r="D9" s="637" t="s">
        <v>130</v>
      </c>
      <c r="E9" s="634">
        <f>'4'!F9</f>
        <v>2117828.81</v>
      </c>
      <c r="F9" s="1242">
        <v>2138025.7000000002</v>
      </c>
      <c r="G9" s="1249">
        <f t="shared" si="0"/>
        <v>20196.89000000013</v>
      </c>
      <c r="H9" s="679">
        <f>G9+'4'!H9</f>
        <v>107023.70000000019</v>
      </c>
      <c r="I9" s="690">
        <f>I8-J8</f>
        <v>-9851.8419999999969</v>
      </c>
      <c r="J9" s="681">
        <f>H9/DAY(B2)</f>
        <v>21404.740000000038</v>
      </c>
      <c r="K9" s="428"/>
      <c r="L9" s="377"/>
      <c r="N9" s="382"/>
      <c r="O9" s="382"/>
    </row>
    <row r="10" spans="1:15">
      <c r="A10" s="676" t="s">
        <v>133</v>
      </c>
      <c r="B10" s="677"/>
      <c r="C10" s="677"/>
      <c r="D10" s="637" t="s">
        <v>130</v>
      </c>
      <c r="E10" s="634">
        <f>'4'!F10</f>
        <v>2606.5500000000002</v>
      </c>
      <c r="F10" s="1242">
        <v>2606.5500000000002</v>
      </c>
      <c r="G10" s="1249">
        <f>F10-E10</f>
        <v>0</v>
      </c>
      <c r="H10" s="679">
        <f>G10+'4'!H10</f>
        <v>0</v>
      </c>
      <c r="I10" s="691"/>
      <c r="J10" s="681">
        <f>H10/DAY(B2)</f>
        <v>0</v>
      </c>
      <c r="K10" s="428"/>
      <c r="L10" s="377"/>
      <c r="N10" s="382">
        <v>108</v>
      </c>
      <c r="O10" s="382"/>
    </row>
    <row r="11" spans="1:15">
      <c r="A11" s="676" t="s">
        <v>134</v>
      </c>
      <c r="B11" s="677"/>
      <c r="C11" s="677"/>
      <c r="D11" s="637" t="s">
        <v>130</v>
      </c>
      <c r="E11" s="633">
        <f>'4'!F11</f>
        <v>37000</v>
      </c>
      <c r="F11" s="1245">
        <v>37000</v>
      </c>
      <c r="G11" s="1249">
        <f>F11-E11</f>
        <v>0</v>
      </c>
      <c r="H11" s="679">
        <f>G11+'4'!H11</f>
        <v>0</v>
      </c>
      <c r="I11" s="691"/>
      <c r="J11" s="681">
        <f>H11/DAY(B2)</f>
        <v>0</v>
      </c>
      <c r="K11" s="428"/>
      <c r="L11" s="377"/>
      <c r="N11" s="382">
        <v>28</v>
      </c>
      <c r="O11" s="382"/>
    </row>
    <row r="12" spans="1:15">
      <c r="A12" s="676" t="s">
        <v>135</v>
      </c>
      <c r="B12" s="677"/>
      <c r="C12" s="677"/>
      <c r="D12" s="637" t="s">
        <v>130</v>
      </c>
      <c r="E12" s="634">
        <f>'4'!F12</f>
        <v>40010</v>
      </c>
      <c r="F12" s="1242">
        <v>40010</v>
      </c>
      <c r="G12" s="1249">
        <f t="shared" ref="G12" si="1">F12-E12</f>
        <v>0</v>
      </c>
      <c r="H12" s="679">
        <f>G12+'4'!H12</f>
        <v>0</v>
      </c>
      <c r="I12" s="691"/>
      <c r="J12" s="681">
        <f>H12/DAY(B2)</f>
        <v>0</v>
      </c>
      <c r="K12" s="428"/>
      <c r="L12" s="377"/>
      <c r="N12" s="382">
        <v>342</v>
      </c>
      <c r="O12" s="382"/>
    </row>
    <row r="13" spans="1:15">
      <c r="A13" s="692" t="s">
        <v>136</v>
      </c>
      <c r="B13" s="693"/>
      <c r="C13" s="693"/>
      <c r="D13" s="637"/>
      <c r="E13" s="633"/>
      <c r="F13" s="1245"/>
      <c r="G13" s="1249">
        <f>G9+G10+G11+G12</f>
        <v>20196.89000000013</v>
      </c>
      <c r="H13" s="679">
        <f>G13+'4'!H13</f>
        <v>107023.70000000019</v>
      </c>
      <c r="I13" s="695">
        <f>G7-G13</f>
        <v>682.89999999987049</v>
      </c>
      <c r="J13" s="681">
        <f>H13/DAY(B2)</f>
        <v>21404.740000000038</v>
      </c>
      <c r="K13" s="428"/>
      <c r="L13" s="377"/>
      <c r="N13" s="382">
        <v>349</v>
      </c>
      <c r="O13" s="382"/>
    </row>
    <row r="14" spans="1:15">
      <c r="A14" s="1573" t="s">
        <v>137</v>
      </c>
      <c r="B14" s="1574"/>
      <c r="C14" s="1575"/>
      <c r="D14" s="472"/>
      <c r="E14" s="472"/>
      <c r="F14" s="1091"/>
      <c r="G14" s="1252"/>
      <c r="H14" s="472"/>
      <c r="I14" s="472"/>
      <c r="J14" s="551"/>
      <c r="K14" s="429"/>
      <c r="L14" s="377"/>
      <c r="N14" s="382">
        <v>432</v>
      </c>
      <c r="O14" s="382"/>
    </row>
    <row r="15" spans="1:15" s="1516" customFormat="1">
      <c r="A15" s="792" t="s">
        <v>138</v>
      </c>
      <c r="B15" s="793"/>
      <c r="C15" s="793"/>
      <c r="D15" s="524" t="s">
        <v>139</v>
      </c>
      <c r="E15" s="485">
        <f>'4'!F15</f>
        <v>1706839.4</v>
      </c>
      <c r="F15" s="485">
        <v>1707764.46</v>
      </c>
      <c r="G15" s="473">
        <f t="shared" ref="G15" si="2">F15-E15</f>
        <v>925.06000000005588</v>
      </c>
      <c r="H15" s="486">
        <f>G15+'4'!H15</f>
        <v>4081.4599999999627</v>
      </c>
      <c r="I15" s="474">
        <v>800</v>
      </c>
      <c r="J15" s="553">
        <f>H15/DAY(B2)</f>
        <v>816.29199999999253</v>
      </c>
      <c r="K15" s="428"/>
      <c r="L15" s="1515"/>
      <c r="N15" s="1517"/>
      <c r="O15" s="1517"/>
    </row>
    <row r="16" spans="1:15">
      <c r="A16" s="790"/>
      <c r="B16" s="791"/>
      <c r="C16" s="791"/>
      <c r="D16" s="788"/>
      <c r="E16" s="1248"/>
      <c r="F16" s="1248"/>
      <c r="G16" s="1249"/>
      <c r="H16" s="1250"/>
      <c r="I16" s="1089">
        <f>I15-J15</f>
        <v>-16.291999999992527</v>
      </c>
      <c r="J16" s="1251"/>
      <c r="K16" s="428"/>
      <c r="L16" s="377"/>
      <c r="N16" s="382"/>
      <c r="O16" s="382"/>
    </row>
    <row r="17" spans="1:15">
      <c r="A17" s="1573" t="s">
        <v>140</v>
      </c>
      <c r="B17" s="1574"/>
      <c r="C17" s="1575"/>
      <c r="D17" s="472"/>
      <c r="E17" s="472"/>
      <c r="F17" s="1091"/>
      <c r="G17" s="1250"/>
      <c r="H17" s="472"/>
      <c r="I17" s="472"/>
      <c r="J17" s="551"/>
      <c r="K17" s="428"/>
      <c r="L17" s="377"/>
      <c r="N17" s="382"/>
      <c r="O17" s="382"/>
    </row>
    <row r="18" spans="1:15" ht="27.75">
      <c r="A18" s="1610" t="s">
        <v>141</v>
      </c>
      <c r="B18" s="1611"/>
      <c r="C18" s="1612"/>
      <c r="D18" s="637" t="s">
        <v>142</v>
      </c>
      <c r="E18" s="1248">
        <f>'4'!F18</f>
        <v>21</v>
      </c>
      <c r="F18" s="1242">
        <v>18</v>
      </c>
      <c r="G18" s="1249">
        <f>F18*10</f>
        <v>180</v>
      </c>
      <c r="H18" s="679">
        <f>G18+'4'!H18</f>
        <v>730</v>
      </c>
      <c r="I18" s="680">
        <f>'1'!I18</f>
        <v>65</v>
      </c>
      <c r="J18" s="681">
        <f>H18/DAY(B2)</f>
        <v>146</v>
      </c>
      <c r="K18" s="428"/>
      <c r="L18" s="377"/>
      <c r="N18" s="382"/>
      <c r="O18" s="382"/>
    </row>
    <row r="19" spans="1:15" ht="27.75">
      <c r="A19" s="1610" t="s">
        <v>70</v>
      </c>
      <c r="B19" s="1611"/>
      <c r="C19" s="1612"/>
      <c r="D19" s="637" t="s">
        <v>142</v>
      </c>
      <c r="E19" s="634">
        <f>'4'!F19</f>
        <v>141742</v>
      </c>
      <c r="F19" s="1242">
        <v>141803</v>
      </c>
      <c r="G19" s="1249">
        <f t="shared" ref="G19" si="3">F19-E19</f>
        <v>61</v>
      </c>
      <c r="H19" s="679">
        <f>G19+'4'!H19</f>
        <v>308</v>
      </c>
      <c r="I19" s="696"/>
      <c r="J19" s="681">
        <f>H19/DAY(B2)</f>
        <v>61.6</v>
      </c>
      <c r="K19" s="428"/>
      <c r="L19" s="377"/>
      <c r="N19" s="382"/>
      <c r="O19" s="382"/>
    </row>
    <row r="20" spans="1:15">
      <c r="A20" s="692" t="s">
        <v>143</v>
      </c>
      <c r="B20" s="693"/>
      <c r="C20" s="693"/>
      <c r="D20" s="637"/>
      <c r="E20" s="637"/>
      <c r="F20" s="637"/>
      <c r="G20" s="1253">
        <f>G18+G19</f>
        <v>241</v>
      </c>
      <c r="H20" s="679">
        <f>G20+'4'!H20</f>
        <v>1038</v>
      </c>
      <c r="I20" s="698">
        <f>I18-J20</f>
        <v>-142.6</v>
      </c>
      <c r="J20" s="681">
        <f>H20/DAY(B2)</f>
        <v>207.6</v>
      </c>
      <c r="K20" s="428"/>
      <c r="L20" s="377"/>
      <c r="N20" s="382"/>
      <c r="O20" s="382"/>
    </row>
    <row r="21" spans="1:15">
      <c r="A21" s="1573" t="s">
        <v>144</v>
      </c>
      <c r="B21" s="1574"/>
      <c r="C21" s="1575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7" t="s">
        <v>145</v>
      </c>
      <c r="B22" s="589"/>
      <c r="C22" s="589"/>
      <c r="D22" s="523" t="s">
        <v>146</v>
      </c>
      <c r="E22" s="634">
        <f>'4'!F22</f>
        <v>2970</v>
      </c>
      <c r="F22" s="634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7" t="s">
        <v>147</v>
      </c>
      <c r="B23" s="589"/>
      <c r="C23" s="589"/>
      <c r="D23" s="523" t="s">
        <v>146</v>
      </c>
      <c r="E23" s="634">
        <f>'4'!F23</f>
        <v>2000</v>
      </c>
      <c r="F23" s="634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148</v>
      </c>
      <c r="B24" s="591"/>
      <c r="C24" s="591"/>
      <c r="D24" s="511" t="s">
        <v>146</v>
      </c>
      <c r="E24" s="634">
        <f>'4'!F24</f>
        <v>4970</v>
      </c>
      <c r="F24" s="636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20992.61</v>
      </c>
      <c r="F27" s="501">
        <v>9</v>
      </c>
      <c r="G27" s="502">
        <f>E27*F27</f>
        <v>188933.49</v>
      </c>
      <c r="H27" s="460">
        <f>G27+'4'!H27</f>
        <v>983332.88999999978</v>
      </c>
      <c r="I27" s="503"/>
      <c r="J27" s="552">
        <f>H27/DAY(B2)</f>
        <v>196666.57799999995</v>
      </c>
      <c r="K27" s="373"/>
      <c r="L27" s="443"/>
      <c r="N27" s="382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699">
        <f>G15</f>
        <v>925.06000000005588</v>
      </c>
      <c r="F28" s="501">
        <v>52</v>
      </c>
      <c r="G28" s="502">
        <f>E28*F28</f>
        <v>48103.120000002906</v>
      </c>
      <c r="H28" s="460">
        <f>G28+'4'!H28</f>
        <v>212235.91999999806</v>
      </c>
      <c r="I28" s="505"/>
      <c r="J28" s="552">
        <f>H28/DAY(B2)</f>
        <v>42447.183999999615</v>
      </c>
      <c r="K28" s="373"/>
      <c r="L28" s="443"/>
      <c r="N28" s="382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699">
        <f>G19</f>
        <v>61</v>
      </c>
      <c r="F30" s="501">
        <v>146</v>
      </c>
      <c r="G30" s="502">
        <f>E30*F30</f>
        <v>8906</v>
      </c>
      <c r="H30" s="460">
        <f>G30+'4'!H30</f>
        <v>44384</v>
      </c>
      <c r="I30" s="505"/>
      <c r="J30" s="552">
        <f>H30/DAY(B2)</f>
        <v>8876.7999999999993</v>
      </c>
      <c r="K30" s="373"/>
      <c r="L30" s="443"/>
      <c r="N30" s="382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699">
        <f>G18</f>
        <v>180</v>
      </c>
      <c r="F31" s="501">
        <v>80</v>
      </c>
      <c r="G31" s="502">
        <f>E31*F31</f>
        <v>14400</v>
      </c>
      <c r="H31" s="460">
        <f>G31+'4'!H31</f>
        <v>52800</v>
      </c>
      <c r="I31" s="505"/>
      <c r="J31" s="552">
        <f>H31/DAY(B2)</f>
        <v>10560</v>
      </c>
      <c r="K31" s="373"/>
      <c r="L31" s="443"/>
      <c r="N31" s="382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638"/>
      <c r="G32" s="508">
        <f>G27+G28+G29+G30+G31</f>
        <v>260342.6100000029</v>
      </c>
      <c r="H32" s="460">
        <f>G32+'4'!H32</f>
        <v>1292752.8099999977</v>
      </c>
      <c r="I32" s="509"/>
      <c r="J32" s="552">
        <f>H32/DAY(B2)</f>
        <v>258550.56199999954</v>
      </c>
      <c r="K32" s="373"/>
      <c r="L32" s="443"/>
      <c r="N32" s="382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  <c r="O33" s="382"/>
    </row>
    <row r="34" spans="1:15">
      <c r="A34" s="598" t="s">
        <v>161</v>
      </c>
      <c r="B34" s="1142"/>
      <c r="C34" s="1142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162</v>
      </c>
      <c r="B35" s="579"/>
      <c r="C35" s="579"/>
      <c r="D35" s="523" t="s">
        <v>130</v>
      </c>
      <c r="E35" s="510">
        <f>'4'!F35</f>
        <v>1040555.8</v>
      </c>
      <c r="F35" s="1235">
        <v>1043384.5</v>
      </c>
      <c r="G35" s="473">
        <f t="shared" ref="G35:G46" si="5">F35-E35</f>
        <v>2828.6999999999534</v>
      </c>
      <c r="H35" s="460">
        <f>G35+'4'!H35</f>
        <v>14670.5</v>
      </c>
      <c r="I35" s="455"/>
      <c r="J35" s="552">
        <f>H35/DAY(B2)</f>
        <v>2934.1</v>
      </c>
      <c r="K35" s="428"/>
      <c r="L35" s="377"/>
      <c r="N35" s="382"/>
      <c r="O35" s="382"/>
    </row>
    <row r="36" spans="1:15">
      <c r="A36" s="578" t="s">
        <v>163</v>
      </c>
      <c r="B36" s="579"/>
      <c r="C36" s="579"/>
      <c r="D36" s="523" t="s">
        <v>130</v>
      </c>
      <c r="E36" s="510">
        <f>'4'!F36</f>
        <v>23687.22</v>
      </c>
      <c r="F36" s="1235">
        <v>24415.35</v>
      </c>
      <c r="G36" s="473">
        <f t="shared" si="5"/>
        <v>728.12999999999738</v>
      </c>
      <c r="H36" s="460">
        <f>G36+'4'!H36</f>
        <v>3954.3499999999985</v>
      </c>
      <c r="I36" s="455"/>
      <c r="J36" s="552">
        <f>H36/DAY(B2)</f>
        <v>790.86999999999966</v>
      </c>
      <c r="K36" s="428"/>
      <c r="L36" s="377"/>
      <c r="N36" s="628"/>
      <c r="O36" s="382"/>
    </row>
    <row r="37" spans="1:15">
      <c r="A37" s="578" t="s">
        <v>164</v>
      </c>
      <c r="B37" s="579"/>
      <c r="C37" s="579"/>
      <c r="D37" s="523" t="s">
        <v>130</v>
      </c>
      <c r="E37" s="510">
        <f>'4'!F37</f>
        <v>182565.11</v>
      </c>
      <c r="F37" s="1235">
        <v>184012.79</v>
      </c>
      <c r="G37" s="473">
        <f t="shared" si="5"/>
        <v>1447.6800000000221</v>
      </c>
      <c r="H37" s="460">
        <f>G37+'4'!H37</f>
        <v>7442.7900000000081</v>
      </c>
      <c r="I37" s="455"/>
      <c r="J37" s="552">
        <f>H37/DAY(B2)</f>
        <v>1488.5580000000016</v>
      </c>
      <c r="K37" s="428"/>
      <c r="L37" s="377"/>
      <c r="N37" s="629"/>
      <c r="O37" s="382"/>
    </row>
    <row r="38" spans="1:15">
      <c r="A38" s="578" t="s">
        <v>165</v>
      </c>
      <c r="B38" s="579"/>
      <c r="C38" s="579"/>
      <c r="D38" s="523" t="s">
        <v>130</v>
      </c>
      <c r="E38" s="510">
        <f>'4'!F38</f>
        <v>205145.89</v>
      </c>
      <c r="F38" s="1236">
        <v>206786.39</v>
      </c>
      <c r="G38" s="473">
        <f t="shared" si="5"/>
        <v>1640.5</v>
      </c>
      <c r="H38" s="460">
        <f>G38+'4'!H38</f>
        <v>8327.390000000014</v>
      </c>
      <c r="I38" s="455"/>
      <c r="J38" s="552">
        <f>H38/DAY(B2)</f>
        <v>1665.4780000000028</v>
      </c>
      <c r="K38" s="428"/>
      <c r="L38" s="377"/>
      <c r="N38" s="382"/>
      <c r="O38" s="382"/>
    </row>
    <row r="39" spans="1:15">
      <c r="A39" s="578" t="s">
        <v>166</v>
      </c>
      <c r="B39" s="579"/>
      <c r="C39" s="579"/>
      <c r="D39" s="523" t="s">
        <v>130</v>
      </c>
      <c r="E39" s="510">
        <f>'4'!F39</f>
        <v>419927.35</v>
      </c>
      <c r="F39" s="1235">
        <v>423596.71</v>
      </c>
      <c r="G39" s="473">
        <f t="shared" si="5"/>
        <v>3669.3600000000442</v>
      </c>
      <c r="H39" s="460">
        <f>G39+'4'!H39</f>
        <v>18732.710000000021</v>
      </c>
      <c r="I39" s="455"/>
      <c r="J39" s="552">
        <f>H39/DAY(B2)</f>
        <v>3746.542000000004</v>
      </c>
      <c r="K39" s="428"/>
      <c r="L39" s="377"/>
      <c r="N39" s="382"/>
      <c r="O39" s="382"/>
    </row>
    <row r="40" spans="1:15">
      <c r="A40" s="599" t="s">
        <v>167</v>
      </c>
      <c r="B40" s="600"/>
      <c r="C40" s="600"/>
      <c r="D40" s="523" t="s">
        <v>130</v>
      </c>
      <c r="E40" s="510">
        <f>'4'!F40</f>
        <v>8719.42</v>
      </c>
      <c r="F40" s="1235">
        <v>9044.99</v>
      </c>
      <c r="G40" s="473">
        <f t="shared" si="5"/>
        <v>325.56999999999971</v>
      </c>
      <c r="H40" s="460">
        <f>G40+'4'!H40</f>
        <v>1931.9899999999998</v>
      </c>
      <c r="I40" s="455"/>
      <c r="J40" s="552">
        <f>H40/DAY(B2)</f>
        <v>386.39799999999997</v>
      </c>
      <c r="K40" s="429"/>
      <c r="L40" s="377"/>
      <c r="N40" s="382"/>
      <c r="O40" s="382"/>
    </row>
    <row r="41" spans="1:15">
      <c r="A41" s="578" t="s">
        <v>168</v>
      </c>
      <c r="B41" s="579"/>
      <c r="C41" s="579"/>
      <c r="D41" s="523" t="s">
        <v>130</v>
      </c>
      <c r="E41" s="510">
        <f>'4'!F41</f>
        <v>348154.91</v>
      </c>
      <c r="F41" s="1235">
        <v>352205.87</v>
      </c>
      <c r="G41" s="473">
        <f t="shared" si="5"/>
        <v>4050.960000000021</v>
      </c>
      <c r="H41" s="460">
        <f>G41+'4'!H41</f>
        <v>22563.869999999995</v>
      </c>
      <c r="I41" s="455"/>
      <c r="J41" s="552">
        <f>H41/DAY(B2)</f>
        <v>4512.7739999999994</v>
      </c>
      <c r="K41" s="428"/>
      <c r="L41" s="377"/>
      <c r="N41" s="382"/>
      <c r="O41" s="382"/>
    </row>
    <row r="42" spans="1:15">
      <c r="A42" s="578" t="s">
        <v>169</v>
      </c>
      <c r="B42" s="579"/>
      <c r="C42" s="579"/>
      <c r="D42" s="523" t="s">
        <v>130</v>
      </c>
      <c r="E42" s="510">
        <f>'4'!F42</f>
        <v>59210.080000000002</v>
      </c>
      <c r="F42" s="1235">
        <v>59210.080000000002</v>
      </c>
      <c r="G42" s="473">
        <f t="shared" si="5"/>
        <v>0</v>
      </c>
      <c r="H42" s="460">
        <f>G42+'4'!H42</f>
        <v>11.190000000002328</v>
      </c>
      <c r="I42" s="455"/>
      <c r="J42" s="552">
        <f>H42/DAY(B2)</f>
        <v>2.2380000000004658</v>
      </c>
      <c r="K42" s="428"/>
      <c r="L42" s="377"/>
      <c r="N42" s="382"/>
      <c r="O42" s="382"/>
    </row>
    <row r="43" spans="1:15">
      <c r="A43" s="578" t="s">
        <v>170</v>
      </c>
      <c r="B43" s="579"/>
      <c r="C43" s="579"/>
      <c r="D43" s="523" t="s">
        <v>130</v>
      </c>
      <c r="E43" s="510">
        <f>'4'!F43</f>
        <v>1130805.2</v>
      </c>
      <c r="F43" s="1235">
        <v>1133359.8999999999</v>
      </c>
      <c r="G43" s="473">
        <f t="shared" si="5"/>
        <v>2554.6999999999534</v>
      </c>
      <c r="H43" s="460">
        <f>G43+'4'!H43</f>
        <v>12907.899999999907</v>
      </c>
      <c r="I43" s="455"/>
      <c r="J43" s="552">
        <f>H43/DAY(B2)</f>
        <v>2581.5799999999813</v>
      </c>
      <c r="K43" s="428"/>
      <c r="L43" s="377"/>
      <c r="N43" s="382"/>
      <c r="O43" s="382"/>
    </row>
    <row r="44" spans="1:15">
      <c r="A44" s="578" t="s">
        <v>171</v>
      </c>
      <c r="B44" s="579"/>
      <c r="C44" s="579"/>
      <c r="D44" s="523" t="s">
        <v>130</v>
      </c>
      <c r="E44" s="510">
        <f>'4'!F44</f>
        <v>0</v>
      </c>
      <c r="F44" s="1235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172</v>
      </c>
      <c r="B45" s="579"/>
      <c r="C45" s="579"/>
      <c r="D45" s="523" t="s">
        <v>130</v>
      </c>
      <c r="E45" s="510">
        <f>'4'!F45</f>
        <v>614</v>
      </c>
      <c r="F45" s="1235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173</v>
      </c>
      <c r="B46" s="579"/>
      <c r="C46" s="579"/>
      <c r="D46" s="523" t="s">
        <v>130</v>
      </c>
      <c r="E46" s="510">
        <f>'4'!F46</f>
        <v>187</v>
      </c>
      <c r="F46" s="1235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174</v>
      </c>
      <c r="B47" s="586"/>
      <c r="C47" s="586"/>
      <c r="D47" s="470"/>
      <c r="E47" s="511"/>
      <c r="F47" s="1237"/>
      <c r="G47" s="481">
        <f>G35+G36+G37+G38+G39+G40+G41+G42+G43+G44+G45+G46</f>
        <v>17245.599999999991</v>
      </c>
      <c r="H47" s="460">
        <f>G47+'4'!H47</f>
        <v>91343.689999999944</v>
      </c>
      <c r="I47" s="455"/>
      <c r="J47" s="552">
        <f>H47/DAY(B2)</f>
        <v>18268.73799999999</v>
      </c>
      <c r="K47" s="428"/>
      <c r="L47" s="377"/>
      <c r="N47" s="382"/>
      <c r="O47" s="382"/>
    </row>
    <row r="48" spans="1:15">
      <c r="A48" s="598" t="s">
        <v>175</v>
      </c>
      <c r="B48" s="1142"/>
      <c r="C48" s="1142"/>
      <c r="D48" s="472"/>
      <c r="E48" s="471"/>
      <c r="F48" s="1238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162</v>
      </c>
      <c r="B49" s="601"/>
      <c r="C49" s="601"/>
      <c r="D49" s="523" t="s">
        <v>130</v>
      </c>
      <c r="E49" s="510">
        <f>'4'!F49</f>
        <v>260732.13</v>
      </c>
      <c r="F49" s="1235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176</v>
      </c>
      <c r="B50" s="601"/>
      <c r="C50" s="601"/>
      <c r="D50" s="523" t="s">
        <v>130</v>
      </c>
      <c r="E50" s="510">
        <f>'4'!F50</f>
        <v>539312</v>
      </c>
      <c r="F50" s="1235">
        <v>540314.13</v>
      </c>
      <c r="G50" s="473">
        <f t="shared" si="6"/>
        <v>1002.1300000000047</v>
      </c>
      <c r="H50" s="460">
        <f>G50+'4'!H50</f>
        <v>5651.1300000000047</v>
      </c>
      <c r="I50" s="455"/>
      <c r="J50" s="552">
        <f>H50/DAY(B2)</f>
        <v>1130.226000000001</v>
      </c>
      <c r="K50" s="428"/>
      <c r="L50" s="377"/>
      <c r="N50" s="382"/>
      <c r="O50" s="382"/>
    </row>
    <row r="51" spans="1:15">
      <c r="A51" s="578" t="s">
        <v>164</v>
      </c>
      <c r="B51" s="601"/>
      <c r="C51" s="601"/>
      <c r="D51" s="523" t="s">
        <v>130</v>
      </c>
      <c r="E51" s="510">
        <f>'4'!F51</f>
        <v>144639.87</v>
      </c>
      <c r="F51" s="1235">
        <v>144639.87</v>
      </c>
      <c r="G51" s="473">
        <f t="shared" si="6"/>
        <v>0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177</v>
      </c>
      <c r="B52" s="601"/>
      <c r="C52" s="601"/>
      <c r="D52" s="523" t="s">
        <v>130</v>
      </c>
      <c r="E52" s="510">
        <f>'4'!F52</f>
        <v>539606.06999999995</v>
      </c>
      <c r="F52" s="1235">
        <v>539606.06999999995</v>
      </c>
      <c r="G52" s="473">
        <f t="shared" si="6"/>
        <v>0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166</v>
      </c>
      <c r="B53" s="601"/>
      <c r="C53" s="601"/>
      <c r="D53" s="523" t="s">
        <v>130</v>
      </c>
      <c r="E53" s="510">
        <f>'4'!F53</f>
        <v>434231.59</v>
      </c>
      <c r="F53" s="1235">
        <v>434231.59</v>
      </c>
      <c r="G53" s="473">
        <f t="shared" si="6"/>
        <v>0</v>
      </c>
      <c r="H53" s="460">
        <f>G53+'4'!H53</f>
        <v>-0.40999999997438863</v>
      </c>
      <c r="I53" s="455"/>
      <c r="J53" s="552">
        <f>H53/DAY(B2)</f>
        <v>-8.1999999994877726E-2</v>
      </c>
      <c r="K53" s="428"/>
      <c r="L53" s="377"/>
      <c r="N53" s="382"/>
      <c r="O53" s="382"/>
    </row>
    <row r="54" spans="1:15">
      <c r="A54" s="578" t="s">
        <v>178</v>
      </c>
      <c r="B54" s="601"/>
      <c r="C54" s="601"/>
      <c r="D54" s="523" t="s">
        <v>130</v>
      </c>
      <c r="E54" s="510">
        <f>'4'!F54</f>
        <v>14967</v>
      </c>
      <c r="F54" s="1235">
        <v>14967</v>
      </c>
      <c r="G54" s="473">
        <f t="shared" si="6"/>
        <v>0</v>
      </c>
      <c r="H54" s="460">
        <f>G54+'4'!H54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179</v>
      </c>
      <c r="B55" s="601"/>
      <c r="C55" s="601"/>
      <c r="D55" s="523" t="s">
        <v>130</v>
      </c>
      <c r="E55" s="510">
        <f>'4'!F55</f>
        <v>126957.01</v>
      </c>
      <c r="F55" s="1247">
        <v>129416.95</v>
      </c>
      <c r="G55" s="473">
        <f t="shared" si="6"/>
        <v>2459.9400000000023</v>
      </c>
      <c r="H55" s="460">
        <f>G55+'4'!H55</f>
        <v>11780.949999999997</v>
      </c>
      <c r="I55" s="455"/>
      <c r="J55" s="552">
        <f>H55/DAY(B2)</f>
        <v>2356.1899999999996</v>
      </c>
      <c r="K55" s="428"/>
      <c r="L55" s="377"/>
      <c r="N55" s="382"/>
      <c r="O55" s="382"/>
    </row>
    <row r="56" spans="1:15">
      <c r="A56" s="578" t="s">
        <v>180</v>
      </c>
      <c r="B56" s="601"/>
      <c r="C56" s="601"/>
      <c r="D56" s="523" t="s">
        <v>181</v>
      </c>
      <c r="E56" s="510">
        <f>'4'!F56</f>
        <v>649074.79</v>
      </c>
      <c r="F56" s="1247">
        <v>649085.55000000005</v>
      </c>
      <c r="G56" s="473">
        <f t="shared" si="6"/>
        <v>10.760000000009313</v>
      </c>
      <c r="H56" s="460">
        <f>G56+'4'!H56</f>
        <v>53.550000000046566</v>
      </c>
      <c r="I56" s="455"/>
      <c r="J56" s="552">
        <f>H56/DAY(B2)</f>
        <v>10.710000000009313</v>
      </c>
      <c r="K56" s="427"/>
      <c r="L56" s="377"/>
      <c r="N56" s="382"/>
      <c r="O56" s="382"/>
    </row>
    <row r="57" spans="1:15">
      <c r="A57" s="578" t="s">
        <v>170</v>
      </c>
      <c r="B57" s="601"/>
      <c r="C57" s="601"/>
      <c r="D57" s="523" t="s">
        <v>130</v>
      </c>
      <c r="E57" s="510">
        <f>'4'!F57</f>
        <v>7711</v>
      </c>
      <c r="F57" s="1235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182</v>
      </c>
      <c r="B58" s="601"/>
      <c r="C58" s="601"/>
      <c r="D58" s="523" t="s">
        <v>130</v>
      </c>
      <c r="E58" s="510">
        <f>'4'!F58</f>
        <v>54606.38</v>
      </c>
      <c r="F58" s="1239">
        <v>54817.66</v>
      </c>
      <c r="G58" s="473">
        <f t="shared" si="6"/>
        <v>211.28000000000611</v>
      </c>
      <c r="H58" s="460">
        <f>G58+'4'!H58</f>
        <v>831.66000000000349</v>
      </c>
      <c r="I58" s="455"/>
      <c r="J58" s="552">
        <f>H58/DAY(B2)</f>
        <v>166.3320000000007</v>
      </c>
      <c r="K58" s="428"/>
      <c r="L58" s="377"/>
      <c r="N58" s="382"/>
      <c r="O58" s="382"/>
    </row>
    <row r="59" spans="1:15">
      <c r="A59" s="585" t="s">
        <v>174</v>
      </c>
      <c r="B59" s="586"/>
      <c r="C59" s="586"/>
      <c r="D59" s="511"/>
      <c r="E59" s="511"/>
      <c r="F59" s="1237"/>
      <c r="G59" s="481">
        <f>G49+G50+G51+G52+G53+G54+G55+G56+G57+G58</f>
        <v>3684.1100000000224</v>
      </c>
      <c r="H59" s="460">
        <f>G59+'4'!H59</f>
        <v>18316.950000000026</v>
      </c>
      <c r="I59" s="455">
        <f>G7-G60</f>
        <v>-49.920000000012806</v>
      </c>
      <c r="J59" s="552">
        <f>H59/DAY(B2)</f>
        <v>3663.3900000000053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183</v>
      </c>
      <c r="E60" s="511"/>
      <c r="F60" s="1237"/>
      <c r="G60" s="481">
        <f>G47+G59</f>
        <v>20929.710000000014</v>
      </c>
      <c r="H60" s="460">
        <f>G60+'4'!H60</f>
        <v>109660.63999999998</v>
      </c>
      <c r="I60" s="455">
        <f>G13-G60</f>
        <v>-732.81999999988329</v>
      </c>
      <c r="J60" s="552">
        <f>H60/DAY(B2)</f>
        <v>21932.127999999997</v>
      </c>
      <c r="K60" s="428"/>
      <c r="L60" s="377"/>
      <c r="N60" s="382"/>
      <c r="O60" s="382"/>
    </row>
    <row r="61" spans="1:15">
      <c r="A61" s="602" t="s">
        <v>184</v>
      </c>
      <c r="B61" s="453"/>
      <c r="C61" s="453"/>
      <c r="D61" s="513"/>
      <c r="E61" s="512"/>
      <c r="F61" s="1240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f>'4'!F62</f>
        <v>0</v>
      </c>
      <c r="F62" s="1241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186</v>
      </c>
      <c r="B63" s="604"/>
      <c r="C63" s="604"/>
      <c r="D63" s="511" t="s">
        <v>185</v>
      </c>
      <c r="E63" s="514">
        <f>'4'!F63</f>
        <v>0</v>
      </c>
      <c r="F63" s="1241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84">
        <f>'4'!F64</f>
        <v>171516.47</v>
      </c>
      <c r="F64" s="1242">
        <v>171890.25</v>
      </c>
      <c r="G64" s="473">
        <f t="shared" si="7"/>
        <v>373.77999999999884</v>
      </c>
      <c r="H64" s="460">
        <f>G64+'4'!H64</f>
        <v>1868.25</v>
      </c>
      <c r="I64" s="480"/>
      <c r="J64" s="552">
        <f>H64/DAY(B2)</f>
        <v>373.65</v>
      </c>
      <c r="K64" s="428"/>
      <c r="L64" s="377"/>
      <c r="N64" s="382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84">
        <f>'4'!F65</f>
        <v>172013.01</v>
      </c>
      <c r="F65" s="1243">
        <v>172449.67</v>
      </c>
      <c r="G65" s="473">
        <f t="shared" si="7"/>
        <v>436.66000000000349</v>
      </c>
      <c r="H65" s="460">
        <f>G65+'4'!H65</f>
        <v>2147.6700000000128</v>
      </c>
      <c r="I65" s="489"/>
      <c r="J65" s="552">
        <f>H65/DAY(B2)</f>
        <v>429.53400000000255</v>
      </c>
      <c r="K65" s="428"/>
      <c r="L65" s="377"/>
      <c r="N65" s="382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84">
        <f>'4'!F66</f>
        <v>69662.289999999994</v>
      </c>
      <c r="F66" s="1242">
        <v>70072.7</v>
      </c>
      <c r="G66" s="473">
        <f t="shared" si="7"/>
        <v>410.41000000000349</v>
      </c>
      <c r="H66" s="460">
        <f>G66+'4'!H66</f>
        <v>2102.6999999999971</v>
      </c>
      <c r="I66" s="480"/>
      <c r="J66" s="552">
        <f>H66/DAY(B2)</f>
        <v>420.5399999999994</v>
      </c>
      <c r="K66" s="428"/>
      <c r="L66" s="377"/>
      <c r="N66" s="382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84">
        <f>'4'!F67</f>
        <v>266903.75</v>
      </c>
      <c r="F67" s="1242">
        <v>267354.28999999998</v>
      </c>
      <c r="G67" s="473">
        <f t="shared" si="7"/>
        <v>450.53999999997905</v>
      </c>
      <c r="H67" s="460">
        <f>G67+'4'!H67</f>
        <v>2395.289999999979</v>
      </c>
      <c r="I67" s="489"/>
      <c r="J67" s="552">
        <f>H67/DAY(B2)</f>
        <v>479.05799999999579</v>
      </c>
      <c r="K67" s="429"/>
      <c r="L67" s="377"/>
      <c r="N67" s="382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84">
        <f>'4'!F68</f>
        <v>85321</v>
      </c>
      <c r="F68" s="1242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84">
        <f>'4'!F69</f>
        <v>88541.19</v>
      </c>
      <c r="F69" s="1242">
        <v>88765.51</v>
      </c>
      <c r="G69" s="473">
        <f t="shared" si="7"/>
        <v>224.31999999999243</v>
      </c>
      <c r="H69" s="460">
        <f>G69+'4'!H69</f>
        <v>1250.5099999999948</v>
      </c>
      <c r="I69" s="516"/>
      <c r="J69" s="552">
        <f>H69/DAY(B2)</f>
        <v>250.10199999999895</v>
      </c>
      <c r="K69" s="431"/>
      <c r="L69" s="377"/>
      <c r="N69" s="382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1244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519">
        <f>'4'!F72</f>
        <v>856271</v>
      </c>
      <c r="F72" s="1254">
        <v>856281</v>
      </c>
      <c r="G72" s="473">
        <f t="shared" ref="G72:G84" si="8">F72-E72</f>
        <v>10</v>
      </c>
      <c r="H72" s="460">
        <f>G72+'4'!H72</f>
        <v>59</v>
      </c>
      <c r="I72" s="480"/>
      <c r="J72" s="552">
        <f>H72/DAY(B2)</f>
        <v>11.8</v>
      </c>
      <c r="K72" s="431"/>
      <c r="L72" s="377"/>
      <c r="N72" s="382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520">
        <f>'4'!F73</f>
        <v>885978</v>
      </c>
      <c r="F73" s="1255">
        <v>885979</v>
      </c>
      <c r="G73" s="652">
        <f t="shared" si="8"/>
        <v>1</v>
      </c>
      <c r="H73" s="460">
        <f>G73+'4'!H73</f>
        <v>7</v>
      </c>
      <c r="I73" s="480"/>
      <c r="J73" s="552">
        <f>H73/DAY(B2)</f>
        <v>1.4</v>
      </c>
      <c r="K73" s="430"/>
      <c r="L73" s="377"/>
      <c r="N73" s="382"/>
      <c r="O73" s="382"/>
    </row>
    <row r="74" spans="1:15" ht="27.75">
      <c r="A74" s="1543" t="s">
        <v>191</v>
      </c>
      <c r="B74" s="1544"/>
      <c r="C74" s="1545"/>
      <c r="D74" s="523" t="s">
        <v>185</v>
      </c>
      <c r="E74" s="521">
        <f>'4'!F74</f>
        <v>88700.9</v>
      </c>
      <c r="F74" s="1254">
        <v>88702.1</v>
      </c>
      <c r="G74" s="473">
        <f t="shared" si="8"/>
        <v>1.2000000000116415</v>
      </c>
      <c r="H74" s="460">
        <f>G74+'4'!H74</f>
        <v>6.1000000000058208</v>
      </c>
      <c r="I74" s="480"/>
      <c r="J74" s="552">
        <f>H74/DAY(B2)</f>
        <v>1.2200000000011642</v>
      </c>
      <c r="K74" s="431"/>
      <c r="L74" s="377"/>
      <c r="N74" s="382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521">
        <f>'4'!F75</f>
        <v>16679.98</v>
      </c>
      <c r="F75" s="1256">
        <v>16822.03</v>
      </c>
      <c r="G75" s="473">
        <f t="shared" si="8"/>
        <v>142.04999999999927</v>
      </c>
      <c r="H75" s="460">
        <f>G75+'4'!H75</f>
        <v>751.02999999999884</v>
      </c>
      <c r="I75" s="480"/>
      <c r="J75" s="552">
        <f>H75/DAY(B2)</f>
        <v>150.20599999999976</v>
      </c>
      <c r="K75" s="430"/>
      <c r="L75" s="377"/>
      <c r="N75" s="382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520">
        <f>'4'!F76</f>
        <v>9598</v>
      </c>
      <c r="F76" s="1255">
        <v>9664.18</v>
      </c>
      <c r="G76" s="473">
        <f t="shared" si="8"/>
        <v>66.180000000000291</v>
      </c>
      <c r="H76" s="460">
        <f>G76+'4'!H76</f>
        <v>328.18000000000029</v>
      </c>
      <c r="I76" s="505"/>
      <c r="J76" s="552">
        <f>H76/DAY(B2)</f>
        <v>65.636000000000053</v>
      </c>
      <c r="K76" s="430"/>
      <c r="L76" s="377"/>
      <c r="N76" s="382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520">
        <f>'4'!F77</f>
        <v>704592</v>
      </c>
      <c r="F77" s="1255">
        <v>704658</v>
      </c>
      <c r="G77" s="652">
        <f t="shared" si="8"/>
        <v>66</v>
      </c>
      <c r="H77" s="460">
        <f>G77+'4'!H77</f>
        <v>284</v>
      </c>
      <c r="I77" s="505"/>
      <c r="J77" s="552">
        <f>H77/DAY(B2)</f>
        <v>56.8</v>
      </c>
      <c r="K77" s="430"/>
      <c r="L77" s="377"/>
      <c r="N77" s="382"/>
      <c r="O77" s="382"/>
    </row>
    <row r="78" spans="1:15" ht="27.75">
      <c r="A78" s="1140" t="s">
        <v>195</v>
      </c>
      <c r="B78" s="1113"/>
      <c r="C78" s="1113"/>
      <c r="D78" s="523" t="s">
        <v>185</v>
      </c>
      <c r="E78" s="521">
        <f>'4'!F78</f>
        <v>675938</v>
      </c>
      <c r="F78" s="1256">
        <v>675957</v>
      </c>
      <c r="G78" s="473">
        <f t="shared" si="8"/>
        <v>19</v>
      </c>
      <c r="H78" s="460">
        <f>G78+'4'!H78</f>
        <v>543</v>
      </c>
      <c r="I78" s="505"/>
      <c r="J78" s="552">
        <f>H78/DAY(B2)</f>
        <v>108.6</v>
      </c>
      <c r="K78" s="430"/>
      <c r="L78" s="377"/>
      <c r="N78" s="382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521">
        <f>'4'!F79</f>
        <v>836021</v>
      </c>
      <c r="F79" s="1256">
        <v>836170</v>
      </c>
      <c r="G79" s="473">
        <f t="shared" si="8"/>
        <v>149</v>
      </c>
      <c r="H79" s="460">
        <f>G79+'4'!H79</f>
        <v>754</v>
      </c>
      <c r="I79" s="505"/>
      <c r="J79" s="552">
        <f>H79/DAY(B2)</f>
        <v>150.80000000000001</v>
      </c>
      <c r="K79" s="430"/>
      <c r="L79" s="377"/>
      <c r="N79" s="382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520">
        <f>'4'!F80</f>
        <v>540682.64</v>
      </c>
      <c r="F80" s="1255">
        <v>541082.92000000004</v>
      </c>
      <c r="G80" s="473">
        <f t="shared" si="8"/>
        <v>400.28000000002794</v>
      </c>
      <c r="H80" s="460">
        <f>G80+'4'!H80</f>
        <v>2069.9200000000419</v>
      </c>
      <c r="I80" s="505"/>
      <c r="J80" s="552">
        <f>H80/DAY(B2)</f>
        <v>413.98400000000839</v>
      </c>
      <c r="K80" s="430"/>
      <c r="L80" s="377"/>
      <c r="N80" s="382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520">
        <f>'4'!F81</f>
        <v>643654.52</v>
      </c>
      <c r="F81" s="1255">
        <v>643896.80000000005</v>
      </c>
      <c r="G81" s="473">
        <f t="shared" si="8"/>
        <v>242.28000000002794</v>
      </c>
      <c r="H81" s="460">
        <f>G81+'4'!H81</f>
        <v>911.80000000004657</v>
      </c>
      <c r="I81" s="505"/>
      <c r="J81" s="552">
        <f>H81/DAY(B2)</f>
        <v>182.36000000000931</v>
      </c>
      <c r="K81" s="430"/>
      <c r="L81" s="377"/>
      <c r="N81" s="382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522">
        <f>'4'!F82</f>
        <v>108761</v>
      </c>
      <c r="F82" s="1243">
        <v>108788.39</v>
      </c>
      <c r="G82" s="473">
        <f t="shared" si="8"/>
        <v>27.389999999999418</v>
      </c>
      <c r="H82" s="460">
        <f>G82+'4'!H82</f>
        <v>107.38999999999942</v>
      </c>
      <c r="I82" s="486"/>
      <c r="J82" s="552">
        <f>H82/DAY(B2)</f>
        <v>21.477999999999884</v>
      </c>
      <c r="K82" s="430"/>
      <c r="L82" s="377"/>
      <c r="N82" s="382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511">
        <f>'4'!F83</f>
        <v>28619</v>
      </c>
      <c r="F83" s="1237">
        <v>28875</v>
      </c>
      <c r="G83" s="473">
        <f t="shared" si="8"/>
        <v>256</v>
      </c>
      <c r="H83" s="460">
        <f>G83+'4'!H83</f>
        <v>1324</v>
      </c>
      <c r="I83" s="481"/>
      <c r="J83" s="552">
        <f>H83/DAY(B2)</f>
        <v>264.8</v>
      </c>
      <c r="K83" s="429"/>
      <c r="L83" s="377"/>
      <c r="N83" s="382"/>
      <c r="O83" s="382"/>
    </row>
    <row r="84" spans="1:15">
      <c r="A84" s="1141" t="s">
        <v>199</v>
      </c>
      <c r="B84" s="571"/>
      <c r="C84" s="571"/>
      <c r="D84" s="478" t="s">
        <v>130</v>
      </c>
      <c r="E84" s="627">
        <f>'4'!F84</f>
        <v>526403</v>
      </c>
      <c r="F84" s="1257">
        <v>527228</v>
      </c>
      <c r="G84" s="473">
        <f t="shared" si="8"/>
        <v>825</v>
      </c>
      <c r="H84" s="460">
        <f>G84+'4'!H84</f>
        <v>4148</v>
      </c>
      <c r="I84" s="481"/>
      <c r="J84" s="552">
        <f>H84/DAY(B2)</f>
        <v>829.6</v>
      </c>
      <c r="K84" s="380"/>
      <c r="L84" s="377"/>
      <c r="N84" s="382"/>
      <c r="O84" s="382"/>
    </row>
    <row r="85" spans="1:15" s="379" customFormat="1">
      <c r="A85" s="605" t="s">
        <v>200</v>
      </c>
      <c r="B85" s="572"/>
      <c r="C85" s="572"/>
      <c r="D85" s="489"/>
      <c r="E85" s="627">
        <f>'4'!F85</f>
        <v>0</v>
      </c>
      <c r="F85" s="1094"/>
      <c r="G85" s="460">
        <f xml:space="preserve"> SUM(G71:G84)</f>
        <v>2205.3800000000665</v>
      </c>
      <c r="H85" s="460">
        <f>G85+'4'!H85</f>
        <v>11293.420000000093</v>
      </c>
      <c r="I85" s="481"/>
      <c r="J85" s="552">
        <f>H85/DAY(B2)</f>
        <v>2258.6840000000184</v>
      </c>
      <c r="K85" s="380"/>
      <c r="L85" s="378"/>
      <c r="N85" s="382"/>
      <c r="O85" s="382"/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'4'!F86</f>
        <v>461920.4</v>
      </c>
      <c r="F86" s="1257">
        <v>461944</v>
      </c>
      <c r="G86" s="705">
        <f t="shared" ref="G86:G91" si="9">F86-E86</f>
        <v>23.599999999976717</v>
      </c>
      <c r="H86" s="460">
        <f>G86+'4'!H86</f>
        <v>123</v>
      </c>
      <c r="I86" s="652"/>
      <c r="J86" s="707">
        <f>H86/DAY(B2)</f>
        <v>24.6</v>
      </c>
      <c r="K86" s="733"/>
      <c r="L86" s="734"/>
      <c r="N86" s="777">
        <f>G86-173</f>
        <v>-149.40000000002328</v>
      </c>
      <c r="O86" s="382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'4'!F87</f>
        <v>82195.7</v>
      </c>
      <c r="F87" s="1257">
        <v>82226.5</v>
      </c>
      <c r="G87" s="705">
        <f t="shared" si="9"/>
        <v>30.80000000000291</v>
      </c>
      <c r="H87" s="460">
        <f>G87+'4'!H87</f>
        <v>153.5</v>
      </c>
      <c r="I87" s="652"/>
      <c r="J87" s="707">
        <f>H87/DAY(B2)</f>
        <v>30.7</v>
      </c>
      <c r="K87" s="733"/>
      <c r="L87" s="734"/>
      <c r="N87" s="735">
        <v>108</v>
      </c>
      <c r="O87" s="382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'4'!F88</f>
        <v>155777.57</v>
      </c>
      <c r="F88" s="1257">
        <v>155903.35999999999</v>
      </c>
      <c r="G88" s="705">
        <f t="shared" si="9"/>
        <v>125.78999999997905</v>
      </c>
      <c r="H88" s="460">
        <f>G88+'4'!H88</f>
        <v>580.35999999998603</v>
      </c>
      <c r="I88" s="652"/>
      <c r="J88" s="707">
        <f>H88/DAY(B2)</f>
        <v>116.0719999999972</v>
      </c>
      <c r="K88" s="733"/>
      <c r="L88" s="734"/>
      <c r="N88" s="735">
        <v>28</v>
      </c>
      <c r="O88" s="382"/>
    </row>
    <row r="89" spans="1:15" s="735" customFormat="1">
      <c r="A89" s="730" t="s">
        <v>201</v>
      </c>
      <c r="B89" s="731"/>
      <c r="C89" s="731"/>
      <c r="D89" s="732" t="s">
        <v>181</v>
      </c>
      <c r="E89" s="627">
        <f>'4'!F89</f>
        <v>65953.899999999994</v>
      </c>
      <c r="F89" s="1257">
        <v>65976.600000000006</v>
      </c>
      <c r="G89" s="705">
        <f t="shared" si="9"/>
        <v>22.700000000011642</v>
      </c>
      <c r="H89" s="460">
        <f>G89+'4'!H89</f>
        <v>130.60000000000582</v>
      </c>
      <c r="I89" s="652"/>
      <c r="J89" s="707">
        <f>H89/DAY(B2)</f>
        <v>26.120000000001163</v>
      </c>
      <c r="K89" s="733"/>
      <c r="L89" s="734"/>
      <c r="N89" s="777">
        <v>342</v>
      </c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'4'!F90</f>
        <v>3356</v>
      </c>
      <c r="F90" s="1257">
        <v>3360.1</v>
      </c>
      <c r="G90" s="705">
        <f t="shared" si="9"/>
        <v>4.0999999999999091</v>
      </c>
      <c r="H90" s="460">
        <f>G90+'4'!H90</f>
        <v>16.099999999999909</v>
      </c>
      <c r="I90" s="652"/>
      <c r="J90" s="707">
        <f>H90/DAY(B2)</f>
        <v>3.219999999999982</v>
      </c>
      <c r="K90" s="733"/>
      <c r="L90" s="734"/>
      <c r="N90" s="777">
        <v>349</v>
      </c>
      <c r="O90" s="382"/>
    </row>
    <row r="91" spans="1:15" s="735" customFormat="1">
      <c r="A91" s="730" t="s">
        <v>346</v>
      </c>
      <c r="B91" s="731"/>
      <c r="C91" s="731"/>
      <c r="D91" s="732"/>
      <c r="E91" s="627">
        <f>'4'!F91</f>
        <v>28277.34</v>
      </c>
      <c r="F91" s="647">
        <v>28287.29</v>
      </c>
      <c r="G91" s="705">
        <f t="shared" si="9"/>
        <v>9.9500000000007276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1091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'4'!F93</f>
        <v>247830</v>
      </c>
      <c r="F93" s="1242">
        <v>247953</v>
      </c>
      <c r="G93" s="473">
        <f t="shared" ref="G93:G94" si="10">F93-E93</f>
        <v>123</v>
      </c>
      <c r="H93" s="460">
        <f>G93+'4'!H93</f>
        <v>601</v>
      </c>
      <c r="I93" s="480"/>
      <c r="J93" s="552">
        <f>H93/DAY(B2)</f>
        <v>120.2</v>
      </c>
      <c r="K93" s="429"/>
      <c r="L93" s="377"/>
      <c r="N93" s="382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'4'!F94</f>
        <v>189912</v>
      </c>
      <c r="F94" s="1242">
        <v>190036</v>
      </c>
      <c r="G94" s="473">
        <f t="shared" si="10"/>
        <v>124</v>
      </c>
      <c r="H94" s="460">
        <f>G94+'4'!H94</f>
        <v>582</v>
      </c>
      <c r="I94" s="480"/>
      <c r="J94" s="552">
        <f>H94/DAY(B2)</f>
        <v>116.4</v>
      </c>
      <c r="K94" s="380"/>
      <c r="L94" s="377"/>
      <c r="N94" s="382"/>
      <c r="O94" s="382"/>
    </row>
    <row r="95" spans="1:15">
      <c r="A95" s="1594" t="s">
        <v>206</v>
      </c>
      <c r="B95" s="1595"/>
      <c r="C95" s="1596"/>
      <c r="D95" s="523"/>
      <c r="E95" s="484"/>
      <c r="F95" s="1242"/>
      <c r="G95" s="473">
        <f>G93+G94</f>
        <v>247</v>
      </c>
      <c r="H95" s="460">
        <f>G95+'4'!H95</f>
        <v>997</v>
      </c>
      <c r="I95" s="480"/>
      <c r="J95" s="552">
        <f>H95/DAY(B2)</f>
        <v>199.4</v>
      </c>
      <c r="K95" s="380"/>
      <c r="L95" s="377"/>
      <c r="N95" s="382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'4'!F96</f>
        <v>416434</v>
      </c>
      <c r="F96" s="1242">
        <v>416554</v>
      </c>
      <c r="G96" s="473">
        <f t="shared" ref="G96:G101" si="11">F96-E96</f>
        <v>120</v>
      </c>
      <c r="H96" s="460">
        <f>G96+'4'!H96</f>
        <v>555</v>
      </c>
      <c r="I96" s="480"/>
      <c r="J96" s="552">
        <f>H96/DAY(B2)</f>
        <v>111</v>
      </c>
      <c r="K96" s="380"/>
      <c r="L96" s="377"/>
      <c r="N96" s="382"/>
      <c r="O96" s="382"/>
    </row>
    <row r="97" spans="1:15" ht="27.75">
      <c r="A97" s="1137" t="s">
        <v>208</v>
      </c>
      <c r="B97" s="1138"/>
      <c r="C97" s="1138"/>
      <c r="D97" s="523" t="s">
        <v>142</v>
      </c>
      <c r="E97" s="484">
        <f>'4'!F97</f>
        <v>103264</v>
      </c>
      <c r="F97" s="1242">
        <v>103276</v>
      </c>
      <c r="G97" s="473">
        <f t="shared" si="11"/>
        <v>12</v>
      </c>
      <c r="H97" s="460">
        <f>G97+'4'!H97</f>
        <v>113</v>
      </c>
      <c r="I97" s="480"/>
      <c r="J97" s="552">
        <f>H97/DAY(B2)</f>
        <v>22.6</v>
      </c>
      <c r="K97" s="427"/>
      <c r="L97" s="377"/>
      <c r="N97" s="382"/>
      <c r="O97" s="382"/>
    </row>
    <row r="98" spans="1:15" ht="27.75">
      <c r="A98" s="1137" t="s">
        <v>209</v>
      </c>
      <c r="B98" s="1138"/>
      <c r="C98" s="1138"/>
      <c r="D98" s="523" t="s">
        <v>142</v>
      </c>
      <c r="E98" s="484">
        <f>'4'!F98</f>
        <v>98757</v>
      </c>
      <c r="F98" s="1242">
        <v>98775</v>
      </c>
      <c r="G98" s="473">
        <f t="shared" si="11"/>
        <v>18</v>
      </c>
      <c r="H98" s="460">
        <f>G98+'4'!H98</f>
        <v>118</v>
      </c>
      <c r="I98" s="480"/>
      <c r="J98" s="552">
        <f>H98/DAY(B2)</f>
        <v>23.6</v>
      </c>
      <c r="K98" s="432"/>
      <c r="L98" s="377"/>
      <c r="N98" s="382"/>
      <c r="O98" s="382"/>
    </row>
    <row r="99" spans="1:15" ht="27.75">
      <c r="A99" s="1137" t="s">
        <v>210</v>
      </c>
      <c r="B99" s="1138"/>
      <c r="C99" s="1138"/>
      <c r="D99" s="523" t="s">
        <v>142</v>
      </c>
      <c r="E99" s="484">
        <f>'4'!F99</f>
        <v>150565</v>
      </c>
      <c r="F99" s="1242">
        <v>150596</v>
      </c>
      <c r="G99" s="473">
        <f t="shared" si="11"/>
        <v>31</v>
      </c>
      <c r="H99" s="460">
        <f>G99+'4'!H99</f>
        <v>191</v>
      </c>
      <c r="I99" s="480"/>
      <c r="J99" s="552">
        <f>H99/DAY(B2)</f>
        <v>38.200000000000003</v>
      </c>
      <c r="K99" s="380"/>
      <c r="L99" s="377"/>
      <c r="N99" s="704"/>
      <c r="O99" s="382"/>
    </row>
    <row r="100" spans="1:15" ht="27.75">
      <c r="A100" s="1137" t="s">
        <v>211</v>
      </c>
      <c r="B100" s="1138"/>
      <c r="C100" s="1138"/>
      <c r="D100" s="523" t="s">
        <v>142</v>
      </c>
      <c r="E100" s="484">
        <f>'4'!F100</f>
        <v>7845</v>
      </c>
      <c r="F100" s="1242">
        <v>7852</v>
      </c>
      <c r="G100" s="473">
        <f t="shared" si="11"/>
        <v>7</v>
      </c>
      <c r="H100" s="460">
        <f>G100+'4'!H100</f>
        <v>55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7" t="s">
        <v>212</v>
      </c>
      <c r="B101" s="1138"/>
      <c r="C101" s="1138"/>
      <c r="D101" s="523" t="s">
        <v>142</v>
      </c>
      <c r="E101" s="484">
        <f>'4'!F101</f>
        <v>5703</v>
      </c>
      <c r="F101" s="1242">
        <v>5708</v>
      </c>
      <c r="G101" s="473">
        <f t="shared" si="11"/>
        <v>5</v>
      </c>
      <c r="H101" s="460">
        <f>G101+'4'!H101</f>
        <v>34</v>
      </c>
      <c r="I101" s="480"/>
      <c r="J101" s="552">
        <f>H101/DAY(B2)</f>
        <v>6.8</v>
      </c>
      <c r="K101" s="380"/>
      <c r="L101" s="377"/>
      <c r="N101" s="382"/>
      <c r="O101" s="382"/>
    </row>
    <row r="102" spans="1:15">
      <c r="A102" s="1594" t="s">
        <v>214</v>
      </c>
      <c r="B102" s="1595"/>
      <c r="C102" s="1596"/>
      <c r="D102" s="524"/>
      <c r="E102" s="524"/>
      <c r="F102" s="1252"/>
      <c r="G102" s="525">
        <f>SUM(G96:G101)</f>
        <v>193</v>
      </c>
      <c r="H102" s="460">
        <f>G102+'4'!H102</f>
        <v>1066</v>
      </c>
      <c r="I102" s="526"/>
      <c r="J102" s="552">
        <f>H102/DAY(B2)</f>
        <v>213.2</v>
      </c>
      <c r="K102" s="380"/>
      <c r="L102" s="377"/>
      <c r="N102" s="382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1258"/>
      <c r="G103" s="529"/>
      <c r="H103" s="530"/>
      <c r="I103" s="531"/>
      <c r="J103" s="557"/>
      <c r="N103" s="382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1259"/>
      <c r="G104" s="532"/>
      <c r="H104" s="533"/>
      <c r="I104" s="532"/>
      <c r="J104" s="558"/>
      <c r="N104" s="382"/>
      <c r="O104" s="382"/>
    </row>
    <row r="105" spans="1:15" s="442" customFormat="1" ht="27.75">
      <c r="A105" s="1554" t="s">
        <v>217</v>
      </c>
      <c r="B105" s="1555"/>
      <c r="C105" s="1136"/>
      <c r="D105" s="622" t="s">
        <v>142</v>
      </c>
      <c r="E105" s="484">
        <f>'4'!F105</f>
        <v>7697</v>
      </c>
      <c r="F105" s="1259">
        <v>7737</v>
      </c>
      <c r="G105" s="532">
        <f>F105-E105</f>
        <v>40</v>
      </c>
      <c r="H105" s="460">
        <f>G105+'4'!H105</f>
        <v>100</v>
      </c>
      <c r="I105" s="532"/>
      <c r="J105" s="558">
        <f>H105/DAY(B2)</f>
        <v>20</v>
      </c>
      <c r="N105" s="382"/>
      <c r="O105" s="382"/>
    </row>
    <row r="106" spans="1:15" s="442" customFormat="1" ht="27.75">
      <c r="A106" s="1554" t="s">
        <v>76</v>
      </c>
      <c r="B106" s="1555"/>
      <c r="C106" s="1136"/>
      <c r="D106" s="622" t="s">
        <v>142</v>
      </c>
      <c r="E106" s="484">
        <f>'4'!F106</f>
        <v>36197</v>
      </c>
      <c r="F106" s="1265">
        <v>36207</v>
      </c>
      <c r="G106" s="532">
        <f t="shared" ref="G106:G107" si="12">F106-E106</f>
        <v>10</v>
      </c>
      <c r="H106" s="460">
        <f>G106+'4'!H106</f>
        <v>45</v>
      </c>
      <c r="I106" s="532"/>
      <c r="J106" s="558">
        <f>H106/DAY(B2)</f>
        <v>9</v>
      </c>
      <c r="N106" s="382"/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484">
        <f>'4'!F107</f>
        <v>19838</v>
      </c>
      <c r="F107" s="1259">
        <v>19843</v>
      </c>
      <c r="G107" s="532">
        <f t="shared" si="12"/>
        <v>5</v>
      </c>
      <c r="H107" s="460">
        <f>G107+'4'!H107</f>
        <v>21</v>
      </c>
      <c r="I107" s="532"/>
      <c r="J107" s="558">
        <f>H107/DAY(B2)</f>
        <v>4.2</v>
      </c>
      <c r="N107" s="382"/>
      <c r="O107" s="382"/>
    </row>
    <row r="108" spans="1:15" s="442" customFormat="1" ht="27.75">
      <c r="A108" s="1556" t="s">
        <v>200</v>
      </c>
      <c r="B108" s="1557"/>
      <c r="C108" s="1136"/>
      <c r="D108" s="622"/>
      <c r="E108" s="484"/>
      <c r="F108" s="1259"/>
      <c r="G108" s="532">
        <f>SUM(G105:G107)</f>
        <v>55</v>
      </c>
      <c r="H108" s="460">
        <f>G108+'4'!H108</f>
        <v>166</v>
      </c>
      <c r="I108" s="532"/>
      <c r="J108" s="558">
        <f>H108/DAY(B2)</f>
        <v>33.200000000000003</v>
      </c>
      <c r="N108" s="382"/>
      <c r="O108" s="382"/>
    </row>
    <row r="109" spans="1:15" s="442" customFormat="1" ht="27.75">
      <c r="A109" s="1560" t="s">
        <v>78</v>
      </c>
      <c r="B109" s="1561"/>
      <c r="C109" s="1136"/>
      <c r="D109" s="622" t="s">
        <v>142</v>
      </c>
      <c r="E109" s="484">
        <f>'4'!F109</f>
        <v>0</v>
      </c>
      <c r="F109" s="1259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54" t="s">
        <v>218</v>
      </c>
      <c r="B110" s="1555"/>
      <c r="C110" s="1136"/>
      <c r="D110" s="622" t="s">
        <v>142</v>
      </c>
      <c r="E110" s="484">
        <f>'4'!F110</f>
        <v>65100</v>
      </c>
      <c r="F110" s="1259">
        <v>65255</v>
      </c>
      <c r="G110" s="532">
        <f>F110-E110</f>
        <v>155</v>
      </c>
      <c r="H110" s="460">
        <f>G110+'4'!H110</f>
        <v>412</v>
      </c>
      <c r="I110" s="532"/>
      <c r="J110" s="558">
        <f>H110/DAY(B2)</f>
        <v>82.4</v>
      </c>
      <c r="N110" s="382"/>
    </row>
    <row r="111" spans="1:15" s="442" customFormat="1" ht="27.75">
      <c r="A111" s="1554" t="s">
        <v>219</v>
      </c>
      <c r="B111" s="1555"/>
      <c r="C111" s="1136"/>
      <c r="D111" s="622" t="s">
        <v>142</v>
      </c>
      <c r="E111" s="484">
        <f>'4'!F111</f>
        <v>33302</v>
      </c>
      <c r="F111" s="1259">
        <v>33327</v>
      </c>
      <c r="G111" s="532">
        <f t="shared" ref="G111:G112" si="13">F111-E111</f>
        <v>25</v>
      </c>
      <c r="H111" s="460">
        <f>G111+'4'!H111</f>
        <v>198</v>
      </c>
      <c r="I111" s="532"/>
      <c r="J111" s="558">
        <f>H111/DAY(B2)</f>
        <v>39.6</v>
      </c>
      <c r="N111" s="382"/>
    </row>
    <row r="112" spans="1:15" s="442" customFormat="1" ht="27.75">
      <c r="A112" s="1554" t="s">
        <v>220</v>
      </c>
      <c r="B112" s="1555"/>
      <c r="C112" s="1136"/>
      <c r="D112" s="622" t="s">
        <v>142</v>
      </c>
      <c r="E112" s="484">
        <f>'4'!F112</f>
        <v>4621.3</v>
      </c>
      <c r="F112" s="1259">
        <v>4621.3</v>
      </c>
      <c r="G112" s="532">
        <f t="shared" si="13"/>
        <v>0</v>
      </c>
      <c r="H112" s="460">
        <f>G112+'4'!H112</f>
        <v>0.3000000000001819</v>
      </c>
      <c r="I112" s="532"/>
      <c r="J112" s="558">
        <f>H112/DAY(B2)</f>
        <v>6.0000000000036378E-2</v>
      </c>
      <c r="N112" s="382"/>
    </row>
    <row r="113" spans="1:14" s="442" customFormat="1" ht="27.75">
      <c r="A113" s="1556" t="s">
        <v>109</v>
      </c>
      <c r="B113" s="1557"/>
      <c r="C113" s="1136"/>
      <c r="D113" s="622"/>
      <c r="E113" s="484"/>
      <c r="F113" s="1259"/>
      <c r="G113" s="532">
        <f>SUM(G110:G112)</f>
        <v>180</v>
      </c>
      <c r="H113" s="460">
        <f>G113+'4'!H113</f>
        <v>610.30000000000018</v>
      </c>
      <c r="I113" s="532"/>
      <c r="J113" s="558">
        <f>H113/DAY(B2)</f>
        <v>122.06000000000003</v>
      </c>
      <c r="N113" s="382"/>
    </row>
    <row r="114" spans="1:14" s="442" customFormat="1" ht="27.75">
      <c r="A114" s="1560" t="s">
        <v>221</v>
      </c>
      <c r="B114" s="1561"/>
      <c r="C114" s="1136"/>
      <c r="D114" s="622"/>
      <c r="E114" s="484"/>
      <c r="F114" s="1259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484">
        <f>'4'!F115</f>
        <v>12072</v>
      </c>
      <c r="F115" s="1260">
        <v>12080</v>
      </c>
      <c r="G115" s="534">
        <f>F115-E115</f>
        <v>8</v>
      </c>
      <c r="H115" s="460">
        <f>G115+'4'!H115</f>
        <v>67</v>
      </c>
      <c r="I115" s="532"/>
      <c r="J115" s="558">
        <f>H115/DAY(B2)</f>
        <v>13.4</v>
      </c>
      <c r="N115" s="382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484">
        <f>'4'!F116</f>
        <v>8583</v>
      </c>
      <c r="F116" s="1260">
        <v>8586</v>
      </c>
      <c r="G116" s="534">
        <f t="shared" ref="G116:G117" si="14">F116-E116</f>
        <v>3</v>
      </c>
      <c r="H116" s="460">
        <f>G116+'4'!H116</f>
        <v>31</v>
      </c>
      <c r="I116" s="532"/>
      <c r="J116" s="558">
        <f>H116/DAY(B2)</f>
        <v>6.2</v>
      </c>
      <c r="N116" s="382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484">
        <f>'4'!F117</f>
        <v>0</v>
      </c>
      <c r="F117" s="1260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200</v>
      </c>
      <c r="B118" s="1557"/>
      <c r="C118" s="574"/>
      <c r="D118" s="623"/>
      <c r="E118" s="484"/>
      <c r="F118" s="1260"/>
      <c r="G118" s="534">
        <f>SUM(G115:G117)</f>
        <v>11</v>
      </c>
      <c r="H118" s="460">
        <f>G118+'4'!H118</f>
        <v>98</v>
      </c>
      <c r="I118" s="534"/>
      <c r="J118" s="558">
        <f>H118/DAY(B2)</f>
        <v>19.600000000000001</v>
      </c>
      <c r="N118" s="382"/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484">
        <f>'4'!F119</f>
        <v>239</v>
      </c>
      <c r="F119" s="1261">
        <f>SUM(G19+G93)</f>
        <v>184</v>
      </c>
      <c r="G119" s="536">
        <f>SUM(G19+G93)</f>
        <v>184</v>
      </c>
      <c r="H119" s="460">
        <f>G119+'4'!H119</f>
        <v>909</v>
      </c>
      <c r="I119" s="535"/>
      <c r="J119" s="559">
        <f>H119/DAY(B2)</f>
        <v>181.8</v>
      </c>
      <c r="N119" s="382"/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484">
        <f>'4'!F120</f>
        <v>255</v>
      </c>
      <c r="F120" s="1261">
        <f>SUM(G96,G97,G98,G100,G101)</f>
        <v>162</v>
      </c>
      <c r="G120" s="536">
        <f>SUM(G96,G97,G98,G100,G101)</f>
        <v>162</v>
      </c>
      <c r="H120" s="460">
        <f>G120+'4'!H120</f>
        <v>875</v>
      </c>
      <c r="I120" s="535"/>
      <c r="J120" s="559">
        <f>H120/DAY(B2)</f>
        <v>175</v>
      </c>
      <c r="N120" s="382"/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484">
        <f>'4'!F121</f>
        <v>102</v>
      </c>
      <c r="F121" s="1260">
        <f>SUM(G113)</f>
        <v>180</v>
      </c>
      <c r="G121" s="534">
        <f>SUM(G113)</f>
        <v>180</v>
      </c>
      <c r="H121" s="460">
        <f>G121+'4'!H121</f>
        <v>610.30000000000018</v>
      </c>
      <c r="I121" s="535"/>
      <c r="J121" s="559">
        <f>H121/DAY(B2)</f>
        <v>122.06000000000003</v>
      </c>
      <c r="N121" s="382"/>
    </row>
    <row r="122" spans="1:14" s="442" customFormat="1" ht="27.75">
      <c r="A122" s="1552"/>
      <c r="B122" s="1553"/>
      <c r="C122" s="1135"/>
      <c r="D122" s="560"/>
      <c r="E122" s="560"/>
      <c r="F122" s="1262" t="s">
        <v>213</v>
      </c>
      <c r="G122" s="560"/>
      <c r="H122" s="460">
        <f>G122+'4'!H122</f>
        <v>0</v>
      </c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1091"/>
      <c r="G123" s="483"/>
      <c r="H123" s="483"/>
      <c r="I123" s="483"/>
      <c r="J123" s="563"/>
      <c r="K123" s="380"/>
      <c r="L123" s="377"/>
      <c r="N123" s="382"/>
    </row>
    <row r="124" spans="1:14" ht="27.75">
      <c r="A124" s="1137" t="s">
        <v>229</v>
      </c>
      <c r="B124" s="1138"/>
      <c r="C124" s="1138"/>
      <c r="D124" s="523" t="s">
        <v>139</v>
      </c>
      <c r="E124" s="478">
        <f>'4'!F124</f>
        <v>840828.2</v>
      </c>
      <c r="F124" s="1242">
        <v>841094.02</v>
      </c>
      <c r="G124" s="473">
        <f t="shared" ref="G124:G128" si="15">F124-E124</f>
        <v>265.82000000006519</v>
      </c>
      <c r="H124" s="460">
        <f>G124+'4'!H124</f>
        <v>1424.0200000000186</v>
      </c>
      <c r="I124" s="526"/>
      <c r="J124" s="552">
        <f>H124/DAY(B2)</f>
        <v>284.80400000000373</v>
      </c>
      <c r="K124" s="380"/>
      <c r="L124" s="377"/>
      <c r="N124" s="382"/>
    </row>
    <row r="125" spans="1:14" ht="27.75">
      <c r="A125" s="1137" t="s">
        <v>230</v>
      </c>
      <c r="B125" s="1138"/>
      <c r="C125" s="1138"/>
      <c r="D125" s="523" t="s">
        <v>139</v>
      </c>
      <c r="E125" s="626">
        <f>'4'!F125</f>
        <v>73583.399999999994</v>
      </c>
      <c r="F125" s="1263">
        <v>73583.399999999994</v>
      </c>
      <c r="G125" s="473">
        <f t="shared" si="15"/>
        <v>0</v>
      </c>
      <c r="H125" s="460">
        <f>G125+'4'!H125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3" t="s">
        <v>231</v>
      </c>
      <c r="B126" s="1544"/>
      <c r="C126" s="1545"/>
      <c r="D126" s="523" t="s">
        <v>139</v>
      </c>
      <c r="E126" s="478">
        <f>'4'!F126</f>
        <v>148947.49</v>
      </c>
      <c r="F126" s="1242">
        <v>149008.78</v>
      </c>
      <c r="G126" s="473">
        <f t="shared" si="15"/>
        <v>61.290000000008149</v>
      </c>
      <c r="H126" s="460">
        <f>G126+'4'!H126</f>
        <v>411.77999999999884</v>
      </c>
      <c r="I126" s="526"/>
      <c r="J126" s="552">
        <f>H126/DAY(B2)</f>
        <v>82.355999999999767</v>
      </c>
      <c r="K126" s="380"/>
      <c r="L126" s="377"/>
      <c r="N126" s="382"/>
    </row>
    <row r="127" spans="1:14" ht="27.75">
      <c r="A127" s="609" t="s">
        <v>232</v>
      </c>
      <c r="B127" s="1138"/>
      <c r="C127" s="1138"/>
      <c r="D127" s="523" t="s">
        <v>139</v>
      </c>
      <c r="E127" s="626">
        <f>'4'!F127</f>
        <v>32219.599999999999</v>
      </c>
      <c r="F127" s="1263">
        <v>32246.6</v>
      </c>
      <c r="G127" s="473">
        <f t="shared" si="15"/>
        <v>27</v>
      </c>
      <c r="H127" s="460">
        <f>G127+'4'!H127</f>
        <v>175.59999999999854</v>
      </c>
      <c r="I127" s="526"/>
      <c r="J127" s="552">
        <f>H127/DAY(B2)</f>
        <v>35.119999999999706</v>
      </c>
      <c r="K127" s="380"/>
      <c r="L127" s="377"/>
      <c r="N127" s="382"/>
    </row>
    <row r="128" spans="1:14" ht="27.75">
      <c r="A128" s="609" t="s">
        <v>233</v>
      </c>
      <c r="B128" s="1138"/>
      <c r="C128" s="1138"/>
      <c r="D128" s="523" t="s">
        <v>139</v>
      </c>
      <c r="E128" s="626">
        <f>'4'!F128</f>
        <v>9025.9</v>
      </c>
      <c r="F128" s="1263">
        <v>9026.7999999999993</v>
      </c>
      <c r="G128" s="473">
        <f t="shared" si="15"/>
        <v>0.8999999999996362</v>
      </c>
      <c r="H128" s="460">
        <f>G128+'4'!H128</f>
        <v>14.799999999999272</v>
      </c>
      <c r="I128" s="480"/>
      <c r="J128" s="552">
        <f>H128/DAY(B2)</f>
        <v>2.9599999999998543</v>
      </c>
      <c r="K128" s="380"/>
      <c r="L128" s="377"/>
      <c r="N128" s="382"/>
    </row>
    <row r="129" spans="1:14" s="281" customFormat="1" ht="27.75">
      <c r="A129" s="609" t="s">
        <v>234</v>
      </c>
      <c r="B129" s="1138"/>
      <c r="C129" s="1138"/>
      <c r="D129" s="523"/>
      <c r="E129" s="478"/>
      <c r="F129" s="1242"/>
      <c r="G129" s="473">
        <f>G15-SUM(G124:G128)</f>
        <v>570.0499999999829</v>
      </c>
      <c r="H129" s="460">
        <f>G129+'4'!H129</f>
        <v>2055.2599999999475</v>
      </c>
      <c r="I129" s="480"/>
      <c r="J129" s="552">
        <f>H129/DAY(B2)</f>
        <v>411.0519999999895</v>
      </c>
      <c r="K129" s="364"/>
      <c r="L129" s="292"/>
      <c r="N129" s="382"/>
    </row>
    <row r="130" spans="1:14">
      <c r="A130" s="610" t="s">
        <v>235</v>
      </c>
      <c r="B130" s="458"/>
      <c r="C130" s="458"/>
      <c r="D130" s="471"/>
      <c r="E130" s="471"/>
      <c r="F130" s="1238"/>
      <c r="G130" s="540"/>
      <c r="H130" s="540"/>
      <c r="I130" s="540"/>
      <c r="J130" s="564"/>
      <c r="N130" s="382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'4'!F131</f>
        <v>0</v>
      </c>
      <c r="F131" s="1242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37" t="s">
        <v>238</v>
      </c>
      <c r="B132" s="1138"/>
      <c r="C132" s="1138"/>
      <c r="D132" s="523" t="s">
        <v>237</v>
      </c>
      <c r="E132" s="484">
        <f>'4'!F132</f>
        <v>0</v>
      </c>
      <c r="F132" s="1242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37" t="s">
        <v>239</v>
      </c>
      <c r="B133" s="1138"/>
      <c r="C133" s="1138"/>
      <c r="D133" s="523" t="s">
        <v>237</v>
      </c>
      <c r="E133" s="484">
        <f>'4'!F133</f>
        <v>40530</v>
      </c>
      <c r="F133" s="1243">
        <v>40554.800000000003</v>
      </c>
      <c r="G133" s="473">
        <f t="shared" si="16"/>
        <v>24.80000000000291</v>
      </c>
      <c r="H133" s="460">
        <f>G133+'4'!H133</f>
        <v>101.80000000000291</v>
      </c>
      <c r="I133" s="480"/>
      <c r="J133" s="552">
        <f>H133/DAY(B2)</f>
        <v>20.360000000000582</v>
      </c>
      <c r="N133" s="382"/>
    </row>
    <row r="134" spans="1:14" ht="27.75">
      <c r="A134" s="1137" t="s">
        <v>240</v>
      </c>
      <c r="B134" s="1138"/>
      <c r="C134" s="1138"/>
      <c r="D134" s="523" t="s">
        <v>237</v>
      </c>
      <c r="E134" s="701">
        <f>'4'!F134</f>
        <v>300</v>
      </c>
      <c r="F134" s="1263">
        <v>300</v>
      </c>
      <c r="G134" s="473">
        <f t="shared" si="16"/>
        <v>0</v>
      </c>
      <c r="H134" s="460">
        <f>G134+'4'!H134</f>
        <v>0</v>
      </c>
      <c r="I134" s="480">
        <f>G131+G132+G133+G134</f>
        <v>24.80000000000291</v>
      </c>
      <c r="J134" s="552">
        <f>H134/DAY(B2)</f>
        <v>0</v>
      </c>
      <c r="N134" s="382"/>
    </row>
    <row r="135" spans="1:14" ht="27.75">
      <c r="A135" s="1137" t="s">
        <v>241</v>
      </c>
      <c r="B135" s="1138"/>
      <c r="C135" s="1138"/>
      <c r="D135" s="523" t="s">
        <v>237</v>
      </c>
      <c r="E135" s="701">
        <f>'4'!F135</f>
        <v>42012.34</v>
      </c>
      <c r="F135" s="1263">
        <v>42023.5</v>
      </c>
      <c r="G135" s="473">
        <f t="shared" si="16"/>
        <v>11.160000000003492</v>
      </c>
      <c r="H135" s="460">
        <f>G135+'4'!H135</f>
        <v>51.5</v>
      </c>
      <c r="I135" s="480"/>
      <c r="J135" s="552">
        <f>H135/DAY(B2)</f>
        <v>10.3</v>
      </c>
      <c r="N135" s="382"/>
    </row>
    <row r="136" spans="1:14" ht="27.75">
      <c r="A136" s="1137" t="s">
        <v>242</v>
      </c>
      <c r="B136" s="1138"/>
      <c r="C136" s="1138"/>
      <c r="D136" s="523" t="s">
        <v>237</v>
      </c>
      <c r="E136" s="701">
        <f>'4'!F136</f>
        <v>32874</v>
      </c>
      <c r="F136" s="1263">
        <v>32874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37" t="s">
        <v>243</v>
      </c>
      <c r="B137" s="1138"/>
      <c r="C137" s="1138"/>
      <c r="D137" s="523" t="s">
        <v>237</v>
      </c>
      <c r="E137" s="541">
        <f>'4'!F137</f>
        <v>22917.91</v>
      </c>
      <c r="F137" s="1243">
        <v>22925</v>
      </c>
      <c r="G137" s="473">
        <f t="shared" si="16"/>
        <v>7.0900000000001455</v>
      </c>
      <c r="H137" s="460">
        <f>G137+'4'!H137</f>
        <v>33.509999999998399</v>
      </c>
      <c r="I137" s="480">
        <f>G137+G138+G139</f>
        <v>11.389999999999418</v>
      </c>
      <c r="J137" s="552">
        <f>H137/DAY(B2)</f>
        <v>6.7019999999996802</v>
      </c>
      <c r="N137" s="382"/>
    </row>
    <row r="138" spans="1:14" ht="27.75">
      <c r="A138" s="1137" t="s">
        <v>244</v>
      </c>
      <c r="B138" s="1138"/>
      <c r="C138" s="1138"/>
      <c r="D138" s="523" t="s">
        <v>237</v>
      </c>
      <c r="E138" s="541">
        <f>'4'!F138</f>
        <v>25091.39</v>
      </c>
      <c r="F138" s="1243">
        <v>25095.02</v>
      </c>
      <c r="G138" s="473">
        <f t="shared" si="16"/>
        <v>3.6300000000010186</v>
      </c>
      <c r="H138" s="460">
        <f>G138+'4'!H138</f>
        <v>3.6300000000010186</v>
      </c>
      <c r="I138" s="480"/>
      <c r="J138" s="552">
        <f>H138/DAY(B2)</f>
        <v>0.7260000000002037</v>
      </c>
      <c r="N138" s="382"/>
    </row>
    <row r="139" spans="1:14" ht="27.75">
      <c r="A139" s="1137" t="s">
        <v>245</v>
      </c>
      <c r="B139" s="1138"/>
      <c r="C139" s="1138"/>
      <c r="D139" s="523" t="s">
        <v>237</v>
      </c>
      <c r="E139" s="541">
        <f>'4'!F139</f>
        <v>70513.62</v>
      </c>
      <c r="F139" s="1243">
        <v>70514.289999999994</v>
      </c>
      <c r="G139" s="473">
        <f t="shared" si="16"/>
        <v>0.66999999999825377</v>
      </c>
      <c r="H139" s="460">
        <f>G139+'4'!H139</f>
        <v>0.66999999999825377</v>
      </c>
      <c r="I139" s="480"/>
      <c r="J139" s="552">
        <f>H139/DAY(B2)</f>
        <v>0.13399999999965076</v>
      </c>
      <c r="N139" s="382"/>
    </row>
    <row r="140" spans="1:14" ht="27.75">
      <c r="A140" s="1137" t="s">
        <v>246</v>
      </c>
      <c r="B140" s="1138"/>
      <c r="C140" s="1138"/>
      <c r="D140" s="523" t="s">
        <v>237</v>
      </c>
      <c r="E140" s="701">
        <f>'4'!F140</f>
        <v>2172.02</v>
      </c>
      <c r="F140" s="1263">
        <v>2181.84</v>
      </c>
      <c r="G140" s="473">
        <f t="shared" si="16"/>
        <v>9.8200000000001637</v>
      </c>
      <c r="H140" s="460">
        <f>G140+'4'!H140</f>
        <v>52.660000000000309</v>
      </c>
      <c r="I140" s="542">
        <f>G140+G141</f>
        <v>9.8200000000001637</v>
      </c>
      <c r="J140" s="552">
        <f>H140/DAY(B2)</f>
        <v>10.532000000000062</v>
      </c>
      <c r="N140" s="382"/>
    </row>
    <row r="141" spans="1:14" ht="27.75">
      <c r="A141" s="1137" t="s">
        <v>247</v>
      </c>
      <c r="B141" s="1138"/>
      <c r="C141" s="1138"/>
      <c r="D141" s="523" t="s">
        <v>237</v>
      </c>
      <c r="E141" s="484">
        <f>'4'!F141</f>
        <v>4637</v>
      </c>
      <c r="F141" s="1242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65" t="s">
        <v>248</v>
      </c>
      <c r="B142" s="1566"/>
      <c r="C142" s="1143"/>
      <c r="D142" s="472"/>
      <c r="E142" s="472"/>
      <c r="F142" s="1091"/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1094"/>
      <c r="G143" s="460">
        <f>G35+G43+G49+G57</f>
        <v>5383.3999999999069</v>
      </c>
      <c r="H143" s="460">
        <f>G143+'4'!H143</f>
        <v>27578.529999999912</v>
      </c>
      <c r="I143" s="480" t="s">
        <v>266</v>
      </c>
      <c r="J143" s="552">
        <f>H143/DAY(B2)</f>
        <v>5515.7059999999819</v>
      </c>
      <c r="K143" s="380"/>
      <c r="L143" s="377"/>
      <c r="N143" s="382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1237"/>
      <c r="G144" s="543">
        <f>G143/G7</f>
        <v>0.25782826359843208</v>
      </c>
      <c r="H144" s="460">
        <f>G144+'4'!H144</f>
        <v>1.2702575375203264</v>
      </c>
      <c r="I144" s="544"/>
      <c r="J144" s="552">
        <f>H144/DAY(B2)</f>
        <v>0.2540515075040653</v>
      </c>
      <c r="K144" s="380"/>
      <c r="L144" s="377"/>
      <c r="N144" s="382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1245"/>
      <c r="G145" s="460">
        <f>G41+G42+G55+G56</f>
        <v>6521.6600000000326</v>
      </c>
      <c r="H145" s="460">
        <f>G145+'4'!H145</f>
        <v>34409.560000000041</v>
      </c>
      <c r="I145" s="480"/>
      <c r="J145" s="552">
        <f>H145/DAY(B2)</f>
        <v>6881.9120000000084</v>
      </c>
      <c r="K145" s="380"/>
      <c r="L145" s="377"/>
      <c r="N145" s="382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1245"/>
      <c r="G146" s="543">
        <f>G145/G7</f>
        <v>0.3123431796967322</v>
      </c>
      <c r="H146" s="460">
        <f>G146+'4'!H146</f>
        <v>1.582239187700055</v>
      </c>
      <c r="I146" s="544"/>
      <c r="J146" s="552">
        <f>H146/DAY(B2)</f>
        <v>0.31644783754001099</v>
      </c>
      <c r="K146" s="380"/>
      <c r="L146" s="377"/>
      <c r="N146" s="382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1245"/>
      <c r="G147" s="460">
        <f>G39+G53</f>
        <v>3669.3600000000442</v>
      </c>
      <c r="H147" s="460">
        <f>G147+'4'!H147</f>
        <v>18732.300000000047</v>
      </c>
      <c r="I147" s="545"/>
      <c r="J147" s="552">
        <f>H147/DAY(B2)</f>
        <v>3746.4600000000091</v>
      </c>
      <c r="K147" s="380"/>
      <c r="L147" s="377"/>
      <c r="N147" s="382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1245"/>
      <c r="G148" s="543">
        <f>G147/G7</f>
        <v>0.17573739965775728</v>
      </c>
      <c r="H148" s="460">
        <f>G148+'4'!H148</f>
        <v>0.86286647773016767</v>
      </c>
      <c r="I148" s="545"/>
      <c r="J148" s="552">
        <f>H148/DAY(B2)</f>
        <v>0.17257329554603354</v>
      </c>
      <c r="N148" s="382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1245"/>
      <c r="G149" s="460">
        <f>G38+G52</f>
        <v>1640.5</v>
      </c>
      <c r="H149" s="460">
        <f>G149+'4'!H149</f>
        <v>8327.4599999999627</v>
      </c>
      <c r="I149" s="480"/>
      <c r="J149" s="552">
        <f>H149/DAY(B2)</f>
        <v>1665.4919999999925</v>
      </c>
      <c r="K149" s="381"/>
      <c r="N149" s="382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1245"/>
      <c r="G150" s="543">
        <f>G149/G7</f>
        <v>7.8568797866262058E-2</v>
      </c>
      <c r="H150" s="460">
        <f>G150+'4'!H150</f>
        <v>0.3832848973186298</v>
      </c>
      <c r="I150" s="545"/>
      <c r="J150" s="552">
        <f>H150/DAY(B2)</f>
        <v>7.665697946372596E-2</v>
      </c>
      <c r="N150" s="382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1245"/>
      <c r="G151" s="460">
        <f>G36+G50</f>
        <v>1730.260000000002</v>
      </c>
      <c r="H151" s="460">
        <f>G151+'4'!H151</f>
        <v>9605.4800000000032</v>
      </c>
      <c r="I151" s="545"/>
      <c r="J151" s="552">
        <f>H151/DAY(B2)</f>
        <v>1921.0960000000007</v>
      </c>
      <c r="N151" s="382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1245"/>
      <c r="G152" s="543">
        <f>G151/G7</f>
        <v>8.2867691676975774E-2</v>
      </c>
      <c r="H152" s="460">
        <f>G152+'4'!H152</f>
        <v>0.44113902453731874</v>
      </c>
      <c r="I152" s="480"/>
      <c r="J152" s="552">
        <f>H152/DAY(B2)</f>
        <v>8.822780490746375E-2</v>
      </c>
      <c r="N152" s="382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1245"/>
      <c r="G153" s="460">
        <f>G37+G51</f>
        <v>1447.6800000000221</v>
      </c>
      <c r="H153" s="460">
        <f>G153+'4'!H153</f>
        <v>7442.6600000000035</v>
      </c>
      <c r="I153" s="480"/>
      <c r="J153" s="552">
        <f>H153/DAY(B2)</f>
        <v>1488.5320000000006</v>
      </c>
      <c r="N153" s="382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1264"/>
      <c r="G154" s="566">
        <f>G153/G7</f>
        <v>6.9334030658355375E-2</v>
      </c>
      <c r="H154" s="460">
        <f>G154+'4'!H154</f>
        <v>0.34276493148183906</v>
      </c>
      <c r="I154" s="568"/>
      <c r="J154" s="569">
        <f>H154/DAY(B2)</f>
        <v>6.8552986296367815E-2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261</v>
      </c>
      <c r="B161" s="785"/>
      <c r="C161" s="785"/>
      <c r="D161" s="511" t="s">
        <v>185</v>
      </c>
      <c r="E161" s="484">
        <f>'4'!F161</f>
        <v>41166.06</v>
      </c>
      <c r="F161" s="658">
        <v>41245.43</v>
      </c>
      <c r="G161" s="473">
        <f t="shared" ref="G161:G175" si="17">F161-E161</f>
        <v>79.370000000002619</v>
      </c>
    </row>
    <row r="162" spans="1:7">
      <c r="A162" s="784" t="s">
        <v>262</v>
      </c>
      <c r="B162" s="785"/>
      <c r="C162" s="785"/>
      <c r="D162" s="511" t="s">
        <v>185</v>
      </c>
      <c r="E162" s="484">
        <f>'4'!F162</f>
        <v>109612.51</v>
      </c>
      <c r="F162" s="658">
        <v>110057.72</v>
      </c>
      <c r="G162" s="473">
        <f t="shared" si="17"/>
        <v>445.2100000000064</v>
      </c>
    </row>
    <row r="163" spans="1:7">
      <c r="A163" s="784" t="s">
        <v>263</v>
      </c>
      <c r="B163" s="785"/>
      <c r="C163" s="785"/>
      <c r="D163" s="511" t="s">
        <v>185</v>
      </c>
      <c r="E163" s="484">
        <f>'4'!F163</f>
        <v>62055.34</v>
      </c>
      <c r="F163" s="658">
        <v>62260.43</v>
      </c>
      <c r="G163" s="473">
        <f t="shared" si="17"/>
        <v>205.09000000000378</v>
      </c>
    </row>
    <row r="164" spans="1:7">
      <c r="A164" s="784" t="s">
        <v>264</v>
      </c>
      <c r="B164" s="785"/>
      <c r="C164" s="785"/>
      <c r="D164" s="511" t="s">
        <v>185</v>
      </c>
      <c r="E164" s="484">
        <f>'4'!F164</f>
        <v>6886.98</v>
      </c>
      <c r="F164" s="658">
        <v>6894.89</v>
      </c>
      <c r="G164" s="473">
        <f t="shared" si="17"/>
        <v>7.910000000000764</v>
      </c>
    </row>
    <row r="165" spans="1:7">
      <c r="A165" s="786" t="s">
        <v>97</v>
      </c>
      <c r="B165" s="604"/>
      <c r="C165" s="604"/>
      <c r="D165" s="511" t="s">
        <v>185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6" t="s">
        <v>186</v>
      </c>
      <c r="B166" s="604"/>
      <c r="C166" s="604"/>
      <c r="D166" s="511" t="s">
        <v>185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7" ht="27.75">
      <c r="A167" s="1549" t="s">
        <v>98</v>
      </c>
      <c r="B167" s="1549"/>
      <c r="C167" s="1549"/>
      <c r="D167" s="523" t="s">
        <v>185</v>
      </c>
      <c r="E167" s="514">
        <f t="shared" ref="E167" si="20">E64</f>
        <v>171516.47</v>
      </c>
      <c r="F167" s="514">
        <f t="shared" si="19"/>
        <v>171890.25</v>
      </c>
      <c r="G167" s="473">
        <f t="shared" si="17"/>
        <v>373.77999999999884</v>
      </c>
    </row>
    <row r="168" spans="1:7" ht="27.75">
      <c r="A168" s="1549" t="s">
        <v>99</v>
      </c>
      <c r="B168" s="1549"/>
      <c r="C168" s="1549"/>
      <c r="D168" s="523" t="s">
        <v>185</v>
      </c>
      <c r="E168" s="514">
        <f t="shared" ref="E168" si="21">E65</f>
        <v>172013.01</v>
      </c>
      <c r="F168" s="514">
        <f t="shared" si="19"/>
        <v>172449.67</v>
      </c>
      <c r="G168" s="473">
        <f t="shared" si="17"/>
        <v>436.66000000000349</v>
      </c>
    </row>
    <row r="169" spans="1:7" ht="27.75">
      <c r="A169" s="1549" t="s">
        <v>100</v>
      </c>
      <c r="B169" s="1549"/>
      <c r="C169" s="1549"/>
      <c r="D169" s="523" t="s">
        <v>185</v>
      </c>
      <c r="E169" s="514">
        <f t="shared" ref="E169" si="22">E66</f>
        <v>69662.289999999994</v>
      </c>
      <c r="F169" s="514">
        <f t="shared" si="19"/>
        <v>70072.7</v>
      </c>
      <c r="G169" s="473">
        <f t="shared" si="17"/>
        <v>410.41000000000349</v>
      </c>
    </row>
    <row r="170" spans="1:7" ht="27.75">
      <c r="A170" s="1549" t="s">
        <v>101</v>
      </c>
      <c r="B170" s="1549"/>
      <c r="C170" s="1549"/>
      <c r="D170" s="523" t="s">
        <v>185</v>
      </c>
      <c r="E170" s="514">
        <f t="shared" ref="E170" si="23">E67</f>
        <v>266903.75</v>
      </c>
      <c r="F170" s="514">
        <f t="shared" si="19"/>
        <v>267354.28999999998</v>
      </c>
      <c r="G170" s="473">
        <f t="shared" si="17"/>
        <v>450.53999999997905</v>
      </c>
    </row>
    <row r="171" spans="1:7" ht="27.75">
      <c r="A171" s="1549" t="s">
        <v>102</v>
      </c>
      <c r="B171" s="1549"/>
      <c r="C171" s="1549"/>
      <c r="D171" s="523" t="s">
        <v>185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514">
        <f t="shared" ref="E172" si="25">E69</f>
        <v>88541.19</v>
      </c>
      <c r="F172" s="514">
        <f t="shared" si="19"/>
        <v>88765.51</v>
      </c>
      <c r="G172" s="473">
        <f t="shared" si="17"/>
        <v>224.31999999999243</v>
      </c>
    </row>
    <row r="173" spans="1:7" ht="27.75">
      <c r="A173" s="1590" t="s">
        <v>348</v>
      </c>
      <c r="B173" s="1553"/>
      <c r="C173" s="1512"/>
      <c r="D173" s="523" t="s">
        <v>185</v>
      </c>
      <c r="E173" s="514">
        <f>'4'!F173</f>
        <v>19022.2</v>
      </c>
      <c r="F173" s="514">
        <v>19026.7</v>
      </c>
      <c r="G173" s="473">
        <f t="shared" si="17"/>
        <v>4.5</v>
      </c>
    </row>
    <row r="174" spans="1:7">
      <c r="A174" s="1590" t="s">
        <v>348</v>
      </c>
      <c r="B174" s="1553"/>
      <c r="C174" s="785"/>
      <c r="D174" s="523" t="s">
        <v>185</v>
      </c>
      <c r="E174" s="514">
        <f>'4'!F174</f>
        <v>70360.899999999994</v>
      </c>
      <c r="F174" s="532">
        <v>70367.100000000006</v>
      </c>
      <c r="G174" s="473">
        <f t="shared" si="17"/>
        <v>6.2000000000116415</v>
      </c>
    </row>
    <row r="175" spans="1:7">
      <c r="A175" s="1513" t="s">
        <v>349</v>
      </c>
      <c r="B175" s="1514"/>
      <c r="C175" s="785"/>
      <c r="D175" s="523" t="s">
        <v>185</v>
      </c>
      <c r="E175" s="514">
        <f>'4'!F175</f>
        <v>27648</v>
      </c>
      <c r="F175" s="532">
        <v>27650.400000000001</v>
      </c>
      <c r="G175" s="473">
        <f t="shared" si="17"/>
        <v>2.4000000000014552</v>
      </c>
    </row>
    <row r="177" spans="9:9">
      <c r="I177" s="537" t="s">
        <v>213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zoomScale="55" zoomScaleSheetLayoutView="55" workbookViewId="0">
      <selection activeCell="F83" sqref="F8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7" s="281" customFormat="1" ht="27">
      <c r="A2" s="575" t="s">
        <v>350</v>
      </c>
      <c r="B2" s="1031">
        <v>44383</v>
      </c>
      <c r="C2" s="1139" t="s">
        <v>68</v>
      </c>
      <c r="D2" s="611">
        <v>0.60399999999999998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7" s="281" customFormat="1" ht="27">
      <c r="A3" s="570"/>
      <c r="B3" s="614"/>
      <c r="C3" s="1139" t="s">
        <v>118</v>
      </c>
      <c r="D3" s="612">
        <v>34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39" t="s">
        <v>120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121</v>
      </c>
      <c r="B5" s="459"/>
      <c r="C5" s="459"/>
      <c r="D5" s="511"/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7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129</v>
      </c>
      <c r="B7" s="677"/>
      <c r="C7" s="677"/>
      <c r="D7" s="637" t="s">
        <v>130</v>
      </c>
      <c r="E7" s="633">
        <f>'5'!F7</f>
        <v>30608.44</v>
      </c>
      <c r="F7" s="455">
        <v>50366.35</v>
      </c>
      <c r="G7" s="689">
        <f>F7-E7</f>
        <v>19757.91</v>
      </c>
      <c r="H7" s="679">
        <f>G7+'5'!H7</f>
        <v>128413.35000000003</v>
      </c>
      <c r="I7" s="680">
        <f>'1'!I7</f>
        <v>12000</v>
      </c>
      <c r="J7" s="681">
        <f>H7/DAY(B2)</f>
        <v>21402.225000000006</v>
      </c>
      <c r="K7" s="549"/>
      <c r="L7" s="377"/>
      <c r="N7" s="708"/>
    </row>
    <row r="8" spans="1:17" ht="27.75" thickBot="1">
      <c r="A8" s="682" t="s">
        <v>131</v>
      </c>
      <c r="B8" s="683"/>
      <c r="C8" s="684"/>
      <c r="D8" s="685" t="s">
        <v>25</v>
      </c>
      <c r="E8" s="633">
        <f>'5'!F8</f>
        <v>35981.21</v>
      </c>
      <c r="F8" s="475">
        <v>55818.84</v>
      </c>
      <c r="G8" s="689">
        <f t="shared" ref="G8:G12" si="0">F8-E8</f>
        <v>19837.629999999997</v>
      </c>
      <c r="H8" s="679">
        <f>G8+'5'!H8</f>
        <v>129096.83999999997</v>
      </c>
      <c r="I8" s="686">
        <v>12000</v>
      </c>
      <c r="J8" s="681">
        <f>H8/DAY(B2)</f>
        <v>21516.139999999996</v>
      </c>
      <c r="K8" s="549"/>
      <c r="L8" s="425"/>
      <c r="M8" s="440"/>
      <c r="N8" s="703"/>
      <c r="O8" s="382"/>
    </row>
    <row r="9" spans="1:17">
      <c r="A9" s="687" t="s">
        <v>132</v>
      </c>
      <c r="B9" s="688"/>
      <c r="C9" s="688"/>
      <c r="D9" s="637" t="s">
        <v>130</v>
      </c>
      <c r="E9" s="633">
        <f>'5'!F9</f>
        <v>2138025.7000000002</v>
      </c>
      <c r="F9" s="478">
        <v>2157145.2999999998</v>
      </c>
      <c r="G9" s="689">
        <f t="shared" si="0"/>
        <v>19119.599999999627</v>
      </c>
      <c r="H9" s="679">
        <f>G9+'5'!H9</f>
        <v>126143.29999999981</v>
      </c>
      <c r="I9" s="690">
        <f>I8-J8</f>
        <v>-9516.1399999999958</v>
      </c>
      <c r="J9" s="681">
        <f>H9/DAY(B2)</f>
        <v>21023.883333333302</v>
      </c>
      <c r="K9" s="428"/>
      <c r="L9" s="377"/>
      <c r="N9" s="382"/>
      <c r="O9" s="440"/>
    </row>
    <row r="10" spans="1:17">
      <c r="A10" s="676" t="s">
        <v>133</v>
      </c>
      <c r="B10" s="677"/>
      <c r="C10" s="677"/>
      <c r="D10" s="637" t="s">
        <v>130</v>
      </c>
      <c r="E10" s="633">
        <f>'5'!F10</f>
        <v>2606.5500000000002</v>
      </c>
      <c r="F10" s="478">
        <v>2606.5500000000002</v>
      </c>
      <c r="G10" s="689">
        <f t="shared" si="0"/>
        <v>0</v>
      </c>
      <c r="H10" s="679">
        <f>G10+'5'!H10</f>
        <v>0</v>
      </c>
      <c r="I10" s="691"/>
      <c r="J10" s="681">
        <f>H10/DAY(B2)</f>
        <v>0</v>
      </c>
      <c r="K10" s="428"/>
      <c r="L10" s="377"/>
      <c r="N10" s="382"/>
      <c r="O10" s="440"/>
      <c r="Q10" s="440"/>
    </row>
    <row r="11" spans="1:17">
      <c r="A11" s="676" t="s">
        <v>134</v>
      </c>
      <c r="B11" s="677"/>
      <c r="C11" s="677"/>
      <c r="D11" s="637" t="s">
        <v>130</v>
      </c>
      <c r="E11" s="633">
        <f>'5'!F11</f>
        <v>37000</v>
      </c>
      <c r="F11" s="455">
        <v>37000</v>
      </c>
      <c r="G11" s="689">
        <f t="shared" si="0"/>
        <v>0</v>
      </c>
      <c r="H11" s="679">
        <f>G11+'5'!H11</f>
        <v>0</v>
      </c>
      <c r="I11" s="691"/>
      <c r="J11" s="681">
        <f>H11/DAY(B2)</f>
        <v>0</v>
      </c>
      <c r="K11" s="428"/>
      <c r="L11" s="377"/>
      <c r="N11" s="382"/>
      <c r="O11" s="440"/>
      <c r="Q11" s="440"/>
    </row>
    <row r="12" spans="1:17">
      <c r="A12" s="676" t="s">
        <v>135</v>
      </c>
      <c r="B12" s="677"/>
      <c r="C12" s="677"/>
      <c r="D12" s="637" t="s">
        <v>130</v>
      </c>
      <c r="E12" s="633">
        <f>'5'!F12</f>
        <v>40010</v>
      </c>
      <c r="F12" s="478">
        <v>40010</v>
      </c>
      <c r="G12" s="689">
        <f t="shared" si="0"/>
        <v>0</v>
      </c>
      <c r="H12" s="679">
        <f>G12+'5'!H12</f>
        <v>0</v>
      </c>
      <c r="I12" s="691"/>
      <c r="J12" s="681">
        <f>H12/DAY(B2)</f>
        <v>0</v>
      </c>
      <c r="K12" s="428"/>
      <c r="L12" s="377"/>
      <c r="N12" s="382"/>
      <c r="O12" s="440"/>
      <c r="Q12" s="440"/>
    </row>
    <row r="13" spans="1:17">
      <c r="A13" s="692" t="s">
        <v>136</v>
      </c>
      <c r="B13" s="693"/>
      <c r="C13" s="693"/>
      <c r="D13" s="637"/>
      <c r="E13" s="633"/>
      <c r="F13" s="455"/>
      <c r="G13" s="694">
        <f>G9+G10+G11+G12</f>
        <v>19119.599999999627</v>
      </c>
      <c r="H13" s="679">
        <f>G13+'5'!H13</f>
        <v>126143.29999999981</v>
      </c>
      <c r="I13" s="695">
        <f>G7-G13</f>
        <v>638.31000000037238</v>
      </c>
      <c r="J13" s="681">
        <f>H13/DAY(B2)</f>
        <v>21023.883333333302</v>
      </c>
      <c r="K13" s="428"/>
      <c r="L13" s="377"/>
      <c r="N13" s="382"/>
      <c r="O13" s="440"/>
      <c r="Q13" s="440"/>
    </row>
    <row r="14" spans="1:17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2" t="s">
        <v>138</v>
      </c>
      <c r="B15" s="787"/>
      <c r="C15" s="787"/>
      <c r="D15" s="524" t="s">
        <v>139</v>
      </c>
      <c r="E15" s="485">
        <f>'5'!F15</f>
        <v>1707764.46</v>
      </c>
      <c r="F15" s="485">
        <v>1708195.42</v>
      </c>
      <c r="G15" s="473">
        <f>(F15-E15)</f>
        <v>430.95999999996275</v>
      </c>
      <c r="H15" s="486">
        <f>G15+'5'!H15</f>
        <v>4512.4199999999255</v>
      </c>
      <c r="I15" s="474">
        <v>800</v>
      </c>
      <c r="J15" s="553">
        <f>H15/DAY(B2)</f>
        <v>752.06999999998754</v>
      </c>
      <c r="K15" s="428"/>
      <c r="L15" s="377"/>
      <c r="N15" s="382"/>
    </row>
    <row r="16" spans="1:17">
      <c r="A16" s="790"/>
      <c r="B16" s="791"/>
      <c r="C16" s="791"/>
      <c r="D16" s="788"/>
      <c r="E16" s="789"/>
      <c r="F16" s="485"/>
      <c r="G16" s="1034"/>
      <c r="H16" s="1050"/>
      <c r="I16" s="487">
        <f>I15-J15</f>
        <v>47.930000000012456</v>
      </c>
      <c r="J16" s="1051"/>
      <c r="K16" s="428"/>
      <c r="L16" s="377"/>
      <c r="N16" s="382"/>
    </row>
    <row r="17" spans="1:14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10" t="s">
        <v>141</v>
      </c>
      <c r="B18" s="1611"/>
      <c r="C18" s="1612"/>
      <c r="D18" s="638" t="s">
        <v>142</v>
      </c>
      <c r="E18" s="636">
        <f>'5'!F18</f>
        <v>18</v>
      </c>
      <c r="F18" s="485">
        <v>9</v>
      </c>
      <c r="G18" s="689">
        <f>F18*10</f>
        <v>90</v>
      </c>
      <c r="H18" s="679">
        <f>G18+'5'!H18</f>
        <v>820</v>
      </c>
      <c r="I18" s="680">
        <f>'1'!I18</f>
        <v>65</v>
      </c>
      <c r="J18" s="681">
        <f>H18/DAY(B2)</f>
        <v>136.66666666666666</v>
      </c>
      <c r="K18" s="428"/>
      <c r="L18" s="377"/>
      <c r="N18" s="382"/>
    </row>
    <row r="19" spans="1:14" ht="27.75">
      <c r="A19" s="1610" t="s">
        <v>70</v>
      </c>
      <c r="B19" s="1611"/>
      <c r="C19" s="1612"/>
      <c r="D19" s="637" t="s">
        <v>142</v>
      </c>
      <c r="E19" s="634">
        <f>'5'!F19</f>
        <v>141803</v>
      </c>
      <c r="F19" s="478">
        <v>141862</v>
      </c>
      <c r="G19" s="689">
        <f t="shared" ref="G19" si="1">F19-E19</f>
        <v>59</v>
      </c>
      <c r="H19" s="679">
        <f>G19+'5'!H19</f>
        <v>367</v>
      </c>
      <c r="I19" s="696"/>
      <c r="J19" s="681">
        <f>H19/DAY(B2)</f>
        <v>61.166666666666664</v>
      </c>
      <c r="K19" s="428"/>
      <c r="L19" s="377"/>
      <c r="N19" s="382"/>
    </row>
    <row r="20" spans="1:14">
      <c r="A20" s="692" t="s">
        <v>143</v>
      </c>
      <c r="B20" s="693"/>
      <c r="C20" s="693"/>
      <c r="D20" s="637"/>
      <c r="E20" s="637"/>
      <c r="F20" s="523"/>
      <c r="G20" s="697">
        <f>G18+G19</f>
        <v>149</v>
      </c>
      <c r="H20" s="679">
        <f>G20+'5'!H20</f>
        <v>1187</v>
      </c>
      <c r="I20" s="698">
        <f>I18-J20</f>
        <v>-132.83333333333334</v>
      </c>
      <c r="J20" s="681">
        <f>H20/DAY(B2)</f>
        <v>197.83333333333334</v>
      </c>
      <c r="K20" s="428"/>
      <c r="L20" s="377"/>
      <c r="N20" s="382"/>
    </row>
    <row r="21" spans="1:14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7" t="s">
        <v>145</v>
      </c>
      <c r="B22" s="589"/>
      <c r="C22" s="589"/>
      <c r="D22" s="523" t="s">
        <v>146</v>
      </c>
      <c r="E22" s="634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7" t="s">
        <v>147</v>
      </c>
      <c r="B23" s="589"/>
      <c r="C23" s="589"/>
      <c r="D23" s="523" t="s">
        <v>146</v>
      </c>
      <c r="E23" s="634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148</v>
      </c>
      <c r="B24" s="591"/>
      <c r="C24" s="591"/>
      <c r="D24" s="511" t="s">
        <v>146</v>
      </c>
      <c r="E24" s="634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19837.629999999997</v>
      </c>
      <c r="F27" s="501">
        <v>9</v>
      </c>
      <c r="G27" s="502">
        <f>E27*F27</f>
        <v>178538.66999999998</v>
      </c>
      <c r="H27" s="460">
        <f>G27+'5'!H27</f>
        <v>1161871.5599999998</v>
      </c>
      <c r="I27" s="503"/>
      <c r="J27" s="552">
        <f>H27/DAY(B2)</f>
        <v>193645.25999999998</v>
      </c>
      <c r="K27" s="373"/>
      <c r="L27" s="443"/>
      <c r="N27" s="382"/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430.95999999996275</v>
      </c>
      <c r="F28" s="501">
        <v>52</v>
      </c>
      <c r="G28" s="502">
        <f t="shared" ref="G28:G31" si="3">E28*F28</f>
        <v>22409.919999998063</v>
      </c>
      <c r="H28" s="460">
        <f>G28+'5'!H28</f>
        <v>234645.83999999613</v>
      </c>
      <c r="I28" s="505"/>
      <c r="J28" s="552">
        <f>H28/DAY(B2)</f>
        <v>39107.639999999352</v>
      </c>
      <c r="K28" s="373"/>
      <c r="L28" s="443"/>
      <c r="N28" s="382"/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59</v>
      </c>
      <c r="F30" s="501">
        <v>146</v>
      </c>
      <c r="G30" s="502">
        <f t="shared" si="3"/>
        <v>8614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90</v>
      </c>
      <c r="F31" s="501">
        <v>80</v>
      </c>
      <c r="G31" s="502">
        <f t="shared" si="3"/>
        <v>7200</v>
      </c>
      <c r="H31" s="460">
        <f>G31+'5'!H31</f>
        <v>60000</v>
      </c>
      <c r="I31" s="505"/>
      <c r="J31" s="552">
        <f>H31/DAY(B2)</f>
        <v>10000</v>
      </c>
      <c r="K31" s="373"/>
      <c r="L31" s="443"/>
      <c r="N31" s="382"/>
    </row>
    <row r="32" spans="1:14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216762.58999999805</v>
      </c>
      <c r="H32" s="460">
        <f>G32+'5'!H32</f>
        <v>1509515.3999999957</v>
      </c>
      <c r="I32" s="509"/>
      <c r="J32" s="552">
        <f>H32/DAY(B2)</f>
        <v>251585.8999999993</v>
      </c>
      <c r="K32" s="373"/>
      <c r="L32" s="443"/>
      <c r="N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</row>
    <row r="34" spans="1:15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162</v>
      </c>
      <c r="B35" s="579"/>
      <c r="C35" s="579"/>
      <c r="D35" s="523" t="s">
        <v>130</v>
      </c>
      <c r="E35" s="510">
        <f>'5'!F35</f>
        <v>1043384.5</v>
      </c>
      <c r="F35" s="510">
        <v>1046170.7</v>
      </c>
      <c r="G35" s="473">
        <f t="shared" ref="G35:G46" si="4">F35-E35</f>
        <v>2786.1999999999534</v>
      </c>
      <c r="H35" s="460">
        <f>G35+'5'!H35</f>
        <v>17456.699999999953</v>
      </c>
      <c r="I35" s="455"/>
      <c r="J35" s="552">
        <f>H35/DAY(B2)</f>
        <v>2909.4499999999921</v>
      </c>
      <c r="K35" s="428"/>
      <c r="L35" s="377"/>
      <c r="N35" s="382"/>
    </row>
    <row r="36" spans="1:15">
      <c r="A36" s="578" t="s">
        <v>163</v>
      </c>
      <c r="B36" s="579"/>
      <c r="C36" s="579"/>
      <c r="D36" s="523" t="s">
        <v>130</v>
      </c>
      <c r="E36" s="510">
        <f>'5'!F36</f>
        <v>24415.35</v>
      </c>
      <c r="F36" s="510">
        <v>25143.14</v>
      </c>
      <c r="G36" s="473">
        <f t="shared" si="4"/>
        <v>727.79000000000087</v>
      </c>
      <c r="H36" s="460">
        <f>G36+'5'!H36</f>
        <v>4682.1399999999994</v>
      </c>
      <c r="I36" s="455"/>
      <c r="J36" s="552">
        <f>H36/DAY(B2)</f>
        <v>780.35666666666657</v>
      </c>
      <c r="K36" s="428"/>
      <c r="L36" s="377"/>
      <c r="N36" s="628"/>
      <c r="O36" s="501"/>
    </row>
    <row r="37" spans="1:15">
      <c r="A37" s="578" t="s">
        <v>164</v>
      </c>
      <c r="B37" s="579"/>
      <c r="C37" s="579"/>
      <c r="D37" s="523" t="s">
        <v>130</v>
      </c>
      <c r="E37" s="510">
        <f>'5'!F37</f>
        <v>184012.79</v>
      </c>
      <c r="F37" s="510">
        <v>185538.05</v>
      </c>
      <c r="G37" s="473">
        <f t="shared" si="4"/>
        <v>1525.2599999999802</v>
      </c>
      <c r="H37" s="460">
        <f>G37+'5'!H37</f>
        <v>8968.0499999999884</v>
      </c>
      <c r="I37" s="455"/>
      <c r="J37" s="552">
        <f>H37/DAY(B2)</f>
        <v>1494.6749999999981</v>
      </c>
      <c r="K37" s="428"/>
      <c r="L37" s="377"/>
      <c r="N37" s="629"/>
      <c r="O37" s="501"/>
    </row>
    <row r="38" spans="1:15">
      <c r="A38" s="578" t="s">
        <v>165</v>
      </c>
      <c r="B38" s="579"/>
      <c r="C38" s="579"/>
      <c r="D38" s="523" t="s">
        <v>130</v>
      </c>
      <c r="E38" s="469">
        <f>'5'!F38</f>
        <v>206786.39</v>
      </c>
      <c r="F38" s="469">
        <v>208168.89</v>
      </c>
      <c r="G38" s="473">
        <f t="shared" si="4"/>
        <v>1382.5</v>
      </c>
      <c r="H38" s="460">
        <f>G38+'5'!H38</f>
        <v>9709.890000000014</v>
      </c>
      <c r="I38" s="455"/>
      <c r="J38" s="552">
        <f>H38/DAY(B2)</f>
        <v>1618.3150000000023</v>
      </c>
      <c r="K38" s="428"/>
      <c r="L38" s="377"/>
      <c r="N38" s="382"/>
      <c r="O38" s="501"/>
    </row>
    <row r="39" spans="1:15">
      <c r="A39" s="578" t="s">
        <v>166</v>
      </c>
      <c r="B39" s="579"/>
      <c r="C39" s="579"/>
      <c r="D39" s="523" t="s">
        <v>130</v>
      </c>
      <c r="E39" s="510">
        <f>'5'!F39</f>
        <v>423596.71</v>
      </c>
      <c r="F39" s="510">
        <v>427225.47</v>
      </c>
      <c r="G39" s="473">
        <f t="shared" si="4"/>
        <v>3628.7599999999511</v>
      </c>
      <c r="H39" s="460">
        <f>G39+'5'!H39</f>
        <v>22361.469999999972</v>
      </c>
      <c r="I39" s="455"/>
      <c r="J39" s="552">
        <f>H39/DAY(B2)</f>
        <v>3726.9116666666619</v>
      </c>
      <c r="K39" s="428"/>
      <c r="L39" s="377"/>
      <c r="N39" s="382"/>
      <c r="O39" s="501"/>
    </row>
    <row r="40" spans="1:15">
      <c r="A40" s="599" t="s">
        <v>167</v>
      </c>
      <c r="B40" s="600"/>
      <c r="C40" s="600"/>
      <c r="D40" s="523" t="s">
        <v>130</v>
      </c>
      <c r="E40" s="510">
        <f>'5'!F40</f>
        <v>9044.99</v>
      </c>
      <c r="F40" s="510">
        <v>9346.7900000000009</v>
      </c>
      <c r="G40" s="473">
        <f t="shared" si="4"/>
        <v>301.80000000000109</v>
      </c>
      <c r="H40" s="460">
        <f>G40+'5'!H40</f>
        <v>2233.7900000000009</v>
      </c>
      <c r="I40" s="455"/>
      <c r="J40" s="552">
        <f>H40/DAY(B2)</f>
        <v>372.29833333333346</v>
      </c>
      <c r="K40" s="429"/>
      <c r="L40" s="377"/>
      <c r="N40" s="382"/>
      <c r="O40" s="501"/>
    </row>
    <row r="41" spans="1:15">
      <c r="A41" s="578" t="s">
        <v>168</v>
      </c>
      <c r="B41" s="579"/>
      <c r="C41" s="579"/>
      <c r="D41" s="523" t="s">
        <v>130</v>
      </c>
      <c r="E41" s="510">
        <f>'5'!F41</f>
        <v>352205.87</v>
      </c>
      <c r="F41" s="510">
        <v>354267.07</v>
      </c>
      <c r="G41" s="473">
        <f>F41-E41</f>
        <v>2061.2000000000116</v>
      </c>
      <c r="H41" s="460">
        <f>G41+'5'!H41</f>
        <v>24625.070000000007</v>
      </c>
      <c r="I41" s="455"/>
      <c r="J41" s="552">
        <f>H41/DAY(B2)</f>
        <v>4104.1783333333342</v>
      </c>
      <c r="K41" s="428"/>
      <c r="L41" s="377"/>
      <c r="N41" s="382"/>
    </row>
    <row r="42" spans="1:15">
      <c r="A42" s="578" t="s">
        <v>169</v>
      </c>
      <c r="B42" s="579"/>
      <c r="C42" s="579"/>
      <c r="D42" s="523" t="s">
        <v>130</v>
      </c>
      <c r="E42" s="510">
        <f>'5'!F42</f>
        <v>59210.080000000002</v>
      </c>
      <c r="F42" s="510">
        <v>59210.080000000002</v>
      </c>
      <c r="G42" s="473">
        <f t="shared" si="4"/>
        <v>0</v>
      </c>
      <c r="H42" s="460">
        <f>G42+'5'!H42</f>
        <v>11.190000000002328</v>
      </c>
      <c r="I42" s="455"/>
      <c r="J42" s="552">
        <f>H42/DAY(B2)</f>
        <v>1.8650000000003881</v>
      </c>
      <c r="K42" s="428"/>
      <c r="L42" s="377"/>
      <c r="N42" s="382"/>
    </row>
    <row r="43" spans="1:15">
      <c r="A43" s="578" t="s">
        <v>170</v>
      </c>
      <c r="B43" s="579"/>
      <c r="C43" s="579"/>
      <c r="D43" s="523" t="s">
        <v>130</v>
      </c>
      <c r="E43" s="510">
        <f>'5'!F43</f>
        <v>1133359.8999999999</v>
      </c>
      <c r="F43" s="510">
        <v>1135944.8</v>
      </c>
      <c r="G43" s="473">
        <f t="shared" si="4"/>
        <v>2584.9000000001397</v>
      </c>
      <c r="H43" s="460">
        <f>G43+'5'!H43</f>
        <v>15492.800000000047</v>
      </c>
      <c r="I43" s="455"/>
      <c r="J43" s="552">
        <f>H43/DAY(B2)</f>
        <v>2582.1333333333409</v>
      </c>
      <c r="K43" s="428"/>
      <c r="L43" s="377"/>
      <c r="N43" s="382"/>
    </row>
    <row r="44" spans="1:15">
      <c r="A44" s="578" t="s">
        <v>171</v>
      </c>
      <c r="B44" s="579"/>
      <c r="C44" s="579"/>
      <c r="D44" s="523" t="s">
        <v>130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172</v>
      </c>
      <c r="B45" s="579"/>
      <c r="C45" s="579"/>
      <c r="D45" s="523" t="s">
        <v>130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173</v>
      </c>
      <c r="B46" s="579"/>
      <c r="C46" s="579"/>
      <c r="D46" s="523" t="s">
        <v>130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14998.410000000038</v>
      </c>
      <c r="H47" s="460">
        <f>G47+'5'!H47</f>
        <v>106342.09999999998</v>
      </c>
      <c r="I47" s="455"/>
      <c r="J47" s="552">
        <f>H47/DAY(B2)</f>
        <v>17723.683333333331</v>
      </c>
      <c r="K47" s="428"/>
      <c r="L47" s="377"/>
      <c r="N47" s="382"/>
    </row>
    <row r="48" spans="1:15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162</v>
      </c>
      <c r="B49" s="601"/>
      <c r="C49" s="601"/>
      <c r="D49" s="523" t="s">
        <v>130</v>
      </c>
      <c r="E49" s="510">
        <f>'5'!F49</f>
        <v>260732.13</v>
      </c>
      <c r="F49" s="1032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176</v>
      </c>
      <c r="B50" s="601"/>
      <c r="C50" s="601"/>
      <c r="D50" s="523" t="s">
        <v>130</v>
      </c>
      <c r="E50" s="510">
        <f>'5'!F50</f>
        <v>540314.13</v>
      </c>
      <c r="F50" s="510">
        <v>541273.15</v>
      </c>
      <c r="G50" s="473">
        <f t="shared" si="5"/>
        <v>959.02000000001863</v>
      </c>
      <c r="H50" s="460">
        <f>G50+'5'!H50</f>
        <v>6610.1500000000233</v>
      </c>
      <c r="I50" s="455"/>
      <c r="J50" s="552">
        <f>H50/DAY(B2)</f>
        <v>1101.6916666666705</v>
      </c>
      <c r="K50" s="428"/>
      <c r="L50" s="377"/>
      <c r="N50" s="382"/>
    </row>
    <row r="51" spans="1:14">
      <c r="A51" s="578" t="s">
        <v>164</v>
      </c>
      <c r="B51" s="601"/>
      <c r="C51" s="601"/>
      <c r="D51" s="523" t="s">
        <v>130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177</v>
      </c>
      <c r="B52" s="601"/>
      <c r="C52" s="601"/>
      <c r="D52" s="523" t="s">
        <v>130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166</v>
      </c>
      <c r="B53" s="601"/>
      <c r="C53" s="601"/>
      <c r="D53" s="523" t="s">
        <v>130</v>
      </c>
      <c r="E53" s="510">
        <f>'5'!F53</f>
        <v>434231.59</v>
      </c>
      <c r="F53" s="510">
        <v>434231.59</v>
      </c>
      <c r="G53" s="473">
        <f t="shared" si="5"/>
        <v>0</v>
      </c>
      <c r="H53" s="460">
        <f>G53+'5'!H53</f>
        <v>-0.40999999997438863</v>
      </c>
      <c r="I53" s="455"/>
      <c r="J53" s="552">
        <f>H53/DAY(B2)</f>
        <v>-6.8333333329064772E-2</v>
      </c>
      <c r="K53" s="428"/>
      <c r="L53" s="377"/>
      <c r="N53" s="382"/>
    </row>
    <row r="54" spans="1:14">
      <c r="A54" s="578" t="s">
        <v>178</v>
      </c>
      <c r="B54" s="601"/>
      <c r="C54" s="601"/>
      <c r="D54" s="523" t="s">
        <v>130</v>
      </c>
      <c r="E54" s="510">
        <f>'5'!F54</f>
        <v>14967</v>
      </c>
      <c r="F54" s="510">
        <v>14967</v>
      </c>
      <c r="G54" s="473">
        <f t="shared" si="5"/>
        <v>0</v>
      </c>
      <c r="H54" s="460">
        <f>G54+'5'!H54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179</v>
      </c>
      <c r="B55" s="601"/>
      <c r="C55" s="601"/>
      <c r="D55" s="523" t="s">
        <v>130</v>
      </c>
      <c r="E55" s="510">
        <f>'5'!F55</f>
        <v>129416.95</v>
      </c>
      <c r="F55" s="653">
        <v>133145.38</v>
      </c>
      <c r="G55" s="652">
        <f t="shared" si="5"/>
        <v>3728.4300000000076</v>
      </c>
      <c r="H55" s="705">
        <f>G55+'5'!H55</f>
        <v>15509.380000000005</v>
      </c>
      <c r="I55" s="706"/>
      <c r="J55" s="707">
        <f>H55/DAY(B2)</f>
        <v>2584.8966666666674</v>
      </c>
      <c r="K55" s="428"/>
      <c r="L55" s="377"/>
      <c r="N55" s="382"/>
    </row>
    <row r="56" spans="1:14">
      <c r="A56" s="578" t="s">
        <v>180</v>
      </c>
      <c r="B56" s="601"/>
      <c r="C56" s="601"/>
      <c r="D56" s="523" t="s">
        <v>181</v>
      </c>
      <c r="E56" s="510">
        <f>'5'!F56</f>
        <v>649085.55000000005</v>
      </c>
      <c r="F56" s="1054">
        <v>649085.55000000005</v>
      </c>
      <c r="G56" s="473">
        <f t="shared" si="5"/>
        <v>0</v>
      </c>
      <c r="H56" s="460">
        <f>G56+'5'!H56</f>
        <v>53.550000000046566</v>
      </c>
      <c r="I56" s="455"/>
      <c r="J56" s="552">
        <f>H56/DAY(B2)</f>
        <v>8.9250000000077616</v>
      </c>
      <c r="K56" s="427"/>
      <c r="L56" s="377"/>
      <c r="N56" s="382"/>
    </row>
    <row r="57" spans="1:14">
      <c r="A57" s="578" t="s">
        <v>170</v>
      </c>
      <c r="B57" s="601"/>
      <c r="C57" s="601"/>
      <c r="D57" s="523" t="s">
        <v>130</v>
      </c>
      <c r="E57" s="510">
        <f>'5'!F57</f>
        <v>7711</v>
      </c>
      <c r="F57" s="1032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182</v>
      </c>
      <c r="B58" s="601"/>
      <c r="C58" s="601"/>
      <c r="D58" s="523" t="s">
        <v>130</v>
      </c>
      <c r="E58" s="510">
        <f>'5'!F58</f>
        <v>54817.66</v>
      </c>
      <c r="F58" s="653">
        <v>54839.19</v>
      </c>
      <c r="G58" s="473">
        <f t="shared" si="5"/>
        <v>21.529999999998836</v>
      </c>
      <c r="H58" s="460">
        <f>G58+'5'!H58</f>
        <v>853.19000000000233</v>
      </c>
      <c r="I58" s="455"/>
      <c r="J58" s="552">
        <f>H58/DAY(B2)</f>
        <v>142.19833333333372</v>
      </c>
      <c r="K58" s="428"/>
      <c r="L58" s="377"/>
      <c r="N58" s="382"/>
    </row>
    <row r="59" spans="1:14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4708.980000000025</v>
      </c>
      <c r="H59" s="460">
        <f>G59+'5'!H59</f>
        <v>23025.930000000051</v>
      </c>
      <c r="I59" s="455">
        <f>G7-G60</f>
        <v>50.519999999934953</v>
      </c>
      <c r="J59" s="552">
        <f>H59/DAY(B2)</f>
        <v>3837.6550000000084</v>
      </c>
      <c r="K59" s="428"/>
      <c r="L59" s="377"/>
      <c r="N59" s="382"/>
    </row>
    <row r="60" spans="1:14">
      <c r="A60" s="578"/>
      <c r="B60" s="579"/>
      <c r="C60" s="579"/>
      <c r="D60" s="511" t="s">
        <v>183</v>
      </c>
      <c r="E60" s="511"/>
      <c r="F60" s="511"/>
      <c r="G60" s="481">
        <f>G47+G59</f>
        <v>19707.390000000065</v>
      </c>
      <c r="H60" s="460">
        <f>G60+'5'!H60</f>
        <v>129368.03000000006</v>
      </c>
      <c r="I60" s="455">
        <f>G13-G60</f>
        <v>-587.79000000043743</v>
      </c>
      <c r="J60" s="552">
        <f>H60/DAY(B2)</f>
        <v>21561.338333333344</v>
      </c>
      <c r="K60" s="428"/>
      <c r="L60" s="377"/>
      <c r="N60" s="382"/>
    </row>
    <row r="61" spans="1:14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185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186</v>
      </c>
      <c r="B63" s="604"/>
      <c r="C63" s="604"/>
      <c r="D63" s="511" t="s">
        <v>185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3" t="s">
        <v>98</v>
      </c>
      <c r="B64" s="1544"/>
      <c r="C64" s="1545"/>
      <c r="D64" s="523" t="s">
        <v>185</v>
      </c>
      <c r="E64" s="484">
        <f>'5'!F64</f>
        <v>171890.25</v>
      </c>
      <c r="F64" s="478">
        <v>172289.81</v>
      </c>
      <c r="G64" s="473">
        <f t="shared" si="6"/>
        <v>399.55999999999767</v>
      </c>
      <c r="H64" s="460">
        <f>G64+'5'!H64</f>
        <v>2267.8099999999977</v>
      </c>
      <c r="I64" s="480"/>
      <c r="J64" s="552">
        <f>H64/DAY(B2)</f>
        <v>377.96833333333296</v>
      </c>
      <c r="K64" s="428"/>
      <c r="L64" s="377"/>
      <c r="N64" s="382"/>
    </row>
    <row r="65" spans="1:14" ht="27.75">
      <c r="A65" s="1543" t="s">
        <v>99</v>
      </c>
      <c r="B65" s="1544"/>
      <c r="C65" s="1545"/>
      <c r="D65" s="523" t="s">
        <v>185</v>
      </c>
      <c r="E65" s="484">
        <f>'5'!F65</f>
        <v>172449.67</v>
      </c>
      <c r="F65" s="651">
        <v>172711.63</v>
      </c>
      <c r="G65" s="473">
        <f t="shared" si="6"/>
        <v>261.95999999999185</v>
      </c>
      <c r="H65" s="460">
        <f>G65+'5'!H65</f>
        <v>2409.6300000000047</v>
      </c>
      <c r="I65" s="489"/>
      <c r="J65" s="552">
        <f>H65/DAY(B2)</f>
        <v>401.60500000000076</v>
      </c>
      <c r="K65" s="428"/>
      <c r="L65" s="377"/>
      <c r="N65" s="382"/>
    </row>
    <row r="66" spans="1:14" ht="27.75">
      <c r="A66" s="1543" t="s">
        <v>100</v>
      </c>
      <c r="B66" s="1544"/>
      <c r="C66" s="1545"/>
      <c r="D66" s="523" t="s">
        <v>185</v>
      </c>
      <c r="E66" s="484">
        <f>'5'!F66</f>
        <v>70072.7</v>
      </c>
      <c r="F66" s="478">
        <v>70486.509999999995</v>
      </c>
      <c r="G66" s="473">
        <f t="shared" si="6"/>
        <v>413.80999999999767</v>
      </c>
      <c r="H66" s="460">
        <f>G66+'5'!H66</f>
        <v>2516.5099999999948</v>
      </c>
      <c r="I66" s="480"/>
      <c r="J66" s="552">
        <f>H66/DAY(B2)</f>
        <v>419.41833333333244</v>
      </c>
      <c r="K66" s="428"/>
      <c r="L66" s="377"/>
      <c r="N66" s="382"/>
    </row>
    <row r="67" spans="1:14" ht="27.75">
      <c r="A67" s="1543" t="s">
        <v>101</v>
      </c>
      <c r="B67" s="1544"/>
      <c r="C67" s="1545"/>
      <c r="D67" s="523" t="s">
        <v>185</v>
      </c>
      <c r="E67" s="484">
        <f>'5'!F67</f>
        <v>267354.28999999998</v>
      </c>
      <c r="F67" s="478">
        <v>267883.99</v>
      </c>
      <c r="G67" s="473">
        <f t="shared" si="6"/>
        <v>529.70000000001164</v>
      </c>
      <c r="H67" s="460">
        <f>G67+'5'!H67</f>
        <v>2924.9899999999907</v>
      </c>
      <c r="I67" s="489"/>
      <c r="J67" s="552">
        <f>H67/DAY(B2)</f>
        <v>487.4983333333318</v>
      </c>
      <c r="K67" s="429"/>
      <c r="L67" s="377"/>
      <c r="N67" s="382"/>
    </row>
    <row r="68" spans="1:14" ht="27.75">
      <c r="A68" s="1543" t="s">
        <v>102</v>
      </c>
      <c r="B68" s="1544"/>
      <c r="C68" s="1545"/>
      <c r="D68" s="523" t="s">
        <v>185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3" t="s">
        <v>103</v>
      </c>
      <c r="B69" s="1544"/>
      <c r="C69" s="1545"/>
      <c r="D69" s="523" t="s">
        <v>185</v>
      </c>
      <c r="E69" s="484">
        <f>'5'!F69</f>
        <v>88765.51</v>
      </c>
      <c r="F69" s="478">
        <v>88975.85</v>
      </c>
      <c r="G69" s="473">
        <f t="shared" si="6"/>
        <v>210.34000000001106</v>
      </c>
      <c r="H69" s="460">
        <f>G69+'5'!H69</f>
        <v>1460.8500000000058</v>
      </c>
      <c r="I69" s="516"/>
      <c r="J69" s="552">
        <f>H69/DAY(B2)</f>
        <v>243.47500000000096</v>
      </c>
      <c r="K69" s="431"/>
      <c r="L69" s="377"/>
      <c r="N69" s="382"/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</row>
    <row r="72" spans="1:14" ht="27.75">
      <c r="A72" s="1543" t="s">
        <v>189</v>
      </c>
      <c r="B72" s="1544"/>
      <c r="C72" s="1545"/>
      <c r="D72" s="523" t="s">
        <v>185</v>
      </c>
      <c r="E72" s="519">
        <f>'5'!F72</f>
        <v>856281</v>
      </c>
      <c r="F72" s="654">
        <v>856292</v>
      </c>
      <c r="G72" s="473">
        <f t="shared" ref="G72:G84" si="7">F72-E72</f>
        <v>11</v>
      </c>
      <c r="H72" s="460">
        <f>G72+'5'!H72</f>
        <v>70</v>
      </c>
      <c r="I72" s="480"/>
      <c r="J72" s="552">
        <f>H72/DAY(B2)</f>
        <v>11.666666666666666</v>
      </c>
      <c r="K72" s="431"/>
      <c r="L72" s="377"/>
      <c r="N72" s="382"/>
    </row>
    <row r="73" spans="1:14" ht="27.75">
      <c r="A73" s="1543" t="s">
        <v>190</v>
      </c>
      <c r="B73" s="1544"/>
      <c r="C73" s="1545"/>
      <c r="D73" s="523" t="s">
        <v>185</v>
      </c>
      <c r="E73" s="520">
        <f>'5'!F73</f>
        <v>885979</v>
      </c>
      <c r="F73" s="655">
        <v>885980</v>
      </c>
      <c r="G73" s="652">
        <f t="shared" si="7"/>
        <v>1</v>
      </c>
      <c r="H73" s="460">
        <f>G73+'5'!H73</f>
        <v>8</v>
      </c>
      <c r="I73" s="480"/>
      <c r="J73" s="552">
        <f>H73/DAY(B2)</f>
        <v>1.3333333333333333</v>
      </c>
      <c r="K73" s="430"/>
      <c r="L73" s="377"/>
      <c r="N73" s="382"/>
    </row>
    <row r="74" spans="1:14" ht="27.75">
      <c r="A74" s="1543" t="s">
        <v>191</v>
      </c>
      <c r="B74" s="1544"/>
      <c r="C74" s="1545"/>
      <c r="D74" s="523" t="s">
        <v>185</v>
      </c>
      <c r="E74" s="521">
        <f>'5'!F74</f>
        <v>88702.1</v>
      </c>
      <c r="F74" s="654">
        <v>88703.2</v>
      </c>
      <c r="G74" s="473">
        <f t="shared" si="7"/>
        <v>1.0999999999912689</v>
      </c>
      <c r="H74" s="460">
        <f>G74+'5'!H74</f>
        <v>7.1999999999970896</v>
      </c>
      <c r="I74" s="480"/>
      <c r="J74" s="552">
        <f>H74/DAY(B2)</f>
        <v>1.199999999999515</v>
      </c>
      <c r="K74" s="431"/>
      <c r="L74" s="377"/>
      <c r="N74" s="382"/>
    </row>
    <row r="75" spans="1:14" ht="27.75">
      <c r="A75" s="1546" t="s">
        <v>192</v>
      </c>
      <c r="B75" s="1547"/>
      <c r="C75" s="1548"/>
      <c r="D75" s="523" t="s">
        <v>185</v>
      </c>
      <c r="E75" s="520">
        <f>'5'!F75</f>
        <v>16822.03</v>
      </c>
      <c r="F75" s="655">
        <v>16963.82</v>
      </c>
      <c r="G75" s="473">
        <f t="shared" si="7"/>
        <v>141.79000000000087</v>
      </c>
      <c r="H75" s="460">
        <f>G75+'5'!H75</f>
        <v>892.81999999999971</v>
      </c>
      <c r="I75" s="480"/>
      <c r="J75" s="552">
        <f>H75/DAY(B2)</f>
        <v>148.80333333333328</v>
      </c>
      <c r="K75" s="430"/>
      <c r="L75" s="377"/>
      <c r="N75" s="382"/>
    </row>
    <row r="76" spans="1:14" ht="27.75">
      <c r="A76" s="1546" t="s">
        <v>193</v>
      </c>
      <c r="B76" s="1547"/>
      <c r="C76" s="1548"/>
      <c r="D76" s="523" t="s">
        <v>185</v>
      </c>
      <c r="E76" s="520">
        <f>'5'!F76</f>
        <v>9664.18</v>
      </c>
      <c r="F76" s="655">
        <v>9737.2999999999993</v>
      </c>
      <c r="G76" s="473">
        <f t="shared" si="7"/>
        <v>73.119999999998981</v>
      </c>
      <c r="H76" s="460">
        <f>G76+'5'!H76</f>
        <v>401.29999999999927</v>
      </c>
      <c r="I76" s="505"/>
      <c r="J76" s="552">
        <f>H76/DAY(B2)</f>
        <v>66.883333333333212</v>
      </c>
      <c r="K76" s="430"/>
      <c r="L76" s="377"/>
      <c r="N76" s="382"/>
    </row>
    <row r="77" spans="1:14" ht="27.75">
      <c r="A77" s="1543" t="s">
        <v>194</v>
      </c>
      <c r="B77" s="1544"/>
      <c r="C77" s="1545"/>
      <c r="D77" s="523" t="s">
        <v>185</v>
      </c>
      <c r="E77" s="520">
        <f>'5'!F77</f>
        <v>704658</v>
      </c>
      <c r="F77" s="655">
        <v>704736</v>
      </c>
      <c r="G77" s="652">
        <f t="shared" si="7"/>
        <v>78</v>
      </c>
      <c r="H77" s="460">
        <f>G77+'5'!H77</f>
        <v>362</v>
      </c>
      <c r="I77" s="505"/>
      <c r="J77" s="552">
        <f>H77/DAY(B2)</f>
        <v>60.333333333333336</v>
      </c>
      <c r="K77" s="430"/>
      <c r="L77" s="377"/>
      <c r="N77" s="382"/>
    </row>
    <row r="78" spans="1:14" ht="27.75">
      <c r="A78" s="1140" t="s">
        <v>195</v>
      </c>
      <c r="B78" s="1113"/>
      <c r="C78" s="1113"/>
      <c r="D78" s="523" t="s">
        <v>185</v>
      </c>
      <c r="E78" s="521">
        <f>'5'!F78</f>
        <v>675957</v>
      </c>
      <c r="F78" s="656">
        <v>676110</v>
      </c>
      <c r="G78" s="473">
        <f t="shared" si="7"/>
        <v>153</v>
      </c>
      <c r="H78" s="460">
        <f>G78+'5'!H78</f>
        <v>696</v>
      </c>
      <c r="I78" s="505"/>
      <c r="J78" s="552">
        <f>H78/DAY(B2)</f>
        <v>116</v>
      </c>
      <c r="K78" s="430"/>
      <c r="L78" s="377"/>
      <c r="N78" s="382"/>
    </row>
    <row r="79" spans="1:14" ht="27.75">
      <c r="A79" s="1546" t="s">
        <v>91</v>
      </c>
      <c r="B79" s="1547"/>
      <c r="C79" s="1548"/>
      <c r="D79" s="524" t="s">
        <v>185</v>
      </c>
      <c r="E79" s="521">
        <f>'5'!F79</f>
        <v>836170</v>
      </c>
      <c r="F79" s="656">
        <v>836319</v>
      </c>
      <c r="G79" s="473">
        <f t="shared" si="7"/>
        <v>149</v>
      </c>
      <c r="H79" s="460">
        <f>G79+'5'!H79</f>
        <v>903</v>
      </c>
      <c r="I79" s="505"/>
      <c r="J79" s="552">
        <f>H79/DAY(B2)</f>
        <v>150.5</v>
      </c>
      <c r="K79" s="430"/>
      <c r="L79" s="377"/>
      <c r="N79" s="382"/>
    </row>
    <row r="80" spans="1:14" ht="27.75">
      <c r="A80" s="1546" t="s">
        <v>196</v>
      </c>
      <c r="B80" s="1547"/>
      <c r="C80" s="1548"/>
      <c r="D80" s="524" t="s">
        <v>185</v>
      </c>
      <c r="E80" s="520">
        <f>'5'!F80</f>
        <v>541082.92000000004</v>
      </c>
      <c r="F80" s="655">
        <v>541439.43999999994</v>
      </c>
      <c r="G80" s="473">
        <f t="shared" si="7"/>
        <v>356.51999999990221</v>
      </c>
      <c r="H80" s="460">
        <f>G80+'5'!H80</f>
        <v>2426.4399999999441</v>
      </c>
      <c r="I80" s="505"/>
      <c r="J80" s="552">
        <f>H80/DAY(B2)</f>
        <v>404.40666666665737</v>
      </c>
      <c r="K80" s="430"/>
      <c r="L80" s="377"/>
      <c r="N80" s="382"/>
    </row>
    <row r="81" spans="1:15" ht="27.75">
      <c r="A81" s="1546" t="s">
        <v>197</v>
      </c>
      <c r="B81" s="1547"/>
      <c r="C81" s="1548"/>
      <c r="D81" s="524" t="s">
        <v>185</v>
      </c>
      <c r="E81" s="520">
        <f>'5'!F81</f>
        <v>643896.80000000005</v>
      </c>
      <c r="F81" s="655">
        <v>644075.16</v>
      </c>
      <c r="G81" s="473">
        <f t="shared" si="7"/>
        <v>178.35999999998603</v>
      </c>
      <c r="H81" s="460">
        <f>G81+'5'!H81</f>
        <v>1090.1600000000326</v>
      </c>
      <c r="I81" s="505"/>
      <c r="J81" s="552">
        <f>H81/DAY(B2)</f>
        <v>181.69333333333876</v>
      </c>
      <c r="K81" s="430"/>
      <c r="L81" s="377"/>
      <c r="N81" s="382"/>
    </row>
    <row r="82" spans="1:15" ht="27.75">
      <c r="A82" s="1546" t="s">
        <v>92</v>
      </c>
      <c r="B82" s="1547"/>
      <c r="C82" s="1548"/>
      <c r="D82" s="485" t="s">
        <v>130</v>
      </c>
      <c r="E82" s="522">
        <f>'5'!F82</f>
        <v>108788.39</v>
      </c>
      <c r="F82" s="651">
        <v>108801.57</v>
      </c>
      <c r="G82" s="473">
        <f t="shared" si="7"/>
        <v>13.180000000007567</v>
      </c>
      <c r="H82" s="460">
        <f>G82+'5'!H82</f>
        <v>120.57000000000698</v>
      </c>
      <c r="I82" s="486"/>
      <c r="J82" s="552">
        <f>H82/DAY(B2)</f>
        <v>20.095000000001164</v>
      </c>
      <c r="K82" s="430"/>
      <c r="L82" s="377"/>
      <c r="N82" s="382"/>
    </row>
    <row r="83" spans="1:15" ht="27.75">
      <c r="A83" s="1546" t="s">
        <v>198</v>
      </c>
      <c r="B83" s="1547"/>
      <c r="C83" s="1548"/>
      <c r="D83" s="620" t="s">
        <v>130</v>
      </c>
      <c r="E83" s="511">
        <f>'5'!F83</f>
        <v>28875</v>
      </c>
      <c r="F83" s="511">
        <v>29038</v>
      </c>
      <c r="G83" s="473">
        <f t="shared" si="7"/>
        <v>163</v>
      </c>
      <c r="H83" s="460">
        <f>G83+'5'!H83</f>
        <v>1487</v>
      </c>
      <c r="I83" s="481"/>
      <c r="J83" s="552">
        <f>H83/DAY(B2)</f>
        <v>247.83333333333334</v>
      </c>
      <c r="K83" s="429"/>
      <c r="L83" s="377"/>
      <c r="N83" s="382"/>
    </row>
    <row r="84" spans="1:15">
      <c r="A84" s="1141" t="s">
        <v>199</v>
      </c>
      <c r="B84" s="571"/>
      <c r="C84" s="571"/>
      <c r="D84" s="478" t="s">
        <v>130</v>
      </c>
      <c r="E84" s="627">
        <f>'5'!F84</f>
        <v>527228</v>
      </c>
      <c r="F84" s="627">
        <v>528037</v>
      </c>
      <c r="G84" s="473">
        <f t="shared" si="7"/>
        <v>809</v>
      </c>
      <c r="H84" s="460">
        <f>G84+'5'!H84</f>
        <v>4957</v>
      </c>
      <c r="I84" s="481"/>
      <c r="J84" s="552">
        <f>H84/DAY(B2)</f>
        <v>826.16666666666663</v>
      </c>
      <c r="K84" s="380"/>
      <c r="L84" s="377"/>
      <c r="N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2128.0699999998869</v>
      </c>
      <c r="H85" s="460">
        <f>G85+'5'!H85</f>
        <v>13421.48999999998</v>
      </c>
      <c r="I85" s="481"/>
      <c r="J85" s="552">
        <f>H85/DAY(B2)</f>
        <v>2236.9149999999968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'5'!F86</f>
        <v>461944</v>
      </c>
      <c r="F86" s="647">
        <v>461963.72</v>
      </c>
      <c r="G86" s="705">
        <f t="shared" ref="G86:G91" si="8">F86-E86</f>
        <v>19.71999999997206</v>
      </c>
      <c r="H86" s="460">
        <f>G86+'5'!H86</f>
        <v>142.71999999997206</v>
      </c>
      <c r="I86" s="652"/>
      <c r="J86" s="707">
        <f>H86/DAY(B2)</f>
        <v>23.786666666662011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'5'!F87</f>
        <v>82226.5</v>
      </c>
      <c r="F87" s="647">
        <v>82256.399999999994</v>
      </c>
      <c r="G87" s="705">
        <f t="shared" si="8"/>
        <v>29.899999999994179</v>
      </c>
      <c r="H87" s="460">
        <f>G87+'5'!H87</f>
        <v>183.39999999999418</v>
      </c>
      <c r="I87" s="652"/>
      <c r="J87" s="707">
        <f>H87/DAY(B2)</f>
        <v>30.566666666665697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'5'!F88</f>
        <v>155903.35999999999</v>
      </c>
      <c r="F88" s="647">
        <v>156019.26</v>
      </c>
      <c r="G88" s="705">
        <f t="shared" si="8"/>
        <v>115.90000000002328</v>
      </c>
      <c r="H88" s="460">
        <f>G88+'5'!H88</f>
        <v>696.26000000000931</v>
      </c>
      <c r="I88" s="652"/>
      <c r="J88" s="707">
        <f>H88/DAY(B2)</f>
        <v>116.04333333333489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627">
        <f>'5'!F89</f>
        <v>65976.600000000006</v>
      </c>
      <c r="F89" s="647">
        <v>66022.7</v>
      </c>
      <c r="G89" s="705">
        <f t="shared" si="8"/>
        <v>46.099999999991269</v>
      </c>
      <c r="H89" s="460">
        <f>G89+'5'!H89</f>
        <v>176.69999999999709</v>
      </c>
      <c r="I89" s="652"/>
      <c r="J89" s="707">
        <f>H89/DAY(B2)</f>
        <v>29.449999999999516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'5'!F90</f>
        <v>3360.1</v>
      </c>
      <c r="F90" s="647">
        <v>3363.3</v>
      </c>
      <c r="G90" s="705">
        <f t="shared" si="8"/>
        <v>3.2000000000002728</v>
      </c>
      <c r="H90" s="460">
        <f>G90+'5'!H90</f>
        <v>19.300000000000182</v>
      </c>
      <c r="I90" s="652"/>
      <c r="J90" s="707">
        <f>H90/DAY(B2)</f>
        <v>3.216666666666697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27">
        <f>'5'!F91</f>
        <v>28287.29</v>
      </c>
      <c r="F91" s="647">
        <v>28295.81</v>
      </c>
      <c r="G91" s="705">
        <f t="shared" si="8"/>
        <v>8.5200000000004366</v>
      </c>
      <c r="H91" s="460">
        <f>G91+'5'!H91</f>
        <v>8.5200000000004366</v>
      </c>
      <c r="I91" s="652"/>
      <c r="J91" s="707">
        <f>H91/DAY(B2)</f>
        <v>1.4200000000000728</v>
      </c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'5'!F93</f>
        <v>247953</v>
      </c>
      <c r="F93" s="478">
        <v>247997</v>
      </c>
      <c r="G93" s="473">
        <f t="shared" ref="G93:G94" si="9">F93-E93</f>
        <v>44</v>
      </c>
      <c r="H93" s="460">
        <f>G93+'5'!H93</f>
        <v>645</v>
      </c>
      <c r="I93" s="480"/>
      <c r="J93" s="552">
        <f>H93/DAY(B2)</f>
        <v>107.5</v>
      </c>
      <c r="K93" s="429"/>
      <c r="L93" s="377"/>
      <c r="N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'5'!F94</f>
        <v>190036</v>
      </c>
      <c r="F94" s="478">
        <v>190127</v>
      </c>
      <c r="G94" s="473">
        <f t="shared" si="9"/>
        <v>91</v>
      </c>
      <c r="H94" s="460">
        <f>G94+'5'!H94</f>
        <v>673</v>
      </c>
      <c r="I94" s="480"/>
      <c r="J94" s="552">
        <f>H94/DAY(B2)</f>
        <v>112.16666666666667</v>
      </c>
      <c r="K94" s="380"/>
      <c r="L94" s="377"/>
      <c r="N94" s="382"/>
    </row>
    <row r="95" spans="1:15">
      <c r="A95" s="1594" t="s">
        <v>206</v>
      </c>
      <c r="B95" s="1595"/>
      <c r="C95" s="1596"/>
      <c r="D95" s="523"/>
      <c r="E95" s="484">
        <f>'5'!F95</f>
        <v>0</v>
      </c>
      <c r="F95" s="478"/>
      <c r="G95" s="473">
        <f>G93+G94</f>
        <v>135</v>
      </c>
      <c r="H95" s="460">
        <f>G95+'5'!H95</f>
        <v>1132</v>
      </c>
      <c r="I95" s="480"/>
      <c r="J95" s="552">
        <f>H95/DAY(B2)</f>
        <v>188.66666666666666</v>
      </c>
      <c r="K95" s="380"/>
      <c r="L95" s="377"/>
      <c r="N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'5'!F96</f>
        <v>416554</v>
      </c>
      <c r="F96" s="478">
        <v>416613</v>
      </c>
      <c r="G96" s="473">
        <f t="shared" ref="G96:G101" si="10">F96-E96</f>
        <v>59</v>
      </c>
      <c r="H96" s="460">
        <f>G96+'5'!H96</f>
        <v>614</v>
      </c>
      <c r="I96" s="480"/>
      <c r="J96" s="552">
        <f>H96/DAY(B2)</f>
        <v>102.33333333333333</v>
      </c>
      <c r="K96" s="380"/>
      <c r="L96" s="377"/>
      <c r="N96" s="382"/>
    </row>
    <row r="97" spans="1:14" ht="27.75">
      <c r="A97" s="1137" t="s">
        <v>208</v>
      </c>
      <c r="B97" s="1138"/>
      <c r="C97" s="1138"/>
      <c r="D97" s="523" t="s">
        <v>142</v>
      </c>
      <c r="E97" s="484">
        <f>'5'!F97</f>
        <v>103276</v>
      </c>
      <c r="F97" s="478">
        <v>103294</v>
      </c>
      <c r="G97" s="473">
        <f t="shared" si="10"/>
        <v>18</v>
      </c>
      <c r="H97" s="460">
        <f>G97+'5'!H97</f>
        <v>131</v>
      </c>
      <c r="I97" s="480"/>
      <c r="J97" s="552">
        <f>H97/DAY(B2)</f>
        <v>21.833333333333332</v>
      </c>
      <c r="K97" s="427"/>
      <c r="L97" s="377"/>
      <c r="N97" s="382"/>
    </row>
    <row r="98" spans="1:14" ht="27.75">
      <c r="A98" s="1137" t="s">
        <v>209</v>
      </c>
      <c r="B98" s="1138"/>
      <c r="C98" s="1138"/>
      <c r="D98" s="523" t="s">
        <v>142</v>
      </c>
      <c r="E98" s="484">
        <f>'5'!F98</f>
        <v>98775</v>
      </c>
      <c r="F98" s="478">
        <v>98796</v>
      </c>
      <c r="G98" s="473">
        <f t="shared" si="10"/>
        <v>21</v>
      </c>
      <c r="H98" s="460">
        <f>G98+'5'!H98</f>
        <v>139</v>
      </c>
      <c r="I98" s="480"/>
      <c r="J98" s="552">
        <f>H98/DAY(B2)</f>
        <v>23.166666666666668</v>
      </c>
      <c r="K98" s="432"/>
      <c r="L98" s="377"/>
      <c r="N98" s="382"/>
    </row>
    <row r="99" spans="1:14" ht="27.75">
      <c r="A99" s="1137" t="s">
        <v>210</v>
      </c>
      <c r="B99" s="1138"/>
      <c r="C99" s="1138"/>
      <c r="D99" s="523" t="s">
        <v>142</v>
      </c>
      <c r="E99" s="484">
        <f>'5'!F99</f>
        <v>150596</v>
      </c>
      <c r="F99" s="478">
        <v>150632</v>
      </c>
      <c r="G99" s="473">
        <f t="shared" si="10"/>
        <v>36</v>
      </c>
      <c r="H99" s="460">
        <f>G99+'5'!H99</f>
        <v>227</v>
      </c>
      <c r="I99" s="480"/>
      <c r="J99" s="552">
        <f>H99/DAY(B2)</f>
        <v>37.833333333333336</v>
      </c>
      <c r="K99" s="380"/>
      <c r="L99" s="377"/>
      <c r="N99" s="704"/>
    </row>
    <row r="100" spans="1:14" ht="27.75">
      <c r="A100" s="1137" t="s">
        <v>211</v>
      </c>
      <c r="B100" s="1138"/>
      <c r="C100" s="1138"/>
      <c r="D100" s="523" t="s">
        <v>142</v>
      </c>
      <c r="E100" s="484">
        <f>'5'!F100</f>
        <v>7852</v>
      </c>
      <c r="F100" s="478">
        <v>7858</v>
      </c>
      <c r="G100" s="473">
        <f t="shared" si="10"/>
        <v>6</v>
      </c>
      <c r="H100" s="460">
        <f>G100+'5'!H100</f>
        <v>61</v>
      </c>
      <c r="I100" s="480"/>
      <c r="J100" s="552">
        <f>H100/DAY(B2)</f>
        <v>10.166666666666666</v>
      </c>
      <c r="K100" s="380"/>
      <c r="L100" s="377"/>
      <c r="N100" s="382"/>
    </row>
    <row r="101" spans="1:14" ht="27.75">
      <c r="A101" s="1137" t="s">
        <v>212</v>
      </c>
      <c r="B101" s="1138"/>
      <c r="C101" s="1138"/>
      <c r="D101" s="523" t="s">
        <v>142</v>
      </c>
      <c r="E101" s="484">
        <f>'5'!F101</f>
        <v>5708</v>
      </c>
      <c r="F101" s="478">
        <v>5714</v>
      </c>
      <c r="G101" s="473">
        <f t="shared" si="10"/>
        <v>6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94" t="s">
        <v>214</v>
      </c>
      <c r="B102" s="1595"/>
      <c r="C102" s="1596"/>
      <c r="D102" s="524"/>
      <c r="E102" s="524"/>
      <c r="F102" s="524" t="s">
        <v>213</v>
      </c>
      <c r="G102" s="525">
        <f>SUM(G96:G101)</f>
        <v>146</v>
      </c>
      <c r="H102" s="460">
        <f>G102+'5'!H102</f>
        <v>1212</v>
      </c>
      <c r="I102" s="526"/>
      <c r="J102" s="552">
        <f>H102/DAY(B2)</f>
        <v>202</v>
      </c>
      <c r="K102" s="380"/>
      <c r="L102" s="377"/>
      <c r="N102" s="382"/>
    </row>
    <row r="103" spans="1:14" s="442" customFormat="1" ht="27">
      <c r="A103" s="607" t="s">
        <v>215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7" t="s">
        <v>216</v>
      </c>
      <c r="B104" s="159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4" t="s">
        <v>217</v>
      </c>
      <c r="B105" s="1555"/>
      <c r="C105" s="1136"/>
      <c r="D105" s="622" t="s">
        <v>142</v>
      </c>
      <c r="E105" s="532">
        <f>'5'!F105</f>
        <v>7737</v>
      </c>
      <c r="F105" s="658">
        <v>7767</v>
      </c>
      <c r="G105" s="532">
        <f>F105-E105</f>
        <v>30</v>
      </c>
      <c r="H105" s="460">
        <f>G105+'5'!H105</f>
        <v>130</v>
      </c>
      <c r="I105" s="532"/>
      <c r="J105" s="558">
        <f>H105/DAY(B2)</f>
        <v>21.666666666666668</v>
      </c>
      <c r="N105" s="382"/>
    </row>
    <row r="106" spans="1:14" s="442" customFormat="1" ht="27.75">
      <c r="A106" s="1554" t="s">
        <v>76</v>
      </c>
      <c r="B106" s="1555"/>
      <c r="C106" s="1136"/>
      <c r="D106" s="622" t="s">
        <v>142</v>
      </c>
      <c r="E106" s="532">
        <f>'5'!F106</f>
        <v>36207</v>
      </c>
      <c r="F106" s="659">
        <v>36207</v>
      </c>
      <c r="G106" s="532">
        <f t="shared" ref="G106" si="11">F106-E106</f>
        <v>0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532">
        <f>'5'!F107</f>
        <v>19843</v>
      </c>
      <c r="F107" s="658">
        <v>19843</v>
      </c>
      <c r="G107" s="532">
        <f>F107-E107</f>
        <v>0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56" t="s">
        <v>200</v>
      </c>
      <c r="B108" s="1557"/>
      <c r="C108" s="1136"/>
      <c r="D108" s="622"/>
      <c r="E108" s="532"/>
      <c r="F108" s="658"/>
      <c r="G108" s="532">
        <f>SUM(G105:G107)</f>
        <v>30</v>
      </c>
      <c r="H108" s="460">
        <f>G108+'5'!H108</f>
        <v>196</v>
      </c>
      <c r="I108" s="532"/>
      <c r="J108" s="558">
        <f>H108/DAY(B2)</f>
        <v>32.666666666666664</v>
      </c>
      <c r="N108" s="382"/>
    </row>
    <row r="109" spans="1:14" s="442" customFormat="1" ht="27.75">
      <c r="A109" s="1560" t="s">
        <v>78</v>
      </c>
      <c r="B109" s="1561"/>
      <c r="C109" s="1136"/>
      <c r="D109" s="622" t="s">
        <v>142</v>
      </c>
      <c r="E109" s="532"/>
      <c r="F109" s="658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54" t="s">
        <v>218</v>
      </c>
      <c r="B110" s="1555"/>
      <c r="C110" s="1136"/>
      <c r="D110" s="622" t="s">
        <v>142</v>
      </c>
      <c r="E110" s="532">
        <f>'5'!F110</f>
        <v>65255</v>
      </c>
      <c r="F110" s="658">
        <v>65320</v>
      </c>
      <c r="G110" s="532">
        <f>F110-E110</f>
        <v>65</v>
      </c>
      <c r="H110" s="460">
        <f>G110+'5'!H110</f>
        <v>477</v>
      </c>
      <c r="I110" s="532"/>
      <c r="J110" s="558">
        <f>H110/DAY(B2)</f>
        <v>79.5</v>
      </c>
      <c r="N110" s="382"/>
    </row>
    <row r="111" spans="1:14" s="442" customFormat="1" ht="27.75">
      <c r="A111" s="1554" t="s">
        <v>219</v>
      </c>
      <c r="B111" s="1555"/>
      <c r="C111" s="1136"/>
      <c r="D111" s="622" t="s">
        <v>142</v>
      </c>
      <c r="E111" s="532">
        <f>'5'!F111</f>
        <v>33327</v>
      </c>
      <c r="F111" s="658">
        <v>33349</v>
      </c>
      <c r="G111" s="532">
        <f>F111-E111</f>
        <v>22</v>
      </c>
      <c r="H111" s="460">
        <f>G111+'5'!H111</f>
        <v>220</v>
      </c>
      <c r="I111" s="532"/>
      <c r="J111" s="558">
        <f>H111/DAY(B2)</f>
        <v>36.666666666666664</v>
      </c>
      <c r="N111" s="382"/>
    </row>
    <row r="112" spans="1:14" s="442" customFormat="1" ht="27.75">
      <c r="A112" s="1554" t="s">
        <v>220</v>
      </c>
      <c r="B112" s="1555"/>
      <c r="C112" s="1136"/>
      <c r="D112" s="622" t="s">
        <v>142</v>
      </c>
      <c r="E112" s="532">
        <f>'5'!F112</f>
        <v>4621.3</v>
      </c>
      <c r="F112" s="658">
        <v>4621.3</v>
      </c>
      <c r="G112" s="532">
        <f t="shared" ref="G112" si="12">F112-E112</f>
        <v>0</v>
      </c>
      <c r="H112" s="460">
        <f>G112+'5'!H112</f>
        <v>0.3000000000001819</v>
      </c>
      <c r="I112" s="532"/>
      <c r="J112" s="558">
        <f>H112/DAY(B2)</f>
        <v>5.0000000000030319E-2</v>
      </c>
      <c r="N112" s="382"/>
    </row>
    <row r="113" spans="1:14" s="442" customFormat="1" ht="27.75">
      <c r="A113" s="1556" t="s">
        <v>109</v>
      </c>
      <c r="B113" s="1557"/>
      <c r="C113" s="1136"/>
      <c r="D113" s="622"/>
      <c r="E113" s="532"/>
      <c r="F113" s="658"/>
      <c r="G113" s="532">
        <f>SUM(G110:G112)</f>
        <v>87</v>
      </c>
      <c r="H113" s="460">
        <f>G113+'5'!H113</f>
        <v>697.30000000000018</v>
      </c>
      <c r="I113" s="532"/>
      <c r="J113" s="558">
        <f>H113/DAY(B2)</f>
        <v>116.2166666666667</v>
      </c>
      <c r="N113" s="382"/>
    </row>
    <row r="114" spans="1:14" s="442" customFormat="1" ht="27.75">
      <c r="A114" s="1560" t="s">
        <v>221</v>
      </c>
      <c r="B114" s="1561"/>
      <c r="C114" s="1136"/>
      <c r="D114" s="622"/>
      <c r="E114" s="532"/>
      <c r="F114" s="658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532">
        <f>'5'!F115</f>
        <v>12080</v>
      </c>
      <c r="F115" s="659">
        <v>12091</v>
      </c>
      <c r="G115" s="534">
        <f>F115-E115</f>
        <v>11</v>
      </c>
      <c r="H115" s="460">
        <f>G115+'5'!H115</f>
        <v>78</v>
      </c>
      <c r="I115" s="532"/>
      <c r="J115" s="558">
        <f>H115/DAY(B2)</f>
        <v>13</v>
      </c>
      <c r="N115" s="382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532">
        <f>'5'!F116</f>
        <v>8586</v>
      </c>
      <c r="F116" s="659">
        <v>8591</v>
      </c>
      <c r="G116" s="534">
        <f t="shared" ref="G116:G117" si="13">F116-E116</f>
        <v>5</v>
      </c>
      <c r="H116" s="460">
        <f>G116+'5'!H116</f>
        <v>36</v>
      </c>
      <c r="I116" s="532"/>
      <c r="J116" s="558">
        <f>H116/DAY(B2)</f>
        <v>6</v>
      </c>
      <c r="N116" s="382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16</v>
      </c>
      <c r="H118" s="460">
        <f>G118+'5'!H118</f>
        <v>114</v>
      </c>
      <c r="I118" s="534"/>
      <c r="J118" s="558">
        <f>H118/DAY(B2)</f>
        <v>19</v>
      </c>
      <c r="N118" s="382"/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103</v>
      </c>
      <c r="G119" s="536">
        <f>SUM(G19+G93)</f>
        <v>103</v>
      </c>
      <c r="H119" s="460">
        <f>G119+'5'!H119</f>
        <v>1012</v>
      </c>
      <c r="I119" s="535"/>
      <c r="J119" s="559">
        <f>H119/DAY(B2)</f>
        <v>168.66666666666666</v>
      </c>
      <c r="N119" s="382"/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110</v>
      </c>
      <c r="G120" s="536">
        <f>SUM(G96,G97,G98,G100,G101)</f>
        <v>110</v>
      </c>
      <c r="H120" s="460">
        <f>G120+'5'!H120</f>
        <v>985</v>
      </c>
      <c r="I120" s="535"/>
      <c r="J120" s="559">
        <f>H120/DAY(B2)</f>
        <v>164.16666666666666</v>
      </c>
      <c r="N120" s="382"/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87</v>
      </c>
      <c r="G121" s="534">
        <f>SUM(G113)</f>
        <v>87</v>
      </c>
      <c r="H121" s="460">
        <f>G121+'5'!H121</f>
        <v>697.30000000000018</v>
      </c>
      <c r="I121" s="535"/>
      <c r="J121" s="559">
        <f>H121/DAY(B2)</f>
        <v>116.2166666666667</v>
      </c>
      <c r="N121" s="382"/>
    </row>
    <row r="122" spans="1:14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7" t="s">
        <v>229</v>
      </c>
      <c r="B124" s="1138"/>
      <c r="C124" s="1138"/>
      <c r="D124" s="523" t="s">
        <v>139</v>
      </c>
      <c r="E124" s="478">
        <f>'5'!F124</f>
        <v>841094.02</v>
      </c>
      <c r="F124" s="478">
        <v>841355.86</v>
      </c>
      <c r="G124" s="473">
        <f t="shared" ref="G124:G128" si="14">F124-E124</f>
        <v>261.8399999999674</v>
      </c>
      <c r="H124" s="460">
        <f>G124+'5'!H124</f>
        <v>1685.859999999986</v>
      </c>
      <c r="I124" s="526"/>
      <c r="J124" s="552">
        <f>H124/DAY(B2)</f>
        <v>280.97666666666436</v>
      </c>
      <c r="K124" s="380"/>
      <c r="L124" s="377"/>
      <c r="N124" s="382"/>
    </row>
    <row r="125" spans="1:14" ht="27.75">
      <c r="A125" s="1137" t="s">
        <v>230</v>
      </c>
      <c r="B125" s="1138"/>
      <c r="C125" s="1138"/>
      <c r="D125" s="523" t="s">
        <v>139</v>
      </c>
      <c r="E125" s="626">
        <f>'5'!F125</f>
        <v>73583.399999999994</v>
      </c>
      <c r="F125" s="626">
        <v>73583.399999999994</v>
      </c>
      <c r="G125" s="473">
        <f t="shared" si="14"/>
        <v>0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3" t="s">
        <v>231</v>
      </c>
      <c r="B126" s="1544"/>
      <c r="C126" s="1545"/>
      <c r="D126" s="523" t="s">
        <v>139</v>
      </c>
      <c r="E126" s="478">
        <f>'5'!F126</f>
        <v>149008.78</v>
      </c>
      <c r="F126" s="478">
        <v>149075.91</v>
      </c>
      <c r="G126" s="473">
        <f t="shared" si="14"/>
        <v>67.130000000004657</v>
      </c>
      <c r="H126" s="460">
        <f>G126+'5'!H126</f>
        <v>478.91000000000349</v>
      </c>
      <c r="I126" s="526"/>
      <c r="J126" s="552">
        <f>H126/DAY(B2)</f>
        <v>79.818333333333911</v>
      </c>
      <c r="K126" s="380"/>
      <c r="L126" s="377"/>
      <c r="N126" s="382"/>
    </row>
    <row r="127" spans="1:14" ht="27.75">
      <c r="A127" s="609" t="s">
        <v>232</v>
      </c>
      <c r="B127" s="1138"/>
      <c r="C127" s="1138"/>
      <c r="D127" s="523" t="s">
        <v>139</v>
      </c>
      <c r="E127" s="626">
        <f>'5'!F127</f>
        <v>32246.6</v>
      </c>
      <c r="F127" s="626">
        <v>32281.8</v>
      </c>
      <c r="G127" s="473">
        <f t="shared" si="14"/>
        <v>35.200000000000728</v>
      </c>
      <c r="H127" s="460">
        <f>G127+'5'!H127</f>
        <v>210.79999999999927</v>
      </c>
      <c r="I127" s="526"/>
      <c r="J127" s="552">
        <f>H127/DAY(B2)</f>
        <v>35.133333333333212</v>
      </c>
      <c r="K127" s="380"/>
      <c r="L127" s="377"/>
      <c r="N127" s="382"/>
    </row>
    <row r="128" spans="1:14" ht="27.75">
      <c r="A128" s="609" t="s">
        <v>233</v>
      </c>
      <c r="B128" s="1138"/>
      <c r="C128" s="1138"/>
      <c r="D128" s="523" t="s">
        <v>139</v>
      </c>
      <c r="E128" s="626">
        <f>'5'!F128</f>
        <v>9026.7999999999993</v>
      </c>
      <c r="F128" s="626">
        <v>9027.7999999999993</v>
      </c>
      <c r="G128" s="473">
        <f t="shared" si="14"/>
        <v>1</v>
      </c>
      <c r="H128" s="460">
        <f>G128+'5'!H128</f>
        <v>15.799999999999272</v>
      </c>
      <c r="I128" s="480"/>
      <c r="J128" s="552">
        <f>H128/DAY(B2)</f>
        <v>2.6333333333332121</v>
      </c>
      <c r="K128" s="380"/>
      <c r="L128" s="377"/>
      <c r="N128" s="382"/>
    </row>
    <row r="129" spans="1:14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65.789999999989959</v>
      </c>
      <c r="H129" s="460">
        <f>G129+'5'!H129</f>
        <v>2121.0499999999374</v>
      </c>
      <c r="I129" s="480"/>
      <c r="J129" s="552">
        <f>H129/DAY(B2)</f>
        <v>353.50833333332292</v>
      </c>
      <c r="K129" s="364"/>
      <c r="L129" s="292"/>
      <c r="N129" s="382"/>
    </row>
    <row r="130" spans="1:14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37" t="s">
        <v>238</v>
      </c>
      <c r="B132" s="1138"/>
      <c r="C132" s="1138"/>
      <c r="D132" s="523" t="s">
        <v>237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37" t="s">
        <v>239</v>
      </c>
      <c r="B133" s="1138"/>
      <c r="C133" s="1138"/>
      <c r="D133" s="523" t="s">
        <v>237</v>
      </c>
      <c r="E133" s="484">
        <f>'5'!F133</f>
        <v>40554.800000000003</v>
      </c>
      <c r="F133" s="626">
        <v>40559</v>
      </c>
      <c r="G133" s="473">
        <f t="shared" si="15"/>
        <v>4.1999999999970896</v>
      </c>
      <c r="H133" s="460">
        <f>G133+'5'!H133</f>
        <v>106</v>
      </c>
      <c r="I133" s="480"/>
      <c r="J133" s="552">
        <f>H133/DAY(B2)</f>
        <v>17.666666666666668</v>
      </c>
      <c r="N133" s="382"/>
    </row>
    <row r="134" spans="1:14" ht="27.75">
      <c r="A134" s="1137" t="s">
        <v>240</v>
      </c>
      <c r="B134" s="1138"/>
      <c r="C134" s="1138"/>
      <c r="D134" s="523" t="s">
        <v>237</v>
      </c>
      <c r="E134" s="484">
        <f>'5'!F134</f>
        <v>300</v>
      </c>
      <c r="F134" s="626">
        <v>300.19</v>
      </c>
      <c r="G134" s="473">
        <f t="shared" si="15"/>
        <v>0.18999999999999773</v>
      </c>
      <c r="H134" s="460">
        <f>G134+'5'!H134</f>
        <v>0.18999999999999773</v>
      </c>
      <c r="I134" s="480">
        <f>G133+G134+G135+G136</f>
        <v>23.039999999998543</v>
      </c>
      <c r="J134" s="552">
        <f>H134/DAY(B2)</f>
        <v>3.1666666666666288E-2</v>
      </c>
      <c r="N134" s="382"/>
    </row>
    <row r="135" spans="1:14" ht="27.75">
      <c r="A135" s="1137" t="s">
        <v>241</v>
      </c>
      <c r="B135" s="1138"/>
      <c r="C135" s="1138"/>
      <c r="D135" s="523" t="s">
        <v>237</v>
      </c>
      <c r="E135" s="701">
        <f>'5'!F135</f>
        <v>42023.5</v>
      </c>
      <c r="F135" s="626">
        <v>42042.15</v>
      </c>
      <c r="G135" s="473">
        <f t="shared" si="15"/>
        <v>18.650000000001455</v>
      </c>
      <c r="H135" s="460">
        <f>G135+'5'!H135</f>
        <v>70.150000000001455</v>
      </c>
      <c r="I135" s="480"/>
      <c r="J135" s="552">
        <f>H135/DAY(B2)</f>
        <v>11.69166666666691</v>
      </c>
      <c r="N135" s="382"/>
    </row>
    <row r="136" spans="1:14" ht="27.75">
      <c r="A136" s="1137" t="s">
        <v>242</v>
      </c>
      <c r="B136" s="1138"/>
      <c r="C136" s="1138"/>
      <c r="D136" s="523" t="s">
        <v>237</v>
      </c>
      <c r="E136" s="522">
        <f>'5'!F136</f>
        <v>32874</v>
      </c>
      <c r="F136" s="485">
        <v>32874</v>
      </c>
      <c r="G136" s="473">
        <f t="shared" si="15"/>
        <v>0</v>
      </c>
      <c r="H136" s="460">
        <f>G136+'5'!H136</f>
        <v>0</v>
      </c>
      <c r="I136" s="480"/>
      <c r="J136" s="552">
        <f>H136/DAY(B2)</f>
        <v>0</v>
      </c>
      <c r="N136" s="382"/>
    </row>
    <row r="137" spans="1:14" ht="27.75">
      <c r="A137" s="1137" t="s">
        <v>243</v>
      </c>
      <c r="B137" s="1138"/>
      <c r="C137" s="1138"/>
      <c r="D137" s="523" t="s">
        <v>237</v>
      </c>
      <c r="E137" s="541">
        <f>'5'!F137</f>
        <v>22925</v>
      </c>
      <c r="F137" s="651">
        <v>22925.1</v>
      </c>
      <c r="G137" s="473">
        <f t="shared" si="15"/>
        <v>9.9999999998544808E-2</v>
      </c>
      <c r="H137" s="460">
        <f>G137+'5'!H137</f>
        <v>33.609999999996944</v>
      </c>
      <c r="I137" s="480">
        <f>G137+G138+G139</f>
        <v>9.9999999998544808E-2</v>
      </c>
      <c r="J137" s="552">
        <f>H137/DAY(B2)</f>
        <v>5.6016666666661576</v>
      </c>
      <c r="N137" s="382"/>
    </row>
    <row r="138" spans="1:14" ht="27.75">
      <c r="A138" s="1137" t="s">
        <v>244</v>
      </c>
      <c r="B138" s="1138"/>
      <c r="C138" s="1138"/>
      <c r="D138" s="523" t="s">
        <v>237</v>
      </c>
      <c r="E138" s="541">
        <f>'5'!F138</f>
        <v>25095.02</v>
      </c>
      <c r="F138" s="651">
        <v>25095.02</v>
      </c>
      <c r="G138" s="473">
        <f t="shared" si="15"/>
        <v>0</v>
      </c>
      <c r="H138" s="460">
        <f>G138+'5'!H138</f>
        <v>3.6300000000010186</v>
      </c>
      <c r="I138" s="480"/>
      <c r="J138" s="552">
        <f>H138/DAY(B2)</f>
        <v>0.60500000000016974</v>
      </c>
      <c r="N138" s="382"/>
    </row>
    <row r="139" spans="1:14" ht="27.75">
      <c r="A139" s="1137" t="s">
        <v>245</v>
      </c>
      <c r="B139" s="1138"/>
      <c r="C139" s="1138"/>
      <c r="D139" s="523" t="s">
        <v>237</v>
      </c>
      <c r="E139" s="541">
        <f>'5'!F139</f>
        <v>70514.289999999994</v>
      </c>
      <c r="F139" s="651">
        <v>70514.289999999994</v>
      </c>
      <c r="G139" s="473">
        <f t="shared" si="15"/>
        <v>0</v>
      </c>
      <c r="H139" s="460">
        <f>G139+'5'!H139</f>
        <v>0.66999999999825377</v>
      </c>
      <c r="I139" s="480"/>
      <c r="J139" s="552">
        <f>H139/DAY(B2)</f>
        <v>0.11166666666637563</v>
      </c>
      <c r="N139" s="382"/>
    </row>
    <row r="140" spans="1:14" ht="27.75">
      <c r="A140" s="1137" t="s">
        <v>246</v>
      </c>
      <c r="B140" s="1138"/>
      <c r="C140" s="1138"/>
      <c r="D140" s="523" t="s">
        <v>237</v>
      </c>
      <c r="E140" s="701">
        <f>'5'!F140</f>
        <v>2181.84</v>
      </c>
      <c r="F140" s="626">
        <v>2191.73</v>
      </c>
      <c r="G140" s="473">
        <f t="shared" si="15"/>
        <v>9.8899999999998727</v>
      </c>
      <c r="H140" s="460">
        <f>G140+'5'!H140</f>
        <v>62.550000000000182</v>
      </c>
      <c r="I140" s="542">
        <f>G141+G1279</f>
        <v>0</v>
      </c>
      <c r="J140" s="552">
        <f>H140/DAY(B2)</f>
        <v>10.425000000000031</v>
      </c>
      <c r="N140" s="382"/>
    </row>
    <row r="141" spans="1:14" ht="27.75">
      <c r="A141" s="1137" t="s">
        <v>247</v>
      </c>
      <c r="B141" s="1138"/>
      <c r="C141" s="1138"/>
      <c r="D141" s="523" t="s">
        <v>237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5371.1000000000931</v>
      </c>
      <c r="H143" s="460">
        <f>G143+'5'!H143</f>
        <v>32949.630000000005</v>
      </c>
      <c r="I143" s="480"/>
      <c r="J143" s="552">
        <f>H143/DAY(B2)</f>
        <v>5491.6050000000005</v>
      </c>
      <c r="K143" s="380"/>
      <c r="L143" s="377"/>
      <c r="N143" s="382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0.27184555451462694</v>
      </c>
      <c r="H144" s="460">
        <f>G144+'5'!H144</f>
        <v>1.5421030920349534</v>
      </c>
      <c r="I144" s="544"/>
      <c r="J144" s="552">
        <f>H144/DAY(B2)</f>
        <v>0.25701718200582557</v>
      </c>
      <c r="K144" s="380"/>
      <c r="L144" s="377"/>
      <c r="N144" s="382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5789.6300000000192</v>
      </c>
      <c r="H145" s="460">
        <f>G145+'5'!H145</f>
        <v>40199.190000000061</v>
      </c>
      <c r="I145" s="480"/>
      <c r="J145" s="552">
        <f>H145/DAY(B2)</f>
        <v>6699.8650000000098</v>
      </c>
      <c r="K145" s="380"/>
      <c r="L145" s="377"/>
      <c r="N145" s="382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0.29302846303075675</v>
      </c>
      <c r="H146" s="460">
        <f>G146+'5'!H146</f>
        <v>1.8752676507308117</v>
      </c>
      <c r="I146" s="544"/>
      <c r="J146" s="552">
        <f>H146/DAY(B2)</f>
        <v>0.31254460845513526</v>
      </c>
      <c r="K146" s="380"/>
      <c r="L146" s="377"/>
      <c r="N146" s="382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3628.7599999999511</v>
      </c>
      <c r="H147" s="460">
        <f>G147+'5'!H147</f>
        <v>22361.059999999998</v>
      </c>
      <c r="I147" s="545"/>
      <c r="J147" s="552">
        <f>H147/DAY(B2)</f>
        <v>3726.8433333333328</v>
      </c>
      <c r="K147" s="380"/>
      <c r="L147" s="377"/>
      <c r="N147" s="382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0.18366112610088572</v>
      </c>
      <c r="H148" s="460">
        <f>G148+'5'!H148</f>
        <v>1.0465276038310534</v>
      </c>
      <c r="I148" s="545"/>
      <c r="J148" s="552">
        <f>H148/DAY(B2)</f>
        <v>0.17442126730517557</v>
      </c>
      <c r="N148" s="382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1382.5</v>
      </c>
      <c r="H149" s="460">
        <f>G149+'5'!H149</f>
        <v>9709.9599999999627</v>
      </c>
      <c r="I149" s="480"/>
      <c r="J149" s="552">
        <f>H149/DAY(B2)</f>
        <v>1618.3266666666605</v>
      </c>
      <c r="K149" s="381"/>
      <c r="N149" s="382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6.9971975780839163E-2</v>
      </c>
      <c r="H150" s="460">
        <f>G150+'5'!H150</f>
        <v>0.45325687309946894</v>
      </c>
      <c r="I150" s="545"/>
      <c r="J150" s="552">
        <f>H150/DAY(B2)</f>
        <v>7.5542812183244823E-2</v>
      </c>
      <c r="N150" s="382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1686.8100000000195</v>
      </c>
      <c r="H151" s="460">
        <f>G151+'5'!H151</f>
        <v>11292.290000000023</v>
      </c>
      <c r="I151" s="545"/>
      <c r="J151" s="552">
        <f>H151/DAY(B2)</f>
        <v>1882.048333333337</v>
      </c>
      <c r="N151" s="382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8.5373908475138288E-2</v>
      </c>
      <c r="H152" s="460">
        <f>G152+'5'!H152</f>
        <v>0.52651293301245705</v>
      </c>
      <c r="I152" s="480"/>
      <c r="J152" s="552">
        <f>H152/DAY(B2)</f>
        <v>8.7752155502076171E-2</v>
      </c>
      <c r="N152" s="382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1525.2599999999802</v>
      </c>
      <c r="H153" s="460">
        <f>G153+'5'!H153</f>
        <v>8967.9199999999837</v>
      </c>
      <c r="I153" s="480"/>
      <c r="J153" s="552">
        <f>H153/DAY(B2)</f>
        <v>1494.6533333333307</v>
      </c>
      <c r="N153" s="382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7.7197436368521777E-2</v>
      </c>
      <c r="H154" s="460">
        <f>G154+'5'!H154</f>
        <v>0.41996236785036084</v>
      </c>
      <c r="I154" s="568"/>
      <c r="J154" s="569">
        <f>H154/DAY(B2)</f>
        <v>6.9993727975060135E-2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261</v>
      </c>
      <c r="B161" s="785"/>
      <c r="C161" s="785"/>
      <c r="D161" s="511" t="s">
        <v>185</v>
      </c>
      <c r="E161" s="484">
        <f>'5'!F161</f>
        <v>41245.43</v>
      </c>
      <c r="F161" s="658">
        <v>41327.269999999997</v>
      </c>
      <c r="G161" s="473">
        <f t="shared" ref="G161:G175" si="16">F161-E161</f>
        <v>81.839999999996508</v>
      </c>
    </row>
    <row r="162" spans="1:7">
      <c r="A162" s="784" t="s">
        <v>262</v>
      </c>
      <c r="B162" s="785"/>
      <c r="C162" s="785"/>
      <c r="D162" s="511" t="s">
        <v>185</v>
      </c>
      <c r="E162" s="484">
        <f>'5'!F162</f>
        <v>110057.72</v>
      </c>
      <c r="F162" s="658">
        <v>110516.26</v>
      </c>
      <c r="G162" s="473">
        <f t="shared" si="16"/>
        <v>458.5399999999936</v>
      </c>
    </row>
    <row r="163" spans="1:7">
      <c r="A163" s="784" t="s">
        <v>263</v>
      </c>
      <c r="B163" s="785"/>
      <c r="C163" s="785"/>
      <c r="D163" s="511" t="s">
        <v>185</v>
      </c>
      <c r="E163" s="484">
        <f>'5'!F163</f>
        <v>62260.43</v>
      </c>
      <c r="F163" s="658">
        <v>62472.43</v>
      </c>
      <c r="G163" s="473">
        <f t="shared" si="16"/>
        <v>212</v>
      </c>
    </row>
    <row r="164" spans="1:7">
      <c r="A164" s="784" t="s">
        <v>264</v>
      </c>
      <c r="B164" s="785"/>
      <c r="C164" s="785"/>
      <c r="D164" s="511" t="s">
        <v>185</v>
      </c>
      <c r="E164" s="484">
        <f>'5'!F164</f>
        <v>6894.89</v>
      </c>
      <c r="F164" s="658">
        <v>6901.57</v>
      </c>
      <c r="G164" s="473">
        <f t="shared" si="16"/>
        <v>6.6799999999993815</v>
      </c>
    </row>
    <row r="165" spans="1:7">
      <c r="A165" s="786" t="s">
        <v>97</v>
      </c>
      <c r="B165" s="604"/>
      <c r="C165" s="604"/>
      <c r="D165" s="511" t="s">
        <v>185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6" t="s">
        <v>186</v>
      </c>
      <c r="B166" s="604"/>
      <c r="C166" s="604"/>
      <c r="D166" s="511" t="s">
        <v>185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49" t="s">
        <v>98</v>
      </c>
      <c r="B167" s="1549"/>
      <c r="C167" s="1549"/>
      <c r="D167" s="523" t="s">
        <v>185</v>
      </c>
      <c r="E167" s="514">
        <f t="shared" si="17"/>
        <v>171890.25</v>
      </c>
      <c r="F167" s="514">
        <f t="shared" si="18"/>
        <v>172289.81</v>
      </c>
      <c r="G167" s="473">
        <f t="shared" si="16"/>
        <v>399.55999999999767</v>
      </c>
    </row>
    <row r="168" spans="1:7" ht="27.75">
      <c r="A168" s="1549" t="s">
        <v>99</v>
      </c>
      <c r="B168" s="1549"/>
      <c r="C168" s="1549"/>
      <c r="D168" s="523" t="s">
        <v>185</v>
      </c>
      <c r="E168" s="514">
        <f t="shared" si="17"/>
        <v>172449.67</v>
      </c>
      <c r="F168" s="514">
        <f t="shared" si="18"/>
        <v>172711.63</v>
      </c>
      <c r="G168" s="473">
        <f t="shared" si="16"/>
        <v>261.95999999999185</v>
      </c>
    </row>
    <row r="169" spans="1:7" ht="27.75">
      <c r="A169" s="1549" t="s">
        <v>100</v>
      </c>
      <c r="B169" s="1549"/>
      <c r="C169" s="1549"/>
      <c r="D169" s="523" t="s">
        <v>185</v>
      </c>
      <c r="E169" s="514">
        <f t="shared" si="17"/>
        <v>70072.7</v>
      </c>
      <c r="F169" s="514">
        <f t="shared" si="18"/>
        <v>70486.509999999995</v>
      </c>
      <c r="G169" s="473">
        <f t="shared" si="16"/>
        <v>413.80999999999767</v>
      </c>
    </row>
    <row r="170" spans="1:7" ht="27.75">
      <c r="A170" s="1549" t="s">
        <v>101</v>
      </c>
      <c r="B170" s="1549"/>
      <c r="C170" s="1549"/>
      <c r="D170" s="523" t="s">
        <v>185</v>
      </c>
      <c r="E170" s="514">
        <f t="shared" si="17"/>
        <v>267354.28999999998</v>
      </c>
      <c r="F170" s="514">
        <f t="shared" si="18"/>
        <v>267883.99</v>
      </c>
      <c r="G170" s="473">
        <f t="shared" si="16"/>
        <v>529.70000000001164</v>
      </c>
    </row>
    <row r="171" spans="1:7" ht="27.75">
      <c r="A171" s="1549" t="s">
        <v>102</v>
      </c>
      <c r="B171" s="1549"/>
      <c r="C171" s="1549"/>
      <c r="D171" s="523" t="s">
        <v>185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514">
        <f t="shared" si="17"/>
        <v>88765.51</v>
      </c>
      <c r="F172" s="514">
        <f t="shared" si="18"/>
        <v>88975.85</v>
      </c>
      <c r="G172" s="473">
        <f t="shared" si="16"/>
        <v>210.34000000001106</v>
      </c>
    </row>
    <row r="173" spans="1:7">
      <c r="A173" s="1590" t="s">
        <v>348</v>
      </c>
      <c r="B173" s="1553"/>
      <c r="C173" s="785"/>
      <c r="D173" s="523" t="s">
        <v>185</v>
      </c>
      <c r="E173" s="484">
        <f>'5'!F173</f>
        <v>19026.7</v>
      </c>
      <c r="F173" s="532">
        <v>19030.7</v>
      </c>
      <c r="G173" s="473">
        <f t="shared" si="16"/>
        <v>4</v>
      </c>
    </row>
    <row r="174" spans="1:7">
      <c r="A174" s="1590" t="s">
        <v>348</v>
      </c>
      <c r="B174" s="1553"/>
      <c r="C174" s="785"/>
      <c r="D174" s="523" t="s">
        <v>185</v>
      </c>
      <c r="E174" s="484">
        <f>'5'!F174</f>
        <v>70367.100000000006</v>
      </c>
      <c r="F174" s="532">
        <v>70373.2</v>
      </c>
      <c r="G174" s="473">
        <f t="shared" si="16"/>
        <v>6.0999999999912689</v>
      </c>
    </row>
    <row r="175" spans="1:7">
      <c r="A175" s="1590" t="s">
        <v>349</v>
      </c>
      <c r="B175" s="1553"/>
      <c r="C175" s="785"/>
      <c r="D175" s="523" t="s">
        <v>185</v>
      </c>
      <c r="E175" s="484">
        <f>'5'!F175</f>
        <v>27650.400000000001</v>
      </c>
      <c r="F175" s="532">
        <v>27654.5</v>
      </c>
      <c r="G175" s="473">
        <f t="shared" si="16"/>
        <v>4.0999999999985448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70" zoomScale="55" zoomScaleNormal="77" zoomScaleSheetLayoutView="55" workbookViewId="0">
      <selection activeCell="F82" sqref="F8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351</v>
      </c>
      <c r="B2" s="1031">
        <v>44384</v>
      </c>
      <c r="C2" s="1139" t="s">
        <v>68</v>
      </c>
      <c r="D2" s="611">
        <v>0.53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6" s="281" customFormat="1" ht="27">
      <c r="A3" s="570"/>
      <c r="B3" s="614"/>
      <c r="C3" s="1139" t="s">
        <v>118</v>
      </c>
      <c r="D3" s="612">
        <v>33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39" t="s">
        <v>120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121</v>
      </c>
      <c r="B5" s="459"/>
      <c r="C5" s="459"/>
      <c r="D5" s="511" t="s">
        <v>213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'6'!F7</f>
        <v>50366.35</v>
      </c>
      <c r="F7" s="455">
        <v>72175.240000000005</v>
      </c>
      <c r="G7" s="689">
        <f t="shared" ref="G7:G12" si="0">F7-E7</f>
        <v>21808.890000000007</v>
      </c>
      <c r="H7" s="679">
        <f>G7+'6'!H7</f>
        <v>150222.24000000005</v>
      </c>
      <c r="I7" s="680">
        <f>'1'!I7</f>
        <v>12000</v>
      </c>
      <c r="J7" s="681">
        <f>H7/DAY(B2)</f>
        <v>21460.320000000007</v>
      </c>
      <c r="K7" s="549"/>
      <c r="L7" s="377"/>
      <c r="N7" s="708"/>
      <c r="P7" s="376" t="s">
        <v>213</v>
      </c>
    </row>
    <row r="8" spans="1:16" ht="27.75" thickBot="1">
      <c r="A8" s="682" t="s">
        <v>131</v>
      </c>
      <c r="B8" s="683"/>
      <c r="C8" s="684"/>
      <c r="D8" s="685" t="s">
        <v>25</v>
      </c>
      <c r="E8" s="633">
        <f>'6'!F8</f>
        <v>55818.84</v>
      </c>
      <c r="F8" s="475">
        <v>77732.62</v>
      </c>
      <c r="G8" s="689">
        <f t="shared" si="0"/>
        <v>21913.78</v>
      </c>
      <c r="H8" s="679">
        <f>G8+'6'!H8</f>
        <v>151010.61999999997</v>
      </c>
      <c r="I8" s="686">
        <v>12000</v>
      </c>
      <c r="J8" s="681">
        <f>H8/DAY(B2)</f>
        <v>21572.94571428571</v>
      </c>
      <c r="K8" s="549"/>
      <c r="L8" s="425"/>
      <c r="M8" s="440"/>
      <c r="N8" s="703"/>
    </row>
    <row r="9" spans="1:16">
      <c r="A9" s="687" t="s">
        <v>132</v>
      </c>
      <c r="B9" s="688"/>
      <c r="C9" s="688"/>
      <c r="D9" s="637" t="s">
        <v>130</v>
      </c>
      <c r="E9" s="633">
        <f>'6'!F9</f>
        <v>2157145.2999999998</v>
      </c>
      <c r="F9" s="478">
        <v>2178263.2999999998</v>
      </c>
      <c r="G9" s="689">
        <f t="shared" si="0"/>
        <v>21118</v>
      </c>
      <c r="H9" s="679">
        <f>G9+'6'!H9</f>
        <v>147261.29999999981</v>
      </c>
      <c r="I9" s="690">
        <f>I8-J8</f>
        <v>-9572.94571428571</v>
      </c>
      <c r="J9" s="681">
        <f>H9/DAY(B2)</f>
        <v>21037.328571428545</v>
      </c>
      <c r="K9" s="428"/>
      <c r="L9" s="377"/>
      <c r="N9" s="382"/>
    </row>
    <row r="10" spans="1:16">
      <c r="A10" s="676" t="s">
        <v>133</v>
      </c>
      <c r="B10" s="677"/>
      <c r="C10" s="677"/>
      <c r="D10" s="637" t="s">
        <v>130</v>
      </c>
      <c r="E10" s="633">
        <f>'6'!F10</f>
        <v>2606.5500000000002</v>
      </c>
      <c r="F10" s="478">
        <v>2606.5500000000002</v>
      </c>
      <c r="G10" s="689">
        <f t="shared" si="0"/>
        <v>0</v>
      </c>
      <c r="H10" s="679">
        <f>G10+'6'!H10</f>
        <v>0</v>
      </c>
      <c r="I10" s="691"/>
      <c r="J10" s="681">
        <f>H10/DAY(B2)</f>
        <v>0</v>
      </c>
      <c r="K10" s="428"/>
      <c r="L10" s="377"/>
      <c r="N10" s="382"/>
    </row>
    <row r="11" spans="1:16">
      <c r="A11" s="676" t="s">
        <v>134</v>
      </c>
      <c r="B11" s="677"/>
      <c r="C11" s="677"/>
      <c r="D11" s="637" t="s">
        <v>130</v>
      </c>
      <c r="E11" s="633">
        <f>'6'!F11</f>
        <v>37000</v>
      </c>
      <c r="F11" s="455">
        <v>37000</v>
      </c>
      <c r="G11" s="689">
        <f t="shared" si="0"/>
        <v>0</v>
      </c>
      <c r="H11" s="679">
        <f>G11+'6'!H11</f>
        <v>0</v>
      </c>
      <c r="I11" s="691"/>
      <c r="J11" s="681">
        <f>H11/DAY(B2)</f>
        <v>0</v>
      </c>
      <c r="K11" s="428"/>
      <c r="L11" s="377"/>
      <c r="N11" s="382"/>
    </row>
    <row r="12" spans="1:16">
      <c r="A12" s="676" t="s">
        <v>135</v>
      </c>
      <c r="B12" s="677"/>
      <c r="C12" s="677"/>
      <c r="D12" s="637" t="s">
        <v>130</v>
      </c>
      <c r="E12" s="633">
        <f>'6'!F12</f>
        <v>40010</v>
      </c>
      <c r="F12" s="478">
        <v>40010</v>
      </c>
      <c r="G12" s="689">
        <f t="shared" si="0"/>
        <v>0</v>
      </c>
      <c r="H12" s="679">
        <f>G12+'6'!H12</f>
        <v>0</v>
      </c>
      <c r="I12" s="691"/>
      <c r="J12" s="681">
        <f>H12/DAY(B2)</f>
        <v>0</v>
      </c>
      <c r="K12" s="428"/>
      <c r="L12" s="377"/>
      <c r="N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21118</v>
      </c>
      <c r="H13" s="679">
        <f>G13+'6'!H13</f>
        <v>147261.29999999981</v>
      </c>
      <c r="I13" s="695">
        <f>G7-G13</f>
        <v>690.89000000000669</v>
      </c>
      <c r="J13" s="681">
        <f>H13/DAY(B2)</f>
        <v>21037.328571428545</v>
      </c>
      <c r="K13" s="428"/>
      <c r="L13" s="377"/>
      <c r="N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2" t="s">
        <v>138</v>
      </c>
      <c r="B15" s="793"/>
      <c r="C15" s="793"/>
      <c r="D15" s="524" t="s">
        <v>139</v>
      </c>
      <c r="E15" s="485">
        <f>'6'!F15</f>
        <v>1708195.42</v>
      </c>
      <c r="F15" s="485">
        <v>1709045.61</v>
      </c>
      <c r="G15" s="664">
        <f>(F15-E15)</f>
        <v>850.19000000017695</v>
      </c>
      <c r="H15" s="486">
        <f>G15+'6'!H15</f>
        <v>5362.6100000001024</v>
      </c>
      <c r="I15" s="1063">
        <v>800</v>
      </c>
      <c r="J15" s="553">
        <f>H15/DAY(B2)</f>
        <v>766.08714285715746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33.91285714284254</v>
      </c>
      <c r="J16" s="553"/>
      <c r="K16" s="428"/>
      <c r="L16" s="377"/>
      <c r="N16" s="382"/>
    </row>
    <row r="17" spans="1:14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10" t="s">
        <v>141</v>
      </c>
      <c r="B18" s="1611"/>
      <c r="C18" s="1612"/>
      <c r="D18" s="637" t="s">
        <v>142</v>
      </c>
      <c r="E18" s="634">
        <f>'6'!F18</f>
        <v>9</v>
      </c>
      <c r="F18" s="478">
        <v>11</v>
      </c>
      <c r="G18" s="694">
        <f>F18*10</f>
        <v>110</v>
      </c>
      <c r="H18" s="679">
        <f>G18+'6'!H18</f>
        <v>930</v>
      </c>
      <c r="I18" s="680">
        <f>'1'!I18</f>
        <v>65</v>
      </c>
      <c r="J18" s="681">
        <f>H18/DAY(B2)</f>
        <v>132.85714285714286</v>
      </c>
      <c r="K18" s="428"/>
      <c r="L18" s="377"/>
      <c r="N18" s="382"/>
    </row>
    <row r="19" spans="1:14" ht="27.75">
      <c r="A19" s="1610" t="s">
        <v>70</v>
      </c>
      <c r="B19" s="1611"/>
      <c r="C19" s="1612"/>
      <c r="D19" s="637" t="s">
        <v>142</v>
      </c>
      <c r="E19" s="634">
        <f>'6'!F19</f>
        <v>141862</v>
      </c>
      <c r="F19" s="478">
        <v>141920</v>
      </c>
      <c r="G19" s="689">
        <f t="shared" ref="G19" si="1">F19-E19</f>
        <v>58</v>
      </c>
      <c r="H19" s="679">
        <f>G19+'6'!H19</f>
        <v>425</v>
      </c>
      <c r="I19" s="696"/>
      <c r="J19" s="681">
        <f>H19/DAY(B2)</f>
        <v>60.714285714285715</v>
      </c>
      <c r="K19" s="428"/>
      <c r="L19" s="377"/>
      <c r="N19" s="382"/>
    </row>
    <row r="20" spans="1:14">
      <c r="A20" s="692" t="s">
        <v>143</v>
      </c>
      <c r="B20" s="693"/>
      <c r="C20" s="693"/>
      <c r="D20" s="637"/>
      <c r="E20" s="637"/>
      <c r="F20" s="523"/>
      <c r="G20" s="697">
        <f>G18+G19</f>
        <v>168</v>
      </c>
      <c r="H20" s="679">
        <f>G20+'6'!H20</f>
        <v>1355</v>
      </c>
      <c r="I20" s="698">
        <f>I18-J20</f>
        <v>-128.57142857142858</v>
      </c>
      <c r="J20" s="681">
        <f>H20/DAY(B2)</f>
        <v>193.57142857142858</v>
      </c>
      <c r="K20" s="428"/>
      <c r="L20" s="377"/>
      <c r="N20" s="382"/>
    </row>
    <row r="21" spans="1:14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7" t="s">
        <v>145</v>
      </c>
      <c r="B22" s="589"/>
      <c r="C22" s="589"/>
      <c r="D22" s="523" t="s">
        <v>146</v>
      </c>
      <c r="E22" s="634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7" t="s">
        <v>147</v>
      </c>
      <c r="B23" s="589"/>
      <c r="C23" s="589"/>
      <c r="D23" s="523" t="s">
        <v>146</v>
      </c>
      <c r="E23" s="634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148</v>
      </c>
      <c r="B24" s="591"/>
      <c r="C24" s="591"/>
      <c r="D24" s="511" t="s">
        <v>146</v>
      </c>
      <c r="E24" s="634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21913.78</v>
      </c>
      <c r="F27" s="501">
        <v>9</v>
      </c>
      <c r="G27" s="502">
        <f>E27*F27</f>
        <v>197224.02</v>
      </c>
      <c r="H27" s="460">
        <f>G27+'6'!H27</f>
        <v>1359095.5799999998</v>
      </c>
      <c r="I27" s="503"/>
      <c r="J27" s="552">
        <f>H27/DAY(B2)</f>
        <v>194156.51142857139</v>
      </c>
      <c r="K27" s="373"/>
      <c r="L27" s="443"/>
      <c r="N27" s="382"/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850.19000000017695</v>
      </c>
      <c r="F28" s="501">
        <v>52</v>
      </c>
      <c r="G28" s="502">
        <f>E28*F28</f>
        <v>44209.880000009201</v>
      </c>
      <c r="H28" s="460">
        <f>G28+'6'!H28</f>
        <v>278855.72000000533</v>
      </c>
      <c r="I28" s="505"/>
      <c r="J28" s="552">
        <f>H28/DAY(B2)</f>
        <v>39836.531428572191</v>
      </c>
      <c r="K28" s="373"/>
      <c r="L28" s="443"/>
      <c r="N28" s="382"/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58</v>
      </c>
      <c r="F30" s="501">
        <v>146</v>
      </c>
      <c r="G30" s="502">
        <f>E30*F30</f>
        <v>8468</v>
      </c>
      <c r="H30" s="460">
        <f>G30+'6'!H30</f>
        <v>61466</v>
      </c>
      <c r="I30" s="505"/>
      <c r="J30" s="552">
        <f>H30/DAY(B2)</f>
        <v>8780.8571428571431</v>
      </c>
      <c r="K30" s="373"/>
      <c r="L30" s="443"/>
      <c r="N30" s="382"/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110</v>
      </c>
      <c r="F31" s="501">
        <v>80</v>
      </c>
      <c r="G31" s="502">
        <f>E31*F31</f>
        <v>8800</v>
      </c>
      <c r="H31" s="460">
        <f>G31+'6'!H31</f>
        <v>68800</v>
      </c>
      <c r="I31" s="505"/>
      <c r="J31" s="552">
        <f>H31/DAY(B2)</f>
        <v>9828.5714285714294</v>
      </c>
      <c r="K31" s="373"/>
      <c r="L31" s="443"/>
      <c r="N31" s="382"/>
    </row>
    <row r="32" spans="1:14" s="442" customFormat="1" ht="27.75">
      <c r="A32" s="595" t="s">
        <v>159</v>
      </c>
      <c r="B32" s="596"/>
      <c r="C32" s="597"/>
      <c r="D32" s="507"/>
      <c r="E32" s="507"/>
      <c r="F32" s="524"/>
      <c r="G32" s="1052">
        <f>G27+G28+G29+G30+G31</f>
        <v>258701.90000000919</v>
      </c>
      <c r="H32" s="460">
        <f>G32+'6'!H32</f>
        <v>1768217.3000000049</v>
      </c>
      <c r="I32" s="509"/>
      <c r="J32" s="552">
        <f>H32/DAY(B2)</f>
        <v>252602.47142857214</v>
      </c>
      <c r="K32" s="373"/>
      <c r="L32" s="443"/>
      <c r="N32" s="382"/>
    </row>
    <row r="33" spans="1:14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</row>
    <row r="34" spans="1:14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162</v>
      </c>
      <c r="B35" s="579"/>
      <c r="C35" s="579"/>
      <c r="D35" s="523" t="s">
        <v>130</v>
      </c>
      <c r="E35" s="510">
        <f>'6'!F35</f>
        <v>1046170.7</v>
      </c>
      <c r="F35" s="510">
        <v>1049089.8999999999</v>
      </c>
      <c r="G35" s="473">
        <f t="shared" ref="G35:G46" si="3">F35-E35</f>
        <v>2919.1999999999534</v>
      </c>
      <c r="H35" s="460">
        <f>G35+'6'!H35</f>
        <v>20375.899999999907</v>
      </c>
      <c r="I35" s="455"/>
      <c r="J35" s="552">
        <f>H35/DAY(B2)</f>
        <v>2910.842857142844</v>
      </c>
      <c r="K35" s="428"/>
      <c r="L35" s="377"/>
      <c r="N35" s="382"/>
    </row>
    <row r="36" spans="1:14">
      <c r="A36" s="578" t="s">
        <v>163</v>
      </c>
      <c r="B36" s="579"/>
      <c r="C36" s="579"/>
      <c r="D36" s="523" t="s">
        <v>130</v>
      </c>
      <c r="E36" s="510">
        <f>'6'!F36</f>
        <v>25143.14</v>
      </c>
      <c r="F36" s="510">
        <v>25963.99</v>
      </c>
      <c r="G36" s="473">
        <f t="shared" si="3"/>
        <v>820.85000000000218</v>
      </c>
      <c r="H36" s="460">
        <f>G36+'6'!H36</f>
        <v>5502.9900000000016</v>
      </c>
      <c r="I36" s="455"/>
      <c r="J36" s="552">
        <f>H36/DAY(B2)</f>
        <v>786.14142857142883</v>
      </c>
      <c r="K36" s="428"/>
      <c r="L36" s="377"/>
      <c r="N36" s="628"/>
    </row>
    <row r="37" spans="1:14">
      <c r="A37" s="578" t="s">
        <v>164</v>
      </c>
      <c r="B37" s="579"/>
      <c r="C37" s="579"/>
      <c r="D37" s="523" t="s">
        <v>130</v>
      </c>
      <c r="E37" s="510">
        <f>'6'!F37</f>
        <v>185538.05</v>
      </c>
      <c r="F37" s="510">
        <v>187125.79</v>
      </c>
      <c r="G37" s="473">
        <f t="shared" si="3"/>
        <v>1587.7400000000198</v>
      </c>
      <c r="H37" s="460">
        <f>G37+'6'!H37</f>
        <v>10555.790000000008</v>
      </c>
      <c r="I37" s="455"/>
      <c r="J37" s="552">
        <f>H37/DAY(B2)</f>
        <v>1507.9700000000012</v>
      </c>
      <c r="K37" s="428"/>
      <c r="L37" s="377"/>
      <c r="N37" s="629"/>
    </row>
    <row r="38" spans="1:14">
      <c r="A38" s="578" t="s">
        <v>165</v>
      </c>
      <c r="B38" s="579"/>
      <c r="C38" s="579"/>
      <c r="D38" s="523" t="s">
        <v>130</v>
      </c>
      <c r="E38" s="510">
        <f>'6'!F38</f>
        <v>208168.89</v>
      </c>
      <c r="F38" s="469">
        <v>209718.13</v>
      </c>
      <c r="G38" s="473">
        <f t="shared" si="3"/>
        <v>1549.2399999999907</v>
      </c>
      <c r="H38" s="460">
        <f>G38+'6'!H38</f>
        <v>11259.130000000005</v>
      </c>
      <c r="I38" s="455"/>
      <c r="J38" s="552">
        <f>H38/DAY(B2)</f>
        <v>1608.4471428571435</v>
      </c>
      <c r="K38" s="428"/>
      <c r="L38" s="377"/>
      <c r="N38" s="382"/>
    </row>
    <row r="39" spans="1:14">
      <c r="A39" s="578" t="s">
        <v>166</v>
      </c>
      <c r="B39" s="579"/>
      <c r="C39" s="579"/>
      <c r="D39" s="523" t="s">
        <v>130</v>
      </c>
      <c r="E39" s="510">
        <f>'6'!F39</f>
        <v>427225.47</v>
      </c>
      <c r="F39" s="510">
        <v>430828.79</v>
      </c>
      <c r="G39" s="473">
        <f t="shared" si="3"/>
        <v>3603.320000000007</v>
      </c>
      <c r="H39" s="460">
        <f>G39+'6'!H39</f>
        <v>25964.789999999979</v>
      </c>
      <c r="I39" s="455"/>
      <c r="J39" s="552">
        <f>H39/DAY(B2)</f>
        <v>3709.2557142857113</v>
      </c>
      <c r="K39" s="428"/>
      <c r="L39" s="377"/>
      <c r="N39" s="382"/>
    </row>
    <row r="40" spans="1:14">
      <c r="A40" s="599" t="s">
        <v>167</v>
      </c>
      <c r="B40" s="600"/>
      <c r="C40" s="600"/>
      <c r="D40" s="523" t="s">
        <v>130</v>
      </c>
      <c r="E40" s="510">
        <f>'6'!F40</f>
        <v>9346.7900000000009</v>
      </c>
      <c r="F40" s="510">
        <v>9831.77</v>
      </c>
      <c r="G40" s="473">
        <f t="shared" si="3"/>
        <v>484.97999999999956</v>
      </c>
      <c r="H40" s="460">
        <f>G40+'6'!H40</f>
        <v>2718.7700000000004</v>
      </c>
      <c r="I40" s="455"/>
      <c r="J40" s="552">
        <f>H40/DAY(B2)</f>
        <v>388.39571428571435</v>
      </c>
      <c r="K40" s="429"/>
      <c r="L40" s="377"/>
      <c r="N40" s="382"/>
    </row>
    <row r="41" spans="1:14">
      <c r="A41" s="578" t="s">
        <v>168</v>
      </c>
      <c r="B41" s="579"/>
      <c r="C41" s="579"/>
      <c r="D41" s="523" t="s">
        <v>130</v>
      </c>
      <c r="E41" s="510">
        <f>'6'!F41</f>
        <v>354267.07</v>
      </c>
      <c r="F41" s="510">
        <v>358143.27</v>
      </c>
      <c r="G41" s="473">
        <f t="shared" si="3"/>
        <v>3876.2000000000116</v>
      </c>
      <c r="H41" s="460">
        <f>G41+'6'!H41</f>
        <v>28501.270000000019</v>
      </c>
      <c r="I41" s="455"/>
      <c r="J41" s="552">
        <f>H41/DAY(B2)</f>
        <v>4071.6100000000029</v>
      </c>
      <c r="K41" s="428"/>
      <c r="L41" s="377"/>
      <c r="N41" s="382"/>
    </row>
    <row r="42" spans="1:14">
      <c r="A42" s="587" t="s">
        <v>169</v>
      </c>
      <c r="B42" s="588"/>
      <c r="C42" s="588"/>
      <c r="D42" s="524" t="s">
        <v>130</v>
      </c>
      <c r="E42" s="510">
        <f>'6'!F42</f>
        <v>59210.080000000002</v>
      </c>
      <c r="F42" s="1032">
        <v>59210.080000000002</v>
      </c>
      <c r="G42" s="773">
        <f t="shared" si="3"/>
        <v>0</v>
      </c>
      <c r="H42" s="460">
        <f>G42+'6'!H42</f>
        <v>11.190000000002328</v>
      </c>
      <c r="I42" s="455"/>
      <c r="J42" s="552">
        <f>H42/DAY(B2)</f>
        <v>1.5985714285717612</v>
      </c>
      <c r="K42" s="428"/>
      <c r="L42" s="377"/>
      <c r="N42" s="382"/>
    </row>
    <row r="43" spans="1:14">
      <c r="A43" s="578" t="s">
        <v>170</v>
      </c>
      <c r="B43" s="579"/>
      <c r="C43" s="579"/>
      <c r="D43" s="523" t="s">
        <v>130</v>
      </c>
      <c r="E43" s="510">
        <f>'6'!F43</f>
        <v>1135944.8</v>
      </c>
      <c r="F43" s="510">
        <v>1138667.5</v>
      </c>
      <c r="G43" s="473">
        <f t="shared" si="3"/>
        <v>2722.6999999999534</v>
      </c>
      <c r="H43" s="460">
        <f>G43+'6'!H43</f>
        <v>18215.5</v>
      </c>
      <c r="I43" s="455"/>
      <c r="J43" s="552">
        <f>H43/DAY(B2)</f>
        <v>2602.2142857142858</v>
      </c>
      <c r="K43" s="428"/>
      <c r="L43" s="377"/>
      <c r="N43" s="382"/>
    </row>
    <row r="44" spans="1:14">
      <c r="A44" s="578" t="s">
        <v>171</v>
      </c>
      <c r="B44" s="579"/>
      <c r="C44" s="579"/>
      <c r="D44" s="523" t="s">
        <v>130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172</v>
      </c>
      <c r="B45" s="579"/>
      <c r="C45" s="579"/>
      <c r="D45" s="523" t="s">
        <v>130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173</v>
      </c>
      <c r="B46" s="579"/>
      <c r="C46" s="579"/>
      <c r="D46" s="523" t="s">
        <v>130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17564.229999999938</v>
      </c>
      <c r="H47" s="460">
        <f>G47+'6'!H47</f>
        <v>123906.32999999991</v>
      </c>
      <c r="I47" s="455"/>
      <c r="J47" s="552">
        <f>H47/DAY(B2)</f>
        <v>17700.904285714274</v>
      </c>
      <c r="K47" s="428"/>
      <c r="L47" s="377"/>
      <c r="N47" s="382"/>
    </row>
    <row r="48" spans="1:14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162</v>
      </c>
      <c r="B49" s="601"/>
      <c r="C49" s="601"/>
      <c r="D49" s="523" t="s">
        <v>130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176</v>
      </c>
      <c r="B50" s="601"/>
      <c r="C50" s="601"/>
      <c r="D50" s="523" t="s">
        <v>130</v>
      </c>
      <c r="E50" s="510">
        <f>'6'!F50</f>
        <v>541273.15</v>
      </c>
      <c r="F50" s="510">
        <v>542535.06999999995</v>
      </c>
      <c r="G50" s="473">
        <f t="shared" si="4"/>
        <v>1261.9199999999255</v>
      </c>
      <c r="H50" s="460">
        <f>G50+'6'!H50</f>
        <v>7872.0699999999488</v>
      </c>
      <c r="I50" s="455"/>
      <c r="J50" s="552">
        <f>H50/DAY(B2)</f>
        <v>1124.5814285714212</v>
      </c>
      <c r="K50" s="428"/>
      <c r="L50" s="377"/>
      <c r="N50" s="382"/>
    </row>
    <row r="51" spans="1:14">
      <c r="A51" s="578" t="s">
        <v>164</v>
      </c>
      <c r="B51" s="601"/>
      <c r="C51" s="601"/>
      <c r="D51" s="523" t="s">
        <v>130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177</v>
      </c>
      <c r="B52" s="601"/>
      <c r="C52" s="601"/>
      <c r="D52" s="523" t="s">
        <v>130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166</v>
      </c>
      <c r="B53" s="601"/>
      <c r="C53" s="601"/>
      <c r="D53" s="523" t="s">
        <v>130</v>
      </c>
      <c r="E53" s="510">
        <f>'6'!F53</f>
        <v>434231.59</v>
      </c>
      <c r="F53" s="510">
        <v>434231.67</v>
      </c>
      <c r="G53" s="473">
        <f t="shared" si="4"/>
        <v>7.9999999958090484E-2</v>
      </c>
      <c r="H53" s="460">
        <f>G53+'6'!H53</f>
        <v>-0.33000000001629815</v>
      </c>
      <c r="I53" s="455"/>
      <c r="J53" s="552">
        <f>H53/DAY(B2)</f>
        <v>-4.714285714518545E-2</v>
      </c>
      <c r="K53" s="428"/>
      <c r="L53" s="377"/>
      <c r="N53" s="382"/>
    </row>
    <row r="54" spans="1:14">
      <c r="A54" s="578" t="s">
        <v>178</v>
      </c>
      <c r="B54" s="601"/>
      <c r="C54" s="601"/>
      <c r="D54" s="523" t="s">
        <v>130</v>
      </c>
      <c r="E54" s="510">
        <f>'6'!F54</f>
        <v>14967</v>
      </c>
      <c r="F54" s="510">
        <v>14967</v>
      </c>
      <c r="G54" s="473">
        <f t="shared" si="4"/>
        <v>0</v>
      </c>
      <c r="H54" s="460">
        <f>G54+'6'!H54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179</v>
      </c>
      <c r="B55" s="601"/>
      <c r="C55" s="601"/>
      <c r="D55" s="523" t="s">
        <v>130</v>
      </c>
      <c r="E55" s="510">
        <f>'6'!F55</f>
        <v>133145.38</v>
      </c>
      <c r="F55" s="653">
        <v>136079.04999999999</v>
      </c>
      <c r="G55" s="652">
        <f t="shared" si="4"/>
        <v>2933.6699999999837</v>
      </c>
      <c r="H55" s="705">
        <f>G55+'6'!H55</f>
        <v>18443.049999999988</v>
      </c>
      <c r="I55" s="706"/>
      <c r="J55" s="707">
        <f>H55/DAY(B2)</f>
        <v>2634.7214285714267</v>
      </c>
      <c r="K55" s="428"/>
      <c r="L55" s="377"/>
      <c r="N55" s="382"/>
    </row>
    <row r="56" spans="1:14">
      <c r="A56" s="587" t="s">
        <v>180</v>
      </c>
      <c r="B56" s="1062"/>
      <c r="C56" s="1062"/>
      <c r="D56" s="524" t="s">
        <v>181</v>
      </c>
      <c r="E56" s="510">
        <f>'6'!F56</f>
        <v>649085.55000000005</v>
      </c>
      <c r="F56" s="1032">
        <v>649107.47</v>
      </c>
      <c r="G56" s="773">
        <f t="shared" si="4"/>
        <v>21.919999999925494</v>
      </c>
      <c r="H56" s="460">
        <f>G56+'6'!H56</f>
        <v>75.46999999997206</v>
      </c>
      <c r="I56" s="455"/>
      <c r="J56" s="552">
        <f>H56/DAY(B2)</f>
        <v>10.781428571424581</v>
      </c>
      <c r="K56" s="427"/>
      <c r="L56" s="377"/>
      <c r="N56" s="382"/>
    </row>
    <row r="57" spans="1:14">
      <c r="A57" s="578" t="s">
        <v>170</v>
      </c>
      <c r="B57" s="601"/>
      <c r="C57" s="601"/>
      <c r="D57" s="523" t="s">
        <v>130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182</v>
      </c>
      <c r="B58" s="601"/>
      <c r="C58" s="601"/>
      <c r="D58" s="523" t="s">
        <v>130</v>
      </c>
      <c r="E58" s="510">
        <f>'6'!F58</f>
        <v>54839.19</v>
      </c>
      <c r="F58" s="653">
        <v>55026.6</v>
      </c>
      <c r="G58" s="473">
        <f t="shared" si="4"/>
        <v>187.40999999999622</v>
      </c>
      <c r="H58" s="460">
        <f>G58+'6'!H58</f>
        <v>1040.5999999999985</v>
      </c>
      <c r="I58" s="455"/>
      <c r="J58" s="552">
        <f>H58/DAY(B2)</f>
        <v>148.65714285714265</v>
      </c>
      <c r="K58" s="428"/>
      <c r="L58" s="377"/>
      <c r="N58" s="382"/>
    </row>
    <row r="59" spans="1:14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4404.999999999789</v>
      </c>
      <c r="H59" s="460">
        <f>G59+'6'!H59</f>
        <v>27430.92999999984</v>
      </c>
      <c r="I59" s="455">
        <f>G7-G60</f>
        <v>-160.33999999972002</v>
      </c>
      <c r="J59" s="552">
        <f>H59/DAY(B2)</f>
        <v>3918.7042857142628</v>
      </c>
      <c r="K59" s="428"/>
      <c r="L59" s="377"/>
      <c r="N59" s="382"/>
    </row>
    <row r="60" spans="1:14">
      <c r="A60" s="578"/>
      <c r="B60" s="579"/>
      <c r="C60" s="579"/>
      <c r="D60" s="511" t="s">
        <v>183</v>
      </c>
      <c r="E60" s="511"/>
      <c r="F60" s="511"/>
      <c r="G60" s="481">
        <f>G47+G59</f>
        <v>21969.229999999727</v>
      </c>
      <c r="H60" s="460">
        <f>G60+'6'!H60</f>
        <v>151337.25999999978</v>
      </c>
      <c r="I60" s="455">
        <f>G13-G60</f>
        <v>-851.22999999972672</v>
      </c>
      <c r="J60" s="552">
        <f>H60/DAY(B2)</f>
        <v>21619.60857142854</v>
      </c>
      <c r="K60" s="428"/>
      <c r="L60" s="377"/>
      <c r="N60" s="382"/>
    </row>
    <row r="61" spans="1:14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185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186</v>
      </c>
      <c r="B63" s="604"/>
      <c r="C63" s="604"/>
      <c r="D63" s="511" t="s">
        <v>185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3" t="s">
        <v>98</v>
      </c>
      <c r="B64" s="1544"/>
      <c r="C64" s="1545"/>
      <c r="D64" s="523" t="s">
        <v>185</v>
      </c>
      <c r="E64" s="484">
        <f>'6'!F64</f>
        <v>172289.81</v>
      </c>
      <c r="F64" s="478">
        <v>172723.35</v>
      </c>
      <c r="G64" s="473">
        <f t="shared" si="5"/>
        <v>433.54000000000815</v>
      </c>
      <c r="H64" s="460">
        <f>G64+'6'!H64</f>
        <v>2701.3500000000058</v>
      </c>
      <c r="I64" s="480"/>
      <c r="J64" s="552">
        <f>H64/DAY(B2)</f>
        <v>385.9071428571437</v>
      </c>
      <c r="K64" s="428"/>
      <c r="L64" s="377"/>
      <c r="N64" s="382"/>
    </row>
    <row r="65" spans="1:14" ht="27.75">
      <c r="A65" s="1543" t="s">
        <v>99</v>
      </c>
      <c r="B65" s="1544"/>
      <c r="C65" s="1545"/>
      <c r="D65" s="523" t="s">
        <v>185</v>
      </c>
      <c r="E65" s="484">
        <f>'6'!F65</f>
        <v>172711.63</v>
      </c>
      <c r="F65" s="651">
        <v>172978.93</v>
      </c>
      <c r="G65" s="473">
        <f t="shared" si="5"/>
        <v>267.29999999998836</v>
      </c>
      <c r="H65" s="460">
        <f>G65+'6'!H65</f>
        <v>2676.929999999993</v>
      </c>
      <c r="I65" s="489"/>
      <c r="J65" s="552">
        <f>H65/DAY(B2)</f>
        <v>382.41857142857043</v>
      </c>
      <c r="K65" s="428"/>
      <c r="L65" s="377"/>
      <c r="N65" s="382"/>
    </row>
    <row r="66" spans="1:14" ht="27.75">
      <c r="A66" s="1543" t="s">
        <v>100</v>
      </c>
      <c r="B66" s="1544"/>
      <c r="C66" s="1545"/>
      <c r="D66" s="523" t="s">
        <v>185</v>
      </c>
      <c r="E66" s="484">
        <f>'6'!F66</f>
        <v>70486.509999999995</v>
      </c>
      <c r="F66" s="478">
        <v>70913.820000000007</v>
      </c>
      <c r="G66" s="473">
        <f t="shared" si="5"/>
        <v>427.31000000001222</v>
      </c>
      <c r="H66" s="460">
        <f>G66+'6'!H66</f>
        <v>2943.820000000007</v>
      </c>
      <c r="I66" s="480"/>
      <c r="J66" s="552">
        <f>H66/DAY(B2)</f>
        <v>420.54571428571529</v>
      </c>
      <c r="K66" s="428"/>
      <c r="L66" s="377"/>
      <c r="N66" s="382"/>
    </row>
    <row r="67" spans="1:14" ht="27.75">
      <c r="A67" s="1543" t="s">
        <v>101</v>
      </c>
      <c r="B67" s="1544"/>
      <c r="C67" s="1545"/>
      <c r="D67" s="523" t="s">
        <v>185</v>
      </c>
      <c r="E67" s="484">
        <f>'6'!F67</f>
        <v>267883.99</v>
      </c>
      <c r="F67" s="478">
        <v>268376.69</v>
      </c>
      <c r="G67" s="473">
        <f t="shared" si="5"/>
        <v>492.70000000001164</v>
      </c>
      <c r="H67" s="460">
        <f>G67+'6'!H67</f>
        <v>3417.6900000000023</v>
      </c>
      <c r="I67" s="489"/>
      <c r="J67" s="552">
        <f>H67/DAY(B2)</f>
        <v>488.24142857142891</v>
      </c>
      <c r="K67" s="429"/>
      <c r="L67" s="377"/>
      <c r="N67" s="382"/>
    </row>
    <row r="68" spans="1:14" ht="27.75">
      <c r="A68" s="1543" t="s">
        <v>102</v>
      </c>
      <c r="B68" s="1544"/>
      <c r="C68" s="1545"/>
      <c r="D68" s="523" t="s">
        <v>185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3" t="s">
        <v>103</v>
      </c>
      <c r="B69" s="1544"/>
      <c r="C69" s="1545"/>
      <c r="D69" s="523" t="s">
        <v>185</v>
      </c>
      <c r="E69" s="484">
        <f>'6'!F69</f>
        <v>88975.85</v>
      </c>
      <c r="F69" s="478">
        <v>89197.440000000002</v>
      </c>
      <c r="G69" s="473">
        <f t="shared" si="5"/>
        <v>221.58999999999651</v>
      </c>
      <c r="H69" s="460">
        <f>G69+'6'!H69</f>
        <v>1682.4400000000023</v>
      </c>
      <c r="I69" s="516"/>
      <c r="J69" s="552">
        <f>H69/DAY(B2)</f>
        <v>240.34857142857177</v>
      </c>
      <c r="K69" s="431"/>
      <c r="L69" s="377"/>
      <c r="N69" s="382"/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</row>
    <row r="72" spans="1:14" ht="27.75">
      <c r="A72" s="1543" t="s">
        <v>189</v>
      </c>
      <c r="B72" s="1544"/>
      <c r="C72" s="1545"/>
      <c r="D72" s="523" t="s">
        <v>185</v>
      </c>
      <c r="E72" s="519">
        <f>'6'!F72</f>
        <v>856292</v>
      </c>
      <c r="F72" s="654">
        <v>856303</v>
      </c>
      <c r="G72" s="473">
        <f t="shared" ref="G72:G84" si="6">F72-E72</f>
        <v>11</v>
      </c>
      <c r="H72" s="460">
        <f>G72+'6'!H72</f>
        <v>81</v>
      </c>
      <c r="I72" s="480"/>
      <c r="J72" s="552">
        <f>H72/DAY(B2)</f>
        <v>11.571428571428571</v>
      </c>
      <c r="K72" s="431"/>
      <c r="L72" s="377"/>
      <c r="N72" s="382"/>
    </row>
    <row r="73" spans="1:14" ht="27.75">
      <c r="A73" s="1543" t="s">
        <v>190</v>
      </c>
      <c r="B73" s="1544"/>
      <c r="C73" s="1545"/>
      <c r="D73" s="523" t="s">
        <v>185</v>
      </c>
      <c r="E73" s="519">
        <f>'6'!F73</f>
        <v>885980</v>
      </c>
      <c r="F73" s="655">
        <v>885981</v>
      </c>
      <c r="G73" s="652">
        <f t="shared" si="6"/>
        <v>1</v>
      </c>
      <c r="H73" s="460">
        <f>G73+'6'!H73</f>
        <v>9</v>
      </c>
      <c r="I73" s="480"/>
      <c r="J73" s="552">
        <f>H73/DAY(B2)</f>
        <v>1.2857142857142858</v>
      </c>
      <c r="K73" s="430"/>
      <c r="L73" s="377"/>
      <c r="N73" s="382"/>
    </row>
    <row r="74" spans="1:14" ht="27.75">
      <c r="A74" s="1543" t="s">
        <v>191</v>
      </c>
      <c r="B74" s="1544"/>
      <c r="C74" s="1545"/>
      <c r="D74" s="523" t="s">
        <v>185</v>
      </c>
      <c r="E74" s="519">
        <f>'6'!F74</f>
        <v>88703.2</v>
      </c>
      <c r="F74" s="654">
        <v>88704.3</v>
      </c>
      <c r="G74" s="473">
        <f t="shared" si="6"/>
        <v>1.1000000000058208</v>
      </c>
      <c r="H74" s="460">
        <f>G74+'6'!H74</f>
        <v>8.3000000000029104</v>
      </c>
      <c r="I74" s="480"/>
      <c r="J74" s="552">
        <f>H74/DAY(B2)</f>
        <v>1.1857142857147014</v>
      </c>
      <c r="K74" s="431"/>
      <c r="L74" s="377"/>
      <c r="N74" s="382"/>
    </row>
    <row r="75" spans="1:14" ht="27.75">
      <c r="A75" s="1546" t="s">
        <v>192</v>
      </c>
      <c r="B75" s="1547"/>
      <c r="C75" s="1548"/>
      <c r="D75" s="523" t="s">
        <v>185</v>
      </c>
      <c r="E75" s="519">
        <f>'6'!F75</f>
        <v>16963.82</v>
      </c>
      <c r="F75" s="655">
        <v>17104.669999999998</v>
      </c>
      <c r="G75" s="473">
        <f t="shared" si="6"/>
        <v>140.84999999999854</v>
      </c>
      <c r="H75" s="460">
        <f>G75+'6'!H75</f>
        <v>1033.6699999999983</v>
      </c>
      <c r="I75" s="480"/>
      <c r="J75" s="552">
        <f>H75/DAY(B2)</f>
        <v>147.66714285714261</v>
      </c>
      <c r="K75" s="430"/>
      <c r="L75" s="377"/>
      <c r="N75" s="382"/>
    </row>
    <row r="76" spans="1:14" ht="27.75">
      <c r="A76" s="1546" t="s">
        <v>193</v>
      </c>
      <c r="B76" s="1547"/>
      <c r="C76" s="1548"/>
      <c r="D76" s="523" t="s">
        <v>185</v>
      </c>
      <c r="E76" s="519">
        <f>'6'!F76</f>
        <v>9737.2999999999993</v>
      </c>
      <c r="F76" s="655">
        <v>9803.36</v>
      </c>
      <c r="G76" s="473">
        <f t="shared" si="6"/>
        <v>66.06000000000131</v>
      </c>
      <c r="H76" s="460">
        <f>G76+'6'!H76</f>
        <v>467.36000000000058</v>
      </c>
      <c r="I76" s="505"/>
      <c r="J76" s="552">
        <f>H76/DAY(B2)</f>
        <v>66.765714285714367</v>
      </c>
      <c r="K76" s="430"/>
      <c r="L76" s="377"/>
      <c r="N76" s="382"/>
    </row>
    <row r="77" spans="1:14" ht="27.75">
      <c r="A77" s="1543" t="s">
        <v>194</v>
      </c>
      <c r="B77" s="1544"/>
      <c r="C77" s="1545"/>
      <c r="D77" s="523" t="s">
        <v>185</v>
      </c>
      <c r="E77" s="519">
        <f>'6'!F77</f>
        <v>704736</v>
      </c>
      <c r="F77" s="655">
        <v>704787</v>
      </c>
      <c r="G77" s="652">
        <f t="shared" si="6"/>
        <v>51</v>
      </c>
      <c r="H77" s="460">
        <f>G77+'6'!H77</f>
        <v>413</v>
      </c>
      <c r="I77" s="505"/>
      <c r="J77" s="552">
        <f>H77/DAY(B2)</f>
        <v>59</v>
      </c>
      <c r="K77" s="430"/>
      <c r="L77" s="377"/>
      <c r="N77" s="382"/>
    </row>
    <row r="78" spans="1:14" ht="27.75">
      <c r="A78" s="1140" t="s">
        <v>195</v>
      </c>
      <c r="B78" s="1113"/>
      <c r="C78" s="1113"/>
      <c r="D78" s="523" t="s">
        <v>185</v>
      </c>
      <c r="E78" s="519">
        <f>'6'!F78</f>
        <v>676110</v>
      </c>
      <c r="F78" s="656">
        <v>676232</v>
      </c>
      <c r="G78" s="473">
        <f t="shared" si="6"/>
        <v>122</v>
      </c>
      <c r="H78" s="460">
        <f>G78+'6'!H78</f>
        <v>818</v>
      </c>
      <c r="I78" s="505"/>
      <c r="J78" s="552">
        <f>H78/DAY(B2)</f>
        <v>116.85714285714286</v>
      </c>
      <c r="K78" s="430"/>
      <c r="L78" s="377"/>
      <c r="N78" s="382"/>
    </row>
    <row r="79" spans="1:14" ht="27.75">
      <c r="A79" s="1546" t="s">
        <v>91</v>
      </c>
      <c r="B79" s="1547"/>
      <c r="C79" s="1548"/>
      <c r="D79" s="524" t="s">
        <v>185</v>
      </c>
      <c r="E79" s="519">
        <f>'6'!F79</f>
        <v>836319</v>
      </c>
      <c r="F79" s="654">
        <v>836460</v>
      </c>
      <c r="G79" s="473">
        <f t="shared" si="6"/>
        <v>141</v>
      </c>
      <c r="H79" s="460">
        <f>G79+'6'!H79</f>
        <v>1044</v>
      </c>
      <c r="I79" s="505"/>
      <c r="J79" s="552">
        <f>H79/DAY(B2)</f>
        <v>149.14285714285714</v>
      </c>
      <c r="K79" s="430"/>
      <c r="L79" s="377"/>
      <c r="N79" s="382"/>
    </row>
    <row r="80" spans="1:14" ht="27.75">
      <c r="A80" s="1546" t="s">
        <v>196</v>
      </c>
      <c r="B80" s="1547"/>
      <c r="C80" s="1548"/>
      <c r="D80" s="524" t="s">
        <v>185</v>
      </c>
      <c r="E80" s="519">
        <f>'6'!F80</f>
        <v>541439.43999999994</v>
      </c>
      <c r="F80" s="655">
        <v>541840.04</v>
      </c>
      <c r="G80" s="473">
        <f t="shared" si="6"/>
        <v>400.60000000009313</v>
      </c>
      <c r="H80" s="460">
        <f>G80+'6'!H80</f>
        <v>2827.0400000000373</v>
      </c>
      <c r="I80" s="505"/>
      <c r="J80" s="552">
        <f>H80/DAY(B2)</f>
        <v>403.86285714286248</v>
      </c>
      <c r="K80" s="430"/>
      <c r="L80" s="377"/>
      <c r="N80" s="382"/>
    </row>
    <row r="81" spans="1:15" ht="27.75">
      <c r="A81" s="1546" t="s">
        <v>197</v>
      </c>
      <c r="B81" s="1547"/>
      <c r="C81" s="1548"/>
      <c r="D81" s="524" t="s">
        <v>185</v>
      </c>
      <c r="E81" s="519">
        <f>'6'!F81</f>
        <v>644075.16</v>
      </c>
      <c r="F81" s="655">
        <v>644242.80000000005</v>
      </c>
      <c r="G81" s="473">
        <f t="shared" si="6"/>
        <v>167.64000000001397</v>
      </c>
      <c r="H81" s="460">
        <f>G81+'6'!H81</f>
        <v>1257.8000000000466</v>
      </c>
      <c r="I81" s="505"/>
      <c r="J81" s="552">
        <f>H81/DAY(B2)</f>
        <v>179.68571428572093</v>
      </c>
      <c r="K81" s="430"/>
      <c r="L81" s="377"/>
      <c r="N81" s="382"/>
    </row>
    <row r="82" spans="1:15" ht="27.75">
      <c r="A82" s="1546" t="s">
        <v>92</v>
      </c>
      <c r="B82" s="1547"/>
      <c r="C82" s="1548"/>
      <c r="D82" s="485" t="s">
        <v>130</v>
      </c>
      <c r="E82" s="519">
        <f>'6'!F82</f>
        <v>108801.57</v>
      </c>
      <c r="F82" s="651">
        <v>108827.97</v>
      </c>
      <c r="G82" s="473">
        <f t="shared" si="6"/>
        <v>26.399999999994179</v>
      </c>
      <c r="H82" s="460">
        <f>G82+'6'!H82</f>
        <v>146.97000000000116</v>
      </c>
      <c r="I82" s="486"/>
      <c r="J82" s="552">
        <f>H82/DAY(B2)</f>
        <v>20.995714285714453</v>
      </c>
      <c r="K82" s="430"/>
      <c r="L82" s="377"/>
      <c r="N82" s="382"/>
    </row>
    <row r="83" spans="1:15" ht="27.75">
      <c r="A83" s="1546" t="s">
        <v>198</v>
      </c>
      <c r="B83" s="1547"/>
      <c r="C83" s="1548"/>
      <c r="D83" s="620" t="s">
        <v>130</v>
      </c>
      <c r="E83" s="519">
        <f>'6'!F83</f>
        <v>29038</v>
      </c>
      <c r="F83" s="620">
        <v>29253</v>
      </c>
      <c r="G83" s="473">
        <f t="shared" si="6"/>
        <v>215</v>
      </c>
      <c r="H83" s="460">
        <f>G83+'6'!H83</f>
        <v>1702</v>
      </c>
      <c r="I83" s="481"/>
      <c r="J83" s="552">
        <f>H83/DAY(B2)</f>
        <v>243.14285714285714</v>
      </c>
      <c r="K83" s="429"/>
      <c r="L83" s="377"/>
      <c r="N83" s="382"/>
    </row>
    <row r="84" spans="1:15">
      <c r="A84" s="1141" t="s">
        <v>199</v>
      </c>
      <c r="B84" s="571"/>
      <c r="C84" s="571"/>
      <c r="D84" s="478" t="s">
        <v>130</v>
      </c>
      <c r="E84" s="519">
        <f>'6'!F84</f>
        <v>528037</v>
      </c>
      <c r="F84" s="627">
        <v>528829</v>
      </c>
      <c r="G84" s="473">
        <f t="shared" si="6"/>
        <v>792</v>
      </c>
      <c r="H84" s="460">
        <f>G84+'6'!H84</f>
        <v>5749</v>
      </c>
      <c r="I84" s="481"/>
      <c r="J84" s="552">
        <f>H84/DAY(B2)</f>
        <v>821.28571428571433</v>
      </c>
      <c r="K84" s="380"/>
      <c r="L84" s="377"/>
      <c r="N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2135.650000000107</v>
      </c>
      <c r="H85" s="460">
        <f>G85+'6'!H85</f>
        <v>15557.140000000087</v>
      </c>
      <c r="I85" s="481"/>
      <c r="J85" s="552">
        <f>H85/DAY(B2)</f>
        <v>2222.4485714285838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651" t="s">
        <v>181</v>
      </c>
      <c r="E86" s="627">
        <f>'6'!F86</f>
        <v>461963.72</v>
      </c>
      <c r="F86" s="647">
        <v>461989.2</v>
      </c>
      <c r="G86" s="705">
        <f t="shared" ref="G86:G91" si="7">F86-E86</f>
        <v>25.480000000039581</v>
      </c>
      <c r="H86" s="460">
        <f>G86+'6'!H86</f>
        <v>168.20000000001164</v>
      </c>
      <c r="I86" s="652"/>
      <c r="J86" s="707">
        <f>H86/DAY(B2)</f>
        <v>24.028571428573091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651" t="s">
        <v>181</v>
      </c>
      <c r="E87" s="627">
        <f>'6'!F87</f>
        <v>82256.399999999994</v>
      </c>
      <c r="F87" s="647">
        <v>82288.600000000006</v>
      </c>
      <c r="G87" s="705">
        <f t="shared" si="7"/>
        <v>32.200000000011642</v>
      </c>
      <c r="H87" s="460">
        <f>G87+'6'!H87</f>
        <v>215.60000000000582</v>
      </c>
      <c r="I87" s="652"/>
      <c r="J87" s="707">
        <f>H87/DAY(B2)</f>
        <v>30.800000000000832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651" t="s">
        <v>181</v>
      </c>
      <c r="E88" s="627">
        <f>'6'!F88</f>
        <v>156019.26</v>
      </c>
      <c r="F88" s="647">
        <v>156105.09</v>
      </c>
      <c r="G88" s="705">
        <f t="shared" si="7"/>
        <v>85.829999999987194</v>
      </c>
      <c r="H88" s="460">
        <f>G88+'6'!H88</f>
        <v>782.08999999999651</v>
      </c>
      <c r="I88" s="652"/>
      <c r="J88" s="707">
        <f>H88/DAY(B2)</f>
        <v>111.72714285714235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651" t="s">
        <v>181</v>
      </c>
      <c r="E89" s="627">
        <f>'6'!F89</f>
        <v>66022.7</v>
      </c>
      <c r="F89" s="647">
        <v>66099.5</v>
      </c>
      <c r="G89" s="705">
        <f t="shared" si="7"/>
        <v>76.80000000000291</v>
      </c>
      <c r="H89" s="460">
        <f>G89+'6'!H89</f>
        <v>253.5</v>
      </c>
      <c r="I89" s="652"/>
      <c r="J89" s="707">
        <f>H89/DAY(B2)</f>
        <v>36.214285714285715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651" t="s">
        <v>181</v>
      </c>
      <c r="E90" s="627">
        <f>'6'!F90</f>
        <v>3363.3</v>
      </c>
      <c r="F90" s="647">
        <v>3367.9</v>
      </c>
      <c r="G90" s="705">
        <f t="shared" si="7"/>
        <v>4.5999999999999091</v>
      </c>
      <c r="H90" s="460">
        <f>G90+'6'!H90</f>
        <v>23.900000000000091</v>
      </c>
      <c r="I90" s="652"/>
      <c r="J90" s="707">
        <f>H90/DAY(B2)</f>
        <v>3.4142857142857275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27">
        <f>'6'!F91</f>
        <v>28295.81</v>
      </c>
      <c r="F91" s="647">
        <v>28306.76</v>
      </c>
      <c r="G91" s="705">
        <f t="shared" si="7"/>
        <v>10.94999999999709</v>
      </c>
      <c r="H91" s="460">
        <f>G91+'6'!H91</f>
        <v>19.469999999997526</v>
      </c>
      <c r="I91" s="652"/>
      <c r="J91" s="707">
        <f>H91/DAY(B2)</f>
        <v>2.7814285714282181</v>
      </c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'6'!F93</f>
        <v>247997</v>
      </c>
      <c r="F93" s="485">
        <v>248074</v>
      </c>
      <c r="G93" s="473">
        <f t="shared" ref="G93:G94" si="8">F93-E93</f>
        <v>77</v>
      </c>
      <c r="H93" s="460">
        <f>G93+'6'!H93</f>
        <v>722</v>
      </c>
      <c r="I93" s="480"/>
      <c r="J93" s="552">
        <f>H93/DAY(B2)</f>
        <v>103.14285714285714</v>
      </c>
      <c r="K93" s="429"/>
      <c r="L93" s="377"/>
      <c r="N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'6'!F94</f>
        <v>190127</v>
      </c>
      <c r="F94" s="485">
        <v>190240</v>
      </c>
      <c r="G94" s="473">
        <f t="shared" si="8"/>
        <v>113</v>
      </c>
      <c r="H94" s="460">
        <f>G94+'6'!H94</f>
        <v>786</v>
      </c>
      <c r="I94" s="480"/>
      <c r="J94" s="552">
        <f>H94/DAY(B2)</f>
        <v>112.28571428571429</v>
      </c>
      <c r="K94" s="380"/>
      <c r="L94" s="377"/>
      <c r="N94" s="382"/>
    </row>
    <row r="95" spans="1:15">
      <c r="A95" s="1594" t="s">
        <v>206</v>
      </c>
      <c r="B95" s="1595"/>
      <c r="C95" s="1596"/>
      <c r="D95" s="523"/>
      <c r="E95" s="484">
        <f>'6'!F95</f>
        <v>0</v>
      </c>
      <c r="F95" s="478"/>
      <c r="G95" s="473">
        <f>G93+G94</f>
        <v>190</v>
      </c>
      <c r="H95" s="460">
        <f>G95+'6'!H95</f>
        <v>1322</v>
      </c>
      <c r="I95" s="480"/>
      <c r="J95" s="552">
        <f>H95/DAY(B2)</f>
        <v>188.85714285714286</v>
      </c>
      <c r="K95" s="380"/>
      <c r="L95" s="377"/>
      <c r="N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'6'!F96</f>
        <v>416613</v>
      </c>
      <c r="F96" s="478">
        <v>416689</v>
      </c>
      <c r="G96" s="473">
        <f t="shared" ref="G96:G101" si="9">F96-E96</f>
        <v>76</v>
      </c>
      <c r="H96" s="460">
        <f>G96+'6'!H96</f>
        <v>690</v>
      </c>
      <c r="I96" s="480"/>
      <c r="J96" s="552">
        <f>H96/DAY(B2)</f>
        <v>98.571428571428569</v>
      </c>
      <c r="K96" s="380"/>
      <c r="L96" s="377"/>
      <c r="N96" s="382"/>
    </row>
    <row r="97" spans="1:14" ht="27.75">
      <c r="A97" s="1137" t="s">
        <v>208</v>
      </c>
      <c r="B97" s="1138"/>
      <c r="C97" s="1138"/>
      <c r="D97" s="523" t="s">
        <v>142</v>
      </c>
      <c r="E97" s="484">
        <f>'6'!F97</f>
        <v>103294</v>
      </c>
      <c r="F97" s="478">
        <v>103309</v>
      </c>
      <c r="G97" s="473">
        <f t="shared" si="9"/>
        <v>15</v>
      </c>
      <c r="H97" s="460">
        <f>G97+'6'!H97</f>
        <v>146</v>
      </c>
      <c r="I97" s="480"/>
      <c r="J97" s="552">
        <f>H97/DAY(B2)</f>
        <v>20.857142857142858</v>
      </c>
      <c r="K97" s="427"/>
      <c r="L97" s="377"/>
      <c r="N97" s="382"/>
    </row>
    <row r="98" spans="1:14" ht="27.75">
      <c r="A98" s="1137" t="s">
        <v>209</v>
      </c>
      <c r="B98" s="1138"/>
      <c r="C98" s="1138"/>
      <c r="D98" s="523" t="s">
        <v>142</v>
      </c>
      <c r="E98" s="484">
        <f>'6'!F98</f>
        <v>98796</v>
      </c>
      <c r="F98" s="478">
        <v>98818</v>
      </c>
      <c r="G98" s="473">
        <f t="shared" si="9"/>
        <v>22</v>
      </c>
      <c r="H98" s="460">
        <f>G98+'6'!H98</f>
        <v>161</v>
      </c>
      <c r="I98" s="480"/>
      <c r="J98" s="552">
        <f>H98/DAY(B2)</f>
        <v>23</v>
      </c>
      <c r="K98" s="432"/>
      <c r="L98" s="377"/>
      <c r="N98" s="382"/>
    </row>
    <row r="99" spans="1:14" ht="27.75">
      <c r="A99" s="1137" t="s">
        <v>210</v>
      </c>
      <c r="B99" s="1138"/>
      <c r="C99" s="1138"/>
      <c r="D99" s="523" t="s">
        <v>142</v>
      </c>
      <c r="E99" s="484">
        <f>'6'!F99</f>
        <v>150632</v>
      </c>
      <c r="F99" s="478">
        <v>150650</v>
      </c>
      <c r="G99" s="473">
        <f t="shared" si="9"/>
        <v>18</v>
      </c>
      <c r="H99" s="460">
        <f>G99+'6'!H99</f>
        <v>245</v>
      </c>
      <c r="I99" s="480"/>
      <c r="J99" s="552">
        <f>H99/DAY(B2)</f>
        <v>35</v>
      </c>
      <c r="K99" s="380"/>
      <c r="L99" s="377"/>
      <c r="N99" s="704"/>
    </row>
    <row r="100" spans="1:14" ht="27.75">
      <c r="A100" s="1137" t="s">
        <v>211</v>
      </c>
      <c r="B100" s="1138"/>
      <c r="C100" s="1138"/>
      <c r="D100" s="523" t="s">
        <v>142</v>
      </c>
      <c r="E100" s="484">
        <f>'6'!F100</f>
        <v>7858</v>
      </c>
      <c r="F100" s="478">
        <v>7866</v>
      </c>
      <c r="G100" s="473">
        <f t="shared" si="9"/>
        <v>8</v>
      </c>
      <c r="H100" s="460">
        <f>G100+'6'!H100</f>
        <v>69</v>
      </c>
      <c r="I100" s="480"/>
      <c r="J100" s="552">
        <f>H100/DAY(B2)</f>
        <v>9.8571428571428577</v>
      </c>
      <c r="K100" s="380"/>
      <c r="L100" s="377"/>
      <c r="N100" s="382"/>
    </row>
    <row r="101" spans="1:14" ht="27.75">
      <c r="A101" s="1137" t="s">
        <v>212</v>
      </c>
      <c r="B101" s="1138"/>
      <c r="C101" s="1138"/>
      <c r="D101" s="523" t="s">
        <v>142</v>
      </c>
      <c r="E101" s="484">
        <f>'6'!F101</f>
        <v>5714</v>
      </c>
      <c r="F101" s="478">
        <v>5728</v>
      </c>
      <c r="G101" s="473">
        <f t="shared" si="9"/>
        <v>14</v>
      </c>
      <c r="H101" s="460">
        <f>G101+'6'!H101</f>
        <v>54</v>
      </c>
      <c r="I101" s="480"/>
      <c r="J101" s="552">
        <f>H101/DAY(B2)</f>
        <v>7.7142857142857144</v>
      </c>
      <c r="K101" s="380"/>
      <c r="L101" s="377"/>
      <c r="N101" s="382"/>
    </row>
    <row r="102" spans="1:14">
      <c r="A102" s="1594" t="s">
        <v>214</v>
      </c>
      <c r="B102" s="1595"/>
      <c r="C102" s="1596"/>
      <c r="D102" s="524"/>
      <c r="E102" s="524"/>
      <c r="F102" s="524"/>
      <c r="G102" s="525">
        <f>SUM(G96:G101)</f>
        <v>153</v>
      </c>
      <c r="H102" s="460">
        <f>G102+'6'!H102</f>
        <v>1365</v>
      </c>
      <c r="I102" s="526"/>
      <c r="J102" s="552">
        <f>H102/DAY(B2)</f>
        <v>195</v>
      </c>
      <c r="K102" s="380"/>
      <c r="L102" s="377"/>
      <c r="N102" s="382"/>
    </row>
    <row r="103" spans="1:14" s="442" customFormat="1" ht="27">
      <c r="A103" s="607" t="s">
        <v>215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7" t="s">
        <v>216</v>
      </c>
      <c r="B104" s="159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4" t="s">
        <v>217</v>
      </c>
      <c r="B105" s="1555"/>
      <c r="C105" s="1136"/>
      <c r="D105" s="622" t="s">
        <v>142</v>
      </c>
      <c r="E105" s="484">
        <f>'6'!F105</f>
        <v>7767</v>
      </c>
      <c r="F105" s="658">
        <v>7767</v>
      </c>
      <c r="G105" s="532">
        <f>F105-E105</f>
        <v>0</v>
      </c>
      <c r="H105" s="460">
        <f>G105+'6'!H105</f>
        <v>130</v>
      </c>
      <c r="I105" s="532"/>
      <c r="J105" s="558">
        <f>H105/DAY(B2)</f>
        <v>18.571428571428573</v>
      </c>
      <c r="N105" s="382"/>
    </row>
    <row r="106" spans="1:14" s="442" customFormat="1" ht="27.75">
      <c r="A106" s="1554" t="s">
        <v>76</v>
      </c>
      <c r="B106" s="1555"/>
      <c r="C106" s="1136"/>
      <c r="D106" s="622" t="s">
        <v>142</v>
      </c>
      <c r="E106" s="484">
        <f>'6'!F106</f>
        <v>36207</v>
      </c>
      <c r="F106" s="659">
        <v>36218</v>
      </c>
      <c r="G106" s="532">
        <f t="shared" ref="G106:G107" si="10">F106-E106</f>
        <v>11</v>
      </c>
      <c r="H106" s="460">
        <f>G106+'6'!H106</f>
        <v>56</v>
      </c>
      <c r="I106" s="532"/>
      <c r="J106" s="558">
        <f>H106/DAY(B2)</f>
        <v>8</v>
      </c>
      <c r="N106" s="382"/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484">
        <f>'6'!F107</f>
        <v>19843</v>
      </c>
      <c r="F107" s="659">
        <v>19848</v>
      </c>
      <c r="G107" s="532">
        <f t="shared" si="10"/>
        <v>5</v>
      </c>
      <c r="H107" s="460">
        <f>G107+'6'!H107</f>
        <v>26</v>
      </c>
      <c r="I107" s="532"/>
      <c r="J107" s="558">
        <f>H107/DAY(B2)</f>
        <v>3.7142857142857144</v>
      </c>
      <c r="N107" s="382"/>
    </row>
    <row r="108" spans="1:14" s="442" customFormat="1" ht="27.75">
      <c r="A108" s="1556" t="s">
        <v>200</v>
      </c>
      <c r="B108" s="1557"/>
      <c r="C108" s="1136"/>
      <c r="D108" s="622"/>
      <c r="E108" s="532"/>
      <c r="F108" s="659"/>
      <c r="G108" s="532">
        <f>SUM(G105:G107)</f>
        <v>16</v>
      </c>
      <c r="H108" s="460">
        <f>G108+'6'!H108</f>
        <v>212</v>
      </c>
      <c r="I108" s="532"/>
      <c r="J108" s="558">
        <f>H108/DAY(B2)</f>
        <v>30.285714285714285</v>
      </c>
      <c r="N108" s="382"/>
    </row>
    <row r="109" spans="1:14" s="442" customFormat="1" ht="27.75">
      <c r="A109" s="1560" t="s">
        <v>78</v>
      </c>
      <c r="B109" s="1561"/>
      <c r="C109" s="1136"/>
      <c r="D109" s="622" t="s">
        <v>142</v>
      </c>
      <c r="E109" s="532"/>
      <c r="F109" s="659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54" t="s">
        <v>218</v>
      </c>
      <c r="B110" s="1555"/>
      <c r="C110" s="1136"/>
      <c r="D110" s="622" t="s">
        <v>142</v>
      </c>
      <c r="E110" s="532">
        <f>'6'!F110</f>
        <v>65320</v>
      </c>
      <c r="F110" s="659">
        <v>65394</v>
      </c>
      <c r="G110" s="532">
        <f>F110-E110</f>
        <v>74</v>
      </c>
      <c r="H110" s="460">
        <f>G110+'6'!H110</f>
        <v>551</v>
      </c>
      <c r="I110" s="532"/>
      <c r="J110" s="558">
        <f>H110/DAY(B2)</f>
        <v>78.714285714285708</v>
      </c>
      <c r="N110" s="382"/>
    </row>
    <row r="111" spans="1:14" s="442" customFormat="1" ht="27.75">
      <c r="A111" s="1554" t="s">
        <v>219</v>
      </c>
      <c r="B111" s="1555"/>
      <c r="C111" s="1136"/>
      <c r="D111" s="622" t="s">
        <v>142</v>
      </c>
      <c r="E111" s="532">
        <f>'6'!F111</f>
        <v>33349</v>
      </c>
      <c r="F111" s="659">
        <v>33374</v>
      </c>
      <c r="G111" s="532">
        <f t="shared" ref="G111:G112" si="11">F111-E111</f>
        <v>25</v>
      </c>
      <c r="H111" s="460">
        <f>G111+'6'!H111</f>
        <v>245</v>
      </c>
      <c r="I111" s="532"/>
      <c r="J111" s="558">
        <f>H111/DAY(B2)</f>
        <v>35</v>
      </c>
      <c r="N111" s="382"/>
    </row>
    <row r="112" spans="1:14" s="442" customFormat="1" ht="27.75">
      <c r="A112" s="1554" t="s">
        <v>220</v>
      </c>
      <c r="B112" s="1555"/>
      <c r="C112" s="1136"/>
      <c r="D112" s="622" t="s">
        <v>142</v>
      </c>
      <c r="E112" s="532">
        <f>'6'!F112</f>
        <v>4621.3</v>
      </c>
      <c r="F112" s="659">
        <v>4621.3</v>
      </c>
      <c r="G112" s="532">
        <f t="shared" si="11"/>
        <v>0</v>
      </c>
      <c r="H112" s="460">
        <f>G112+'6'!H112</f>
        <v>0.3000000000001819</v>
      </c>
      <c r="I112" s="532"/>
      <c r="J112" s="558">
        <f>H112/DAY(B2)</f>
        <v>4.2857142857168844E-2</v>
      </c>
      <c r="N112" s="382"/>
    </row>
    <row r="113" spans="1:14" s="442" customFormat="1" ht="27.75">
      <c r="A113" s="1556" t="s">
        <v>109</v>
      </c>
      <c r="B113" s="1557"/>
      <c r="C113" s="1136"/>
      <c r="D113" s="622"/>
      <c r="E113" s="532"/>
      <c r="F113" s="659"/>
      <c r="G113" s="532">
        <f>SUM(G110:G112)</f>
        <v>99</v>
      </c>
      <c r="H113" s="460">
        <f>G113+'6'!H113</f>
        <v>796.30000000000018</v>
      </c>
      <c r="I113" s="532"/>
      <c r="J113" s="558">
        <f>H113/DAY(B2)</f>
        <v>113.75714285714288</v>
      </c>
      <c r="N113" s="382"/>
    </row>
    <row r="114" spans="1:14" s="442" customFormat="1" ht="27.75">
      <c r="A114" s="1560" t="s">
        <v>221</v>
      </c>
      <c r="B114" s="1561"/>
      <c r="C114" s="1136"/>
      <c r="D114" s="622"/>
      <c r="E114" s="532"/>
      <c r="F114" s="659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532">
        <f>'6'!F115</f>
        <v>12091</v>
      </c>
      <c r="F115" s="659">
        <v>12101</v>
      </c>
      <c r="G115" s="534">
        <f>F115-E115</f>
        <v>10</v>
      </c>
      <c r="H115" s="460">
        <f>G115+'6'!H115</f>
        <v>88</v>
      </c>
      <c r="I115" s="532"/>
      <c r="J115" s="558">
        <f>H115/DAY(B2)</f>
        <v>12.571428571428571</v>
      </c>
      <c r="N115" s="382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532">
        <f>'6'!F116</f>
        <v>8591</v>
      </c>
      <c r="F116" s="659">
        <v>8603</v>
      </c>
      <c r="G116" s="534">
        <f t="shared" ref="G116:G117" si="12">F116-E116</f>
        <v>12</v>
      </c>
      <c r="H116" s="460">
        <f>G116+'6'!H116</f>
        <v>48</v>
      </c>
      <c r="I116" s="532"/>
      <c r="J116" s="558">
        <f>H116/DAY(B2)</f>
        <v>6.8571428571428568</v>
      </c>
      <c r="N116" s="382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22</v>
      </c>
      <c r="H118" s="460">
        <f>G118+'6'!H118</f>
        <v>136</v>
      </c>
      <c r="I118" s="534"/>
      <c r="J118" s="558">
        <f>H118/DAY(B2)</f>
        <v>19.428571428571427</v>
      </c>
      <c r="N118" s="382"/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135</v>
      </c>
      <c r="G119" s="536">
        <f>SUM(G19+G93)</f>
        <v>135</v>
      </c>
      <c r="H119" s="460">
        <f>G119+'6'!H119</f>
        <v>1147</v>
      </c>
      <c r="I119" s="535"/>
      <c r="J119" s="559">
        <f>H119/DAY(B2)</f>
        <v>163.85714285714286</v>
      </c>
      <c r="N119" s="382"/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135</v>
      </c>
      <c r="G120" s="536">
        <f>SUM(G96,G97,G98,G100,G101)</f>
        <v>135</v>
      </c>
      <c r="H120" s="460">
        <f>G120+'6'!H120</f>
        <v>1120</v>
      </c>
      <c r="I120" s="535"/>
      <c r="J120" s="559">
        <f>H120/DAY(B2)</f>
        <v>160</v>
      </c>
      <c r="N120" s="382"/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99</v>
      </c>
      <c r="G121" s="534">
        <f>SUM(G113)</f>
        <v>99</v>
      </c>
      <c r="H121" s="460">
        <f>G121+'6'!H121</f>
        <v>796.30000000000018</v>
      </c>
      <c r="I121" s="535"/>
      <c r="J121" s="559">
        <f>H121/DAY(B2)</f>
        <v>113.75714285714288</v>
      </c>
      <c r="N121" s="382"/>
    </row>
    <row r="122" spans="1:14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7" t="s">
        <v>229</v>
      </c>
      <c r="B124" s="1138"/>
      <c r="C124" s="1138"/>
      <c r="D124" s="523" t="s">
        <v>139</v>
      </c>
      <c r="E124" s="1055">
        <f>'6'!F124</f>
        <v>841355.86</v>
      </c>
      <c r="F124" s="1055">
        <v>841615.84</v>
      </c>
      <c r="G124" s="1056">
        <f t="shared" ref="G124:G128" si="13">F124-E124</f>
        <v>259.97999999998137</v>
      </c>
      <c r="H124" s="460">
        <f>G124+'6'!H124</f>
        <v>1945.8399999999674</v>
      </c>
      <c r="I124" s="526"/>
      <c r="J124" s="552">
        <f>H124/DAY(B2)</f>
        <v>277.97714285713818</v>
      </c>
      <c r="K124" s="380"/>
      <c r="L124" s="377"/>
      <c r="N124" s="382"/>
    </row>
    <row r="125" spans="1:14" ht="27.75">
      <c r="A125" s="1137" t="s">
        <v>230</v>
      </c>
      <c r="B125" s="1138"/>
      <c r="C125" s="1138"/>
      <c r="D125" s="523" t="s">
        <v>139</v>
      </c>
      <c r="E125" s="1055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43" t="s">
        <v>231</v>
      </c>
      <c r="B126" s="1544"/>
      <c r="C126" s="1545"/>
      <c r="D126" s="523" t="s">
        <v>139</v>
      </c>
      <c r="E126" s="1055">
        <f>'6'!F126</f>
        <v>149075.91</v>
      </c>
      <c r="F126" s="1061">
        <v>149155.32999999999</v>
      </c>
      <c r="G126" s="1057">
        <f t="shared" si="13"/>
        <v>79.419999999983702</v>
      </c>
      <c r="H126" s="460">
        <f>G126+'6'!H126</f>
        <v>558.32999999998719</v>
      </c>
      <c r="I126" s="526"/>
      <c r="J126" s="552">
        <f>H126/DAY(B2)</f>
        <v>79.761428571426748</v>
      </c>
      <c r="K126" s="380"/>
      <c r="L126" s="377"/>
      <c r="N126" s="382"/>
    </row>
    <row r="127" spans="1:14" ht="27.75">
      <c r="A127" s="609" t="s">
        <v>232</v>
      </c>
      <c r="B127" s="1138"/>
      <c r="C127" s="1138"/>
      <c r="D127" s="523" t="s">
        <v>139</v>
      </c>
      <c r="E127" s="1055">
        <f>'6'!F127</f>
        <v>32281.8</v>
      </c>
      <c r="F127" s="485">
        <v>32318.5</v>
      </c>
      <c r="G127" s="473">
        <f t="shared" si="13"/>
        <v>36.700000000000728</v>
      </c>
      <c r="H127" s="460">
        <f>G127+'6'!H127</f>
        <v>247.5</v>
      </c>
      <c r="I127" s="526"/>
      <c r="J127" s="552">
        <f>H127/DAY(B2)</f>
        <v>35.357142857142854</v>
      </c>
      <c r="K127" s="380"/>
      <c r="L127" s="377"/>
      <c r="N127" s="382"/>
    </row>
    <row r="128" spans="1:14" ht="27.75">
      <c r="A128" s="609" t="s">
        <v>233</v>
      </c>
      <c r="B128" s="1138"/>
      <c r="C128" s="1138"/>
      <c r="D128" s="523" t="s">
        <v>139</v>
      </c>
      <c r="E128" s="1055">
        <f>'6'!F128</f>
        <v>9027.7999999999993</v>
      </c>
      <c r="F128" s="485">
        <v>9029.2000000000007</v>
      </c>
      <c r="G128" s="473">
        <f t="shared" si="13"/>
        <v>1.4000000000014552</v>
      </c>
      <c r="H128" s="460">
        <f>G128+'6'!H128</f>
        <v>17.200000000000728</v>
      </c>
      <c r="I128" s="480"/>
      <c r="J128" s="552">
        <f>H128/DAY(B2)</f>
        <v>2.4571428571429612</v>
      </c>
      <c r="K128" s="380"/>
      <c r="L128" s="377"/>
      <c r="N128" s="382"/>
    </row>
    <row r="129" spans="1:14" s="281" customFormat="1" ht="27.75">
      <c r="A129" s="609" t="s">
        <v>234</v>
      </c>
      <c r="B129" s="1138"/>
      <c r="C129" s="1138"/>
      <c r="D129" s="523"/>
      <c r="E129" s="478"/>
      <c r="F129" s="478"/>
      <c r="G129" s="1053">
        <f>G15-SUM(G124:G128)</f>
        <v>473.09000000020387</v>
      </c>
      <c r="H129" s="460">
        <f>G129+'6'!H129</f>
        <v>2594.1400000001413</v>
      </c>
      <c r="I129" s="480"/>
      <c r="J129" s="552">
        <f>H129/DAY(B2)</f>
        <v>370.59142857144877</v>
      </c>
      <c r="K129" s="364"/>
      <c r="L129" s="292"/>
      <c r="N129" s="382"/>
    </row>
    <row r="130" spans="1:14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37" t="s">
        <v>238</v>
      </c>
      <c r="B132" s="1138"/>
      <c r="C132" s="1138"/>
      <c r="D132" s="523" t="s">
        <v>237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37" t="s">
        <v>239</v>
      </c>
      <c r="B133" s="1138"/>
      <c r="C133" s="1138"/>
      <c r="D133" s="523" t="s">
        <v>237</v>
      </c>
      <c r="E133" s="522">
        <f>'6'!F133</f>
        <v>40559</v>
      </c>
      <c r="F133" s="485">
        <v>40576</v>
      </c>
      <c r="G133" s="473">
        <f t="shared" si="14"/>
        <v>17</v>
      </c>
      <c r="H133" s="460">
        <f>G133+'6'!H133</f>
        <v>123</v>
      </c>
      <c r="I133" s="480"/>
      <c r="J133" s="552">
        <f>H133/DAY(B2)</f>
        <v>17.571428571428573</v>
      </c>
      <c r="N133" s="382"/>
    </row>
    <row r="134" spans="1:14" ht="27.75">
      <c r="A134" s="1137" t="s">
        <v>240</v>
      </c>
      <c r="B134" s="1138"/>
      <c r="C134" s="1138"/>
      <c r="D134" s="523" t="s">
        <v>237</v>
      </c>
      <c r="E134" s="701">
        <f>'6'!F134</f>
        <v>300.19</v>
      </c>
      <c r="F134" s="626">
        <v>300.19</v>
      </c>
      <c r="G134" s="773">
        <f t="shared" si="14"/>
        <v>0</v>
      </c>
      <c r="H134" s="460">
        <f>G134+'6'!H134</f>
        <v>0.18999999999999773</v>
      </c>
      <c r="I134" s="480">
        <f>G133+G134+G135+G136</f>
        <v>29.94999999999709</v>
      </c>
      <c r="J134" s="552">
        <f>H134/DAY(B2)</f>
        <v>2.714285714285682E-2</v>
      </c>
      <c r="N134" s="382"/>
    </row>
    <row r="135" spans="1:14" ht="27.75">
      <c r="A135" s="1137" t="s">
        <v>241</v>
      </c>
      <c r="B135" s="1138"/>
      <c r="C135" s="1138"/>
      <c r="D135" s="523" t="s">
        <v>237</v>
      </c>
      <c r="E135" s="522">
        <f>'6'!F135</f>
        <v>42042.15</v>
      </c>
      <c r="F135" s="485">
        <v>42055.1</v>
      </c>
      <c r="G135" s="473">
        <f t="shared" si="14"/>
        <v>12.94999999999709</v>
      </c>
      <c r="H135" s="460">
        <f>G135+'6'!H135</f>
        <v>83.099999999998545</v>
      </c>
      <c r="I135" s="480"/>
      <c r="J135" s="552">
        <f>H135/DAY(B2)</f>
        <v>11.871428571428364</v>
      </c>
      <c r="N135" s="382"/>
    </row>
    <row r="136" spans="1:14" ht="27.75">
      <c r="A136" s="1137" t="s">
        <v>242</v>
      </c>
      <c r="B136" s="1138"/>
      <c r="C136" s="1138"/>
      <c r="D136" s="523" t="s">
        <v>237</v>
      </c>
      <c r="E136" s="701">
        <f>'6'!F136</f>
        <v>32874</v>
      </c>
      <c r="F136" s="626">
        <v>32874</v>
      </c>
      <c r="G136" s="773">
        <f t="shared" si="14"/>
        <v>0</v>
      </c>
      <c r="H136" s="460">
        <f>G136+'6'!H136</f>
        <v>0</v>
      </c>
      <c r="I136" s="480"/>
      <c r="J136" s="552">
        <f>H136/DAY(B2)</f>
        <v>0</v>
      </c>
      <c r="N136" s="382"/>
    </row>
    <row r="137" spans="1:14" ht="27.75">
      <c r="A137" s="1137" t="s">
        <v>243</v>
      </c>
      <c r="B137" s="1138"/>
      <c r="C137" s="1138"/>
      <c r="D137" s="523" t="s">
        <v>237</v>
      </c>
      <c r="E137" s="541">
        <f>'6'!F137</f>
        <v>22925.1</v>
      </c>
      <c r="F137" s="651">
        <v>22934.21</v>
      </c>
      <c r="G137" s="473">
        <f t="shared" si="14"/>
        <v>9.1100000000005821</v>
      </c>
      <c r="H137" s="460">
        <f>G137+'6'!H137</f>
        <v>42.719999999997526</v>
      </c>
      <c r="I137" s="480">
        <f>G137+G138+G139</f>
        <v>9.1100000000005821</v>
      </c>
      <c r="J137" s="552">
        <f>H137/DAY(B2)</f>
        <v>6.1028571428567897</v>
      </c>
      <c r="N137" s="382"/>
    </row>
    <row r="138" spans="1:14" ht="27.75">
      <c r="A138" s="1137" t="s">
        <v>244</v>
      </c>
      <c r="B138" s="1138"/>
      <c r="C138" s="1138"/>
      <c r="D138" s="523" t="s">
        <v>237</v>
      </c>
      <c r="E138" s="541">
        <f>'6'!F138</f>
        <v>25095.02</v>
      </c>
      <c r="F138" s="651">
        <v>25095.02</v>
      </c>
      <c r="G138" s="473">
        <f t="shared" si="14"/>
        <v>0</v>
      </c>
      <c r="H138" s="460">
        <f>G138+'6'!H138</f>
        <v>3.6300000000010186</v>
      </c>
      <c r="I138" s="480"/>
      <c r="J138" s="552">
        <f>H138/DAY(B2)</f>
        <v>0.51857142857157412</v>
      </c>
      <c r="N138" s="382"/>
    </row>
    <row r="139" spans="1:14" ht="27.75">
      <c r="A139" s="1137" t="s">
        <v>245</v>
      </c>
      <c r="B139" s="1138"/>
      <c r="C139" s="1138"/>
      <c r="D139" s="523" t="s">
        <v>237</v>
      </c>
      <c r="E139" s="1059">
        <f>'6'!F139</f>
        <v>70514.289999999994</v>
      </c>
      <c r="F139" s="1060">
        <v>70514.289999999994</v>
      </c>
      <c r="G139" s="1053">
        <f t="shared" si="14"/>
        <v>0</v>
      </c>
      <c r="H139" s="460">
        <f>G139+'6'!H139</f>
        <v>0.66999999999825377</v>
      </c>
      <c r="I139" s="480"/>
      <c r="J139" s="552">
        <f>H139/DAY(B2)</f>
        <v>9.5714285714036257E-2</v>
      </c>
      <c r="N139" s="382"/>
    </row>
    <row r="140" spans="1:14" ht="27.75">
      <c r="A140" s="1137" t="s">
        <v>246</v>
      </c>
      <c r="B140" s="1138"/>
      <c r="C140" s="1138"/>
      <c r="D140" s="523" t="s">
        <v>237</v>
      </c>
      <c r="E140" s="522">
        <f>'6'!F140</f>
        <v>2191.73</v>
      </c>
      <c r="F140" s="485">
        <v>2201.29</v>
      </c>
      <c r="G140" s="473">
        <f t="shared" si="14"/>
        <v>9.5599999999999454</v>
      </c>
      <c r="H140" s="460">
        <f>G140+'6'!H140</f>
        <v>72.110000000000127</v>
      </c>
      <c r="I140" s="542">
        <f>G140+G141</f>
        <v>9.5599999999999454</v>
      </c>
      <c r="J140" s="552">
        <f>H140/DAY(B2)</f>
        <v>10.301428571428589</v>
      </c>
      <c r="N140" s="382"/>
    </row>
    <row r="141" spans="1:14" ht="27.75">
      <c r="A141" s="1137" t="s">
        <v>247</v>
      </c>
      <c r="B141" s="1138"/>
      <c r="C141" s="1138"/>
      <c r="D141" s="523" t="s">
        <v>237</v>
      </c>
      <c r="E141" s="1058">
        <f>'6'!F141</f>
        <v>4637</v>
      </c>
      <c r="F141" s="1055">
        <v>4637</v>
      </c>
      <c r="G141" s="1056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5641.8999999999069</v>
      </c>
      <c r="H143" s="460">
        <f>G143+'6'!H143</f>
        <v>38591.529999999912</v>
      </c>
      <c r="I143" s="480"/>
      <c r="J143" s="552">
        <f>H143/DAY(B2)</f>
        <v>5513.0757142857019</v>
      </c>
      <c r="K143" s="380"/>
      <c r="L143" s="377"/>
      <c r="N143" s="382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0.25869725602723959</v>
      </c>
      <c r="H144" s="460">
        <f>G144+'6'!H144</f>
        <v>1.800800348062193</v>
      </c>
      <c r="I144" s="544"/>
      <c r="J144" s="552">
        <f>H144/DAY(B2)</f>
        <v>0.25725719258031327</v>
      </c>
      <c r="K144" s="380"/>
      <c r="L144" s="377"/>
      <c r="N144" s="382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6831.7899999999208</v>
      </c>
      <c r="H145" s="460">
        <f>G145+'6'!H145</f>
        <v>47030.979999999981</v>
      </c>
      <c r="I145" s="480"/>
      <c r="J145" s="552">
        <f>H145/DAY(B2)</f>
        <v>6718.711428571426</v>
      </c>
      <c r="K145" s="380"/>
      <c r="L145" s="377"/>
      <c r="N145" s="382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0.31325711670790757</v>
      </c>
      <c r="H146" s="460">
        <f>G146+'6'!H146</f>
        <v>2.1885247674387194</v>
      </c>
      <c r="I146" s="544"/>
      <c r="J146" s="552">
        <f>H146/DAY(B2)</f>
        <v>0.31264639534838851</v>
      </c>
      <c r="K146" s="380"/>
      <c r="L146" s="377"/>
      <c r="N146" s="382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3603.3999999999651</v>
      </c>
      <c r="H147" s="460">
        <f>G147+'6'!H147</f>
        <v>25964.459999999963</v>
      </c>
      <c r="I147" s="545"/>
      <c r="J147" s="552">
        <f>H147/DAY(B2)</f>
        <v>3709.2085714285663</v>
      </c>
      <c r="K147" s="380"/>
      <c r="L147" s="377"/>
      <c r="N147" s="382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0.1652261990408482</v>
      </c>
      <c r="H148" s="460">
        <f>G148+'6'!H148</f>
        <v>1.2117538028719015</v>
      </c>
      <c r="I148" s="545"/>
      <c r="J148" s="552">
        <f>H148/DAY(B2)</f>
        <v>0.17310768612455735</v>
      </c>
      <c r="N148" s="382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1549.2399999999907</v>
      </c>
      <c r="H149" s="460">
        <f>G149+'6'!H149</f>
        <v>11259.199999999953</v>
      </c>
      <c r="I149" s="480"/>
      <c r="J149" s="552">
        <f>H149/DAY(B2)</f>
        <v>1608.4571428571362</v>
      </c>
      <c r="K149" s="381"/>
      <c r="N149" s="382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7.1037086252440637E-2</v>
      </c>
      <c r="H150" s="460">
        <f>G150+'6'!H150</f>
        <v>0.52429395935190959</v>
      </c>
      <c r="I150" s="545"/>
      <c r="J150" s="552">
        <f>H150/DAY(B2)</f>
        <v>7.4899137050272804E-2</v>
      </c>
      <c r="N150" s="382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2082.7699999999277</v>
      </c>
      <c r="H151" s="460">
        <f>G151+'6'!H151</f>
        <v>13375.05999999995</v>
      </c>
      <c r="I151" s="545"/>
      <c r="J151" s="552">
        <f>H151/DAY(B2)</f>
        <v>1910.72285714285</v>
      </c>
      <c r="N151" s="382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9.5500963139340284E-2</v>
      </c>
      <c r="H152" s="460">
        <f>G152+'6'!H152</f>
        <v>0.62201389615179736</v>
      </c>
      <c r="I152" s="480"/>
      <c r="J152" s="552">
        <f>H152/DAY(B2)</f>
        <v>8.8859128021685344E-2</v>
      </c>
      <c r="N152" s="382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1587.7400000000198</v>
      </c>
      <c r="H153" s="460">
        <f>G153+'6'!H153</f>
        <v>10555.660000000003</v>
      </c>
      <c r="I153" s="480"/>
      <c r="J153" s="552">
        <f>H153/DAY(B2)</f>
        <v>1507.951428571429</v>
      </c>
      <c r="N153" s="382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7.2802421397880374E-2</v>
      </c>
      <c r="H154" s="460">
        <f>G154+'6'!H154</f>
        <v>0.49276478924824119</v>
      </c>
      <c r="I154" s="568"/>
      <c r="J154" s="569">
        <f>H154/DAY(B2)</f>
        <v>7.039496989260588E-2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261</v>
      </c>
      <c r="B161" s="785"/>
      <c r="C161" s="785"/>
      <c r="D161" s="511" t="s">
        <v>185</v>
      </c>
      <c r="E161" s="1058">
        <f>'6'!F161</f>
        <v>41327.269999999997</v>
      </c>
      <c r="F161" s="658">
        <v>41404.589999999997</v>
      </c>
      <c r="G161" s="473">
        <f t="shared" ref="G161:G175" si="15">F161-E161</f>
        <v>77.319999999999709</v>
      </c>
    </row>
    <row r="162" spans="1:7">
      <c r="A162" s="784" t="s">
        <v>262</v>
      </c>
      <c r="B162" s="785"/>
      <c r="C162" s="785"/>
      <c r="D162" s="511" t="s">
        <v>185</v>
      </c>
      <c r="E162" s="1058">
        <f>'6'!F162</f>
        <v>110516.26</v>
      </c>
      <c r="F162" s="658">
        <v>110961.59</v>
      </c>
      <c r="G162" s="473">
        <f t="shared" si="15"/>
        <v>445.33000000000175</v>
      </c>
    </row>
    <row r="163" spans="1:7">
      <c r="A163" s="784" t="s">
        <v>263</v>
      </c>
      <c r="B163" s="785"/>
      <c r="C163" s="785"/>
      <c r="D163" s="511" t="s">
        <v>185</v>
      </c>
      <c r="E163" s="1058">
        <f>'6'!F163</f>
        <v>62472.43</v>
      </c>
      <c r="F163" s="658">
        <v>62675.17</v>
      </c>
      <c r="G163" s="473">
        <f t="shared" si="15"/>
        <v>202.73999999999796</v>
      </c>
    </row>
    <row r="164" spans="1:7">
      <c r="A164" s="784" t="s">
        <v>264</v>
      </c>
      <c r="B164" s="785"/>
      <c r="C164" s="785"/>
      <c r="D164" s="511" t="s">
        <v>185</v>
      </c>
      <c r="E164" s="1058">
        <f>'6'!F164</f>
        <v>6901.57</v>
      </c>
      <c r="F164" s="658">
        <v>6911.89</v>
      </c>
      <c r="G164" s="473">
        <f t="shared" si="15"/>
        <v>10.320000000000618</v>
      </c>
    </row>
    <row r="165" spans="1:7">
      <c r="A165" s="786" t="s">
        <v>97</v>
      </c>
      <c r="B165" s="604"/>
      <c r="C165" s="604"/>
      <c r="D165" s="511" t="s">
        <v>185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6" t="s">
        <v>186</v>
      </c>
      <c r="B166" s="604"/>
      <c r="C166" s="604"/>
      <c r="D166" s="511" t="s">
        <v>185</v>
      </c>
      <c r="E166" s="1058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9" t="s">
        <v>98</v>
      </c>
      <c r="B167" s="1549"/>
      <c r="C167" s="1549"/>
      <c r="D167" s="523" t="s">
        <v>185</v>
      </c>
      <c r="E167" s="1058">
        <f>'6'!F167</f>
        <v>172289.81</v>
      </c>
      <c r="F167" s="514">
        <f t="shared" si="16"/>
        <v>172723.35</v>
      </c>
      <c r="G167" s="473">
        <f t="shared" si="15"/>
        <v>433.54000000000815</v>
      </c>
    </row>
    <row r="168" spans="1:7" ht="27.75">
      <c r="A168" s="1549" t="s">
        <v>99</v>
      </c>
      <c r="B168" s="1549"/>
      <c r="C168" s="1549"/>
      <c r="D168" s="523" t="s">
        <v>185</v>
      </c>
      <c r="E168" s="1058">
        <f>'6'!F168</f>
        <v>172711.63</v>
      </c>
      <c r="F168" s="514">
        <f t="shared" si="16"/>
        <v>172978.93</v>
      </c>
      <c r="G168" s="473">
        <f t="shared" si="15"/>
        <v>267.29999999998836</v>
      </c>
    </row>
    <row r="169" spans="1:7" ht="27.75">
      <c r="A169" s="1549" t="s">
        <v>100</v>
      </c>
      <c r="B169" s="1549"/>
      <c r="C169" s="1549"/>
      <c r="D169" s="523" t="s">
        <v>185</v>
      </c>
      <c r="E169" s="1058">
        <f>'6'!F169</f>
        <v>70486.509999999995</v>
      </c>
      <c r="F169" s="514">
        <f t="shared" si="16"/>
        <v>70913.820000000007</v>
      </c>
      <c r="G169" s="473">
        <f t="shared" si="15"/>
        <v>427.31000000001222</v>
      </c>
    </row>
    <row r="170" spans="1:7" ht="27.75">
      <c r="A170" s="1549" t="s">
        <v>101</v>
      </c>
      <c r="B170" s="1549"/>
      <c r="C170" s="1549"/>
      <c r="D170" s="523" t="s">
        <v>185</v>
      </c>
      <c r="E170" s="1058">
        <f>'6'!F170</f>
        <v>267883.99</v>
      </c>
      <c r="F170" s="514">
        <f t="shared" si="16"/>
        <v>268376.69</v>
      </c>
      <c r="G170" s="473">
        <f t="shared" si="15"/>
        <v>492.70000000001164</v>
      </c>
    </row>
    <row r="171" spans="1:7" ht="27.75">
      <c r="A171" s="1549" t="s">
        <v>102</v>
      </c>
      <c r="B171" s="1549"/>
      <c r="C171" s="1549"/>
      <c r="D171" s="523" t="s">
        <v>185</v>
      </c>
      <c r="E171" s="1058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1058">
        <f>'6'!F172</f>
        <v>88975.85</v>
      </c>
      <c r="F172" s="514">
        <f t="shared" si="16"/>
        <v>89197.440000000002</v>
      </c>
      <c r="G172" s="473">
        <f t="shared" si="15"/>
        <v>221.58999999999651</v>
      </c>
    </row>
    <row r="173" spans="1:7">
      <c r="A173" s="1590" t="s">
        <v>348</v>
      </c>
      <c r="B173" s="1553"/>
      <c r="C173" s="785"/>
      <c r="D173" s="523" t="s">
        <v>185</v>
      </c>
      <c r="E173" s="1058">
        <f>'6'!F173</f>
        <v>19030.7</v>
      </c>
      <c r="F173" s="532">
        <v>19035.3</v>
      </c>
      <c r="G173" s="473">
        <f t="shared" si="15"/>
        <v>4.5999999999985448</v>
      </c>
    </row>
    <row r="174" spans="1:7">
      <c r="A174" s="1590" t="s">
        <v>348</v>
      </c>
      <c r="B174" s="1553"/>
      <c r="C174" s="785"/>
      <c r="D174" s="523" t="s">
        <v>185</v>
      </c>
      <c r="E174" s="1058">
        <f>'6'!F174</f>
        <v>70373.2</v>
      </c>
      <c r="F174" s="532">
        <v>70379.399999999994</v>
      </c>
      <c r="G174" s="473">
        <f t="shared" si="15"/>
        <v>6.1999999999970896</v>
      </c>
    </row>
    <row r="175" spans="1:7">
      <c r="A175" s="1590" t="s">
        <v>349</v>
      </c>
      <c r="B175" s="1553"/>
      <c r="C175" s="785"/>
      <c r="D175" s="523" t="s">
        <v>185</v>
      </c>
      <c r="E175" s="1058">
        <f>'6'!F175</f>
        <v>27654.5</v>
      </c>
      <c r="F175" s="532">
        <v>27658.7</v>
      </c>
      <c r="G175" s="473">
        <f t="shared" si="15"/>
        <v>4.2000000000007276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view="pageBreakPreview" topLeftCell="A153" zoomScale="55" zoomScaleSheetLayoutView="55" workbookViewId="0">
      <selection activeCell="F185" sqref="F185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352</v>
      </c>
      <c r="B2" s="1031">
        <v>44385</v>
      </c>
      <c r="C2" s="1139" t="s">
        <v>68</v>
      </c>
      <c r="D2" s="611">
        <v>0.5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139" t="s">
        <v>118</v>
      </c>
      <c r="D3" s="612">
        <v>27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39" t="s">
        <v>120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/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129</v>
      </c>
      <c r="B7" s="677"/>
      <c r="C7" s="677"/>
      <c r="D7" s="637" t="s">
        <v>130</v>
      </c>
      <c r="E7" s="633">
        <f>'7'!F7</f>
        <v>72175.240000000005</v>
      </c>
      <c r="F7" s="455">
        <v>93795.56</v>
      </c>
      <c r="G7" s="678">
        <f>F7-E7</f>
        <v>21620.319999999992</v>
      </c>
      <c r="H7" s="679">
        <f>G7+'7'!H7</f>
        <v>171842.56000000006</v>
      </c>
      <c r="I7" s="680">
        <f>'1'!I7</f>
        <v>12000</v>
      </c>
      <c r="J7" s="681">
        <f>H7/DAY(B2)</f>
        <v>21480.320000000007</v>
      </c>
      <c r="K7" s="549"/>
      <c r="L7" s="377"/>
      <c r="N7" s="708">
        <v>11335</v>
      </c>
      <c r="O7" s="382">
        <f>G7-N7</f>
        <v>10285.319999999992</v>
      </c>
    </row>
    <row r="8" spans="1:15" ht="27.75" thickBot="1">
      <c r="A8" s="682" t="s">
        <v>131</v>
      </c>
      <c r="B8" s="683"/>
      <c r="C8" s="684"/>
      <c r="D8" s="685" t="s">
        <v>25</v>
      </c>
      <c r="E8" s="633">
        <f>'7'!F8</f>
        <v>77732.62</v>
      </c>
      <c r="F8" s="475">
        <v>99453.79</v>
      </c>
      <c r="G8" s="689">
        <f>F8-E8</f>
        <v>21721.17</v>
      </c>
      <c r="H8" s="679">
        <f>G8+'7'!H8</f>
        <v>172731.78999999998</v>
      </c>
      <c r="I8" s="686">
        <v>12000</v>
      </c>
      <c r="J8" s="681">
        <f>H8/DAY(B2)</f>
        <v>21591.473749999997</v>
      </c>
      <c r="K8" s="549"/>
      <c r="L8" s="425"/>
      <c r="M8" s="440"/>
      <c r="N8" s="703"/>
    </row>
    <row r="9" spans="1:15">
      <c r="A9" s="687" t="s">
        <v>132</v>
      </c>
      <c r="B9" s="688"/>
      <c r="C9" s="688"/>
      <c r="D9" s="637" t="s">
        <v>130</v>
      </c>
      <c r="E9" s="633">
        <f>'7'!F9</f>
        <v>2178263.2999999998</v>
      </c>
      <c r="F9" s="478">
        <v>2199177.2999999998</v>
      </c>
      <c r="G9" s="702">
        <f t="shared" ref="G9:G12" si="0">F9-E9</f>
        <v>20914</v>
      </c>
      <c r="H9" s="679">
        <f>G9+'7'!H9</f>
        <v>168175.29999999981</v>
      </c>
      <c r="I9" s="690">
        <f>I7-J7</f>
        <v>-9480.320000000007</v>
      </c>
      <c r="J9" s="681">
        <f>H9/DAY(B2)</f>
        <v>21021.912499999977</v>
      </c>
      <c r="K9" s="428"/>
      <c r="L9" s="377"/>
      <c r="N9" s="382"/>
    </row>
    <row r="10" spans="1:15">
      <c r="A10" s="676" t="s">
        <v>133</v>
      </c>
      <c r="B10" s="677"/>
      <c r="C10" s="677"/>
      <c r="D10" s="637" t="s">
        <v>130</v>
      </c>
      <c r="E10" s="633">
        <f>'7'!F10</f>
        <v>2606.5500000000002</v>
      </c>
      <c r="F10" s="478">
        <v>2606.5500000000002</v>
      </c>
      <c r="G10" s="689">
        <f t="shared" si="0"/>
        <v>0</v>
      </c>
      <c r="H10" s="679">
        <f>G10+'7'!H10</f>
        <v>0</v>
      </c>
      <c r="I10" s="691"/>
      <c r="J10" s="681">
        <f>H10/DAY(B2)</f>
        <v>0</v>
      </c>
      <c r="K10" s="428"/>
      <c r="L10" s="377"/>
      <c r="N10" s="382"/>
    </row>
    <row r="11" spans="1:15">
      <c r="A11" s="676" t="s">
        <v>134</v>
      </c>
      <c r="B11" s="677"/>
      <c r="C11" s="677"/>
      <c r="D11" s="637" t="s">
        <v>130</v>
      </c>
      <c r="E11" s="633">
        <f>'7'!F11</f>
        <v>37000</v>
      </c>
      <c r="F11" s="455">
        <v>37000</v>
      </c>
      <c r="G11" s="689">
        <f t="shared" si="0"/>
        <v>0</v>
      </c>
      <c r="H11" s="679">
        <f>G11+'7'!H11</f>
        <v>0</v>
      </c>
      <c r="I11" s="691"/>
      <c r="J11" s="681">
        <f>H11/DAY(B2)</f>
        <v>0</v>
      </c>
      <c r="K11" s="428"/>
      <c r="L11" s="377"/>
      <c r="N11" s="382"/>
    </row>
    <row r="12" spans="1:15">
      <c r="A12" s="676" t="s">
        <v>135</v>
      </c>
      <c r="B12" s="677"/>
      <c r="C12" s="677"/>
      <c r="D12" s="637" t="s">
        <v>130</v>
      </c>
      <c r="E12" s="633">
        <f>'7'!F12</f>
        <v>40010</v>
      </c>
      <c r="F12" s="478">
        <v>40010</v>
      </c>
      <c r="G12" s="689">
        <f t="shared" si="0"/>
        <v>0</v>
      </c>
      <c r="H12" s="679">
        <f>G12+'7'!H12</f>
        <v>0</v>
      </c>
      <c r="I12" s="691"/>
      <c r="J12" s="681">
        <f>H12/DAY(B2)</f>
        <v>0</v>
      </c>
      <c r="K12" s="428"/>
      <c r="L12" s="377"/>
      <c r="N12" s="382"/>
    </row>
    <row r="13" spans="1:15">
      <c r="A13" s="692" t="s">
        <v>136</v>
      </c>
      <c r="B13" s="693"/>
      <c r="C13" s="693"/>
      <c r="D13" s="637"/>
      <c r="E13" s="633"/>
      <c r="F13" s="455">
        <v>0</v>
      </c>
      <c r="G13" s="694">
        <f>G9+G10+G11+G12</f>
        <v>20914</v>
      </c>
      <c r="H13" s="679">
        <f>G13+'7'!H13</f>
        <v>168175.29999999981</v>
      </c>
      <c r="I13" s="695">
        <f>G7-G13</f>
        <v>706.31999999999243</v>
      </c>
      <c r="J13" s="681">
        <f>H13/DAY(B2)</f>
        <v>21021.912499999977</v>
      </c>
      <c r="K13" s="428"/>
      <c r="L13" s="377"/>
      <c r="N13" s="382"/>
    </row>
    <row r="14" spans="1:15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213</v>
      </c>
    </row>
    <row r="15" spans="1:15">
      <c r="A15" s="665" t="s">
        <v>138</v>
      </c>
      <c r="B15" s="666"/>
      <c r="C15" s="666"/>
      <c r="D15" s="667" t="s">
        <v>139</v>
      </c>
      <c r="E15" s="668">
        <f>'7'!F15</f>
        <v>1709045.61</v>
      </c>
      <c r="F15" s="485">
        <v>1709867.16</v>
      </c>
      <c r="G15" s="664">
        <f>(F15-E15)</f>
        <v>821.54999999981374</v>
      </c>
      <c r="H15" s="1457">
        <f>G15+'7'!H15</f>
        <v>6184.1599999999162</v>
      </c>
      <c r="I15" s="1458">
        <v>800</v>
      </c>
      <c r="J15" s="1459">
        <f>H15/DAY(B2)</f>
        <v>773.01999999998952</v>
      </c>
      <c r="K15" s="428"/>
      <c r="L15" s="377"/>
      <c r="N15" s="382"/>
    </row>
    <row r="16" spans="1:15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26.980000000010477</v>
      </c>
      <c r="J16" s="672"/>
      <c r="K16" s="428"/>
      <c r="L16" s="377"/>
      <c r="N16" s="382"/>
    </row>
    <row r="17" spans="1:14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10" t="s">
        <v>141</v>
      </c>
      <c r="B18" s="1611"/>
      <c r="C18" s="1612"/>
      <c r="D18" s="637" t="s">
        <v>142</v>
      </c>
      <c r="E18" s="634">
        <f>'7'!F18</f>
        <v>11</v>
      </c>
      <c r="F18" s="626">
        <v>10</v>
      </c>
      <c r="G18" s="694">
        <f>F18*10</f>
        <v>100</v>
      </c>
      <c r="H18" s="679">
        <f>G18+'7'!H18</f>
        <v>1030</v>
      </c>
      <c r="I18" s="680">
        <f>'1'!I18</f>
        <v>65</v>
      </c>
      <c r="J18" s="681">
        <f>H18/DAY(B2)</f>
        <v>128.75</v>
      </c>
      <c r="K18" s="428"/>
      <c r="L18" s="377"/>
      <c r="N18" s="382"/>
    </row>
    <row r="19" spans="1:14" ht="27.75">
      <c r="A19" s="1610" t="s">
        <v>70</v>
      </c>
      <c r="B19" s="1611"/>
      <c r="C19" s="1612"/>
      <c r="D19" s="637" t="s">
        <v>142</v>
      </c>
      <c r="E19" s="634">
        <f>'7'!F19</f>
        <v>141920</v>
      </c>
      <c r="F19" s="478">
        <v>141981</v>
      </c>
      <c r="G19" s="689">
        <f t="shared" ref="G19" si="1">F19-E19</f>
        <v>61</v>
      </c>
      <c r="H19" s="679">
        <f>G19+'7'!H19</f>
        <v>486</v>
      </c>
      <c r="I19" s="696"/>
      <c r="J19" s="681">
        <f>H19/DAY(B2)</f>
        <v>60.75</v>
      </c>
      <c r="K19" s="428"/>
      <c r="L19" s="377"/>
      <c r="N19" s="382"/>
    </row>
    <row r="20" spans="1:14">
      <c r="A20" s="692" t="s">
        <v>143</v>
      </c>
      <c r="B20" s="693"/>
      <c r="C20" s="693"/>
      <c r="D20" s="637"/>
      <c r="E20" s="637"/>
      <c r="F20" s="523"/>
      <c r="G20" s="697">
        <f>G18+G19</f>
        <v>161</v>
      </c>
      <c r="H20" s="679">
        <f>G20+'7'!H20</f>
        <v>1516</v>
      </c>
      <c r="I20" s="698">
        <f>I18-J20</f>
        <v>-124.5</v>
      </c>
      <c r="J20" s="681">
        <f>H20/DAY(B2)</f>
        <v>189.5</v>
      </c>
      <c r="K20" s="428"/>
      <c r="L20" s="377"/>
      <c r="N20" s="382"/>
    </row>
    <row r="21" spans="1:14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7" t="s">
        <v>145</v>
      </c>
      <c r="B22" s="589"/>
      <c r="C22" s="589"/>
      <c r="D22" s="523" t="s">
        <v>146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7" t="s">
        <v>147</v>
      </c>
      <c r="B23" s="589"/>
      <c r="C23" s="589"/>
      <c r="D23" s="523" t="s">
        <v>146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148</v>
      </c>
      <c r="B24" s="591"/>
      <c r="C24" s="591"/>
      <c r="D24" s="511" t="s">
        <v>146</v>
      </c>
      <c r="E24" s="493">
        <f>'7'!F24</f>
        <v>4970</v>
      </c>
      <c r="F24" s="493">
        <v>4970</v>
      </c>
      <c r="G24" s="759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21721.17</v>
      </c>
      <c r="F27" s="501">
        <v>9</v>
      </c>
      <c r="G27" s="502">
        <f>E27*F27</f>
        <v>195490.52999999997</v>
      </c>
      <c r="H27" s="460">
        <f>G27+'7'!H27</f>
        <v>1554586.1099999999</v>
      </c>
      <c r="I27" s="503"/>
      <c r="J27" s="552">
        <f>H27/DAY(B2)</f>
        <v>194323.26374999998</v>
      </c>
      <c r="K27" s="373"/>
      <c r="L27" s="443"/>
      <c r="N27" s="382"/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821.54999999981374</v>
      </c>
      <c r="F28" s="501">
        <v>52</v>
      </c>
      <c r="G28" s="502">
        <f t="shared" ref="G28:G31" si="2">E28*F28</f>
        <v>42720.599999990314</v>
      </c>
      <c r="H28" s="460">
        <f>G28+'7'!H28</f>
        <v>321576.31999999564</v>
      </c>
      <c r="I28" s="505"/>
      <c r="J28" s="552">
        <f>H28/DAY(B2)</f>
        <v>40197.039999999455</v>
      </c>
      <c r="K28" s="373"/>
      <c r="L28" s="443"/>
      <c r="N28" s="382"/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61</v>
      </c>
      <c r="F30" s="501">
        <v>146</v>
      </c>
      <c r="G30" s="502">
        <f t="shared" si="2"/>
        <v>8906</v>
      </c>
      <c r="H30" s="460">
        <f>G30+'7'!H30</f>
        <v>70372</v>
      </c>
      <c r="I30" s="505"/>
      <c r="J30" s="552">
        <f>H30/DAY(B2)</f>
        <v>8796.5</v>
      </c>
      <c r="K30" s="373"/>
      <c r="L30" s="443"/>
      <c r="N30" s="382"/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100</v>
      </c>
      <c r="F31" s="501">
        <v>80</v>
      </c>
      <c r="G31" s="502">
        <f t="shared" si="2"/>
        <v>8000</v>
      </c>
      <c r="H31" s="460">
        <f>G31+'7'!H31</f>
        <v>76800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255117.12999999028</v>
      </c>
      <c r="H32" s="460">
        <f>G32+'7'!H32</f>
        <v>2023334.4299999953</v>
      </c>
      <c r="I32" s="509"/>
      <c r="J32" s="552">
        <f>H32/DAY(B2)</f>
        <v>252916.80374999941</v>
      </c>
      <c r="K32" s="373"/>
      <c r="L32" s="443"/>
      <c r="N32" s="382"/>
    </row>
    <row r="33" spans="1:14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</row>
    <row r="34" spans="1:14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162</v>
      </c>
      <c r="B35" s="579"/>
      <c r="C35" s="579"/>
      <c r="D35" s="523" t="s">
        <v>130</v>
      </c>
      <c r="E35" s="510">
        <f>'7'!F35</f>
        <v>1049089.8999999999</v>
      </c>
      <c r="F35" s="510">
        <v>1052231.6000000001</v>
      </c>
      <c r="G35" s="473">
        <f t="shared" ref="G35:G46" si="3">F35-E35</f>
        <v>3141.7000000001863</v>
      </c>
      <c r="H35" s="460">
        <f>G35+'7'!H35</f>
        <v>23517.600000000093</v>
      </c>
      <c r="I35" s="455"/>
      <c r="J35" s="552">
        <f>H35/DAY(B2)</f>
        <v>2939.7000000000116</v>
      </c>
      <c r="K35" s="428"/>
      <c r="L35" s="377"/>
      <c r="N35" s="382"/>
    </row>
    <row r="36" spans="1:14">
      <c r="A36" s="578" t="s">
        <v>163</v>
      </c>
      <c r="B36" s="579"/>
      <c r="C36" s="579"/>
      <c r="D36" s="523" t="s">
        <v>130</v>
      </c>
      <c r="E36" s="510">
        <f>'7'!F36</f>
        <v>25963.99</v>
      </c>
      <c r="F36" s="510">
        <v>26638.62</v>
      </c>
      <c r="G36" s="473">
        <f t="shared" si="3"/>
        <v>674.62999999999738</v>
      </c>
      <c r="H36" s="460">
        <f>G36+'7'!H36</f>
        <v>6177.619999999999</v>
      </c>
      <c r="I36" s="455"/>
      <c r="J36" s="552">
        <f>H36/DAY(B2)</f>
        <v>772.20249999999987</v>
      </c>
      <c r="K36" s="428"/>
      <c r="L36" s="377"/>
      <c r="N36" s="628"/>
    </row>
    <row r="37" spans="1:14">
      <c r="A37" s="578" t="s">
        <v>164</v>
      </c>
      <c r="B37" s="579"/>
      <c r="C37" s="579"/>
      <c r="D37" s="523" t="s">
        <v>130</v>
      </c>
      <c r="E37" s="510">
        <f>'7'!F37</f>
        <v>187125.79</v>
      </c>
      <c r="F37" s="510">
        <v>188689.01</v>
      </c>
      <c r="G37" s="473">
        <f t="shared" si="3"/>
        <v>1563.2200000000012</v>
      </c>
      <c r="H37" s="460">
        <f>G37+'7'!H37</f>
        <v>12119.010000000009</v>
      </c>
      <c r="I37" s="455"/>
      <c r="J37" s="552">
        <f>H37/DAY(B2)</f>
        <v>1514.8762500000012</v>
      </c>
      <c r="K37" s="428"/>
      <c r="L37" s="377"/>
      <c r="N37" s="629"/>
    </row>
    <row r="38" spans="1:14">
      <c r="A38" s="578" t="s">
        <v>165</v>
      </c>
      <c r="B38" s="579"/>
      <c r="C38" s="579"/>
      <c r="D38" s="523" t="s">
        <v>130</v>
      </c>
      <c r="E38" s="469">
        <f>'7'!F38</f>
        <v>209718.13</v>
      </c>
      <c r="F38" s="469">
        <v>211263.29</v>
      </c>
      <c r="G38" s="473">
        <f t="shared" si="3"/>
        <v>1545.1600000000035</v>
      </c>
      <c r="H38" s="460">
        <f>G38+'7'!H38</f>
        <v>12804.290000000008</v>
      </c>
      <c r="I38" s="455"/>
      <c r="J38" s="552">
        <f>H38/DAY(B2)</f>
        <v>1600.536250000001</v>
      </c>
      <c r="K38" s="428"/>
      <c r="L38" s="377"/>
      <c r="N38" s="382"/>
    </row>
    <row r="39" spans="1:14">
      <c r="A39" s="578" t="s">
        <v>166</v>
      </c>
      <c r="B39" s="579"/>
      <c r="C39" s="579"/>
      <c r="D39" s="523" t="s">
        <v>130</v>
      </c>
      <c r="E39" s="510">
        <f>'7'!F39</f>
        <v>430828.79</v>
      </c>
      <c r="F39" s="510">
        <v>434381.19</v>
      </c>
      <c r="G39" s="473">
        <f t="shared" si="3"/>
        <v>3552.4000000000233</v>
      </c>
      <c r="H39" s="460">
        <f>G39+'7'!H39</f>
        <v>29517.190000000002</v>
      </c>
      <c r="I39" s="455"/>
      <c r="J39" s="552">
        <f>H39/DAY(B2)</f>
        <v>3689.6487500000003</v>
      </c>
      <c r="K39" s="428"/>
      <c r="L39" s="377"/>
      <c r="N39" s="382"/>
    </row>
    <row r="40" spans="1:14">
      <c r="A40" s="599" t="s">
        <v>167</v>
      </c>
      <c r="B40" s="600"/>
      <c r="C40" s="600"/>
      <c r="D40" s="523" t="s">
        <v>130</v>
      </c>
      <c r="E40" s="510">
        <f>'7'!F40</f>
        <v>9831.77</v>
      </c>
      <c r="F40" s="510">
        <v>10218.9</v>
      </c>
      <c r="G40" s="473">
        <f t="shared" si="3"/>
        <v>387.1299999999992</v>
      </c>
      <c r="H40" s="460">
        <f>G40+'7'!H40</f>
        <v>3105.8999999999996</v>
      </c>
      <c r="I40" s="455"/>
      <c r="J40" s="552">
        <f>H40/DAY(B2)</f>
        <v>388.23749999999995</v>
      </c>
      <c r="K40" s="429"/>
      <c r="L40" s="377"/>
      <c r="N40" s="382"/>
    </row>
    <row r="41" spans="1:14">
      <c r="A41" s="578" t="s">
        <v>168</v>
      </c>
      <c r="B41" s="579"/>
      <c r="C41" s="579"/>
      <c r="D41" s="523" t="s">
        <v>130</v>
      </c>
      <c r="E41" s="510">
        <f>'7'!F41</f>
        <v>358143.27</v>
      </c>
      <c r="F41" s="1054">
        <v>359557.35</v>
      </c>
      <c r="G41" s="473">
        <f t="shared" si="3"/>
        <v>1414.0799999999581</v>
      </c>
      <c r="H41" s="460">
        <f>G41+'7'!H41</f>
        <v>29915.349999999977</v>
      </c>
      <c r="I41" s="455"/>
      <c r="J41" s="552">
        <f>H41/DAY(B2)</f>
        <v>3739.4187499999971</v>
      </c>
      <c r="K41" s="428"/>
      <c r="L41" s="377"/>
      <c r="N41" s="382"/>
    </row>
    <row r="42" spans="1:14">
      <c r="A42" s="578" t="s">
        <v>169</v>
      </c>
      <c r="B42" s="579"/>
      <c r="C42" s="579"/>
      <c r="D42" s="523" t="s">
        <v>130</v>
      </c>
      <c r="E42" s="510">
        <f>'7'!F42</f>
        <v>59210.080000000002</v>
      </c>
      <c r="F42" s="510">
        <v>59210.080000000002</v>
      </c>
      <c r="G42" s="473">
        <f t="shared" si="3"/>
        <v>0</v>
      </c>
      <c r="H42" s="460">
        <f>G42+'7'!H42</f>
        <v>11.190000000002328</v>
      </c>
      <c r="I42" s="455"/>
      <c r="J42" s="552">
        <f>H42/DAY(B2)</f>
        <v>1.398750000000291</v>
      </c>
      <c r="K42" s="428"/>
      <c r="L42" s="377"/>
      <c r="N42" s="382"/>
    </row>
    <row r="43" spans="1:14">
      <c r="A43" s="578" t="s">
        <v>170</v>
      </c>
      <c r="B43" s="579"/>
      <c r="C43" s="579"/>
      <c r="D43" s="523" t="s">
        <v>130</v>
      </c>
      <c r="E43" s="510">
        <f>'7'!F43</f>
        <v>1138667.5</v>
      </c>
      <c r="F43" s="510">
        <v>1141436.5</v>
      </c>
      <c r="G43" s="473">
        <f t="shared" si="3"/>
        <v>2769</v>
      </c>
      <c r="H43" s="460">
        <f>G43+'7'!H43</f>
        <v>20984.5</v>
      </c>
      <c r="I43" s="455"/>
      <c r="J43" s="552">
        <f>H43/DAY(B2)</f>
        <v>2623.0625</v>
      </c>
      <c r="K43" s="428"/>
      <c r="L43" s="377"/>
      <c r="N43" s="382"/>
    </row>
    <row r="44" spans="1:14">
      <c r="A44" s="578" t="s">
        <v>171</v>
      </c>
      <c r="B44" s="579"/>
      <c r="C44" s="579"/>
      <c r="D44" s="523" t="s">
        <v>130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172</v>
      </c>
      <c r="B45" s="579"/>
      <c r="C45" s="579"/>
      <c r="D45" s="523" t="s">
        <v>130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173</v>
      </c>
      <c r="B46" s="579"/>
      <c r="C46" s="579"/>
      <c r="D46" s="523" t="s">
        <v>130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15047.320000000169</v>
      </c>
      <c r="H47" s="460">
        <f>G47+'7'!H47</f>
        <v>138953.65000000008</v>
      </c>
      <c r="I47" s="455"/>
      <c r="J47" s="552">
        <f>H47/DAY(B2)</f>
        <v>17369.20625000001</v>
      </c>
      <c r="K47" s="428"/>
      <c r="L47" s="377"/>
      <c r="N47" s="382"/>
    </row>
    <row r="48" spans="1:14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162</v>
      </c>
      <c r="B49" s="601"/>
      <c r="C49" s="601"/>
      <c r="D49" s="523" t="s">
        <v>130</v>
      </c>
      <c r="E49" s="510">
        <f>'7'!F49</f>
        <v>260732.13</v>
      </c>
      <c r="F49" s="1054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176</v>
      </c>
      <c r="B50" s="601"/>
      <c r="C50" s="601"/>
      <c r="D50" s="523" t="s">
        <v>130</v>
      </c>
      <c r="E50" s="510">
        <f>'7'!F50</f>
        <v>542535.06999999995</v>
      </c>
      <c r="F50" s="510">
        <v>543624.69999999995</v>
      </c>
      <c r="G50" s="473">
        <f>F50-E50</f>
        <v>1089.6300000000047</v>
      </c>
      <c r="H50" s="460">
        <f>G50+'7'!H50</f>
        <v>8961.6999999999534</v>
      </c>
      <c r="I50" s="455"/>
      <c r="J50" s="552">
        <f>H50/DAY(B2)</f>
        <v>1120.2124999999942</v>
      </c>
      <c r="K50" s="428"/>
      <c r="L50" s="377"/>
      <c r="N50" s="382"/>
    </row>
    <row r="51" spans="1:14">
      <c r="A51" s="578" t="s">
        <v>164</v>
      </c>
      <c r="B51" s="601"/>
      <c r="C51" s="601"/>
      <c r="D51" s="523" t="s">
        <v>130</v>
      </c>
      <c r="E51" s="510">
        <f>'7'!F51</f>
        <v>144639.87</v>
      </c>
      <c r="F51" s="1054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177</v>
      </c>
      <c r="B52" s="601"/>
      <c r="C52" s="601"/>
      <c r="D52" s="523" t="s">
        <v>130</v>
      </c>
      <c r="E52" s="510">
        <f>'7'!F52</f>
        <v>539606.06999999995</v>
      </c>
      <c r="F52" s="1054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166</v>
      </c>
      <c r="B53" s="601"/>
      <c r="C53" s="601"/>
      <c r="D53" s="523" t="s">
        <v>130</v>
      </c>
      <c r="E53" s="510">
        <f>'7'!F53</f>
        <v>434231.67</v>
      </c>
      <c r="F53" s="1054">
        <v>434231.67</v>
      </c>
      <c r="G53" s="473">
        <f t="shared" si="4"/>
        <v>0</v>
      </c>
      <c r="H53" s="460">
        <f>G53+'7'!H53</f>
        <v>-0.33000000001629815</v>
      </c>
      <c r="I53" s="455"/>
      <c r="J53" s="552">
        <f>H53/DAY(B2)</f>
        <v>-4.1250000002037268E-2</v>
      </c>
      <c r="K53" s="428"/>
      <c r="L53" s="377"/>
      <c r="N53" s="382"/>
    </row>
    <row r="54" spans="1:14">
      <c r="A54" s="578" t="s">
        <v>178</v>
      </c>
      <c r="B54" s="601"/>
      <c r="C54" s="601"/>
      <c r="D54" s="523" t="s">
        <v>130</v>
      </c>
      <c r="E54" s="510">
        <f>'7'!F54</f>
        <v>14967</v>
      </c>
      <c r="F54" s="510">
        <v>14967</v>
      </c>
      <c r="G54" s="473">
        <f t="shared" si="4"/>
        <v>0</v>
      </c>
      <c r="H54" s="460">
        <f>G54+'7'!H54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179</v>
      </c>
      <c r="B55" s="601"/>
      <c r="C55" s="601"/>
      <c r="D55" s="523" t="s">
        <v>130</v>
      </c>
      <c r="E55" s="510">
        <f>'7'!F55</f>
        <v>136079.04999999999</v>
      </c>
      <c r="F55" s="653">
        <v>141395.53</v>
      </c>
      <c r="G55" s="652">
        <f t="shared" si="4"/>
        <v>5316.4800000000105</v>
      </c>
      <c r="H55" s="705">
        <f>G55+'7'!H55</f>
        <v>23759.53</v>
      </c>
      <c r="I55" s="706"/>
      <c r="J55" s="707">
        <f>H55/DAY(B2)</f>
        <v>2969.9412499999999</v>
      </c>
      <c r="K55" s="428"/>
      <c r="L55" s="377"/>
      <c r="N55" s="382"/>
    </row>
    <row r="56" spans="1:14">
      <c r="A56" s="578" t="s">
        <v>180</v>
      </c>
      <c r="B56" s="601"/>
      <c r="C56" s="601"/>
      <c r="D56" s="523" t="s">
        <v>181</v>
      </c>
      <c r="E56" s="510">
        <f>'7'!F56</f>
        <v>649107.47</v>
      </c>
      <c r="F56" s="653">
        <v>649118.23</v>
      </c>
      <c r="G56" s="473">
        <f t="shared" si="4"/>
        <v>10.760000000009313</v>
      </c>
      <c r="H56" s="460">
        <f>G56+'7'!H56</f>
        <v>86.229999999981374</v>
      </c>
      <c r="I56" s="455"/>
      <c r="J56" s="552">
        <f>H56/DAY(B2)</f>
        <v>10.778749999997672</v>
      </c>
      <c r="K56" s="427"/>
      <c r="L56" s="377"/>
      <c r="N56" s="382"/>
    </row>
    <row r="57" spans="1:14">
      <c r="A57" s="578" t="s">
        <v>170</v>
      </c>
      <c r="B57" s="601"/>
      <c r="C57" s="601"/>
      <c r="D57" s="523" t="s">
        <v>130</v>
      </c>
      <c r="E57" s="510">
        <f>'7'!F57</f>
        <v>7711</v>
      </c>
      <c r="F57" s="1054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182</v>
      </c>
      <c r="B58" s="601"/>
      <c r="C58" s="601"/>
      <c r="D58" s="523" t="s">
        <v>130</v>
      </c>
      <c r="E58" s="510">
        <f>'7'!F58</f>
        <v>55026.6</v>
      </c>
      <c r="F58" s="653">
        <v>55203.97</v>
      </c>
      <c r="G58" s="473">
        <f t="shared" si="4"/>
        <v>177.37000000000262</v>
      </c>
      <c r="H58" s="460">
        <f>G58+'7'!H58</f>
        <v>1217.9700000000012</v>
      </c>
      <c r="I58" s="455"/>
      <c r="J58" s="552">
        <f>H58/DAY(B2)</f>
        <v>152.24625000000015</v>
      </c>
      <c r="K58" s="428"/>
      <c r="L58" s="377"/>
      <c r="N58" s="382"/>
    </row>
    <row r="59" spans="1:14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6594.2400000000271</v>
      </c>
      <c r="H59" s="460">
        <f>G59+'7'!H59</f>
        <v>34025.169999999867</v>
      </c>
      <c r="I59" s="455">
        <f>G7-G60</f>
        <v>-21.24000000020169</v>
      </c>
      <c r="J59" s="552">
        <f>H59/DAY(B2)</f>
        <v>4253.1462499999834</v>
      </c>
      <c r="K59" s="428"/>
      <c r="L59" s="377"/>
      <c r="N59" s="382"/>
    </row>
    <row r="60" spans="1:14">
      <c r="A60" s="578"/>
      <c r="B60" s="579"/>
      <c r="C60" s="579"/>
      <c r="D60" s="511" t="s">
        <v>183</v>
      </c>
      <c r="E60" s="511"/>
      <c r="F60" s="511"/>
      <c r="G60" s="481">
        <f>G47+G59</f>
        <v>21641.560000000194</v>
      </c>
      <c r="H60" s="460">
        <f>G60+'7'!H60</f>
        <v>172978.81999999998</v>
      </c>
      <c r="I60" s="455">
        <f>G13-G60</f>
        <v>-727.56000000019412</v>
      </c>
      <c r="J60" s="552">
        <f>H60/DAY(B2)</f>
        <v>21622.352499999997</v>
      </c>
      <c r="K60" s="428"/>
      <c r="L60" s="377"/>
      <c r="N60" s="382"/>
    </row>
    <row r="61" spans="1:14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185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186</v>
      </c>
      <c r="B63" s="604"/>
      <c r="C63" s="604"/>
      <c r="D63" s="511" t="s">
        <v>185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3" t="s">
        <v>98</v>
      </c>
      <c r="B64" s="1544"/>
      <c r="C64" s="1545"/>
      <c r="D64" s="523" t="s">
        <v>185</v>
      </c>
      <c r="E64" s="514">
        <f>'7'!F64</f>
        <v>172723.35</v>
      </c>
      <c r="F64" s="478">
        <v>173248.39</v>
      </c>
      <c r="G64" s="473">
        <f t="shared" si="5"/>
        <v>525.04000000000815</v>
      </c>
      <c r="H64" s="460">
        <f>G64+'7'!H64</f>
        <v>3226.390000000014</v>
      </c>
      <c r="I64" s="480"/>
      <c r="J64" s="552">
        <f>H64/DAY(B2)</f>
        <v>403.29875000000175</v>
      </c>
      <c r="K64" s="428"/>
      <c r="L64" s="377"/>
      <c r="N64" s="382"/>
    </row>
    <row r="65" spans="1:14" ht="27.75">
      <c r="A65" s="1543" t="s">
        <v>99</v>
      </c>
      <c r="B65" s="1544"/>
      <c r="C65" s="1545"/>
      <c r="D65" s="523" t="s">
        <v>185</v>
      </c>
      <c r="E65" s="514">
        <f>'7'!F65</f>
        <v>172978.93</v>
      </c>
      <c r="F65" s="651">
        <v>173250.75</v>
      </c>
      <c r="G65" s="473">
        <f t="shared" si="5"/>
        <v>271.82000000000698</v>
      </c>
      <c r="H65" s="460">
        <f>G65+'7'!H65</f>
        <v>2948.75</v>
      </c>
      <c r="I65" s="489"/>
      <c r="J65" s="552">
        <f>H65/DAY(B2)</f>
        <v>368.59375</v>
      </c>
      <c r="K65" s="428"/>
      <c r="L65" s="377"/>
      <c r="N65" s="382"/>
    </row>
    <row r="66" spans="1:14" ht="27.75">
      <c r="A66" s="1543" t="s">
        <v>100</v>
      </c>
      <c r="B66" s="1544"/>
      <c r="C66" s="1545"/>
      <c r="D66" s="523" t="s">
        <v>185</v>
      </c>
      <c r="E66" s="514">
        <f>'7'!F66</f>
        <v>70913.820000000007</v>
      </c>
      <c r="F66" s="478">
        <v>71312.03</v>
      </c>
      <c r="G66" s="473">
        <f t="shared" si="5"/>
        <v>398.20999999999185</v>
      </c>
      <c r="H66" s="460">
        <f>G66+'7'!H66</f>
        <v>3342.0299999999988</v>
      </c>
      <c r="I66" s="480"/>
      <c r="J66" s="552">
        <f>H66/DAY(B2)</f>
        <v>417.75374999999985</v>
      </c>
      <c r="K66" s="428"/>
      <c r="L66" s="377"/>
      <c r="N66" s="382"/>
    </row>
    <row r="67" spans="1:14" ht="27.75">
      <c r="A67" s="1543" t="s">
        <v>101</v>
      </c>
      <c r="B67" s="1544"/>
      <c r="C67" s="1545"/>
      <c r="D67" s="523" t="s">
        <v>185</v>
      </c>
      <c r="E67" s="514">
        <f>'7'!F67</f>
        <v>268376.69</v>
      </c>
      <c r="F67" s="478">
        <v>268821.13</v>
      </c>
      <c r="G67" s="473">
        <f t="shared" si="5"/>
        <v>444.44000000000233</v>
      </c>
      <c r="H67" s="460">
        <f>G67+'7'!H67</f>
        <v>3862.1300000000047</v>
      </c>
      <c r="I67" s="489"/>
      <c r="J67" s="552">
        <f>H67/DAY(B2)</f>
        <v>482.76625000000058</v>
      </c>
      <c r="K67" s="429"/>
      <c r="L67" s="377"/>
      <c r="N67" s="382"/>
    </row>
    <row r="68" spans="1:14" ht="27.75">
      <c r="A68" s="1543" t="s">
        <v>102</v>
      </c>
      <c r="B68" s="1544"/>
      <c r="C68" s="1545"/>
      <c r="D68" s="523" t="s">
        <v>185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3" t="s">
        <v>103</v>
      </c>
      <c r="B69" s="1544"/>
      <c r="C69" s="1545"/>
      <c r="D69" s="523" t="s">
        <v>185</v>
      </c>
      <c r="E69" s="514">
        <f>'7'!F69</f>
        <v>89197.440000000002</v>
      </c>
      <c r="F69" s="478">
        <v>89459.06</v>
      </c>
      <c r="G69" s="473">
        <f t="shared" si="5"/>
        <v>261.61999999999534</v>
      </c>
      <c r="H69" s="460">
        <f>G69+'7'!H69</f>
        <v>1944.0599999999977</v>
      </c>
      <c r="I69" s="516"/>
      <c r="J69" s="552">
        <f>H69/DAY(B2)</f>
        <v>243.00749999999971</v>
      </c>
      <c r="K69" s="431"/>
      <c r="L69" s="377"/>
      <c r="N69" s="382"/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518" t="s">
        <v>266</v>
      </c>
      <c r="G70" s="518"/>
      <c r="H70" s="460"/>
      <c r="I70" s="518"/>
      <c r="J70" s="556"/>
      <c r="K70" s="431"/>
      <c r="L70" s="377"/>
      <c r="N70" s="382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</row>
    <row r="72" spans="1:14" ht="27.75">
      <c r="A72" s="1543" t="s">
        <v>189</v>
      </c>
      <c r="B72" s="1544"/>
      <c r="C72" s="1545"/>
      <c r="D72" s="523" t="s">
        <v>185</v>
      </c>
      <c r="E72" s="519">
        <f>'7'!F72</f>
        <v>856303</v>
      </c>
      <c r="F72" s="654">
        <v>856316</v>
      </c>
      <c r="G72" s="473">
        <f t="shared" ref="G72:G84" si="6">F72-E72</f>
        <v>13</v>
      </c>
      <c r="H72" s="460">
        <f>G72+'7'!H72</f>
        <v>94</v>
      </c>
      <c r="I72" s="480"/>
      <c r="J72" s="552">
        <f>H72/DAY(B2)</f>
        <v>11.75</v>
      </c>
      <c r="K72" s="431"/>
      <c r="L72" s="377"/>
      <c r="N72" s="382"/>
    </row>
    <row r="73" spans="1:14" ht="27.75">
      <c r="A73" s="1543" t="s">
        <v>190</v>
      </c>
      <c r="B73" s="1544"/>
      <c r="C73" s="1545"/>
      <c r="D73" s="523" t="s">
        <v>185</v>
      </c>
      <c r="E73" s="519">
        <f>'7'!F73</f>
        <v>885981</v>
      </c>
      <c r="F73" s="655">
        <v>885982</v>
      </c>
      <c r="G73" s="652">
        <f t="shared" si="6"/>
        <v>1</v>
      </c>
      <c r="H73" s="460">
        <f>G73+'7'!H73</f>
        <v>10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43" t="s">
        <v>191</v>
      </c>
      <c r="B74" s="1544"/>
      <c r="C74" s="1545"/>
      <c r="D74" s="523" t="s">
        <v>185</v>
      </c>
      <c r="E74" s="519">
        <f>'7'!F74</f>
        <v>88704.3</v>
      </c>
      <c r="F74" s="654">
        <v>88705.3</v>
      </c>
      <c r="G74" s="473">
        <f t="shared" si="6"/>
        <v>1</v>
      </c>
      <c r="H74" s="460">
        <f>G74+'7'!H74</f>
        <v>9.3000000000029104</v>
      </c>
      <c r="I74" s="480"/>
      <c r="J74" s="552">
        <f>H74/DAY(B2)</f>
        <v>1.1625000000003638</v>
      </c>
      <c r="K74" s="431"/>
      <c r="L74" s="377"/>
      <c r="N74" s="382"/>
    </row>
    <row r="75" spans="1:14" ht="27.75">
      <c r="A75" s="1546" t="s">
        <v>192</v>
      </c>
      <c r="B75" s="1547"/>
      <c r="C75" s="1548"/>
      <c r="D75" s="523" t="s">
        <v>185</v>
      </c>
      <c r="E75" s="519">
        <f>'7'!F75</f>
        <v>17104.669999999998</v>
      </c>
      <c r="F75" s="655">
        <v>17248.810000000001</v>
      </c>
      <c r="G75" s="473">
        <f t="shared" si="6"/>
        <v>144.14000000000306</v>
      </c>
      <c r="H75" s="460">
        <f>G75+'7'!H75</f>
        <v>1177.8100000000013</v>
      </c>
      <c r="I75" s="480"/>
      <c r="J75" s="552">
        <f>H75/DAY(B2)</f>
        <v>147.22625000000016</v>
      </c>
      <c r="K75" s="430"/>
      <c r="L75" s="377"/>
      <c r="N75" s="382"/>
    </row>
    <row r="76" spans="1:14" ht="27.75">
      <c r="A76" s="1546" t="s">
        <v>193</v>
      </c>
      <c r="B76" s="1547"/>
      <c r="C76" s="1548"/>
      <c r="D76" s="523" t="s">
        <v>185</v>
      </c>
      <c r="E76" s="519">
        <f>'7'!F76</f>
        <v>9803.36</v>
      </c>
      <c r="F76" s="655">
        <v>9870.58</v>
      </c>
      <c r="G76" s="473">
        <f t="shared" si="6"/>
        <v>67.219999999999345</v>
      </c>
      <c r="H76" s="460">
        <f>G76+'7'!H76</f>
        <v>534.57999999999993</v>
      </c>
      <c r="I76" s="505"/>
      <c r="J76" s="552">
        <f>H76/DAY(B2)</f>
        <v>66.822499999999991</v>
      </c>
      <c r="K76" s="430"/>
      <c r="L76" s="377"/>
      <c r="N76" s="382"/>
    </row>
    <row r="77" spans="1:14" ht="27.75">
      <c r="A77" s="1543" t="s">
        <v>194</v>
      </c>
      <c r="B77" s="1544"/>
      <c r="C77" s="1545"/>
      <c r="D77" s="523" t="s">
        <v>185</v>
      </c>
      <c r="E77" s="519">
        <f>'7'!F77</f>
        <v>704787</v>
      </c>
      <c r="F77" s="654">
        <v>704858</v>
      </c>
      <c r="G77" s="652">
        <f t="shared" si="6"/>
        <v>71</v>
      </c>
      <c r="H77" s="460">
        <f>G77+'7'!H77</f>
        <v>484</v>
      </c>
      <c r="I77" s="505"/>
      <c r="J77" s="552">
        <f>H77/DAY(B2)</f>
        <v>60.5</v>
      </c>
      <c r="K77" s="430"/>
      <c r="L77" s="377"/>
      <c r="N77" s="382"/>
    </row>
    <row r="78" spans="1:14" ht="27.75">
      <c r="A78" s="1140" t="s">
        <v>195</v>
      </c>
      <c r="B78" s="1113"/>
      <c r="C78" s="1113"/>
      <c r="D78" s="523" t="s">
        <v>185</v>
      </c>
      <c r="E78" s="519">
        <f>'7'!F78</f>
        <v>676232</v>
      </c>
      <c r="F78" s="656">
        <v>676318</v>
      </c>
      <c r="G78" s="473">
        <f t="shared" si="6"/>
        <v>86</v>
      </c>
      <c r="H78" s="460">
        <f>G78+'7'!H78</f>
        <v>904</v>
      </c>
      <c r="I78" s="505"/>
      <c r="J78" s="552">
        <f>H78/DAY(B2)</f>
        <v>113</v>
      </c>
      <c r="K78" s="430"/>
      <c r="L78" s="377"/>
      <c r="N78" s="382"/>
    </row>
    <row r="79" spans="1:14" ht="27.75">
      <c r="A79" s="1546" t="s">
        <v>91</v>
      </c>
      <c r="B79" s="1547"/>
      <c r="C79" s="1548"/>
      <c r="D79" s="524" t="s">
        <v>185</v>
      </c>
      <c r="E79" s="519">
        <f>'7'!F79</f>
        <v>836460</v>
      </c>
      <c r="F79" s="654">
        <v>836612</v>
      </c>
      <c r="G79" s="473">
        <f t="shared" si="6"/>
        <v>152</v>
      </c>
      <c r="H79" s="460">
        <f>G79+'7'!H79</f>
        <v>1196</v>
      </c>
      <c r="I79" s="505"/>
      <c r="J79" s="552">
        <f>H79/DAY(B2)</f>
        <v>149.5</v>
      </c>
      <c r="K79" s="430"/>
      <c r="L79" s="377"/>
      <c r="N79" s="382"/>
    </row>
    <row r="80" spans="1:14" ht="27.75">
      <c r="A80" s="1546" t="s">
        <v>196</v>
      </c>
      <c r="B80" s="1547"/>
      <c r="C80" s="1548"/>
      <c r="D80" s="524" t="s">
        <v>185</v>
      </c>
      <c r="E80" s="519">
        <f>'7'!F80</f>
        <v>541840.04</v>
      </c>
      <c r="F80" s="655">
        <v>542254.28</v>
      </c>
      <c r="G80" s="473">
        <f t="shared" si="6"/>
        <v>414.23999999999069</v>
      </c>
      <c r="H80" s="460">
        <f>G80+'7'!H80</f>
        <v>3241.2800000000279</v>
      </c>
      <c r="I80" s="505"/>
      <c r="J80" s="552">
        <f>H80/DAY(B2)</f>
        <v>405.16000000000349</v>
      </c>
      <c r="K80" s="430"/>
      <c r="L80" s="377"/>
      <c r="N80" s="382"/>
    </row>
    <row r="81" spans="1:15" ht="27.75">
      <c r="A81" s="1546" t="s">
        <v>197</v>
      </c>
      <c r="B81" s="1547"/>
      <c r="C81" s="1548"/>
      <c r="D81" s="524" t="s">
        <v>185</v>
      </c>
      <c r="E81" s="519">
        <f>'7'!F81</f>
        <v>644242.80000000005</v>
      </c>
      <c r="F81" s="655">
        <v>644437.64</v>
      </c>
      <c r="G81" s="473">
        <f t="shared" si="6"/>
        <v>194.8399999999674</v>
      </c>
      <c r="H81" s="460">
        <f>G81+'7'!H81</f>
        <v>1452.640000000014</v>
      </c>
      <c r="I81" s="505"/>
      <c r="J81" s="552">
        <f>H81/DAY(B2)</f>
        <v>181.58000000000175</v>
      </c>
      <c r="K81" s="430"/>
      <c r="L81" s="377"/>
      <c r="N81" s="382"/>
    </row>
    <row r="82" spans="1:15" ht="27.75">
      <c r="A82" s="1546" t="s">
        <v>92</v>
      </c>
      <c r="B82" s="1547"/>
      <c r="C82" s="1548"/>
      <c r="D82" s="485" t="s">
        <v>130</v>
      </c>
      <c r="E82" s="519">
        <f>'7'!F82</f>
        <v>108827.97</v>
      </c>
      <c r="F82" s="651">
        <v>108847.85</v>
      </c>
      <c r="G82" s="473">
        <f t="shared" si="6"/>
        <v>19.880000000004657</v>
      </c>
      <c r="H82" s="460">
        <f>G82+'7'!H82</f>
        <v>166.85000000000582</v>
      </c>
      <c r="I82" s="486"/>
      <c r="J82" s="552">
        <f>H82/DAY(B2)</f>
        <v>20.856250000000728</v>
      </c>
      <c r="K82" s="430"/>
      <c r="L82" s="377"/>
      <c r="N82" s="382"/>
    </row>
    <row r="83" spans="1:15" ht="27.75">
      <c r="A83" s="1546" t="s">
        <v>198</v>
      </c>
      <c r="B83" s="1547"/>
      <c r="C83" s="1548"/>
      <c r="D83" s="620" t="s">
        <v>130</v>
      </c>
      <c r="E83" s="519">
        <f>'7'!F83</f>
        <v>29253</v>
      </c>
      <c r="F83" s="620">
        <v>29478</v>
      </c>
      <c r="G83" s="473">
        <f t="shared" si="6"/>
        <v>225</v>
      </c>
      <c r="H83" s="460">
        <f>G83+'7'!H83</f>
        <v>1927</v>
      </c>
      <c r="I83" s="481"/>
      <c r="J83" s="552">
        <f>H83/DAY(B2)</f>
        <v>240.875</v>
      </c>
      <c r="K83" s="429"/>
      <c r="L83" s="377"/>
      <c r="N83" s="382"/>
    </row>
    <row r="84" spans="1:15">
      <c r="A84" s="1141" t="s">
        <v>199</v>
      </c>
      <c r="B84" s="571"/>
      <c r="C84" s="571"/>
      <c r="D84" s="478" t="s">
        <v>130</v>
      </c>
      <c r="E84" s="519">
        <f>'7'!F84</f>
        <v>528829</v>
      </c>
      <c r="F84" s="627">
        <v>529638</v>
      </c>
      <c r="G84" s="473">
        <f t="shared" si="6"/>
        <v>809</v>
      </c>
      <c r="H84" s="460">
        <f>G84+'7'!H84</f>
        <v>6558</v>
      </c>
      <c r="I84" s="481"/>
      <c r="J84" s="552">
        <f>H84/DAY(B2)</f>
        <v>819.75</v>
      </c>
      <c r="K84" s="380"/>
      <c r="L84" s="377"/>
      <c r="N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2198.3199999999651</v>
      </c>
      <c r="H85" s="460">
        <f>G85+'7'!H85</f>
        <v>17755.46000000005</v>
      </c>
      <c r="I85" s="481"/>
      <c r="J85" s="552">
        <f>H85/DAY(B2)</f>
        <v>2219.4325000000063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'7'!F86</f>
        <v>461989.2</v>
      </c>
      <c r="F86" s="647">
        <v>462018.92</v>
      </c>
      <c r="G86" s="705">
        <f t="shared" ref="G86:G91" si="7">F86-E86</f>
        <v>29.71999999997206</v>
      </c>
      <c r="H86" s="705">
        <f t="shared" ref="H86:H88" si="8">G86</f>
        <v>29.71999999997206</v>
      </c>
      <c r="I86" s="652"/>
      <c r="J86" s="707">
        <f>H86/DAY(B2)</f>
        <v>3.7149999999965075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'7'!F87</f>
        <v>82288.600000000006</v>
      </c>
      <c r="F87" s="647">
        <v>82320</v>
      </c>
      <c r="G87" s="705">
        <f t="shared" si="7"/>
        <v>31.399999999994179</v>
      </c>
      <c r="H87" s="705">
        <f t="shared" si="8"/>
        <v>31.399999999994179</v>
      </c>
      <c r="I87" s="652"/>
      <c r="J87" s="707">
        <f>H87/DAY(B2)</f>
        <v>3.9249999999992724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'7'!F88</f>
        <v>156105.09</v>
      </c>
      <c r="F88" s="647">
        <v>156256.66</v>
      </c>
      <c r="G88" s="705">
        <f t="shared" si="7"/>
        <v>151.57000000000698</v>
      </c>
      <c r="H88" s="705">
        <f t="shared" si="8"/>
        <v>151.57000000000698</v>
      </c>
      <c r="I88" s="652"/>
      <c r="J88" s="707">
        <f>H88/DAY(B2)</f>
        <v>18.946250000000873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627">
        <f>'7'!F89</f>
        <v>66099.5</v>
      </c>
      <c r="F89" s="647">
        <v>66275.600000000006</v>
      </c>
      <c r="G89" s="705">
        <f t="shared" si="7"/>
        <v>176.10000000000582</v>
      </c>
      <c r="H89" s="705">
        <f>G89</f>
        <v>176.10000000000582</v>
      </c>
      <c r="I89" s="652"/>
      <c r="J89" s="707">
        <f>H89/DAY(B2)</f>
        <v>22.012500000000728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'7'!F90</f>
        <v>3367.9</v>
      </c>
      <c r="F90" s="647">
        <v>3374.9</v>
      </c>
      <c r="G90" s="705">
        <f t="shared" si="7"/>
        <v>7</v>
      </c>
      <c r="H90" s="705">
        <f>G90</f>
        <v>7</v>
      </c>
      <c r="I90" s="652"/>
      <c r="J90" s="707">
        <f>H90/DAY(B2)</f>
        <v>0.875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27">
        <f>'7'!F91</f>
        <v>28306.76</v>
      </c>
      <c r="F91" s="647">
        <v>28315.7</v>
      </c>
      <c r="G91" s="705">
        <f t="shared" si="7"/>
        <v>8.9400000000023283</v>
      </c>
      <c r="H91" s="705">
        <f>G91</f>
        <v>8.9400000000023283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'7'!F93</f>
        <v>248074</v>
      </c>
      <c r="F93" s="478">
        <v>248155</v>
      </c>
      <c r="G93" s="473">
        <f t="shared" ref="G93" si="9">F93-E93</f>
        <v>81</v>
      </c>
      <c r="H93" s="460">
        <f>G93+'7'!H93</f>
        <v>803</v>
      </c>
      <c r="I93" s="480"/>
      <c r="J93" s="552">
        <f>H93/DAY(B2)</f>
        <v>100.375</v>
      </c>
      <c r="K93" s="429"/>
      <c r="L93" s="377"/>
      <c r="N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'7'!F94</f>
        <v>190240</v>
      </c>
      <c r="F94" s="485">
        <v>190361</v>
      </c>
      <c r="G94" s="473">
        <f>F94-E94</f>
        <v>121</v>
      </c>
      <c r="H94" s="460">
        <f>G94+'7'!H94</f>
        <v>907</v>
      </c>
      <c r="I94" s="480"/>
      <c r="J94" s="552">
        <f>H94/DAY(B2)</f>
        <v>113.375</v>
      </c>
      <c r="K94" s="380"/>
      <c r="L94" s="377"/>
      <c r="N94" s="382"/>
    </row>
    <row r="95" spans="1:15">
      <c r="A95" s="1594" t="s">
        <v>206</v>
      </c>
      <c r="B95" s="1595"/>
      <c r="C95" s="1596"/>
      <c r="D95" s="523"/>
      <c r="E95" s="484">
        <f>'7'!F95</f>
        <v>0</v>
      </c>
      <c r="F95" s="478"/>
      <c r="G95" s="473">
        <f>G93+G94</f>
        <v>202</v>
      </c>
      <c r="H95" s="460">
        <f>G95+'7'!H95</f>
        <v>1524</v>
      </c>
      <c r="I95" s="480"/>
      <c r="J95" s="552">
        <f>H95/DAY(B2)</f>
        <v>190.5</v>
      </c>
      <c r="K95" s="380"/>
      <c r="L95" s="377"/>
      <c r="N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'7'!F96</f>
        <v>416689</v>
      </c>
      <c r="F96" s="478">
        <v>416769</v>
      </c>
      <c r="G96" s="473">
        <f t="shared" ref="G96:G101" si="10">F96-E96</f>
        <v>80</v>
      </c>
      <c r="H96" s="460">
        <f>G96+'7'!H96</f>
        <v>770</v>
      </c>
      <c r="I96" s="480"/>
      <c r="J96" s="552">
        <f>H96/DAY(B2)</f>
        <v>96.25</v>
      </c>
      <c r="K96" s="380"/>
      <c r="L96" s="377"/>
      <c r="N96" s="382"/>
    </row>
    <row r="97" spans="1:14" ht="27.75">
      <c r="A97" s="1137" t="s">
        <v>208</v>
      </c>
      <c r="B97" s="1138"/>
      <c r="C97" s="1138"/>
      <c r="D97" s="523" t="s">
        <v>142</v>
      </c>
      <c r="E97" s="484">
        <f>'7'!F97</f>
        <v>103309</v>
      </c>
      <c r="F97" s="478">
        <v>103326</v>
      </c>
      <c r="G97" s="473">
        <f t="shared" si="10"/>
        <v>17</v>
      </c>
      <c r="H97" s="460">
        <f>G97+'7'!H97</f>
        <v>163</v>
      </c>
      <c r="I97" s="480"/>
      <c r="J97" s="552">
        <f>H97/DAY(B2)</f>
        <v>20.375</v>
      </c>
      <c r="K97" s="427"/>
      <c r="L97" s="377"/>
      <c r="N97" s="382"/>
    </row>
    <row r="98" spans="1:14" ht="27.75">
      <c r="A98" s="1137" t="s">
        <v>209</v>
      </c>
      <c r="B98" s="1138"/>
      <c r="C98" s="1138"/>
      <c r="D98" s="523" t="s">
        <v>142</v>
      </c>
      <c r="E98" s="484">
        <f>'7'!F98</f>
        <v>98818</v>
      </c>
      <c r="F98" s="478">
        <v>98842</v>
      </c>
      <c r="G98" s="473">
        <f t="shared" si="10"/>
        <v>24</v>
      </c>
      <c r="H98" s="460">
        <f>G98+'7'!H98</f>
        <v>185</v>
      </c>
      <c r="I98" s="480"/>
      <c r="J98" s="552">
        <f>H98/DAY(B2)</f>
        <v>23.125</v>
      </c>
      <c r="K98" s="432"/>
      <c r="L98" s="377"/>
      <c r="N98" s="382"/>
    </row>
    <row r="99" spans="1:14" ht="27.75">
      <c r="A99" s="1137" t="s">
        <v>210</v>
      </c>
      <c r="B99" s="1138"/>
      <c r="C99" s="1138"/>
      <c r="D99" s="523" t="s">
        <v>142</v>
      </c>
      <c r="E99" s="484">
        <f>'7'!F99</f>
        <v>150650</v>
      </c>
      <c r="F99" s="478">
        <v>150670</v>
      </c>
      <c r="G99" s="473">
        <f t="shared" si="10"/>
        <v>20</v>
      </c>
      <c r="H99" s="460">
        <f>G99+'7'!H99</f>
        <v>265</v>
      </c>
      <c r="I99" s="480"/>
      <c r="J99" s="552">
        <f>H99/DAY(B2)</f>
        <v>33.125</v>
      </c>
      <c r="K99" s="380"/>
      <c r="L99" s="377"/>
      <c r="N99" s="704"/>
    </row>
    <row r="100" spans="1:14" ht="27.75">
      <c r="A100" s="1137" t="s">
        <v>211</v>
      </c>
      <c r="B100" s="1138"/>
      <c r="C100" s="1138"/>
      <c r="D100" s="523" t="s">
        <v>142</v>
      </c>
      <c r="E100" s="484">
        <f>'7'!F100</f>
        <v>7866</v>
      </c>
      <c r="F100" s="478">
        <v>7873</v>
      </c>
      <c r="G100" s="473">
        <f t="shared" si="10"/>
        <v>7</v>
      </c>
      <c r="H100" s="460">
        <f>G100+'7'!H100</f>
        <v>76</v>
      </c>
      <c r="I100" s="480"/>
      <c r="J100" s="552">
        <f>H100/DAY(B2)</f>
        <v>9.5</v>
      </c>
      <c r="K100" s="380"/>
      <c r="L100" s="377"/>
      <c r="N100" s="382"/>
    </row>
    <row r="101" spans="1:14" ht="27.75">
      <c r="A101" s="1137" t="s">
        <v>212</v>
      </c>
      <c r="B101" s="1138"/>
      <c r="C101" s="1138"/>
      <c r="D101" s="523" t="s">
        <v>142</v>
      </c>
      <c r="E101" s="484">
        <f>'7'!F101</f>
        <v>5728</v>
      </c>
      <c r="F101" s="478">
        <v>5737</v>
      </c>
      <c r="G101" s="473">
        <f t="shared" si="10"/>
        <v>9</v>
      </c>
      <c r="H101" s="460">
        <f>G101+'7'!H101</f>
        <v>63</v>
      </c>
      <c r="I101" s="480"/>
      <c r="J101" s="552">
        <f>H101/DAY(B2)</f>
        <v>7.875</v>
      </c>
      <c r="K101" s="380"/>
      <c r="L101" s="377"/>
      <c r="N101" s="382"/>
    </row>
    <row r="102" spans="1:14">
      <c r="A102" s="1594" t="s">
        <v>214</v>
      </c>
      <c r="B102" s="1595"/>
      <c r="C102" s="1596"/>
      <c r="D102" s="524"/>
      <c r="E102" s="524"/>
      <c r="F102" s="524"/>
      <c r="G102" s="525">
        <f>SUM(G96:G101)</f>
        <v>157</v>
      </c>
      <c r="H102" s="460">
        <f>G102+'7'!H102</f>
        <v>1522</v>
      </c>
      <c r="I102" s="526"/>
      <c r="J102" s="552">
        <f>H102/DAY(B2)</f>
        <v>190.25</v>
      </c>
      <c r="K102" s="380"/>
      <c r="L102" s="377"/>
      <c r="N102" s="382"/>
    </row>
    <row r="103" spans="1:14" s="442" customFormat="1" ht="27">
      <c r="A103" s="607" t="s">
        <v>215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7" t="s">
        <v>216</v>
      </c>
      <c r="B104" s="159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4" t="s">
        <v>217</v>
      </c>
      <c r="B105" s="1555"/>
      <c r="C105" s="1136"/>
      <c r="D105" s="622" t="s">
        <v>142</v>
      </c>
      <c r="E105" s="532">
        <f>'7'!F105</f>
        <v>7767</v>
      </c>
      <c r="F105" s="658">
        <v>7767</v>
      </c>
      <c r="G105" s="532">
        <f>F105-E105</f>
        <v>0</v>
      </c>
      <c r="H105" s="460">
        <f>G105+'7'!H105</f>
        <v>130</v>
      </c>
      <c r="I105" s="532"/>
      <c r="J105" s="558">
        <f>H105/DAY(B2)</f>
        <v>16.25</v>
      </c>
      <c r="N105" s="382"/>
    </row>
    <row r="106" spans="1:14" s="442" customFormat="1" ht="27.75">
      <c r="A106" s="1554" t="s">
        <v>76</v>
      </c>
      <c r="B106" s="1555"/>
      <c r="C106" s="1136"/>
      <c r="D106" s="622" t="s">
        <v>142</v>
      </c>
      <c r="E106" s="532">
        <f>'7'!F106</f>
        <v>36218</v>
      </c>
      <c r="F106" s="803">
        <v>36225</v>
      </c>
      <c r="G106" s="532">
        <f t="shared" ref="G106:G107" si="11">F106-E106</f>
        <v>7</v>
      </c>
      <c r="H106" s="460">
        <f>G106+'7'!H106</f>
        <v>63</v>
      </c>
      <c r="I106" s="532"/>
      <c r="J106" s="558">
        <f>H106/DAY(B2)</f>
        <v>7.875</v>
      </c>
      <c r="N106" s="382"/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532">
        <f>'7'!F107</f>
        <v>19848</v>
      </c>
      <c r="F107" s="659">
        <v>19853</v>
      </c>
      <c r="G107" s="532">
        <f t="shared" si="11"/>
        <v>5</v>
      </c>
      <c r="H107" s="460">
        <f>G107+'7'!H107</f>
        <v>31</v>
      </c>
      <c r="I107" s="532"/>
      <c r="J107" s="558">
        <f>H107/DAY(B2)</f>
        <v>3.875</v>
      </c>
      <c r="N107" s="382"/>
    </row>
    <row r="108" spans="1:14" s="442" customFormat="1" ht="27.75">
      <c r="A108" s="1556" t="s">
        <v>200</v>
      </c>
      <c r="B108" s="1557"/>
      <c r="C108" s="1136"/>
      <c r="D108" s="622"/>
      <c r="E108" s="532"/>
      <c r="F108" s="659"/>
      <c r="G108" s="532">
        <f>SUM(G105:G107)</f>
        <v>12</v>
      </c>
      <c r="H108" s="460">
        <f>G108+'7'!H108</f>
        <v>224</v>
      </c>
      <c r="I108" s="532"/>
      <c r="J108" s="558">
        <f>H108/DAY(B2)</f>
        <v>28</v>
      </c>
      <c r="N108" s="382"/>
    </row>
    <row r="109" spans="1:14" s="442" customFormat="1" ht="27.75">
      <c r="A109" s="1560" t="s">
        <v>78</v>
      </c>
      <c r="B109" s="1561"/>
      <c r="C109" s="1136"/>
      <c r="D109" s="622" t="s">
        <v>142</v>
      </c>
      <c r="E109" s="532"/>
      <c r="F109" s="659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54" t="s">
        <v>218</v>
      </c>
      <c r="B110" s="1555"/>
      <c r="C110" s="1136"/>
      <c r="D110" s="622" t="s">
        <v>142</v>
      </c>
      <c r="E110" s="532">
        <f>'7'!F110</f>
        <v>65394</v>
      </c>
      <c r="F110" s="659">
        <v>65473</v>
      </c>
      <c r="G110" s="532">
        <f>F110-E110</f>
        <v>79</v>
      </c>
      <c r="H110" s="460">
        <f>G110+'7'!H110</f>
        <v>630</v>
      </c>
      <c r="I110" s="532"/>
      <c r="J110" s="558">
        <f>H110/DAY(B2)</f>
        <v>78.75</v>
      </c>
      <c r="N110" s="382"/>
    </row>
    <row r="111" spans="1:14" s="442" customFormat="1" ht="27.75">
      <c r="A111" s="1554" t="s">
        <v>219</v>
      </c>
      <c r="B111" s="1555"/>
      <c r="C111" s="1136"/>
      <c r="D111" s="622" t="s">
        <v>142</v>
      </c>
      <c r="E111" s="532">
        <f>'7'!F111</f>
        <v>33374</v>
      </c>
      <c r="F111" s="803">
        <v>33395</v>
      </c>
      <c r="G111" s="532">
        <f t="shared" ref="G111:G112" si="12">F111-E111</f>
        <v>21</v>
      </c>
      <c r="H111" s="460">
        <f>G111+'7'!H111</f>
        <v>266</v>
      </c>
      <c r="I111" s="532"/>
      <c r="J111" s="558">
        <f>H111/DAY(B2)</f>
        <v>33.25</v>
      </c>
      <c r="N111" s="382"/>
    </row>
    <row r="112" spans="1:14" s="442" customFormat="1" ht="27.75">
      <c r="A112" s="1554" t="s">
        <v>220</v>
      </c>
      <c r="B112" s="1555"/>
      <c r="C112" s="1136"/>
      <c r="D112" s="622" t="s">
        <v>142</v>
      </c>
      <c r="E112" s="532">
        <f>'7'!F112</f>
        <v>4621.3</v>
      </c>
      <c r="F112" s="803">
        <v>4621.3</v>
      </c>
      <c r="G112" s="532">
        <f t="shared" si="12"/>
        <v>0</v>
      </c>
      <c r="H112" s="460">
        <f>G112+'7'!H112</f>
        <v>0.3000000000001819</v>
      </c>
      <c r="I112" s="532"/>
      <c r="J112" s="558">
        <f>H112/DAY(B2)</f>
        <v>3.7500000000022737E-2</v>
      </c>
      <c r="N112" s="382"/>
    </row>
    <row r="113" spans="1:14" s="442" customFormat="1" ht="27.75">
      <c r="A113" s="1556" t="s">
        <v>109</v>
      </c>
      <c r="B113" s="1557"/>
      <c r="C113" s="1136"/>
      <c r="D113" s="622"/>
      <c r="E113" s="532"/>
      <c r="F113" s="659"/>
      <c r="G113" s="532">
        <f>SUM(G110:G112)</f>
        <v>100</v>
      </c>
      <c r="H113" s="460">
        <f>G113+'7'!H113</f>
        <v>896.30000000000018</v>
      </c>
      <c r="I113" s="532"/>
      <c r="J113" s="558">
        <f>H113/DAY(B2)</f>
        <v>112.03750000000002</v>
      </c>
      <c r="N113" s="382"/>
    </row>
    <row r="114" spans="1:14" s="442" customFormat="1" ht="27.75">
      <c r="A114" s="1560" t="s">
        <v>221</v>
      </c>
      <c r="B114" s="1561"/>
      <c r="C114" s="1136"/>
      <c r="D114" s="622"/>
      <c r="E114" s="532"/>
      <c r="F114" s="659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532">
        <f>'7'!F115</f>
        <v>12101</v>
      </c>
      <c r="F115" s="659">
        <v>12112</v>
      </c>
      <c r="G115" s="534">
        <f>F115-E115</f>
        <v>11</v>
      </c>
      <c r="H115" s="460">
        <f>G115+'7'!H115</f>
        <v>99</v>
      </c>
      <c r="I115" s="532"/>
      <c r="J115" s="558">
        <f>H115/DAY(B2)</f>
        <v>12.375</v>
      </c>
      <c r="N115" s="382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532">
        <f>'7'!F116</f>
        <v>8603</v>
      </c>
      <c r="F116" s="659">
        <v>8611</v>
      </c>
      <c r="G116" s="534">
        <f t="shared" ref="G116:G117" si="13">F116-E116</f>
        <v>8</v>
      </c>
      <c r="H116" s="460">
        <f>G116+'7'!H116</f>
        <v>56</v>
      </c>
      <c r="I116" s="532"/>
      <c r="J116" s="558">
        <f>H116/DAY(B2)</f>
        <v>7</v>
      </c>
      <c r="N116" s="382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19</v>
      </c>
      <c r="H118" s="460">
        <f>G118+'7'!H118</f>
        <v>155</v>
      </c>
      <c r="I118" s="534"/>
      <c r="J118" s="558">
        <f>H118/DAY(B2)</f>
        <v>19.375</v>
      </c>
      <c r="N118" s="382"/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142</v>
      </c>
      <c r="G119" s="536">
        <f>SUM(G19+G93)</f>
        <v>142</v>
      </c>
      <c r="H119" s="460">
        <f>G119+'7'!H119</f>
        <v>1289</v>
      </c>
      <c r="I119" s="535"/>
      <c r="J119" s="559">
        <f>H119/DAY(B2)</f>
        <v>161.125</v>
      </c>
      <c r="N119" s="382"/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137</v>
      </c>
      <c r="G120" s="536">
        <f>SUM(G96,G97,G98,G100,G101)</f>
        <v>137</v>
      </c>
      <c r="H120" s="460">
        <f>G120+'7'!H120</f>
        <v>1257</v>
      </c>
      <c r="I120" s="535"/>
      <c r="J120" s="559">
        <f>H120/DAY(B2)</f>
        <v>157.125</v>
      </c>
      <c r="N120" s="382"/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100</v>
      </c>
      <c r="G121" s="534">
        <f>SUM(G113)</f>
        <v>100</v>
      </c>
      <c r="H121" s="460">
        <f>G121+'7'!H121</f>
        <v>896.30000000000018</v>
      </c>
      <c r="I121" s="535"/>
      <c r="J121" s="559">
        <f>H121/DAY(B2)</f>
        <v>112.03750000000002</v>
      </c>
      <c r="N121" s="382"/>
    </row>
    <row r="122" spans="1:14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7" t="s">
        <v>229</v>
      </c>
      <c r="B124" s="1138"/>
      <c r="C124" s="1138"/>
      <c r="D124" s="523" t="s">
        <v>139</v>
      </c>
      <c r="E124" s="478">
        <f>'7'!F124</f>
        <v>841615.84</v>
      </c>
      <c r="F124" s="478">
        <v>841867.13</v>
      </c>
      <c r="G124" s="473">
        <f t="shared" ref="G124:G128" si="14">F124-E124</f>
        <v>251.29000000003725</v>
      </c>
      <c r="H124" s="460">
        <f>G124+'7'!H124</f>
        <v>2197.1300000000047</v>
      </c>
      <c r="I124" s="526"/>
      <c r="J124" s="552">
        <f>H124/DAY(B2)</f>
        <v>274.64125000000058</v>
      </c>
      <c r="K124" s="380"/>
      <c r="L124" s="377"/>
      <c r="N124" s="382"/>
    </row>
    <row r="125" spans="1:14" ht="27.75">
      <c r="A125" s="1137" t="s">
        <v>230</v>
      </c>
      <c r="B125" s="1138"/>
      <c r="C125" s="1138"/>
      <c r="D125" s="523" t="s">
        <v>139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3" t="s">
        <v>231</v>
      </c>
      <c r="B126" s="1544"/>
      <c r="C126" s="1545"/>
      <c r="D126" s="523" t="s">
        <v>139</v>
      </c>
      <c r="E126" s="478">
        <f>'7'!F126</f>
        <v>149155.32999999999</v>
      </c>
      <c r="F126" s="478">
        <v>149241.91</v>
      </c>
      <c r="G126" s="473">
        <f t="shared" si="14"/>
        <v>86.580000000016298</v>
      </c>
      <c r="H126" s="460">
        <f>G126+'7'!H126</f>
        <v>644.91000000000349</v>
      </c>
      <c r="I126" s="526"/>
      <c r="J126" s="552">
        <f>H126/DAY(B2)</f>
        <v>80.613750000000437</v>
      </c>
      <c r="K126" s="380"/>
      <c r="L126" s="377"/>
      <c r="N126" s="382"/>
    </row>
    <row r="127" spans="1:14" ht="27.75">
      <c r="A127" s="609" t="s">
        <v>232</v>
      </c>
      <c r="B127" s="1138"/>
      <c r="C127" s="1138"/>
      <c r="D127" s="523" t="s">
        <v>139</v>
      </c>
      <c r="E127" s="626">
        <f>'7'!F127</f>
        <v>32318.5</v>
      </c>
      <c r="F127" s="626">
        <v>32354.2</v>
      </c>
      <c r="G127" s="473">
        <f t="shared" si="14"/>
        <v>35.700000000000728</v>
      </c>
      <c r="H127" s="460">
        <f>G127+'7'!H127</f>
        <v>283.20000000000073</v>
      </c>
      <c r="I127" s="526"/>
      <c r="J127" s="552">
        <f>H127/DAY(B2)</f>
        <v>35.400000000000091</v>
      </c>
      <c r="K127" s="380"/>
      <c r="L127" s="377"/>
      <c r="N127" s="382"/>
    </row>
    <row r="128" spans="1:14" ht="27.75">
      <c r="A128" s="609" t="s">
        <v>233</v>
      </c>
      <c r="B128" s="1138"/>
      <c r="C128" s="1138"/>
      <c r="D128" s="523" t="s">
        <v>139</v>
      </c>
      <c r="E128" s="626">
        <f>'7'!F128</f>
        <v>9029.2000000000007</v>
      </c>
      <c r="F128" s="626">
        <v>9031.2000000000007</v>
      </c>
      <c r="G128" s="473">
        <f t="shared" si="14"/>
        <v>2</v>
      </c>
      <c r="H128" s="460">
        <f>G128+'7'!H128</f>
        <v>19.200000000000728</v>
      </c>
      <c r="I128" s="480"/>
      <c r="J128" s="552">
        <f>H128/DAY(B2)</f>
        <v>2.4000000000000909</v>
      </c>
      <c r="K128" s="380"/>
      <c r="L128" s="377"/>
      <c r="N128" s="382"/>
    </row>
    <row r="129" spans="1:14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445.57999999976528</v>
      </c>
      <c r="H129" s="460"/>
      <c r="I129" s="480"/>
      <c r="J129" s="552"/>
      <c r="K129" s="364"/>
      <c r="L129" s="292"/>
      <c r="N129" s="382"/>
    </row>
    <row r="130" spans="1:14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37" t="s">
        <v>238</v>
      </c>
      <c r="B132" s="1138"/>
      <c r="C132" s="1138"/>
      <c r="D132" s="523" t="s">
        <v>237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37" t="s">
        <v>239</v>
      </c>
      <c r="B133" s="1138"/>
      <c r="C133" s="1138"/>
      <c r="D133" s="523" t="s">
        <v>237</v>
      </c>
      <c r="E133" s="484">
        <f>'7'!F133</f>
        <v>40576</v>
      </c>
      <c r="F133" s="626">
        <v>40583.379999999997</v>
      </c>
      <c r="G133" s="473">
        <f t="shared" si="15"/>
        <v>7.3799999999973807</v>
      </c>
      <c r="H133" s="460">
        <f>G133+'7'!H133</f>
        <v>130.37999999999738</v>
      </c>
      <c r="I133" s="480"/>
      <c r="J133" s="552">
        <f>H133/DAY(B2)</f>
        <v>16.297499999999673</v>
      </c>
      <c r="N133" s="382">
        <f>F133-24</f>
        <v>40559.379999999997</v>
      </c>
    </row>
    <row r="134" spans="1:14" ht="27.75">
      <c r="A134" s="1137" t="s">
        <v>240</v>
      </c>
      <c r="B134" s="1138"/>
      <c r="C134" s="1138"/>
      <c r="D134" s="523" t="s">
        <v>237</v>
      </c>
      <c r="E134" s="522">
        <f>'7'!F134</f>
        <v>300.19</v>
      </c>
      <c r="F134" s="485">
        <v>300.19</v>
      </c>
      <c r="G134" s="473">
        <f t="shared" si="15"/>
        <v>0</v>
      </c>
      <c r="H134" s="460">
        <f>G134+'7'!H134</f>
        <v>0.18999999999999773</v>
      </c>
      <c r="I134" s="480">
        <f>G131+G132+G133+G134</f>
        <v>7.3799999999973807</v>
      </c>
      <c r="J134" s="552">
        <f>H134/DAY(B2)</f>
        <v>2.3749999999999716E-2</v>
      </c>
      <c r="N134" s="382"/>
    </row>
    <row r="135" spans="1:14" ht="27.75">
      <c r="A135" s="1137" t="s">
        <v>241</v>
      </c>
      <c r="B135" s="1138"/>
      <c r="C135" s="1138"/>
      <c r="D135" s="523" t="s">
        <v>237</v>
      </c>
      <c r="E135" s="701">
        <f>'7'!F135</f>
        <v>42055.1</v>
      </c>
      <c r="F135" s="626">
        <v>42079.15</v>
      </c>
      <c r="G135" s="473">
        <f t="shared" si="15"/>
        <v>24.05000000000291</v>
      </c>
      <c r="H135" s="460">
        <f>G135+'7'!H135</f>
        <v>107.15000000000146</v>
      </c>
      <c r="I135" s="480"/>
      <c r="J135" s="552">
        <f>H135/DAY(B2)</f>
        <v>13.393750000000182</v>
      </c>
      <c r="N135" s="382"/>
    </row>
    <row r="136" spans="1:14" ht="27.75">
      <c r="A136" s="1137" t="s">
        <v>242</v>
      </c>
      <c r="B136" s="1138"/>
      <c r="C136" s="1138"/>
      <c r="D136" s="523" t="s">
        <v>237</v>
      </c>
      <c r="E136" s="701">
        <f>'7'!F136</f>
        <v>32874</v>
      </c>
      <c r="F136" s="626">
        <v>32874.050000000003</v>
      </c>
      <c r="G136" s="473">
        <f t="shared" si="15"/>
        <v>5.0000000002910383E-2</v>
      </c>
      <c r="H136" s="460">
        <f>G136+'7'!H136</f>
        <v>5.0000000002910383E-2</v>
      </c>
      <c r="I136" s="480"/>
      <c r="J136" s="552">
        <f>H136/DAY(B2)</f>
        <v>6.2500000003637979E-3</v>
      </c>
      <c r="N136" s="382"/>
    </row>
    <row r="137" spans="1:14" ht="27.75">
      <c r="A137" s="1137" t="s">
        <v>243</v>
      </c>
      <c r="B137" s="1138"/>
      <c r="C137" s="1138"/>
      <c r="D137" s="523" t="s">
        <v>237</v>
      </c>
      <c r="E137" s="541">
        <f>'7'!F137</f>
        <v>22934.21</v>
      </c>
      <c r="F137" s="651">
        <v>22942.28</v>
      </c>
      <c r="G137" s="473">
        <f t="shared" si="15"/>
        <v>8.069999999999709</v>
      </c>
      <c r="H137" s="460">
        <f>G137+'7'!H137</f>
        <v>50.789999999997235</v>
      </c>
      <c r="I137" s="480">
        <f>G135+G136+G137</f>
        <v>32.17000000000553</v>
      </c>
      <c r="J137" s="552">
        <f>H137/DAY(B2)</f>
        <v>6.3487499999996544</v>
      </c>
      <c r="N137" s="382"/>
    </row>
    <row r="138" spans="1:14" ht="27.75">
      <c r="A138" s="1137" t="s">
        <v>244</v>
      </c>
      <c r="B138" s="1138"/>
      <c r="C138" s="1138"/>
      <c r="D138" s="523" t="s">
        <v>237</v>
      </c>
      <c r="E138" s="541">
        <f>'7'!F138</f>
        <v>25095.02</v>
      </c>
      <c r="F138" s="651">
        <v>25095.02</v>
      </c>
      <c r="G138" s="473">
        <f t="shared" si="15"/>
        <v>0</v>
      </c>
      <c r="H138" s="460">
        <f>G138+'7'!H138</f>
        <v>3.6300000000010186</v>
      </c>
      <c r="I138" s="480"/>
      <c r="J138" s="552">
        <f>H138/DAY(B2)</f>
        <v>0.45375000000012733</v>
      </c>
      <c r="N138" s="382"/>
    </row>
    <row r="139" spans="1:14" ht="27.75">
      <c r="A139" s="1137" t="s">
        <v>245</v>
      </c>
      <c r="B139" s="1138"/>
      <c r="C139" s="1138"/>
      <c r="D139" s="523" t="s">
        <v>237</v>
      </c>
      <c r="E139" s="541">
        <f>'7'!F139</f>
        <v>70514.289999999994</v>
      </c>
      <c r="F139" s="651">
        <v>70514.289999999994</v>
      </c>
      <c r="G139" s="473">
        <f t="shared" si="15"/>
        <v>0</v>
      </c>
      <c r="H139" s="460">
        <f>G139+'7'!H139</f>
        <v>0.66999999999825377</v>
      </c>
      <c r="I139" s="480">
        <f>G138+G139</f>
        <v>0</v>
      </c>
      <c r="J139" s="552">
        <f>H139/DAY(B2)</f>
        <v>8.3749999999781721E-2</v>
      </c>
      <c r="N139" s="382"/>
    </row>
    <row r="140" spans="1:14" ht="27.75">
      <c r="A140" s="1137" t="s">
        <v>246</v>
      </c>
      <c r="B140" s="1138"/>
      <c r="C140" s="1138"/>
      <c r="D140" s="523" t="s">
        <v>237</v>
      </c>
      <c r="E140" s="701">
        <f>'7'!F140</f>
        <v>2201.29</v>
      </c>
      <c r="F140" s="626">
        <v>2210.52</v>
      </c>
      <c r="G140" s="473">
        <f t="shared" si="15"/>
        <v>9.2300000000000182</v>
      </c>
      <c r="H140" s="460">
        <f>G140+'7'!H140</f>
        <v>81.340000000000146</v>
      </c>
      <c r="I140" s="542"/>
      <c r="J140" s="552">
        <f>H140/DAY(B2)</f>
        <v>10.167500000000018</v>
      </c>
      <c r="N140" s="382"/>
    </row>
    <row r="141" spans="1:14" ht="27.75">
      <c r="A141" s="1137" t="s">
        <v>247</v>
      </c>
      <c r="B141" s="1138"/>
      <c r="C141" s="1138"/>
      <c r="D141" s="523" t="s">
        <v>237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5910.7000000001863</v>
      </c>
      <c r="H143" s="460">
        <f>G143+'7'!H143</f>
        <v>44502.230000000098</v>
      </c>
      <c r="I143" s="480"/>
      <c r="J143" s="552">
        <f>H143/DAY(B2)</f>
        <v>5562.7787500000122</v>
      </c>
      <c r="K143" s="380"/>
      <c r="L143" s="377"/>
      <c r="N143" s="382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0.27338633285724673</v>
      </c>
      <c r="H144" s="460">
        <f>G144+'7'!H144</f>
        <v>2.0741866809194396</v>
      </c>
      <c r="I144" s="544"/>
      <c r="J144" s="552">
        <f>H144/DAY(B2)</f>
        <v>0.25927333511492995</v>
      </c>
      <c r="K144" s="380"/>
      <c r="L144" s="377"/>
      <c r="N144" s="382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6741.3199999999779</v>
      </c>
      <c r="H145" s="460">
        <f>G145+'7'!H145</f>
        <v>53772.299999999959</v>
      </c>
      <c r="I145" s="480"/>
      <c r="J145" s="552">
        <f>H145/DAY(B2)</f>
        <v>6721.5374999999949</v>
      </c>
      <c r="K145" s="380"/>
      <c r="L145" s="377"/>
      <c r="N145" s="382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0.31180482065020221</v>
      </c>
      <c r="H146" s="460">
        <f>G146+'7'!H146</f>
        <v>2.5003295880889214</v>
      </c>
      <c r="I146" s="544"/>
      <c r="J146" s="552">
        <f>H146/DAY(B2)</f>
        <v>0.31254119851111517</v>
      </c>
      <c r="K146" s="380"/>
      <c r="L146" s="377"/>
      <c r="N146" s="382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3552.4000000000233</v>
      </c>
      <c r="H147" s="460">
        <f>G147+'7'!H147</f>
        <v>29516.859999999986</v>
      </c>
      <c r="I147" s="545"/>
      <c r="J147" s="552">
        <f>H147/DAY(B2)</f>
        <v>3689.6074999999983</v>
      </c>
      <c r="K147" s="380"/>
      <c r="L147" s="377"/>
      <c r="N147" s="382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0.16430839136516132</v>
      </c>
      <c r="H148" s="460">
        <f>G148+'7'!H148</f>
        <v>1.3760621942370628</v>
      </c>
      <c r="I148" s="545"/>
      <c r="J148" s="552">
        <f>H148/DAY(B2)</f>
        <v>0.17200777427963285</v>
      </c>
      <c r="N148" s="382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1545.1600000000035</v>
      </c>
      <c r="H149" s="460">
        <f>G149+'7'!H149</f>
        <v>12804.359999999957</v>
      </c>
      <c r="I149" s="480"/>
      <c r="J149" s="552">
        <f>H149/DAY(B2)</f>
        <v>1600.5449999999946</v>
      </c>
      <c r="K149" s="381"/>
      <c r="N149" s="382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7.1467952370732904E-2</v>
      </c>
      <c r="H150" s="460">
        <f>G150+'7'!H150</f>
        <v>0.59576191172264248</v>
      </c>
      <c r="I150" s="545"/>
      <c r="J150" s="552">
        <f>H150/DAY(B2)</f>
        <v>7.447023896533031E-2</v>
      </c>
      <c r="N150" s="382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1764.260000000002</v>
      </c>
      <c r="H151" s="460">
        <f>G151+'7'!H151</f>
        <v>15139.319999999952</v>
      </c>
      <c r="I151" s="545"/>
      <c r="J151" s="552">
        <f>H151/DAY(B2)</f>
        <v>1892.4149999999941</v>
      </c>
      <c r="N151" s="382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8.1601937436633812E-2</v>
      </c>
      <c r="H152" s="460">
        <f>G152+'7'!H152</f>
        <v>0.70361583358843116</v>
      </c>
      <c r="I152" s="480"/>
      <c r="J152" s="552">
        <f>H152/DAY(B2)</f>
        <v>8.7951979198553895E-2</v>
      </c>
      <c r="N152" s="382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1563.2200000000012</v>
      </c>
      <c r="H153" s="460">
        <f>G153+'7'!H153</f>
        <v>12118.880000000005</v>
      </c>
      <c r="I153" s="480"/>
      <c r="J153" s="552">
        <f>H153/DAY(B2)</f>
        <v>1514.8600000000006</v>
      </c>
      <c r="N153" s="382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7.2303277657315049E-2</v>
      </c>
      <c r="H154" s="460">
        <f>G154+'7'!H154</f>
        <v>0.56506806690555622</v>
      </c>
      <c r="I154" s="568"/>
      <c r="J154" s="569">
        <f>H154/DAY(B2)</f>
        <v>7.0633508363194528E-2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261</v>
      </c>
      <c r="B161" s="785"/>
      <c r="C161" s="785"/>
      <c r="D161" s="511" t="s">
        <v>185</v>
      </c>
      <c r="E161" s="1058">
        <f>'7'!F161</f>
        <v>41404.589999999997</v>
      </c>
      <c r="F161" s="658">
        <v>41484.370000000003</v>
      </c>
      <c r="G161" s="473">
        <f t="shared" ref="G161:G175" si="16">F161-E161</f>
        <v>79.780000000006112</v>
      </c>
    </row>
    <row r="162" spans="1:7">
      <c r="A162" s="784" t="s">
        <v>262</v>
      </c>
      <c r="B162" s="785"/>
      <c r="C162" s="785"/>
      <c r="D162" s="511" t="s">
        <v>185</v>
      </c>
      <c r="E162" s="1058">
        <f>'7'!F162</f>
        <v>110961.59</v>
      </c>
      <c r="F162" s="658">
        <v>111388.93</v>
      </c>
      <c r="G162" s="473">
        <f t="shared" si="16"/>
        <v>427.33999999999651</v>
      </c>
    </row>
    <row r="163" spans="1:7">
      <c r="A163" s="784" t="s">
        <v>263</v>
      </c>
      <c r="B163" s="785"/>
      <c r="C163" s="785"/>
      <c r="D163" s="511" t="s">
        <v>185</v>
      </c>
      <c r="E163" s="1058">
        <f>'7'!F163</f>
        <v>62675.17</v>
      </c>
      <c r="F163" s="658">
        <v>62879.360000000001</v>
      </c>
      <c r="G163" s="473">
        <f t="shared" si="16"/>
        <v>204.19000000000233</v>
      </c>
    </row>
    <row r="164" spans="1:7">
      <c r="A164" s="784" t="s">
        <v>264</v>
      </c>
      <c r="B164" s="785"/>
      <c r="C164" s="785"/>
      <c r="D164" s="511" t="s">
        <v>185</v>
      </c>
      <c r="E164" s="1058">
        <f>'7'!F164</f>
        <v>6911.89</v>
      </c>
      <c r="F164" s="658">
        <v>6920.82</v>
      </c>
      <c r="G164" s="473">
        <f t="shared" si="16"/>
        <v>8.9299999999993815</v>
      </c>
    </row>
    <row r="165" spans="1:7">
      <c r="A165" s="786" t="s">
        <v>97</v>
      </c>
      <c r="B165" s="604"/>
      <c r="C165" s="604"/>
      <c r="D165" s="511" t="s">
        <v>185</v>
      </c>
      <c r="E165" s="1058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6" t="s">
        <v>186</v>
      </c>
      <c r="B166" s="604"/>
      <c r="C166" s="604"/>
      <c r="D166" s="511" t="s">
        <v>185</v>
      </c>
      <c r="E166" s="1058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49" t="s">
        <v>98</v>
      </c>
      <c r="B167" s="1549"/>
      <c r="C167" s="1549"/>
      <c r="D167" s="523" t="s">
        <v>185</v>
      </c>
      <c r="E167" s="1058">
        <f>'7'!F167</f>
        <v>172723.35</v>
      </c>
      <c r="F167" s="514">
        <f t="shared" si="17"/>
        <v>173248.39</v>
      </c>
      <c r="G167" s="473">
        <f t="shared" si="16"/>
        <v>525.04000000000815</v>
      </c>
    </row>
    <row r="168" spans="1:7" ht="27.75">
      <c r="A168" s="1549" t="s">
        <v>99</v>
      </c>
      <c r="B168" s="1549"/>
      <c r="C168" s="1549"/>
      <c r="D168" s="523" t="s">
        <v>185</v>
      </c>
      <c r="E168" s="1058">
        <f>'7'!F168</f>
        <v>172978.93</v>
      </c>
      <c r="F168" s="514">
        <f t="shared" si="17"/>
        <v>173250.75</v>
      </c>
      <c r="G168" s="473">
        <f t="shared" si="16"/>
        <v>271.82000000000698</v>
      </c>
    </row>
    <row r="169" spans="1:7" ht="27.75">
      <c r="A169" s="1549" t="s">
        <v>100</v>
      </c>
      <c r="B169" s="1549"/>
      <c r="C169" s="1549"/>
      <c r="D169" s="523" t="s">
        <v>185</v>
      </c>
      <c r="E169" s="1058">
        <f>'7'!F169</f>
        <v>70913.820000000007</v>
      </c>
      <c r="F169" s="514">
        <f t="shared" si="17"/>
        <v>71312.03</v>
      </c>
      <c r="G169" s="473">
        <f t="shared" si="16"/>
        <v>398.20999999999185</v>
      </c>
    </row>
    <row r="170" spans="1:7" ht="27.75">
      <c r="A170" s="1549" t="s">
        <v>101</v>
      </c>
      <c r="B170" s="1549"/>
      <c r="C170" s="1549"/>
      <c r="D170" s="523" t="s">
        <v>185</v>
      </c>
      <c r="E170" s="1058">
        <f>'7'!F170</f>
        <v>268376.69</v>
      </c>
      <c r="F170" s="514">
        <f t="shared" si="17"/>
        <v>268821.13</v>
      </c>
      <c r="G170" s="473">
        <f t="shared" si="16"/>
        <v>444.44000000000233</v>
      </c>
    </row>
    <row r="171" spans="1:7" ht="27.75">
      <c r="A171" s="1549" t="s">
        <v>102</v>
      </c>
      <c r="B171" s="1549"/>
      <c r="C171" s="1549"/>
      <c r="D171" s="523" t="s">
        <v>185</v>
      </c>
      <c r="E171" s="1058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1058">
        <f>'7'!F172</f>
        <v>89197.440000000002</v>
      </c>
      <c r="F172" s="514">
        <f t="shared" si="17"/>
        <v>89459.06</v>
      </c>
      <c r="G172" s="473">
        <f t="shared" si="16"/>
        <v>261.61999999999534</v>
      </c>
    </row>
    <row r="173" spans="1:7">
      <c r="A173" s="1590" t="s">
        <v>348</v>
      </c>
      <c r="B173" s="1553"/>
      <c r="C173" s="785"/>
      <c r="D173" s="523" t="s">
        <v>185</v>
      </c>
      <c r="E173" s="1058">
        <f>'7'!F173</f>
        <v>19035.3</v>
      </c>
      <c r="F173" s="532">
        <v>19040.3</v>
      </c>
      <c r="G173" s="473">
        <f t="shared" si="16"/>
        <v>5</v>
      </c>
    </row>
    <row r="174" spans="1:7">
      <c r="A174" s="1590" t="s">
        <v>348</v>
      </c>
      <c r="B174" s="1553"/>
      <c r="C174" s="785"/>
      <c r="D174" s="523" t="s">
        <v>185</v>
      </c>
      <c r="E174" s="1058">
        <f>'7'!F174</f>
        <v>70379.399999999994</v>
      </c>
      <c r="F174" s="532">
        <v>70386.100000000006</v>
      </c>
      <c r="G174" s="473">
        <f t="shared" si="16"/>
        <v>6.7000000000116415</v>
      </c>
    </row>
    <row r="175" spans="1:7">
      <c r="A175" s="1590" t="s">
        <v>349</v>
      </c>
      <c r="B175" s="1553"/>
      <c r="C175" s="785"/>
      <c r="D175" s="523" t="s">
        <v>185</v>
      </c>
      <c r="E175" s="1058">
        <f>'7'!F175</f>
        <v>27658.7</v>
      </c>
      <c r="F175" s="532">
        <v>27663.1</v>
      </c>
      <c r="G175" s="473">
        <f t="shared" si="16"/>
        <v>4.3999999999978172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5:B175"/>
    <mergeCell ref="A171:C171"/>
    <mergeCell ref="A172:C172"/>
    <mergeCell ref="A158:G158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3" zoomScale="55" zoomScaleNormal="80" zoomScaleSheetLayoutView="55" workbookViewId="0">
      <selection activeCell="I59" sqref="I59:I60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4" s="281" customFormat="1" ht="27">
      <c r="A2" s="575" t="s">
        <v>353</v>
      </c>
      <c r="B2" s="1031">
        <v>44386</v>
      </c>
      <c r="C2" s="1139" t="s">
        <v>68</v>
      </c>
      <c r="D2" s="611">
        <v>0.64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281" t="s">
        <v>116</v>
      </c>
    </row>
    <row r="3" spans="1:14" s="281" customFormat="1" ht="27">
      <c r="A3" s="570"/>
      <c r="B3" s="614"/>
      <c r="C3" s="1139" t="s">
        <v>118</v>
      </c>
      <c r="D3" s="612">
        <v>31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39" t="s">
        <v>120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  <c r="N5" s="376" t="s">
        <v>124</v>
      </c>
    </row>
    <row r="6" spans="1:14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129</v>
      </c>
      <c r="B7" s="677"/>
      <c r="C7" s="677"/>
      <c r="D7" s="637" t="s">
        <v>130</v>
      </c>
      <c r="E7" s="633">
        <f>'8'!F7</f>
        <v>93795.56</v>
      </c>
      <c r="F7" s="455">
        <v>116373</v>
      </c>
      <c r="G7" s="678">
        <f>F7-E7</f>
        <v>22577.440000000002</v>
      </c>
      <c r="H7" s="679">
        <f>G7+'8'!H7</f>
        <v>194420.00000000006</v>
      </c>
      <c r="I7" s="680">
        <f>'1'!I7</f>
        <v>12000</v>
      </c>
      <c r="J7" s="681">
        <f>H7/DAY(B2)</f>
        <v>21602.22222222223</v>
      </c>
      <c r="K7" s="549"/>
      <c r="L7" s="377"/>
      <c r="N7" s="382">
        <v>11359</v>
      </c>
    </row>
    <row r="8" spans="1:14" ht="27.75" thickBot="1">
      <c r="A8" s="682" t="s">
        <v>131</v>
      </c>
      <c r="B8" s="683"/>
      <c r="C8" s="684"/>
      <c r="D8" s="685" t="s">
        <v>25</v>
      </c>
      <c r="E8" s="633">
        <f>'8'!F8</f>
        <v>99453.79</v>
      </c>
      <c r="F8" s="475">
        <v>122127</v>
      </c>
      <c r="G8" s="689">
        <f>F8-E8</f>
        <v>22673.210000000006</v>
      </c>
      <c r="H8" s="679">
        <f>G8+'8'!H8</f>
        <v>195405</v>
      </c>
      <c r="I8" s="686">
        <v>12000</v>
      </c>
      <c r="J8" s="681">
        <f>H8/DAY(B2)</f>
        <v>21711.666666666668</v>
      </c>
      <c r="K8" s="549"/>
      <c r="L8" s="425"/>
      <c r="M8" s="440"/>
      <c r="N8" s="382">
        <v>11487</v>
      </c>
    </row>
    <row r="9" spans="1:14">
      <c r="A9" s="687" t="s">
        <v>132</v>
      </c>
      <c r="B9" s="688"/>
      <c r="C9" s="688"/>
      <c r="D9" s="637" t="s">
        <v>130</v>
      </c>
      <c r="E9" s="633">
        <f>'8'!F9</f>
        <v>2199177.2999999998</v>
      </c>
      <c r="F9" s="478">
        <v>2221033</v>
      </c>
      <c r="G9" s="702">
        <f t="shared" ref="G9:G12" si="0">F9-E9</f>
        <v>21855.700000000186</v>
      </c>
      <c r="H9" s="679">
        <f>G9+'8'!H9</f>
        <v>190031</v>
      </c>
      <c r="I9" s="690">
        <f>I7-J7</f>
        <v>-9602.2222222222299</v>
      </c>
      <c r="J9" s="681">
        <f>H9/DAY(B2)</f>
        <v>21114.555555555555</v>
      </c>
      <c r="K9" s="428"/>
      <c r="L9" s="377"/>
      <c r="N9" s="382">
        <v>11077</v>
      </c>
    </row>
    <row r="10" spans="1:14">
      <c r="A10" s="676" t="s">
        <v>133</v>
      </c>
      <c r="B10" s="677"/>
      <c r="C10" s="677"/>
      <c r="D10" s="637" t="s">
        <v>130</v>
      </c>
      <c r="E10" s="633">
        <f>'8'!F10</f>
        <v>2606.5500000000002</v>
      </c>
      <c r="F10" s="478">
        <v>2606.5500000000002</v>
      </c>
      <c r="G10" s="689">
        <f t="shared" si="0"/>
        <v>0</v>
      </c>
      <c r="H10" s="679">
        <f>G10+'8'!H10</f>
        <v>0</v>
      </c>
      <c r="I10" s="691"/>
      <c r="J10" s="681">
        <f>H10/DAY(B2)</f>
        <v>0</v>
      </c>
      <c r="K10" s="428"/>
      <c r="L10" s="377"/>
      <c r="N10" s="382">
        <v>0</v>
      </c>
    </row>
    <row r="11" spans="1:14">
      <c r="A11" s="676" t="s">
        <v>134</v>
      </c>
      <c r="B11" s="677"/>
      <c r="C11" s="677"/>
      <c r="D11" s="637" t="s">
        <v>130</v>
      </c>
      <c r="E11" s="633">
        <f>'8'!F11</f>
        <v>37000</v>
      </c>
      <c r="F11" s="455">
        <v>37000</v>
      </c>
      <c r="G11" s="689">
        <f t="shared" si="0"/>
        <v>0</v>
      </c>
      <c r="H11" s="679">
        <f>G11+'8'!H11</f>
        <v>0</v>
      </c>
      <c r="I11" s="691"/>
      <c r="J11" s="681">
        <f>H11/DAY(B2)</f>
        <v>0</v>
      </c>
      <c r="K11" s="428"/>
      <c r="L11" s="377"/>
      <c r="N11" s="382">
        <v>0</v>
      </c>
    </row>
    <row r="12" spans="1:14">
      <c r="A12" s="676" t="s">
        <v>135</v>
      </c>
      <c r="B12" s="677"/>
      <c r="C12" s="677"/>
      <c r="D12" s="637" t="s">
        <v>130</v>
      </c>
      <c r="E12" s="633">
        <f>'8'!F12</f>
        <v>40010</v>
      </c>
      <c r="F12" s="478">
        <v>40010</v>
      </c>
      <c r="G12" s="689">
        <f t="shared" si="0"/>
        <v>0</v>
      </c>
      <c r="H12" s="679">
        <f>G12+'8'!H12</f>
        <v>0</v>
      </c>
      <c r="I12" s="691"/>
      <c r="J12" s="681">
        <f>H12/DAY(B2)</f>
        <v>0</v>
      </c>
      <c r="K12" s="428"/>
      <c r="L12" s="377"/>
      <c r="N12" s="382">
        <v>0</v>
      </c>
    </row>
    <row r="13" spans="1:14">
      <c r="A13" s="692" t="s">
        <v>136</v>
      </c>
      <c r="B13" s="693"/>
      <c r="C13" s="693"/>
      <c r="D13" s="637"/>
      <c r="E13" s="633"/>
      <c r="F13" s="455"/>
      <c r="G13" s="694">
        <f>G9+G10+G11+G12</f>
        <v>21855.700000000186</v>
      </c>
      <c r="H13" s="679">
        <f>G13+'8'!H13</f>
        <v>190031</v>
      </c>
      <c r="I13" s="695">
        <f>G7-G13</f>
        <v>721.73999999981606</v>
      </c>
      <c r="J13" s="681">
        <f>H13/DAY(B2)</f>
        <v>21114.555555555555</v>
      </c>
      <c r="K13" s="428"/>
      <c r="L13" s="377"/>
      <c r="N13" s="382">
        <v>11077</v>
      </c>
    </row>
    <row r="14" spans="1:14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5" t="s">
        <v>138</v>
      </c>
      <c r="B15" s="1176"/>
      <c r="C15" s="1176"/>
      <c r="D15" s="1177" t="s">
        <v>139</v>
      </c>
      <c r="E15" s="700">
        <f>'8'!F15</f>
        <v>1709867.16</v>
      </c>
      <c r="F15" s="700">
        <v>1710698</v>
      </c>
      <c r="G15" s="678">
        <f>(F15-E15)</f>
        <v>830.84000000008382</v>
      </c>
      <c r="H15" s="1170">
        <f>G15+'8'!H15</f>
        <v>7015</v>
      </c>
      <c r="I15" s="1171">
        <v>800</v>
      </c>
      <c r="J15" s="1172">
        <f>H15/DAY(B2)</f>
        <v>779.44444444444446</v>
      </c>
      <c r="K15" s="1164"/>
      <c r="L15" s="1165"/>
      <c r="M15" s="1166"/>
      <c r="N15" s="1167">
        <v>330.54600000008941</v>
      </c>
    </row>
    <row r="16" spans="1:14">
      <c r="A16" s="1168"/>
      <c r="B16" s="1169"/>
      <c r="C16" s="1169"/>
      <c r="D16" s="1162"/>
      <c r="E16" s="1163"/>
      <c r="F16" s="1163"/>
      <c r="G16" s="1173"/>
      <c r="H16" s="1170"/>
      <c r="I16" s="1174">
        <f>I15-J15</f>
        <v>20.555555555555543</v>
      </c>
      <c r="J16" s="1172"/>
      <c r="K16" s="1164"/>
      <c r="L16" s="1165"/>
      <c r="M16" s="1166"/>
      <c r="N16" s="1167"/>
    </row>
    <row r="17" spans="1:14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10" t="s">
        <v>141</v>
      </c>
      <c r="B18" s="1611"/>
      <c r="C18" s="1612"/>
      <c r="D18" s="637" t="s">
        <v>142</v>
      </c>
      <c r="E18" s="634">
        <f>'8'!F18</f>
        <v>10</v>
      </c>
      <c r="F18" s="478">
        <v>13</v>
      </c>
      <c r="G18" s="694">
        <f>F18*10</f>
        <v>130</v>
      </c>
      <c r="H18" s="679">
        <f>G18+'8'!H18</f>
        <v>1160</v>
      </c>
      <c r="I18" s="680">
        <v>65</v>
      </c>
      <c r="J18" s="681">
        <f>H18/DAY(B2)</f>
        <v>128.88888888888889</v>
      </c>
      <c r="K18" s="428"/>
      <c r="L18" s="377"/>
      <c r="N18" s="382">
        <v>0</v>
      </c>
    </row>
    <row r="19" spans="1:14" ht="27.75">
      <c r="A19" s="1610" t="s">
        <v>70</v>
      </c>
      <c r="B19" s="1611"/>
      <c r="C19" s="1612"/>
      <c r="D19" s="637" t="s">
        <v>142</v>
      </c>
      <c r="E19" s="634">
        <f>'8'!F19</f>
        <v>141981</v>
      </c>
      <c r="F19" s="478">
        <v>142042</v>
      </c>
      <c r="G19" s="689">
        <f t="shared" ref="G19" si="1">F19-E19</f>
        <v>61</v>
      </c>
      <c r="H19" s="679">
        <f>G19+'8'!H19</f>
        <v>547</v>
      </c>
      <c r="I19" s="696"/>
      <c r="J19" s="681">
        <f>H19/DAY(B2)</f>
        <v>60.777777777777779</v>
      </c>
      <c r="K19" s="428"/>
      <c r="L19" s="377"/>
      <c r="N19" s="382">
        <v>55</v>
      </c>
    </row>
    <row r="20" spans="1:14">
      <c r="A20" s="692" t="s">
        <v>143</v>
      </c>
      <c r="B20" s="693"/>
      <c r="C20" s="693"/>
      <c r="D20" s="637"/>
      <c r="E20" s="637"/>
      <c r="F20" s="524"/>
      <c r="G20" s="697">
        <f>G18+G19</f>
        <v>191</v>
      </c>
      <c r="H20" s="679">
        <f>G20+'8'!H20</f>
        <v>1707</v>
      </c>
      <c r="I20" s="698">
        <f>I18-J20</f>
        <v>-124.66666666666666</v>
      </c>
      <c r="J20" s="681">
        <f>H20/DAY(B2)</f>
        <v>189.66666666666666</v>
      </c>
      <c r="K20" s="428"/>
      <c r="L20" s="377"/>
      <c r="N20" s="382">
        <v>55</v>
      </c>
    </row>
    <row r="21" spans="1:14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7" t="s">
        <v>145</v>
      </c>
      <c r="B22" s="589"/>
      <c r="C22" s="589"/>
      <c r="D22" s="523" t="s">
        <v>146</v>
      </c>
      <c r="E22" s="634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37" t="s">
        <v>147</v>
      </c>
      <c r="B23" s="589"/>
      <c r="C23" s="589"/>
      <c r="D23" s="523" t="s">
        <v>146</v>
      </c>
      <c r="E23" s="634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148</v>
      </c>
      <c r="B24" s="591"/>
      <c r="C24" s="591"/>
      <c r="D24" s="511" t="s">
        <v>146</v>
      </c>
      <c r="E24" s="493">
        <v>4970</v>
      </c>
      <c r="F24" s="485">
        <v>4970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22673.210000000006</v>
      </c>
      <c r="F27" s="501">
        <v>9</v>
      </c>
      <c r="G27" s="502">
        <f>E27*F27</f>
        <v>204058.89000000007</v>
      </c>
      <c r="H27" s="460">
        <f>G27+'8'!H27</f>
        <v>1758645</v>
      </c>
      <c r="I27" s="503"/>
      <c r="J27" s="552">
        <f>H27/DAY(B2)</f>
        <v>195405</v>
      </c>
      <c r="K27" s="373"/>
      <c r="L27" s="443"/>
      <c r="N27" s="382">
        <v>114870</v>
      </c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830.84000000008382</v>
      </c>
      <c r="F28" s="501">
        <v>52</v>
      </c>
      <c r="G28" s="502">
        <f>E28*F28</f>
        <v>43203.680000004359</v>
      </c>
      <c r="H28" s="460">
        <f>G28+'8'!H28</f>
        <v>364780</v>
      </c>
      <c r="I28" s="505"/>
      <c r="J28" s="552">
        <f>H28/DAY(B2)</f>
        <v>40531.111111111109</v>
      </c>
      <c r="K28" s="373"/>
      <c r="L28" s="443"/>
      <c r="N28" s="382">
        <v>11569.110000003129</v>
      </c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61</v>
      </c>
      <c r="F30" s="501">
        <v>146</v>
      </c>
      <c r="G30" s="502">
        <f>E30*F30</f>
        <v>8906</v>
      </c>
      <c r="H30" s="460">
        <f>G30+'8'!H30</f>
        <v>79278</v>
      </c>
      <c r="I30" s="505"/>
      <c r="J30" s="552">
        <f>H30/DAY(B2)</f>
        <v>8808.6666666666661</v>
      </c>
      <c r="K30" s="373"/>
      <c r="L30" s="443"/>
      <c r="N30" s="382">
        <v>7370</v>
      </c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130</v>
      </c>
      <c r="F31" s="501">
        <v>80</v>
      </c>
      <c r="G31" s="502">
        <f>E31*F31</f>
        <v>10400</v>
      </c>
      <c r="H31" s="460">
        <f>G31+'8'!H31</f>
        <v>87200</v>
      </c>
      <c r="I31" s="505"/>
      <c r="J31" s="552">
        <f>H31/DAY(B2)</f>
        <v>9688.8888888888887</v>
      </c>
      <c r="K31" s="373"/>
      <c r="L31" s="443"/>
      <c r="N31" s="382">
        <v>0</v>
      </c>
    </row>
    <row r="32" spans="1:14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266568.57000000443</v>
      </c>
      <c r="H32" s="460">
        <f>G32+'8'!H32</f>
        <v>2289902.9999999995</v>
      </c>
      <c r="I32" s="509"/>
      <c r="J32" s="552">
        <f>H32/DAY(B2)</f>
        <v>254433.66666666663</v>
      </c>
      <c r="K32" s="373"/>
      <c r="L32" s="443"/>
      <c r="N32" s="382">
        <v>133809.11000000313</v>
      </c>
    </row>
    <row r="33" spans="1:14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</row>
    <row r="34" spans="1:14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162</v>
      </c>
      <c r="B35" s="579"/>
      <c r="C35" s="579"/>
      <c r="D35" s="523" t="s">
        <v>130</v>
      </c>
      <c r="E35" s="510">
        <v>1052231.6000000001</v>
      </c>
      <c r="F35" s="510">
        <v>1055491</v>
      </c>
      <c r="G35" s="473">
        <f t="shared" ref="G35:G46" si="3">F35-E35</f>
        <v>3259.3999999999069</v>
      </c>
      <c r="H35" s="460">
        <f>G35+'8'!H35</f>
        <v>26777</v>
      </c>
      <c r="I35" s="455"/>
      <c r="J35" s="552">
        <f>H35/DAY(B2)</f>
        <v>2975.2222222222222</v>
      </c>
      <c r="K35" s="428"/>
      <c r="L35" s="377"/>
      <c r="N35" s="382">
        <v>1380.8400000000256</v>
      </c>
    </row>
    <row r="36" spans="1:14">
      <c r="A36" s="578" t="s">
        <v>163</v>
      </c>
      <c r="B36" s="579"/>
      <c r="C36" s="579"/>
      <c r="D36" s="523" t="s">
        <v>130</v>
      </c>
      <c r="E36" s="510">
        <v>26638.62</v>
      </c>
      <c r="F36" s="510">
        <v>27451</v>
      </c>
      <c r="G36" s="473">
        <f t="shared" si="3"/>
        <v>812.38000000000102</v>
      </c>
      <c r="H36" s="460">
        <f>G36+'8'!H36</f>
        <v>6990</v>
      </c>
      <c r="I36" s="455"/>
      <c r="J36" s="552">
        <f>H36/DAY(B2)</f>
        <v>776.66666666666663</v>
      </c>
      <c r="K36" s="428"/>
      <c r="L36" s="377"/>
      <c r="N36" s="628">
        <v>514.63999999999942</v>
      </c>
    </row>
    <row r="37" spans="1:14">
      <c r="A37" s="578" t="s">
        <v>164</v>
      </c>
      <c r="B37" s="579"/>
      <c r="C37" s="579"/>
      <c r="D37" s="523" t="s">
        <v>130</v>
      </c>
      <c r="E37" s="510">
        <v>188689.01</v>
      </c>
      <c r="F37" s="510">
        <v>190295</v>
      </c>
      <c r="G37" s="473">
        <f t="shared" si="3"/>
        <v>1605.9899999999907</v>
      </c>
      <c r="H37" s="460">
        <f>G37+'8'!H37</f>
        <v>13725</v>
      </c>
      <c r="I37" s="455"/>
      <c r="J37" s="552">
        <f>H37/DAY(B2)</f>
        <v>1525</v>
      </c>
      <c r="K37" s="428"/>
      <c r="L37" s="377"/>
      <c r="N37" s="629">
        <v>1164.4599999999919</v>
      </c>
    </row>
    <row r="38" spans="1:14">
      <c r="A38" s="578" t="s">
        <v>165</v>
      </c>
      <c r="B38" s="579"/>
      <c r="C38" s="579"/>
      <c r="D38" s="523" t="s">
        <v>130</v>
      </c>
      <c r="E38" s="469">
        <v>211263.29</v>
      </c>
      <c r="F38" s="469">
        <v>212858</v>
      </c>
      <c r="G38" s="473">
        <f t="shared" si="3"/>
        <v>1594.7099999999919</v>
      </c>
      <c r="H38" s="460">
        <f>G38+'8'!H38</f>
        <v>14399</v>
      </c>
      <c r="I38" s="455"/>
      <c r="J38" s="552">
        <f>H38/DAY(B2)</f>
        <v>1599.8888888888889</v>
      </c>
      <c r="K38" s="428"/>
      <c r="L38" s="377"/>
      <c r="N38" s="382">
        <v>0</v>
      </c>
    </row>
    <row r="39" spans="1:14">
      <c r="A39" s="578" t="s">
        <v>166</v>
      </c>
      <c r="B39" s="579"/>
      <c r="C39" s="579"/>
      <c r="D39" s="523" t="s">
        <v>130</v>
      </c>
      <c r="E39" s="510">
        <v>434381.19</v>
      </c>
      <c r="F39" s="510">
        <v>437989</v>
      </c>
      <c r="G39" s="473">
        <f t="shared" si="3"/>
        <v>3607.8099999999977</v>
      </c>
      <c r="H39" s="460">
        <f>G39+'8'!H39</f>
        <v>33125</v>
      </c>
      <c r="I39" s="455"/>
      <c r="J39" s="552">
        <f>H39/DAY(B2)</f>
        <v>3680.5555555555557</v>
      </c>
      <c r="K39" s="428"/>
      <c r="L39" s="377"/>
      <c r="N39" s="382">
        <v>1951.1300000000047</v>
      </c>
    </row>
    <row r="40" spans="1:14">
      <c r="A40" s="599" t="s">
        <v>167</v>
      </c>
      <c r="B40" s="600"/>
      <c r="C40" s="600"/>
      <c r="D40" s="523" t="s">
        <v>130</v>
      </c>
      <c r="E40" s="510">
        <v>10218.9</v>
      </c>
      <c r="F40" s="510">
        <v>10716</v>
      </c>
      <c r="G40" s="473">
        <f t="shared" si="3"/>
        <v>497.10000000000036</v>
      </c>
      <c r="H40" s="460">
        <f>G40+'8'!H40</f>
        <v>3603</v>
      </c>
      <c r="I40" s="455"/>
      <c r="J40" s="552">
        <f>H40/DAY(B2)</f>
        <v>400.33333333333331</v>
      </c>
      <c r="K40" s="429"/>
      <c r="L40" s="377"/>
      <c r="N40" s="382">
        <v>0</v>
      </c>
    </row>
    <row r="41" spans="1:14">
      <c r="A41" s="578" t="s">
        <v>168</v>
      </c>
      <c r="B41" s="579"/>
      <c r="C41" s="579"/>
      <c r="D41" s="523" t="s">
        <v>130</v>
      </c>
      <c r="E41" s="1054">
        <v>359557.35</v>
      </c>
      <c r="F41" s="510">
        <v>361686</v>
      </c>
      <c r="G41" s="473">
        <f t="shared" si="3"/>
        <v>2128.6500000000233</v>
      </c>
      <c r="H41" s="460">
        <f>G41+'8'!H41</f>
        <v>32044</v>
      </c>
      <c r="I41" s="455"/>
      <c r="J41" s="552">
        <f>H41/DAY(B2)</f>
        <v>3560.4444444444443</v>
      </c>
      <c r="K41" s="428"/>
      <c r="L41" s="377"/>
      <c r="N41" s="382">
        <v>2876.3199999999779</v>
      </c>
    </row>
    <row r="42" spans="1:14">
      <c r="A42" s="578" t="s">
        <v>169</v>
      </c>
      <c r="B42" s="579"/>
      <c r="C42" s="579"/>
      <c r="D42" s="523" t="s">
        <v>130</v>
      </c>
      <c r="E42" s="510">
        <v>59210.080000000002</v>
      </c>
      <c r="F42" s="510">
        <v>59210</v>
      </c>
      <c r="G42" s="473">
        <f t="shared" si="3"/>
        <v>-8.000000000174623E-2</v>
      </c>
      <c r="H42" s="460">
        <f>G42+'8'!H42</f>
        <v>11.110000000000582</v>
      </c>
      <c r="I42" s="455"/>
      <c r="J42" s="552">
        <f>H42/DAY(B2)</f>
        <v>1.2344444444445091</v>
      </c>
      <c r="K42" s="428"/>
      <c r="L42" s="377"/>
      <c r="N42" s="382">
        <v>0</v>
      </c>
    </row>
    <row r="43" spans="1:14">
      <c r="A43" s="578" t="s">
        <v>170</v>
      </c>
      <c r="B43" s="579"/>
      <c r="C43" s="579"/>
      <c r="D43" s="523" t="s">
        <v>130</v>
      </c>
      <c r="E43" s="510">
        <v>1141436.5</v>
      </c>
      <c r="F43" s="510">
        <v>1144352</v>
      </c>
      <c r="G43" s="473">
        <f t="shared" si="3"/>
        <v>2915.5</v>
      </c>
      <c r="H43" s="460">
        <f>G43+'8'!H43</f>
        <v>23900</v>
      </c>
      <c r="I43" s="455"/>
      <c r="J43" s="552">
        <f>H43/DAY(B2)</f>
        <v>2655.5555555555557</v>
      </c>
      <c r="K43" s="428"/>
      <c r="L43" s="377"/>
      <c r="N43" s="382">
        <v>1531.2399999999907</v>
      </c>
    </row>
    <row r="44" spans="1:14">
      <c r="A44" s="578" t="s">
        <v>171</v>
      </c>
      <c r="B44" s="579"/>
      <c r="C44" s="579"/>
      <c r="D44" s="523" t="s">
        <v>130</v>
      </c>
      <c r="E44" s="510"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172</v>
      </c>
      <c r="B45" s="579"/>
      <c r="C45" s="579"/>
      <c r="D45" s="523" t="s">
        <v>130</v>
      </c>
      <c r="E45" s="510"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173</v>
      </c>
      <c r="B46" s="579"/>
      <c r="C46" s="579"/>
      <c r="D46" s="523" t="s">
        <v>130</v>
      </c>
      <c r="E46" s="510"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16421.459999999912</v>
      </c>
      <c r="H47" s="460">
        <f>G47+'8'!H47</f>
        <v>155375.10999999999</v>
      </c>
      <c r="I47" s="455"/>
      <c r="J47" s="552">
        <f>H47/DAY(B2)</f>
        <v>17263.90111111111</v>
      </c>
      <c r="K47" s="428"/>
      <c r="L47" s="377"/>
      <c r="N47" s="382">
        <v>9418.6299999999901</v>
      </c>
    </row>
    <row r="48" spans="1:14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162</v>
      </c>
      <c r="B49" s="601"/>
      <c r="C49" s="601"/>
      <c r="D49" s="523" t="s">
        <v>130</v>
      </c>
      <c r="E49" s="1054">
        <v>260732.13</v>
      </c>
      <c r="F49" s="510">
        <v>260732</v>
      </c>
      <c r="G49" s="473">
        <f t="shared" ref="G49:G58" si="4">F49-E49</f>
        <v>-0.13000000000465661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176</v>
      </c>
      <c r="B50" s="601"/>
      <c r="C50" s="601"/>
      <c r="D50" s="523" t="s">
        <v>130</v>
      </c>
      <c r="E50" s="510">
        <v>543624.69999999995</v>
      </c>
      <c r="F50" s="510">
        <v>544606</v>
      </c>
      <c r="G50" s="473">
        <f t="shared" si="4"/>
        <v>981.30000000004657</v>
      </c>
      <c r="H50" s="460">
        <f>G50+'8'!H50</f>
        <v>9943</v>
      </c>
      <c r="I50" s="455"/>
      <c r="J50" s="552">
        <f>H50/DAY(B2)</f>
        <v>1104.7777777777778</v>
      </c>
      <c r="K50" s="428"/>
      <c r="L50" s="377"/>
      <c r="N50" s="382">
        <v>609.48999999999069</v>
      </c>
    </row>
    <row r="51" spans="1:14">
      <c r="A51" s="578" t="s">
        <v>164</v>
      </c>
      <c r="B51" s="601"/>
      <c r="C51" s="601"/>
      <c r="D51" s="523" t="s">
        <v>130</v>
      </c>
      <c r="E51" s="1054"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177</v>
      </c>
      <c r="B52" s="601"/>
      <c r="C52" s="601"/>
      <c r="D52" s="523" t="s">
        <v>130</v>
      </c>
      <c r="E52" s="1054"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166</v>
      </c>
      <c r="B53" s="601"/>
      <c r="C53" s="601"/>
      <c r="D53" s="523" t="s">
        <v>130</v>
      </c>
      <c r="E53" s="1054">
        <v>434231.67</v>
      </c>
      <c r="F53" s="510">
        <v>434231.67</v>
      </c>
      <c r="G53" s="473">
        <f t="shared" si="4"/>
        <v>0</v>
      </c>
      <c r="H53" s="460">
        <f>G53+'8'!H53</f>
        <v>-0.33000000001629815</v>
      </c>
      <c r="I53" s="455"/>
      <c r="J53" s="552">
        <f>H53/DAY(B2)</f>
        <v>-3.6666666668477572E-2</v>
      </c>
      <c r="K53" s="428"/>
      <c r="L53" s="377"/>
      <c r="N53" s="382">
        <v>85.455900000000838</v>
      </c>
    </row>
    <row r="54" spans="1:14">
      <c r="A54" s="578" t="s">
        <v>178</v>
      </c>
      <c r="B54" s="601"/>
      <c r="C54" s="601"/>
      <c r="D54" s="523" t="s">
        <v>130</v>
      </c>
      <c r="E54" s="510">
        <v>14967</v>
      </c>
      <c r="F54" s="510">
        <v>14967</v>
      </c>
      <c r="G54" s="473">
        <f t="shared" si="4"/>
        <v>0</v>
      </c>
      <c r="H54" s="460">
        <f>G54+'8'!H54</f>
        <v>0</v>
      </c>
      <c r="I54" s="455"/>
      <c r="J54" s="552">
        <f>H54/DAY(B2)</f>
        <v>0</v>
      </c>
      <c r="K54" s="428"/>
      <c r="L54" s="377"/>
      <c r="N54" s="382">
        <v>0</v>
      </c>
    </row>
    <row r="55" spans="1:14">
      <c r="A55" s="578" t="s">
        <v>179</v>
      </c>
      <c r="B55" s="601"/>
      <c r="C55" s="601"/>
      <c r="D55" s="523" t="s">
        <v>130</v>
      </c>
      <c r="E55" s="653">
        <v>141395.53</v>
      </c>
      <c r="F55" s="653">
        <v>146505</v>
      </c>
      <c r="G55" s="652">
        <f t="shared" si="4"/>
        <v>5109.4700000000012</v>
      </c>
      <c r="H55" s="705">
        <f>G55+'8'!H55</f>
        <v>28869</v>
      </c>
      <c r="I55" s="706"/>
      <c r="J55" s="707">
        <f>H55/DAY(B2)</f>
        <v>3207.6666666666665</v>
      </c>
      <c r="K55" s="428"/>
      <c r="L55" s="377"/>
      <c r="N55" s="382">
        <v>0</v>
      </c>
    </row>
    <row r="56" spans="1:14">
      <c r="A56" s="578" t="s">
        <v>180</v>
      </c>
      <c r="B56" s="601"/>
      <c r="C56" s="601"/>
      <c r="D56" s="523" t="s">
        <v>181</v>
      </c>
      <c r="E56" s="653">
        <v>649118.23</v>
      </c>
      <c r="F56" s="653">
        <v>649129</v>
      </c>
      <c r="G56" s="473">
        <f t="shared" si="4"/>
        <v>10.770000000018626</v>
      </c>
      <c r="H56" s="460">
        <f>G56+'8'!H56</f>
        <v>97</v>
      </c>
      <c r="I56" s="455"/>
      <c r="J56" s="552">
        <f>H56/DAY(B2)</f>
        <v>10.777777777777779</v>
      </c>
      <c r="K56" s="427"/>
      <c r="L56" s="377"/>
      <c r="N56" s="382">
        <v>0</v>
      </c>
    </row>
    <row r="57" spans="1:14">
      <c r="A57" s="578" t="s">
        <v>170</v>
      </c>
      <c r="B57" s="601"/>
      <c r="C57" s="601"/>
      <c r="D57" s="523" t="s">
        <v>130</v>
      </c>
      <c r="E57" s="1054"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182</v>
      </c>
      <c r="B58" s="601"/>
      <c r="C58" s="601"/>
      <c r="D58" s="523" t="s">
        <v>130</v>
      </c>
      <c r="E58" s="653">
        <v>55203.97</v>
      </c>
      <c r="F58" s="653">
        <v>55395</v>
      </c>
      <c r="G58" s="473">
        <f t="shared" si="4"/>
        <v>191.02999999999884</v>
      </c>
      <c r="H58" s="460">
        <f>G58+'8'!H58</f>
        <v>1409</v>
      </c>
      <c r="I58" s="455"/>
      <c r="J58" s="552">
        <f>H58/DAY(B2)</f>
        <v>156.55555555555554</v>
      </c>
      <c r="K58" s="428"/>
      <c r="L58" s="377"/>
      <c r="N58" s="382">
        <v>-0.29700000000048021</v>
      </c>
    </row>
    <row r="59" spans="1:14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6292.4400000000605</v>
      </c>
      <c r="H59" s="460">
        <f>G59+'8'!H59</f>
        <v>40317.609999999928</v>
      </c>
      <c r="I59" s="455">
        <f>G7-G60</f>
        <v>-136.45999999997002</v>
      </c>
      <c r="J59" s="552">
        <f>H59/DAY(B2)</f>
        <v>4479.7344444444361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183</v>
      </c>
      <c r="E60" s="511"/>
      <c r="F60" s="511"/>
      <c r="G60" s="481">
        <f>G47+G59</f>
        <v>22713.899999999972</v>
      </c>
      <c r="H60" s="460">
        <f>G60+'8'!H60</f>
        <v>195692.71999999994</v>
      </c>
      <c r="I60" s="455">
        <f>G13-G60</f>
        <v>-858.19999999978609</v>
      </c>
      <c r="J60" s="552">
        <f>H60/DAY(B2)</f>
        <v>21743.635555555549</v>
      </c>
      <c r="K60" s="428"/>
      <c r="L60" s="377"/>
      <c r="N60" s="382">
        <v>11185.168899999966</v>
      </c>
    </row>
    <row r="61" spans="1:14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185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186</v>
      </c>
      <c r="B63" s="604"/>
      <c r="C63" s="604"/>
      <c r="D63" s="511" t="s">
        <v>185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43" t="s">
        <v>98</v>
      </c>
      <c r="B64" s="1544"/>
      <c r="C64" s="1545"/>
      <c r="D64" s="523" t="s">
        <v>185</v>
      </c>
      <c r="E64" s="514">
        <f>'8'!F64</f>
        <v>173248.39</v>
      </c>
      <c r="F64" s="478">
        <v>173664</v>
      </c>
      <c r="G64" s="473">
        <f t="shared" si="5"/>
        <v>415.60999999998603</v>
      </c>
      <c r="H64" s="460">
        <f>G64+'8'!H64</f>
        <v>3642</v>
      </c>
      <c r="I64" s="480"/>
      <c r="J64" s="552">
        <f>H64/DAY(B2)</f>
        <v>404.66666666666669</v>
      </c>
      <c r="K64" s="428"/>
      <c r="L64" s="377"/>
      <c r="N64" s="382">
        <v>161.90400000000227</v>
      </c>
    </row>
    <row r="65" spans="1:14" ht="27.75">
      <c r="A65" s="1543" t="s">
        <v>99</v>
      </c>
      <c r="B65" s="1544"/>
      <c r="C65" s="1545"/>
      <c r="D65" s="523" t="s">
        <v>185</v>
      </c>
      <c r="E65" s="514">
        <f>'8'!F65</f>
        <v>173250.75</v>
      </c>
      <c r="F65" s="651">
        <v>173592</v>
      </c>
      <c r="G65" s="473">
        <f t="shared" si="5"/>
        <v>341.25</v>
      </c>
      <c r="H65" s="460">
        <f>G65+'8'!H65</f>
        <v>3290</v>
      </c>
      <c r="I65" s="489"/>
      <c r="J65" s="552">
        <f>H65/DAY(B2)</f>
        <v>365.55555555555554</v>
      </c>
      <c r="K65" s="428"/>
      <c r="L65" s="377"/>
      <c r="N65" s="382">
        <v>215.74700000000303</v>
      </c>
    </row>
    <row r="66" spans="1:14" ht="27.75">
      <c r="A66" s="1543" t="s">
        <v>100</v>
      </c>
      <c r="B66" s="1544"/>
      <c r="C66" s="1545"/>
      <c r="D66" s="523" t="s">
        <v>185</v>
      </c>
      <c r="E66" s="514">
        <f>'8'!F66</f>
        <v>71312.03</v>
      </c>
      <c r="F66" s="651">
        <v>71709</v>
      </c>
      <c r="G66" s="473">
        <f t="shared" si="5"/>
        <v>396.97000000000116</v>
      </c>
      <c r="H66" s="460">
        <f>G66+'8'!H66</f>
        <v>3739</v>
      </c>
      <c r="I66" s="480"/>
      <c r="J66" s="552">
        <f>H66/DAY(B2)</f>
        <v>415.44444444444446</v>
      </c>
      <c r="K66" s="428"/>
      <c r="L66" s="377"/>
      <c r="N66" s="382">
        <v>243.63500000000204</v>
      </c>
    </row>
    <row r="67" spans="1:14" ht="27.75">
      <c r="A67" s="1543" t="s">
        <v>101</v>
      </c>
      <c r="B67" s="1544"/>
      <c r="C67" s="1545"/>
      <c r="D67" s="523" t="s">
        <v>185</v>
      </c>
      <c r="E67" s="514">
        <f>'8'!F67</f>
        <v>268821.13</v>
      </c>
      <c r="F67" s="478">
        <v>269257</v>
      </c>
      <c r="G67" s="473">
        <f t="shared" si="5"/>
        <v>435.86999999999534</v>
      </c>
      <c r="H67" s="460">
        <f>G67+'8'!H67</f>
        <v>4298</v>
      </c>
      <c r="I67" s="489"/>
      <c r="J67" s="552">
        <f>H67/DAY(B2)</f>
        <v>477.55555555555554</v>
      </c>
      <c r="K67" s="429"/>
      <c r="L67" s="377"/>
      <c r="N67" s="382">
        <v>74.99199999999837</v>
      </c>
    </row>
    <row r="68" spans="1:14" ht="27.75">
      <c r="A68" s="1543" t="s">
        <v>102</v>
      </c>
      <c r="B68" s="1544"/>
      <c r="C68" s="1545"/>
      <c r="D68" s="523" t="s">
        <v>185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43" t="s">
        <v>103</v>
      </c>
      <c r="B69" s="1544"/>
      <c r="C69" s="1545"/>
      <c r="D69" s="523" t="s">
        <v>185</v>
      </c>
      <c r="E69" s="514">
        <f>'8'!F69</f>
        <v>89459.06</v>
      </c>
      <c r="F69" s="478">
        <v>89745</v>
      </c>
      <c r="G69" s="473">
        <f t="shared" si="5"/>
        <v>285.94000000000233</v>
      </c>
      <c r="H69" s="460">
        <f>G69+'8'!H69</f>
        <v>2230</v>
      </c>
      <c r="I69" s="516"/>
      <c r="J69" s="552">
        <f>H69/DAY(B2)</f>
        <v>247.77777777777777</v>
      </c>
      <c r="K69" s="431"/>
      <c r="L69" s="377"/>
      <c r="N69" s="382">
        <v>12.727999999999156</v>
      </c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</row>
    <row r="72" spans="1:14" ht="27.75">
      <c r="A72" s="1543" t="s">
        <v>189</v>
      </c>
      <c r="B72" s="1544"/>
      <c r="C72" s="1545"/>
      <c r="D72" s="523" t="s">
        <v>185</v>
      </c>
      <c r="E72" s="519">
        <f>'8'!F72</f>
        <v>856316</v>
      </c>
      <c r="F72" s="654">
        <v>856330</v>
      </c>
      <c r="G72" s="473">
        <f t="shared" ref="G72:G84" si="6">F72-E72</f>
        <v>14</v>
      </c>
      <c r="H72" s="460">
        <f>G72+'8'!H72</f>
        <v>108</v>
      </c>
      <c r="I72" s="480"/>
      <c r="J72" s="552">
        <f>H72/DAY(B2)</f>
        <v>12</v>
      </c>
      <c r="K72" s="431"/>
      <c r="L72" s="377"/>
      <c r="N72" s="382">
        <v>11</v>
      </c>
    </row>
    <row r="73" spans="1:14" ht="27.75">
      <c r="A73" s="1543" t="s">
        <v>190</v>
      </c>
      <c r="B73" s="1544"/>
      <c r="C73" s="1545"/>
      <c r="D73" s="523" t="s">
        <v>185</v>
      </c>
      <c r="E73" s="519">
        <f>'8'!F73</f>
        <v>885982</v>
      </c>
      <c r="F73" s="655">
        <v>885983</v>
      </c>
      <c r="G73" s="652">
        <f t="shared" si="6"/>
        <v>1</v>
      </c>
      <c r="H73" s="460">
        <f>G73+'8'!H73</f>
        <v>11</v>
      </c>
      <c r="I73" s="480"/>
      <c r="J73" s="552">
        <f>H73/DAY(B2)</f>
        <v>1.2222222222222223</v>
      </c>
      <c r="K73" s="430"/>
      <c r="L73" s="377"/>
      <c r="N73" s="382">
        <v>2</v>
      </c>
    </row>
    <row r="74" spans="1:14" ht="27.75">
      <c r="A74" s="1543" t="s">
        <v>191</v>
      </c>
      <c r="B74" s="1544"/>
      <c r="C74" s="1545"/>
      <c r="D74" s="523" t="s">
        <v>185</v>
      </c>
      <c r="E74" s="519">
        <f>'8'!F74</f>
        <v>88705.3</v>
      </c>
      <c r="F74" s="654">
        <v>88707</v>
      </c>
      <c r="G74" s="473">
        <f t="shared" si="6"/>
        <v>1.6999999999970896</v>
      </c>
      <c r="H74" s="460">
        <f>G74+'8'!H74</f>
        <v>11</v>
      </c>
      <c r="I74" s="480"/>
      <c r="J74" s="552">
        <f>H74/DAY(B2)</f>
        <v>1.2222222222222223</v>
      </c>
      <c r="K74" s="431"/>
      <c r="L74" s="377"/>
      <c r="N74" s="382">
        <v>11</v>
      </c>
    </row>
    <row r="75" spans="1:14" ht="27.75">
      <c r="A75" s="1546" t="s">
        <v>192</v>
      </c>
      <c r="B75" s="1547"/>
      <c r="C75" s="1548"/>
      <c r="D75" s="523" t="s">
        <v>185</v>
      </c>
      <c r="E75" s="519">
        <f>'8'!F75</f>
        <v>17248.810000000001</v>
      </c>
      <c r="F75" s="655">
        <v>17420</v>
      </c>
      <c r="G75" s="473">
        <f t="shared" si="6"/>
        <v>171.18999999999869</v>
      </c>
      <c r="H75" s="460">
        <f>G75+'8'!H75</f>
        <v>1349</v>
      </c>
      <c r="I75" s="480"/>
      <c r="J75" s="552">
        <f>H75/DAY(B2)</f>
        <v>149.88888888888889</v>
      </c>
      <c r="K75" s="430"/>
      <c r="L75" s="377"/>
      <c r="N75" s="382">
        <v>62</v>
      </c>
    </row>
    <row r="76" spans="1:14" ht="27.75">
      <c r="A76" s="1546" t="s">
        <v>193</v>
      </c>
      <c r="B76" s="1547"/>
      <c r="C76" s="1548"/>
      <c r="D76" s="523" t="s">
        <v>185</v>
      </c>
      <c r="E76" s="519">
        <f>'8'!F76</f>
        <v>9870.58</v>
      </c>
      <c r="F76" s="655">
        <v>9935</v>
      </c>
      <c r="G76" s="473">
        <f t="shared" si="6"/>
        <v>64.420000000000073</v>
      </c>
      <c r="H76" s="460">
        <f>G76+'8'!H76</f>
        <v>599</v>
      </c>
      <c r="I76" s="505"/>
      <c r="J76" s="552">
        <f>H76/DAY(B2)</f>
        <v>66.555555555555557</v>
      </c>
      <c r="K76" s="430"/>
      <c r="L76" s="377"/>
      <c r="N76" s="382">
        <v>4</v>
      </c>
    </row>
    <row r="77" spans="1:14" ht="27.75">
      <c r="A77" s="1543" t="s">
        <v>194</v>
      </c>
      <c r="B77" s="1544"/>
      <c r="C77" s="1545"/>
      <c r="D77" s="523" t="s">
        <v>185</v>
      </c>
      <c r="E77" s="519">
        <f>'8'!F77</f>
        <v>704858</v>
      </c>
      <c r="F77" s="655">
        <v>704946</v>
      </c>
      <c r="G77" s="652">
        <f t="shared" si="6"/>
        <v>88</v>
      </c>
      <c r="H77" s="460">
        <f>G77+'8'!H77</f>
        <v>572</v>
      </c>
      <c r="I77" s="505"/>
      <c r="J77" s="552">
        <f>H77/DAY(B2)</f>
        <v>63.555555555555557</v>
      </c>
      <c r="K77" s="430"/>
      <c r="L77" s="377"/>
      <c r="N77" s="382">
        <v>19</v>
      </c>
    </row>
    <row r="78" spans="1:14" ht="27.75">
      <c r="A78" s="1140" t="s">
        <v>195</v>
      </c>
      <c r="B78" s="1113"/>
      <c r="C78" s="1113"/>
      <c r="D78" s="523" t="s">
        <v>185</v>
      </c>
      <c r="E78" s="519">
        <f>'8'!F78</f>
        <v>676318</v>
      </c>
      <c r="F78" s="656">
        <v>676389</v>
      </c>
      <c r="G78" s="473">
        <f t="shared" si="6"/>
        <v>71</v>
      </c>
      <c r="H78" s="460">
        <f>G78+'8'!H78</f>
        <v>975</v>
      </c>
      <c r="I78" s="505"/>
      <c r="J78" s="552">
        <f>H78/DAY(B2)</f>
        <v>108.33333333333333</v>
      </c>
      <c r="K78" s="430"/>
      <c r="L78" s="377"/>
      <c r="N78" s="382">
        <v>31</v>
      </c>
    </row>
    <row r="79" spans="1:14" ht="27.75">
      <c r="A79" s="1546" t="s">
        <v>91</v>
      </c>
      <c r="B79" s="1547"/>
      <c r="C79" s="1548"/>
      <c r="D79" s="524" t="s">
        <v>185</v>
      </c>
      <c r="E79" s="519">
        <f>'8'!F79</f>
        <v>836612</v>
      </c>
      <c r="F79" s="656">
        <v>836762</v>
      </c>
      <c r="G79" s="473">
        <f t="shared" si="6"/>
        <v>150</v>
      </c>
      <c r="H79" s="460">
        <f>G79+'8'!H79</f>
        <v>1346</v>
      </c>
      <c r="I79" s="505"/>
      <c r="J79" s="552">
        <f>H79/DAY(B2)</f>
        <v>149.55555555555554</v>
      </c>
      <c r="K79" s="430"/>
      <c r="L79" s="377"/>
      <c r="N79" s="382">
        <v>100</v>
      </c>
    </row>
    <row r="80" spans="1:14" ht="27.75">
      <c r="A80" s="1546" t="s">
        <v>196</v>
      </c>
      <c r="B80" s="1547"/>
      <c r="C80" s="1548"/>
      <c r="D80" s="524" t="s">
        <v>185</v>
      </c>
      <c r="E80" s="519">
        <f>'8'!F80</f>
        <v>542254.28</v>
      </c>
      <c r="F80" s="1307">
        <v>542695</v>
      </c>
      <c r="G80" s="473">
        <f t="shared" si="6"/>
        <v>440.71999999997206</v>
      </c>
      <c r="H80" s="460">
        <f>G80+'8'!H80</f>
        <v>3682</v>
      </c>
      <c r="I80" s="505"/>
      <c r="J80" s="552">
        <f>H80/DAY(B2)</f>
        <v>409.11111111111109</v>
      </c>
      <c r="K80" s="430"/>
      <c r="L80" s="377"/>
      <c r="N80" s="382">
        <v>158.95999999996275</v>
      </c>
    </row>
    <row r="81" spans="1:15" ht="27.75">
      <c r="A81" s="1546" t="s">
        <v>197</v>
      </c>
      <c r="B81" s="1547"/>
      <c r="C81" s="1548"/>
      <c r="D81" s="524" t="s">
        <v>185</v>
      </c>
      <c r="E81" s="519">
        <f>'8'!F81</f>
        <v>644437.64</v>
      </c>
      <c r="F81" s="655">
        <v>644662</v>
      </c>
      <c r="G81" s="473">
        <f t="shared" si="6"/>
        <v>224.35999999998603</v>
      </c>
      <c r="H81" s="460">
        <f>G81+'8'!H81</f>
        <v>1677</v>
      </c>
      <c r="I81" s="505"/>
      <c r="J81" s="552">
        <f>H81/DAY(B2)</f>
        <v>186.33333333333334</v>
      </c>
      <c r="K81" s="430"/>
      <c r="L81" s="377"/>
      <c r="N81" s="382">
        <v>79.199999999953434</v>
      </c>
    </row>
    <row r="82" spans="1:15" ht="27.75">
      <c r="A82" s="1546" t="s">
        <v>92</v>
      </c>
      <c r="B82" s="1547"/>
      <c r="C82" s="1548"/>
      <c r="D82" s="485" t="s">
        <v>130</v>
      </c>
      <c r="E82" s="519">
        <f>'8'!F82</f>
        <v>108847.85</v>
      </c>
      <c r="F82" s="651">
        <v>108870</v>
      </c>
      <c r="G82" s="473">
        <f t="shared" si="6"/>
        <v>22.149999999994179</v>
      </c>
      <c r="H82" s="460">
        <f>G82+'8'!H82</f>
        <v>189</v>
      </c>
      <c r="I82" s="486"/>
      <c r="J82" s="552">
        <f>H82/DAY(B2)</f>
        <v>21</v>
      </c>
      <c r="K82" s="430"/>
      <c r="L82" s="377"/>
      <c r="N82" s="382">
        <v>30.149999999994179</v>
      </c>
    </row>
    <row r="83" spans="1:15" ht="27.75">
      <c r="A83" s="1546" t="s">
        <v>198</v>
      </c>
      <c r="B83" s="1547"/>
      <c r="C83" s="1548"/>
      <c r="D83" s="620" t="s">
        <v>130</v>
      </c>
      <c r="E83" s="519">
        <f>'8'!F83</f>
        <v>29478</v>
      </c>
      <c r="F83" s="511">
        <v>29717</v>
      </c>
      <c r="G83" s="473">
        <f t="shared" si="6"/>
        <v>239</v>
      </c>
      <c r="H83" s="460">
        <f>G83+'8'!H83</f>
        <v>2166</v>
      </c>
      <c r="I83" s="481"/>
      <c r="J83" s="552">
        <f>H83/DAY(B2)</f>
        <v>240.66666666666666</v>
      </c>
      <c r="K83" s="429"/>
      <c r="L83" s="377"/>
      <c r="N83" s="382">
        <v>316</v>
      </c>
    </row>
    <row r="84" spans="1:15">
      <c r="A84" s="1141" t="s">
        <v>199</v>
      </c>
      <c r="B84" s="571"/>
      <c r="C84" s="571"/>
      <c r="D84" s="478" t="s">
        <v>130</v>
      </c>
      <c r="E84" s="519">
        <f>'8'!F84</f>
        <v>529638</v>
      </c>
      <c r="F84" s="627">
        <v>530494</v>
      </c>
      <c r="G84" s="473">
        <f t="shared" si="6"/>
        <v>856</v>
      </c>
      <c r="H84" s="460">
        <f>G84+'8'!H84</f>
        <v>7414</v>
      </c>
      <c r="I84" s="481"/>
      <c r="J84" s="552">
        <f>H84/DAY(B2)</f>
        <v>823.77777777777783</v>
      </c>
      <c r="K84" s="380"/>
      <c r="L84" s="377"/>
      <c r="N84" s="382">
        <v>408</v>
      </c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2343.5399999999481</v>
      </c>
      <c r="H85" s="460">
        <f>G85+'8'!H85</f>
        <v>20099</v>
      </c>
      <c r="I85" s="481"/>
      <c r="J85" s="552">
        <f>H85/DAY(B2)</f>
        <v>2233.2222222222222</v>
      </c>
      <c r="K85" s="380"/>
      <c r="L85" s="378"/>
      <c r="N85" s="382">
        <v>1232.3099999999104</v>
      </c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'8'!F86</f>
        <v>462018.92</v>
      </c>
      <c r="F86" s="638">
        <v>462039</v>
      </c>
      <c r="G86" s="705">
        <f t="shared" ref="G86:G91" si="7">F86-E86</f>
        <v>20.080000000016298</v>
      </c>
      <c r="H86" s="460">
        <f>G86+'8'!H86</f>
        <v>49.799999999988358</v>
      </c>
      <c r="I86" s="652"/>
      <c r="J86" s="707">
        <f>H86/DAY(B2)</f>
        <v>5.53333333333204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'8'!F87</f>
        <v>82320</v>
      </c>
      <c r="F87" s="647">
        <v>82351</v>
      </c>
      <c r="G87" s="705">
        <f t="shared" si="7"/>
        <v>31</v>
      </c>
      <c r="H87" s="460">
        <f>G87+'8'!H87</f>
        <v>62.399999999994179</v>
      </c>
      <c r="I87" s="652"/>
      <c r="J87" s="707">
        <f>H87/DAY(B2)</f>
        <v>6.933333333332687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'8'!F88</f>
        <v>156256.66</v>
      </c>
      <c r="F88" s="638">
        <v>156373</v>
      </c>
      <c r="G88" s="705">
        <f t="shared" si="7"/>
        <v>116.33999999999651</v>
      </c>
      <c r="H88" s="460">
        <f>G88+'8'!H88</f>
        <v>267.91000000000349</v>
      </c>
      <c r="I88" s="652"/>
      <c r="J88" s="707">
        <f>H88/DAY(B2)</f>
        <v>29.767777777778164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627">
        <f>'8'!F89</f>
        <v>66275.600000000006</v>
      </c>
      <c r="F89" s="647">
        <v>66329</v>
      </c>
      <c r="G89" s="705">
        <f t="shared" si="7"/>
        <v>53.399999999994179</v>
      </c>
      <c r="H89" s="460">
        <f>G89+'8'!H89</f>
        <v>229.5</v>
      </c>
      <c r="I89" s="652"/>
      <c r="J89" s="707">
        <f>H89/DAY(B2)</f>
        <v>25.5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'8'!F90</f>
        <v>3374.9</v>
      </c>
      <c r="F90" s="647">
        <v>3379</v>
      </c>
      <c r="G90" s="705">
        <f t="shared" si="7"/>
        <v>4.0999999999999091</v>
      </c>
      <c r="H90" s="460">
        <f>G90+'8'!H90</f>
        <v>11.099999999999909</v>
      </c>
      <c r="I90" s="652"/>
      <c r="J90" s="707">
        <f>H90/DAY(B2)</f>
        <v>1.2333333333333232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 t="s">
        <v>130</v>
      </c>
      <c r="E91" s="627">
        <f>'8'!F91</f>
        <v>28315.7</v>
      </c>
      <c r="F91" s="647">
        <v>28324</v>
      </c>
      <c r="G91" s="705">
        <f t="shared" si="7"/>
        <v>8.2999999999992724</v>
      </c>
      <c r="H91" s="460">
        <f>G91+'8'!H91</f>
        <v>17.240000000001601</v>
      </c>
      <c r="I91" s="652"/>
      <c r="J91" s="707">
        <f>H91/DAY(B2)</f>
        <v>1.9155555555557333</v>
      </c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'8'!F93</f>
        <v>248155</v>
      </c>
      <c r="F93" s="478">
        <v>248242</v>
      </c>
      <c r="G93" s="473">
        <f t="shared" ref="G93:G94" si="8">F93-E93</f>
        <v>87</v>
      </c>
      <c r="H93" s="460">
        <f>G93+'8'!H93</f>
        <v>890</v>
      </c>
      <c r="I93" s="480"/>
      <c r="J93" s="552">
        <f>H93/DAY(B2)</f>
        <v>98.888888888888886</v>
      </c>
      <c r="K93" s="429"/>
      <c r="L93" s="377"/>
      <c r="N93" s="382">
        <v>0</v>
      </c>
    </row>
    <row r="94" spans="1:15" ht="27.75">
      <c r="A94" s="1562" t="s">
        <v>205</v>
      </c>
      <c r="B94" s="1563"/>
      <c r="C94" s="1564"/>
      <c r="D94" s="523" t="s">
        <v>142</v>
      </c>
      <c r="E94" s="484">
        <f>'8'!F94</f>
        <v>190361</v>
      </c>
      <c r="F94" s="478">
        <v>190452</v>
      </c>
      <c r="G94" s="473">
        <f t="shared" si="8"/>
        <v>91</v>
      </c>
      <c r="H94" s="460">
        <f>G94+'8'!H94</f>
        <v>998</v>
      </c>
      <c r="I94" s="480"/>
      <c r="J94" s="552">
        <f>H94/DAY(B2)</f>
        <v>110.88888888888889</v>
      </c>
      <c r="K94" s="380"/>
      <c r="L94" s="377"/>
      <c r="N94" s="382">
        <v>71</v>
      </c>
    </row>
    <row r="95" spans="1:15">
      <c r="A95" s="1594" t="s">
        <v>206</v>
      </c>
      <c r="B95" s="1595"/>
      <c r="C95" s="1596"/>
      <c r="D95" s="523"/>
      <c r="E95" s="484">
        <f>'8'!F95</f>
        <v>0</v>
      </c>
      <c r="F95" s="478"/>
      <c r="G95" s="473">
        <f>G93+G94</f>
        <v>178</v>
      </c>
      <c r="H95" s="460">
        <f>G95+'8'!H95</f>
        <v>1702</v>
      </c>
      <c r="I95" s="480"/>
      <c r="J95" s="552">
        <f>H95/DAY(B2)</f>
        <v>189.11111111111111</v>
      </c>
      <c r="K95" s="380"/>
      <c r="L95" s="377"/>
      <c r="N95" s="382">
        <v>71</v>
      </c>
    </row>
    <row r="96" spans="1:15" ht="27.75">
      <c r="A96" s="1562" t="s">
        <v>207</v>
      </c>
      <c r="B96" s="1563"/>
      <c r="C96" s="1564"/>
      <c r="D96" s="523" t="s">
        <v>142</v>
      </c>
      <c r="E96" s="484">
        <f>'8'!F96</f>
        <v>416769</v>
      </c>
      <c r="F96" s="478">
        <v>416862</v>
      </c>
      <c r="G96" s="473">
        <f t="shared" ref="G96:G101" si="9">F96-E96</f>
        <v>93</v>
      </c>
      <c r="H96" s="460">
        <f>G96+'8'!H96</f>
        <v>863</v>
      </c>
      <c r="I96" s="480"/>
      <c r="J96" s="552">
        <f>H96/DAY(B2)</f>
        <v>95.888888888888886</v>
      </c>
      <c r="K96" s="380"/>
      <c r="L96" s="377"/>
      <c r="N96" s="382">
        <v>26</v>
      </c>
    </row>
    <row r="97" spans="1:14" ht="27.75">
      <c r="A97" s="1137" t="s">
        <v>208</v>
      </c>
      <c r="B97" s="1138"/>
      <c r="C97" s="1138"/>
      <c r="D97" s="523" t="s">
        <v>142</v>
      </c>
      <c r="E97" s="484">
        <f>'8'!F97</f>
        <v>103326</v>
      </c>
      <c r="F97" s="478">
        <v>103345</v>
      </c>
      <c r="G97" s="473">
        <f t="shared" si="9"/>
        <v>19</v>
      </c>
      <c r="H97" s="460">
        <f>G97+'8'!H97</f>
        <v>182</v>
      </c>
      <c r="I97" s="480"/>
      <c r="J97" s="552">
        <f>H97/DAY(B2)</f>
        <v>20.222222222222221</v>
      </c>
      <c r="K97" s="427"/>
      <c r="L97" s="377"/>
      <c r="N97" s="382">
        <v>11</v>
      </c>
    </row>
    <row r="98" spans="1:14" ht="27.75">
      <c r="A98" s="1137" t="s">
        <v>209</v>
      </c>
      <c r="B98" s="1138"/>
      <c r="C98" s="1138"/>
      <c r="D98" s="523" t="s">
        <v>142</v>
      </c>
      <c r="E98" s="484">
        <f>'8'!F98</f>
        <v>98842</v>
      </c>
      <c r="F98" s="478">
        <v>98866</v>
      </c>
      <c r="G98" s="473">
        <f t="shared" si="9"/>
        <v>24</v>
      </c>
      <c r="H98" s="460">
        <f>G98+'8'!H98</f>
        <v>209</v>
      </c>
      <c r="I98" s="480"/>
      <c r="J98" s="552">
        <f>H98/DAY(B2)</f>
        <v>23.222222222222221</v>
      </c>
      <c r="K98" s="432"/>
      <c r="L98" s="377"/>
      <c r="N98" s="382">
        <v>9</v>
      </c>
    </row>
    <row r="99" spans="1:14" ht="27.75">
      <c r="A99" s="1137" t="s">
        <v>210</v>
      </c>
      <c r="B99" s="1138"/>
      <c r="C99" s="1138"/>
      <c r="D99" s="523" t="s">
        <v>142</v>
      </c>
      <c r="E99" s="484">
        <f>'8'!F99</f>
        <v>150670</v>
      </c>
      <c r="F99" s="478">
        <v>150684</v>
      </c>
      <c r="G99" s="473">
        <f t="shared" si="9"/>
        <v>14</v>
      </c>
      <c r="H99" s="460">
        <f>G99+'8'!H99</f>
        <v>279</v>
      </c>
      <c r="I99" s="480"/>
      <c r="J99" s="552">
        <f>H99/DAY(B2)</f>
        <v>31</v>
      </c>
      <c r="K99" s="380"/>
      <c r="L99" s="377"/>
      <c r="N99" s="704">
        <v>24</v>
      </c>
    </row>
    <row r="100" spans="1:14" ht="27.75">
      <c r="A100" s="1137" t="s">
        <v>211</v>
      </c>
      <c r="B100" s="1138"/>
      <c r="C100" s="1138"/>
      <c r="D100" s="523" t="s">
        <v>142</v>
      </c>
      <c r="E100" s="484">
        <f>'8'!F100</f>
        <v>7873</v>
      </c>
      <c r="F100" s="478">
        <v>7882</v>
      </c>
      <c r="G100" s="473">
        <f t="shared" si="9"/>
        <v>9</v>
      </c>
      <c r="H100" s="460">
        <f>G100+'8'!H100</f>
        <v>85</v>
      </c>
      <c r="I100" s="480"/>
      <c r="J100" s="552">
        <f>H100/DAY(B2)</f>
        <v>9.4444444444444446</v>
      </c>
      <c r="K100" s="380"/>
      <c r="L100" s="377"/>
      <c r="N100" s="382">
        <v>3</v>
      </c>
    </row>
    <row r="101" spans="1:14" ht="27.75">
      <c r="A101" s="1137" t="s">
        <v>212</v>
      </c>
      <c r="B101" s="1138"/>
      <c r="C101" s="1138"/>
      <c r="D101" s="523" t="s">
        <v>142</v>
      </c>
      <c r="E101" s="484">
        <f>'8'!F101</f>
        <v>5737</v>
      </c>
      <c r="F101" s="478">
        <v>5749</v>
      </c>
      <c r="G101" s="473">
        <f t="shared" si="9"/>
        <v>12</v>
      </c>
      <c r="H101" s="460">
        <f>G101+'8'!H101</f>
        <v>75</v>
      </c>
      <c r="I101" s="480"/>
      <c r="J101" s="552">
        <f>H101/DAY(B2)</f>
        <v>8.3333333333333339</v>
      </c>
      <c r="K101" s="380"/>
      <c r="L101" s="377"/>
      <c r="N101" s="382">
        <v>0</v>
      </c>
    </row>
    <row r="102" spans="1:14">
      <c r="A102" s="1594" t="s">
        <v>214</v>
      </c>
      <c r="B102" s="1595"/>
      <c r="C102" s="1596"/>
      <c r="D102" s="524"/>
      <c r="E102" s="484"/>
      <c r="F102" s="524"/>
      <c r="G102" s="525">
        <f>SUM(G96:G101)</f>
        <v>171</v>
      </c>
      <c r="H102" s="460">
        <f>G102+'8'!H102</f>
        <v>1693</v>
      </c>
      <c r="I102" s="526"/>
      <c r="J102" s="552">
        <f>H102/DAY(B2)</f>
        <v>188.11111111111111</v>
      </c>
      <c r="K102" s="380"/>
      <c r="L102" s="377"/>
      <c r="N102" s="382">
        <v>73</v>
      </c>
    </row>
    <row r="103" spans="1:14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382"/>
    </row>
    <row r="104" spans="1:14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382"/>
    </row>
    <row r="105" spans="1:14" s="442" customFormat="1" ht="27.75">
      <c r="A105" s="1554" t="s">
        <v>217</v>
      </c>
      <c r="B105" s="1555"/>
      <c r="C105" s="1136"/>
      <c r="D105" s="622" t="s">
        <v>142</v>
      </c>
      <c r="E105" s="484">
        <f>'8'!F105</f>
        <v>7767</v>
      </c>
      <c r="F105" s="658">
        <v>7767</v>
      </c>
      <c r="G105" s="532">
        <f>F105-E105</f>
        <v>0</v>
      </c>
      <c r="H105" s="460">
        <f>G105+'8'!H105</f>
        <v>130</v>
      </c>
      <c r="I105" s="532"/>
      <c r="J105" s="558">
        <f>H105/DAY(B2)</f>
        <v>14.444444444444445</v>
      </c>
      <c r="N105" s="382">
        <v>0</v>
      </c>
    </row>
    <row r="106" spans="1:14" s="442" customFormat="1" ht="27.75">
      <c r="A106" s="1554" t="s">
        <v>76</v>
      </c>
      <c r="B106" s="1555"/>
      <c r="C106" s="1136"/>
      <c r="D106" s="622" t="s">
        <v>142</v>
      </c>
      <c r="E106" s="484">
        <f>'8'!F106</f>
        <v>36225</v>
      </c>
      <c r="F106" s="659">
        <v>36232</v>
      </c>
      <c r="G106" s="532">
        <f t="shared" ref="G106:G107" si="10">F106-E106</f>
        <v>7</v>
      </c>
      <c r="H106" s="460">
        <f>G106+'8'!H106</f>
        <v>70</v>
      </c>
      <c r="I106" s="532"/>
      <c r="J106" s="558">
        <f>H106/DAY(B2)</f>
        <v>7.7777777777777777</v>
      </c>
      <c r="N106" s="382">
        <v>0</v>
      </c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484">
        <f>'8'!F107</f>
        <v>19853</v>
      </c>
      <c r="F107" s="783">
        <v>19859</v>
      </c>
      <c r="G107" s="532">
        <f t="shared" si="10"/>
        <v>6</v>
      </c>
      <c r="H107" s="460">
        <f>G107+'8'!H107</f>
        <v>37</v>
      </c>
      <c r="I107" s="532"/>
      <c r="J107" s="558">
        <f>H107/DAY(B2)</f>
        <v>4.1111111111111107</v>
      </c>
      <c r="N107" s="382">
        <v>4</v>
      </c>
    </row>
    <row r="108" spans="1:14" s="442" customFormat="1" ht="27.75">
      <c r="A108" s="1556" t="s">
        <v>200</v>
      </c>
      <c r="B108" s="1557"/>
      <c r="C108" s="1136"/>
      <c r="D108" s="622"/>
      <c r="E108" s="484"/>
      <c r="F108" s="659"/>
      <c r="G108" s="532">
        <f>SUM(G105:G107)</f>
        <v>13</v>
      </c>
      <c r="H108" s="460">
        <f>G108+'8'!H108</f>
        <v>237</v>
      </c>
      <c r="I108" s="532"/>
      <c r="J108" s="558">
        <f>H108/DAY(B2)</f>
        <v>26.333333333333332</v>
      </c>
      <c r="N108" s="382">
        <v>4</v>
      </c>
    </row>
    <row r="109" spans="1:14" s="442" customFormat="1" ht="27.75">
      <c r="A109" s="1560" t="s">
        <v>78</v>
      </c>
      <c r="B109" s="1561"/>
      <c r="C109" s="1136"/>
      <c r="D109" s="622" t="s">
        <v>142</v>
      </c>
      <c r="E109" s="484">
        <f>'8'!F109</f>
        <v>0</v>
      </c>
      <c r="F109" s="659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54" t="s">
        <v>218</v>
      </c>
      <c r="B110" s="1555"/>
      <c r="C110" s="1136"/>
      <c r="D110" s="622" t="s">
        <v>142</v>
      </c>
      <c r="E110" s="484">
        <f>'8'!F110</f>
        <v>65473</v>
      </c>
      <c r="F110" s="659">
        <v>65562</v>
      </c>
      <c r="G110" s="532">
        <f>F110-E110</f>
        <v>89</v>
      </c>
      <c r="H110" s="460">
        <f>G110+'8'!H110</f>
        <v>719</v>
      </c>
      <c r="I110" s="532"/>
      <c r="J110" s="558">
        <f>H110/DAY(B2)</f>
        <v>79.888888888888886</v>
      </c>
      <c r="N110" s="382">
        <v>40</v>
      </c>
    </row>
    <row r="111" spans="1:14" s="442" customFormat="1" ht="27.75">
      <c r="A111" s="1554" t="s">
        <v>219</v>
      </c>
      <c r="B111" s="1555"/>
      <c r="C111" s="1136"/>
      <c r="D111" s="622" t="s">
        <v>142</v>
      </c>
      <c r="E111" s="484">
        <f>'8'!F111</f>
        <v>33395</v>
      </c>
      <c r="F111" s="659">
        <v>33421</v>
      </c>
      <c r="G111" s="532">
        <f t="shared" ref="G111:G112" si="11">F111-E111</f>
        <v>26</v>
      </c>
      <c r="H111" s="460">
        <f>G111+'8'!H111</f>
        <v>292</v>
      </c>
      <c r="I111" s="532"/>
      <c r="J111" s="558">
        <f>H111/DAY(B2)</f>
        <v>32.444444444444443</v>
      </c>
      <c r="N111" s="382">
        <v>43</v>
      </c>
    </row>
    <row r="112" spans="1:14" s="442" customFormat="1" ht="27.75">
      <c r="A112" s="1554" t="s">
        <v>220</v>
      </c>
      <c r="B112" s="1555"/>
      <c r="C112" s="1136"/>
      <c r="D112" s="622" t="s">
        <v>142</v>
      </c>
      <c r="E112" s="484">
        <f>'8'!F112</f>
        <v>4621.3</v>
      </c>
      <c r="F112" s="659">
        <v>4621.3</v>
      </c>
      <c r="G112" s="532">
        <f t="shared" si="11"/>
        <v>0</v>
      </c>
      <c r="H112" s="460">
        <f>G112+'8'!H112</f>
        <v>0.3000000000001819</v>
      </c>
      <c r="I112" s="532"/>
      <c r="J112" s="558">
        <f>H112/DAY(B2)</f>
        <v>3.3333333333353546E-2</v>
      </c>
      <c r="N112" s="382">
        <v>0</v>
      </c>
    </row>
    <row r="113" spans="1:14" s="442" customFormat="1" ht="27.75">
      <c r="A113" s="1556" t="s">
        <v>109</v>
      </c>
      <c r="B113" s="1557"/>
      <c r="C113" s="1136"/>
      <c r="D113" s="622"/>
      <c r="E113" s="484"/>
      <c r="F113" s="659"/>
      <c r="G113" s="532">
        <f>SUM(G110:G112)</f>
        <v>115</v>
      </c>
      <c r="H113" s="460">
        <f>G113+'8'!H113</f>
        <v>1011.3000000000002</v>
      </c>
      <c r="I113" s="532"/>
      <c r="J113" s="558">
        <f>H113/DAY(B2)</f>
        <v>112.36666666666669</v>
      </c>
      <c r="N113" s="382">
        <v>83</v>
      </c>
    </row>
    <row r="114" spans="1:14" s="442" customFormat="1" ht="27.75">
      <c r="A114" s="1560" t="s">
        <v>221</v>
      </c>
      <c r="B114" s="1561"/>
      <c r="C114" s="1136"/>
      <c r="D114" s="622"/>
      <c r="E114" s="484"/>
      <c r="F114" s="659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484">
        <f>'8'!F115</f>
        <v>12112</v>
      </c>
      <c r="F115" s="659">
        <v>12124</v>
      </c>
      <c r="G115" s="534">
        <f>F115-E115</f>
        <v>12</v>
      </c>
      <c r="H115" s="460">
        <f>G115+'8'!H115</f>
        <v>111</v>
      </c>
      <c r="I115" s="532"/>
      <c r="J115" s="558">
        <f>H115/DAY(B2)</f>
        <v>12.333333333333334</v>
      </c>
      <c r="N115" s="382">
        <v>5</v>
      </c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484">
        <f>'8'!F116</f>
        <v>8611</v>
      </c>
      <c r="F116" s="659">
        <v>8617</v>
      </c>
      <c r="G116" s="534">
        <f t="shared" ref="G116:G117" si="12">F116-E116</f>
        <v>6</v>
      </c>
      <c r="H116" s="460">
        <f>G116+'8'!H116</f>
        <v>62</v>
      </c>
      <c r="I116" s="532"/>
      <c r="J116" s="558">
        <f>H116/DAY(B2)</f>
        <v>6.8888888888888893</v>
      </c>
      <c r="N116" s="382">
        <v>3</v>
      </c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18</v>
      </c>
      <c r="H118" s="460">
        <f>G118+'8'!H118</f>
        <v>173</v>
      </c>
      <c r="I118" s="534"/>
      <c r="J118" s="558">
        <f>H118/DAY(B2)</f>
        <v>19.222222222222221</v>
      </c>
      <c r="N118" s="382">
        <v>8</v>
      </c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148</v>
      </c>
      <c r="G119" s="536">
        <f>SUM(G19+G93)</f>
        <v>148</v>
      </c>
      <c r="H119" s="460">
        <f>G119+'8'!H119</f>
        <v>1437</v>
      </c>
      <c r="I119" s="535"/>
      <c r="J119" s="559">
        <f>H119/DAY(B2)</f>
        <v>159.66666666666666</v>
      </c>
      <c r="N119" s="382">
        <v>55</v>
      </c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157</v>
      </c>
      <c r="G120" s="536">
        <f>SUM(G96,G97,G98,G100,G101)</f>
        <v>157</v>
      </c>
      <c r="H120" s="460">
        <f>G120+'8'!H120</f>
        <v>1414</v>
      </c>
      <c r="I120" s="535"/>
      <c r="J120" s="559">
        <f>H120/DAY(B2)</f>
        <v>157.11111111111111</v>
      </c>
      <c r="N120" s="382">
        <v>49</v>
      </c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115</v>
      </c>
      <c r="G121" s="534">
        <f>SUM(G113)</f>
        <v>115</v>
      </c>
      <c r="H121" s="460">
        <f>G121+'8'!H121</f>
        <v>1011.3000000000002</v>
      </c>
      <c r="I121" s="535"/>
      <c r="J121" s="559">
        <f>H121/DAY(B2)</f>
        <v>112.36666666666669</v>
      </c>
      <c r="N121" s="382">
        <v>83</v>
      </c>
    </row>
    <row r="122" spans="1:14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7" t="s">
        <v>229</v>
      </c>
      <c r="B124" s="1138"/>
      <c r="C124" s="1138"/>
      <c r="D124" s="523" t="s">
        <v>139</v>
      </c>
      <c r="E124" s="478">
        <f>'8'!F124</f>
        <v>841867.13</v>
      </c>
      <c r="F124" s="478">
        <v>842183</v>
      </c>
      <c r="G124" s="473">
        <f t="shared" ref="G124:G128" si="13">F124-E124</f>
        <v>315.86999999999534</v>
      </c>
      <c r="H124" s="460">
        <f>G124+'8'!H124</f>
        <v>2513</v>
      </c>
      <c r="I124" s="526"/>
      <c r="J124" s="552">
        <f>H124/DAY(B2)</f>
        <v>279.22222222222223</v>
      </c>
      <c r="K124" s="380"/>
      <c r="L124" s="377"/>
      <c r="N124" s="382">
        <v>111.45100000000093</v>
      </c>
    </row>
    <row r="125" spans="1:14" ht="27.75">
      <c r="A125" s="1137" t="s">
        <v>230</v>
      </c>
      <c r="B125" s="1138"/>
      <c r="C125" s="1138"/>
      <c r="D125" s="523" t="s">
        <v>139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43" t="s">
        <v>231</v>
      </c>
      <c r="B126" s="1544"/>
      <c r="C126" s="1545"/>
      <c r="D126" s="523" t="s">
        <v>139</v>
      </c>
      <c r="E126" s="478">
        <f>'8'!F126</f>
        <v>149241.91</v>
      </c>
      <c r="F126" s="478">
        <v>149340</v>
      </c>
      <c r="G126" s="473">
        <f t="shared" si="13"/>
        <v>98.089999999996508</v>
      </c>
      <c r="H126" s="460">
        <f>G126+'8'!H126</f>
        <v>743</v>
      </c>
      <c r="I126" s="526"/>
      <c r="J126" s="552">
        <f>H126/DAY(B2)</f>
        <v>82.555555555555557</v>
      </c>
      <c r="K126" s="380"/>
      <c r="L126" s="377"/>
      <c r="N126" s="382">
        <v>43.220000000001164</v>
      </c>
    </row>
    <row r="127" spans="1:14" ht="27.75">
      <c r="A127" s="609" t="s">
        <v>232</v>
      </c>
      <c r="B127" s="1138"/>
      <c r="C127" s="1138"/>
      <c r="D127" s="523" t="s">
        <v>139</v>
      </c>
      <c r="E127" s="478">
        <f>'8'!F127</f>
        <v>32354.2</v>
      </c>
      <c r="F127" s="626">
        <v>32392</v>
      </c>
      <c r="G127" s="473">
        <f t="shared" si="13"/>
        <v>37.799999999999272</v>
      </c>
      <c r="H127" s="460">
        <f>G127+'8'!H127</f>
        <v>321</v>
      </c>
      <c r="I127" s="526"/>
      <c r="J127" s="552">
        <f>H127/DAY(B2)</f>
        <v>35.666666666666664</v>
      </c>
      <c r="K127" s="380"/>
      <c r="L127" s="377"/>
      <c r="N127" s="382">
        <v>0</v>
      </c>
    </row>
    <row r="128" spans="1:14" ht="27.75">
      <c r="A128" s="609" t="s">
        <v>233</v>
      </c>
      <c r="B128" s="1138"/>
      <c r="C128" s="1138"/>
      <c r="D128" s="523" t="s">
        <v>139</v>
      </c>
      <c r="E128" s="478">
        <f>'8'!F128</f>
        <v>9031.2000000000007</v>
      </c>
      <c r="F128" s="626">
        <v>9034</v>
      </c>
      <c r="G128" s="473">
        <f t="shared" si="13"/>
        <v>2.7999999999992724</v>
      </c>
      <c r="H128" s="460">
        <f>G128+'8'!H128</f>
        <v>22</v>
      </c>
      <c r="I128" s="480"/>
      <c r="J128" s="552">
        <f>H128/DAY(B2)</f>
        <v>2.4444444444444446</v>
      </c>
      <c r="K128" s="380"/>
      <c r="L128" s="377"/>
      <c r="N128" s="382">
        <v>0</v>
      </c>
    </row>
    <row r="129" spans="1:14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376.28000000009342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37" t="s">
        <v>238</v>
      </c>
      <c r="B132" s="1138"/>
      <c r="C132" s="1138"/>
      <c r="D132" s="523" t="s">
        <v>237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37" t="s">
        <v>239</v>
      </c>
      <c r="B133" s="1138"/>
      <c r="C133" s="1138"/>
      <c r="D133" s="523" t="s">
        <v>237</v>
      </c>
      <c r="E133" s="484">
        <f>'8'!F133</f>
        <v>40583.379999999997</v>
      </c>
      <c r="F133" s="626">
        <v>40594</v>
      </c>
      <c r="G133" s="473">
        <f t="shared" si="14"/>
        <v>10.620000000002619</v>
      </c>
      <c r="H133" s="460">
        <f>G133+'8'!H133</f>
        <v>141</v>
      </c>
      <c r="I133" s="480"/>
      <c r="J133" s="552">
        <f>H133/DAY(B2)</f>
        <v>15.666666666666666</v>
      </c>
      <c r="N133" s="382">
        <v>22</v>
      </c>
    </row>
    <row r="134" spans="1:14" ht="27.75">
      <c r="A134" s="1137" t="s">
        <v>240</v>
      </c>
      <c r="B134" s="1138"/>
      <c r="C134" s="1138"/>
      <c r="D134" s="523" t="s">
        <v>237</v>
      </c>
      <c r="E134" s="484">
        <f>'8'!F134</f>
        <v>300.19</v>
      </c>
      <c r="F134" s="485">
        <v>300</v>
      </c>
      <c r="G134" s="473">
        <f t="shared" si="14"/>
        <v>-0.18999999999999773</v>
      </c>
      <c r="H134" s="460">
        <f>G134+'8'!H134</f>
        <v>0</v>
      </c>
      <c r="I134" s="480">
        <f>G131+G132+G133+G134</f>
        <v>10.430000000002622</v>
      </c>
      <c r="J134" s="552">
        <f>H134/DAY(B2)</f>
        <v>0</v>
      </c>
      <c r="N134" s="382">
        <v>0</v>
      </c>
    </row>
    <row r="135" spans="1:14" ht="27.75">
      <c r="A135" s="1137" t="s">
        <v>241</v>
      </c>
      <c r="B135" s="1138"/>
      <c r="C135" s="1138"/>
      <c r="D135" s="523" t="s">
        <v>237</v>
      </c>
      <c r="E135" s="484">
        <f>'8'!F135</f>
        <v>42079.15</v>
      </c>
      <c r="F135" s="626">
        <v>42103</v>
      </c>
      <c r="G135" s="473">
        <f t="shared" si="14"/>
        <v>23.849999999998545</v>
      </c>
      <c r="H135" s="460">
        <f>G135+'8'!H135</f>
        <v>131</v>
      </c>
      <c r="I135" s="480"/>
      <c r="J135" s="552">
        <f>H135/DAY(B2)</f>
        <v>14.555555555555555</v>
      </c>
      <c r="N135" s="382">
        <v>0</v>
      </c>
    </row>
    <row r="136" spans="1:14" ht="27.75">
      <c r="A136" s="1137" t="s">
        <v>242</v>
      </c>
      <c r="B136" s="1138"/>
      <c r="C136" s="1138"/>
      <c r="D136" s="523" t="s">
        <v>237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5.0000000002910383E-2</v>
      </c>
      <c r="I136" s="480"/>
      <c r="J136" s="552">
        <f>H136/DAY(B2)</f>
        <v>5.5555555558789316E-3</v>
      </c>
      <c r="N136" s="382">
        <v>0</v>
      </c>
    </row>
    <row r="137" spans="1:14" ht="27.75">
      <c r="A137" s="1137" t="s">
        <v>243</v>
      </c>
      <c r="B137" s="1138"/>
      <c r="C137" s="1138"/>
      <c r="D137" s="523" t="s">
        <v>237</v>
      </c>
      <c r="E137" s="484">
        <f>'8'!F137</f>
        <v>22942.28</v>
      </c>
      <c r="F137" s="651">
        <v>22950.35</v>
      </c>
      <c r="G137" s="473">
        <f t="shared" si="14"/>
        <v>8.069999999999709</v>
      </c>
      <c r="H137" s="460">
        <f>G137+'8'!H137</f>
        <v>58.859999999996944</v>
      </c>
      <c r="I137" s="480">
        <f>G135+G136+G137</f>
        <v>31.919999999998254</v>
      </c>
      <c r="J137" s="552">
        <f>H137/DAY(B2)</f>
        <v>6.5399999999996608</v>
      </c>
      <c r="N137" s="382">
        <v>-0.2999999999992724</v>
      </c>
    </row>
    <row r="138" spans="1:14" ht="27.75">
      <c r="A138" s="1137" t="s">
        <v>244</v>
      </c>
      <c r="B138" s="1138"/>
      <c r="C138" s="1138"/>
      <c r="D138" s="523" t="s">
        <v>237</v>
      </c>
      <c r="E138" s="484">
        <f>'8'!F138</f>
        <v>25095.02</v>
      </c>
      <c r="F138" s="651">
        <v>25095.200000000001</v>
      </c>
      <c r="G138" s="473">
        <f t="shared" si="14"/>
        <v>0.18000000000029104</v>
      </c>
      <c r="H138" s="460">
        <f>G138+'8'!H138</f>
        <v>3.8100000000013097</v>
      </c>
      <c r="I138" s="480"/>
      <c r="J138" s="552">
        <f>H138/DAY(B2)</f>
        <v>0.42333333333347883</v>
      </c>
      <c r="N138" s="382">
        <v>0</v>
      </c>
    </row>
    <row r="139" spans="1:14" ht="27.75">
      <c r="A139" s="1137" t="s">
        <v>245</v>
      </c>
      <c r="B139" s="1138"/>
      <c r="C139" s="1138"/>
      <c r="D139" s="523" t="s">
        <v>237</v>
      </c>
      <c r="E139" s="484">
        <f>'8'!F139</f>
        <v>70514.289999999994</v>
      </c>
      <c r="F139" s="651">
        <v>70514.289999999994</v>
      </c>
      <c r="G139" s="473">
        <f t="shared" si="14"/>
        <v>0</v>
      </c>
      <c r="H139" s="460">
        <f>G139+'8'!H139</f>
        <v>0.66999999999825377</v>
      </c>
      <c r="I139" s="480">
        <f>G138+G139</f>
        <v>0.18000000000029104</v>
      </c>
      <c r="J139" s="552">
        <f>H139/DAY(B2)</f>
        <v>7.4444444444250413E-2</v>
      </c>
      <c r="N139" s="382">
        <v>9.7100000000064028</v>
      </c>
    </row>
    <row r="140" spans="1:14" ht="27.75">
      <c r="A140" s="1137" t="s">
        <v>246</v>
      </c>
      <c r="B140" s="1138"/>
      <c r="C140" s="1138"/>
      <c r="D140" s="523" t="s">
        <v>237</v>
      </c>
      <c r="E140" s="484">
        <f>'8'!F140</f>
        <v>2210.52</v>
      </c>
      <c r="F140" s="626">
        <v>2220.31</v>
      </c>
      <c r="G140" s="473">
        <f t="shared" si="14"/>
        <v>9.7899999999999636</v>
      </c>
      <c r="H140" s="460">
        <f>G140+'8'!H140</f>
        <v>91.130000000000109</v>
      </c>
      <c r="I140" s="542"/>
      <c r="J140" s="552">
        <f>H140/DAY(B2)</f>
        <v>10.125555555555568</v>
      </c>
      <c r="N140" s="382">
        <v>0</v>
      </c>
    </row>
    <row r="141" spans="1:14" ht="27.75">
      <c r="A141" s="1137" t="s">
        <v>247</v>
      </c>
      <c r="B141" s="1138"/>
      <c r="C141" s="1138"/>
      <c r="D141" s="523" t="s">
        <v>237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6174.7699999999022</v>
      </c>
      <c r="H143" s="460">
        <f>G143+'8'!H143</f>
        <v>50677</v>
      </c>
      <c r="I143" s="480"/>
      <c r="J143" s="552">
        <f>H143/DAY(B2)</f>
        <v>5630.7777777777774</v>
      </c>
      <c r="K143" s="380"/>
      <c r="L143" s="377"/>
      <c r="N143" s="382">
        <v>2912.0800000000163</v>
      </c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0.27349292036652079</v>
      </c>
      <c r="H144" s="460">
        <f>G144+'8'!H144</f>
        <v>2.3476796012859604</v>
      </c>
      <c r="I144" s="544"/>
      <c r="J144" s="552">
        <f>H144/DAY(B2)</f>
        <v>0.26085328903177341</v>
      </c>
      <c r="K144" s="380"/>
      <c r="L144" s="377"/>
      <c r="N144" s="382">
        <v>0.25636763799630391</v>
      </c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7248.8100000000413</v>
      </c>
      <c r="H145" s="460">
        <f>G145+'8'!H145</f>
        <v>61021.11</v>
      </c>
      <c r="I145" s="480"/>
      <c r="J145" s="552">
        <f>H145/DAY(B2)</f>
        <v>6780.123333333333</v>
      </c>
      <c r="K145" s="380"/>
      <c r="L145" s="377"/>
      <c r="N145" s="382">
        <v>2876.3199999999779</v>
      </c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0.32106430135569136</v>
      </c>
      <c r="H146" s="460">
        <f>G146+'8'!H146</f>
        <v>2.8213938894446127</v>
      </c>
      <c r="I146" s="544"/>
      <c r="J146" s="552">
        <f>H146/DAY(B2)</f>
        <v>0.3134882099382903</v>
      </c>
      <c r="K146" s="380"/>
      <c r="L146" s="377"/>
      <c r="N146" s="382">
        <v>0.25321947354520452</v>
      </c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3607.8099999999977</v>
      </c>
      <c r="H147" s="460">
        <f>G147+'8'!H147</f>
        <v>33124.669999999984</v>
      </c>
      <c r="I147" s="545"/>
      <c r="J147" s="552">
        <f>H147/DAY(B2)</f>
        <v>3680.518888888887</v>
      </c>
      <c r="K147" s="380"/>
      <c r="L147" s="377"/>
      <c r="N147" s="382">
        <v>2036.5859000000055</v>
      </c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0.15979712491761675</v>
      </c>
      <c r="H148" s="460">
        <f>G148+'8'!H148</f>
        <v>1.5358593191546794</v>
      </c>
      <c r="I148" s="545"/>
      <c r="J148" s="552">
        <f>H148/DAY(B2)</f>
        <v>0.17065103546163105</v>
      </c>
      <c r="N148" s="382">
        <v>0.17929271062593585</v>
      </c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1594.7099999999919</v>
      </c>
      <c r="H149" s="460">
        <f>G149+'8'!H149</f>
        <v>14399.069999999949</v>
      </c>
      <c r="I149" s="480"/>
      <c r="J149" s="552">
        <f>H149/DAY(B2)</f>
        <v>1599.8966666666611</v>
      </c>
      <c r="K149" s="381"/>
      <c r="N149" s="382">
        <v>1071.8899999999849</v>
      </c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7.0632897263816968E-2</v>
      </c>
      <c r="H150" s="460">
        <f>G150+'8'!H150</f>
        <v>0.66639480898645942</v>
      </c>
      <c r="I150" s="545"/>
      <c r="J150" s="552">
        <f>H150/DAY(B2)</f>
        <v>7.4043867665162161E-2</v>
      </c>
      <c r="N150" s="382">
        <v>9.4364820846904202E-2</v>
      </c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1793.6800000000476</v>
      </c>
      <c r="H151" s="460">
        <f>G151+'8'!H151</f>
        <v>16933</v>
      </c>
      <c r="I151" s="545"/>
      <c r="J151" s="552">
        <f>H151/DAY(B2)</f>
        <v>1881.4444444444443</v>
      </c>
      <c r="N151" s="382">
        <v>1124.1299999999901</v>
      </c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7.944567674634713E-2</v>
      </c>
      <c r="H152" s="460">
        <f>G152+'8'!H152</f>
        <v>0.78306151033477833</v>
      </c>
      <c r="I152" s="480"/>
      <c r="J152" s="552">
        <f>H152/DAY(B2)</f>
        <v>8.7006834481642037E-2</v>
      </c>
      <c r="N152" s="382">
        <v>9.8963817237432E-2</v>
      </c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1605.9899999999907</v>
      </c>
      <c r="H153" s="460">
        <f>G153+'8'!H153</f>
        <v>13724.869999999995</v>
      </c>
      <c r="I153" s="480"/>
      <c r="J153" s="552">
        <f>H153/DAY(B2)</f>
        <v>1524.985555555555</v>
      </c>
      <c r="N153" s="382">
        <v>1164.4599999999919</v>
      </c>
    </row>
    <row r="154" spans="1:14" ht="27" customHeight="1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7.1132511037566279E-2</v>
      </c>
      <c r="H154" s="460">
        <f>G154+'8'!H154</f>
        <v>0.63620057794312246</v>
      </c>
      <c r="I154" s="568"/>
      <c r="J154" s="569">
        <f>H154/DAY(B2)</f>
        <v>7.0688953104791383E-2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261</v>
      </c>
      <c r="B161" s="785"/>
      <c r="C161" s="785"/>
      <c r="D161" s="511" t="s">
        <v>185</v>
      </c>
      <c r="E161" s="1058">
        <f>'8'!F161</f>
        <v>41484.370000000003</v>
      </c>
      <c r="F161" s="658">
        <v>41564</v>
      </c>
      <c r="G161" s="473">
        <f t="shared" ref="G161:G175" si="15">F161-E161</f>
        <v>79.629999999997381</v>
      </c>
    </row>
    <row r="162" spans="1:7">
      <c r="A162" s="784" t="s">
        <v>262</v>
      </c>
      <c r="B162" s="785"/>
      <c r="C162" s="785"/>
      <c r="D162" s="511" t="s">
        <v>185</v>
      </c>
      <c r="E162" s="1058">
        <f>'8'!F162</f>
        <v>111388.93</v>
      </c>
      <c r="F162" s="658">
        <v>111850</v>
      </c>
      <c r="G162" s="473">
        <f t="shared" si="15"/>
        <v>461.07000000000698</v>
      </c>
    </row>
    <row r="163" spans="1:7">
      <c r="A163" s="784" t="s">
        <v>263</v>
      </c>
      <c r="B163" s="785"/>
      <c r="C163" s="785"/>
      <c r="D163" s="511" t="s">
        <v>185</v>
      </c>
      <c r="E163" s="1058">
        <f>'8'!F163</f>
        <v>62879.360000000001</v>
      </c>
      <c r="F163" s="658">
        <v>63083</v>
      </c>
      <c r="G163" s="473">
        <f t="shared" si="15"/>
        <v>203.63999999999942</v>
      </c>
    </row>
    <row r="164" spans="1:7">
      <c r="A164" s="784" t="s">
        <v>264</v>
      </c>
      <c r="B164" s="785"/>
      <c r="C164" s="785"/>
      <c r="D164" s="511" t="s">
        <v>185</v>
      </c>
      <c r="E164" s="1058">
        <f>'8'!F164</f>
        <v>6920.82</v>
      </c>
      <c r="F164" s="658">
        <v>6933</v>
      </c>
      <c r="G164" s="473">
        <f t="shared" si="15"/>
        <v>12.180000000000291</v>
      </c>
    </row>
    <row r="165" spans="1:7">
      <c r="A165" s="786" t="s">
        <v>97</v>
      </c>
      <c r="B165" s="604"/>
      <c r="C165" s="604"/>
      <c r="D165" s="511" t="s">
        <v>185</v>
      </c>
      <c r="E165" s="1058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6" t="s">
        <v>186</v>
      </c>
      <c r="B166" s="604"/>
      <c r="C166" s="604"/>
      <c r="D166" s="511" t="s">
        <v>185</v>
      </c>
      <c r="E166" s="1058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9" t="s">
        <v>98</v>
      </c>
      <c r="B167" s="1549"/>
      <c r="C167" s="1549"/>
      <c r="D167" s="523" t="s">
        <v>185</v>
      </c>
      <c r="E167" s="1058">
        <f>'8'!F167</f>
        <v>173248.39</v>
      </c>
      <c r="F167" s="514">
        <f t="shared" si="16"/>
        <v>173664</v>
      </c>
      <c r="G167" s="473">
        <f t="shared" si="15"/>
        <v>415.60999999998603</v>
      </c>
    </row>
    <row r="168" spans="1:7" ht="27.75">
      <c r="A168" s="1549" t="s">
        <v>99</v>
      </c>
      <c r="B168" s="1549"/>
      <c r="C168" s="1549"/>
      <c r="D168" s="523" t="s">
        <v>185</v>
      </c>
      <c r="E168" s="1058">
        <f>'8'!F168</f>
        <v>173250.75</v>
      </c>
      <c r="F168" s="514">
        <f t="shared" si="16"/>
        <v>173592</v>
      </c>
      <c r="G168" s="473">
        <f t="shared" si="15"/>
        <v>341.25</v>
      </c>
    </row>
    <row r="169" spans="1:7" ht="27.75">
      <c r="A169" s="1549" t="s">
        <v>100</v>
      </c>
      <c r="B169" s="1549"/>
      <c r="C169" s="1549"/>
      <c r="D169" s="523" t="s">
        <v>185</v>
      </c>
      <c r="E169" s="1058">
        <f>'8'!F169</f>
        <v>71312.03</v>
      </c>
      <c r="F169" s="514">
        <f t="shared" si="16"/>
        <v>71709</v>
      </c>
      <c r="G169" s="473">
        <f t="shared" si="15"/>
        <v>396.97000000000116</v>
      </c>
    </row>
    <row r="170" spans="1:7" ht="27.75">
      <c r="A170" s="1549" t="s">
        <v>101</v>
      </c>
      <c r="B170" s="1549"/>
      <c r="C170" s="1549"/>
      <c r="D170" s="523" t="s">
        <v>185</v>
      </c>
      <c r="E170" s="1058">
        <f>'8'!F170</f>
        <v>268821.13</v>
      </c>
      <c r="F170" s="514">
        <f t="shared" si="16"/>
        <v>269257</v>
      </c>
      <c r="G170" s="473">
        <f t="shared" si="15"/>
        <v>435.86999999999534</v>
      </c>
    </row>
    <row r="171" spans="1:7" ht="27.75">
      <c r="A171" s="1549" t="s">
        <v>102</v>
      </c>
      <c r="B171" s="1549"/>
      <c r="C171" s="1549"/>
      <c r="D171" s="523" t="s">
        <v>185</v>
      </c>
      <c r="E171" s="1058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49" t="s">
        <v>103</v>
      </c>
      <c r="B172" s="1549"/>
      <c r="C172" s="1549"/>
      <c r="D172" s="523" t="s">
        <v>185</v>
      </c>
      <c r="E172" s="1058">
        <f>'8'!F172</f>
        <v>89459.06</v>
      </c>
      <c r="F172" s="514">
        <f t="shared" si="16"/>
        <v>89745</v>
      </c>
      <c r="G172" s="473">
        <f t="shared" si="15"/>
        <v>285.94000000000233</v>
      </c>
    </row>
    <row r="173" spans="1:7">
      <c r="A173" s="1590" t="s">
        <v>348</v>
      </c>
      <c r="B173" s="1553"/>
      <c r="C173" s="785"/>
      <c r="D173" s="523" t="s">
        <v>185</v>
      </c>
      <c r="E173" s="532">
        <v>19040.3</v>
      </c>
      <c r="F173" s="532">
        <v>19045</v>
      </c>
      <c r="G173" s="473">
        <f t="shared" si="15"/>
        <v>4.7000000000007276</v>
      </c>
    </row>
    <row r="174" spans="1:7">
      <c r="A174" s="1590" t="s">
        <v>348</v>
      </c>
      <c r="B174" s="1553"/>
      <c r="C174" s="785"/>
      <c r="D174" s="523" t="s">
        <v>185</v>
      </c>
      <c r="E174" s="532">
        <v>70386.100000000006</v>
      </c>
      <c r="F174" s="532">
        <v>70393</v>
      </c>
      <c r="G174" s="473">
        <f t="shared" si="15"/>
        <v>6.8999999999941792</v>
      </c>
    </row>
    <row r="175" spans="1:7">
      <c r="A175" s="1590" t="s">
        <v>349</v>
      </c>
      <c r="B175" s="1553"/>
      <c r="C175" s="785"/>
      <c r="D175" s="523" t="s">
        <v>185</v>
      </c>
      <c r="E175" s="532">
        <v>27663.1</v>
      </c>
      <c r="F175" s="532">
        <v>27667</v>
      </c>
      <c r="G175" s="473">
        <f t="shared" si="15"/>
        <v>3.9000000000014552</v>
      </c>
    </row>
    <row r="177" spans="6:6" ht="18.75" customHeight="1"/>
    <row r="178" spans="6:6" ht="18.75" customHeight="1">
      <c r="F178" s="663" t="s">
        <v>213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44" zoomScale="40" zoomScaleNormal="55" zoomScaleSheetLayoutView="40" workbookViewId="0">
      <selection activeCell="F79" sqref="F79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4" s="281" customFormat="1" ht="27">
      <c r="A2" s="575" t="s">
        <v>372</v>
      </c>
      <c r="B2" s="1031">
        <v>44387</v>
      </c>
      <c r="C2" s="1139" t="s">
        <v>68</v>
      </c>
      <c r="D2" s="611">
        <v>0.55000000000000004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0"/>
    </row>
    <row r="3" spans="1:14" s="281" customFormat="1" ht="27">
      <c r="A3" s="570"/>
      <c r="B3" s="614"/>
      <c r="C3" s="1139" t="s">
        <v>118</v>
      </c>
      <c r="D3" s="612">
        <v>32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10"/>
    </row>
    <row r="4" spans="1:14" s="281" customFormat="1" ht="27">
      <c r="A4" s="576"/>
      <c r="B4" s="616"/>
      <c r="C4" s="1139" t="s">
        <v>120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0"/>
    </row>
    <row r="5" spans="1:14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4">
      <c r="A6" s="1570" t="s">
        <v>128</v>
      </c>
      <c r="B6" s="1571"/>
      <c r="C6" s="1572"/>
      <c r="D6" s="471"/>
      <c r="E6" s="471"/>
      <c r="F6" s="471">
        <v>137397</v>
      </c>
      <c r="G6" s="471"/>
      <c r="H6" s="472"/>
      <c r="I6" s="472"/>
      <c r="J6" s="551"/>
      <c r="K6" s="427"/>
      <c r="L6" s="377"/>
    </row>
    <row r="7" spans="1:14" ht="30" thickBot="1">
      <c r="A7" s="676" t="s">
        <v>129</v>
      </c>
      <c r="B7" s="677"/>
      <c r="C7" s="677"/>
      <c r="D7" s="637" t="s">
        <v>130</v>
      </c>
      <c r="E7" s="633">
        <f>'9'!F7</f>
        <v>116373</v>
      </c>
      <c r="F7" s="455">
        <v>137397</v>
      </c>
      <c r="G7" s="678">
        <f>F7-E7</f>
        <v>21024</v>
      </c>
      <c r="H7" s="679">
        <f>G7+'9'!H7</f>
        <v>215444.00000000006</v>
      </c>
      <c r="I7" s="680">
        <v>12000</v>
      </c>
      <c r="J7" s="681">
        <f>H7/DAY(B2)</f>
        <v>21544.400000000005</v>
      </c>
      <c r="K7" s="549"/>
      <c r="L7" s="377"/>
      <c r="N7" s="711"/>
    </row>
    <row r="8" spans="1:14" ht="27.75" thickBot="1">
      <c r="A8" s="682" t="s">
        <v>131</v>
      </c>
      <c r="B8" s="683"/>
      <c r="C8" s="684"/>
      <c r="D8" s="685" t="s">
        <v>25</v>
      </c>
      <c r="E8" s="633">
        <f>'9'!F8</f>
        <v>122127</v>
      </c>
      <c r="F8" s="475">
        <v>143229</v>
      </c>
      <c r="G8" s="689">
        <f>F8-E8</f>
        <v>21102</v>
      </c>
      <c r="H8" s="679">
        <f>G8+'9'!H8</f>
        <v>216507</v>
      </c>
      <c r="I8" s="686">
        <v>12000</v>
      </c>
      <c r="J8" s="681">
        <f>H8/DAY(B2)</f>
        <v>21650.7</v>
      </c>
      <c r="K8" s="549"/>
      <c r="L8" s="425"/>
      <c r="M8" s="440"/>
      <c r="N8" s="712"/>
    </row>
    <row r="9" spans="1:14">
      <c r="A9" s="687" t="s">
        <v>132</v>
      </c>
      <c r="B9" s="688"/>
      <c r="C9" s="688"/>
      <c r="D9" s="637" t="s">
        <v>130</v>
      </c>
      <c r="E9" s="633">
        <f>'9'!F9</f>
        <v>2221033</v>
      </c>
      <c r="F9" s="478">
        <v>2241360</v>
      </c>
      <c r="G9" s="702">
        <f t="shared" ref="G9:G12" si="0">F9-E9</f>
        <v>20327</v>
      </c>
      <c r="H9" s="679">
        <f>G9+'9'!H9</f>
        <v>210358</v>
      </c>
      <c r="I9" s="690">
        <f>I7-J7</f>
        <v>-9544.4000000000051</v>
      </c>
      <c r="J9" s="681">
        <f>H9/DAY(B2)</f>
        <v>21035.8</v>
      </c>
      <c r="K9" s="428"/>
      <c r="L9" s="377"/>
      <c r="N9" s="713"/>
    </row>
    <row r="10" spans="1:14">
      <c r="A10" s="676" t="s">
        <v>133</v>
      </c>
      <c r="B10" s="677"/>
      <c r="C10" s="677"/>
      <c r="D10" s="637" t="s">
        <v>130</v>
      </c>
      <c r="E10" s="633">
        <f>'9'!F10</f>
        <v>2606.5500000000002</v>
      </c>
      <c r="F10" s="478">
        <v>2606.5500000000002</v>
      </c>
      <c r="G10" s="689">
        <f t="shared" si="0"/>
        <v>0</v>
      </c>
      <c r="H10" s="679">
        <f>G10+'9'!H10</f>
        <v>0</v>
      </c>
      <c r="I10" s="691"/>
      <c r="J10" s="681">
        <f>H10/DAY(B2)</f>
        <v>0</v>
      </c>
      <c r="K10" s="428"/>
      <c r="L10" s="377"/>
      <c r="N10" s="713"/>
    </row>
    <row r="11" spans="1:14">
      <c r="A11" s="676" t="s">
        <v>134</v>
      </c>
      <c r="B11" s="677"/>
      <c r="C11" s="677"/>
      <c r="D11" s="637" t="s">
        <v>130</v>
      </c>
      <c r="E11" s="633">
        <f>'9'!E11</f>
        <v>37000</v>
      </c>
      <c r="F11" s="455">
        <v>37000</v>
      </c>
      <c r="G11" s="689">
        <f t="shared" si="0"/>
        <v>0</v>
      </c>
      <c r="H11" s="679">
        <f>G11+'9'!H11</f>
        <v>0</v>
      </c>
      <c r="I11" s="691"/>
      <c r="J11" s="681">
        <f>H11/DAY(B2)</f>
        <v>0</v>
      </c>
      <c r="K11" s="428"/>
      <c r="L11" s="377"/>
      <c r="N11" s="713"/>
    </row>
    <row r="12" spans="1:14">
      <c r="A12" s="676" t="s">
        <v>135</v>
      </c>
      <c r="B12" s="677"/>
      <c r="C12" s="677"/>
      <c r="D12" s="637" t="s">
        <v>130</v>
      </c>
      <c r="E12" s="633">
        <f>'9'!E12</f>
        <v>40010</v>
      </c>
      <c r="F12" s="478">
        <v>40010</v>
      </c>
      <c r="G12" s="689">
        <f t="shared" si="0"/>
        <v>0</v>
      </c>
      <c r="H12" s="679">
        <f>G12+'9'!H12</f>
        <v>0</v>
      </c>
      <c r="I12" s="691"/>
      <c r="J12" s="681">
        <f>H12/DAY(B2)</f>
        <v>0</v>
      </c>
      <c r="K12" s="428"/>
      <c r="L12" s="377"/>
      <c r="N12" s="713"/>
    </row>
    <row r="13" spans="1:14">
      <c r="A13" s="692" t="s">
        <v>136</v>
      </c>
      <c r="B13" s="693"/>
      <c r="C13" s="693"/>
      <c r="D13" s="637"/>
      <c r="E13" s="633"/>
      <c r="F13" s="455"/>
      <c r="G13" s="694">
        <f>G9+G10+G11+G12</f>
        <v>20327</v>
      </c>
      <c r="H13" s="679">
        <f>G13+'9'!H13</f>
        <v>210358</v>
      </c>
      <c r="I13" s="695">
        <f>G7-G13</f>
        <v>697</v>
      </c>
      <c r="J13" s="681">
        <f>H13/DAY(B2)</f>
        <v>21035.8</v>
      </c>
      <c r="K13" s="428"/>
      <c r="L13" s="377"/>
      <c r="N13" s="713"/>
    </row>
    <row r="14" spans="1:14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713"/>
    </row>
    <row r="15" spans="1:14">
      <c r="A15" s="792" t="s">
        <v>138</v>
      </c>
      <c r="B15" s="787"/>
      <c r="C15" s="787"/>
      <c r="D15" s="524" t="s">
        <v>139</v>
      </c>
      <c r="E15" s="485">
        <f>'9'!F15</f>
        <v>1710698</v>
      </c>
      <c r="F15" s="700">
        <v>1711527</v>
      </c>
      <c r="G15" s="664">
        <f>(F15-E15)</f>
        <v>829</v>
      </c>
      <c r="H15" s="486">
        <f>G15+'9'!H15</f>
        <v>7844</v>
      </c>
      <c r="I15" s="474">
        <v>800</v>
      </c>
      <c r="J15" s="553">
        <f>H15/DAY(B2)</f>
        <v>784.4</v>
      </c>
      <c r="K15" s="428"/>
      <c r="L15" s="377"/>
      <c r="N15" s="713"/>
    </row>
    <row r="16" spans="1:14">
      <c r="A16" s="790"/>
      <c r="B16" s="791"/>
      <c r="C16" s="791"/>
      <c r="D16" s="788"/>
      <c r="E16" s="789"/>
      <c r="F16" s="485"/>
      <c r="G16" s="669"/>
      <c r="H16" s="486"/>
      <c r="I16" s="482">
        <f>I15-J15</f>
        <v>15.600000000000023</v>
      </c>
      <c r="J16" s="553"/>
      <c r="K16" s="428"/>
      <c r="L16" s="377"/>
      <c r="N16" s="713"/>
    </row>
    <row r="17" spans="1:14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3"/>
    </row>
    <row r="18" spans="1:14" ht="27.75">
      <c r="A18" s="1610" t="s">
        <v>141</v>
      </c>
      <c r="B18" s="1611"/>
      <c r="C18" s="1612"/>
      <c r="D18" s="637" t="s">
        <v>142</v>
      </c>
      <c r="E18" s="634">
        <f>'9'!F18</f>
        <v>13</v>
      </c>
      <c r="F18" s="478">
        <v>16</v>
      </c>
      <c r="G18" s="694">
        <f>F18*10</f>
        <v>160</v>
      </c>
      <c r="H18" s="679">
        <f>G18+'9'!H18</f>
        <v>1320</v>
      </c>
      <c r="I18" s="680">
        <v>65</v>
      </c>
      <c r="J18" s="681">
        <f>H18/DAY(B2)</f>
        <v>132</v>
      </c>
      <c r="K18" s="428"/>
      <c r="L18" s="377"/>
      <c r="N18" s="713"/>
    </row>
    <row r="19" spans="1:14" ht="27.75">
      <c r="A19" s="1610" t="s">
        <v>70</v>
      </c>
      <c r="B19" s="1611"/>
      <c r="C19" s="1612"/>
      <c r="D19" s="637" t="s">
        <v>142</v>
      </c>
      <c r="E19" s="634">
        <f>'9'!F19</f>
        <v>142042</v>
      </c>
      <c r="F19" s="478">
        <v>142100</v>
      </c>
      <c r="G19" s="689">
        <f t="shared" ref="G19" si="1">F19-E19</f>
        <v>58</v>
      </c>
      <c r="H19" s="679">
        <f>G19+'9'!H19</f>
        <v>605</v>
      </c>
      <c r="I19" s="696"/>
      <c r="J19" s="681">
        <f>H19/DAY(B2)</f>
        <v>60.5</v>
      </c>
      <c r="K19" s="428"/>
      <c r="L19" s="377"/>
      <c r="N19" s="713"/>
    </row>
    <row r="20" spans="1:14">
      <c r="A20" s="692" t="s">
        <v>143</v>
      </c>
      <c r="B20" s="693"/>
      <c r="C20" s="693"/>
      <c r="D20" s="637"/>
      <c r="E20" s="637"/>
      <c r="F20" s="524"/>
      <c r="G20" s="697">
        <f>G18+G19</f>
        <v>218</v>
      </c>
      <c r="H20" s="679">
        <f>G20+'9'!H20</f>
        <v>1925</v>
      </c>
      <c r="I20" s="698">
        <f>I18-J20</f>
        <v>-127.5</v>
      </c>
      <c r="J20" s="681">
        <f>H20/DAY(B2)</f>
        <v>192.5</v>
      </c>
      <c r="K20" s="428"/>
      <c r="L20" s="377"/>
      <c r="N20" s="713"/>
    </row>
    <row r="21" spans="1:14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3"/>
    </row>
    <row r="22" spans="1:14">
      <c r="A22" s="1137" t="s">
        <v>145</v>
      </c>
      <c r="B22" s="589"/>
      <c r="C22" s="589"/>
      <c r="D22" s="523" t="s">
        <v>146</v>
      </c>
      <c r="E22" s="634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3"/>
    </row>
    <row r="23" spans="1:14">
      <c r="A23" s="1137" t="s">
        <v>147</v>
      </c>
      <c r="B23" s="589"/>
      <c r="C23" s="589"/>
      <c r="D23" s="523" t="s">
        <v>146</v>
      </c>
      <c r="E23" s="634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3"/>
    </row>
    <row r="24" spans="1:14">
      <c r="A24" s="590" t="s">
        <v>148</v>
      </c>
      <c r="B24" s="591"/>
      <c r="C24" s="591"/>
      <c r="D24" s="511" t="s">
        <v>146</v>
      </c>
      <c r="E24" s="493">
        <f>'9'!F24</f>
        <v>4970</v>
      </c>
      <c r="F24" s="485">
        <v>4970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3"/>
    </row>
    <row r="25" spans="1:14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3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3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21102</v>
      </c>
      <c r="F27" s="501">
        <v>9</v>
      </c>
      <c r="G27" s="502">
        <f>E27*F27</f>
        <v>189918</v>
      </c>
      <c r="H27" s="460">
        <f>G27+'9'!H27</f>
        <v>1948563</v>
      </c>
      <c r="I27" s="503"/>
      <c r="J27" s="552">
        <f>H27/DAY(B2)</f>
        <v>194856.3</v>
      </c>
      <c r="K27" s="373"/>
      <c r="L27" s="443"/>
      <c r="N27" s="713"/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829</v>
      </c>
      <c r="F28" s="501">
        <v>52</v>
      </c>
      <c r="G28" s="502">
        <f>E28*F28</f>
        <v>43108</v>
      </c>
      <c r="H28" s="460">
        <f>G28+'9'!H28</f>
        <v>407888</v>
      </c>
      <c r="I28" s="505"/>
      <c r="J28" s="552">
        <f>H28/DAY(B2)</f>
        <v>40788.800000000003</v>
      </c>
      <c r="K28" s="373"/>
      <c r="L28" s="443"/>
      <c r="N28" s="713"/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3"/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58</v>
      </c>
      <c r="F30" s="501">
        <v>146</v>
      </c>
      <c r="G30" s="502">
        <f>E30*F30</f>
        <v>8468</v>
      </c>
      <c r="H30" s="460">
        <f>G30+'9'!H30</f>
        <v>87746</v>
      </c>
      <c r="I30" s="505"/>
      <c r="J30" s="552">
        <f>H30/DAY(B2)</f>
        <v>8774.6</v>
      </c>
      <c r="K30" s="373"/>
      <c r="L30" s="443"/>
      <c r="N30" s="713"/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160</v>
      </c>
      <c r="F31" s="501">
        <v>80</v>
      </c>
      <c r="G31" s="502">
        <f>E31*F31</f>
        <v>12800</v>
      </c>
      <c r="H31" s="460">
        <f>G31+'9'!H31</f>
        <v>100000</v>
      </c>
      <c r="I31" s="505"/>
      <c r="J31" s="552">
        <f>H31/DAY(B2)</f>
        <v>10000</v>
      </c>
      <c r="K31" s="373"/>
      <c r="L31" s="443"/>
      <c r="N31" s="713"/>
    </row>
    <row r="32" spans="1:14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254294</v>
      </c>
      <c r="H32" s="460">
        <f>G32+'9'!H32</f>
        <v>2544196.9999999995</v>
      </c>
      <c r="I32" s="509"/>
      <c r="J32" s="552">
        <f>H32/DAY(B2)</f>
        <v>254419.69999999995</v>
      </c>
      <c r="K32" s="373"/>
      <c r="L32" s="443"/>
      <c r="N32" s="713"/>
    </row>
    <row r="33" spans="1:14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3"/>
    </row>
    <row r="34" spans="1:14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713"/>
    </row>
    <row r="35" spans="1:14">
      <c r="A35" s="578" t="s">
        <v>162</v>
      </c>
      <c r="B35" s="579"/>
      <c r="C35" s="579"/>
      <c r="D35" s="523" t="s">
        <v>130</v>
      </c>
      <c r="E35" s="510">
        <f>'9'!F35</f>
        <v>1055491</v>
      </c>
      <c r="F35" s="1032">
        <v>1058597</v>
      </c>
      <c r="G35" s="473">
        <f t="shared" ref="G35:G46" si="3">F35-E35</f>
        <v>3106</v>
      </c>
      <c r="H35" s="460">
        <f>G35+'9'!H35</f>
        <v>29883</v>
      </c>
      <c r="I35" s="455"/>
      <c r="J35" s="552">
        <f>H35/DAY(B2)</f>
        <v>2988.3</v>
      </c>
      <c r="K35" s="428"/>
      <c r="L35" s="377"/>
      <c r="N35" s="713"/>
    </row>
    <row r="36" spans="1:14">
      <c r="A36" s="578" t="s">
        <v>163</v>
      </c>
      <c r="B36" s="579"/>
      <c r="C36" s="579"/>
      <c r="D36" s="523" t="s">
        <v>130</v>
      </c>
      <c r="E36" s="510">
        <f>'9'!F36</f>
        <v>27451</v>
      </c>
      <c r="F36" s="1032">
        <v>28220</v>
      </c>
      <c r="G36" s="473">
        <f t="shared" si="3"/>
        <v>769</v>
      </c>
      <c r="H36" s="460">
        <f>G36+'9'!H36</f>
        <v>7759</v>
      </c>
      <c r="I36" s="455"/>
      <c r="J36" s="552">
        <f>H36/DAY(B2)</f>
        <v>775.9</v>
      </c>
      <c r="K36" s="428"/>
      <c r="L36" s="377"/>
      <c r="N36" s="714"/>
    </row>
    <row r="37" spans="1:14">
      <c r="A37" s="578" t="s">
        <v>164</v>
      </c>
      <c r="B37" s="579"/>
      <c r="C37" s="579"/>
      <c r="D37" s="523" t="s">
        <v>130</v>
      </c>
      <c r="E37" s="510">
        <f>'9'!F37</f>
        <v>190295</v>
      </c>
      <c r="F37" s="1032">
        <v>191896</v>
      </c>
      <c r="G37" s="473">
        <f t="shared" si="3"/>
        <v>1601</v>
      </c>
      <c r="H37" s="460">
        <f>G37+'9'!H37</f>
        <v>15326</v>
      </c>
      <c r="I37" s="455"/>
      <c r="J37" s="552">
        <f>H37/DAY(B2)</f>
        <v>1532.6</v>
      </c>
      <c r="K37" s="428"/>
      <c r="L37" s="377"/>
      <c r="N37" s="714"/>
    </row>
    <row r="38" spans="1:14">
      <c r="A38" s="578" t="s">
        <v>165</v>
      </c>
      <c r="B38" s="579"/>
      <c r="C38" s="579"/>
      <c r="D38" s="523" t="s">
        <v>130</v>
      </c>
      <c r="E38" s="510">
        <f>'9'!F38</f>
        <v>212858</v>
      </c>
      <c r="F38" s="467">
        <v>214502</v>
      </c>
      <c r="G38" s="473">
        <f t="shared" si="3"/>
        <v>1644</v>
      </c>
      <c r="H38" s="460">
        <f>G38+'9'!H38</f>
        <v>16043</v>
      </c>
      <c r="I38" s="455"/>
      <c r="J38" s="552">
        <f>H38/DAY(B2)</f>
        <v>1604.3</v>
      </c>
      <c r="K38" s="428"/>
      <c r="L38" s="377"/>
      <c r="N38" s="713"/>
    </row>
    <row r="39" spans="1:14">
      <c r="A39" s="578" t="s">
        <v>166</v>
      </c>
      <c r="B39" s="579"/>
      <c r="C39" s="579"/>
      <c r="D39" s="523" t="s">
        <v>130</v>
      </c>
      <c r="E39" s="510">
        <f>'9'!F39</f>
        <v>437989</v>
      </c>
      <c r="F39" s="1032">
        <v>441569</v>
      </c>
      <c r="G39" s="473">
        <f t="shared" si="3"/>
        <v>3580</v>
      </c>
      <c r="H39" s="460">
        <f>G39+'9'!H39</f>
        <v>36705</v>
      </c>
      <c r="I39" s="455"/>
      <c r="J39" s="552">
        <f>H39/DAY(B2)</f>
        <v>3670.5</v>
      </c>
      <c r="K39" s="428"/>
      <c r="L39" s="377"/>
      <c r="N39" s="713"/>
    </row>
    <row r="40" spans="1:14">
      <c r="A40" s="599" t="s">
        <v>167</v>
      </c>
      <c r="B40" s="600"/>
      <c r="C40" s="600"/>
      <c r="D40" s="523" t="s">
        <v>130</v>
      </c>
      <c r="E40" s="510">
        <f>'9'!F40</f>
        <v>10716</v>
      </c>
      <c r="F40" s="1032">
        <v>10933</v>
      </c>
      <c r="G40" s="473">
        <f t="shared" si="3"/>
        <v>217</v>
      </c>
      <c r="H40" s="460">
        <f>G40+'9'!H40</f>
        <v>3820</v>
      </c>
      <c r="I40" s="455"/>
      <c r="J40" s="552">
        <f>H40/DAY(B2)</f>
        <v>382</v>
      </c>
      <c r="K40" s="429"/>
      <c r="L40" s="377"/>
      <c r="N40" s="713"/>
    </row>
    <row r="41" spans="1:14">
      <c r="A41" s="578" t="s">
        <v>168</v>
      </c>
      <c r="B41" s="579"/>
      <c r="C41" s="579"/>
      <c r="D41" s="523" t="s">
        <v>130</v>
      </c>
      <c r="E41" s="510">
        <f>'9'!F41</f>
        <v>361686</v>
      </c>
      <c r="F41" s="1032">
        <v>362199</v>
      </c>
      <c r="G41" s="473">
        <f>F41-E41</f>
        <v>513</v>
      </c>
      <c r="H41" s="460">
        <f>G41+'9'!H41</f>
        <v>32557</v>
      </c>
      <c r="I41" s="455"/>
      <c r="J41" s="552">
        <f>H41/DAY(B2)</f>
        <v>3255.7</v>
      </c>
      <c r="K41" s="428"/>
      <c r="L41" s="377"/>
      <c r="N41" s="713"/>
    </row>
    <row r="42" spans="1:14">
      <c r="A42" s="578" t="s">
        <v>169</v>
      </c>
      <c r="B42" s="579"/>
      <c r="C42" s="579"/>
      <c r="D42" s="523" t="s">
        <v>130</v>
      </c>
      <c r="E42" s="510">
        <f>'9'!F42</f>
        <v>59210</v>
      </c>
      <c r="F42" s="1032">
        <v>59210</v>
      </c>
      <c r="G42" s="473">
        <f t="shared" si="3"/>
        <v>0</v>
      </c>
      <c r="H42" s="460">
        <f>G42+'9'!H42</f>
        <v>11.110000000000582</v>
      </c>
      <c r="I42" s="455"/>
      <c r="J42" s="552">
        <f>H42/DAY(B2)</f>
        <v>1.1110000000000582</v>
      </c>
      <c r="K42" s="428"/>
      <c r="L42" s="377"/>
      <c r="N42" s="713"/>
    </row>
    <row r="43" spans="1:14">
      <c r="A43" s="578" t="s">
        <v>170</v>
      </c>
      <c r="B43" s="579"/>
      <c r="C43" s="579"/>
      <c r="D43" s="523" t="s">
        <v>130</v>
      </c>
      <c r="E43" s="510">
        <f>'9'!F43</f>
        <v>1144352</v>
      </c>
      <c r="F43" s="1032">
        <v>1146895</v>
      </c>
      <c r="G43" s="473">
        <f t="shared" si="3"/>
        <v>2543</v>
      </c>
      <c r="H43" s="460">
        <f>G43+'9'!H43</f>
        <v>26443</v>
      </c>
      <c r="I43" s="455"/>
      <c r="J43" s="552">
        <f>H43/DAY(B2)</f>
        <v>2644.3</v>
      </c>
      <c r="K43" s="428"/>
      <c r="L43" s="377"/>
      <c r="N43" s="713"/>
    </row>
    <row r="44" spans="1:14">
      <c r="A44" s="578" t="s">
        <v>171</v>
      </c>
      <c r="B44" s="579"/>
      <c r="C44" s="579"/>
      <c r="D44" s="523" t="s">
        <v>130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3"/>
    </row>
    <row r="45" spans="1:14">
      <c r="A45" s="578" t="s">
        <v>172</v>
      </c>
      <c r="B45" s="579"/>
      <c r="C45" s="579"/>
      <c r="D45" s="523" t="s">
        <v>130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3"/>
    </row>
    <row r="46" spans="1:14">
      <c r="A46" s="578" t="s">
        <v>173</v>
      </c>
      <c r="B46" s="579"/>
      <c r="C46" s="579"/>
      <c r="D46" s="523" t="s">
        <v>130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3"/>
    </row>
    <row r="47" spans="1:14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13973</v>
      </c>
      <c r="H47" s="460">
        <f>G47+'9'!H47</f>
        <v>169348.11</v>
      </c>
      <c r="I47" s="455"/>
      <c r="J47" s="552">
        <f>H47/DAY(B2)</f>
        <v>16934.810999999998</v>
      </c>
      <c r="K47" s="428"/>
      <c r="L47" s="377"/>
      <c r="N47" s="713"/>
    </row>
    <row r="48" spans="1:14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713"/>
    </row>
    <row r="49" spans="1:14">
      <c r="A49" s="578" t="s">
        <v>162</v>
      </c>
      <c r="B49" s="601"/>
      <c r="C49" s="601"/>
      <c r="D49" s="523" t="s">
        <v>130</v>
      </c>
      <c r="E49" s="510">
        <f>'9'!F49</f>
        <v>260732</v>
      </c>
      <c r="F49" s="510">
        <v>260764</v>
      </c>
      <c r="G49" s="473">
        <f t="shared" ref="G49:G58" si="4">F49-E49</f>
        <v>32</v>
      </c>
      <c r="H49" s="460">
        <f>G49+'9'!H49</f>
        <v>32</v>
      </c>
      <c r="I49" s="455"/>
      <c r="J49" s="552">
        <f>H49/DAY(B2)</f>
        <v>3.2</v>
      </c>
      <c r="K49" s="428"/>
      <c r="L49" s="377"/>
      <c r="N49" s="713"/>
    </row>
    <row r="50" spans="1:14">
      <c r="A50" s="578" t="s">
        <v>176</v>
      </c>
      <c r="B50" s="601"/>
      <c r="C50" s="601"/>
      <c r="D50" s="523" t="s">
        <v>130</v>
      </c>
      <c r="E50" s="510">
        <f>'9'!F50</f>
        <v>544606</v>
      </c>
      <c r="F50" s="1032">
        <v>545699</v>
      </c>
      <c r="G50" s="473">
        <f t="shared" si="4"/>
        <v>1093</v>
      </c>
      <c r="H50" s="460">
        <f>G50+'9'!H50</f>
        <v>11036</v>
      </c>
      <c r="I50" s="455"/>
      <c r="J50" s="552">
        <f>H50/DAY(B2)</f>
        <v>1103.5999999999999</v>
      </c>
      <c r="K50" s="428"/>
      <c r="L50" s="377"/>
      <c r="N50" s="713"/>
    </row>
    <row r="51" spans="1:14">
      <c r="A51" s="578" t="s">
        <v>164</v>
      </c>
      <c r="B51" s="601"/>
      <c r="C51" s="601"/>
      <c r="D51" s="523" t="s">
        <v>130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3"/>
    </row>
    <row r="52" spans="1:14">
      <c r="A52" s="578" t="s">
        <v>177</v>
      </c>
      <c r="B52" s="601"/>
      <c r="C52" s="601"/>
      <c r="D52" s="523" t="s">
        <v>130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3"/>
    </row>
    <row r="53" spans="1:14">
      <c r="A53" s="578" t="s">
        <v>166</v>
      </c>
      <c r="B53" s="601"/>
      <c r="C53" s="601"/>
      <c r="D53" s="523" t="s">
        <v>130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0</v>
      </c>
      <c r="I53" s="455"/>
      <c r="J53" s="552">
        <f>H53/DAY(B2)</f>
        <v>0</v>
      </c>
      <c r="K53" s="428"/>
      <c r="L53" s="377"/>
      <c r="N53" s="713"/>
    </row>
    <row r="54" spans="1:14">
      <c r="A54" s="578" t="s">
        <v>178</v>
      </c>
      <c r="B54" s="601"/>
      <c r="C54" s="601"/>
      <c r="D54" s="523" t="s">
        <v>130</v>
      </c>
      <c r="E54" s="510">
        <f>'9'!F54</f>
        <v>14967</v>
      </c>
      <c r="F54" s="510">
        <v>14967</v>
      </c>
      <c r="G54" s="473">
        <f t="shared" si="4"/>
        <v>0</v>
      </c>
      <c r="H54" s="460">
        <f>G54+'9'!H54</f>
        <v>0</v>
      </c>
      <c r="I54" s="455"/>
      <c r="J54" s="552">
        <f>H54/DAY(B2)</f>
        <v>0</v>
      </c>
      <c r="K54" s="428"/>
      <c r="L54" s="377"/>
      <c r="N54" s="713"/>
    </row>
    <row r="55" spans="1:14">
      <c r="A55" s="578" t="s">
        <v>179</v>
      </c>
      <c r="B55" s="601"/>
      <c r="C55" s="601"/>
      <c r="D55" s="523" t="s">
        <v>130</v>
      </c>
      <c r="E55" s="510">
        <f>'9'!F55</f>
        <v>146505</v>
      </c>
      <c r="F55" s="653">
        <v>152079</v>
      </c>
      <c r="G55" s="652">
        <f t="shared" si="4"/>
        <v>5574</v>
      </c>
      <c r="H55" s="705">
        <f>G55+'9'!H55</f>
        <v>34443</v>
      </c>
      <c r="I55" s="706"/>
      <c r="J55" s="707">
        <f>H55/DAY(B2)</f>
        <v>3444.3</v>
      </c>
      <c r="K55" s="428"/>
      <c r="L55" s="377"/>
      <c r="N55" s="713"/>
    </row>
    <row r="56" spans="1:14">
      <c r="A56" s="578" t="s">
        <v>180</v>
      </c>
      <c r="B56" s="601"/>
      <c r="C56" s="601"/>
      <c r="D56" s="523" t="s">
        <v>181</v>
      </c>
      <c r="E56" s="510">
        <f>'9'!F56</f>
        <v>649129</v>
      </c>
      <c r="F56" s="653">
        <v>649139</v>
      </c>
      <c r="G56" s="473">
        <f t="shared" si="4"/>
        <v>10</v>
      </c>
      <c r="H56" s="460">
        <f>G56+'9'!H56</f>
        <v>107</v>
      </c>
      <c r="I56" s="455"/>
      <c r="J56" s="552">
        <f>H56/DAY(B2)</f>
        <v>10.7</v>
      </c>
      <c r="K56" s="427"/>
      <c r="L56" s="377"/>
      <c r="N56" s="713"/>
    </row>
    <row r="57" spans="1:14">
      <c r="A57" s="578" t="s">
        <v>170</v>
      </c>
      <c r="B57" s="601"/>
      <c r="C57" s="601"/>
      <c r="D57" s="523" t="s">
        <v>130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3"/>
    </row>
    <row r="58" spans="1:14">
      <c r="A58" s="578" t="s">
        <v>182</v>
      </c>
      <c r="B58" s="601"/>
      <c r="C58" s="601"/>
      <c r="D58" s="523" t="s">
        <v>130</v>
      </c>
      <c r="E58" s="510">
        <f>'9'!F58</f>
        <v>55395</v>
      </c>
      <c r="F58" s="653">
        <v>55589</v>
      </c>
      <c r="G58" s="473">
        <f t="shared" si="4"/>
        <v>194</v>
      </c>
      <c r="H58" s="460">
        <f>G58+'9'!H58</f>
        <v>1603</v>
      </c>
      <c r="I58" s="455"/>
      <c r="J58" s="552">
        <f>H58/DAY(B2)</f>
        <v>160.30000000000001</v>
      </c>
      <c r="K58" s="428"/>
      <c r="L58" s="377"/>
      <c r="N58" s="713"/>
    </row>
    <row r="59" spans="1:14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6903.3300000000163</v>
      </c>
      <c r="H59" s="460">
        <f>G59+'9'!H59</f>
        <v>47220.939999999944</v>
      </c>
      <c r="I59" s="455">
        <f>G7-G60</f>
        <v>147.6699999999837</v>
      </c>
      <c r="J59" s="552">
        <f>H59/DAY(B2)</f>
        <v>4722.0939999999946</v>
      </c>
      <c r="K59" s="428"/>
      <c r="L59" s="377"/>
      <c r="N59" s="713"/>
    </row>
    <row r="60" spans="1:14">
      <c r="A60" s="578"/>
      <c r="B60" s="579"/>
      <c r="C60" s="579"/>
      <c r="D60" s="511" t="s">
        <v>183</v>
      </c>
      <c r="E60" s="511"/>
      <c r="F60" s="511"/>
      <c r="G60" s="481">
        <f>G47+G59</f>
        <v>20876.330000000016</v>
      </c>
      <c r="H60" s="460">
        <f>G60+'9'!H60</f>
        <v>216569.04999999996</v>
      </c>
      <c r="I60" s="455">
        <f>G13-G60</f>
        <v>-549.3300000000163</v>
      </c>
      <c r="J60" s="552">
        <f>H60/DAY(B2)</f>
        <v>21656.904999999995</v>
      </c>
      <c r="K60" s="428"/>
      <c r="L60" s="377"/>
      <c r="N60" s="713"/>
    </row>
    <row r="61" spans="1:14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3"/>
    </row>
    <row r="62" spans="1:14">
      <c r="A62" s="603" t="s">
        <v>97</v>
      </c>
      <c r="B62" s="604"/>
      <c r="C62" s="604"/>
      <c r="D62" s="511" t="s">
        <v>185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3"/>
    </row>
    <row r="63" spans="1:14">
      <c r="A63" s="603" t="s">
        <v>186</v>
      </c>
      <c r="B63" s="604"/>
      <c r="C63" s="604"/>
      <c r="D63" s="511" t="s">
        <v>185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3"/>
    </row>
    <row r="64" spans="1:14" ht="27.75">
      <c r="A64" s="1543" t="s">
        <v>98</v>
      </c>
      <c r="B64" s="1544"/>
      <c r="C64" s="1545"/>
      <c r="D64" s="523" t="s">
        <v>185</v>
      </c>
      <c r="E64" s="514">
        <f>'9'!F64</f>
        <v>173664</v>
      </c>
      <c r="F64" s="478">
        <v>174038</v>
      </c>
      <c r="G64" s="473">
        <f t="shared" si="5"/>
        <v>374</v>
      </c>
      <c r="H64" s="460">
        <f>G64+'9'!H64</f>
        <v>4016</v>
      </c>
      <c r="I64" s="480"/>
      <c r="J64" s="552">
        <f>H64/DAY(B2)</f>
        <v>401.6</v>
      </c>
      <c r="K64" s="428"/>
      <c r="L64" s="377"/>
      <c r="N64" s="713"/>
    </row>
    <row r="65" spans="1:14" ht="27.75">
      <c r="A65" s="1543" t="s">
        <v>99</v>
      </c>
      <c r="B65" s="1544"/>
      <c r="C65" s="1545"/>
      <c r="D65" s="523" t="s">
        <v>185</v>
      </c>
      <c r="E65" s="514">
        <f>'9'!F65</f>
        <v>173592</v>
      </c>
      <c r="F65" s="651">
        <v>173988</v>
      </c>
      <c r="G65" s="473">
        <f t="shared" si="5"/>
        <v>396</v>
      </c>
      <c r="H65" s="460">
        <f>G65+'9'!H65</f>
        <v>3686</v>
      </c>
      <c r="I65" s="489"/>
      <c r="J65" s="552">
        <f>H65/DAY(B2)</f>
        <v>368.6</v>
      </c>
      <c r="K65" s="428"/>
      <c r="L65" s="377"/>
      <c r="N65" s="713"/>
    </row>
    <row r="66" spans="1:14" ht="27.75">
      <c r="A66" s="1543" t="s">
        <v>100</v>
      </c>
      <c r="B66" s="1544"/>
      <c r="C66" s="1545"/>
      <c r="D66" s="523" t="s">
        <v>185</v>
      </c>
      <c r="E66" s="514">
        <f>'9'!F66</f>
        <v>71709</v>
      </c>
      <c r="F66" s="478">
        <v>72110</v>
      </c>
      <c r="G66" s="473">
        <f t="shared" si="5"/>
        <v>401</v>
      </c>
      <c r="H66" s="460">
        <f>G66+'9'!H66</f>
        <v>4140</v>
      </c>
      <c r="I66" s="480"/>
      <c r="J66" s="552">
        <f>H66/DAY(B2)</f>
        <v>414</v>
      </c>
      <c r="K66" s="428"/>
      <c r="L66" s="377"/>
      <c r="N66" s="713"/>
    </row>
    <row r="67" spans="1:14" ht="27.75">
      <c r="A67" s="1543" t="s">
        <v>101</v>
      </c>
      <c r="B67" s="1544"/>
      <c r="C67" s="1545"/>
      <c r="D67" s="523" t="s">
        <v>185</v>
      </c>
      <c r="E67" s="514">
        <f>'9'!F67</f>
        <v>269257</v>
      </c>
      <c r="F67" s="478">
        <v>269697</v>
      </c>
      <c r="G67" s="473">
        <f t="shared" si="5"/>
        <v>440</v>
      </c>
      <c r="H67" s="460">
        <f>G67+'9'!H67</f>
        <v>4738</v>
      </c>
      <c r="I67" s="489"/>
      <c r="J67" s="552">
        <f>H67/DAY(B2)</f>
        <v>473.8</v>
      </c>
      <c r="K67" s="429"/>
      <c r="L67" s="377"/>
      <c r="N67" s="713"/>
    </row>
    <row r="68" spans="1:14" ht="27.75">
      <c r="A68" s="1543" t="s">
        <v>102</v>
      </c>
      <c r="B68" s="1544"/>
      <c r="C68" s="1545"/>
      <c r="D68" s="523" t="s">
        <v>185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3"/>
    </row>
    <row r="69" spans="1:14" ht="27.75">
      <c r="A69" s="1543" t="s">
        <v>103</v>
      </c>
      <c r="B69" s="1544"/>
      <c r="C69" s="1545"/>
      <c r="D69" s="523" t="s">
        <v>185</v>
      </c>
      <c r="E69" s="514">
        <f>'9'!F69</f>
        <v>89745</v>
      </c>
      <c r="F69" s="478">
        <v>90002</v>
      </c>
      <c r="G69" s="473">
        <f t="shared" si="5"/>
        <v>257</v>
      </c>
      <c r="H69" s="460">
        <f>G69+'9'!H69</f>
        <v>2487</v>
      </c>
      <c r="I69" s="516"/>
      <c r="J69" s="552">
        <f>H69/DAY(B2)</f>
        <v>248.7</v>
      </c>
      <c r="K69" s="431"/>
      <c r="L69" s="377"/>
      <c r="N69" s="713"/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N70" s="713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3"/>
    </row>
    <row r="72" spans="1:14" ht="27.75">
      <c r="A72" s="1543" t="s">
        <v>189</v>
      </c>
      <c r="B72" s="1544"/>
      <c r="C72" s="1545"/>
      <c r="D72" s="523" t="s">
        <v>185</v>
      </c>
      <c r="E72" s="519">
        <f>'9'!F72</f>
        <v>856330</v>
      </c>
      <c r="F72" s="654">
        <v>856340</v>
      </c>
      <c r="G72" s="473">
        <f t="shared" ref="G72:G84" si="6">F72-E72</f>
        <v>10</v>
      </c>
      <c r="H72" s="460">
        <f>G72+'9'!H72</f>
        <v>118</v>
      </c>
      <c r="I72" s="480"/>
      <c r="J72" s="552">
        <f>H72/DAY(B2)</f>
        <v>11.8</v>
      </c>
      <c r="K72" s="431"/>
      <c r="L72" s="377"/>
      <c r="N72" s="713"/>
    </row>
    <row r="73" spans="1:14" ht="27.75">
      <c r="A73" s="1543" t="s">
        <v>190</v>
      </c>
      <c r="B73" s="1544"/>
      <c r="C73" s="1545"/>
      <c r="D73" s="523" t="s">
        <v>185</v>
      </c>
      <c r="E73" s="519">
        <f>'9'!F73</f>
        <v>885983</v>
      </c>
      <c r="F73" s="655">
        <v>885985</v>
      </c>
      <c r="G73" s="652">
        <f t="shared" si="6"/>
        <v>2</v>
      </c>
      <c r="H73" s="460">
        <f>G73+'9'!H73</f>
        <v>13</v>
      </c>
      <c r="I73" s="480"/>
      <c r="J73" s="552">
        <f>H73/DAY(B2)</f>
        <v>1.3</v>
      </c>
      <c r="K73" s="430"/>
      <c r="L73" s="377"/>
      <c r="N73" s="713"/>
    </row>
    <row r="74" spans="1:14" ht="27.75">
      <c r="A74" s="1543" t="s">
        <v>191</v>
      </c>
      <c r="B74" s="1544"/>
      <c r="C74" s="1545"/>
      <c r="D74" s="523" t="s">
        <v>185</v>
      </c>
      <c r="E74" s="519">
        <f>'9'!F74</f>
        <v>88707</v>
      </c>
      <c r="F74" s="654">
        <v>88708</v>
      </c>
      <c r="G74" s="473">
        <f t="shared" si="6"/>
        <v>1</v>
      </c>
      <c r="H74" s="460">
        <f>G74+'9'!H74</f>
        <v>12</v>
      </c>
      <c r="I74" s="480"/>
      <c r="J74" s="552">
        <f>H74/DAY(B2)</f>
        <v>1.2</v>
      </c>
      <c r="K74" s="431"/>
      <c r="L74" s="377"/>
      <c r="N74" s="713"/>
    </row>
    <row r="75" spans="1:14" ht="27.75">
      <c r="A75" s="1546" t="s">
        <v>192</v>
      </c>
      <c r="B75" s="1547"/>
      <c r="C75" s="1548"/>
      <c r="D75" s="523" t="s">
        <v>185</v>
      </c>
      <c r="E75" s="519">
        <f>'9'!F75</f>
        <v>17420</v>
      </c>
      <c r="F75" s="655">
        <v>17590</v>
      </c>
      <c r="G75" s="473">
        <f t="shared" si="6"/>
        <v>170</v>
      </c>
      <c r="H75" s="460">
        <f>G75+'9'!H75</f>
        <v>1519</v>
      </c>
      <c r="I75" s="480"/>
      <c r="J75" s="552">
        <f>H75/DAY(B2)</f>
        <v>151.9</v>
      </c>
      <c r="K75" s="430"/>
      <c r="L75" s="377"/>
      <c r="N75" s="713"/>
    </row>
    <row r="76" spans="1:14" ht="27.75">
      <c r="A76" s="1546" t="s">
        <v>193</v>
      </c>
      <c r="B76" s="1547"/>
      <c r="C76" s="1548"/>
      <c r="D76" s="523" t="s">
        <v>185</v>
      </c>
      <c r="E76" s="519">
        <f>'9'!F76</f>
        <v>9935</v>
      </c>
      <c r="F76" s="655">
        <v>9998</v>
      </c>
      <c r="G76" s="473">
        <f t="shared" si="6"/>
        <v>63</v>
      </c>
      <c r="H76" s="460">
        <f>G76+'9'!H76</f>
        <v>662</v>
      </c>
      <c r="I76" s="505"/>
      <c r="J76" s="552">
        <f>H76/DAY(B2)</f>
        <v>66.2</v>
      </c>
      <c r="K76" s="430"/>
      <c r="L76" s="377"/>
      <c r="N76" s="713"/>
    </row>
    <row r="77" spans="1:14" ht="27.75">
      <c r="A77" s="1543" t="s">
        <v>194</v>
      </c>
      <c r="B77" s="1544"/>
      <c r="C77" s="1545"/>
      <c r="D77" s="523" t="s">
        <v>185</v>
      </c>
      <c r="E77" s="519">
        <f>'9'!F77</f>
        <v>704946</v>
      </c>
      <c r="F77" s="655">
        <v>705006</v>
      </c>
      <c r="G77" s="652">
        <f t="shared" si="6"/>
        <v>60</v>
      </c>
      <c r="H77" s="460">
        <f>G77+'9'!H77</f>
        <v>632</v>
      </c>
      <c r="I77" s="505"/>
      <c r="J77" s="552">
        <f>H77/DAY(B2)</f>
        <v>63.2</v>
      </c>
      <c r="K77" s="430"/>
      <c r="L77" s="377"/>
      <c r="N77" s="713"/>
    </row>
    <row r="78" spans="1:14" ht="27.75">
      <c r="A78" s="1140" t="s">
        <v>195</v>
      </c>
      <c r="B78" s="1113"/>
      <c r="C78" s="1113"/>
      <c r="D78" s="523" t="s">
        <v>185</v>
      </c>
      <c r="E78" s="519">
        <f>'9'!F78</f>
        <v>676389</v>
      </c>
      <c r="F78" s="656">
        <v>676448</v>
      </c>
      <c r="G78" s="473">
        <f t="shared" si="6"/>
        <v>59</v>
      </c>
      <c r="H78" s="460">
        <f>G78+'9'!H78</f>
        <v>1034</v>
      </c>
      <c r="I78" s="505"/>
      <c r="J78" s="552">
        <f>H78/DAY(B2)</f>
        <v>103.4</v>
      </c>
      <c r="K78" s="430"/>
      <c r="L78" s="377"/>
      <c r="N78" s="713"/>
    </row>
    <row r="79" spans="1:14" ht="27.75">
      <c r="A79" s="1546" t="s">
        <v>91</v>
      </c>
      <c r="B79" s="1547"/>
      <c r="C79" s="1548"/>
      <c r="D79" s="524" t="s">
        <v>185</v>
      </c>
      <c r="E79" s="519">
        <f>'9'!F79</f>
        <v>836762</v>
      </c>
      <c r="F79" s="656">
        <v>836924</v>
      </c>
      <c r="G79" s="473">
        <f t="shared" si="6"/>
        <v>162</v>
      </c>
      <c r="H79" s="460">
        <f>G79+'9'!H79</f>
        <v>1508</v>
      </c>
      <c r="I79" s="505"/>
      <c r="J79" s="552">
        <f>H79/DAY(B2)</f>
        <v>150.80000000000001</v>
      </c>
      <c r="K79" s="430"/>
      <c r="L79" s="377"/>
      <c r="N79" s="713"/>
    </row>
    <row r="80" spans="1:14" ht="27.75">
      <c r="A80" s="1546" t="s">
        <v>196</v>
      </c>
      <c r="B80" s="1547"/>
      <c r="C80" s="1548"/>
      <c r="D80" s="524" t="s">
        <v>185</v>
      </c>
      <c r="E80" s="519">
        <f>'9'!F80</f>
        <v>542695</v>
      </c>
      <c r="F80" s="655">
        <v>543101</v>
      </c>
      <c r="G80" s="473">
        <f>F80-E80</f>
        <v>406</v>
      </c>
      <c r="H80" s="460">
        <f>G80+'9'!H80</f>
        <v>4088</v>
      </c>
      <c r="I80" s="505"/>
      <c r="J80" s="552">
        <f>H80/DAY(B2)</f>
        <v>408.8</v>
      </c>
      <c r="K80" s="430"/>
      <c r="L80" s="377"/>
      <c r="N80" s="713"/>
    </row>
    <row r="81" spans="1:15" ht="27.75">
      <c r="A81" s="1546" t="s">
        <v>197</v>
      </c>
      <c r="B81" s="1547"/>
      <c r="C81" s="1548"/>
      <c r="D81" s="524" t="s">
        <v>185</v>
      </c>
      <c r="E81" s="519">
        <f>'9'!F81</f>
        <v>644662</v>
      </c>
      <c r="F81" s="655">
        <v>644878</v>
      </c>
      <c r="G81" s="473">
        <f t="shared" si="6"/>
        <v>216</v>
      </c>
      <c r="H81" s="460">
        <f>G81+'9'!H81</f>
        <v>1893</v>
      </c>
      <c r="I81" s="505"/>
      <c r="J81" s="552">
        <f>H81/DAY(B2)</f>
        <v>189.3</v>
      </c>
      <c r="K81" s="430"/>
      <c r="L81" s="377"/>
      <c r="N81" s="713"/>
    </row>
    <row r="82" spans="1:15" ht="27.75">
      <c r="A82" s="1546" t="s">
        <v>92</v>
      </c>
      <c r="B82" s="1547"/>
      <c r="C82" s="1548"/>
      <c r="D82" s="485" t="s">
        <v>130</v>
      </c>
      <c r="E82" s="519">
        <f>'9'!F82</f>
        <v>108870</v>
      </c>
      <c r="F82" s="651">
        <v>108883</v>
      </c>
      <c r="G82" s="473">
        <f t="shared" si="6"/>
        <v>13</v>
      </c>
      <c r="H82" s="460">
        <f>G82+'9'!H82</f>
        <v>202</v>
      </c>
      <c r="I82" s="486"/>
      <c r="J82" s="552">
        <f>H82/DAY(B2)</f>
        <v>20.2</v>
      </c>
      <c r="K82" s="430"/>
      <c r="L82" s="377"/>
      <c r="N82" s="713"/>
    </row>
    <row r="83" spans="1:15" ht="27.75">
      <c r="A83" s="1546" t="s">
        <v>198</v>
      </c>
      <c r="B83" s="1547"/>
      <c r="C83" s="1548"/>
      <c r="D83" s="620" t="s">
        <v>130</v>
      </c>
      <c r="E83" s="519">
        <f>'9'!F83</f>
        <v>29717</v>
      </c>
      <c r="F83" s="511">
        <v>29944</v>
      </c>
      <c r="G83" s="473">
        <f t="shared" si="6"/>
        <v>227</v>
      </c>
      <c r="H83" s="460">
        <f>G83+'9'!H83</f>
        <v>2393</v>
      </c>
      <c r="I83" s="481"/>
      <c r="J83" s="552">
        <f>H83/DAY(B2)</f>
        <v>239.3</v>
      </c>
      <c r="K83" s="429"/>
      <c r="L83" s="377"/>
      <c r="N83" s="713"/>
    </row>
    <row r="84" spans="1:15">
      <c r="A84" s="1141" t="s">
        <v>199</v>
      </c>
      <c r="B84" s="571"/>
      <c r="C84" s="571"/>
      <c r="D84" s="478" t="s">
        <v>130</v>
      </c>
      <c r="E84" s="519">
        <f>'9'!F84</f>
        <v>530494</v>
      </c>
      <c r="F84" s="627">
        <v>531279</v>
      </c>
      <c r="G84" s="473">
        <f t="shared" si="6"/>
        <v>785</v>
      </c>
      <c r="H84" s="460">
        <f>G84+'9'!H84</f>
        <v>8199</v>
      </c>
      <c r="I84" s="481"/>
      <c r="J84" s="552">
        <f>H84/DAY(B2)</f>
        <v>819.9</v>
      </c>
      <c r="K84" s="380"/>
      <c r="L84" s="377"/>
      <c r="N84" s="713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2174</v>
      </c>
      <c r="H85" s="460">
        <f>G85+'9'!H85</f>
        <v>22273</v>
      </c>
      <c r="I85" s="481"/>
      <c r="J85" s="552">
        <f>H85/DAY(B2)</f>
        <v>2227.3000000000002</v>
      </c>
      <c r="K85" s="380"/>
      <c r="L85" s="378"/>
      <c r="N85" s="713"/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'9'!F86</f>
        <v>462039</v>
      </c>
      <c r="F86" s="647">
        <v>462062</v>
      </c>
      <c r="G86" s="705">
        <f t="shared" ref="G86:G91" si="7">F86-E86</f>
        <v>23</v>
      </c>
      <c r="H86" s="460">
        <f>G86+'9'!H86</f>
        <v>72.799999999988358</v>
      </c>
      <c r="I86" s="652"/>
      <c r="J86" s="707">
        <f>H86/DAY(B2)</f>
        <v>7.2799999999988358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'9'!F87</f>
        <v>82351</v>
      </c>
      <c r="F87" s="647">
        <v>82366</v>
      </c>
      <c r="G87" s="705">
        <f t="shared" si="7"/>
        <v>15</v>
      </c>
      <c r="H87" s="460">
        <f>G87+'9'!H87</f>
        <v>77.399999999994179</v>
      </c>
      <c r="I87" s="652"/>
      <c r="J87" s="707">
        <f>H87/DAY(B2)</f>
        <v>7.7399999999994176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'9'!F88</f>
        <v>156373</v>
      </c>
      <c r="F88" s="638">
        <v>156490</v>
      </c>
      <c r="G88" s="705">
        <f t="shared" si="7"/>
        <v>117</v>
      </c>
      <c r="H88" s="460">
        <f>G88+'9'!H88</f>
        <v>384.91000000000349</v>
      </c>
      <c r="I88" s="652"/>
      <c r="J88" s="707">
        <f>H88/DAY(B2)</f>
        <v>38.491000000000348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627">
        <f>'9'!F89</f>
        <v>66329</v>
      </c>
      <c r="F89" s="647">
        <v>66344</v>
      </c>
      <c r="G89" s="705">
        <f t="shared" si="7"/>
        <v>15</v>
      </c>
      <c r="H89" s="460">
        <f>G89+'9'!H89</f>
        <v>244.5</v>
      </c>
      <c r="I89" s="652"/>
      <c r="J89" s="707">
        <f>H89/DAY(B2)</f>
        <v>24.45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'9'!F90</f>
        <v>3379</v>
      </c>
      <c r="F90" s="647">
        <v>3380</v>
      </c>
      <c r="G90" s="705">
        <f t="shared" si="7"/>
        <v>1</v>
      </c>
      <c r="H90" s="460">
        <f>G90+'9'!H90</f>
        <v>12.099999999999909</v>
      </c>
      <c r="I90" s="652"/>
      <c r="J90" s="707">
        <f>H90/DAY(B2)</f>
        <v>1.2099999999999909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27">
        <f>'9'!F91</f>
        <v>28324</v>
      </c>
      <c r="F91" s="647">
        <v>28331</v>
      </c>
      <c r="G91" s="705">
        <f t="shared" si="7"/>
        <v>7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713"/>
    </row>
    <row r="93" spans="1:15" ht="27.75">
      <c r="A93" s="1562" t="s">
        <v>204</v>
      </c>
      <c r="B93" s="1563"/>
      <c r="C93" s="1564"/>
      <c r="D93" s="523" t="s">
        <v>142</v>
      </c>
      <c r="E93" s="484">
        <f>'9'!F93</f>
        <v>248242</v>
      </c>
      <c r="F93" s="478">
        <v>248363</v>
      </c>
      <c r="G93" s="473">
        <f t="shared" ref="G93:G94" si="8">F93-E93</f>
        <v>121</v>
      </c>
      <c r="H93" s="460">
        <f>G93+'9'!H93</f>
        <v>1011</v>
      </c>
      <c r="I93" s="480"/>
      <c r="J93" s="552">
        <f>H93/DAY(B2)</f>
        <v>101.1</v>
      </c>
      <c r="K93" s="429"/>
      <c r="L93" s="377"/>
      <c r="N93" s="713"/>
    </row>
    <row r="94" spans="1:15" ht="27.75">
      <c r="A94" s="1562" t="s">
        <v>205</v>
      </c>
      <c r="B94" s="1563"/>
      <c r="C94" s="1564"/>
      <c r="D94" s="523" t="s">
        <v>142</v>
      </c>
      <c r="E94" s="484">
        <f>'9'!F94</f>
        <v>190452</v>
      </c>
      <c r="F94" s="478">
        <v>190548</v>
      </c>
      <c r="G94" s="473">
        <f t="shared" si="8"/>
        <v>96</v>
      </c>
      <c r="H94" s="460">
        <f>G94+'9'!H94</f>
        <v>1094</v>
      </c>
      <c r="I94" s="480"/>
      <c r="J94" s="552">
        <f>H94/DAY(B2)</f>
        <v>109.4</v>
      </c>
      <c r="K94" s="380"/>
      <c r="L94" s="377"/>
      <c r="N94" s="713"/>
    </row>
    <row r="95" spans="1:15">
      <c r="A95" s="1594" t="s">
        <v>206</v>
      </c>
      <c r="B95" s="1595"/>
      <c r="C95" s="1596"/>
      <c r="D95" s="523"/>
      <c r="E95" s="484"/>
      <c r="F95" s="478"/>
      <c r="G95" s="473">
        <f>G93+G94</f>
        <v>217</v>
      </c>
      <c r="H95" s="460">
        <f>G95+'9'!H95</f>
        <v>1919</v>
      </c>
      <c r="I95" s="480"/>
      <c r="J95" s="552">
        <f>H95/DAY(B2)</f>
        <v>191.9</v>
      </c>
      <c r="K95" s="380"/>
      <c r="L95" s="377"/>
      <c r="N95" s="713"/>
    </row>
    <row r="96" spans="1:15" ht="27.75">
      <c r="A96" s="1562" t="s">
        <v>207</v>
      </c>
      <c r="B96" s="1563"/>
      <c r="C96" s="1564"/>
      <c r="D96" s="523" t="s">
        <v>142</v>
      </c>
      <c r="E96" s="484">
        <f>'9'!F96</f>
        <v>416862</v>
      </c>
      <c r="F96" s="478">
        <v>416938</v>
      </c>
      <c r="G96" s="473">
        <f t="shared" ref="G96:G101" si="9">F96-E96</f>
        <v>76</v>
      </c>
      <c r="H96" s="460">
        <f>G96+'9'!H96</f>
        <v>939</v>
      </c>
      <c r="I96" s="480"/>
      <c r="J96" s="552">
        <f>H96/DAY(B2)</f>
        <v>93.9</v>
      </c>
      <c r="K96" s="380"/>
      <c r="L96" s="377"/>
      <c r="N96" s="713"/>
    </row>
    <row r="97" spans="1:14" ht="27.75">
      <c r="A97" s="1137" t="s">
        <v>208</v>
      </c>
      <c r="B97" s="1138"/>
      <c r="C97" s="1138"/>
      <c r="D97" s="523" t="s">
        <v>142</v>
      </c>
      <c r="E97" s="484">
        <f>'9'!F97</f>
        <v>103345</v>
      </c>
      <c r="F97" s="478">
        <v>103371</v>
      </c>
      <c r="G97" s="473">
        <f t="shared" si="9"/>
        <v>26</v>
      </c>
      <c r="H97" s="460">
        <f>G97+'9'!H97</f>
        <v>208</v>
      </c>
      <c r="I97" s="480"/>
      <c r="J97" s="552">
        <f>H97/DAY(B2)</f>
        <v>20.8</v>
      </c>
      <c r="K97" s="427"/>
      <c r="L97" s="377"/>
      <c r="N97" s="713"/>
    </row>
    <row r="98" spans="1:14" ht="27.75">
      <c r="A98" s="1137" t="s">
        <v>209</v>
      </c>
      <c r="B98" s="1138"/>
      <c r="C98" s="1138"/>
      <c r="D98" s="523" t="s">
        <v>142</v>
      </c>
      <c r="E98" s="484">
        <f>'9'!F98</f>
        <v>98866</v>
      </c>
      <c r="F98" s="478">
        <v>98901</v>
      </c>
      <c r="G98" s="473">
        <f t="shared" si="9"/>
        <v>35</v>
      </c>
      <c r="H98" s="460">
        <f>G98+'9'!H98</f>
        <v>244</v>
      </c>
      <c r="I98" s="480"/>
      <c r="J98" s="552">
        <f>H98/DAY(B2)</f>
        <v>24.4</v>
      </c>
      <c r="K98" s="432"/>
      <c r="L98" s="377"/>
      <c r="N98" s="713"/>
    </row>
    <row r="99" spans="1:14" ht="27.75">
      <c r="A99" s="1137" t="s">
        <v>210</v>
      </c>
      <c r="B99" s="1138"/>
      <c r="C99" s="1138"/>
      <c r="D99" s="523" t="s">
        <v>142</v>
      </c>
      <c r="E99" s="484">
        <f>'9'!F99</f>
        <v>150684</v>
      </c>
      <c r="F99" s="478">
        <v>150709</v>
      </c>
      <c r="G99" s="473">
        <f t="shared" si="9"/>
        <v>25</v>
      </c>
      <c r="H99" s="460">
        <f>G99+'9'!H99</f>
        <v>304</v>
      </c>
      <c r="I99" s="480"/>
      <c r="J99" s="552">
        <f>H99/DAY(B2)</f>
        <v>30.4</v>
      </c>
      <c r="K99" s="380"/>
      <c r="L99" s="377"/>
      <c r="N99" s="715"/>
    </row>
    <row r="100" spans="1:14" ht="27.75">
      <c r="A100" s="1137" t="s">
        <v>211</v>
      </c>
      <c r="B100" s="1138"/>
      <c r="C100" s="1138"/>
      <c r="D100" s="523" t="s">
        <v>142</v>
      </c>
      <c r="E100" s="484">
        <f>'9'!F100</f>
        <v>7882</v>
      </c>
      <c r="F100" s="478">
        <v>7901</v>
      </c>
      <c r="G100" s="473">
        <f t="shared" si="9"/>
        <v>19</v>
      </c>
      <c r="H100" s="460">
        <f>G100+'9'!H100</f>
        <v>104</v>
      </c>
      <c r="I100" s="480"/>
      <c r="J100" s="552">
        <f>H100/DAY(B2)</f>
        <v>10.4</v>
      </c>
      <c r="K100" s="380"/>
      <c r="L100" s="377"/>
      <c r="N100" s="713"/>
    </row>
    <row r="101" spans="1:14" ht="27.75">
      <c r="A101" s="1137" t="s">
        <v>212</v>
      </c>
      <c r="B101" s="1138"/>
      <c r="C101" s="1138"/>
      <c r="D101" s="523" t="s">
        <v>142</v>
      </c>
      <c r="E101" s="484">
        <f>'9'!F101</f>
        <v>5749</v>
      </c>
      <c r="F101" s="478">
        <v>5773</v>
      </c>
      <c r="G101" s="473">
        <f t="shared" si="9"/>
        <v>24</v>
      </c>
      <c r="H101" s="460">
        <f>G101+'9'!H101</f>
        <v>99</v>
      </c>
      <c r="I101" s="480"/>
      <c r="J101" s="552">
        <f>H101/DAY(B2)</f>
        <v>9.9</v>
      </c>
      <c r="K101" s="380"/>
      <c r="L101" s="377"/>
      <c r="N101" s="713"/>
    </row>
    <row r="102" spans="1:14">
      <c r="A102" s="1594" t="s">
        <v>214</v>
      </c>
      <c r="B102" s="1595"/>
      <c r="C102" s="1596"/>
      <c r="D102" s="524"/>
      <c r="E102" s="484"/>
      <c r="F102" s="524"/>
      <c r="G102" s="525">
        <f>SUM(G96:G101)</f>
        <v>205</v>
      </c>
      <c r="H102" s="460">
        <f>G102+'9'!H102</f>
        <v>1898</v>
      </c>
      <c r="I102" s="526"/>
      <c r="J102" s="552">
        <f>H102/DAY(B2)</f>
        <v>189.8</v>
      </c>
      <c r="K102" s="380"/>
      <c r="L102" s="377"/>
      <c r="N102" s="713"/>
    </row>
    <row r="103" spans="1:14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3"/>
    </row>
    <row r="104" spans="1:14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3"/>
    </row>
    <row r="105" spans="1:14" s="442" customFormat="1" ht="27.75">
      <c r="A105" s="1554" t="s">
        <v>217</v>
      </c>
      <c r="B105" s="1555"/>
      <c r="C105" s="1136"/>
      <c r="D105" s="622" t="s">
        <v>142</v>
      </c>
      <c r="E105" s="484">
        <f>'9'!F105</f>
        <v>7767</v>
      </c>
      <c r="F105" s="658">
        <v>7767</v>
      </c>
      <c r="G105" s="473">
        <f t="shared" ref="G105" si="10">F105-E105</f>
        <v>0</v>
      </c>
      <c r="H105" s="460">
        <f>G105+'9'!H105</f>
        <v>130</v>
      </c>
      <c r="I105" s="532"/>
      <c r="J105" s="558">
        <f>H105/DAY(B2)</f>
        <v>13</v>
      </c>
      <c r="N105" s="713"/>
    </row>
    <row r="106" spans="1:14" s="442" customFormat="1" ht="27.75">
      <c r="A106" s="1554" t="s">
        <v>76</v>
      </c>
      <c r="B106" s="1555"/>
      <c r="C106" s="1136"/>
      <c r="D106" s="622" t="s">
        <v>142</v>
      </c>
      <c r="E106" s="484">
        <f>'9'!F106</f>
        <v>36232</v>
      </c>
      <c r="F106" s="659">
        <v>36243</v>
      </c>
      <c r="G106" s="532">
        <f t="shared" ref="G106:G107" si="11">F106-E106</f>
        <v>11</v>
      </c>
      <c r="H106" s="460">
        <f>G106+'9'!H106</f>
        <v>81</v>
      </c>
      <c r="I106" s="532"/>
      <c r="J106" s="558">
        <f>H106/DAY(B2)</f>
        <v>8.1</v>
      </c>
      <c r="N106" s="713"/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484">
        <f>'9'!F107</f>
        <v>19859</v>
      </c>
      <c r="F107" s="659">
        <v>19864</v>
      </c>
      <c r="G107" s="532">
        <f t="shared" si="11"/>
        <v>5</v>
      </c>
      <c r="H107" s="460">
        <f>G107+'9'!H107</f>
        <v>42</v>
      </c>
      <c r="I107" s="532"/>
      <c r="J107" s="558">
        <f>H107/DAY(B2)</f>
        <v>4.2</v>
      </c>
      <c r="N107" s="713"/>
    </row>
    <row r="108" spans="1:14" s="442" customFormat="1" ht="27.75">
      <c r="A108" s="1556" t="s">
        <v>200</v>
      </c>
      <c r="B108" s="1557"/>
      <c r="C108" s="1136"/>
      <c r="D108" s="622"/>
      <c r="E108" s="484"/>
      <c r="F108" s="659"/>
      <c r="G108" s="532">
        <f>SUM(G105:G107)</f>
        <v>16</v>
      </c>
      <c r="H108" s="460">
        <f>G108+'9'!H108</f>
        <v>253</v>
      </c>
      <c r="I108" s="532"/>
      <c r="J108" s="558">
        <f>H108/DAY(B2)</f>
        <v>25.3</v>
      </c>
      <c r="N108" s="713"/>
    </row>
    <row r="109" spans="1:14" s="442" customFormat="1" ht="27.75">
      <c r="A109" s="1560" t="s">
        <v>78</v>
      </c>
      <c r="B109" s="1561"/>
      <c r="C109" s="1136"/>
      <c r="D109" s="622" t="s">
        <v>142</v>
      </c>
      <c r="E109" s="484"/>
      <c r="F109" s="659"/>
      <c r="G109" s="532"/>
      <c r="H109" s="533"/>
      <c r="I109" s="532"/>
      <c r="J109" s="558"/>
      <c r="N109" s="713"/>
    </row>
    <row r="110" spans="1:14" s="442" customFormat="1" ht="27.75">
      <c r="A110" s="1554" t="s">
        <v>218</v>
      </c>
      <c r="B110" s="1555"/>
      <c r="C110" s="1136"/>
      <c r="D110" s="622" t="s">
        <v>142</v>
      </c>
      <c r="E110" s="484">
        <f>'9'!F110</f>
        <v>65562</v>
      </c>
      <c r="F110" s="659">
        <v>65649</v>
      </c>
      <c r="G110" s="532">
        <f>F110-E110</f>
        <v>87</v>
      </c>
      <c r="H110" s="460">
        <f>G110+'9'!H110</f>
        <v>806</v>
      </c>
      <c r="I110" s="532"/>
      <c r="J110" s="558">
        <f>H110/DAY(B2)</f>
        <v>80.599999999999994</v>
      </c>
      <c r="N110" s="713"/>
    </row>
    <row r="111" spans="1:14" s="442" customFormat="1" ht="27.75">
      <c r="A111" s="1554" t="s">
        <v>219</v>
      </c>
      <c r="B111" s="1555"/>
      <c r="C111" s="1136"/>
      <c r="D111" s="622" t="s">
        <v>142</v>
      </c>
      <c r="E111" s="484">
        <f>'9'!F111</f>
        <v>33421</v>
      </c>
      <c r="F111" s="659">
        <v>33435</v>
      </c>
      <c r="G111" s="532">
        <f t="shared" ref="G111:G112" si="12">F111-E111</f>
        <v>14</v>
      </c>
      <c r="H111" s="460">
        <f>G111+'9'!H111</f>
        <v>306</v>
      </c>
      <c r="I111" s="532"/>
      <c r="J111" s="558">
        <f>H111/DAY(B2)</f>
        <v>30.6</v>
      </c>
      <c r="N111" s="713"/>
    </row>
    <row r="112" spans="1:14" s="442" customFormat="1" ht="27.75">
      <c r="A112" s="1554" t="s">
        <v>220</v>
      </c>
      <c r="B112" s="1555"/>
      <c r="C112" s="1136"/>
      <c r="D112" s="622" t="s">
        <v>142</v>
      </c>
      <c r="E112" s="484">
        <f>'9'!F112</f>
        <v>4621.3</v>
      </c>
      <c r="F112" s="659">
        <v>4621.3</v>
      </c>
      <c r="G112" s="532">
        <f t="shared" si="12"/>
        <v>0</v>
      </c>
      <c r="H112" s="460">
        <f>G112+'9'!H112</f>
        <v>0.3000000000001819</v>
      </c>
      <c r="I112" s="532"/>
      <c r="J112" s="558">
        <f>H112/DAY(B2)</f>
        <v>3.0000000000018189E-2</v>
      </c>
      <c r="N112" s="713"/>
    </row>
    <row r="113" spans="1:14" s="442" customFormat="1" ht="27.75">
      <c r="A113" s="1556" t="s">
        <v>109</v>
      </c>
      <c r="B113" s="1557"/>
      <c r="C113" s="1136"/>
      <c r="D113" s="622"/>
      <c r="E113" s="484"/>
      <c r="F113" s="659"/>
      <c r="G113" s="532">
        <f>SUM(G110:G112)</f>
        <v>101</v>
      </c>
      <c r="H113" s="460">
        <f>G113+'9'!H113</f>
        <v>1112.3000000000002</v>
      </c>
      <c r="I113" s="532"/>
      <c r="J113" s="558">
        <f>H113/DAY(B2)</f>
        <v>111.23000000000002</v>
      </c>
      <c r="N113" s="713"/>
    </row>
    <row r="114" spans="1:14" s="442" customFormat="1" ht="27.75">
      <c r="A114" s="1560" t="s">
        <v>221</v>
      </c>
      <c r="B114" s="1561"/>
      <c r="C114" s="1136"/>
      <c r="D114" s="622"/>
      <c r="E114" s="484"/>
      <c r="F114" s="659"/>
      <c r="G114" s="532"/>
      <c r="H114" s="460">
        <f>G114+'9'!H114</f>
        <v>0</v>
      </c>
      <c r="I114" s="532"/>
      <c r="J114" s="558">
        <f>H114/DAY(B2)</f>
        <v>0</v>
      </c>
      <c r="N114" s="713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484">
        <f>'9'!F115</f>
        <v>12124</v>
      </c>
      <c r="F115" s="659">
        <v>12146</v>
      </c>
      <c r="G115" s="534">
        <f>F115-E115</f>
        <v>22</v>
      </c>
      <c r="H115" s="460">
        <f>G115+'9'!H115</f>
        <v>133</v>
      </c>
      <c r="I115" s="532"/>
      <c r="J115" s="558">
        <f>H115/DAY(B2)</f>
        <v>13.3</v>
      </c>
      <c r="N115" s="713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484">
        <f>'9'!F116</f>
        <v>8617</v>
      </c>
      <c r="F116" s="659">
        <v>8639</v>
      </c>
      <c r="G116" s="534">
        <f t="shared" ref="G116:G117" si="13">F116-E116</f>
        <v>22</v>
      </c>
      <c r="H116" s="460">
        <f>G116+'9'!H116</f>
        <v>84</v>
      </c>
      <c r="I116" s="532"/>
      <c r="J116" s="558">
        <f>H116/DAY(B2)</f>
        <v>8.4</v>
      </c>
      <c r="N116" s="713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460">
        <f>G117+'9'!H117</f>
        <v>0</v>
      </c>
      <c r="I117" s="532"/>
      <c r="J117" s="558">
        <f>H117/DAY(B2)</f>
        <v>0</v>
      </c>
      <c r="N117" s="713"/>
    </row>
    <row r="118" spans="1:14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44</v>
      </c>
      <c r="H118" s="460">
        <f>G118+'9'!H118</f>
        <v>217</v>
      </c>
      <c r="I118" s="534"/>
      <c r="J118" s="558">
        <f>H118/DAY(B2)</f>
        <v>21.7</v>
      </c>
      <c r="N118" s="713"/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179</v>
      </c>
      <c r="G119" s="536">
        <f>SUM(G19+G93)</f>
        <v>179</v>
      </c>
      <c r="H119" s="460">
        <f>G119+'9'!H119</f>
        <v>1616</v>
      </c>
      <c r="I119" s="535"/>
      <c r="J119" s="559">
        <f>H119/DAY(B2)</f>
        <v>161.6</v>
      </c>
      <c r="N119" s="713"/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180</v>
      </c>
      <c r="G120" s="536">
        <f>SUM(G96,G97,G98,G100,G101)</f>
        <v>180</v>
      </c>
      <c r="H120" s="460">
        <f>G120+'9'!H120</f>
        <v>1594</v>
      </c>
      <c r="I120" s="535"/>
      <c r="J120" s="559">
        <f>H120/DAY(B2)</f>
        <v>159.4</v>
      </c>
      <c r="N120" s="713"/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101</v>
      </c>
      <c r="G121" s="534">
        <f>SUM(G113)</f>
        <v>101</v>
      </c>
      <c r="H121" s="460">
        <f>G121+'9'!H121</f>
        <v>1112.3000000000002</v>
      </c>
      <c r="I121" s="535"/>
      <c r="J121" s="559">
        <f>H121/DAY(B2)</f>
        <v>111.23000000000002</v>
      </c>
      <c r="N121" s="713"/>
    </row>
    <row r="122" spans="1:14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713"/>
    </row>
    <row r="123" spans="1:14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3"/>
    </row>
    <row r="124" spans="1:14" ht="27.75">
      <c r="A124" s="1137" t="s">
        <v>229</v>
      </c>
      <c r="B124" s="1138"/>
      <c r="C124" s="1138"/>
      <c r="D124" s="523" t="s">
        <v>139</v>
      </c>
      <c r="E124" s="478">
        <f>'9'!F124</f>
        <v>842183</v>
      </c>
      <c r="F124" s="478">
        <v>842406</v>
      </c>
      <c r="G124" s="473">
        <f t="shared" ref="G124:G128" si="14">F124-E124</f>
        <v>223</v>
      </c>
      <c r="H124" s="460">
        <f>G124+'9'!H124</f>
        <v>2736</v>
      </c>
      <c r="I124" s="526"/>
      <c r="J124" s="552">
        <f>H124/DAY(B2)</f>
        <v>273.60000000000002</v>
      </c>
      <c r="K124" s="380"/>
      <c r="L124" s="377"/>
      <c r="N124" s="713"/>
    </row>
    <row r="125" spans="1:14" ht="27.75">
      <c r="A125" s="1137" t="s">
        <v>230</v>
      </c>
      <c r="B125" s="1138"/>
      <c r="C125" s="1138"/>
      <c r="D125" s="523" t="s">
        <v>139</v>
      </c>
      <c r="E125" s="626">
        <f>'9'!F125</f>
        <v>73583.399999999994</v>
      </c>
      <c r="F125" s="626">
        <v>73583.399999999994</v>
      </c>
      <c r="G125" s="473">
        <f t="shared" si="14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3"/>
    </row>
    <row r="126" spans="1:14" ht="27.75">
      <c r="A126" s="1543" t="s">
        <v>231</v>
      </c>
      <c r="B126" s="1544"/>
      <c r="C126" s="1545"/>
      <c r="D126" s="523" t="s">
        <v>139</v>
      </c>
      <c r="E126" s="478">
        <f>'9'!F126</f>
        <v>149340</v>
      </c>
      <c r="F126" s="478">
        <v>149442</v>
      </c>
      <c r="G126" s="473">
        <f t="shared" si="14"/>
        <v>102</v>
      </c>
      <c r="H126" s="460">
        <f>G126+'9'!H126</f>
        <v>845</v>
      </c>
      <c r="I126" s="526"/>
      <c r="J126" s="552">
        <f>H126/DAY(B2)</f>
        <v>84.5</v>
      </c>
      <c r="K126" s="380"/>
      <c r="L126" s="377"/>
      <c r="N126" s="713"/>
    </row>
    <row r="127" spans="1:14" ht="27.75">
      <c r="A127" s="609" t="s">
        <v>232</v>
      </c>
      <c r="B127" s="1138"/>
      <c r="C127" s="1138"/>
      <c r="D127" s="523" t="s">
        <v>139</v>
      </c>
      <c r="E127" s="626">
        <f>'9'!F127</f>
        <v>32392</v>
      </c>
      <c r="F127" s="626">
        <v>32436</v>
      </c>
      <c r="G127" s="473">
        <f t="shared" si="14"/>
        <v>44</v>
      </c>
      <c r="H127" s="460">
        <f>G127+'9'!H127</f>
        <v>365</v>
      </c>
      <c r="I127" s="526"/>
      <c r="J127" s="552">
        <f>H127/DAY(B2)</f>
        <v>36.5</v>
      </c>
      <c r="K127" s="380"/>
      <c r="L127" s="377"/>
      <c r="N127" s="713"/>
    </row>
    <row r="128" spans="1:14" ht="27.75">
      <c r="A128" s="609" t="s">
        <v>233</v>
      </c>
      <c r="B128" s="1138"/>
      <c r="C128" s="1138"/>
      <c r="D128" s="523" t="s">
        <v>139</v>
      </c>
      <c r="E128" s="626">
        <f>'9'!F128</f>
        <v>9034</v>
      </c>
      <c r="F128" s="626">
        <v>9042</v>
      </c>
      <c r="G128" s="473">
        <f t="shared" si="14"/>
        <v>8</v>
      </c>
      <c r="H128" s="460">
        <f>G128+'9'!H128</f>
        <v>30</v>
      </c>
      <c r="I128" s="480"/>
      <c r="J128" s="552">
        <f>H128/DAY(B2)</f>
        <v>3</v>
      </c>
      <c r="K128" s="380"/>
      <c r="L128" s="377"/>
      <c r="N128" s="713"/>
    </row>
    <row r="129" spans="1:14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452</v>
      </c>
      <c r="H129" s="460"/>
      <c r="I129" s="480"/>
      <c r="J129" s="552"/>
      <c r="K129" s="364"/>
      <c r="L129" s="292"/>
      <c r="N129" s="713"/>
    </row>
    <row r="130" spans="1:14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3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'9'!F131</f>
        <v>0</v>
      </c>
      <c r="F131" s="478">
        <v>0</v>
      </c>
      <c r="G131" s="473">
        <f t="shared" ref="G131:G141" si="15">F131-E131</f>
        <v>0</v>
      </c>
      <c r="H131" s="460">
        <f>G131+'9'!H131</f>
        <v>0</v>
      </c>
      <c r="I131" s="480"/>
      <c r="J131" s="552">
        <f>H131/DAY(B2)</f>
        <v>0</v>
      </c>
      <c r="N131" s="713"/>
    </row>
    <row r="132" spans="1:14" ht="27.75">
      <c r="A132" s="1137" t="s">
        <v>238</v>
      </c>
      <c r="B132" s="1138"/>
      <c r="C132" s="1138"/>
      <c r="D132" s="523" t="s">
        <v>237</v>
      </c>
      <c r="E132" s="484">
        <f>'9'!F132</f>
        <v>0</v>
      </c>
      <c r="F132" s="478">
        <v>0</v>
      </c>
      <c r="G132" s="473">
        <f t="shared" si="15"/>
        <v>0</v>
      </c>
      <c r="H132" s="460">
        <f>G132+'9'!H132</f>
        <v>0</v>
      </c>
      <c r="I132" s="480"/>
      <c r="J132" s="552">
        <f>H132/DAY(B2)</f>
        <v>0</v>
      </c>
      <c r="N132" s="713"/>
    </row>
    <row r="133" spans="1:14" ht="27.75">
      <c r="A133" s="1137" t="s">
        <v>239</v>
      </c>
      <c r="B133" s="1138"/>
      <c r="C133" s="1138"/>
      <c r="D133" s="523" t="s">
        <v>237</v>
      </c>
      <c r="E133" s="484">
        <f>'9'!F133</f>
        <v>40594</v>
      </c>
      <c r="F133" s="1373">
        <v>40597</v>
      </c>
      <c r="G133" s="1374">
        <f t="shared" si="15"/>
        <v>3</v>
      </c>
      <c r="H133" s="460">
        <f>G133+'9'!H133</f>
        <v>144</v>
      </c>
      <c r="I133" s="480"/>
      <c r="J133" s="552">
        <f>H133/DAY(B2)</f>
        <v>14.4</v>
      </c>
      <c r="N133" s="713"/>
    </row>
    <row r="134" spans="1:14" ht="27.75">
      <c r="A134" s="1137" t="s">
        <v>240</v>
      </c>
      <c r="B134" s="1138"/>
      <c r="C134" s="1138"/>
      <c r="D134" s="523" t="s">
        <v>237</v>
      </c>
      <c r="E134" s="484">
        <f>'9'!F134</f>
        <v>300</v>
      </c>
      <c r="F134" s="1373">
        <v>300</v>
      </c>
      <c r="G134" s="1374">
        <f t="shared" si="15"/>
        <v>0</v>
      </c>
      <c r="H134" s="460">
        <f>G134+'9'!H134</f>
        <v>0</v>
      </c>
      <c r="I134" s="480">
        <f>G131+G132+G133+G134</f>
        <v>3</v>
      </c>
      <c r="J134" s="552">
        <f>H134/DAY(B2)</f>
        <v>0</v>
      </c>
      <c r="N134" s="713"/>
    </row>
    <row r="135" spans="1:14" ht="27.75">
      <c r="A135" s="1137" t="s">
        <v>241</v>
      </c>
      <c r="B135" s="1138"/>
      <c r="C135" s="1138"/>
      <c r="D135" s="523" t="s">
        <v>237</v>
      </c>
      <c r="E135" s="484">
        <f>'9'!F135</f>
        <v>42103</v>
      </c>
      <c r="F135" s="1373">
        <v>42127</v>
      </c>
      <c r="G135" s="1374">
        <f t="shared" si="15"/>
        <v>24</v>
      </c>
      <c r="H135" s="460">
        <f>G135+'9'!H135</f>
        <v>155</v>
      </c>
      <c r="I135" s="480"/>
      <c r="J135" s="552">
        <f>H135/DAY(B2)</f>
        <v>15.5</v>
      </c>
      <c r="N135" s="713"/>
    </row>
    <row r="136" spans="1:14" ht="27.75">
      <c r="A136" s="1137" t="s">
        <v>242</v>
      </c>
      <c r="B136" s="1138"/>
      <c r="C136" s="1138"/>
      <c r="D136" s="523" t="s">
        <v>237</v>
      </c>
      <c r="E136" s="484">
        <f>'9'!F136</f>
        <v>32874.050000000003</v>
      </c>
      <c r="F136" s="1373">
        <v>32874.050000000003</v>
      </c>
      <c r="G136" s="1374">
        <f t="shared" si="15"/>
        <v>0</v>
      </c>
      <c r="H136" s="460">
        <f>G136+'9'!H136</f>
        <v>5.0000000002910383E-2</v>
      </c>
      <c r="I136" s="480"/>
      <c r="J136" s="552">
        <f>H136/DAY(B2)</f>
        <v>5.0000000002910381E-3</v>
      </c>
      <c r="N136" s="713"/>
    </row>
    <row r="137" spans="1:14" ht="27.75">
      <c r="A137" s="1137" t="s">
        <v>243</v>
      </c>
      <c r="B137" s="1138"/>
      <c r="C137" s="1138"/>
      <c r="D137" s="523" t="s">
        <v>237</v>
      </c>
      <c r="E137" s="484">
        <f>'9'!F137</f>
        <v>22950.35</v>
      </c>
      <c r="F137" s="1373">
        <v>22956.86</v>
      </c>
      <c r="G137" s="1374">
        <f t="shared" si="15"/>
        <v>6.5100000000020373</v>
      </c>
      <c r="H137" s="460">
        <f>G137+'9'!H137</f>
        <v>65.369999999998981</v>
      </c>
      <c r="I137" s="480">
        <f>G135+G136+G137</f>
        <v>30.510000000002037</v>
      </c>
      <c r="J137" s="552">
        <f>H137/DAY(B2)</f>
        <v>6.5369999999998978</v>
      </c>
      <c r="N137" s="713"/>
    </row>
    <row r="138" spans="1:14" ht="27.75">
      <c r="A138" s="1137" t="s">
        <v>244</v>
      </c>
      <c r="B138" s="1138"/>
      <c r="C138" s="1138"/>
      <c r="D138" s="523" t="s">
        <v>237</v>
      </c>
      <c r="E138" s="484">
        <f>'9'!F138</f>
        <v>25095.200000000001</v>
      </c>
      <c r="F138" s="1373">
        <v>25095.200000000001</v>
      </c>
      <c r="G138" s="1374">
        <f t="shared" si="15"/>
        <v>0</v>
      </c>
      <c r="H138" s="460">
        <f>G138+'9'!H138</f>
        <v>3.8100000000013097</v>
      </c>
      <c r="I138" s="480"/>
      <c r="J138" s="552">
        <f>H138/DAY(B2)</f>
        <v>0.38100000000013096</v>
      </c>
      <c r="N138" s="713"/>
    </row>
    <row r="139" spans="1:14" ht="27.75">
      <c r="A139" s="1137" t="s">
        <v>245</v>
      </c>
      <c r="B139" s="1138"/>
      <c r="C139" s="1138"/>
      <c r="D139" s="523" t="s">
        <v>237</v>
      </c>
      <c r="E139" s="484">
        <f>'9'!F139</f>
        <v>70514.289999999994</v>
      </c>
      <c r="F139" s="1373">
        <v>70514.289999999994</v>
      </c>
      <c r="G139" s="1374">
        <f t="shared" si="15"/>
        <v>0</v>
      </c>
      <c r="H139" s="460">
        <f>G139+'9'!H139</f>
        <v>0.66999999999825377</v>
      </c>
      <c r="I139" s="480">
        <f>G138+G139</f>
        <v>0</v>
      </c>
      <c r="J139" s="552">
        <f>H139/DAY(B2)</f>
        <v>6.699999999982538E-2</v>
      </c>
      <c r="N139" s="713"/>
    </row>
    <row r="140" spans="1:14" ht="27.75">
      <c r="A140" s="1137" t="s">
        <v>246</v>
      </c>
      <c r="B140" s="1138"/>
      <c r="C140" s="1138"/>
      <c r="D140" s="523" t="s">
        <v>237</v>
      </c>
      <c r="E140" s="484">
        <f>'9'!F140</f>
        <v>2220.31</v>
      </c>
      <c r="F140" s="1373">
        <v>2230.46</v>
      </c>
      <c r="G140" s="1374">
        <f t="shared" si="15"/>
        <v>10.150000000000091</v>
      </c>
      <c r="H140" s="460">
        <f>G140+'9'!H140</f>
        <v>101.2800000000002</v>
      </c>
      <c r="I140" s="542"/>
      <c r="J140" s="552">
        <f>H140/DAY(B2)</f>
        <v>10.12800000000002</v>
      </c>
      <c r="N140" s="713"/>
    </row>
    <row r="141" spans="1:14" ht="27.75">
      <c r="A141" s="1137" t="s">
        <v>247</v>
      </c>
      <c r="B141" s="1138"/>
      <c r="C141" s="1138"/>
      <c r="D141" s="523" t="s">
        <v>237</v>
      </c>
      <c r="E141" s="484">
        <f>'9'!F141</f>
        <v>4636.88</v>
      </c>
      <c r="F141" s="1373">
        <v>4636.88</v>
      </c>
      <c r="G141" s="1374">
        <f t="shared" si="15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3"/>
    </row>
    <row r="142" spans="1:14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3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5681</v>
      </c>
      <c r="H143" s="460">
        <f>G143+'9'!H143</f>
        <v>56358</v>
      </c>
      <c r="I143" s="480"/>
      <c r="J143" s="552">
        <f>H143/DAY(B2)</f>
        <v>5635.8</v>
      </c>
      <c r="K143" s="380"/>
      <c r="L143" s="377"/>
      <c r="N143" s="713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0.27021499238964991</v>
      </c>
      <c r="H144" s="460">
        <f>G144+'9'!H144</f>
        <v>2.6178945936756102</v>
      </c>
      <c r="I144" s="544"/>
      <c r="J144" s="552">
        <f>H144/DAY(B2)</f>
        <v>0.26178945936756104</v>
      </c>
      <c r="K144" s="380"/>
      <c r="L144" s="377"/>
      <c r="N144" s="713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6097</v>
      </c>
      <c r="H145" s="460">
        <f>G145+'9'!H145</f>
        <v>67118.11</v>
      </c>
      <c r="I145" s="480"/>
      <c r="J145" s="552">
        <f>H145/DAY(B2)</f>
        <v>6711.8109999999997</v>
      </c>
      <c r="K145" s="380"/>
      <c r="L145" s="377"/>
      <c r="N145" s="713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0.29000190258751901</v>
      </c>
      <c r="H146" s="460">
        <f>G146+'9'!H146</f>
        <v>3.1113957920321318</v>
      </c>
      <c r="I146" s="544"/>
      <c r="J146" s="552">
        <f>H146/DAY(B2)</f>
        <v>0.31113957920321317</v>
      </c>
      <c r="K146" s="380"/>
      <c r="L146" s="377"/>
      <c r="N146" s="713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3580.3300000000163</v>
      </c>
      <c r="H147" s="460">
        <f>G147+'9'!H147</f>
        <v>36705</v>
      </c>
      <c r="I147" s="545"/>
      <c r="J147" s="552">
        <f>H147/DAY(B2)</f>
        <v>3670.5</v>
      </c>
      <c r="K147" s="380"/>
      <c r="L147" s="377"/>
      <c r="N147" s="713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0.17029727929984856</v>
      </c>
      <c r="H148" s="460">
        <f>G148+'9'!H148</f>
        <v>1.7061565984545279</v>
      </c>
      <c r="I148" s="545"/>
      <c r="J148" s="552">
        <f>H148/DAY(B2)</f>
        <v>0.17061565984545279</v>
      </c>
      <c r="N148" s="713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1644</v>
      </c>
      <c r="H149" s="460">
        <f>G149+'9'!H149</f>
        <v>16043.069999999949</v>
      </c>
      <c r="I149" s="480"/>
      <c r="J149" s="552">
        <f>H149/DAY(B2)</f>
        <v>1604.3069999999948</v>
      </c>
      <c r="K149" s="381"/>
      <c r="N149" s="713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7.8196347031963473E-2</v>
      </c>
      <c r="H150" s="460">
        <f>G150+'9'!H150</f>
        <v>0.74459115601842285</v>
      </c>
      <c r="I150" s="545"/>
      <c r="J150" s="552">
        <f>H150/DAY(B2)</f>
        <v>7.4459115601842291E-2</v>
      </c>
      <c r="N150" s="713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1862</v>
      </c>
      <c r="H151" s="460">
        <f>G151+'9'!H151</f>
        <v>18795</v>
      </c>
      <c r="I151" s="545"/>
      <c r="J151" s="552">
        <f>H151/DAY(B2)</f>
        <v>1879.5</v>
      </c>
      <c r="N151" s="713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8.8565449010654496E-2</v>
      </c>
      <c r="H152" s="460">
        <f>G152+'9'!H152</f>
        <v>0.87162695934543288</v>
      </c>
      <c r="I152" s="480"/>
      <c r="J152" s="552">
        <f>H152/DAY(B2)</f>
        <v>8.7162695934543288E-2</v>
      </c>
      <c r="N152" s="713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1601</v>
      </c>
      <c r="H153" s="460">
        <f>G153+'9'!H153</f>
        <v>15325.869999999995</v>
      </c>
      <c r="I153" s="480"/>
      <c r="J153" s="552">
        <f>H153/DAY(B2)</f>
        <v>1532.5869999999995</v>
      </c>
      <c r="N153" s="713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7.6151065449010652E-2</v>
      </c>
      <c r="H154" s="567">
        <f>G154+'9'!H154</f>
        <v>0.71235164339213308</v>
      </c>
      <c r="I154" s="568"/>
      <c r="J154" s="569">
        <f>H154/DAY(B2)</f>
        <v>7.1235164339213314E-2</v>
      </c>
      <c r="N154" s="713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3"/>
    </row>
    <row r="158" spans="1:14" ht="27.75">
      <c r="A158" s="1603" t="s">
        <v>265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8">
      <c r="A161" s="784" t="s">
        <v>261</v>
      </c>
      <c r="B161" s="785"/>
      <c r="C161" s="785"/>
      <c r="D161" s="511" t="s">
        <v>185</v>
      </c>
      <c r="E161" s="1058">
        <f>'9'!F161</f>
        <v>41564</v>
      </c>
      <c r="F161" s="658">
        <v>41644</v>
      </c>
      <c r="G161" s="473">
        <f>F161-E161</f>
        <v>80</v>
      </c>
    </row>
    <row r="162" spans="1:8">
      <c r="A162" s="784" t="s">
        <v>262</v>
      </c>
      <c r="B162" s="785"/>
      <c r="C162" s="785"/>
      <c r="D162" s="511" t="s">
        <v>185</v>
      </c>
      <c r="E162" s="1058">
        <f>'9'!F162</f>
        <v>111850</v>
      </c>
      <c r="F162" s="658">
        <v>112299</v>
      </c>
      <c r="G162" s="473">
        <f t="shared" ref="G162:G175" si="16">F162-E162</f>
        <v>449</v>
      </c>
    </row>
    <row r="163" spans="1:8">
      <c r="A163" s="784" t="s">
        <v>263</v>
      </c>
      <c r="B163" s="785"/>
      <c r="C163" s="785"/>
      <c r="D163" s="511" t="s">
        <v>185</v>
      </c>
      <c r="E163" s="1058">
        <f>'9'!F163</f>
        <v>63083</v>
      </c>
      <c r="F163" s="658">
        <v>63285</v>
      </c>
      <c r="G163" s="473">
        <f t="shared" si="16"/>
        <v>202</v>
      </c>
      <c r="H163" s="514"/>
    </row>
    <row r="164" spans="1:8">
      <c r="A164" s="784" t="s">
        <v>264</v>
      </c>
      <c r="B164" s="785"/>
      <c r="C164" s="785"/>
      <c r="D164" s="511" t="s">
        <v>185</v>
      </c>
      <c r="E164" s="1058">
        <f>'9'!F164</f>
        <v>6933</v>
      </c>
      <c r="F164" s="658">
        <v>6945</v>
      </c>
      <c r="G164" s="473">
        <f t="shared" si="16"/>
        <v>12</v>
      </c>
    </row>
    <row r="165" spans="1:8">
      <c r="A165" s="786" t="s">
        <v>97</v>
      </c>
      <c r="B165" s="604"/>
      <c r="C165" s="604"/>
      <c r="D165" s="511" t="s">
        <v>185</v>
      </c>
      <c r="E165" s="1058">
        <f>'9'!F165</f>
        <v>0</v>
      </c>
      <c r="F165" s="514">
        <f>F62</f>
        <v>0</v>
      </c>
      <c r="G165" s="473">
        <f t="shared" si="16"/>
        <v>0</v>
      </c>
    </row>
    <row r="166" spans="1:8" ht="34.5" customHeight="1">
      <c r="A166" s="786" t="s">
        <v>186</v>
      </c>
      <c r="B166" s="604"/>
      <c r="C166" s="604"/>
      <c r="D166" s="511" t="s">
        <v>185</v>
      </c>
      <c r="E166" s="1058">
        <f>'9'!F166</f>
        <v>0</v>
      </c>
      <c r="F166" s="514">
        <f t="shared" ref="F166:F172" si="17">F63</f>
        <v>0</v>
      </c>
      <c r="G166" s="473">
        <f t="shared" si="16"/>
        <v>0</v>
      </c>
    </row>
    <row r="167" spans="1:8" ht="31.5" customHeight="1">
      <c r="A167" s="1549" t="s">
        <v>98</v>
      </c>
      <c r="B167" s="1549"/>
      <c r="C167" s="1549"/>
      <c r="D167" s="523" t="s">
        <v>185</v>
      </c>
      <c r="E167" s="1058">
        <f>'9'!F167</f>
        <v>173664</v>
      </c>
      <c r="F167" s="514">
        <f t="shared" si="17"/>
        <v>174038</v>
      </c>
      <c r="G167" s="473">
        <f t="shared" si="16"/>
        <v>374</v>
      </c>
    </row>
    <row r="168" spans="1:8" ht="21.75" customHeight="1">
      <c r="A168" s="1549" t="s">
        <v>99</v>
      </c>
      <c r="B168" s="1549"/>
      <c r="C168" s="1549"/>
      <c r="D168" s="523" t="s">
        <v>185</v>
      </c>
      <c r="E168" s="1058">
        <f>'9'!F168</f>
        <v>173592</v>
      </c>
      <c r="F168" s="514">
        <f t="shared" si="17"/>
        <v>173988</v>
      </c>
      <c r="G168" s="473">
        <f t="shared" si="16"/>
        <v>396</v>
      </c>
    </row>
    <row r="169" spans="1:8" ht="27.75" customHeight="1">
      <c r="A169" s="1549" t="s">
        <v>100</v>
      </c>
      <c r="B169" s="1549"/>
      <c r="C169" s="1549"/>
      <c r="D169" s="523" t="s">
        <v>185</v>
      </c>
      <c r="E169" s="1058">
        <f>'9'!F169</f>
        <v>71709</v>
      </c>
      <c r="F169" s="514">
        <f t="shared" si="17"/>
        <v>72110</v>
      </c>
      <c r="G169" s="473">
        <f t="shared" si="16"/>
        <v>401</v>
      </c>
    </row>
    <row r="170" spans="1:8" ht="21.75" customHeight="1">
      <c r="A170" s="1549" t="s">
        <v>101</v>
      </c>
      <c r="B170" s="1549"/>
      <c r="C170" s="1549"/>
      <c r="D170" s="523" t="s">
        <v>185</v>
      </c>
      <c r="E170" s="1058">
        <f>'9'!F170</f>
        <v>269257</v>
      </c>
      <c r="F170" s="514">
        <f t="shared" si="17"/>
        <v>269697</v>
      </c>
      <c r="G170" s="473">
        <f t="shared" si="16"/>
        <v>440</v>
      </c>
    </row>
    <row r="171" spans="1:8" ht="27.75" customHeight="1">
      <c r="A171" s="1549" t="s">
        <v>102</v>
      </c>
      <c r="B171" s="1549"/>
      <c r="C171" s="1549"/>
      <c r="D171" s="523" t="s">
        <v>185</v>
      </c>
      <c r="E171" s="1058">
        <f>'9'!F171</f>
        <v>85321</v>
      </c>
      <c r="F171" s="514">
        <f t="shared" si="17"/>
        <v>85321</v>
      </c>
      <c r="G171" s="473">
        <f t="shared" si="16"/>
        <v>0</v>
      </c>
    </row>
    <row r="172" spans="1:8" ht="27.75">
      <c r="A172" s="1549" t="s">
        <v>103</v>
      </c>
      <c r="B172" s="1549"/>
      <c r="C172" s="1549"/>
      <c r="D172" s="523" t="s">
        <v>185</v>
      </c>
      <c r="E172" s="1058">
        <f>'9'!F172</f>
        <v>89745</v>
      </c>
      <c r="F172" s="514">
        <f t="shared" si="17"/>
        <v>90002</v>
      </c>
      <c r="G172" s="473">
        <f t="shared" si="16"/>
        <v>257</v>
      </c>
    </row>
    <row r="173" spans="1:8">
      <c r="A173" s="1590" t="s">
        <v>348</v>
      </c>
      <c r="B173" s="1553"/>
      <c r="C173" s="785"/>
      <c r="D173" s="523" t="s">
        <v>185</v>
      </c>
      <c r="E173" s="532">
        <v>19045</v>
      </c>
      <c r="F173" s="532">
        <v>19049</v>
      </c>
      <c r="G173" s="473">
        <f t="shared" si="16"/>
        <v>4</v>
      </c>
    </row>
    <row r="174" spans="1:8">
      <c r="A174" s="1590" t="s">
        <v>348</v>
      </c>
      <c r="B174" s="1553"/>
      <c r="C174" s="785"/>
      <c r="D174" s="523" t="s">
        <v>185</v>
      </c>
      <c r="E174" s="532">
        <v>70393</v>
      </c>
      <c r="F174" s="532">
        <v>70399</v>
      </c>
      <c r="G174" s="473">
        <f t="shared" si="16"/>
        <v>6</v>
      </c>
    </row>
    <row r="175" spans="1:8">
      <c r="A175" s="1590" t="s">
        <v>349</v>
      </c>
      <c r="B175" s="1553"/>
      <c r="C175" s="785"/>
      <c r="D175" s="523" t="s">
        <v>185</v>
      </c>
      <c r="E175" s="532">
        <v>27667</v>
      </c>
      <c r="F175" s="532">
        <v>27672</v>
      </c>
      <c r="G175" s="473">
        <f t="shared" si="16"/>
        <v>5</v>
      </c>
    </row>
    <row r="177" spans="1:7" ht="18.75" customHeight="1"/>
    <row r="178" spans="1:7" ht="44.25" customHeight="1">
      <c r="A178" s="454" t="s">
        <v>215</v>
      </c>
    </row>
    <row r="179" spans="1:7" ht="21.75" customHeight="1">
      <c r="A179" s="454" t="s">
        <v>216</v>
      </c>
    </row>
    <row r="180" spans="1:7" ht="21.75" customHeight="1">
      <c r="A180" s="454" t="s">
        <v>217</v>
      </c>
      <c r="D180" s="537" t="s">
        <v>142</v>
      </c>
      <c r="E180" s="537">
        <v>7010</v>
      </c>
      <c r="F180" s="663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142</v>
      </c>
      <c r="E181" s="537">
        <v>34070</v>
      </c>
      <c r="F181" s="663">
        <v>34070</v>
      </c>
      <c r="G181" s="537">
        <f t="shared" ref="G181:G182" si="18">F181-E181</f>
        <v>0</v>
      </c>
    </row>
    <row r="182" spans="1:7" ht="21.75" customHeight="1">
      <c r="A182" s="454" t="s">
        <v>77</v>
      </c>
      <c r="D182" s="537" t="s">
        <v>142</v>
      </c>
      <c r="E182" s="537">
        <v>18160</v>
      </c>
      <c r="F182" s="663">
        <v>18171</v>
      </c>
      <c r="G182" s="537">
        <f t="shared" si="18"/>
        <v>11</v>
      </c>
    </row>
    <row r="183" spans="1:7" ht="21.75" customHeight="1">
      <c r="A183" s="454" t="s">
        <v>200</v>
      </c>
      <c r="G183" s="537">
        <f>SUM(G180:G182)</f>
        <v>11</v>
      </c>
    </row>
    <row r="184" spans="1:7" ht="21.75" customHeight="1">
      <c r="A184" s="454" t="s">
        <v>78</v>
      </c>
      <c r="D184" s="537" t="s">
        <v>142</v>
      </c>
    </row>
    <row r="185" spans="1:7" ht="21.75" customHeight="1">
      <c r="A185" s="454" t="s">
        <v>218</v>
      </c>
      <c r="D185" s="537" t="s">
        <v>142</v>
      </c>
      <c r="E185" s="537">
        <v>42234</v>
      </c>
      <c r="F185" s="663">
        <v>42285</v>
      </c>
      <c r="G185" s="537">
        <f>F185-E185</f>
        <v>51</v>
      </c>
    </row>
    <row r="186" spans="1:7" ht="21.75" customHeight="1">
      <c r="A186" s="454" t="s">
        <v>219</v>
      </c>
      <c r="D186" s="537" t="s">
        <v>142</v>
      </c>
      <c r="E186" s="537">
        <v>20656</v>
      </c>
      <c r="F186" s="663">
        <v>20656</v>
      </c>
      <c r="G186" s="537">
        <f t="shared" ref="G186:G187" si="19">F186-E186</f>
        <v>0</v>
      </c>
    </row>
    <row r="187" spans="1:7" ht="21.75" customHeight="1">
      <c r="A187" s="454" t="s">
        <v>220</v>
      </c>
      <c r="D187" s="537" t="s">
        <v>142</v>
      </c>
      <c r="E187" s="537">
        <v>2801</v>
      </c>
      <c r="F187" s="663">
        <v>2801</v>
      </c>
      <c r="G187" s="537">
        <f t="shared" si="19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221</v>
      </c>
    </row>
    <row r="190" spans="1:7" ht="21.75" customHeight="1">
      <c r="A190" s="454" t="s">
        <v>222</v>
      </c>
      <c r="D190" s="537" t="s">
        <v>142</v>
      </c>
      <c r="E190" s="537">
        <v>6979</v>
      </c>
      <c r="F190" s="663">
        <v>6983</v>
      </c>
      <c r="G190" s="537">
        <f>F190-E190</f>
        <v>4</v>
      </c>
    </row>
    <row r="191" spans="1:7" ht="21.75" customHeight="1">
      <c r="A191" s="454" t="s">
        <v>223</v>
      </c>
      <c r="D191" s="537" t="s">
        <v>142</v>
      </c>
      <c r="E191" s="537">
        <v>5846</v>
      </c>
      <c r="F191" s="663">
        <v>5849</v>
      </c>
      <c r="G191" s="537">
        <f t="shared" ref="G191:G192" si="20">F191-E191</f>
        <v>3</v>
      </c>
    </row>
    <row r="192" spans="1:7" ht="21.75" customHeight="1">
      <c r="A192" s="454" t="s">
        <v>224</v>
      </c>
      <c r="D192" s="537" t="s">
        <v>142</v>
      </c>
      <c r="G192" s="537">
        <f t="shared" si="20"/>
        <v>0</v>
      </c>
    </row>
    <row r="193" spans="1:8" ht="21.75" customHeight="1"/>
    <row r="194" spans="1:8" ht="36.75" customHeight="1">
      <c r="A194" s="454" t="s">
        <v>200</v>
      </c>
      <c r="G194" s="537">
        <f>SUM(G190:G192)</f>
        <v>7</v>
      </c>
    </row>
    <row r="195" spans="1:8">
      <c r="A195" s="454" t="s">
        <v>225</v>
      </c>
      <c r="D195" s="537" t="s">
        <v>142</v>
      </c>
      <c r="F195" s="663">
        <f>SUM(G93+G19)</f>
        <v>179</v>
      </c>
      <c r="G195" s="537">
        <f>F195+'[3]9'!I145</f>
        <v>179</v>
      </c>
      <c r="H195" s="538" t="e">
        <f>G195/DAY(D148)</f>
        <v>#VALUE!</v>
      </c>
    </row>
    <row r="197" spans="1:8">
      <c r="A197" s="454" t="s">
        <v>226</v>
      </c>
      <c r="D197" s="537" t="s">
        <v>142</v>
      </c>
      <c r="F197" s="663">
        <f>SUM(G96:G98,G190:G192)</f>
        <v>144</v>
      </c>
      <c r="G197" s="537">
        <f>F197+'[3]9'!I147</f>
        <v>144</v>
      </c>
      <c r="H197" s="538" t="e">
        <f>G197/DAY(D148)</f>
        <v>#VALUE!</v>
      </c>
    </row>
    <row r="199" spans="1:8">
      <c r="A199" s="454" t="s">
        <v>227</v>
      </c>
      <c r="D199" s="537" t="s">
        <v>142</v>
      </c>
      <c r="F199" s="663">
        <f>H189+H140</f>
        <v>101.2800000000002</v>
      </c>
      <c r="G199" s="537">
        <f>SUM(G99,G185:G187)</f>
        <v>76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A132" zoomScale="40" zoomScaleNormal="40" workbookViewId="0">
      <selection activeCell="F73" sqref="F73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44" customWidth="1"/>
    <col min="6" max="6" width="30" style="1445" customWidth="1"/>
    <col min="7" max="7" width="28.88671875" style="1444" customWidth="1"/>
    <col min="8" max="8" width="39.21875" style="1446" customWidth="1"/>
    <col min="9" max="9" width="16.109375" style="1444" customWidth="1"/>
    <col min="10" max="10" width="24" style="1447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373</v>
      </c>
      <c r="B2" s="1031">
        <v>44388</v>
      </c>
      <c r="C2" s="1139" t="s">
        <v>68</v>
      </c>
      <c r="D2" s="611">
        <v>0.85</v>
      </c>
      <c r="E2" s="1375"/>
      <c r="F2" s="1375"/>
      <c r="G2" s="1375" t="s">
        <v>116</v>
      </c>
      <c r="H2" s="1375" t="s">
        <v>6</v>
      </c>
      <c r="I2" s="1375" t="s">
        <v>8</v>
      </c>
      <c r="J2" s="1376" t="s">
        <v>117</v>
      </c>
      <c r="N2" s="717"/>
    </row>
    <row r="3" spans="1:16" s="281" customFormat="1" ht="27">
      <c r="A3" s="570"/>
      <c r="B3" s="614"/>
      <c r="C3" s="1139" t="s">
        <v>118</v>
      </c>
      <c r="D3" s="612">
        <v>29</v>
      </c>
      <c r="E3" s="1613" t="s">
        <v>119</v>
      </c>
      <c r="F3" s="1614"/>
      <c r="G3" s="1377"/>
      <c r="H3" s="1378"/>
      <c r="I3" s="1378"/>
      <c r="J3" s="1379"/>
      <c r="K3" s="371"/>
      <c r="L3" s="292"/>
      <c r="N3" s="717"/>
    </row>
    <row r="4" spans="1:16" s="281" customFormat="1" ht="27">
      <c r="A4" s="576"/>
      <c r="B4" s="616"/>
      <c r="C4" s="1139" t="s">
        <v>120</v>
      </c>
      <c r="D4" s="611">
        <v>0.8</v>
      </c>
      <c r="E4" s="1380"/>
      <c r="F4" s="1380"/>
      <c r="G4" s="1380"/>
      <c r="H4" s="1380"/>
      <c r="I4" s="1381"/>
      <c r="J4" s="1379"/>
      <c r="K4" s="372"/>
      <c r="L4" s="292"/>
      <c r="N4" s="717"/>
    </row>
    <row r="5" spans="1:16">
      <c r="A5" s="577" t="s">
        <v>121</v>
      </c>
      <c r="B5" s="459"/>
      <c r="C5" s="459"/>
      <c r="D5" s="511" t="s">
        <v>122</v>
      </c>
      <c r="E5" s="1382" t="s">
        <v>123</v>
      </c>
      <c r="F5" s="1382" t="s">
        <v>110</v>
      </c>
      <c r="G5" s="1383" t="s">
        <v>124</v>
      </c>
      <c r="H5" s="1382" t="s">
        <v>125</v>
      </c>
      <c r="I5" s="1105" t="s">
        <v>126</v>
      </c>
      <c r="J5" s="1384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1385"/>
      <c r="F6" s="1385"/>
      <c r="G6" s="1385"/>
      <c r="H6" s="627"/>
      <c r="I6" s="627"/>
      <c r="J6" s="1386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1387">
        <f>'10'!F7</f>
        <v>137397</v>
      </c>
      <c r="F7" s="455">
        <v>160128.5</v>
      </c>
      <c r="G7" s="1388">
        <f>F7-E7</f>
        <v>22731.5</v>
      </c>
      <c r="H7" s="749">
        <f>G7+'10'!H7</f>
        <v>238175.50000000006</v>
      </c>
      <c r="I7" s="1389">
        <v>12000</v>
      </c>
      <c r="J7" s="1390">
        <f>H7/DAY(B2)</f>
        <v>21652.318181818187</v>
      </c>
      <c r="K7" s="549"/>
      <c r="L7" s="377"/>
      <c r="N7" s="718"/>
      <c r="P7" s="721"/>
    </row>
    <row r="8" spans="1:16" ht="27.75" thickBot="1">
      <c r="A8" s="682" t="s">
        <v>131</v>
      </c>
      <c r="B8" s="683"/>
      <c r="C8" s="684"/>
      <c r="D8" s="685" t="s">
        <v>25</v>
      </c>
      <c r="E8" s="1387">
        <f>'10'!F8</f>
        <v>143229</v>
      </c>
      <c r="F8" s="475">
        <v>166058.97</v>
      </c>
      <c r="G8" s="1388">
        <f t="shared" ref="G8:G12" si="0">F8-E8</f>
        <v>22829.97</v>
      </c>
      <c r="H8" s="749">
        <f>G8+'10'!H8</f>
        <v>239336.97</v>
      </c>
      <c r="I8" s="1391">
        <v>12000</v>
      </c>
      <c r="J8" s="1390">
        <f>H8/DAY(B2)</f>
        <v>21757.906363636364</v>
      </c>
      <c r="K8" s="549"/>
      <c r="L8" s="425"/>
      <c r="M8" s="440"/>
      <c r="N8" s="718"/>
      <c r="P8" s="382"/>
    </row>
    <row r="9" spans="1:16">
      <c r="A9" s="687" t="s">
        <v>132</v>
      </c>
      <c r="B9" s="688"/>
      <c r="C9" s="688"/>
      <c r="D9" s="637" t="s">
        <v>130</v>
      </c>
      <c r="E9" s="1387">
        <f>'10'!F9</f>
        <v>2241360</v>
      </c>
      <c r="F9" s="651">
        <v>2263382.5</v>
      </c>
      <c r="G9" s="1392">
        <f t="shared" si="0"/>
        <v>22022.5</v>
      </c>
      <c r="H9" s="749">
        <f>G9+'10'!H9</f>
        <v>232380.5</v>
      </c>
      <c r="I9" s="749">
        <f>I7-J7</f>
        <v>-9652.3181818181874</v>
      </c>
      <c r="J9" s="1390">
        <f>H9/DAY(B2)</f>
        <v>21125.5</v>
      </c>
      <c r="K9" s="428"/>
      <c r="L9" s="377"/>
      <c r="N9" s="718"/>
      <c r="P9" s="382"/>
    </row>
    <row r="10" spans="1:16">
      <c r="A10" s="676" t="s">
        <v>133</v>
      </c>
      <c r="B10" s="677"/>
      <c r="C10" s="677"/>
      <c r="D10" s="637" t="s">
        <v>130</v>
      </c>
      <c r="E10" s="1387">
        <f>'10'!F10</f>
        <v>2606.5500000000002</v>
      </c>
      <c r="F10" s="651">
        <v>2606.5500000000002</v>
      </c>
      <c r="G10" s="1388">
        <f t="shared" si="0"/>
        <v>0</v>
      </c>
      <c r="H10" s="749">
        <f>G10+'10'!H10</f>
        <v>0</v>
      </c>
      <c r="I10" s="1393"/>
      <c r="J10" s="1390">
        <f>H10/DAY(B2)</f>
        <v>0</v>
      </c>
      <c r="K10" s="428"/>
      <c r="L10" s="377"/>
      <c r="N10" s="718"/>
      <c r="P10" s="382"/>
    </row>
    <row r="11" spans="1:16">
      <c r="A11" s="676" t="s">
        <v>134</v>
      </c>
      <c r="B11" s="677"/>
      <c r="C11" s="677"/>
      <c r="D11" s="637" t="s">
        <v>130</v>
      </c>
      <c r="E11" s="1387">
        <f>'10'!F11</f>
        <v>37000</v>
      </c>
      <c r="F11" s="706">
        <v>37000</v>
      </c>
      <c r="G11" s="1388">
        <f t="shared" si="0"/>
        <v>0</v>
      </c>
      <c r="H11" s="749">
        <f>G11+'10'!H11</f>
        <v>0</v>
      </c>
      <c r="I11" s="1393"/>
      <c r="J11" s="1390">
        <f>H11/DAY(B2)</f>
        <v>0</v>
      </c>
      <c r="K11" s="428"/>
      <c r="L11" s="377"/>
      <c r="N11" s="718"/>
      <c r="P11" s="382"/>
    </row>
    <row r="12" spans="1:16">
      <c r="A12" s="676" t="s">
        <v>135</v>
      </c>
      <c r="B12" s="677"/>
      <c r="C12" s="677"/>
      <c r="D12" s="637" t="s">
        <v>130</v>
      </c>
      <c r="E12" s="1387">
        <f>'10'!F12</f>
        <v>40010</v>
      </c>
      <c r="F12" s="651">
        <v>40010</v>
      </c>
      <c r="G12" s="1388">
        <f t="shared" si="0"/>
        <v>0</v>
      </c>
      <c r="H12" s="749">
        <f>G12+'10'!H12</f>
        <v>0</v>
      </c>
      <c r="I12" s="1393"/>
      <c r="J12" s="1390">
        <f>H12/DAY(B2)</f>
        <v>0</v>
      </c>
      <c r="K12" s="428"/>
      <c r="L12" s="377"/>
      <c r="N12" s="718"/>
      <c r="P12" s="382"/>
    </row>
    <row r="13" spans="1:16">
      <c r="A13" s="692" t="s">
        <v>136</v>
      </c>
      <c r="B13" s="693"/>
      <c r="C13" s="693"/>
      <c r="D13" s="637"/>
      <c r="E13" s="1387"/>
      <c r="F13" s="706"/>
      <c r="G13" s="1388">
        <f>G9+G10+G11+G12</f>
        <v>22022.5</v>
      </c>
      <c r="H13" s="749">
        <f>G13+'9'!H13</f>
        <v>212053.5</v>
      </c>
      <c r="I13" s="1387">
        <f>G7-G13</f>
        <v>709</v>
      </c>
      <c r="J13" s="1390">
        <f>H13/DAY(B2)</f>
        <v>19277.590909090908</v>
      </c>
      <c r="K13" s="428"/>
      <c r="L13" s="377"/>
      <c r="N13" s="718"/>
      <c r="P13" s="382"/>
    </row>
    <row r="14" spans="1:16">
      <c r="A14" s="1573" t="s">
        <v>137</v>
      </c>
      <c r="B14" s="1574"/>
      <c r="C14" s="1575"/>
      <c r="D14" s="472"/>
      <c r="E14" s="627"/>
      <c r="F14" s="627"/>
      <c r="G14" s="647"/>
      <c r="H14" s="627"/>
      <c r="I14" s="627"/>
      <c r="J14" s="1386"/>
      <c r="K14" s="429"/>
      <c r="L14" s="377"/>
      <c r="N14" s="718"/>
      <c r="P14" s="382"/>
    </row>
    <row r="15" spans="1:16">
      <c r="A15" s="792" t="s">
        <v>138</v>
      </c>
      <c r="B15" s="793"/>
      <c r="C15" s="793"/>
      <c r="D15" s="524" t="s">
        <v>139</v>
      </c>
      <c r="E15" s="651">
        <f>'10'!F15</f>
        <v>1711527</v>
      </c>
      <c r="F15" s="700">
        <v>1712513.41</v>
      </c>
      <c r="G15" s="652">
        <f>(F15-E15)</f>
        <v>986.40999999991618</v>
      </c>
      <c r="H15" s="705">
        <f>G15+'10'!H15</f>
        <v>8830.4099999999162</v>
      </c>
      <c r="I15" s="1395">
        <v>800</v>
      </c>
      <c r="J15" s="707">
        <f>H15/DAY(B2)</f>
        <v>802.76454545453782</v>
      </c>
      <c r="K15" s="428"/>
      <c r="L15" s="377"/>
      <c r="N15" s="718"/>
      <c r="P15" s="382"/>
    </row>
    <row r="16" spans="1:16">
      <c r="A16" s="587"/>
      <c r="B16" s="588"/>
      <c r="C16" s="588"/>
      <c r="D16" s="524"/>
      <c r="E16" s="651"/>
      <c r="F16" s="651"/>
      <c r="G16" s="1394"/>
      <c r="H16" s="705"/>
      <c r="I16" s="706">
        <f>I15-J15</f>
        <v>-2.7645454545378243</v>
      </c>
      <c r="J16" s="707"/>
      <c r="K16" s="428"/>
      <c r="L16" s="377"/>
      <c r="N16" s="718"/>
      <c r="P16" s="382"/>
    </row>
    <row r="17" spans="1:16">
      <c r="A17" s="1573" t="s">
        <v>140</v>
      </c>
      <c r="B17" s="1574"/>
      <c r="C17" s="1575"/>
      <c r="D17" s="472"/>
      <c r="E17" s="627"/>
      <c r="F17" s="627"/>
      <c r="G17" s="749"/>
      <c r="H17" s="627"/>
      <c r="I17" s="627"/>
      <c r="J17" s="1386"/>
      <c r="K17" s="428"/>
      <c r="L17" s="377"/>
      <c r="N17" s="718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5">
        <f>'10'!F18</f>
        <v>16</v>
      </c>
      <c r="F18" s="651">
        <v>18</v>
      </c>
      <c r="G18" s="1388">
        <f>F18*10</f>
        <v>180</v>
      </c>
      <c r="H18" s="749">
        <f>G18+'10'!H18</f>
        <v>1500</v>
      </c>
      <c r="I18" s="1389">
        <v>65</v>
      </c>
      <c r="J18" s="1390">
        <f>H18/DAY(B2)</f>
        <v>136.36363636363637</v>
      </c>
      <c r="K18" s="428"/>
      <c r="L18" s="377"/>
      <c r="N18" s="718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5">
        <f>'10'!F19</f>
        <v>142100</v>
      </c>
      <c r="F19" s="651">
        <v>142160</v>
      </c>
      <c r="G19" s="1388">
        <f t="shared" ref="G19" si="1">F19-E19</f>
        <v>60</v>
      </c>
      <c r="H19" s="749">
        <f>G19+'10'!H19</f>
        <v>665</v>
      </c>
      <c r="I19" s="1396"/>
      <c r="J19" s="1390">
        <f>H19/DAY(B2)</f>
        <v>60.454545454545453</v>
      </c>
      <c r="K19" s="428"/>
      <c r="L19" s="377"/>
      <c r="N19" s="718"/>
      <c r="P19" s="382"/>
    </row>
    <row r="20" spans="1:16">
      <c r="A20" s="692" t="s">
        <v>143</v>
      </c>
      <c r="B20" s="693"/>
      <c r="C20" s="693"/>
      <c r="D20" s="637"/>
      <c r="E20" s="647"/>
      <c r="F20" s="627"/>
      <c r="G20" s="1397">
        <f>G18+G19</f>
        <v>240</v>
      </c>
      <c r="H20" s="749">
        <f>G20+'10'!H20</f>
        <v>2165</v>
      </c>
      <c r="I20" s="1398">
        <f>I18-J20</f>
        <v>-131.81818181818181</v>
      </c>
      <c r="J20" s="1390">
        <f>H20/DAY(B2)</f>
        <v>196.81818181818181</v>
      </c>
      <c r="K20" s="428"/>
      <c r="L20" s="377"/>
      <c r="N20" s="718"/>
      <c r="P20" s="382"/>
    </row>
    <row r="21" spans="1:16">
      <c r="A21" s="1573" t="s">
        <v>144</v>
      </c>
      <c r="B21" s="1574"/>
      <c r="C21" s="1575"/>
      <c r="D21" s="472"/>
      <c r="E21" s="627"/>
      <c r="F21" s="627"/>
      <c r="G21" s="647"/>
      <c r="H21" s="627"/>
      <c r="I21" s="627"/>
      <c r="J21" s="1386"/>
      <c r="K21" s="428"/>
      <c r="L21" s="377"/>
      <c r="N21" s="718"/>
      <c r="P21" s="382"/>
    </row>
    <row r="22" spans="1:16">
      <c r="A22" s="1137" t="s">
        <v>145</v>
      </c>
      <c r="B22" s="589"/>
      <c r="C22" s="589"/>
      <c r="D22" s="523" t="s">
        <v>146</v>
      </c>
      <c r="E22" s="635">
        <f>'10'!F22</f>
        <v>2970</v>
      </c>
      <c r="F22" s="651">
        <v>2970</v>
      </c>
      <c r="G22" s="652">
        <f t="shared" ref="G22" si="2">(F22-E22)</f>
        <v>0</v>
      </c>
      <c r="H22" s="705">
        <f>G22+'10'!H22</f>
        <v>0</v>
      </c>
      <c r="I22" s="1070"/>
      <c r="J22" s="707">
        <f>H22/DAY(B2)</f>
        <v>0</v>
      </c>
      <c r="K22" s="428"/>
      <c r="L22" s="377"/>
      <c r="N22" s="718"/>
      <c r="P22" s="382"/>
    </row>
    <row r="23" spans="1:16">
      <c r="A23" s="1137" t="s">
        <v>147</v>
      </c>
      <c r="B23" s="589"/>
      <c r="C23" s="589"/>
      <c r="D23" s="523" t="s">
        <v>146</v>
      </c>
      <c r="E23" s="635">
        <f>'10'!F23</f>
        <v>2000</v>
      </c>
      <c r="F23" s="651">
        <v>2000</v>
      </c>
      <c r="G23" s="652">
        <v>0</v>
      </c>
      <c r="H23" s="705">
        <f>G23+'10'!H23</f>
        <v>0</v>
      </c>
      <c r="I23" s="1070"/>
      <c r="J23" s="707">
        <f>H23/DAY(B2)</f>
        <v>0</v>
      </c>
      <c r="K23" s="428"/>
      <c r="L23" s="377"/>
      <c r="N23" s="718"/>
      <c r="P23" s="382"/>
    </row>
    <row r="24" spans="1:16">
      <c r="A24" s="590" t="s">
        <v>148</v>
      </c>
      <c r="B24" s="591"/>
      <c r="C24" s="591"/>
      <c r="D24" s="511" t="s">
        <v>146</v>
      </c>
      <c r="E24" s="1399">
        <f>'10'!F24</f>
        <v>4970</v>
      </c>
      <c r="F24" s="651">
        <v>4970</v>
      </c>
      <c r="G24" s="652">
        <v>0</v>
      </c>
      <c r="H24" s="705">
        <f>G24+'10'!H24</f>
        <v>0</v>
      </c>
      <c r="I24" s="1070"/>
      <c r="J24" s="707">
        <f>H24/DAY(B2)</f>
        <v>0</v>
      </c>
      <c r="K24" s="428"/>
      <c r="L24" s="377"/>
      <c r="N24" s="718"/>
      <c r="P24" s="382"/>
    </row>
    <row r="25" spans="1:16" s="442" customFormat="1" ht="27">
      <c r="A25" s="1578" t="s">
        <v>149</v>
      </c>
      <c r="B25" s="1579"/>
      <c r="C25" s="1580"/>
      <c r="D25" s="471"/>
      <c r="E25" s="1385"/>
      <c r="F25" s="1385"/>
      <c r="G25" s="1400"/>
      <c r="H25" s="1105"/>
      <c r="I25" s="1401"/>
      <c r="J25" s="1402"/>
      <c r="K25" s="373"/>
      <c r="L25" s="443"/>
      <c r="N25" s="718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1403"/>
      <c r="F26" s="706"/>
      <c r="G26" s="1404"/>
      <c r="H26" s="705"/>
      <c r="I26" s="1405"/>
      <c r="J26" s="707"/>
      <c r="K26" s="374"/>
      <c r="L26" s="443"/>
      <c r="N26" s="71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06">
        <f>G8</f>
        <v>22829.97</v>
      </c>
      <c r="F27" s="1407">
        <v>9</v>
      </c>
      <c r="G27" s="1408">
        <f>E27*F27</f>
        <v>205469.73</v>
      </c>
      <c r="H27" s="705">
        <f>G27+'10'!H27</f>
        <v>2154032.73</v>
      </c>
      <c r="I27" s="1409"/>
      <c r="J27" s="707">
        <f>H27/DAY(B2)</f>
        <v>195821.15727272726</v>
      </c>
      <c r="K27" s="373"/>
      <c r="L27" s="443"/>
      <c r="N27" s="718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1406">
        <f>G15</f>
        <v>986.40999999991618</v>
      </c>
      <c r="F28" s="501">
        <v>52</v>
      </c>
      <c r="G28" s="1408">
        <f>E28*F28</f>
        <v>51293.319999995641</v>
      </c>
      <c r="H28" s="705">
        <f>G28+'10'!H28</f>
        <v>459181.31999999564</v>
      </c>
      <c r="I28" s="1410"/>
      <c r="J28" s="707">
        <f>H28/DAY(B2)</f>
        <v>41743.75636363597</v>
      </c>
      <c r="K28" s="373"/>
      <c r="L28" s="443"/>
      <c r="N28" s="718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1406">
        <f>G24</f>
        <v>0</v>
      </c>
      <c r="F29" s="1407">
        <v>69</v>
      </c>
      <c r="G29" s="1408">
        <f>E29*F29</f>
        <v>0</v>
      </c>
      <c r="H29" s="705">
        <f>G29+'10'!H29</f>
        <v>0</v>
      </c>
      <c r="I29" s="1410"/>
      <c r="J29" s="707">
        <f>H29/DAY(B2)</f>
        <v>0</v>
      </c>
      <c r="K29" s="373"/>
      <c r="L29" s="443"/>
      <c r="N29" s="718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1406">
        <f>G19</f>
        <v>60</v>
      </c>
      <c r="F30" s="1407">
        <v>146</v>
      </c>
      <c r="G30" s="1408">
        <f>E30*F30</f>
        <v>8760</v>
      </c>
      <c r="H30" s="705">
        <f>G30+'10'!H30</f>
        <v>96506</v>
      </c>
      <c r="I30" s="1410"/>
      <c r="J30" s="707">
        <f>H30/DAY(B2)</f>
        <v>8773.2727272727279</v>
      </c>
      <c r="K30" s="373"/>
      <c r="L30" s="443"/>
      <c r="N30" s="718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1406">
        <f>G18</f>
        <v>180</v>
      </c>
      <c r="F31" s="1407">
        <v>80</v>
      </c>
      <c r="G31" s="1408">
        <f>E31*F31</f>
        <v>14400</v>
      </c>
      <c r="H31" s="705">
        <f>G31+'10'!H31</f>
        <v>114400</v>
      </c>
      <c r="I31" s="1410"/>
      <c r="J31" s="707">
        <f>H31/DAY(B2)</f>
        <v>10400</v>
      </c>
      <c r="K31" s="373"/>
      <c r="L31" s="443"/>
      <c r="N31" s="718"/>
      <c r="P31" s="382"/>
    </row>
    <row r="32" spans="1:16" s="442" customFormat="1" ht="27.75">
      <c r="A32" s="595" t="s">
        <v>159</v>
      </c>
      <c r="B32" s="596"/>
      <c r="C32" s="597"/>
      <c r="D32" s="507"/>
      <c r="E32" s="1411"/>
      <c r="F32" s="627"/>
      <c r="G32" s="1412">
        <f>G27+G28+G29+G30+G31</f>
        <v>279923.04999999562</v>
      </c>
      <c r="H32" s="705">
        <f>G32+'10'!H32</f>
        <v>2824120.0499999952</v>
      </c>
      <c r="I32" s="1413"/>
      <c r="J32" s="707">
        <f>H32/DAY(B2)</f>
        <v>256738.18636363593</v>
      </c>
      <c r="K32" s="373"/>
      <c r="L32" s="443"/>
      <c r="N32" s="718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P33" s="382"/>
    </row>
    <row r="34" spans="1:16">
      <c r="A34" s="598" t="s">
        <v>161</v>
      </c>
      <c r="B34" s="1142"/>
      <c r="C34" s="1142"/>
      <c r="D34" s="472"/>
      <c r="E34" s="1385"/>
      <c r="F34" s="1385"/>
      <c r="G34" s="627"/>
      <c r="H34" s="627"/>
      <c r="I34" s="627"/>
      <c r="J34" s="1386"/>
      <c r="K34" s="428"/>
      <c r="L34" s="377"/>
      <c r="N34" s="718"/>
      <c r="P34" s="382"/>
    </row>
    <row r="35" spans="1:16">
      <c r="A35" s="578" t="s">
        <v>162</v>
      </c>
      <c r="B35" s="579"/>
      <c r="C35" s="579"/>
      <c r="D35" s="523" t="s">
        <v>130</v>
      </c>
      <c r="E35" s="653">
        <f>'10'!F35</f>
        <v>1058597</v>
      </c>
      <c r="F35" s="653">
        <v>1058597.3</v>
      </c>
      <c r="G35" s="652">
        <f t="shared" ref="G35:G46" si="3">F35-E35</f>
        <v>0.30000000004656613</v>
      </c>
      <c r="H35" s="705">
        <f>G35+'10'!H35</f>
        <v>29883.300000000047</v>
      </c>
      <c r="I35" s="706"/>
      <c r="J35" s="707">
        <f>H35/DAY(B2)</f>
        <v>2716.6636363636408</v>
      </c>
      <c r="K35" s="428"/>
      <c r="L35" s="377"/>
      <c r="N35" s="718"/>
      <c r="P35" s="382"/>
    </row>
    <row r="36" spans="1:16">
      <c r="A36" s="578" t="s">
        <v>163</v>
      </c>
      <c r="B36" s="579"/>
      <c r="C36" s="579"/>
      <c r="D36" s="523" t="s">
        <v>130</v>
      </c>
      <c r="E36" s="653">
        <f>'10'!F36</f>
        <v>28220</v>
      </c>
      <c r="F36" s="653">
        <v>29233.21</v>
      </c>
      <c r="G36" s="652">
        <f t="shared" si="3"/>
        <v>1013.2099999999991</v>
      </c>
      <c r="H36" s="705">
        <f>G36+'10'!H36</f>
        <v>8772.2099999999991</v>
      </c>
      <c r="I36" s="706"/>
      <c r="J36" s="707">
        <f>H36/DAY(B2)</f>
        <v>797.47363636363627</v>
      </c>
      <c r="K36" s="428"/>
      <c r="L36" s="377"/>
      <c r="N36" s="719"/>
      <c r="P36" s="382"/>
    </row>
    <row r="37" spans="1:16">
      <c r="A37" s="578" t="s">
        <v>164</v>
      </c>
      <c r="B37" s="579"/>
      <c r="C37" s="579"/>
      <c r="D37" s="523" t="s">
        <v>130</v>
      </c>
      <c r="E37" s="653">
        <f>'10'!F37</f>
        <v>191896</v>
      </c>
      <c r="F37" s="653">
        <v>193485.75</v>
      </c>
      <c r="G37" s="652">
        <f t="shared" si="3"/>
        <v>1589.75</v>
      </c>
      <c r="H37" s="705">
        <f>G37+'10'!H37</f>
        <v>16915.75</v>
      </c>
      <c r="I37" s="706"/>
      <c r="J37" s="707">
        <f>H37/DAY(B2)</f>
        <v>1537.7954545454545</v>
      </c>
      <c r="K37" s="428"/>
      <c r="L37" s="377"/>
      <c r="N37" s="719"/>
      <c r="P37" s="382"/>
    </row>
    <row r="38" spans="1:16">
      <c r="A38" s="578" t="s">
        <v>165</v>
      </c>
      <c r="B38" s="579"/>
      <c r="C38" s="579"/>
      <c r="D38" s="523" t="s">
        <v>130</v>
      </c>
      <c r="E38" s="653">
        <f>'10'!F38</f>
        <v>214502</v>
      </c>
      <c r="F38" s="1382">
        <v>216163.79</v>
      </c>
      <c r="G38" s="652">
        <f t="shared" si="3"/>
        <v>1661.7900000000081</v>
      </c>
      <c r="H38" s="705">
        <f>G38+'10'!H38</f>
        <v>17704.790000000008</v>
      </c>
      <c r="I38" s="706"/>
      <c r="J38" s="707">
        <f>H38/DAY(B2)</f>
        <v>1609.5263636363643</v>
      </c>
      <c r="K38" s="428"/>
      <c r="L38" s="377"/>
      <c r="N38" s="718"/>
      <c r="P38" s="382"/>
    </row>
    <row r="39" spans="1:16">
      <c r="A39" s="578" t="s">
        <v>166</v>
      </c>
      <c r="B39" s="579"/>
      <c r="C39" s="579"/>
      <c r="D39" s="523" t="s">
        <v>130</v>
      </c>
      <c r="E39" s="653">
        <f>'10'!F39</f>
        <v>441569</v>
      </c>
      <c r="F39" s="653">
        <v>445178.67</v>
      </c>
      <c r="G39" s="652">
        <f t="shared" si="3"/>
        <v>3609.6699999999837</v>
      </c>
      <c r="H39" s="705">
        <f>G39+'10'!H39</f>
        <v>40314.669999999984</v>
      </c>
      <c r="I39" s="706"/>
      <c r="J39" s="707">
        <f>H39/DAY(B2)</f>
        <v>3664.9699999999984</v>
      </c>
      <c r="K39" s="428"/>
      <c r="L39" s="377"/>
      <c r="N39" s="718"/>
      <c r="P39" s="382"/>
    </row>
    <row r="40" spans="1:16">
      <c r="A40" s="599" t="s">
        <v>167</v>
      </c>
      <c r="B40" s="600"/>
      <c r="C40" s="600"/>
      <c r="D40" s="523" t="s">
        <v>130</v>
      </c>
      <c r="E40" s="653">
        <f>'10'!F40</f>
        <v>10933</v>
      </c>
      <c r="F40" s="653">
        <v>11205.44</v>
      </c>
      <c r="G40" s="652">
        <f t="shared" si="3"/>
        <v>272.44000000000051</v>
      </c>
      <c r="H40" s="705">
        <f>G40+'10'!H40</f>
        <v>4092.4400000000005</v>
      </c>
      <c r="I40" s="706"/>
      <c r="J40" s="707">
        <f>H40/DAY(B2)</f>
        <v>372.04</v>
      </c>
      <c r="K40" s="429"/>
      <c r="L40" s="377"/>
      <c r="N40" s="718"/>
      <c r="P40" s="382"/>
    </row>
    <row r="41" spans="1:16">
      <c r="A41" s="578" t="s">
        <v>168</v>
      </c>
      <c r="B41" s="579"/>
      <c r="C41" s="579"/>
      <c r="D41" s="523" t="s">
        <v>130</v>
      </c>
      <c r="E41" s="653">
        <f>'10'!F41</f>
        <v>362199</v>
      </c>
      <c r="F41" s="653">
        <v>364063.91</v>
      </c>
      <c r="G41" s="652">
        <f t="shared" si="3"/>
        <v>1864.9099999999744</v>
      </c>
      <c r="H41" s="705">
        <f>G41+'10'!H41</f>
        <v>34421.909999999974</v>
      </c>
      <c r="I41" s="706"/>
      <c r="J41" s="707">
        <f>H41/DAY(B2)</f>
        <v>3129.2645454545432</v>
      </c>
      <c r="K41" s="428"/>
      <c r="L41" s="377"/>
      <c r="N41" s="718"/>
      <c r="P41" s="721"/>
    </row>
    <row r="42" spans="1:16">
      <c r="A42" s="578" t="s">
        <v>169</v>
      </c>
      <c r="B42" s="579"/>
      <c r="C42" s="579"/>
      <c r="D42" s="523" t="s">
        <v>130</v>
      </c>
      <c r="E42" s="653">
        <f>'10'!F42</f>
        <v>59210</v>
      </c>
      <c r="F42" s="653">
        <v>59210.080000000002</v>
      </c>
      <c r="G42" s="652">
        <f t="shared" si="3"/>
        <v>8.000000000174623E-2</v>
      </c>
      <c r="H42" s="705">
        <f>G42+'10'!H42</f>
        <v>11.190000000002328</v>
      </c>
      <c r="I42" s="706"/>
      <c r="J42" s="707">
        <f>H42/DAY(B2)</f>
        <v>1.0172727272729389</v>
      </c>
      <c r="K42" s="428"/>
      <c r="L42" s="377"/>
      <c r="N42" s="718"/>
      <c r="P42" s="382"/>
    </row>
    <row r="43" spans="1:16">
      <c r="A43" s="578" t="s">
        <v>170</v>
      </c>
      <c r="B43" s="579"/>
      <c r="C43" s="579"/>
      <c r="D43" s="523" t="s">
        <v>130</v>
      </c>
      <c r="E43" s="653">
        <f>'10'!F43</f>
        <v>1146895</v>
      </c>
      <c r="F43" s="653">
        <v>1149837.3999999999</v>
      </c>
      <c r="G43" s="652">
        <f>F43-E43</f>
        <v>2942.3999999999069</v>
      </c>
      <c r="H43" s="705">
        <f>G43+'10'!H43</f>
        <v>29385.399999999907</v>
      </c>
      <c r="I43" s="706"/>
      <c r="J43" s="707">
        <f>H43/DAY(B2)</f>
        <v>2671.3999999999915</v>
      </c>
      <c r="K43" s="428"/>
      <c r="L43" s="377"/>
      <c r="N43" s="718"/>
      <c r="P43" s="382"/>
    </row>
    <row r="44" spans="1:16">
      <c r="A44" s="578" t="s">
        <v>171</v>
      </c>
      <c r="B44" s="579"/>
      <c r="C44" s="579"/>
      <c r="D44" s="523" t="s">
        <v>130</v>
      </c>
      <c r="E44" s="653">
        <f>'10'!F44</f>
        <v>0</v>
      </c>
      <c r="F44" s="653">
        <v>0</v>
      </c>
      <c r="G44" s="652">
        <f t="shared" si="3"/>
        <v>0</v>
      </c>
      <c r="H44" s="705">
        <f>G44+'10'!H44</f>
        <v>0</v>
      </c>
      <c r="I44" s="706"/>
      <c r="J44" s="707">
        <f>H44/DAY(B2)</f>
        <v>0</v>
      </c>
      <c r="K44" s="428"/>
      <c r="L44" s="377"/>
      <c r="N44" s="718"/>
      <c r="P44" s="382"/>
    </row>
    <row r="45" spans="1:16">
      <c r="A45" s="578" t="s">
        <v>172</v>
      </c>
      <c r="B45" s="579"/>
      <c r="C45" s="579"/>
      <c r="D45" s="523" t="s">
        <v>130</v>
      </c>
      <c r="E45" s="653">
        <f>'10'!F45</f>
        <v>614</v>
      </c>
      <c r="F45" s="653">
        <v>614</v>
      </c>
      <c r="G45" s="652">
        <f t="shared" si="3"/>
        <v>0</v>
      </c>
      <c r="H45" s="705">
        <f>G45+'10'!H45</f>
        <v>614</v>
      </c>
      <c r="I45" s="706"/>
      <c r="J45" s="707">
        <f>H45/DAY(B2)</f>
        <v>55.81818181818182</v>
      </c>
      <c r="K45" s="428"/>
      <c r="L45" s="377"/>
      <c r="N45" s="718"/>
      <c r="P45" s="382"/>
    </row>
    <row r="46" spans="1:16">
      <c r="A46" s="578" t="s">
        <v>173</v>
      </c>
      <c r="B46" s="579"/>
      <c r="C46" s="579"/>
      <c r="D46" s="523" t="s">
        <v>130</v>
      </c>
      <c r="E46" s="653">
        <f>'10'!F46</f>
        <v>187</v>
      </c>
      <c r="F46" s="653">
        <v>187.49</v>
      </c>
      <c r="G46" s="652">
        <f t="shared" si="3"/>
        <v>0.49000000000000909</v>
      </c>
      <c r="H46" s="705">
        <f>G46+'10'!H46</f>
        <v>187.49</v>
      </c>
      <c r="I46" s="706"/>
      <c r="J46" s="707">
        <f>H46/DAY(B2)</f>
        <v>17.044545454545457</v>
      </c>
      <c r="K46" s="428"/>
      <c r="L46" s="377"/>
      <c r="N46" s="718"/>
      <c r="P46" s="382"/>
    </row>
    <row r="47" spans="1:16">
      <c r="A47" s="585" t="s">
        <v>174</v>
      </c>
      <c r="B47" s="586"/>
      <c r="C47" s="586"/>
      <c r="D47" s="470"/>
      <c r="E47" s="1385"/>
      <c r="F47" s="1385"/>
      <c r="G47" s="652">
        <f>G35+G36+G37+G38+G39+G40+G41+G42+G43+G44+G45+G46</f>
        <v>12955.039999999921</v>
      </c>
      <c r="H47" s="705">
        <f>G47+'10'!H47</f>
        <v>182303.14999999991</v>
      </c>
      <c r="I47" s="706"/>
      <c r="J47" s="707">
        <f>H47/DAY(B2)</f>
        <v>16573.013636363627</v>
      </c>
      <c r="K47" s="428"/>
      <c r="L47" s="377"/>
      <c r="N47" s="718"/>
      <c r="P47" s="382"/>
    </row>
    <row r="48" spans="1:16">
      <c r="A48" s="598" t="s">
        <v>175</v>
      </c>
      <c r="B48" s="1142"/>
      <c r="C48" s="1142"/>
      <c r="D48" s="472"/>
      <c r="E48" s="1385"/>
      <c r="F48" s="1385"/>
      <c r="G48" s="627"/>
      <c r="H48" s="627"/>
      <c r="I48" s="627"/>
      <c r="J48" s="1386"/>
      <c r="K48" s="428"/>
      <c r="L48" s="377"/>
      <c r="N48" s="718"/>
      <c r="P48" s="382"/>
    </row>
    <row r="49" spans="1:16">
      <c r="A49" s="578" t="s">
        <v>162</v>
      </c>
      <c r="B49" s="601"/>
      <c r="C49" s="601"/>
      <c r="D49" s="523" t="s">
        <v>130</v>
      </c>
      <c r="E49" s="653">
        <f>'10'!F49</f>
        <v>260764</v>
      </c>
      <c r="F49" s="653">
        <v>263719.73</v>
      </c>
      <c r="G49" s="652">
        <f t="shared" ref="G49:G58" si="4">F49-E49</f>
        <v>2955.7299999999814</v>
      </c>
      <c r="H49" s="705">
        <f>G49+'9'!H49</f>
        <v>2955.7299999999814</v>
      </c>
      <c r="I49" s="706"/>
      <c r="J49" s="707">
        <f>H49/DAY(B2)</f>
        <v>268.70272727272555</v>
      </c>
      <c r="K49" s="428"/>
      <c r="L49" s="377"/>
      <c r="N49" s="718"/>
      <c r="P49" s="382"/>
    </row>
    <row r="50" spans="1:16">
      <c r="A50" s="578" t="s">
        <v>176</v>
      </c>
      <c r="B50" s="601"/>
      <c r="C50" s="601"/>
      <c r="D50" s="523" t="s">
        <v>130</v>
      </c>
      <c r="E50" s="653">
        <f>'10'!F50</f>
        <v>545699</v>
      </c>
      <c r="F50" s="653">
        <v>546915.55000000005</v>
      </c>
      <c r="G50" s="652">
        <f t="shared" si="4"/>
        <v>1216.5500000000466</v>
      </c>
      <c r="H50" s="705">
        <f>G50+'9'!H50</f>
        <v>11159.550000000047</v>
      </c>
      <c r="I50" s="706"/>
      <c r="J50" s="707">
        <f>H50/DAY(B2)</f>
        <v>1014.5045454545497</v>
      </c>
      <c r="K50" s="428"/>
      <c r="L50" s="377"/>
      <c r="N50" s="718"/>
      <c r="P50" s="382"/>
    </row>
    <row r="51" spans="1:16">
      <c r="A51" s="578" t="s">
        <v>164</v>
      </c>
      <c r="B51" s="601"/>
      <c r="C51" s="601"/>
      <c r="D51" s="523" t="s">
        <v>130</v>
      </c>
      <c r="E51" s="653">
        <f>'10'!F51</f>
        <v>144639.87</v>
      </c>
      <c r="F51" s="653">
        <v>144639.87</v>
      </c>
      <c r="G51" s="652">
        <f t="shared" si="4"/>
        <v>0</v>
      </c>
      <c r="H51" s="705">
        <f>G51+'9'!H51</f>
        <v>-0.13000000000465661</v>
      </c>
      <c r="I51" s="706"/>
      <c r="J51" s="707">
        <f>H51/DAY(B2)</f>
        <v>-1.1818181818605146E-2</v>
      </c>
      <c r="K51" s="428"/>
      <c r="L51" s="377"/>
      <c r="N51" s="718"/>
      <c r="P51" s="382"/>
    </row>
    <row r="52" spans="1:16">
      <c r="A52" s="578" t="s">
        <v>177</v>
      </c>
      <c r="B52" s="601"/>
      <c r="C52" s="601"/>
      <c r="D52" s="523" t="s">
        <v>130</v>
      </c>
      <c r="E52" s="653">
        <f>'10'!F52</f>
        <v>539606.06999999995</v>
      </c>
      <c r="F52" s="653">
        <v>539606.06999999995</v>
      </c>
      <c r="G52" s="652">
        <f t="shared" si="4"/>
        <v>0</v>
      </c>
      <c r="H52" s="705">
        <f>G52+'9'!H52</f>
        <v>6.9999999948777258E-2</v>
      </c>
      <c r="I52" s="706"/>
      <c r="J52" s="707">
        <f>H52/DAY(B2)</f>
        <v>6.3636363589797511E-3</v>
      </c>
      <c r="K52" s="428"/>
      <c r="L52" s="377"/>
      <c r="N52" s="718"/>
      <c r="P52" s="382"/>
    </row>
    <row r="53" spans="1:16">
      <c r="A53" s="578" t="s">
        <v>166</v>
      </c>
      <c r="B53" s="601"/>
      <c r="C53" s="601"/>
      <c r="D53" s="523" t="s">
        <v>130</v>
      </c>
      <c r="E53" s="653">
        <f>'10'!F53</f>
        <v>434232</v>
      </c>
      <c r="F53" s="653">
        <v>434231.59</v>
      </c>
      <c r="G53" s="652">
        <f t="shared" si="4"/>
        <v>-0.40999999997438863</v>
      </c>
      <c r="H53" s="705">
        <f>G53+'9'!H53</f>
        <v>-0.73999999999068677</v>
      </c>
      <c r="I53" s="706"/>
      <c r="J53" s="707">
        <f>H53/DAY(B2)</f>
        <v>-6.727272727188062E-2</v>
      </c>
      <c r="K53" s="428"/>
      <c r="L53" s="377"/>
      <c r="N53" s="718"/>
      <c r="P53" s="382"/>
    </row>
    <row r="54" spans="1:16">
      <c r="A54" s="578" t="s">
        <v>178</v>
      </c>
      <c r="B54" s="601"/>
      <c r="C54" s="601"/>
      <c r="D54" s="523" t="s">
        <v>130</v>
      </c>
      <c r="E54" s="653">
        <f>'10'!F54</f>
        <v>14967</v>
      </c>
      <c r="F54" s="653">
        <v>14967</v>
      </c>
      <c r="G54" s="652">
        <f t="shared" si="4"/>
        <v>0</v>
      </c>
      <c r="H54" s="705">
        <f>G54+'9'!H54</f>
        <v>0</v>
      </c>
      <c r="I54" s="706"/>
      <c r="J54" s="707">
        <f>H54/DAY(B2)</f>
        <v>0</v>
      </c>
      <c r="K54" s="428"/>
      <c r="L54" s="377"/>
      <c r="N54" s="718"/>
      <c r="P54" s="382"/>
    </row>
    <row r="55" spans="1:16">
      <c r="A55" s="578" t="s">
        <v>179</v>
      </c>
      <c r="B55" s="601"/>
      <c r="C55" s="601"/>
      <c r="D55" s="523" t="s">
        <v>130</v>
      </c>
      <c r="E55" s="653">
        <f>'10'!F55</f>
        <v>152079</v>
      </c>
      <c r="F55" s="653">
        <v>157337.92000000001</v>
      </c>
      <c r="G55" s="652">
        <f t="shared" si="4"/>
        <v>5258.9200000000128</v>
      </c>
      <c r="H55" s="705">
        <f>G55+'9'!H55</f>
        <v>34127.920000000013</v>
      </c>
      <c r="I55" s="706"/>
      <c r="J55" s="707">
        <f>H55/DAY(B2)</f>
        <v>3102.5381818181831</v>
      </c>
      <c r="K55" s="428"/>
      <c r="L55" s="377"/>
      <c r="N55" s="718"/>
      <c r="P55" s="382"/>
    </row>
    <row r="56" spans="1:16">
      <c r="A56" s="578" t="s">
        <v>180</v>
      </c>
      <c r="B56" s="601"/>
      <c r="C56" s="601"/>
      <c r="D56" s="523" t="s">
        <v>181</v>
      </c>
      <c r="E56" s="653">
        <f>'10'!F56</f>
        <v>649139</v>
      </c>
      <c r="F56" s="653">
        <v>649149.15</v>
      </c>
      <c r="G56" s="652">
        <f t="shared" si="4"/>
        <v>10.150000000023283</v>
      </c>
      <c r="H56" s="705">
        <f>G56+'9'!H56</f>
        <v>107.15000000002328</v>
      </c>
      <c r="I56" s="706"/>
      <c r="J56" s="707">
        <f>H56/DAY(B2)</f>
        <v>9.7409090909112077</v>
      </c>
      <c r="K56" s="427"/>
      <c r="L56" s="377"/>
      <c r="N56" s="718"/>
      <c r="P56" s="382"/>
    </row>
    <row r="57" spans="1:16">
      <c r="A57" s="578" t="s">
        <v>170</v>
      </c>
      <c r="B57" s="601"/>
      <c r="C57" s="601"/>
      <c r="D57" s="523" t="s">
        <v>130</v>
      </c>
      <c r="E57" s="653">
        <f>'10'!F57</f>
        <v>7711</v>
      </c>
      <c r="F57" s="653">
        <v>7711</v>
      </c>
      <c r="G57" s="652">
        <f t="shared" si="4"/>
        <v>0</v>
      </c>
      <c r="H57" s="705">
        <f>G57+'9'!H57</f>
        <v>0</v>
      </c>
      <c r="I57" s="706"/>
      <c r="J57" s="707">
        <f>H57/DAY(B2)</f>
        <v>0</v>
      </c>
      <c r="K57" s="428"/>
      <c r="L57" s="377"/>
      <c r="N57" s="718"/>
      <c r="P57" s="382"/>
    </row>
    <row r="58" spans="1:16">
      <c r="A58" s="578" t="s">
        <v>182</v>
      </c>
      <c r="B58" s="601"/>
      <c r="C58" s="601"/>
      <c r="D58" s="523" t="s">
        <v>130</v>
      </c>
      <c r="E58" s="653">
        <f>'10'!F58</f>
        <v>55589</v>
      </c>
      <c r="F58" s="653">
        <v>55811.06</v>
      </c>
      <c r="G58" s="652">
        <f t="shared" si="4"/>
        <v>222.05999999999767</v>
      </c>
      <c r="H58" s="705">
        <f>G58+'9'!H58</f>
        <v>1631.0599999999977</v>
      </c>
      <c r="I58" s="706"/>
      <c r="J58" s="707">
        <f>H58/DAY(B2)</f>
        <v>148.27818181818159</v>
      </c>
      <c r="K58" s="428"/>
      <c r="L58" s="377"/>
      <c r="N58" s="718"/>
      <c r="P58" s="382"/>
    </row>
    <row r="59" spans="1:16">
      <c r="A59" s="585" t="s">
        <v>174</v>
      </c>
      <c r="B59" s="586"/>
      <c r="C59" s="586"/>
      <c r="D59" s="511"/>
      <c r="E59" s="1385"/>
      <c r="F59" s="1385"/>
      <c r="G59" s="652">
        <f>G49+G50+G51+G52+G53+G54+G55+G56+G57+G58</f>
        <v>9663.0000000000873</v>
      </c>
      <c r="H59" s="705">
        <f>G59+'9'!H59</f>
        <v>49980.610000000015</v>
      </c>
      <c r="I59" s="706">
        <f>G7-G60</f>
        <v>113.45999999999185</v>
      </c>
      <c r="J59" s="707">
        <f>H59/DAY(B2)</f>
        <v>4543.6918181818191</v>
      </c>
      <c r="K59" s="428"/>
      <c r="L59" s="377"/>
      <c r="N59" s="718"/>
      <c r="P59" s="382"/>
    </row>
    <row r="60" spans="1:16">
      <c r="A60" s="578"/>
      <c r="B60" s="579"/>
      <c r="C60" s="579"/>
      <c r="D60" s="511" t="s">
        <v>183</v>
      </c>
      <c r="E60" s="1385"/>
      <c r="F60" s="1385"/>
      <c r="G60" s="652">
        <f>G47+G59</f>
        <v>22618.040000000008</v>
      </c>
      <c r="H60" s="705">
        <f>G60+'10'!H60</f>
        <v>239187.08999999997</v>
      </c>
      <c r="I60" s="706">
        <f>G13-G60</f>
        <v>-595.54000000000815</v>
      </c>
      <c r="J60" s="707">
        <f>H60/DAY(B2)</f>
        <v>21744.280909090907</v>
      </c>
      <c r="K60" s="428"/>
      <c r="L60" s="377"/>
      <c r="N60" s="718"/>
      <c r="P60" s="382"/>
    </row>
    <row r="61" spans="1:16">
      <c r="A61" s="602" t="s">
        <v>184</v>
      </c>
      <c r="B61" s="453"/>
      <c r="C61" s="453"/>
      <c r="D61" s="513"/>
      <c r="E61" s="1414"/>
      <c r="F61" s="1414"/>
      <c r="G61" s="1415"/>
      <c r="H61" s="1415"/>
      <c r="I61" s="1415"/>
      <c r="J61" s="1416"/>
      <c r="K61" s="428"/>
      <c r="L61" s="377"/>
      <c r="N61" s="718"/>
      <c r="P61" s="382"/>
    </row>
    <row r="62" spans="1:16">
      <c r="A62" s="603" t="s">
        <v>97</v>
      </c>
      <c r="B62" s="604"/>
      <c r="C62" s="604"/>
      <c r="D62" s="511" t="s">
        <v>185</v>
      </c>
      <c r="E62" s="1105">
        <f>'10'!F62</f>
        <v>0</v>
      </c>
      <c r="F62" s="1105">
        <v>0</v>
      </c>
      <c r="G62" s="652">
        <f t="shared" ref="G62:G69" si="5">F62-E62</f>
        <v>0</v>
      </c>
      <c r="H62" s="705">
        <f>G62+'10'!H62</f>
        <v>1.9999999967694748E-3</v>
      </c>
      <c r="I62" s="1417"/>
      <c r="J62" s="707">
        <f>H62/DAY(B2)</f>
        <v>1.818181815244977E-4</v>
      </c>
      <c r="K62" s="428"/>
      <c r="L62" s="377"/>
      <c r="N62" s="718"/>
      <c r="P62" s="382"/>
    </row>
    <row r="63" spans="1:16">
      <c r="A63" s="603" t="s">
        <v>186</v>
      </c>
      <c r="B63" s="604"/>
      <c r="C63" s="604"/>
      <c r="D63" s="511" t="s">
        <v>185</v>
      </c>
      <c r="E63" s="1105">
        <f>'10'!F63</f>
        <v>0</v>
      </c>
      <c r="F63" s="1105">
        <v>0</v>
      </c>
      <c r="G63" s="652">
        <f t="shared" si="5"/>
        <v>0</v>
      </c>
      <c r="H63" s="705">
        <f>G63+'10'!H63</f>
        <v>0</v>
      </c>
      <c r="I63" s="1417"/>
      <c r="J63" s="707">
        <f>H63/DAY(B2)</f>
        <v>0</v>
      </c>
      <c r="K63" s="428"/>
      <c r="L63" s="377"/>
      <c r="N63" s="718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1105">
        <f>'10'!F64</f>
        <v>174038</v>
      </c>
      <c r="F64" s="651">
        <v>174412.43</v>
      </c>
      <c r="G64" s="652">
        <f t="shared" si="5"/>
        <v>374.42999999999302</v>
      </c>
      <c r="H64" s="705">
        <f>G64+'10'!H64</f>
        <v>4390.429999999993</v>
      </c>
      <c r="I64" s="1070"/>
      <c r="J64" s="707">
        <f>H64/DAY(B2)</f>
        <v>399.12999999999937</v>
      </c>
      <c r="K64" s="428"/>
      <c r="L64" s="377"/>
      <c r="N64" s="718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1105">
        <f>'10'!F65</f>
        <v>173988</v>
      </c>
      <c r="F65" s="651">
        <v>174374.93</v>
      </c>
      <c r="G65" s="652">
        <f t="shared" si="5"/>
        <v>386.92999999999302</v>
      </c>
      <c r="H65" s="705">
        <f>G65+'10'!H65</f>
        <v>4072.929999999993</v>
      </c>
      <c r="I65" s="732"/>
      <c r="J65" s="707">
        <f>H65/DAY(B2)</f>
        <v>370.266363636363</v>
      </c>
      <c r="K65" s="428"/>
      <c r="L65" s="377"/>
      <c r="N65" s="718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1105">
        <f>'10'!F66</f>
        <v>72110</v>
      </c>
      <c r="F66" s="651">
        <v>72541.13</v>
      </c>
      <c r="G66" s="652">
        <f t="shared" si="5"/>
        <v>431.13000000000466</v>
      </c>
      <c r="H66" s="705">
        <f>G66+'10'!H66</f>
        <v>4571.1300000000047</v>
      </c>
      <c r="I66" s="1070"/>
      <c r="J66" s="707">
        <f>H66/DAY(B2)</f>
        <v>415.55727272727313</v>
      </c>
      <c r="K66" s="428"/>
      <c r="L66" s="377"/>
      <c r="N66" s="718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1105">
        <f>'10'!F67</f>
        <v>269697</v>
      </c>
      <c r="F67" s="651">
        <v>270132.69</v>
      </c>
      <c r="G67" s="652">
        <f t="shared" si="5"/>
        <v>435.69000000000233</v>
      </c>
      <c r="H67" s="705">
        <f>G67+'10'!H67</f>
        <v>5173.6900000000023</v>
      </c>
      <c r="I67" s="732"/>
      <c r="J67" s="707">
        <f>H67/DAY(B2)</f>
        <v>470.33545454545475</v>
      </c>
      <c r="K67" s="429"/>
      <c r="L67" s="377"/>
      <c r="N67" s="718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1105">
        <f>'10'!F68</f>
        <v>85321</v>
      </c>
      <c r="F68" s="651">
        <v>85321</v>
      </c>
      <c r="G68" s="652">
        <f t="shared" si="5"/>
        <v>0</v>
      </c>
      <c r="H68" s="705">
        <f>G68+'10'!H68</f>
        <v>0</v>
      </c>
      <c r="I68" s="1418"/>
      <c r="J68" s="707">
        <f>H68/DAY(B2)</f>
        <v>0</v>
      </c>
      <c r="K68" s="430"/>
      <c r="L68" s="377"/>
      <c r="N68" s="718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1105">
        <f>'10'!F69</f>
        <v>90002</v>
      </c>
      <c r="F69" s="651">
        <v>90283</v>
      </c>
      <c r="G69" s="652">
        <f t="shared" si="5"/>
        <v>281</v>
      </c>
      <c r="H69" s="705">
        <f>G69+'10'!H69</f>
        <v>2768</v>
      </c>
      <c r="I69" s="1418"/>
      <c r="J69" s="707">
        <f>H69/DAY(B2)</f>
        <v>251.63636363636363</v>
      </c>
      <c r="K69" s="431"/>
      <c r="L69" s="377"/>
      <c r="N69" s="718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1419"/>
      <c r="F70" s="1419"/>
      <c r="G70" s="1419"/>
      <c r="H70" s="705">
        <f>G70+'10'!H70</f>
        <v>0</v>
      </c>
      <c r="I70" s="1419"/>
      <c r="J70" s="1420">
        <f>H70/DAY(B2)</f>
        <v>0</v>
      </c>
      <c r="K70" s="431"/>
      <c r="L70" s="377"/>
      <c r="N70" s="718"/>
      <c r="P70" s="382"/>
    </row>
    <row r="71" spans="1:16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20">
        <f>'10'!F72</f>
        <v>856340</v>
      </c>
      <c r="F72" s="655">
        <v>856351</v>
      </c>
      <c r="G72" s="652">
        <f t="shared" ref="G72:G84" si="6">F72-E72</f>
        <v>11</v>
      </c>
      <c r="H72" s="705">
        <f>G72+'10'!H72</f>
        <v>129</v>
      </c>
      <c r="I72" s="1070"/>
      <c r="J72" s="707">
        <f>H72/DAY(B2)</f>
        <v>11.727272727272727</v>
      </c>
      <c r="K72" s="431"/>
      <c r="L72" s="377"/>
      <c r="N72" s="718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20">
        <f>'10'!F73</f>
        <v>885985</v>
      </c>
      <c r="F73" s="655">
        <v>885986</v>
      </c>
      <c r="G73" s="652">
        <f t="shared" si="6"/>
        <v>1</v>
      </c>
      <c r="H73" s="705">
        <f>G73+'10'!H73</f>
        <v>14</v>
      </c>
      <c r="I73" s="1070"/>
      <c r="J73" s="707">
        <f>H73/DAY(B2)</f>
        <v>1.2727272727272727</v>
      </c>
      <c r="K73" s="430"/>
      <c r="L73" s="377"/>
      <c r="N73" s="718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20">
        <f>'10'!F74</f>
        <v>88708</v>
      </c>
      <c r="F74" s="655">
        <v>88709.6</v>
      </c>
      <c r="G74" s="652">
        <f t="shared" si="6"/>
        <v>1.6000000000058208</v>
      </c>
      <c r="H74" s="705">
        <f>G74+'10'!H74</f>
        <v>13.600000000005821</v>
      </c>
      <c r="I74" s="1070"/>
      <c r="J74" s="707">
        <f>H74/DAY(B2)</f>
        <v>1.2363636363641655</v>
      </c>
      <c r="K74" s="431"/>
      <c r="L74" s="377"/>
      <c r="N74" s="718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20">
        <f>'10'!F75</f>
        <v>17590</v>
      </c>
      <c r="F75" s="655">
        <v>17740.29</v>
      </c>
      <c r="G75" s="652">
        <f t="shared" si="6"/>
        <v>150.29000000000087</v>
      </c>
      <c r="H75" s="705">
        <f>G75+'10'!H75</f>
        <v>1669.2900000000009</v>
      </c>
      <c r="I75" s="1070"/>
      <c r="J75" s="707">
        <f>H75/DAY(B2)</f>
        <v>151.75363636363645</v>
      </c>
      <c r="K75" s="430"/>
      <c r="L75" s="377"/>
      <c r="N75" s="718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20">
        <f>'10'!F76</f>
        <v>9998</v>
      </c>
      <c r="F76" s="655">
        <v>10058.290000000001</v>
      </c>
      <c r="G76" s="652">
        <f t="shared" si="6"/>
        <v>60.290000000000873</v>
      </c>
      <c r="H76" s="705">
        <f>G76+'10'!H76</f>
        <v>722.29000000000087</v>
      </c>
      <c r="I76" s="1410"/>
      <c r="J76" s="707">
        <f>H76/DAY(B2)</f>
        <v>65.662727272727352</v>
      </c>
      <c r="K76" s="430"/>
      <c r="L76" s="377"/>
      <c r="N76" s="718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20">
        <f>'10'!F77</f>
        <v>705006</v>
      </c>
      <c r="F77" s="655">
        <v>705058</v>
      </c>
      <c r="G77" s="652">
        <f t="shared" si="6"/>
        <v>52</v>
      </c>
      <c r="H77" s="705">
        <f>G77+'10'!H77</f>
        <v>684</v>
      </c>
      <c r="I77" s="1410"/>
      <c r="J77" s="707">
        <f>H77/DAY(B2)</f>
        <v>62.18181818181818</v>
      </c>
      <c r="K77" s="430"/>
      <c r="L77" s="377"/>
      <c r="N77" s="718"/>
      <c r="P77" s="382"/>
    </row>
    <row r="78" spans="1:16" ht="27.75">
      <c r="A78" s="1140" t="s">
        <v>195</v>
      </c>
      <c r="B78" s="1113"/>
      <c r="C78" s="1113"/>
      <c r="D78" s="523" t="s">
        <v>185</v>
      </c>
      <c r="E78" s="520">
        <f>'10'!F78</f>
        <v>676448</v>
      </c>
      <c r="F78" s="655">
        <v>676509</v>
      </c>
      <c r="G78" s="652">
        <f t="shared" si="6"/>
        <v>61</v>
      </c>
      <c r="H78" s="705">
        <f>G78+'10'!H78</f>
        <v>1095</v>
      </c>
      <c r="I78" s="1410"/>
      <c r="J78" s="707">
        <f>H78/DAY(B2)</f>
        <v>99.545454545454547</v>
      </c>
      <c r="K78" s="430"/>
      <c r="L78" s="377"/>
      <c r="N78" s="718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20">
        <f>'10'!F79</f>
        <v>836924</v>
      </c>
      <c r="F79" s="655">
        <v>837068</v>
      </c>
      <c r="G79" s="652">
        <f t="shared" si="6"/>
        <v>144</v>
      </c>
      <c r="H79" s="705">
        <f>G79+'10'!H79</f>
        <v>1652</v>
      </c>
      <c r="I79" s="1410"/>
      <c r="J79" s="707">
        <f>H79/DAY(B2)</f>
        <v>150.18181818181819</v>
      </c>
      <c r="K79" s="430"/>
      <c r="L79" s="377"/>
      <c r="N79" s="718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20">
        <f>'10'!F80</f>
        <v>543101</v>
      </c>
      <c r="F80" s="655">
        <v>543549.16</v>
      </c>
      <c r="G80" s="652">
        <f t="shared" si="6"/>
        <v>448.1600000000326</v>
      </c>
      <c r="H80" s="705">
        <f>G80+'10'!H80</f>
        <v>4536.1600000000326</v>
      </c>
      <c r="I80" s="1410"/>
      <c r="J80" s="707">
        <f>H80/DAY(B2)</f>
        <v>412.37818181818477</v>
      </c>
      <c r="K80" s="430"/>
      <c r="L80" s="377"/>
      <c r="N80" s="718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20">
        <f>'10'!F81</f>
        <v>644878</v>
      </c>
      <c r="F81" s="655">
        <v>645157</v>
      </c>
      <c r="G81" s="652">
        <f t="shared" si="6"/>
        <v>279</v>
      </c>
      <c r="H81" s="705">
        <f>G81+'10'!H81</f>
        <v>2172</v>
      </c>
      <c r="I81" s="1410"/>
      <c r="J81" s="707">
        <f>H81/DAY(B2)</f>
        <v>197.45454545454547</v>
      </c>
      <c r="K81" s="430"/>
      <c r="L81" s="377"/>
      <c r="N81" s="718"/>
      <c r="P81" s="382"/>
    </row>
    <row r="82" spans="1:16" ht="27.75">
      <c r="A82" s="1546" t="s">
        <v>92</v>
      </c>
      <c r="B82" s="1547"/>
      <c r="C82" s="1548"/>
      <c r="D82" s="485" t="s">
        <v>130</v>
      </c>
      <c r="E82" s="520">
        <f>'10'!F82</f>
        <v>108883</v>
      </c>
      <c r="F82" s="651">
        <v>108911.61</v>
      </c>
      <c r="G82" s="652">
        <f t="shared" si="6"/>
        <v>28.610000000000582</v>
      </c>
      <c r="H82" s="705">
        <f>G82+'10'!H82</f>
        <v>230.61000000000058</v>
      </c>
      <c r="I82" s="705"/>
      <c r="J82" s="707">
        <f>H82/DAY(B2)</f>
        <v>20.964545454545508</v>
      </c>
      <c r="K82" s="430"/>
      <c r="L82" s="377"/>
      <c r="N82" s="718"/>
      <c r="P82" s="382"/>
    </row>
    <row r="83" spans="1:16" ht="27.75">
      <c r="A83" s="1546" t="s">
        <v>198</v>
      </c>
      <c r="B83" s="1547"/>
      <c r="C83" s="1548"/>
      <c r="D83" s="620" t="s">
        <v>130</v>
      </c>
      <c r="E83" s="520">
        <f>'10'!F83</f>
        <v>29944</v>
      </c>
      <c r="F83" s="1385">
        <v>30206</v>
      </c>
      <c r="G83" s="652">
        <f t="shared" si="6"/>
        <v>262</v>
      </c>
      <c r="H83" s="705">
        <f>G83+'10'!H83</f>
        <v>2655</v>
      </c>
      <c r="I83" s="652"/>
      <c r="J83" s="707">
        <f>H83/DAY(B2)</f>
        <v>241.36363636363637</v>
      </c>
      <c r="K83" s="429"/>
      <c r="L83" s="377"/>
      <c r="N83" s="718"/>
      <c r="P83" s="382"/>
    </row>
    <row r="84" spans="1:16">
      <c r="A84" s="1141" t="s">
        <v>199</v>
      </c>
      <c r="B84" s="571"/>
      <c r="C84" s="571"/>
      <c r="D84" s="478" t="s">
        <v>130</v>
      </c>
      <c r="E84" s="520">
        <f>'10'!F84</f>
        <v>531279</v>
      </c>
      <c r="F84" s="627">
        <v>532063</v>
      </c>
      <c r="G84" s="652">
        <f t="shared" si="6"/>
        <v>784</v>
      </c>
      <c r="H84" s="705">
        <f>G84+'10'!H84</f>
        <v>8983</v>
      </c>
      <c r="I84" s="652"/>
      <c r="J84" s="707">
        <f>H84/DAY(B2)</f>
        <v>816.63636363636363</v>
      </c>
      <c r="K84" s="380"/>
      <c r="L84" s="377"/>
      <c r="N84" s="718"/>
      <c r="P84" s="382"/>
    </row>
    <row r="85" spans="1:16" s="379" customFormat="1">
      <c r="A85" s="605" t="s">
        <v>200</v>
      </c>
      <c r="B85" s="572"/>
      <c r="C85" s="572"/>
      <c r="D85" s="489"/>
      <c r="E85" s="627"/>
      <c r="F85" s="627"/>
      <c r="G85" s="705">
        <f xml:space="preserve"> SUM(G71:G84)</f>
        <v>2282.9500000000407</v>
      </c>
      <c r="H85" s="705">
        <f>G85+'10'!H85</f>
        <v>24555.950000000041</v>
      </c>
      <c r="I85" s="652"/>
      <c r="J85" s="707">
        <f>H85/DAY(B2)</f>
        <v>2232.3590909090944</v>
      </c>
      <c r="K85" s="380"/>
      <c r="L85" s="378"/>
      <c r="N85" s="718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'10'!F86</f>
        <v>462062</v>
      </c>
      <c r="F86" s="647">
        <v>462111.8</v>
      </c>
      <c r="G86" s="705">
        <f>F86-E86</f>
        <v>49.799999999988358</v>
      </c>
      <c r="H86" s="705">
        <f t="shared" ref="H86:H88" si="7">G86</f>
        <v>49.799999999988358</v>
      </c>
      <c r="I86" s="652"/>
      <c r="J86" s="707">
        <f>H86/DAY(B2)</f>
        <v>4.5272727272716686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'10'!F87</f>
        <v>82366</v>
      </c>
      <c r="F87" s="647">
        <v>82377.3</v>
      </c>
      <c r="G87" s="705">
        <f t="shared" ref="G87:G91" si="8">F87-E87</f>
        <v>11.30000000000291</v>
      </c>
      <c r="H87" s="705">
        <f t="shared" si="7"/>
        <v>11.30000000000291</v>
      </c>
      <c r="I87" s="652"/>
      <c r="J87" s="707">
        <f>H87/DAY(B2)</f>
        <v>1.0272727272729918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'10'!F88</f>
        <v>156490</v>
      </c>
      <c r="F88" s="647">
        <v>156526.41</v>
      </c>
      <c r="G88" s="705">
        <f t="shared" si="8"/>
        <v>36.410000000003492</v>
      </c>
      <c r="H88" s="705">
        <f t="shared" si="7"/>
        <v>36.410000000003492</v>
      </c>
      <c r="I88" s="652"/>
      <c r="J88" s="707">
        <f>H88/DAY(B2)</f>
        <v>3.3100000000003176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'10'!F89</f>
        <v>66344</v>
      </c>
      <c r="F89" s="647">
        <v>66357.600000000006</v>
      </c>
      <c r="G89" s="705">
        <f t="shared" si="8"/>
        <v>13.600000000005821</v>
      </c>
      <c r="H89" s="705">
        <f>G89</f>
        <v>13.600000000005821</v>
      </c>
      <c r="I89" s="652"/>
      <c r="J89" s="707">
        <f>H89/DAY(B2)</f>
        <v>1.2363636363641655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'10'!F90</f>
        <v>3380</v>
      </c>
      <c r="F90" s="647">
        <v>3381.4</v>
      </c>
      <c r="G90" s="705">
        <f t="shared" si="8"/>
        <v>1.4000000000000909</v>
      </c>
      <c r="H90" s="705">
        <f>G90</f>
        <v>1.4000000000000909</v>
      </c>
      <c r="I90" s="652"/>
      <c r="J90" s="707">
        <f>H90/DAY(B2)</f>
        <v>0.12727272727273553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/>
      <c r="E91" s="627">
        <f>'10'!F91</f>
        <v>28331</v>
      </c>
      <c r="F91" s="647">
        <v>28334.9</v>
      </c>
      <c r="G91" s="705">
        <f t="shared" si="8"/>
        <v>3.9000000000014552</v>
      </c>
      <c r="H91" s="705">
        <f>G91</f>
        <v>3.9000000000014552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203</v>
      </c>
      <c r="B92" s="1143"/>
      <c r="C92" s="1143"/>
      <c r="D92" s="472"/>
      <c r="E92" s="627"/>
      <c r="F92" s="627"/>
      <c r="G92" s="749"/>
      <c r="H92" s="627"/>
      <c r="I92" s="627"/>
      <c r="J92" s="1386"/>
      <c r="K92" s="380"/>
      <c r="L92" s="378"/>
      <c r="N92" s="718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541">
        <f>'10'!F93</f>
        <v>248363</v>
      </c>
      <c r="F93" s="651">
        <v>248492</v>
      </c>
      <c r="G93" s="652">
        <f t="shared" ref="G93:G94" si="9">F93-E93</f>
        <v>129</v>
      </c>
      <c r="H93" s="705">
        <f>G93+'10'!H93</f>
        <v>1140</v>
      </c>
      <c r="I93" s="1070"/>
      <c r="J93" s="707">
        <f>H93/DAY(B2)</f>
        <v>103.63636363636364</v>
      </c>
      <c r="K93" s="429"/>
      <c r="L93" s="377"/>
      <c r="N93" s="718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541">
        <f>'10'!F94</f>
        <v>190548</v>
      </c>
      <c r="F94" s="651">
        <v>190711</v>
      </c>
      <c r="G94" s="652">
        <f t="shared" si="9"/>
        <v>163</v>
      </c>
      <c r="H94" s="705">
        <f>G94+'10'!H94</f>
        <v>1257</v>
      </c>
      <c r="I94" s="1070"/>
      <c r="J94" s="707">
        <f>H94/DAY(B2)</f>
        <v>114.27272727272727</v>
      </c>
      <c r="K94" s="380"/>
      <c r="L94" s="377"/>
      <c r="N94" s="718"/>
      <c r="P94" s="382"/>
    </row>
    <row r="95" spans="1:16">
      <c r="A95" s="1594" t="s">
        <v>206</v>
      </c>
      <c r="B95" s="1595"/>
      <c r="C95" s="1596"/>
      <c r="D95" s="523"/>
      <c r="E95" s="541">
        <f>'10'!F95</f>
        <v>0</v>
      </c>
      <c r="F95" s="651"/>
      <c r="G95" s="652">
        <f>G93+G94</f>
        <v>292</v>
      </c>
      <c r="H95" s="705">
        <f>G95+'10'!H95</f>
        <v>2211</v>
      </c>
      <c r="I95" s="1070"/>
      <c r="J95" s="707">
        <f>H95/DAY(B2)</f>
        <v>201</v>
      </c>
      <c r="K95" s="380"/>
      <c r="L95" s="377"/>
      <c r="N95" s="718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541">
        <f>'10'!F96</f>
        <v>416938</v>
      </c>
      <c r="F96" s="651">
        <v>417015</v>
      </c>
      <c r="G96" s="652">
        <f t="shared" ref="G96:G101" si="10">F96-E96</f>
        <v>77</v>
      </c>
      <c r="H96" s="705">
        <f>G96+'10'!H96</f>
        <v>1016</v>
      </c>
      <c r="I96" s="1070"/>
      <c r="J96" s="707">
        <f>H96/DAY(B2)</f>
        <v>92.36363636363636</v>
      </c>
      <c r="K96" s="380"/>
      <c r="L96" s="377"/>
      <c r="N96" s="718"/>
      <c r="P96" s="382"/>
    </row>
    <row r="97" spans="1:16" ht="27.75">
      <c r="A97" s="1137" t="s">
        <v>208</v>
      </c>
      <c r="B97" s="1138"/>
      <c r="C97" s="1138"/>
      <c r="D97" s="523" t="s">
        <v>142</v>
      </c>
      <c r="E97" s="541">
        <f>'10'!F97</f>
        <v>103371</v>
      </c>
      <c r="F97" s="651">
        <v>103403</v>
      </c>
      <c r="G97" s="652">
        <f t="shared" si="10"/>
        <v>32</v>
      </c>
      <c r="H97" s="705">
        <f>G97+'10'!H97</f>
        <v>240</v>
      </c>
      <c r="I97" s="1070"/>
      <c r="J97" s="707">
        <f>H97/DAY(B2)</f>
        <v>21.818181818181817</v>
      </c>
      <c r="K97" s="427"/>
      <c r="L97" s="377"/>
      <c r="N97" s="718"/>
      <c r="P97" s="382"/>
    </row>
    <row r="98" spans="1:16" ht="27.75">
      <c r="A98" s="1137" t="s">
        <v>209</v>
      </c>
      <c r="B98" s="1138"/>
      <c r="C98" s="1138"/>
      <c r="D98" s="523" t="s">
        <v>142</v>
      </c>
      <c r="E98" s="541">
        <f>'10'!F98</f>
        <v>98901</v>
      </c>
      <c r="F98" s="651">
        <v>98942</v>
      </c>
      <c r="G98" s="652">
        <f t="shared" si="10"/>
        <v>41</v>
      </c>
      <c r="H98" s="705">
        <f>G98+'10'!H98</f>
        <v>285</v>
      </c>
      <c r="I98" s="1070"/>
      <c r="J98" s="707">
        <f>H98/DAY(B2)</f>
        <v>25.90909090909091</v>
      </c>
      <c r="K98" s="432"/>
      <c r="L98" s="377"/>
      <c r="N98" s="718"/>
      <c r="P98" s="382"/>
    </row>
    <row r="99" spans="1:16" ht="27.75">
      <c r="A99" s="1137" t="s">
        <v>210</v>
      </c>
      <c r="B99" s="1138"/>
      <c r="C99" s="1138"/>
      <c r="D99" s="523" t="s">
        <v>142</v>
      </c>
      <c r="E99" s="541">
        <f>'10'!F99</f>
        <v>150709</v>
      </c>
      <c r="F99" s="651">
        <v>150726</v>
      </c>
      <c r="G99" s="652">
        <f t="shared" si="10"/>
        <v>17</v>
      </c>
      <c r="H99" s="705">
        <f>G99+'10'!H99</f>
        <v>321</v>
      </c>
      <c r="I99" s="1070"/>
      <c r="J99" s="707">
        <f>H99/DAY(B2)</f>
        <v>29.181818181818183</v>
      </c>
      <c r="K99" s="380"/>
      <c r="L99" s="377"/>
      <c r="N99" s="720"/>
      <c r="P99" s="382"/>
    </row>
    <row r="100" spans="1:16" ht="27.75">
      <c r="A100" s="1137" t="s">
        <v>211</v>
      </c>
      <c r="B100" s="1138"/>
      <c r="C100" s="1138"/>
      <c r="D100" s="523" t="s">
        <v>142</v>
      </c>
      <c r="E100" s="541">
        <f>'10'!F100</f>
        <v>7901</v>
      </c>
      <c r="F100" s="651">
        <v>7916</v>
      </c>
      <c r="G100" s="652">
        <f t="shared" si="10"/>
        <v>15</v>
      </c>
      <c r="H100" s="705">
        <f>G100+'10'!H100</f>
        <v>119</v>
      </c>
      <c r="I100" s="1070"/>
      <c r="J100" s="707">
        <f>H100/DAY(B2)</f>
        <v>10.818181818181818</v>
      </c>
      <c r="K100" s="380"/>
      <c r="L100" s="377"/>
      <c r="N100" s="718"/>
      <c r="P100" s="382"/>
    </row>
    <row r="101" spans="1:16" ht="27.75">
      <c r="A101" s="1137" t="s">
        <v>212</v>
      </c>
      <c r="B101" s="1138"/>
      <c r="C101" s="1138"/>
      <c r="D101" s="523" t="s">
        <v>142</v>
      </c>
      <c r="E101" s="541">
        <f>'10'!F101</f>
        <v>5773</v>
      </c>
      <c r="F101" s="651">
        <v>5785</v>
      </c>
      <c r="G101" s="652">
        <f t="shared" si="10"/>
        <v>12</v>
      </c>
      <c r="H101" s="705">
        <f>G101+'10'!H101</f>
        <v>111</v>
      </c>
      <c r="I101" s="1070"/>
      <c r="J101" s="707">
        <f>H101/DAY(B2)</f>
        <v>10.090909090909092</v>
      </c>
      <c r="K101" s="380"/>
      <c r="L101" s="377"/>
      <c r="N101" s="718"/>
      <c r="P101" s="382"/>
    </row>
    <row r="102" spans="1:16">
      <c r="A102" s="1594" t="s">
        <v>214</v>
      </c>
      <c r="B102" s="1595"/>
      <c r="C102" s="1596"/>
      <c r="D102" s="524"/>
      <c r="E102" s="541"/>
      <c r="F102" s="627"/>
      <c r="G102" s="749">
        <f>SUM(G96:G101)</f>
        <v>194</v>
      </c>
      <c r="H102" s="705">
        <f>G102+'10'!H102</f>
        <v>2092</v>
      </c>
      <c r="I102" s="1421"/>
      <c r="J102" s="707">
        <f>H102/DAY(B2)</f>
        <v>190.18181818181819</v>
      </c>
      <c r="K102" s="380"/>
      <c r="L102" s="377"/>
      <c r="N102" s="718"/>
      <c r="P102" s="382"/>
    </row>
    <row r="103" spans="1:16" s="442" customFormat="1" ht="27">
      <c r="A103" s="607" t="s">
        <v>215</v>
      </c>
      <c r="B103" s="608"/>
      <c r="C103" s="608"/>
      <c r="D103" s="621"/>
      <c r="E103" s="541"/>
      <c r="F103" s="1422"/>
      <c r="G103" s="1423"/>
      <c r="H103" s="1424"/>
      <c r="I103" s="1425"/>
      <c r="J103" s="1426"/>
      <c r="N103" s="718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541"/>
      <c r="F104" s="659"/>
      <c r="G104" s="534"/>
      <c r="H104" s="536"/>
      <c r="I104" s="534"/>
      <c r="J104" s="559"/>
      <c r="N104" s="718"/>
      <c r="P104" s="382"/>
    </row>
    <row r="105" spans="1:16" s="442" customFormat="1" ht="27.75">
      <c r="A105" s="1554" t="s">
        <v>217</v>
      </c>
      <c r="B105" s="1555"/>
      <c r="C105" s="1136"/>
      <c r="D105" s="622" t="s">
        <v>142</v>
      </c>
      <c r="E105" s="541">
        <f>'10'!F105</f>
        <v>7767</v>
      </c>
      <c r="F105" s="659">
        <v>7767</v>
      </c>
      <c r="G105" s="534">
        <f>F105-E105</f>
        <v>0</v>
      </c>
      <c r="H105" s="536">
        <f>SUM(G105+'1'!G76)</f>
        <v>69.3799999999992</v>
      </c>
      <c r="I105" s="534"/>
      <c r="J105" s="559">
        <f>H105/DAY(B2)</f>
        <v>6.3072727272726548</v>
      </c>
      <c r="N105" s="718"/>
      <c r="P105" s="382"/>
    </row>
    <row r="106" spans="1:16" s="442" customFormat="1" ht="27.75">
      <c r="A106" s="1554" t="s">
        <v>76</v>
      </c>
      <c r="B106" s="1555"/>
      <c r="C106" s="1136"/>
      <c r="D106" s="622" t="s">
        <v>142</v>
      </c>
      <c r="E106" s="541">
        <f>'10'!F106</f>
        <v>36243</v>
      </c>
      <c r="F106" s="659">
        <v>36255</v>
      </c>
      <c r="G106" s="534">
        <f t="shared" ref="G106:G107" si="11">F106-E106</f>
        <v>12</v>
      </c>
      <c r="H106" s="536">
        <f>SUM(G106+'1'!G77)</f>
        <v>65</v>
      </c>
      <c r="I106" s="534"/>
      <c r="J106" s="559">
        <f>H106/DAY(B2)</f>
        <v>5.9090909090909092</v>
      </c>
      <c r="N106" s="718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541">
        <f>'10'!F107</f>
        <v>19864</v>
      </c>
      <c r="F107" s="659">
        <v>19869</v>
      </c>
      <c r="G107" s="534">
        <f t="shared" si="11"/>
        <v>5</v>
      </c>
      <c r="H107" s="536">
        <f>SUM(G107+'1'!G78)</f>
        <v>119</v>
      </c>
      <c r="I107" s="534"/>
      <c r="J107" s="559">
        <f>H107/DAY(B2)</f>
        <v>10.818181818181818</v>
      </c>
      <c r="N107" s="718"/>
      <c r="P107" s="382"/>
    </row>
    <row r="108" spans="1:16" s="442" customFormat="1" ht="27.75">
      <c r="A108" s="1556" t="s">
        <v>200</v>
      </c>
      <c r="B108" s="1557"/>
      <c r="C108" s="1136"/>
      <c r="D108" s="622"/>
      <c r="E108" s="541"/>
      <c r="F108" s="659"/>
      <c r="G108" s="534">
        <f>SUM(G105:G107)</f>
        <v>17</v>
      </c>
      <c r="H108" s="536">
        <f>SUM(G108+'1'!G79)</f>
        <v>170</v>
      </c>
      <c r="I108" s="534"/>
      <c r="J108" s="559">
        <f>H108/DAY(B2)</f>
        <v>15.454545454545455</v>
      </c>
      <c r="N108" s="718"/>
      <c r="P108" s="382"/>
    </row>
    <row r="109" spans="1:16" s="442" customFormat="1" ht="27.75">
      <c r="A109" s="1560" t="s">
        <v>78</v>
      </c>
      <c r="B109" s="1561"/>
      <c r="C109" s="1136"/>
      <c r="D109" s="622" t="s">
        <v>142</v>
      </c>
      <c r="E109" s="541"/>
      <c r="F109" s="659"/>
      <c r="G109" s="534"/>
      <c r="H109" s="536"/>
      <c r="I109" s="534"/>
      <c r="J109" s="559"/>
      <c r="N109" s="718"/>
      <c r="P109" s="382"/>
    </row>
    <row r="110" spans="1:16" s="442" customFormat="1" ht="27.75">
      <c r="A110" s="1554" t="s">
        <v>218</v>
      </c>
      <c r="B110" s="1555"/>
      <c r="C110" s="1136"/>
      <c r="D110" s="622" t="s">
        <v>142</v>
      </c>
      <c r="E110" s="541">
        <f>'10'!F110</f>
        <v>65649</v>
      </c>
      <c r="F110" s="659">
        <v>65714</v>
      </c>
      <c r="G110" s="534">
        <f>F110-E110</f>
        <v>65</v>
      </c>
      <c r="H110" s="536">
        <f>SUM(G110+'1'!G81)</f>
        <v>196.64000000001397</v>
      </c>
      <c r="I110" s="534"/>
      <c r="J110" s="559">
        <f>H110/DAY(B2)</f>
        <v>17.876363636364907</v>
      </c>
      <c r="N110" s="718"/>
      <c r="P110" s="382"/>
    </row>
    <row r="111" spans="1:16" s="442" customFormat="1" ht="27.75">
      <c r="A111" s="1554" t="s">
        <v>219</v>
      </c>
      <c r="B111" s="1555"/>
      <c r="C111" s="1136"/>
      <c r="D111" s="622" t="s">
        <v>142</v>
      </c>
      <c r="E111" s="541">
        <f>'10'!F111</f>
        <v>33435</v>
      </c>
      <c r="F111" s="659">
        <v>33459</v>
      </c>
      <c r="G111" s="534">
        <f t="shared" ref="G111:G112" si="12">F111-E111</f>
        <v>24</v>
      </c>
      <c r="H111" s="536">
        <f>SUM(G111+'1'!G82)</f>
        <v>48.899999999994179</v>
      </c>
      <c r="I111" s="534"/>
      <c r="J111" s="559">
        <f>H111/DAY(B2)</f>
        <v>4.445454545454016</v>
      </c>
      <c r="N111" s="718"/>
      <c r="P111" s="382"/>
    </row>
    <row r="112" spans="1:16" s="442" customFormat="1" ht="27.75">
      <c r="A112" s="1554" t="s">
        <v>220</v>
      </c>
      <c r="B112" s="1555"/>
      <c r="C112" s="1136"/>
      <c r="D112" s="622" t="s">
        <v>142</v>
      </c>
      <c r="E112" s="541">
        <f>'10'!F112</f>
        <v>4621.3</v>
      </c>
      <c r="F112" s="659">
        <v>4621.3</v>
      </c>
      <c r="G112" s="534">
        <f t="shared" si="12"/>
        <v>0</v>
      </c>
      <c r="H112" s="536">
        <f>SUM(G112+'1'!G83)</f>
        <v>351</v>
      </c>
      <c r="I112" s="534"/>
      <c r="J112" s="559">
        <f>H112/DAY(B2)</f>
        <v>31.90909090909091</v>
      </c>
      <c r="N112" s="718"/>
      <c r="P112" s="382"/>
    </row>
    <row r="113" spans="1:16" s="442" customFormat="1" ht="27.75">
      <c r="A113" s="1556" t="s">
        <v>109</v>
      </c>
      <c r="B113" s="1557"/>
      <c r="C113" s="1136"/>
      <c r="D113" s="622"/>
      <c r="E113" s="541"/>
      <c r="F113" s="659"/>
      <c r="G113" s="534">
        <f>SUM(G110:G112)</f>
        <v>89</v>
      </c>
      <c r="H113" s="536">
        <f>SUM(G113+'1'!G84)</f>
        <v>905</v>
      </c>
      <c r="I113" s="534"/>
      <c r="J113" s="559">
        <f>H113/DAY(B2)</f>
        <v>82.272727272727266</v>
      </c>
      <c r="N113" s="718"/>
      <c r="P113" s="382"/>
    </row>
    <row r="114" spans="1:16" s="442" customFormat="1" ht="27.75">
      <c r="A114" s="1560" t="s">
        <v>221</v>
      </c>
      <c r="B114" s="1561"/>
      <c r="C114" s="1136"/>
      <c r="D114" s="622"/>
      <c r="E114" s="541"/>
      <c r="F114" s="659"/>
      <c r="G114" s="534"/>
      <c r="H114" s="536"/>
      <c r="I114" s="534"/>
      <c r="J114" s="559">
        <f>H114/DAY(B2)</f>
        <v>0</v>
      </c>
      <c r="N114" s="718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541">
        <f>'10'!F115</f>
        <v>12146</v>
      </c>
      <c r="F115" s="659">
        <v>12163</v>
      </c>
      <c r="G115" s="534">
        <f>F115-E115</f>
        <v>17</v>
      </c>
      <c r="H115" s="536">
        <f>SUM(G115+'1'!G92)</f>
        <v>17</v>
      </c>
      <c r="I115" s="534"/>
      <c r="J115" s="559">
        <f>H115/DAY(B2)</f>
        <v>1.5454545454545454</v>
      </c>
      <c r="N115" s="718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541">
        <f>'10'!F116</f>
        <v>8639</v>
      </c>
      <c r="F116" s="659">
        <v>8648</v>
      </c>
      <c r="G116" s="534">
        <f t="shared" ref="G116:G117" si="13">F116-E116</f>
        <v>9</v>
      </c>
      <c r="H116" s="536">
        <f>SUM(G116+'1'!G93)</f>
        <v>98</v>
      </c>
      <c r="I116" s="534"/>
      <c r="J116" s="559">
        <f>H116/DAY(B2)</f>
        <v>8.9090909090909083</v>
      </c>
      <c r="N116" s="718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536">
        <f>SUM(G117+'1'!G94)</f>
        <v>97</v>
      </c>
      <c r="I117" s="534"/>
      <c r="J117" s="559">
        <f>H117/DAY(B2)</f>
        <v>8.8181818181818183</v>
      </c>
      <c r="N117" s="718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26</v>
      </c>
      <c r="H118" s="536">
        <f>SUM(G118+'1'!G96)</f>
        <v>112</v>
      </c>
      <c r="I118" s="534"/>
      <c r="J118" s="559">
        <f>H118/DAY(B2)</f>
        <v>10.181818181818182</v>
      </c>
      <c r="N118" s="718"/>
      <c r="P118" s="382"/>
    </row>
    <row r="119" spans="1:16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189</v>
      </c>
      <c r="G119" s="536">
        <f>SUM(G19+G93)</f>
        <v>189</v>
      </c>
      <c r="H119" s="536">
        <f>SUM(G119+'1'!G97)</f>
        <v>206</v>
      </c>
      <c r="I119" s="535"/>
      <c r="J119" s="559">
        <f>H119/DAY(B2)</f>
        <v>18.727272727272727</v>
      </c>
      <c r="N119" s="718"/>
      <c r="P119" s="382"/>
    </row>
    <row r="120" spans="1:16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177</v>
      </c>
      <c r="G120" s="536">
        <f>SUM(G96,G97,G98,G100,G101)</f>
        <v>177</v>
      </c>
      <c r="H120" s="536">
        <f>SUM(G120+'1'!G99)</f>
        <v>227</v>
      </c>
      <c r="I120" s="535"/>
      <c r="J120" s="559">
        <f>H120/DAY(B2)</f>
        <v>20.636363636363637</v>
      </c>
      <c r="N120" s="718"/>
      <c r="P120" s="382"/>
    </row>
    <row r="121" spans="1:16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89</v>
      </c>
      <c r="G121" s="534">
        <f>SUM(G113)</f>
        <v>89</v>
      </c>
      <c r="H121" s="536">
        <f>SUM(G121+'1'!G101)</f>
        <v>94</v>
      </c>
      <c r="I121" s="535"/>
      <c r="J121" s="559">
        <f>H121/DAY(B2)</f>
        <v>8.545454545454545</v>
      </c>
      <c r="N121" s="718"/>
      <c r="P121" s="382"/>
    </row>
    <row r="122" spans="1:16" s="442" customFormat="1" ht="27.75">
      <c r="A122" s="1552"/>
      <c r="B122" s="1553"/>
      <c r="C122" s="1135"/>
      <c r="D122" s="560"/>
      <c r="E122" s="1427"/>
      <c r="F122" s="1428" t="s">
        <v>213</v>
      </c>
      <c r="G122" s="1427"/>
      <c r="H122" s="1429"/>
      <c r="I122" s="1427"/>
      <c r="J122" s="1430"/>
      <c r="N122" s="718"/>
      <c r="P122" s="382"/>
    </row>
    <row r="123" spans="1:16">
      <c r="A123" s="1591" t="s">
        <v>228</v>
      </c>
      <c r="B123" s="1592"/>
      <c r="C123" s="1593"/>
      <c r="D123" s="472"/>
      <c r="E123" s="627"/>
      <c r="F123" s="627"/>
      <c r="G123" s="647"/>
      <c r="H123" s="647"/>
      <c r="I123" s="647"/>
      <c r="J123" s="1431"/>
      <c r="K123" s="380"/>
      <c r="L123" s="377"/>
      <c r="N123" s="718"/>
      <c r="P123" s="382"/>
    </row>
    <row r="124" spans="1:16" ht="27.75">
      <c r="A124" s="1137" t="s">
        <v>229</v>
      </c>
      <c r="B124" s="1138"/>
      <c r="C124" s="1138"/>
      <c r="D124" s="523" t="s">
        <v>139</v>
      </c>
      <c r="E124" s="651">
        <f>'10'!F124</f>
        <v>842406</v>
      </c>
      <c r="F124" s="651">
        <v>842701.88</v>
      </c>
      <c r="G124" s="652">
        <f t="shared" ref="G124:G128" si="14">F124-E124</f>
        <v>295.88000000000466</v>
      </c>
      <c r="H124" s="705">
        <f>G124+'10'!H124</f>
        <v>3031.8800000000047</v>
      </c>
      <c r="I124" s="1421"/>
      <c r="J124" s="707">
        <f>H124/DAY(B2)</f>
        <v>275.62545454545494</v>
      </c>
      <c r="K124" s="380"/>
      <c r="L124" s="377"/>
      <c r="N124" s="718"/>
      <c r="P124" s="382"/>
    </row>
    <row r="125" spans="1:16" ht="27.75">
      <c r="A125" s="1137" t="s">
        <v>230</v>
      </c>
      <c r="B125" s="1138"/>
      <c r="C125" s="1138"/>
      <c r="D125" s="523" t="s">
        <v>139</v>
      </c>
      <c r="E125" s="651">
        <f>'10'!F125</f>
        <v>73583.399999999994</v>
      </c>
      <c r="F125" s="651">
        <v>73583.399999999994</v>
      </c>
      <c r="G125" s="652">
        <f t="shared" si="14"/>
        <v>0</v>
      </c>
      <c r="H125" s="705">
        <f>G125+'10'!H125</f>
        <v>0</v>
      </c>
      <c r="I125" s="1421"/>
      <c r="J125" s="707">
        <f>H125/DAY(B2)</f>
        <v>0</v>
      </c>
      <c r="K125" s="380"/>
      <c r="L125" s="377"/>
      <c r="N125" s="718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651">
        <f>'10'!F126</f>
        <v>149442</v>
      </c>
      <c r="F126" s="651">
        <v>149531.91</v>
      </c>
      <c r="G126" s="652">
        <f t="shared" si="14"/>
        <v>89.910000000003492</v>
      </c>
      <c r="H126" s="705">
        <f>G126+'10'!H126</f>
        <v>934.91000000000349</v>
      </c>
      <c r="I126" s="1421"/>
      <c r="J126" s="707">
        <f>H126/DAY(B2)</f>
        <v>84.991818181818502</v>
      </c>
      <c r="K126" s="380"/>
      <c r="L126" s="377"/>
      <c r="N126" s="718"/>
      <c r="P126" s="382"/>
    </row>
    <row r="127" spans="1:16" ht="27.75">
      <c r="A127" s="609" t="s">
        <v>232</v>
      </c>
      <c r="B127" s="1138"/>
      <c r="C127" s="1138"/>
      <c r="D127" s="523" t="s">
        <v>139</v>
      </c>
      <c r="E127" s="651">
        <f>'10'!F127</f>
        <v>32436</v>
      </c>
      <c r="F127" s="651">
        <v>32482.799999999999</v>
      </c>
      <c r="G127" s="652">
        <f t="shared" si="14"/>
        <v>46.799999999999272</v>
      </c>
      <c r="H127" s="705">
        <f>G127+'10'!H127</f>
        <v>411.79999999999927</v>
      </c>
      <c r="I127" s="1421"/>
      <c r="J127" s="707">
        <f>H127/DAY(B2)</f>
        <v>37.436363636363573</v>
      </c>
      <c r="K127" s="380"/>
      <c r="L127" s="377"/>
      <c r="N127" s="718"/>
      <c r="P127" s="382"/>
    </row>
    <row r="128" spans="1:16" ht="27.75">
      <c r="A128" s="609" t="s">
        <v>233</v>
      </c>
      <c r="B128" s="1138"/>
      <c r="C128" s="1138"/>
      <c r="D128" s="523" t="s">
        <v>139</v>
      </c>
      <c r="E128" s="651">
        <f>'10'!F128</f>
        <v>9042</v>
      </c>
      <c r="F128" s="651">
        <v>9046.7000000000007</v>
      </c>
      <c r="G128" s="652">
        <f t="shared" si="14"/>
        <v>4.7000000000007276</v>
      </c>
      <c r="H128" s="705">
        <f>G128+'10'!H128</f>
        <v>34.700000000000728</v>
      </c>
      <c r="I128" s="1070"/>
      <c r="J128" s="707">
        <f>H128/DAY(B2)</f>
        <v>3.1545454545455205</v>
      </c>
      <c r="K128" s="380"/>
      <c r="L128" s="377"/>
      <c r="N128" s="718"/>
      <c r="P128" s="382"/>
    </row>
    <row r="129" spans="1:16" s="281" customFormat="1" ht="27.75">
      <c r="A129" s="609" t="s">
        <v>234</v>
      </c>
      <c r="B129" s="1138"/>
      <c r="C129" s="1138"/>
      <c r="D129" s="523"/>
      <c r="E129" s="651"/>
      <c r="F129" s="651"/>
      <c r="G129" s="652">
        <f>G15-SUM(G124:G128)</f>
        <v>549.11999999990803</v>
      </c>
      <c r="H129" s="705"/>
      <c r="I129" s="1070"/>
      <c r="J129" s="707"/>
      <c r="K129" s="364"/>
      <c r="L129" s="292"/>
      <c r="N129" s="718"/>
      <c r="P129" s="382"/>
    </row>
    <row r="130" spans="1:16">
      <c r="A130" s="610" t="s">
        <v>235</v>
      </c>
      <c r="B130" s="458"/>
      <c r="C130" s="458"/>
      <c r="D130" s="471"/>
      <c r="E130" s="1385"/>
      <c r="F130" s="1385"/>
      <c r="G130" s="1432"/>
      <c r="H130" s="1432"/>
      <c r="I130" s="1432"/>
      <c r="J130" s="1433"/>
      <c r="N130" s="718"/>
      <c r="P130" s="382"/>
    </row>
    <row r="131" spans="1:16" ht="27.75">
      <c r="A131" s="1137" t="s">
        <v>236</v>
      </c>
      <c r="B131" s="1138"/>
      <c r="C131" s="1138"/>
      <c r="D131" s="523" t="s">
        <v>237</v>
      </c>
      <c r="E131" s="541">
        <f>'10'!F131</f>
        <v>0</v>
      </c>
      <c r="F131" s="651">
        <v>0</v>
      </c>
      <c r="G131" s="652">
        <f t="shared" ref="G131:G141" si="15">F131-E131</f>
        <v>0</v>
      </c>
      <c r="H131" s="705">
        <f>G131+'10'!H131</f>
        <v>0</v>
      </c>
      <c r="I131" s="1070"/>
      <c r="J131" s="707">
        <f>H131/DAY(B2)</f>
        <v>0</v>
      </c>
      <c r="N131" s="718"/>
      <c r="P131" s="382"/>
    </row>
    <row r="132" spans="1:16" ht="27.75">
      <c r="A132" s="1137" t="s">
        <v>238</v>
      </c>
      <c r="B132" s="1138"/>
      <c r="C132" s="1138"/>
      <c r="D132" s="523" t="s">
        <v>237</v>
      </c>
      <c r="E132" s="541">
        <f>'10'!F132</f>
        <v>0</v>
      </c>
      <c r="F132" s="651">
        <v>0</v>
      </c>
      <c r="G132" s="652">
        <f t="shared" si="15"/>
        <v>0</v>
      </c>
      <c r="H132" s="705">
        <f>G132+'10'!H132</f>
        <v>0</v>
      </c>
      <c r="I132" s="1070"/>
      <c r="J132" s="707">
        <f>H132/DAY(B2)</f>
        <v>0</v>
      </c>
      <c r="N132" s="718"/>
      <c r="P132" s="382"/>
    </row>
    <row r="133" spans="1:16" ht="27.75">
      <c r="A133" s="1137" t="s">
        <v>239</v>
      </c>
      <c r="B133" s="1138"/>
      <c r="C133" s="1138"/>
      <c r="D133" s="523" t="s">
        <v>237</v>
      </c>
      <c r="E133" s="541">
        <f>'10'!F133</f>
        <v>40597</v>
      </c>
      <c r="F133" s="651">
        <v>40605.550000000003</v>
      </c>
      <c r="G133" s="652">
        <f t="shared" si="15"/>
        <v>8.5500000000029104</v>
      </c>
      <c r="H133" s="705">
        <f>G133+'10'!H133</f>
        <v>152.55000000000291</v>
      </c>
      <c r="I133" s="1070"/>
      <c r="J133" s="707">
        <f>H133/DAY(B2)</f>
        <v>13.868181818182082</v>
      </c>
      <c r="N133" s="718"/>
      <c r="P133" s="382"/>
    </row>
    <row r="134" spans="1:16" ht="27.75">
      <c r="A134" s="1137" t="s">
        <v>240</v>
      </c>
      <c r="B134" s="1138"/>
      <c r="C134" s="1138"/>
      <c r="D134" s="523" t="s">
        <v>237</v>
      </c>
      <c r="E134" s="541">
        <f>'10'!F134</f>
        <v>300</v>
      </c>
      <c r="F134" s="651">
        <v>300</v>
      </c>
      <c r="G134" s="652">
        <f t="shared" si="15"/>
        <v>0</v>
      </c>
      <c r="H134" s="705">
        <f>G134+'10'!H134</f>
        <v>0</v>
      </c>
      <c r="I134" s="1070">
        <f>G131+G132+G133+G134</f>
        <v>8.5500000000029104</v>
      </c>
      <c r="J134" s="707">
        <f>H134/DAY(B2)</f>
        <v>0</v>
      </c>
      <c r="N134" s="718"/>
      <c r="P134" s="382"/>
    </row>
    <row r="135" spans="1:16" ht="27.75">
      <c r="A135" s="1137" t="s">
        <v>241</v>
      </c>
      <c r="B135" s="1138"/>
      <c r="C135" s="1138"/>
      <c r="D135" s="523" t="s">
        <v>237</v>
      </c>
      <c r="E135" s="541">
        <f>'10'!F135</f>
        <v>42127</v>
      </c>
      <c r="F135" s="651">
        <v>42151.42</v>
      </c>
      <c r="G135" s="652">
        <f t="shared" si="15"/>
        <v>24.419999999998254</v>
      </c>
      <c r="H135" s="705">
        <f>G135+'10'!H135</f>
        <v>179.41999999999825</v>
      </c>
      <c r="I135" s="1070"/>
      <c r="J135" s="707">
        <f>H135/DAY(B2)</f>
        <v>16.310909090908932</v>
      </c>
      <c r="N135" s="718"/>
      <c r="P135" s="382"/>
    </row>
    <row r="136" spans="1:16" ht="27.75">
      <c r="A136" s="1137" t="s">
        <v>242</v>
      </c>
      <c r="B136" s="1138"/>
      <c r="C136" s="1138"/>
      <c r="D136" s="523" t="s">
        <v>237</v>
      </c>
      <c r="E136" s="541">
        <f>'10'!F136</f>
        <v>32874.050000000003</v>
      </c>
      <c r="F136" s="651">
        <v>32874.050000000003</v>
      </c>
      <c r="G136" s="652">
        <f t="shared" si="15"/>
        <v>0</v>
      </c>
      <c r="H136" s="705">
        <f>G136+'10'!H136</f>
        <v>5.0000000002910383E-2</v>
      </c>
      <c r="I136" s="1070"/>
      <c r="J136" s="707">
        <f>H136/DAY(B2)</f>
        <v>4.5454545457191261E-3</v>
      </c>
      <c r="N136" s="718"/>
      <c r="P136" s="382"/>
    </row>
    <row r="137" spans="1:16" ht="27.75">
      <c r="A137" s="1137" t="s">
        <v>243</v>
      </c>
      <c r="B137" s="1138"/>
      <c r="C137" s="1138"/>
      <c r="D137" s="523" t="s">
        <v>237</v>
      </c>
      <c r="E137" s="541">
        <f>'10'!F137</f>
        <v>22956.86</v>
      </c>
      <c r="F137" s="651">
        <v>22963.85</v>
      </c>
      <c r="G137" s="652">
        <f t="shared" si="15"/>
        <v>6.9899999999979627</v>
      </c>
      <c r="H137" s="705">
        <f>G137+'10'!H137</f>
        <v>72.359999999996944</v>
      </c>
      <c r="I137" s="1070">
        <f>G135+G136+G137</f>
        <v>31.409999999996217</v>
      </c>
      <c r="J137" s="707">
        <f>H137/DAY(B2)</f>
        <v>6.5781818181815401</v>
      </c>
      <c r="N137" s="718"/>
      <c r="P137" s="382"/>
    </row>
    <row r="138" spans="1:16" ht="27.75">
      <c r="A138" s="1137" t="s">
        <v>244</v>
      </c>
      <c r="B138" s="1138"/>
      <c r="C138" s="1138"/>
      <c r="D138" s="523" t="s">
        <v>237</v>
      </c>
      <c r="E138" s="541">
        <f>'10'!F138</f>
        <v>25095.200000000001</v>
      </c>
      <c r="F138" s="651">
        <v>25099.16</v>
      </c>
      <c r="G138" s="652">
        <f t="shared" si="15"/>
        <v>3.9599999999991269</v>
      </c>
      <c r="H138" s="705">
        <f>G138+'10'!H138</f>
        <v>7.7700000000004366</v>
      </c>
      <c r="I138" s="1070"/>
      <c r="J138" s="707">
        <f>H138/DAY(B2)</f>
        <v>0.70636363636367605</v>
      </c>
      <c r="N138" s="718"/>
      <c r="P138" s="382"/>
    </row>
    <row r="139" spans="1:16" ht="27.75">
      <c r="A139" s="1137" t="s">
        <v>245</v>
      </c>
      <c r="B139" s="1138"/>
      <c r="C139" s="1138"/>
      <c r="D139" s="523" t="s">
        <v>237</v>
      </c>
      <c r="E139" s="541">
        <f>'10'!F139</f>
        <v>70514.289999999994</v>
      </c>
      <c r="F139" s="651">
        <v>70514.289999999994</v>
      </c>
      <c r="G139" s="652">
        <f t="shared" si="15"/>
        <v>0</v>
      </c>
      <c r="H139" s="705">
        <f>G139+'10'!H139</f>
        <v>0.66999999999825377</v>
      </c>
      <c r="I139" s="1070">
        <f>G138+G139</f>
        <v>3.9599999999991269</v>
      </c>
      <c r="J139" s="707">
        <f>H139/DAY(B2)</f>
        <v>6.0909090908932158E-2</v>
      </c>
      <c r="N139" s="718"/>
      <c r="P139" s="382"/>
    </row>
    <row r="140" spans="1:16" ht="27.75">
      <c r="A140" s="1137" t="s">
        <v>246</v>
      </c>
      <c r="B140" s="1138"/>
      <c r="C140" s="1138"/>
      <c r="D140" s="523" t="s">
        <v>237</v>
      </c>
      <c r="E140" s="541">
        <f>'10'!F140</f>
        <v>2230.46</v>
      </c>
      <c r="F140" s="651">
        <v>2241.3000000000002</v>
      </c>
      <c r="G140" s="652">
        <f t="shared" si="15"/>
        <v>10.840000000000146</v>
      </c>
      <c r="H140" s="705">
        <f>G140+'10'!H140</f>
        <v>112.12000000000035</v>
      </c>
      <c r="I140" s="535"/>
      <c r="J140" s="707">
        <f>H140/DAY(B2)</f>
        <v>10.192727272727304</v>
      </c>
      <c r="N140" s="718"/>
      <c r="P140" s="382"/>
    </row>
    <row r="141" spans="1:16" ht="27.75">
      <c r="A141" s="1137" t="s">
        <v>247</v>
      </c>
      <c r="B141" s="1138"/>
      <c r="C141" s="1138"/>
      <c r="D141" s="523" t="s">
        <v>237</v>
      </c>
      <c r="E141" s="541">
        <f>'10'!F141</f>
        <v>4636.88</v>
      </c>
      <c r="F141" s="651">
        <v>4636.88</v>
      </c>
      <c r="G141" s="652">
        <f t="shared" si="15"/>
        <v>0</v>
      </c>
      <c r="H141" s="705">
        <f>G141+'10'!H141</f>
        <v>-0.11999999999989086</v>
      </c>
      <c r="I141" s="535"/>
      <c r="J141" s="707">
        <f>H141/DAY(B2)</f>
        <v>-1.0909090909080987E-2</v>
      </c>
      <c r="N141" s="718"/>
      <c r="P141" s="382"/>
    </row>
    <row r="142" spans="1:16">
      <c r="A142" s="1565" t="s">
        <v>248</v>
      </c>
      <c r="B142" s="1566"/>
      <c r="C142" s="1143"/>
      <c r="D142" s="472"/>
      <c r="E142" s="627"/>
      <c r="F142" s="627"/>
      <c r="G142" s="647"/>
      <c r="H142" s="647"/>
      <c r="I142" s="647"/>
      <c r="J142" s="1431"/>
      <c r="K142" s="380"/>
      <c r="L142" s="377"/>
      <c r="N142" s="718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627"/>
      <c r="F143" s="627"/>
      <c r="G143" s="705">
        <f>G35+G43+G49+G57</f>
        <v>5898.4299999999348</v>
      </c>
      <c r="H143" s="705">
        <f>G143+'10'!H143</f>
        <v>62256.429999999935</v>
      </c>
      <c r="I143" s="1070"/>
      <c r="J143" s="707">
        <f>H143/DAY(B2)</f>
        <v>5659.6754545454487</v>
      </c>
      <c r="K143" s="380"/>
      <c r="L143" s="377"/>
      <c r="N143" s="718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1385"/>
      <c r="F144" s="1385"/>
      <c r="G144" s="1434">
        <f>G143/G7</f>
        <v>0.25948265622593913</v>
      </c>
      <c r="H144" s="705">
        <f>G144+'10'!H144</f>
        <v>2.8773772499015493</v>
      </c>
      <c r="I144" s="544"/>
      <c r="J144" s="707">
        <f>H144/DAY(B2)</f>
        <v>0.26157974999104994</v>
      </c>
      <c r="K144" s="380"/>
      <c r="L144" s="377"/>
      <c r="N144" s="718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706"/>
      <c r="F145" s="706"/>
      <c r="G145" s="705">
        <f>G41+G42+G55+G56</f>
        <v>7134.0600000000122</v>
      </c>
      <c r="H145" s="705">
        <f>G145+'10'!H145</f>
        <v>74252.170000000013</v>
      </c>
      <c r="I145" s="1070"/>
      <c r="J145" s="707">
        <f>H145/DAY(B2)</f>
        <v>6750.1972727272741</v>
      </c>
      <c r="K145" s="380"/>
      <c r="L145" s="377"/>
      <c r="N145" s="718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706"/>
      <c r="F146" s="706"/>
      <c r="G146" s="1434">
        <f>G145/G7</f>
        <v>0.31384026571057838</v>
      </c>
      <c r="H146" s="705">
        <f>G146+'10'!H146</f>
        <v>3.4252360577427101</v>
      </c>
      <c r="I146" s="544"/>
      <c r="J146" s="707">
        <f>H146/DAY(B2)</f>
        <v>0.31138509615842819</v>
      </c>
      <c r="K146" s="380"/>
      <c r="L146" s="377"/>
      <c r="N146" s="718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706"/>
      <c r="F147" s="706"/>
      <c r="G147" s="705">
        <f>G39+G53</f>
        <v>3609.2600000000093</v>
      </c>
      <c r="H147" s="705">
        <f>G147+'10'!H147</f>
        <v>40314.260000000009</v>
      </c>
      <c r="I147" s="1435"/>
      <c r="J147" s="707">
        <f>H147/DAY(B2)</f>
        <v>3664.9327272727282</v>
      </c>
      <c r="K147" s="380"/>
      <c r="L147" s="377"/>
      <c r="N147" s="718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706"/>
      <c r="F148" s="706"/>
      <c r="G148" s="1434">
        <f>G147/G7</f>
        <v>0.15877790730924088</v>
      </c>
      <c r="H148" s="705">
        <f>G148+'10'!H148</f>
        <v>1.8649345057637687</v>
      </c>
      <c r="I148" s="1435"/>
      <c r="J148" s="707">
        <f>H148/DAY(B2)</f>
        <v>0.16953950052397898</v>
      </c>
      <c r="N148" s="718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706"/>
      <c r="F149" s="706"/>
      <c r="G149" s="705">
        <f>G38+G52</f>
        <v>1661.7900000000081</v>
      </c>
      <c r="H149" s="705">
        <f>G149+'10'!H149</f>
        <v>17704.859999999957</v>
      </c>
      <c r="I149" s="1070"/>
      <c r="J149" s="707">
        <f>H149/DAY(B2)</f>
        <v>1609.5327272727234</v>
      </c>
      <c r="K149" s="381"/>
      <c r="N149" s="718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706"/>
      <c r="F150" s="706" t="s">
        <v>213</v>
      </c>
      <c r="G150" s="1434">
        <f>G149/G7</f>
        <v>7.3105162439786556E-2</v>
      </c>
      <c r="H150" s="705">
        <f>G150+'10'!H150</f>
        <v>0.81769631845820945</v>
      </c>
      <c r="I150" s="1435"/>
      <c r="J150" s="707">
        <f>H150/DAY(B2)</f>
        <v>7.4336028950746313E-2</v>
      </c>
      <c r="N150" s="718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706"/>
      <c r="F151" s="706"/>
      <c r="G151" s="705">
        <f>G36+G50</f>
        <v>2229.7600000000457</v>
      </c>
      <c r="H151" s="705">
        <f>G151+'10'!H151</f>
        <v>21024.760000000046</v>
      </c>
      <c r="I151" s="1435"/>
      <c r="J151" s="707">
        <f>H151/DAY(B2)</f>
        <v>1911.3418181818224</v>
      </c>
      <c r="N151" s="718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706"/>
      <c r="F152" s="706"/>
      <c r="G152" s="1434">
        <f>G151/G7</f>
        <v>9.8091195037724996E-2</v>
      </c>
      <c r="H152" s="705">
        <f>G152+'10'!H152</f>
        <v>0.96971815438315789</v>
      </c>
      <c r="I152" s="1070"/>
      <c r="J152" s="707">
        <f>H152/DAY(B2)</f>
        <v>8.815619585301436E-2</v>
      </c>
      <c r="N152" s="718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706"/>
      <c r="F153" s="706"/>
      <c r="G153" s="705">
        <f>G37+G51</f>
        <v>1589.75</v>
      </c>
      <c r="H153" s="705">
        <f>G153+'10'!H153</f>
        <v>16915.619999999995</v>
      </c>
      <c r="I153" s="1070"/>
      <c r="J153" s="707"/>
      <c r="N153" s="718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1436"/>
      <c r="F154" s="1436"/>
      <c r="G154" s="1437">
        <f>G153/G7</f>
        <v>6.9935991905505576E-2</v>
      </c>
      <c r="H154" s="705">
        <f>G154+'10'!H154</f>
        <v>0.78228763529763867</v>
      </c>
      <c r="I154" s="1438"/>
      <c r="J154" s="1439">
        <f>H154/DAY(B2)</f>
        <v>7.111705775433079E-2</v>
      </c>
      <c r="N154" s="718"/>
      <c r="P154" s="382"/>
    </row>
    <row r="155" spans="1:16">
      <c r="A155" s="466"/>
      <c r="B155" s="456"/>
      <c r="C155" s="456"/>
      <c r="D155" s="546"/>
      <c r="E155" s="1440"/>
      <c r="F155" s="1441"/>
      <c r="G155" s="1440"/>
      <c r="H155" s="1442"/>
      <c r="I155" s="1440"/>
      <c r="J155" s="1443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261</v>
      </c>
      <c r="B161" s="785"/>
      <c r="C161" s="785"/>
      <c r="D161" s="511" t="s">
        <v>185</v>
      </c>
      <c r="E161" s="651">
        <f>'10'!F161</f>
        <v>41644</v>
      </c>
      <c r="F161" s="659">
        <v>41724.85</v>
      </c>
      <c r="G161" s="652">
        <f t="shared" ref="G161:G175" si="16">F161-E161</f>
        <v>80.849999999998545</v>
      </c>
      <c r="N161" s="718"/>
    </row>
    <row r="162" spans="1:14">
      <c r="A162" s="784" t="s">
        <v>262</v>
      </c>
      <c r="B162" s="785"/>
      <c r="C162" s="785"/>
      <c r="D162" s="511" t="s">
        <v>185</v>
      </c>
      <c r="E162" s="651">
        <f>'10'!F162</f>
        <v>112299</v>
      </c>
      <c r="F162" s="659">
        <v>112729.08</v>
      </c>
      <c r="G162" s="652">
        <f t="shared" si="16"/>
        <v>430.08000000000175</v>
      </c>
      <c r="N162" s="718"/>
    </row>
    <row r="163" spans="1:14">
      <c r="A163" s="784" t="s">
        <v>263</v>
      </c>
      <c r="B163" s="785"/>
      <c r="C163" s="785"/>
      <c r="D163" s="511" t="s">
        <v>185</v>
      </c>
      <c r="E163" s="651">
        <f>'10'!F163</f>
        <v>63285</v>
      </c>
      <c r="F163" s="659">
        <v>63485.3</v>
      </c>
      <c r="G163" s="652">
        <f t="shared" si="16"/>
        <v>200.30000000000291</v>
      </c>
      <c r="N163" s="718"/>
    </row>
    <row r="164" spans="1:14">
      <c r="A164" s="784" t="s">
        <v>264</v>
      </c>
      <c r="B164" s="785"/>
      <c r="C164" s="785"/>
      <c r="D164" s="511" t="s">
        <v>185</v>
      </c>
      <c r="E164" s="651">
        <f>'10'!F164</f>
        <v>6945</v>
      </c>
      <c r="F164" s="659">
        <v>6956.47</v>
      </c>
      <c r="G164" s="652">
        <f t="shared" si="16"/>
        <v>11.470000000000255</v>
      </c>
      <c r="N164" s="718"/>
    </row>
    <row r="165" spans="1:14" ht="37.5" customHeight="1">
      <c r="A165" s="786" t="s">
        <v>97</v>
      </c>
      <c r="B165" s="604"/>
      <c r="C165" s="604"/>
      <c r="D165" s="511" t="s">
        <v>185</v>
      </c>
      <c r="E165" s="651">
        <f>'10'!F165</f>
        <v>0</v>
      </c>
      <c r="F165" s="1105">
        <f>F62</f>
        <v>0</v>
      </c>
      <c r="G165" s="652">
        <f t="shared" si="16"/>
        <v>0</v>
      </c>
      <c r="N165" s="718"/>
    </row>
    <row r="166" spans="1:14">
      <c r="A166" s="786" t="s">
        <v>186</v>
      </c>
      <c r="B166" s="604"/>
      <c r="C166" s="604"/>
      <c r="D166" s="511" t="s">
        <v>185</v>
      </c>
      <c r="E166" s="651">
        <f>'10'!F166</f>
        <v>0</v>
      </c>
      <c r="F166" s="1105">
        <f>F63</f>
        <v>0</v>
      </c>
      <c r="G166" s="652">
        <f t="shared" si="16"/>
        <v>0</v>
      </c>
      <c r="H166" s="1446" t="s">
        <v>271</v>
      </c>
      <c r="N166" s="718"/>
    </row>
    <row r="167" spans="1:14" ht="35.25" customHeight="1">
      <c r="A167" s="1549" t="s">
        <v>98</v>
      </c>
      <c r="B167" s="1549"/>
      <c r="C167" s="1549"/>
      <c r="D167" s="523" t="s">
        <v>185</v>
      </c>
      <c r="E167" s="651">
        <f>'10'!F167</f>
        <v>174038</v>
      </c>
      <c r="F167" s="1105">
        <f t="shared" ref="F167:F172" si="17">F64</f>
        <v>174412.43</v>
      </c>
      <c r="G167" s="652">
        <f t="shared" si="16"/>
        <v>374.42999999999302</v>
      </c>
      <c r="N167" s="718"/>
    </row>
    <row r="168" spans="1:14" ht="33" customHeight="1">
      <c r="A168" s="1549" t="s">
        <v>99</v>
      </c>
      <c r="B168" s="1549"/>
      <c r="C168" s="1549"/>
      <c r="D168" s="523" t="s">
        <v>185</v>
      </c>
      <c r="E168" s="651">
        <f>'10'!F168</f>
        <v>173988</v>
      </c>
      <c r="F168" s="1105">
        <f t="shared" si="17"/>
        <v>174374.93</v>
      </c>
      <c r="G168" s="652">
        <f t="shared" si="16"/>
        <v>386.92999999999302</v>
      </c>
      <c r="N168" s="718"/>
    </row>
    <row r="169" spans="1:14" ht="40.5" customHeight="1">
      <c r="A169" s="1549" t="s">
        <v>100</v>
      </c>
      <c r="B169" s="1549"/>
      <c r="C169" s="1549"/>
      <c r="D169" s="523" t="s">
        <v>185</v>
      </c>
      <c r="E169" s="651">
        <f>'10'!F169</f>
        <v>72110</v>
      </c>
      <c r="F169" s="1105">
        <f t="shared" si="17"/>
        <v>72541.13</v>
      </c>
      <c r="G169" s="652">
        <f t="shared" si="16"/>
        <v>431.13000000000466</v>
      </c>
      <c r="N169" s="718"/>
    </row>
    <row r="170" spans="1:14" ht="30.75" customHeight="1">
      <c r="A170" s="1549" t="s">
        <v>101</v>
      </c>
      <c r="B170" s="1549"/>
      <c r="C170" s="1549"/>
      <c r="D170" s="523" t="s">
        <v>185</v>
      </c>
      <c r="E170" s="651">
        <f>'10'!F170</f>
        <v>269697</v>
      </c>
      <c r="F170" s="1105">
        <f t="shared" si="17"/>
        <v>270132.69</v>
      </c>
      <c r="G170" s="652">
        <f t="shared" si="16"/>
        <v>435.69000000000233</v>
      </c>
      <c r="N170" s="718"/>
    </row>
    <row r="171" spans="1:14" ht="30.75" customHeight="1">
      <c r="A171" s="1549" t="s">
        <v>102</v>
      </c>
      <c r="B171" s="1549"/>
      <c r="C171" s="1549"/>
      <c r="D171" s="523" t="s">
        <v>185</v>
      </c>
      <c r="E171" s="651">
        <f>'10'!F171</f>
        <v>85321</v>
      </c>
      <c r="F171" s="1105">
        <f t="shared" si="17"/>
        <v>85321</v>
      </c>
      <c r="G171" s="652">
        <f t="shared" si="16"/>
        <v>0</v>
      </c>
      <c r="N171" s="718"/>
    </row>
    <row r="172" spans="1:14" ht="28.5" customHeight="1">
      <c r="A172" s="1549" t="s">
        <v>103</v>
      </c>
      <c r="B172" s="1549"/>
      <c r="C172" s="1549"/>
      <c r="D172" s="523" t="s">
        <v>185</v>
      </c>
      <c r="E172" s="651">
        <f>'10'!F172</f>
        <v>90002</v>
      </c>
      <c r="F172" s="1105">
        <f t="shared" si="17"/>
        <v>90283</v>
      </c>
      <c r="G172" s="652">
        <f t="shared" si="16"/>
        <v>281</v>
      </c>
      <c r="N172" s="718"/>
    </row>
    <row r="173" spans="1:14">
      <c r="A173" s="1590" t="s">
        <v>348</v>
      </c>
      <c r="B173" s="1553"/>
      <c r="C173" s="785"/>
      <c r="D173" s="523" t="s">
        <v>185</v>
      </c>
      <c r="E173" s="651">
        <f>'10'!F173</f>
        <v>19049</v>
      </c>
      <c r="F173" s="532">
        <v>19053</v>
      </c>
      <c r="G173" s="652">
        <f t="shared" si="16"/>
        <v>4</v>
      </c>
      <c r="N173" s="718"/>
    </row>
    <row r="174" spans="1:14">
      <c r="A174" s="1590" t="s">
        <v>348</v>
      </c>
      <c r="B174" s="1553"/>
      <c r="C174" s="785"/>
      <c r="D174" s="523" t="s">
        <v>185</v>
      </c>
      <c r="E174" s="651">
        <f>'10'!F174</f>
        <v>70399</v>
      </c>
      <c r="F174" s="532">
        <v>70406</v>
      </c>
      <c r="G174" s="652">
        <f t="shared" si="16"/>
        <v>7</v>
      </c>
      <c r="N174" s="718"/>
    </row>
    <row r="175" spans="1:14">
      <c r="A175" s="1590" t="s">
        <v>349</v>
      </c>
      <c r="B175" s="1553"/>
      <c r="C175" s="785"/>
      <c r="D175" s="523" t="s">
        <v>185</v>
      </c>
      <c r="E175" s="651">
        <f>'10'!F175</f>
        <v>27672</v>
      </c>
      <c r="F175" s="532">
        <v>27678.400000000001</v>
      </c>
      <c r="G175" s="652">
        <f t="shared" si="16"/>
        <v>6.4000000000014552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44.25" customHeight="1">
      <c r="N179" s="718"/>
    </row>
    <row r="180" spans="14:14" ht="21.75" customHeight="1">
      <c r="N180" s="718"/>
    </row>
    <row r="181" spans="14:14" ht="21.75" customHeight="1">
      <c r="N181" s="718"/>
    </row>
    <row r="182" spans="14:14" ht="21.75" customHeight="1">
      <c r="N182" s="718"/>
    </row>
    <row r="183" spans="14:14" ht="21.75" customHeight="1">
      <c r="N183" s="718"/>
    </row>
    <row r="184" spans="14:14" ht="21.75" customHeight="1">
      <c r="N184" s="718"/>
    </row>
    <row r="185" spans="14:14" ht="21.75" customHeight="1">
      <c r="N185" s="718"/>
    </row>
    <row r="186" spans="14:14" ht="21.75" customHeight="1">
      <c r="N186" s="718"/>
    </row>
    <row r="187" spans="14:14" ht="21.75" customHeight="1">
      <c r="N187" s="718"/>
    </row>
    <row r="188" spans="14:14" ht="21.75" customHeight="1">
      <c r="N188" s="718"/>
    </row>
    <row r="189" spans="14:14" ht="21.75" customHeight="1">
      <c r="N189" s="718"/>
    </row>
    <row r="190" spans="14:14" ht="21.75" customHeight="1">
      <c r="N190" s="718"/>
    </row>
    <row r="191" spans="14:14" ht="21.75" customHeight="1">
      <c r="N191" s="718"/>
    </row>
    <row r="192" spans="14:14" ht="21.75" customHeight="1">
      <c r="N192" s="718"/>
    </row>
    <row r="193" spans="14:14" ht="21.75" customHeight="1">
      <c r="N193" s="718"/>
    </row>
    <row r="194" spans="14:14" ht="21.75" customHeight="1">
      <c r="N194" s="718"/>
    </row>
    <row r="195" spans="14:14" ht="36.75" customHeight="1">
      <c r="N195" s="718"/>
    </row>
    <row r="196" spans="14:14">
      <c r="N196" s="718"/>
    </row>
    <row r="197" spans="14:14">
      <c r="N197" s="718"/>
    </row>
    <row r="198" spans="14:14">
      <c r="N198" s="718"/>
    </row>
    <row r="199" spans="14:14">
      <c r="N199" s="718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136" zoomScale="40" zoomScaleNormal="75" zoomScaleSheetLayoutView="40" workbookViewId="0">
      <selection activeCell="F173" sqref="F173:F1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1178"/>
    <col min="16" max="17" width="22.33203125" style="441"/>
    <col min="18" max="16384" width="22.33203125" style="376"/>
  </cols>
  <sheetData>
    <row r="1" spans="1:17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7" s="281" customFormat="1" ht="27">
      <c r="A2" s="575" t="s">
        <v>359</v>
      </c>
      <c r="B2" s="1031">
        <v>44359</v>
      </c>
      <c r="C2" s="1139" t="s">
        <v>68</v>
      </c>
      <c r="D2" s="611">
        <v>0.47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1179"/>
      <c r="P2" s="710"/>
      <c r="Q2" s="710"/>
    </row>
    <row r="3" spans="1:17" s="281" customFormat="1" ht="27">
      <c r="A3" s="570"/>
      <c r="B3" s="614"/>
      <c r="C3" s="1139" t="s">
        <v>118</v>
      </c>
      <c r="D3" s="612">
        <v>28</v>
      </c>
      <c r="E3" s="1576" t="s">
        <v>119</v>
      </c>
      <c r="F3" s="1577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1179"/>
      <c r="P3" s="710"/>
      <c r="Q3" s="710"/>
    </row>
    <row r="4" spans="1:17" s="281" customFormat="1" ht="27">
      <c r="A4" s="576"/>
      <c r="B4" s="616"/>
      <c r="C4" s="1139" t="s">
        <v>120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1179"/>
      <c r="P4" s="710"/>
      <c r="Q4" s="710"/>
    </row>
    <row r="5" spans="1:17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7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129</v>
      </c>
      <c r="B7" s="677"/>
      <c r="C7" s="677"/>
      <c r="D7" s="637" t="s">
        <v>130</v>
      </c>
      <c r="E7" s="633">
        <f>'11'!F7</f>
        <v>160128.5</v>
      </c>
      <c r="F7" s="455">
        <v>181256.02</v>
      </c>
      <c r="G7" s="678">
        <f>F7-E7</f>
        <v>21127.51999999999</v>
      </c>
      <c r="H7" s="679">
        <f>G7+'11'!H7</f>
        <v>259303.02000000005</v>
      </c>
      <c r="I7" s="680">
        <f>'1'!I7</f>
        <v>12000</v>
      </c>
      <c r="J7" s="681">
        <f>H7/DAY(B2)</f>
        <v>21608.585000000003</v>
      </c>
      <c r="K7" s="549"/>
      <c r="L7" s="377"/>
      <c r="N7" s="718"/>
      <c r="O7" s="727"/>
      <c r="P7" s="711"/>
    </row>
    <row r="8" spans="1:17" ht="27.75" thickBot="1">
      <c r="A8" s="682" t="s">
        <v>131</v>
      </c>
      <c r="B8" s="683"/>
      <c r="C8" s="684"/>
      <c r="D8" s="685" t="s">
        <v>25</v>
      </c>
      <c r="E8" s="633">
        <f>'11'!F8</f>
        <v>166058.97</v>
      </c>
      <c r="F8" s="475">
        <v>187298.87</v>
      </c>
      <c r="G8" s="689">
        <f>F8-E8</f>
        <v>21239.899999999994</v>
      </c>
      <c r="H8" s="679">
        <f>G8+'11'!H8</f>
        <v>260576.87</v>
      </c>
      <c r="I8" s="686">
        <f>'1'!I8</f>
        <v>12000</v>
      </c>
      <c r="J8" s="681">
        <f>H8/DAY(B2)</f>
        <v>21714.739166666666</v>
      </c>
      <c r="K8" s="549"/>
      <c r="L8" s="425"/>
      <c r="M8" s="440"/>
      <c r="N8" s="718"/>
      <c r="O8" s="727"/>
      <c r="P8" s="713"/>
    </row>
    <row r="9" spans="1:17">
      <c r="A9" s="687" t="s">
        <v>132</v>
      </c>
      <c r="B9" s="688"/>
      <c r="C9" s="688"/>
      <c r="D9" s="637" t="s">
        <v>130</v>
      </c>
      <c r="E9" s="633">
        <f>'11'!F9</f>
        <v>2263382.5</v>
      </c>
      <c r="F9" s="478">
        <v>2283832.2999999998</v>
      </c>
      <c r="G9" s="702">
        <f t="shared" ref="G9:G12" si="0">F9-E9</f>
        <v>20449.799999999814</v>
      </c>
      <c r="H9" s="679">
        <f>G9+'11'!H9</f>
        <v>252830.29999999981</v>
      </c>
      <c r="I9" s="690">
        <f>I7-J7</f>
        <v>-9608.5850000000028</v>
      </c>
      <c r="J9" s="681">
        <f>H9/DAY(B2)</f>
        <v>21069.191666666651</v>
      </c>
      <c r="K9" s="428"/>
      <c r="L9" s="377"/>
      <c r="N9" s="718"/>
      <c r="O9" s="727"/>
      <c r="P9" s="713"/>
    </row>
    <row r="10" spans="1:17">
      <c r="A10" s="676" t="s">
        <v>133</v>
      </c>
      <c r="B10" s="677"/>
      <c r="C10" s="677"/>
      <c r="D10" s="637" t="s">
        <v>130</v>
      </c>
      <c r="E10" s="633">
        <f>'11'!F10</f>
        <v>2606.5500000000002</v>
      </c>
      <c r="F10" s="478">
        <v>2606.5500000000002</v>
      </c>
      <c r="G10" s="689">
        <f t="shared" si="0"/>
        <v>0</v>
      </c>
      <c r="H10" s="679">
        <f>G10+'11'!H10</f>
        <v>0</v>
      </c>
      <c r="I10" s="691"/>
      <c r="J10" s="681">
        <f>H10/DAY(B2)</f>
        <v>0</v>
      </c>
      <c r="K10" s="428"/>
      <c r="L10" s="377"/>
      <c r="N10" s="718"/>
      <c r="O10" s="727"/>
      <c r="P10" s="713"/>
    </row>
    <row r="11" spans="1:17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G11+'11'!H11</f>
        <v>0</v>
      </c>
      <c r="I11" s="691"/>
      <c r="J11" s="681">
        <f>H11/DAY(B2)</f>
        <v>0</v>
      </c>
      <c r="K11" s="428"/>
      <c r="L11" s="377"/>
      <c r="N11" s="718"/>
      <c r="O11" s="727"/>
      <c r="P11" s="713"/>
    </row>
    <row r="12" spans="1:17">
      <c r="A12" s="676" t="s">
        <v>135</v>
      </c>
      <c r="B12" s="677"/>
      <c r="C12" s="677"/>
      <c r="D12" s="637" t="s">
        <v>130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G12+'11'!H12</f>
        <v>0</v>
      </c>
      <c r="I12" s="691"/>
      <c r="J12" s="681">
        <f>H12/DAY(B2)</f>
        <v>0</v>
      </c>
      <c r="K12" s="428"/>
      <c r="L12" s="377"/>
      <c r="N12" s="718"/>
      <c r="O12" s="727"/>
      <c r="P12" s="713"/>
    </row>
    <row r="13" spans="1:17">
      <c r="A13" s="692" t="s">
        <v>136</v>
      </c>
      <c r="B13" s="693"/>
      <c r="C13" s="693"/>
      <c r="D13" s="637"/>
      <c r="E13" s="633"/>
      <c r="F13" s="455"/>
      <c r="G13" s="694">
        <f>G9+G10+G11+G12</f>
        <v>20449.799999999814</v>
      </c>
      <c r="H13" s="679">
        <f>G13+'11'!H13</f>
        <v>232503.29999999981</v>
      </c>
      <c r="I13" s="695">
        <f>G7-G13</f>
        <v>677.72000000017579</v>
      </c>
      <c r="J13" s="681">
        <f>H13/DAY(B2)</f>
        <v>19375.274999999983</v>
      </c>
      <c r="K13" s="428"/>
      <c r="L13" s="377"/>
      <c r="N13" s="718"/>
      <c r="O13" s="727"/>
      <c r="P13" s="713"/>
    </row>
    <row r="14" spans="1:17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7"/>
      <c r="P14" s="713"/>
    </row>
    <row r="15" spans="1:17">
      <c r="A15" s="792" t="s">
        <v>138</v>
      </c>
      <c r="B15" s="793"/>
      <c r="C15" s="793"/>
      <c r="D15" s="524" t="s">
        <v>139</v>
      </c>
      <c r="E15" s="485">
        <f>'11'!F15</f>
        <v>1712513.41</v>
      </c>
      <c r="F15" s="700">
        <v>1713428.2</v>
      </c>
      <c r="G15" s="664">
        <f>(F15-E15)</f>
        <v>914.79000000003725</v>
      </c>
      <c r="H15" s="486">
        <f>G15+'11'!H15</f>
        <v>9745.1999999999534</v>
      </c>
      <c r="I15" s="474">
        <v>800</v>
      </c>
      <c r="J15" s="553">
        <f>H15/DAY(B2)</f>
        <v>812.09999999999616</v>
      </c>
      <c r="K15" s="428"/>
      <c r="L15" s="377"/>
      <c r="N15" s="718"/>
      <c r="O15" s="727"/>
      <c r="P15" s="713"/>
    </row>
    <row r="16" spans="1:17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-12.099999999996157</v>
      </c>
      <c r="J16" s="553"/>
      <c r="K16" s="428"/>
      <c r="L16" s="377"/>
      <c r="N16" s="718"/>
      <c r="O16" s="727"/>
      <c r="P16" s="713"/>
    </row>
    <row r="17" spans="1:17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7"/>
      <c r="P17" s="713"/>
    </row>
    <row r="18" spans="1:17" ht="27.75">
      <c r="A18" s="1610" t="s">
        <v>141</v>
      </c>
      <c r="B18" s="1611"/>
      <c r="C18" s="1612"/>
      <c r="D18" s="637" t="s">
        <v>142</v>
      </c>
      <c r="E18" s="634">
        <f>'11'!F18</f>
        <v>18</v>
      </c>
      <c r="F18" s="478">
        <v>12</v>
      </c>
      <c r="G18" s="694">
        <f>F18*10</f>
        <v>120</v>
      </c>
      <c r="H18" s="679">
        <f>G18+'11'!H18</f>
        <v>1620</v>
      </c>
      <c r="I18" s="680">
        <f>'1'!I18</f>
        <v>65</v>
      </c>
      <c r="J18" s="681">
        <f>H18/DAY(B2)</f>
        <v>135</v>
      </c>
      <c r="K18" s="428"/>
      <c r="L18" s="377"/>
      <c r="N18" s="718"/>
      <c r="O18" s="727"/>
      <c r="P18" s="713"/>
    </row>
    <row r="19" spans="1:17" ht="27.75">
      <c r="A19" s="1610" t="s">
        <v>70</v>
      </c>
      <c r="B19" s="1611"/>
      <c r="C19" s="1612"/>
      <c r="D19" s="637" t="s">
        <v>142</v>
      </c>
      <c r="E19" s="634">
        <f>'11'!F19</f>
        <v>142160</v>
      </c>
      <c r="F19" s="478">
        <v>142226</v>
      </c>
      <c r="G19" s="689">
        <f t="shared" ref="G19" si="1">F19-E19</f>
        <v>66</v>
      </c>
      <c r="H19" s="679">
        <f>G19+'11'!H19</f>
        <v>731</v>
      </c>
      <c r="I19" s="696"/>
      <c r="J19" s="681">
        <f>H19/DAY(B2)</f>
        <v>60.916666666666664</v>
      </c>
      <c r="K19" s="428"/>
      <c r="L19" s="377"/>
      <c r="N19" s="718"/>
      <c r="O19" s="727"/>
      <c r="P19" s="713"/>
    </row>
    <row r="20" spans="1:17">
      <c r="A20" s="692" t="s">
        <v>143</v>
      </c>
      <c r="B20" s="693"/>
      <c r="C20" s="693"/>
      <c r="D20" s="637"/>
      <c r="E20" s="637"/>
      <c r="F20" s="709"/>
      <c r="G20" s="697">
        <f>G18+G19</f>
        <v>186</v>
      </c>
      <c r="H20" s="679">
        <f>G20+'11'!H20</f>
        <v>2351</v>
      </c>
      <c r="I20" s="698">
        <f>I18-J20</f>
        <v>-130.91666666666666</v>
      </c>
      <c r="J20" s="681">
        <f>H20/DAY(B2)</f>
        <v>195.91666666666666</v>
      </c>
      <c r="K20" s="428"/>
      <c r="L20" s="377"/>
      <c r="N20" s="718"/>
      <c r="O20" s="727"/>
      <c r="P20" s="713"/>
    </row>
    <row r="21" spans="1:17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7"/>
      <c r="P21" s="713"/>
    </row>
    <row r="22" spans="1:17">
      <c r="A22" s="1137" t="s">
        <v>145</v>
      </c>
      <c r="B22" s="589"/>
      <c r="C22" s="589"/>
      <c r="D22" s="523" t="s">
        <v>146</v>
      </c>
      <c r="E22" s="634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8"/>
      <c r="O22" s="727"/>
      <c r="P22" s="713"/>
    </row>
    <row r="23" spans="1:17">
      <c r="A23" s="1137" t="s">
        <v>147</v>
      </c>
      <c r="B23" s="589"/>
      <c r="C23" s="589"/>
      <c r="D23" s="523" t="s">
        <v>146</v>
      </c>
      <c r="E23" s="634">
        <f>'11'!F23</f>
        <v>2000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18"/>
      <c r="O23" s="727"/>
      <c r="P23" s="713"/>
    </row>
    <row r="24" spans="1:17">
      <c r="A24" s="590" t="s">
        <v>148</v>
      </c>
      <c r="B24" s="591"/>
      <c r="C24" s="591"/>
      <c r="D24" s="511" t="s">
        <v>146</v>
      </c>
      <c r="E24" s="493">
        <f>'11'!F24</f>
        <v>4970</v>
      </c>
      <c r="F24" s="485">
        <v>4970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18"/>
      <c r="O24" s="727"/>
      <c r="P24" s="713"/>
    </row>
    <row r="25" spans="1:17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7"/>
      <c r="P25" s="713"/>
      <c r="Q25" s="445"/>
    </row>
    <row r="26" spans="1:17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7"/>
      <c r="P26" s="713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699">
        <f>G8</f>
        <v>21239.899999999994</v>
      </c>
      <c r="F27" s="501">
        <v>9</v>
      </c>
      <c r="G27" s="502">
        <f>E27*F27</f>
        <v>191159.09999999995</v>
      </c>
      <c r="H27" s="460">
        <f>G27+'11'!H27</f>
        <v>2345191.83</v>
      </c>
      <c r="I27" s="503"/>
      <c r="J27" s="552">
        <f>H27/DAY(B2)</f>
        <v>195432.6525</v>
      </c>
      <c r="K27" s="373"/>
      <c r="L27" s="443"/>
      <c r="N27" s="718"/>
      <c r="O27" s="727"/>
      <c r="P27" s="713"/>
      <c r="Q27" s="445"/>
    </row>
    <row r="28" spans="1:17" s="442" customFormat="1" ht="27.75">
      <c r="A28" s="592" t="s">
        <v>152</v>
      </c>
      <c r="B28" s="593"/>
      <c r="C28" s="594"/>
      <c r="D28" s="619" t="s">
        <v>153</v>
      </c>
      <c r="E28" s="699">
        <f>G15</f>
        <v>914.79000000003725</v>
      </c>
      <c r="F28" s="501">
        <v>52</v>
      </c>
      <c r="G28" s="502">
        <f>E28*F28</f>
        <v>47569.080000001937</v>
      </c>
      <c r="H28" s="460">
        <f>G28+'11'!H28</f>
        <v>506750.39999999758</v>
      </c>
      <c r="I28" s="505"/>
      <c r="J28" s="552">
        <f>H28/DAY(B2)</f>
        <v>42229.199999999801</v>
      </c>
      <c r="K28" s="373"/>
      <c r="L28" s="443"/>
      <c r="N28" s="718"/>
      <c r="O28" s="727"/>
      <c r="P28" s="713"/>
      <c r="Q28" s="445"/>
    </row>
    <row r="29" spans="1:17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18"/>
      <c r="O29" s="727"/>
      <c r="P29" s="713"/>
      <c r="Q29" s="445"/>
    </row>
    <row r="30" spans="1:17" s="442" customFormat="1" ht="27.75">
      <c r="A30" s="592" t="s">
        <v>156</v>
      </c>
      <c r="B30" s="593"/>
      <c r="C30" s="594"/>
      <c r="D30" s="619" t="s">
        <v>157</v>
      </c>
      <c r="E30" s="699">
        <f>G19</f>
        <v>66</v>
      </c>
      <c r="F30" s="501">
        <v>146</v>
      </c>
      <c r="G30" s="502">
        <f>E30*F30</f>
        <v>9636</v>
      </c>
      <c r="H30" s="460">
        <f>G30+'11'!H30</f>
        <v>106142</v>
      </c>
      <c r="I30" s="505"/>
      <c r="J30" s="552">
        <f>H30/DAY(B2)</f>
        <v>8845.1666666666661</v>
      </c>
      <c r="K30" s="373"/>
      <c r="L30" s="443"/>
      <c r="N30" s="718"/>
      <c r="O30" s="727"/>
      <c r="P30" s="713"/>
      <c r="Q30" s="445"/>
    </row>
    <row r="31" spans="1:17" s="442" customFormat="1" ht="27.75">
      <c r="A31" s="592" t="s">
        <v>158</v>
      </c>
      <c r="B31" s="593"/>
      <c r="C31" s="594"/>
      <c r="D31" s="619" t="s">
        <v>142</v>
      </c>
      <c r="E31" s="699">
        <f>G18</f>
        <v>120</v>
      </c>
      <c r="F31" s="501">
        <v>80</v>
      </c>
      <c r="G31" s="502">
        <f>E31*F31</f>
        <v>9600</v>
      </c>
      <c r="H31" s="460">
        <f>G31+'11'!H31</f>
        <v>124000</v>
      </c>
      <c r="I31" s="505"/>
      <c r="J31" s="552">
        <f>H31/DAY(B2)</f>
        <v>10333.333333333334</v>
      </c>
      <c r="K31" s="373"/>
      <c r="L31" s="443"/>
      <c r="N31" s="718"/>
      <c r="O31" s="727"/>
      <c r="P31" s="713"/>
      <c r="Q31" s="445"/>
    </row>
    <row r="32" spans="1:17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257964.18000000188</v>
      </c>
      <c r="H32" s="460">
        <f>G32+'11'!H32</f>
        <v>3082084.2299999972</v>
      </c>
      <c r="I32" s="509"/>
      <c r="J32" s="552">
        <f>H32/DAY(B2)</f>
        <v>256840.35249999978</v>
      </c>
      <c r="K32" s="373"/>
      <c r="L32" s="443"/>
      <c r="N32" s="718"/>
      <c r="O32" s="727"/>
      <c r="P32" s="713"/>
      <c r="Q32" s="445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7"/>
      <c r="P33" s="713"/>
    </row>
    <row r="34" spans="1:16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7"/>
      <c r="P34" s="713"/>
    </row>
    <row r="35" spans="1:16">
      <c r="A35" s="578" t="s">
        <v>162</v>
      </c>
      <c r="B35" s="579"/>
      <c r="C35" s="579"/>
      <c r="D35" s="523" t="s">
        <v>130</v>
      </c>
      <c r="E35" s="510">
        <f>'11'!F35</f>
        <v>1058597.3</v>
      </c>
      <c r="F35" s="510">
        <v>1058597.3</v>
      </c>
      <c r="G35" s="473">
        <f t="shared" ref="G35:G46" si="3">F35-E35</f>
        <v>0</v>
      </c>
      <c r="H35" s="460">
        <f>G35+'11'!H35</f>
        <v>29883.300000000047</v>
      </c>
      <c r="I35" s="455"/>
      <c r="J35" s="552">
        <f>H35/DAY(B2)</f>
        <v>2490.2750000000037</v>
      </c>
      <c r="K35" s="428"/>
      <c r="L35" s="377"/>
      <c r="N35" s="718"/>
      <c r="O35" s="727"/>
      <c r="P35" s="713"/>
    </row>
    <row r="36" spans="1:16">
      <c r="A36" s="578" t="s">
        <v>163</v>
      </c>
      <c r="B36" s="579"/>
      <c r="C36" s="579"/>
      <c r="D36" s="523" t="s">
        <v>130</v>
      </c>
      <c r="E36" s="510">
        <f>'11'!F36</f>
        <v>29233.21</v>
      </c>
      <c r="F36" s="510">
        <v>29928.98</v>
      </c>
      <c r="G36" s="473">
        <f t="shared" si="3"/>
        <v>695.77000000000044</v>
      </c>
      <c r="H36" s="460">
        <f>G36+'11'!H36</f>
        <v>9467.98</v>
      </c>
      <c r="I36" s="455"/>
      <c r="J36" s="552">
        <f>H36/DAY(B2)</f>
        <v>788.99833333333333</v>
      </c>
      <c r="K36" s="428"/>
      <c r="L36" s="377"/>
      <c r="N36" s="719"/>
      <c r="O36" s="727"/>
      <c r="P36" s="713"/>
    </row>
    <row r="37" spans="1:16">
      <c r="A37" s="578" t="s">
        <v>164</v>
      </c>
      <c r="B37" s="579"/>
      <c r="C37" s="579"/>
      <c r="D37" s="523" t="s">
        <v>130</v>
      </c>
      <c r="E37" s="510">
        <f>'11'!F37</f>
        <v>193485.75</v>
      </c>
      <c r="F37" s="510">
        <v>195080.87</v>
      </c>
      <c r="G37" s="473">
        <f t="shared" si="3"/>
        <v>1595.1199999999953</v>
      </c>
      <c r="H37" s="460">
        <f>G37+'11'!H37</f>
        <v>18510.869999999995</v>
      </c>
      <c r="I37" s="455"/>
      <c r="J37" s="552">
        <f>H37/DAY(B2)</f>
        <v>1542.5724999999995</v>
      </c>
      <c r="K37" s="428"/>
      <c r="L37" s="377"/>
      <c r="N37" s="719"/>
      <c r="O37" s="727"/>
      <c r="P37" s="713"/>
    </row>
    <row r="38" spans="1:16">
      <c r="A38" s="578" t="s">
        <v>165</v>
      </c>
      <c r="B38" s="579"/>
      <c r="C38" s="579"/>
      <c r="D38" s="523" t="s">
        <v>130</v>
      </c>
      <c r="E38" s="510">
        <f>'11'!F38</f>
        <v>216163.79</v>
      </c>
      <c r="F38" s="469">
        <v>217758.99</v>
      </c>
      <c r="G38" s="473">
        <f t="shared" si="3"/>
        <v>1595.1999999999825</v>
      </c>
      <c r="H38" s="460">
        <f>G38+'11'!H38</f>
        <v>19299.989999999991</v>
      </c>
      <c r="I38" s="455"/>
      <c r="J38" s="552">
        <f>H38/DAY(B2)</f>
        <v>1608.3324999999993</v>
      </c>
      <c r="K38" s="428"/>
      <c r="L38" s="377"/>
      <c r="N38" s="718"/>
      <c r="O38" s="727"/>
      <c r="P38" s="713"/>
    </row>
    <row r="39" spans="1:16">
      <c r="A39" s="578" t="s">
        <v>166</v>
      </c>
      <c r="B39" s="579"/>
      <c r="C39" s="579"/>
      <c r="D39" s="523" t="s">
        <v>130</v>
      </c>
      <c r="E39" s="510">
        <f>'11'!F39</f>
        <v>445178.67</v>
      </c>
      <c r="F39" s="510">
        <v>448890</v>
      </c>
      <c r="G39" s="473">
        <f t="shared" si="3"/>
        <v>3711.3300000000163</v>
      </c>
      <c r="H39" s="460">
        <f>G39+'11'!H39</f>
        <v>44026</v>
      </c>
      <c r="I39" s="455"/>
      <c r="J39" s="552">
        <f>H39/DAY(B2)</f>
        <v>3668.8333333333335</v>
      </c>
      <c r="K39" s="428"/>
      <c r="L39" s="377"/>
      <c r="N39" s="718"/>
      <c r="O39" s="727"/>
      <c r="P39" s="713"/>
    </row>
    <row r="40" spans="1:16">
      <c r="A40" s="599" t="s">
        <v>167</v>
      </c>
      <c r="B40" s="600"/>
      <c r="C40" s="600"/>
      <c r="D40" s="523" t="s">
        <v>130</v>
      </c>
      <c r="E40" s="510">
        <f>'11'!F40</f>
        <v>11205.44</v>
      </c>
      <c r="F40" s="510">
        <v>11681.01</v>
      </c>
      <c r="G40" s="473">
        <f t="shared" si="3"/>
        <v>475.56999999999971</v>
      </c>
      <c r="H40" s="460">
        <f>G40+'11'!H40</f>
        <v>4568.01</v>
      </c>
      <c r="I40" s="455"/>
      <c r="J40" s="552">
        <f>H40/DAY(B2)</f>
        <v>380.66750000000002</v>
      </c>
      <c r="K40" s="429"/>
      <c r="L40" s="377"/>
      <c r="N40" s="718"/>
      <c r="O40" s="727"/>
      <c r="P40" s="713"/>
    </row>
    <row r="41" spans="1:16">
      <c r="A41" s="578" t="s">
        <v>168</v>
      </c>
      <c r="B41" s="579"/>
      <c r="C41" s="579"/>
      <c r="D41" s="523" t="s">
        <v>130</v>
      </c>
      <c r="E41" s="510">
        <f>'11'!F41</f>
        <v>364063.91</v>
      </c>
      <c r="F41" s="510">
        <v>364063.91</v>
      </c>
      <c r="G41" s="473">
        <f>F41-E41</f>
        <v>0</v>
      </c>
      <c r="H41" s="460">
        <f>G41+'11'!H41</f>
        <v>34421.909999999974</v>
      </c>
      <c r="I41" s="455"/>
      <c r="J41" s="552">
        <f>H41/DAY(B2)</f>
        <v>2868.492499999998</v>
      </c>
      <c r="K41" s="428"/>
      <c r="L41" s="377"/>
      <c r="N41" s="718"/>
      <c r="O41" s="727"/>
      <c r="P41" s="713"/>
    </row>
    <row r="42" spans="1:16">
      <c r="A42" s="578" t="s">
        <v>169</v>
      </c>
      <c r="B42" s="579"/>
      <c r="C42" s="579"/>
      <c r="D42" s="523" t="s">
        <v>130</v>
      </c>
      <c r="E42" s="510">
        <f>'11'!F42</f>
        <v>59210.080000000002</v>
      </c>
      <c r="F42" s="510">
        <v>60020.6</v>
      </c>
      <c r="G42" s="473">
        <f t="shared" si="3"/>
        <v>810.5199999999968</v>
      </c>
      <c r="H42" s="460">
        <f>G42+'11'!H42</f>
        <v>821.70999999999913</v>
      </c>
      <c r="I42" s="455"/>
      <c r="J42" s="552">
        <f>H42/DAY(B2)</f>
        <v>68.475833333333256</v>
      </c>
      <c r="K42" s="428"/>
      <c r="L42" s="377"/>
      <c r="N42" s="718"/>
      <c r="O42" s="727"/>
      <c r="P42" s="713"/>
    </row>
    <row r="43" spans="1:16">
      <c r="A43" s="578" t="s">
        <v>170</v>
      </c>
      <c r="B43" s="579"/>
      <c r="C43" s="579"/>
      <c r="D43" s="523" t="s">
        <v>130</v>
      </c>
      <c r="E43" s="510">
        <f>'11'!F43</f>
        <v>1149837.3999999999</v>
      </c>
      <c r="F43" s="510">
        <v>1152400.6000000001</v>
      </c>
      <c r="G43" s="473">
        <f t="shared" si="3"/>
        <v>2563.2000000001863</v>
      </c>
      <c r="H43" s="460">
        <f>G43+'11'!H43</f>
        <v>31948.600000000093</v>
      </c>
      <c r="I43" s="455"/>
      <c r="J43" s="552">
        <f>H43/DAY(B2)</f>
        <v>2662.3833333333409</v>
      </c>
      <c r="K43" s="428"/>
      <c r="L43" s="377"/>
      <c r="N43" s="718"/>
      <c r="O43" s="727"/>
      <c r="P43" s="713"/>
    </row>
    <row r="44" spans="1:16">
      <c r="A44" s="578" t="s">
        <v>171</v>
      </c>
      <c r="B44" s="579"/>
      <c r="C44" s="579"/>
      <c r="D44" s="523" t="s">
        <v>130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8"/>
      <c r="O44" s="727"/>
      <c r="P44" s="713"/>
    </row>
    <row r="45" spans="1:16">
      <c r="A45" s="578" t="s">
        <v>172</v>
      </c>
      <c r="B45" s="579"/>
      <c r="C45" s="579"/>
      <c r="D45" s="523" t="s">
        <v>130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8"/>
      <c r="O45" s="727"/>
      <c r="P45" s="713"/>
    </row>
    <row r="46" spans="1:16">
      <c r="A46" s="578" t="s">
        <v>173</v>
      </c>
      <c r="B46" s="579"/>
      <c r="C46" s="579"/>
      <c r="D46" s="523" t="s">
        <v>130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8"/>
      <c r="O46" s="727"/>
      <c r="P46" s="713"/>
    </row>
    <row r="47" spans="1:16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11446.710000000177</v>
      </c>
      <c r="H47" s="460">
        <f>G47+'11'!H47</f>
        <v>193749.86000000007</v>
      </c>
      <c r="I47" s="455"/>
      <c r="J47" s="552">
        <f>H47/DAY(B2)</f>
        <v>16145.821666666672</v>
      </c>
      <c r="K47" s="428"/>
      <c r="L47" s="377"/>
      <c r="N47" s="718"/>
      <c r="O47" s="727"/>
      <c r="P47" s="713"/>
    </row>
    <row r="48" spans="1:16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7"/>
      <c r="P48" s="713"/>
    </row>
    <row r="49" spans="1:16">
      <c r="A49" s="578" t="s">
        <v>162</v>
      </c>
      <c r="B49" s="601"/>
      <c r="C49" s="601"/>
      <c r="D49" s="523" t="s">
        <v>130</v>
      </c>
      <c r="E49" s="510">
        <f>'11'!F49</f>
        <v>263719.73</v>
      </c>
      <c r="F49" s="510">
        <v>266721.13</v>
      </c>
      <c r="G49" s="473">
        <f t="shared" ref="G49:G57" si="4">F49-E49</f>
        <v>3001.4000000000233</v>
      </c>
      <c r="H49" s="460">
        <f>G49+'11'!H49</f>
        <v>5957.1300000000047</v>
      </c>
      <c r="I49" s="455"/>
      <c r="J49" s="552">
        <f>H49/DAY(B2)</f>
        <v>496.42750000000041</v>
      </c>
      <c r="K49" s="428"/>
      <c r="L49" s="377"/>
      <c r="N49" s="718"/>
      <c r="O49" s="727"/>
      <c r="P49" s="713"/>
    </row>
    <row r="50" spans="1:16">
      <c r="A50" s="578" t="s">
        <v>176</v>
      </c>
      <c r="B50" s="601"/>
      <c r="C50" s="601"/>
      <c r="D50" s="523" t="s">
        <v>130</v>
      </c>
      <c r="E50" s="510">
        <f>'11'!F50</f>
        <v>546915.55000000005</v>
      </c>
      <c r="F50" s="510">
        <v>548019.11</v>
      </c>
      <c r="G50" s="473">
        <f t="shared" si="4"/>
        <v>1103.5599999999395</v>
      </c>
      <c r="H50" s="460">
        <f>G50+'11'!H50</f>
        <v>12263.109999999986</v>
      </c>
      <c r="I50" s="455"/>
      <c r="J50" s="552">
        <f>H50/DAY(B2)</f>
        <v>1021.9258333333322</v>
      </c>
      <c r="K50" s="428"/>
      <c r="L50" s="377"/>
      <c r="N50" s="718"/>
      <c r="O50" s="727"/>
      <c r="P50" s="713"/>
    </row>
    <row r="51" spans="1:16">
      <c r="A51" s="578" t="s">
        <v>164</v>
      </c>
      <c r="B51" s="601"/>
      <c r="C51" s="601"/>
      <c r="D51" s="523" t="s">
        <v>130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8"/>
      <c r="O51" s="727"/>
      <c r="P51" s="713"/>
    </row>
    <row r="52" spans="1:16">
      <c r="A52" s="578" t="s">
        <v>177</v>
      </c>
      <c r="B52" s="601"/>
      <c r="C52" s="601"/>
      <c r="D52" s="523" t="s">
        <v>130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7"/>
      <c r="P52" s="713"/>
    </row>
    <row r="53" spans="1:16">
      <c r="A53" s="578" t="s">
        <v>166</v>
      </c>
      <c r="B53" s="601"/>
      <c r="C53" s="601"/>
      <c r="D53" s="523" t="s">
        <v>130</v>
      </c>
      <c r="E53" s="510">
        <f>'11'!F53</f>
        <v>434231.59</v>
      </c>
      <c r="F53" s="510">
        <v>434232</v>
      </c>
      <c r="G53" s="473">
        <f t="shared" si="4"/>
        <v>0.40999999997438863</v>
      </c>
      <c r="H53" s="460">
        <f>G53+'11'!H53</f>
        <v>-0.33000000001629815</v>
      </c>
      <c r="I53" s="455"/>
      <c r="J53" s="552">
        <f>H53/DAY(B2)</f>
        <v>-2.7500000001358178E-2</v>
      </c>
      <c r="K53" s="428"/>
      <c r="L53" s="377"/>
      <c r="N53" s="718"/>
      <c r="O53" s="727"/>
      <c r="P53" s="713"/>
    </row>
    <row r="54" spans="1:16">
      <c r="A54" s="578" t="s">
        <v>178</v>
      </c>
      <c r="B54" s="601"/>
      <c r="C54" s="601"/>
      <c r="D54" s="523" t="s">
        <v>130</v>
      </c>
      <c r="E54" s="510">
        <f>'11'!F54</f>
        <v>14967</v>
      </c>
      <c r="F54" s="510">
        <v>14967</v>
      </c>
      <c r="G54" s="473">
        <f t="shared" si="4"/>
        <v>0</v>
      </c>
      <c r="H54" s="460">
        <f>G54+'11'!H54</f>
        <v>0</v>
      </c>
      <c r="I54" s="455"/>
      <c r="J54" s="552">
        <f>H54/DAY(B2)</f>
        <v>0</v>
      </c>
      <c r="K54" s="428"/>
      <c r="L54" s="377"/>
      <c r="N54" s="718"/>
      <c r="O54" s="727"/>
      <c r="P54" s="713"/>
    </row>
    <row r="55" spans="1:16">
      <c r="A55" s="578" t="s">
        <v>179</v>
      </c>
      <c r="B55" s="601"/>
      <c r="C55" s="601"/>
      <c r="D55" s="523" t="s">
        <v>130</v>
      </c>
      <c r="E55" s="510">
        <f>'11'!F55</f>
        <v>157337.92000000001</v>
      </c>
      <c r="F55" s="653">
        <v>162722</v>
      </c>
      <c r="G55" s="652">
        <f t="shared" si="4"/>
        <v>5384.0799999999872</v>
      </c>
      <c r="H55" s="705">
        <f>G55+'11'!H55</f>
        <v>39512</v>
      </c>
      <c r="I55" s="706"/>
      <c r="J55" s="707">
        <f>H55/DAY(B2)</f>
        <v>3292.6666666666665</v>
      </c>
      <c r="K55" s="428"/>
      <c r="L55" s="377"/>
      <c r="N55" s="718"/>
      <c r="O55" s="727"/>
      <c r="P55" s="713"/>
    </row>
    <row r="56" spans="1:16">
      <c r="A56" s="578" t="s">
        <v>180</v>
      </c>
      <c r="B56" s="601"/>
      <c r="C56" s="601"/>
      <c r="D56" s="523" t="s">
        <v>181</v>
      </c>
      <c r="E56" s="510">
        <f>'11'!F56</f>
        <v>649149.15</v>
      </c>
      <c r="F56" s="653">
        <v>649158.79</v>
      </c>
      <c r="G56" s="473">
        <f t="shared" si="4"/>
        <v>9.6400000000139698</v>
      </c>
      <c r="H56" s="460">
        <f>G56+'11'!H56</f>
        <v>116.79000000003725</v>
      </c>
      <c r="I56" s="455"/>
      <c r="J56" s="552">
        <f>H56/DAY(B2)</f>
        <v>9.732500000003105</v>
      </c>
      <c r="K56" s="427"/>
      <c r="L56" s="377"/>
      <c r="N56" s="718"/>
      <c r="O56" s="727"/>
      <c r="P56" s="713"/>
    </row>
    <row r="57" spans="1:16">
      <c r="A57" s="578" t="s">
        <v>170</v>
      </c>
      <c r="B57" s="601"/>
      <c r="C57" s="601"/>
      <c r="D57" s="523" t="s">
        <v>130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8"/>
      <c r="O57" s="727"/>
      <c r="P57" s="713"/>
    </row>
    <row r="58" spans="1:16">
      <c r="A58" s="578" t="s">
        <v>182</v>
      </c>
      <c r="B58" s="601"/>
      <c r="C58" s="601"/>
      <c r="D58" s="523" t="s">
        <v>130</v>
      </c>
      <c r="E58" s="510">
        <f>'11'!F58</f>
        <v>55811.06</v>
      </c>
      <c r="F58" s="653">
        <v>56042.16</v>
      </c>
      <c r="G58" s="473">
        <f>F58-E58</f>
        <v>231.10000000000582</v>
      </c>
      <c r="H58" s="460">
        <f>G58+'11'!H58</f>
        <v>1862.1600000000035</v>
      </c>
      <c r="I58" s="455"/>
      <c r="J58" s="552">
        <f>H58/DAY(B2)</f>
        <v>155.18000000000029</v>
      </c>
      <c r="K58" s="428"/>
      <c r="L58" s="377"/>
      <c r="N58" s="718"/>
      <c r="O58" s="727"/>
      <c r="P58" s="713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9730.1899999999441</v>
      </c>
      <c r="H59" s="460">
        <f>G59+'11'!H59</f>
        <v>59710.799999999959</v>
      </c>
      <c r="I59" s="455">
        <f>G7-G60</f>
        <v>-49.380000000131986</v>
      </c>
      <c r="J59" s="552">
        <f>H59/DAY(B2)</f>
        <v>4975.8999999999969</v>
      </c>
      <c r="K59" s="428"/>
      <c r="L59" s="377"/>
      <c r="N59" s="718"/>
      <c r="O59" s="727"/>
      <c r="P59" s="713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21176.900000000122</v>
      </c>
      <c r="H60" s="460">
        <f>G60+'11'!H60</f>
        <v>260363.99000000008</v>
      </c>
      <c r="I60" s="455">
        <f>G13-G60</f>
        <v>-727.10000000030777</v>
      </c>
      <c r="J60" s="552">
        <f>H60/DAY(B2)</f>
        <v>21696.999166666672</v>
      </c>
      <c r="K60" s="428"/>
      <c r="L60" s="377"/>
      <c r="N60" s="718"/>
      <c r="O60" s="727"/>
      <c r="P60" s="713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7"/>
      <c r="P61" s="713"/>
    </row>
    <row r="62" spans="1:16">
      <c r="A62" s="603" t="s">
        <v>97</v>
      </c>
      <c r="B62" s="604"/>
      <c r="C62" s="604"/>
      <c r="D62" s="511" t="s">
        <v>185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8"/>
      <c r="O62" s="727"/>
      <c r="P62" s="713"/>
    </row>
    <row r="63" spans="1:16">
      <c r="A63" s="603" t="s">
        <v>186</v>
      </c>
      <c r="B63" s="604"/>
      <c r="C63" s="604"/>
      <c r="D63" s="511" t="s">
        <v>185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8"/>
      <c r="O63" s="727"/>
      <c r="P63" s="713"/>
    </row>
    <row r="64" spans="1:16" ht="27.75">
      <c r="A64" s="1543" t="s">
        <v>98</v>
      </c>
      <c r="B64" s="1544"/>
      <c r="C64" s="1545"/>
      <c r="D64" s="523" t="s">
        <v>185</v>
      </c>
      <c r="E64" s="514">
        <f>'11'!F64</f>
        <v>174412.43</v>
      </c>
      <c r="F64" s="478">
        <v>174787.25</v>
      </c>
      <c r="G64" s="473">
        <f t="shared" si="5"/>
        <v>374.82000000000698</v>
      </c>
      <c r="H64" s="460">
        <f>G64+'11'!H64</f>
        <v>4765.25</v>
      </c>
      <c r="I64" s="480"/>
      <c r="J64" s="552">
        <f>H64/DAY(B2)</f>
        <v>397.10416666666669</v>
      </c>
      <c r="K64" s="428"/>
      <c r="L64" s="377"/>
      <c r="N64" s="718"/>
      <c r="O64" s="727"/>
      <c r="P64" s="713"/>
    </row>
    <row r="65" spans="1:16" ht="27.75">
      <c r="A65" s="1543" t="s">
        <v>99</v>
      </c>
      <c r="B65" s="1544"/>
      <c r="C65" s="1545"/>
      <c r="D65" s="523" t="s">
        <v>185</v>
      </c>
      <c r="E65" s="514">
        <f>'11'!F65</f>
        <v>174374.93</v>
      </c>
      <c r="F65" s="651">
        <v>174756.89</v>
      </c>
      <c r="G65" s="473">
        <f t="shared" si="5"/>
        <v>381.96000000002095</v>
      </c>
      <c r="H65" s="460">
        <f>G65+'11'!H65</f>
        <v>4454.890000000014</v>
      </c>
      <c r="I65" s="489"/>
      <c r="J65" s="552">
        <f>H65/DAY(B2)</f>
        <v>371.24083333333448</v>
      </c>
      <c r="K65" s="428"/>
      <c r="L65" s="377"/>
      <c r="N65" s="718"/>
      <c r="O65" s="727"/>
      <c r="P65" s="713"/>
    </row>
    <row r="66" spans="1:16" ht="27.75">
      <c r="A66" s="1543" t="s">
        <v>100</v>
      </c>
      <c r="B66" s="1544"/>
      <c r="C66" s="1545"/>
      <c r="D66" s="523" t="s">
        <v>185</v>
      </c>
      <c r="E66" s="514">
        <f>'11'!F66</f>
        <v>72541.13</v>
      </c>
      <c r="F66" s="478">
        <v>72962.960000000006</v>
      </c>
      <c r="G66" s="473">
        <f t="shared" si="5"/>
        <v>421.83000000000175</v>
      </c>
      <c r="H66" s="460">
        <f>G66+'11'!H66</f>
        <v>4992.9600000000064</v>
      </c>
      <c r="I66" s="480"/>
      <c r="J66" s="552">
        <f>H66/DAY(B2)</f>
        <v>416.08000000000055</v>
      </c>
      <c r="K66" s="428"/>
      <c r="L66" s="377"/>
      <c r="N66" s="718"/>
      <c r="O66" s="727"/>
      <c r="P66" s="713"/>
    </row>
    <row r="67" spans="1:16" ht="27.75">
      <c r="A67" s="1543" t="s">
        <v>101</v>
      </c>
      <c r="B67" s="1544"/>
      <c r="C67" s="1545"/>
      <c r="D67" s="523" t="s">
        <v>185</v>
      </c>
      <c r="E67" s="514">
        <f>'11'!F67</f>
        <v>270132.69</v>
      </c>
      <c r="F67" s="478">
        <v>270573.67</v>
      </c>
      <c r="G67" s="473">
        <f t="shared" si="5"/>
        <v>440.97999999998137</v>
      </c>
      <c r="H67" s="460">
        <f>G67+'11'!H67</f>
        <v>5614.6699999999837</v>
      </c>
      <c r="I67" s="489"/>
      <c r="J67" s="552">
        <f>H67/DAY(B2)</f>
        <v>467.88916666666529</v>
      </c>
      <c r="K67" s="429"/>
      <c r="L67" s="377"/>
      <c r="N67" s="718"/>
      <c r="O67" s="727"/>
      <c r="P67" s="713"/>
    </row>
    <row r="68" spans="1:16" ht="27.75">
      <c r="A68" s="1543" t="s">
        <v>102</v>
      </c>
      <c r="B68" s="1544"/>
      <c r="C68" s="1545"/>
      <c r="D68" s="523" t="s">
        <v>185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8"/>
      <c r="O68" s="727"/>
      <c r="P68" s="713"/>
    </row>
    <row r="69" spans="1:16" ht="27.75">
      <c r="A69" s="1543" t="s">
        <v>103</v>
      </c>
      <c r="B69" s="1544"/>
      <c r="C69" s="1545"/>
      <c r="D69" s="523" t="s">
        <v>185</v>
      </c>
      <c r="E69" s="514">
        <f>'11'!F69</f>
        <v>90283</v>
      </c>
      <c r="F69" s="478">
        <v>90565.99</v>
      </c>
      <c r="G69" s="473">
        <f t="shared" si="5"/>
        <v>282.99000000000524</v>
      </c>
      <c r="H69" s="460">
        <f>G69+'11'!H69</f>
        <v>3050.9900000000052</v>
      </c>
      <c r="I69" s="516"/>
      <c r="J69" s="552">
        <f>H69/DAY(B2)</f>
        <v>254.24916666666709</v>
      </c>
      <c r="K69" s="431"/>
      <c r="L69" s="377"/>
      <c r="N69" s="718"/>
      <c r="O69" s="727"/>
      <c r="P69" s="713"/>
    </row>
    <row r="70" spans="1:16" ht="27.75">
      <c r="A70" s="1584" t="s">
        <v>187</v>
      </c>
      <c r="B70" s="1585"/>
      <c r="C70" s="1586"/>
      <c r="D70" s="523" t="s">
        <v>185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8"/>
      <c r="O70" s="727"/>
      <c r="P70" s="713"/>
    </row>
    <row r="71" spans="1:16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7"/>
      <c r="P71" s="713"/>
    </row>
    <row r="72" spans="1:16" ht="27.75">
      <c r="A72" s="1543" t="s">
        <v>189</v>
      </c>
      <c r="B72" s="1544"/>
      <c r="C72" s="1545"/>
      <c r="D72" s="523" t="s">
        <v>185</v>
      </c>
      <c r="E72" s="519">
        <f>'11'!F72</f>
        <v>856351</v>
      </c>
      <c r="F72" s="654">
        <v>856364</v>
      </c>
      <c r="G72" s="473">
        <f t="shared" ref="G72:G84" si="6">F72-E72</f>
        <v>13</v>
      </c>
      <c r="H72" s="460">
        <f>G72+'11'!H72</f>
        <v>142</v>
      </c>
      <c r="I72" s="480"/>
      <c r="J72" s="552">
        <f>H72/DAY(B2)</f>
        <v>11.833333333333334</v>
      </c>
      <c r="K72" s="431"/>
      <c r="L72" s="377"/>
      <c r="N72" s="718"/>
      <c r="O72" s="727"/>
      <c r="P72" s="713"/>
    </row>
    <row r="73" spans="1:16" ht="27.75">
      <c r="A73" s="1543" t="s">
        <v>190</v>
      </c>
      <c r="B73" s="1544"/>
      <c r="C73" s="1545"/>
      <c r="D73" s="523" t="s">
        <v>185</v>
      </c>
      <c r="E73" s="519">
        <f>'11'!F73</f>
        <v>885986</v>
      </c>
      <c r="F73" s="655">
        <v>885987</v>
      </c>
      <c r="G73" s="652">
        <f t="shared" si="6"/>
        <v>1</v>
      </c>
      <c r="H73" s="460">
        <f>G73+'11'!H73</f>
        <v>15</v>
      </c>
      <c r="I73" s="480"/>
      <c r="J73" s="552">
        <f>H73/DAY(B2)</f>
        <v>1.25</v>
      </c>
      <c r="K73" s="430"/>
      <c r="L73" s="377"/>
      <c r="N73" s="718"/>
      <c r="O73" s="727"/>
      <c r="P73" s="713"/>
    </row>
    <row r="74" spans="1:16" ht="27.75">
      <c r="A74" s="1543" t="s">
        <v>191</v>
      </c>
      <c r="B74" s="1544"/>
      <c r="C74" s="1545"/>
      <c r="D74" s="523" t="s">
        <v>185</v>
      </c>
      <c r="E74" s="519">
        <f>'11'!F74</f>
        <v>88709.6</v>
      </c>
      <c r="F74" s="655">
        <v>88711.3</v>
      </c>
      <c r="G74" s="473">
        <f t="shared" si="6"/>
        <v>1.6999999999970896</v>
      </c>
      <c r="H74" s="460">
        <f>G74+'11'!H74</f>
        <v>15.30000000000291</v>
      </c>
      <c r="I74" s="480"/>
      <c r="J74" s="552">
        <f>H74/DAY(B2)</f>
        <v>1.2750000000002426</v>
      </c>
      <c r="K74" s="431"/>
      <c r="L74" s="377"/>
      <c r="N74" s="718"/>
      <c r="O74" s="727"/>
      <c r="P74" s="713"/>
    </row>
    <row r="75" spans="1:16" ht="27.75">
      <c r="A75" s="1546" t="s">
        <v>192</v>
      </c>
      <c r="B75" s="1547"/>
      <c r="C75" s="1548"/>
      <c r="D75" s="523" t="s">
        <v>185</v>
      </c>
      <c r="E75" s="519">
        <f>'11'!F75</f>
        <v>17740.29</v>
      </c>
      <c r="F75" s="655">
        <v>17885.84</v>
      </c>
      <c r="G75" s="473">
        <f t="shared" si="6"/>
        <v>145.54999999999927</v>
      </c>
      <c r="H75" s="460">
        <f>G75+'11'!H75</f>
        <v>1814.8400000000001</v>
      </c>
      <c r="I75" s="480"/>
      <c r="J75" s="552">
        <f>H75/DAY(B2)</f>
        <v>151.23666666666668</v>
      </c>
      <c r="K75" s="430"/>
      <c r="L75" s="377"/>
      <c r="N75" s="718"/>
      <c r="O75" s="727"/>
      <c r="P75" s="713"/>
    </row>
    <row r="76" spans="1:16" ht="27.75">
      <c r="A76" s="1546" t="s">
        <v>193</v>
      </c>
      <c r="B76" s="1547"/>
      <c r="C76" s="1548"/>
      <c r="D76" s="523" t="s">
        <v>185</v>
      </c>
      <c r="E76" s="519">
        <f>'11'!F76</f>
        <v>10058.290000000001</v>
      </c>
      <c r="F76" s="655">
        <v>10124.290000000001</v>
      </c>
      <c r="G76" s="473">
        <f t="shared" si="6"/>
        <v>66</v>
      </c>
      <c r="H76" s="460">
        <f>G76+'11'!H76</f>
        <v>788.29000000000087</v>
      </c>
      <c r="I76" s="505"/>
      <c r="J76" s="552">
        <f>H76/DAY(B2)</f>
        <v>65.690833333333401</v>
      </c>
      <c r="K76" s="430"/>
      <c r="L76" s="377"/>
      <c r="N76" s="718"/>
      <c r="O76" s="727"/>
      <c r="P76" s="713"/>
    </row>
    <row r="77" spans="1:16" ht="27.75">
      <c r="A77" s="1543" t="s">
        <v>194</v>
      </c>
      <c r="B77" s="1544"/>
      <c r="C77" s="1545"/>
      <c r="D77" s="523" t="s">
        <v>185</v>
      </c>
      <c r="E77" s="519">
        <f>'11'!F77</f>
        <v>705058</v>
      </c>
      <c r="F77" s="655">
        <v>705111</v>
      </c>
      <c r="G77" s="652">
        <f t="shared" si="6"/>
        <v>53</v>
      </c>
      <c r="H77" s="460">
        <f>G77+'11'!H77</f>
        <v>737</v>
      </c>
      <c r="I77" s="505"/>
      <c r="J77" s="552">
        <f>H77/DAY(B2)</f>
        <v>61.416666666666664</v>
      </c>
      <c r="K77" s="430"/>
      <c r="L77" s="377"/>
      <c r="N77" s="718"/>
      <c r="O77" s="727"/>
      <c r="P77" s="713"/>
    </row>
    <row r="78" spans="1:16" ht="27.75">
      <c r="A78" s="1140" t="s">
        <v>195</v>
      </c>
      <c r="B78" s="1113"/>
      <c r="C78" s="1113"/>
      <c r="D78" s="523" t="s">
        <v>185</v>
      </c>
      <c r="E78" s="519">
        <f>'11'!F78</f>
        <v>676509</v>
      </c>
      <c r="F78" s="656">
        <v>676565</v>
      </c>
      <c r="G78" s="473">
        <f t="shared" si="6"/>
        <v>56</v>
      </c>
      <c r="H78" s="460">
        <f>G78+'11'!H78</f>
        <v>1151</v>
      </c>
      <c r="I78" s="505"/>
      <c r="J78" s="552">
        <f>H78/DAY(B2)</f>
        <v>95.916666666666671</v>
      </c>
      <c r="K78" s="430"/>
      <c r="L78" s="377"/>
      <c r="N78" s="718"/>
      <c r="O78" s="727"/>
      <c r="P78" s="713"/>
    </row>
    <row r="79" spans="1:16" ht="27.75">
      <c r="A79" s="1546" t="s">
        <v>91</v>
      </c>
      <c r="B79" s="1547"/>
      <c r="C79" s="1548"/>
      <c r="D79" s="524" t="s">
        <v>185</v>
      </c>
      <c r="E79" s="519">
        <f>'11'!F79</f>
        <v>837068</v>
      </c>
      <c r="F79" s="656">
        <v>837223</v>
      </c>
      <c r="G79" s="473">
        <f t="shared" si="6"/>
        <v>155</v>
      </c>
      <c r="H79" s="460">
        <f>G79+'11'!H79</f>
        <v>1807</v>
      </c>
      <c r="I79" s="505"/>
      <c r="J79" s="552">
        <f>H79/DAY(B2)</f>
        <v>150.58333333333334</v>
      </c>
      <c r="K79" s="430"/>
      <c r="L79" s="377"/>
      <c r="N79" s="718"/>
      <c r="O79" s="727"/>
      <c r="P79" s="713"/>
    </row>
    <row r="80" spans="1:16" ht="27.75">
      <c r="A80" s="1546" t="s">
        <v>196</v>
      </c>
      <c r="B80" s="1547"/>
      <c r="C80" s="1548"/>
      <c r="D80" s="524" t="s">
        <v>185</v>
      </c>
      <c r="E80" s="519">
        <f>'11'!F80</f>
        <v>543549.16</v>
      </c>
      <c r="F80" s="655">
        <v>543968.04</v>
      </c>
      <c r="G80" s="473">
        <f t="shared" si="6"/>
        <v>418.88000000000466</v>
      </c>
      <c r="H80" s="460">
        <f>G80+'11'!H80</f>
        <v>4955.0400000000373</v>
      </c>
      <c r="I80" s="505"/>
      <c r="J80" s="552">
        <f>H80/DAY(B2)</f>
        <v>412.92000000000309</v>
      </c>
      <c r="K80" s="430"/>
      <c r="L80" s="377"/>
      <c r="N80" s="718"/>
      <c r="O80" s="727"/>
      <c r="P80" s="713"/>
    </row>
    <row r="81" spans="1:17" ht="27.75">
      <c r="A81" s="1546" t="s">
        <v>197</v>
      </c>
      <c r="B81" s="1547"/>
      <c r="C81" s="1548"/>
      <c r="D81" s="524" t="s">
        <v>185</v>
      </c>
      <c r="E81" s="519">
        <f>'11'!F81</f>
        <v>645157</v>
      </c>
      <c r="F81" s="655">
        <v>645289.31999999995</v>
      </c>
      <c r="G81" s="473">
        <f t="shared" si="6"/>
        <v>132.31999999994878</v>
      </c>
      <c r="H81" s="460">
        <f>G81+'11'!H81</f>
        <v>2304.3199999999488</v>
      </c>
      <c r="I81" s="505"/>
      <c r="J81" s="552">
        <f>H81/DAY(B2)</f>
        <v>192.02666666666241</v>
      </c>
      <c r="K81" s="430"/>
      <c r="L81" s="377"/>
      <c r="N81" s="718"/>
      <c r="O81" s="727"/>
      <c r="P81" s="713"/>
    </row>
    <row r="82" spans="1:17" ht="27.75">
      <c r="A82" s="1546" t="s">
        <v>92</v>
      </c>
      <c r="B82" s="1547"/>
      <c r="C82" s="1548"/>
      <c r="D82" s="485" t="s">
        <v>130</v>
      </c>
      <c r="E82" s="519">
        <f>'11'!F82</f>
        <v>108911.61</v>
      </c>
      <c r="F82" s="651">
        <v>108925.77</v>
      </c>
      <c r="G82" s="473">
        <f t="shared" si="6"/>
        <v>14.160000000003492</v>
      </c>
      <c r="H82" s="460">
        <f>G82+'11'!H82</f>
        <v>244.77000000000407</v>
      </c>
      <c r="I82" s="486"/>
      <c r="J82" s="552">
        <f>H82/DAY(B2)</f>
        <v>20.397500000000338</v>
      </c>
      <c r="K82" s="430"/>
      <c r="L82" s="377"/>
      <c r="N82" s="718"/>
      <c r="O82" s="727"/>
      <c r="P82" s="713"/>
    </row>
    <row r="83" spans="1:17" ht="27.75">
      <c r="A83" s="1546" t="s">
        <v>198</v>
      </c>
      <c r="B83" s="1547"/>
      <c r="C83" s="1548"/>
      <c r="D83" s="620" t="s">
        <v>130</v>
      </c>
      <c r="E83" s="519">
        <f>'11'!F83</f>
        <v>30206</v>
      </c>
      <c r="F83" s="511">
        <v>30443</v>
      </c>
      <c r="G83" s="473">
        <f t="shared" si="6"/>
        <v>237</v>
      </c>
      <c r="H83" s="460">
        <f>G83+'11'!H83</f>
        <v>2892</v>
      </c>
      <c r="I83" s="481"/>
      <c r="J83" s="552">
        <f>H83/DAY(B2)</f>
        <v>241</v>
      </c>
      <c r="K83" s="429"/>
      <c r="L83" s="377"/>
      <c r="N83" s="718"/>
      <c r="O83" s="727"/>
      <c r="P83" s="713"/>
    </row>
    <row r="84" spans="1:17">
      <c r="A84" s="1141" t="s">
        <v>199</v>
      </c>
      <c r="B84" s="571"/>
      <c r="C84" s="571"/>
      <c r="D84" s="478" t="s">
        <v>130</v>
      </c>
      <c r="E84" s="519">
        <f>'11'!F84</f>
        <v>532063</v>
      </c>
      <c r="F84" s="627">
        <v>532830</v>
      </c>
      <c r="G84" s="473">
        <f t="shared" si="6"/>
        <v>767</v>
      </c>
      <c r="H84" s="460">
        <f>G84+'11'!H84</f>
        <v>9750</v>
      </c>
      <c r="I84" s="481"/>
      <c r="J84" s="552">
        <f>H84/DAY(B2)</f>
        <v>812.5</v>
      </c>
      <c r="K84" s="380"/>
      <c r="L84" s="377"/>
      <c r="N84" s="718"/>
      <c r="O84" s="727"/>
      <c r="P84" s="713"/>
    </row>
    <row r="85" spans="1:17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2060.6099999999533</v>
      </c>
      <c r="H85" s="460">
        <f>G85+'11'!H85</f>
        <v>26616.559999999994</v>
      </c>
      <c r="I85" s="481"/>
      <c r="J85" s="552">
        <f>H85/DAY(B2)</f>
        <v>2218.0466666666662</v>
      </c>
      <c r="K85" s="380"/>
      <c r="L85" s="378"/>
      <c r="N85" s="718"/>
      <c r="O85" s="727"/>
      <c r="P85" s="713"/>
      <c r="Q85" s="735"/>
    </row>
    <row r="86" spans="1:17" s="735" customFormat="1">
      <c r="A86" s="730" t="s">
        <v>93</v>
      </c>
      <c r="B86" s="731"/>
      <c r="C86" s="731"/>
      <c r="D86" s="732" t="s">
        <v>181</v>
      </c>
      <c r="E86" s="627">
        <f>'11'!F86</f>
        <v>462111.8</v>
      </c>
      <c r="F86" s="647">
        <v>462143.64</v>
      </c>
      <c r="G86" s="705">
        <f t="shared" ref="G86:G91" si="7">F86-E86</f>
        <v>31.840000000025611</v>
      </c>
      <c r="H86" s="705">
        <f t="shared" ref="H86:H88" si="8">G86</f>
        <v>31.840000000025611</v>
      </c>
      <c r="I86" s="652"/>
      <c r="J86" s="707">
        <f>H86/DAY(B2)</f>
        <v>2.6533333333354676</v>
      </c>
      <c r="K86" s="733"/>
      <c r="L86" s="734"/>
      <c r="O86" s="713"/>
    </row>
    <row r="87" spans="1:17" s="735" customFormat="1">
      <c r="A87" s="730" t="s">
        <v>94</v>
      </c>
      <c r="B87" s="731"/>
      <c r="C87" s="731"/>
      <c r="D87" s="732" t="s">
        <v>181</v>
      </c>
      <c r="E87" s="627">
        <f>'11'!F87</f>
        <v>82377.3</v>
      </c>
      <c r="F87" s="647">
        <v>82402.100000000006</v>
      </c>
      <c r="G87" s="705">
        <f t="shared" si="7"/>
        <v>24.80000000000291</v>
      </c>
      <c r="H87" s="705">
        <f t="shared" si="8"/>
        <v>24.80000000000291</v>
      </c>
      <c r="I87" s="652"/>
      <c r="J87" s="707">
        <f>H87/DAY(B2)</f>
        <v>2.0666666666669093</v>
      </c>
      <c r="K87" s="733"/>
      <c r="L87" s="734"/>
      <c r="O87" s="713"/>
    </row>
    <row r="88" spans="1:17" s="735" customFormat="1">
      <c r="A88" s="730" t="s">
        <v>95</v>
      </c>
      <c r="B88" s="731"/>
      <c r="C88" s="731"/>
      <c r="D88" s="732" t="s">
        <v>181</v>
      </c>
      <c r="E88" s="627">
        <f>'11'!F88</f>
        <v>156526.41</v>
      </c>
      <c r="F88" s="647">
        <v>156638.73000000001</v>
      </c>
      <c r="G88" s="705">
        <f t="shared" si="7"/>
        <v>112.32000000000698</v>
      </c>
      <c r="H88" s="705">
        <f t="shared" si="8"/>
        <v>112.32000000000698</v>
      </c>
      <c r="I88" s="652"/>
      <c r="J88" s="707">
        <f>H88/DAY(B2)</f>
        <v>9.3600000000005821</v>
      </c>
      <c r="K88" s="733"/>
      <c r="L88" s="734"/>
      <c r="O88" s="713"/>
    </row>
    <row r="89" spans="1:17" s="735" customFormat="1">
      <c r="A89" s="730" t="s">
        <v>202</v>
      </c>
      <c r="B89" s="731"/>
      <c r="C89" s="731"/>
      <c r="D89" s="732" t="s">
        <v>181</v>
      </c>
      <c r="E89" s="627">
        <f>'11'!F89</f>
        <v>66357.600000000006</v>
      </c>
      <c r="F89" s="647">
        <v>66382.8</v>
      </c>
      <c r="G89" s="705">
        <f t="shared" si="7"/>
        <v>25.19999999999709</v>
      </c>
      <c r="H89" s="705">
        <f>G89</f>
        <v>25.19999999999709</v>
      </c>
      <c r="I89" s="652"/>
      <c r="J89" s="707">
        <f>H89/DAY(B2)</f>
        <v>2.0999999999997576</v>
      </c>
      <c r="K89" s="733"/>
      <c r="L89" s="734"/>
      <c r="N89" s="777"/>
      <c r="O89" s="713"/>
    </row>
    <row r="90" spans="1:17" s="735" customFormat="1">
      <c r="A90" s="730" t="s">
        <v>202</v>
      </c>
      <c r="B90" s="731"/>
      <c r="C90" s="731"/>
      <c r="D90" s="732" t="s">
        <v>181</v>
      </c>
      <c r="E90" s="627">
        <f>'11'!F90</f>
        <v>3381.4</v>
      </c>
      <c r="F90" s="647">
        <v>3385.2</v>
      </c>
      <c r="G90" s="705">
        <f t="shared" si="7"/>
        <v>3.7999999999997272</v>
      </c>
      <c r="H90" s="705">
        <f>G90</f>
        <v>3.7999999999997272</v>
      </c>
      <c r="I90" s="652"/>
      <c r="J90" s="707">
        <f>H90/DAY(B2)</f>
        <v>0.31666666666664395</v>
      </c>
      <c r="K90" s="733"/>
      <c r="L90" s="734"/>
      <c r="N90" s="777"/>
      <c r="O90" s="713"/>
    </row>
    <row r="91" spans="1:17" s="735" customFormat="1">
      <c r="A91" s="730" t="s">
        <v>346</v>
      </c>
      <c r="B91" s="731"/>
      <c r="C91" s="731"/>
      <c r="D91" s="732"/>
      <c r="E91" s="627">
        <f>'11'!F91</f>
        <v>28334.9</v>
      </c>
      <c r="F91" s="647">
        <v>28345</v>
      </c>
      <c r="G91" s="705">
        <f t="shared" si="7"/>
        <v>10.099999999998545</v>
      </c>
      <c r="H91" s="705">
        <f>G91</f>
        <v>10.099999999998545</v>
      </c>
      <c r="I91" s="652"/>
      <c r="J91" s="707"/>
      <c r="K91" s="733"/>
      <c r="L91" s="734"/>
      <c r="N91" s="777"/>
      <c r="O91" s="382"/>
    </row>
    <row r="92" spans="1:17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7"/>
      <c r="P92" s="713"/>
      <c r="Q92" s="735"/>
    </row>
    <row r="93" spans="1:17" ht="27.75">
      <c r="A93" s="1562" t="s">
        <v>204</v>
      </c>
      <c r="B93" s="1563"/>
      <c r="C93" s="1564"/>
      <c r="D93" s="523" t="s">
        <v>142</v>
      </c>
      <c r="E93" s="484">
        <f>'11'!F93</f>
        <v>248492</v>
      </c>
      <c r="F93" s="478">
        <v>248587</v>
      </c>
      <c r="G93" s="473">
        <f t="shared" ref="G93:G94" si="9">F93-E93</f>
        <v>95</v>
      </c>
      <c r="H93" s="460">
        <f>G93+'11'!H93</f>
        <v>1235</v>
      </c>
      <c r="I93" s="480"/>
      <c r="J93" s="552">
        <f>H93/DAY(B2)</f>
        <v>102.91666666666667</v>
      </c>
      <c r="K93" s="429"/>
      <c r="L93" s="377"/>
      <c r="N93" s="718"/>
      <c r="O93" s="727"/>
      <c r="P93" s="713"/>
    </row>
    <row r="94" spans="1:17" ht="27.75">
      <c r="A94" s="1562" t="s">
        <v>205</v>
      </c>
      <c r="B94" s="1563"/>
      <c r="C94" s="1564"/>
      <c r="D94" s="523" t="s">
        <v>142</v>
      </c>
      <c r="E94" s="484">
        <f>'11'!F94</f>
        <v>190711</v>
      </c>
      <c r="F94" s="478">
        <v>190842</v>
      </c>
      <c r="G94" s="473">
        <f t="shared" si="9"/>
        <v>131</v>
      </c>
      <c r="H94" s="460">
        <f>G94+'11'!H94</f>
        <v>1388</v>
      </c>
      <c r="I94" s="480"/>
      <c r="J94" s="552">
        <f>H94/DAY(B2)</f>
        <v>115.66666666666667</v>
      </c>
      <c r="K94" s="380"/>
      <c r="L94" s="377"/>
      <c r="N94" s="718"/>
      <c r="O94" s="727"/>
      <c r="P94" s="713"/>
    </row>
    <row r="95" spans="1:17">
      <c r="A95" s="1594" t="s">
        <v>206</v>
      </c>
      <c r="B95" s="1595"/>
      <c r="C95" s="1596"/>
      <c r="D95" s="523"/>
      <c r="E95" s="484">
        <f>'11'!F95</f>
        <v>0</v>
      </c>
      <c r="F95" s="478"/>
      <c r="G95" s="473">
        <f>G93+G94</f>
        <v>226</v>
      </c>
      <c r="H95" s="460">
        <f>G95+'11'!H95</f>
        <v>2437</v>
      </c>
      <c r="I95" s="480"/>
      <c r="J95" s="552">
        <f>H95/DAY(B2)</f>
        <v>203.08333333333334</v>
      </c>
      <c r="K95" s="380"/>
      <c r="L95" s="377"/>
      <c r="N95" s="718"/>
      <c r="O95" s="727"/>
      <c r="P95" s="713"/>
    </row>
    <row r="96" spans="1:17" ht="27.75">
      <c r="A96" s="1562" t="s">
        <v>207</v>
      </c>
      <c r="B96" s="1563"/>
      <c r="C96" s="1564"/>
      <c r="D96" s="523" t="s">
        <v>142</v>
      </c>
      <c r="E96" s="484">
        <f>'11'!F96</f>
        <v>417015</v>
      </c>
      <c r="F96" s="478">
        <v>417106</v>
      </c>
      <c r="G96" s="473">
        <f t="shared" ref="G96:G101" si="10">F96-E96</f>
        <v>91</v>
      </c>
      <c r="H96" s="460">
        <f>G96+'11'!H96</f>
        <v>1107</v>
      </c>
      <c r="I96" s="480"/>
      <c r="J96" s="552">
        <f>H96/DAY(B2)</f>
        <v>92.25</v>
      </c>
      <c r="K96" s="380"/>
      <c r="L96" s="377"/>
      <c r="N96" s="718"/>
      <c r="O96" s="727"/>
      <c r="P96" s="713"/>
    </row>
    <row r="97" spans="1:17" ht="27.75">
      <c r="A97" s="1137" t="s">
        <v>208</v>
      </c>
      <c r="B97" s="1138"/>
      <c r="C97" s="1138"/>
      <c r="D97" s="523" t="s">
        <v>142</v>
      </c>
      <c r="E97" s="484">
        <f>'11'!F97</f>
        <v>103403</v>
      </c>
      <c r="F97" s="478">
        <v>103425</v>
      </c>
      <c r="G97" s="473">
        <f t="shared" si="10"/>
        <v>22</v>
      </c>
      <c r="H97" s="460">
        <f>G97+'11'!H97</f>
        <v>262</v>
      </c>
      <c r="I97" s="480"/>
      <c r="J97" s="552">
        <f>H97/DAY(B2)</f>
        <v>21.833333333333332</v>
      </c>
      <c r="K97" s="427"/>
      <c r="L97" s="377"/>
      <c r="N97" s="718"/>
      <c r="O97" s="727"/>
      <c r="P97" s="713"/>
    </row>
    <row r="98" spans="1:17" ht="27.75">
      <c r="A98" s="1137" t="s">
        <v>209</v>
      </c>
      <c r="B98" s="1138"/>
      <c r="C98" s="1138"/>
      <c r="D98" s="523" t="s">
        <v>142</v>
      </c>
      <c r="E98" s="484">
        <f>'11'!F98</f>
        <v>98942</v>
      </c>
      <c r="F98" s="478">
        <v>98963</v>
      </c>
      <c r="G98" s="473">
        <f t="shared" si="10"/>
        <v>21</v>
      </c>
      <c r="H98" s="460">
        <f>G98+'11'!H98</f>
        <v>306</v>
      </c>
      <c r="I98" s="480"/>
      <c r="J98" s="552">
        <f>H98/DAY(B2)</f>
        <v>25.5</v>
      </c>
      <c r="K98" s="432"/>
      <c r="L98" s="377"/>
      <c r="N98" s="718"/>
      <c r="O98" s="727"/>
      <c r="P98" s="713"/>
    </row>
    <row r="99" spans="1:17" ht="27.75">
      <c r="A99" s="1137" t="s">
        <v>210</v>
      </c>
      <c r="B99" s="1138"/>
      <c r="C99" s="1138"/>
      <c r="D99" s="523" t="s">
        <v>142</v>
      </c>
      <c r="E99" s="484">
        <f>'11'!F99</f>
        <v>150726</v>
      </c>
      <c r="F99" s="478">
        <v>150797</v>
      </c>
      <c r="G99" s="473">
        <f t="shared" si="10"/>
        <v>71</v>
      </c>
      <c r="H99" s="460">
        <f>G99+'11'!H99</f>
        <v>392</v>
      </c>
      <c r="I99" s="480"/>
      <c r="J99" s="552">
        <f>H99/DAY(B2)</f>
        <v>32.666666666666664</v>
      </c>
      <c r="K99" s="380"/>
      <c r="L99" s="377"/>
      <c r="N99" s="720"/>
      <c r="O99" s="727"/>
      <c r="P99" s="713"/>
    </row>
    <row r="100" spans="1:17" ht="27.75">
      <c r="A100" s="1137" t="s">
        <v>211</v>
      </c>
      <c r="B100" s="1138"/>
      <c r="C100" s="1138"/>
      <c r="D100" s="523" t="s">
        <v>142</v>
      </c>
      <c r="E100" s="484">
        <f>'11'!F100</f>
        <v>7916</v>
      </c>
      <c r="F100" s="478">
        <v>7930</v>
      </c>
      <c r="G100" s="473">
        <f t="shared" si="10"/>
        <v>14</v>
      </c>
      <c r="H100" s="460">
        <f>G100+'11'!H100</f>
        <v>133</v>
      </c>
      <c r="I100" s="480"/>
      <c r="J100" s="552">
        <f>H100/DAY(B2)</f>
        <v>11.083333333333334</v>
      </c>
      <c r="K100" s="380"/>
      <c r="L100" s="377"/>
      <c r="N100" s="718"/>
      <c r="O100" s="727"/>
      <c r="P100" s="713"/>
    </row>
    <row r="101" spans="1:17" ht="27.75">
      <c r="A101" s="1137" t="s">
        <v>212</v>
      </c>
      <c r="B101" s="1138"/>
      <c r="C101" s="1138"/>
      <c r="D101" s="523" t="s">
        <v>142</v>
      </c>
      <c r="E101" s="484">
        <f>'11'!F101</f>
        <v>5785</v>
      </c>
      <c r="F101" s="478">
        <v>5796</v>
      </c>
      <c r="G101" s="473">
        <f t="shared" si="10"/>
        <v>11</v>
      </c>
      <c r="H101" s="460">
        <f>G101+'11'!H101</f>
        <v>122</v>
      </c>
      <c r="I101" s="480"/>
      <c r="J101" s="552">
        <f>H101/DAY(B2)</f>
        <v>10.166666666666666</v>
      </c>
      <c r="K101" s="380"/>
      <c r="L101" s="377"/>
      <c r="N101" s="718"/>
      <c r="O101" s="727"/>
      <c r="P101" s="713"/>
    </row>
    <row r="102" spans="1:17">
      <c r="A102" s="1594" t="s">
        <v>214</v>
      </c>
      <c r="B102" s="1595"/>
      <c r="C102" s="1596"/>
      <c r="D102" s="524"/>
      <c r="E102" s="484"/>
      <c r="F102" s="524"/>
      <c r="G102" s="525">
        <f>SUM(G96:G101)</f>
        <v>230</v>
      </c>
      <c r="H102" s="460">
        <f>G102+'11'!H102</f>
        <v>2322</v>
      </c>
      <c r="I102" s="526"/>
      <c r="J102" s="552">
        <f>H102/DAY(B2)</f>
        <v>193.5</v>
      </c>
      <c r="K102" s="380"/>
      <c r="L102" s="377"/>
      <c r="N102" s="718"/>
      <c r="O102" s="727"/>
      <c r="P102" s="713"/>
    </row>
    <row r="103" spans="1:17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7"/>
      <c r="P103" s="713"/>
      <c r="Q103" s="445"/>
    </row>
    <row r="104" spans="1:17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7"/>
      <c r="P104" s="713"/>
      <c r="Q104" s="445"/>
    </row>
    <row r="105" spans="1:17" s="442" customFormat="1" ht="27.75">
      <c r="A105" s="1554" t="s">
        <v>217</v>
      </c>
      <c r="B105" s="1555"/>
      <c r="C105" s="1136"/>
      <c r="D105" s="622" t="s">
        <v>142</v>
      </c>
      <c r="E105" s="484">
        <f>'11'!F105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5.7816666666665997</v>
      </c>
      <c r="N105" s="718"/>
      <c r="O105" s="727"/>
      <c r="P105" s="713"/>
      <c r="Q105" s="445"/>
    </row>
    <row r="106" spans="1:17" s="442" customFormat="1" ht="27.75">
      <c r="A106" s="1554" t="s">
        <v>76</v>
      </c>
      <c r="B106" s="1555"/>
      <c r="C106" s="1136"/>
      <c r="D106" s="622" t="s">
        <v>142</v>
      </c>
      <c r="E106" s="484">
        <f>'11'!F106</f>
        <v>36255</v>
      </c>
      <c r="F106" s="659">
        <v>36269</v>
      </c>
      <c r="G106" s="532">
        <f t="shared" ref="G106:G107" si="11">F106-E106</f>
        <v>14</v>
      </c>
      <c r="H106" s="533">
        <f>SUM(G106+'1'!G77)</f>
        <v>67</v>
      </c>
      <c r="I106" s="532"/>
      <c r="J106" s="558">
        <f>H106/DAY(B2)</f>
        <v>5.583333333333333</v>
      </c>
      <c r="N106" s="718"/>
      <c r="O106" s="727"/>
      <c r="P106" s="713"/>
      <c r="Q106" s="445"/>
    </row>
    <row r="107" spans="1:17" s="442" customFormat="1" ht="27.75">
      <c r="A107" s="1554" t="s">
        <v>77</v>
      </c>
      <c r="B107" s="1599"/>
      <c r="C107" s="1555"/>
      <c r="D107" s="622" t="s">
        <v>142</v>
      </c>
      <c r="E107" s="484">
        <f>'11'!F107</f>
        <v>19869</v>
      </c>
      <c r="F107" s="659">
        <v>19874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9.9166666666666661</v>
      </c>
      <c r="N107" s="718"/>
      <c r="O107" s="727"/>
      <c r="P107" s="713"/>
      <c r="Q107" s="445"/>
    </row>
    <row r="108" spans="1:17" s="442" customFormat="1" ht="27.75">
      <c r="A108" s="1556" t="s">
        <v>200</v>
      </c>
      <c r="B108" s="1557"/>
      <c r="C108" s="1136"/>
      <c r="D108" s="622"/>
      <c r="E108" s="484"/>
      <c r="F108" s="659"/>
      <c r="G108" s="532">
        <f>SUM(G105:G107)</f>
        <v>19</v>
      </c>
      <c r="H108" s="533">
        <f>SUM(G108+'1'!G79)</f>
        <v>172</v>
      </c>
      <c r="I108" s="532"/>
      <c r="J108" s="558">
        <f>H108/DAY(B2)</f>
        <v>14.333333333333334</v>
      </c>
      <c r="N108" s="718"/>
      <c r="O108" s="727"/>
      <c r="P108" s="713"/>
      <c r="Q108" s="445"/>
    </row>
    <row r="109" spans="1:17" s="442" customFormat="1" ht="27.75">
      <c r="A109" s="1560" t="s">
        <v>78</v>
      </c>
      <c r="B109" s="1561"/>
      <c r="C109" s="1136"/>
      <c r="D109" s="622" t="s">
        <v>142</v>
      </c>
      <c r="E109" s="484"/>
      <c r="F109" s="659"/>
      <c r="G109" s="532"/>
      <c r="H109" s="533"/>
      <c r="I109" s="532"/>
      <c r="J109" s="558"/>
      <c r="N109" s="718"/>
      <c r="O109" s="727"/>
      <c r="P109" s="713"/>
      <c r="Q109" s="445"/>
    </row>
    <row r="110" spans="1:17" s="442" customFormat="1" ht="27.75">
      <c r="A110" s="1554" t="s">
        <v>218</v>
      </c>
      <c r="B110" s="1555"/>
      <c r="C110" s="1136"/>
      <c r="D110" s="622" t="s">
        <v>142</v>
      </c>
      <c r="E110" s="484">
        <f>'11'!F110</f>
        <v>65714</v>
      </c>
      <c r="F110" s="659">
        <v>65778</v>
      </c>
      <c r="G110" s="532">
        <f>F110-E110</f>
        <v>64</v>
      </c>
      <c r="H110" s="533">
        <f>SUM(G110+'1'!G81)</f>
        <v>195.64000000001397</v>
      </c>
      <c r="I110" s="532"/>
      <c r="J110" s="558">
        <f>H110/DAY(B2)</f>
        <v>16.303333333334496</v>
      </c>
      <c r="N110" s="718"/>
      <c r="O110" s="727"/>
      <c r="P110" s="713"/>
      <c r="Q110" s="445"/>
    </row>
    <row r="111" spans="1:17" s="442" customFormat="1" ht="27.75">
      <c r="A111" s="1554" t="s">
        <v>219</v>
      </c>
      <c r="B111" s="1555"/>
      <c r="C111" s="1136"/>
      <c r="D111" s="622" t="s">
        <v>142</v>
      </c>
      <c r="E111" s="484">
        <f>'11'!F111</f>
        <v>33459</v>
      </c>
      <c r="F111" s="659">
        <v>33529</v>
      </c>
      <c r="G111" s="532">
        <f t="shared" ref="G111:G112" si="12">F111-E111</f>
        <v>70</v>
      </c>
      <c r="H111" s="533">
        <f>SUM(G111+'1'!G82)</f>
        <v>94.899999999994179</v>
      </c>
      <c r="I111" s="532"/>
      <c r="J111" s="558">
        <f>H111/DAY(B2)</f>
        <v>7.9083333333328483</v>
      </c>
      <c r="N111" s="718"/>
      <c r="O111" s="727"/>
      <c r="P111" s="713"/>
      <c r="Q111" s="445"/>
    </row>
    <row r="112" spans="1:17" s="442" customFormat="1" ht="27.75">
      <c r="A112" s="1554" t="s">
        <v>220</v>
      </c>
      <c r="B112" s="1555"/>
      <c r="C112" s="1136"/>
      <c r="D112" s="622" t="s">
        <v>142</v>
      </c>
      <c r="E112" s="484">
        <f>'11'!F112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29.25</v>
      </c>
      <c r="N112" s="718"/>
      <c r="O112" s="727"/>
      <c r="P112" s="713"/>
      <c r="Q112" s="445"/>
    </row>
    <row r="113" spans="1:17" s="442" customFormat="1" ht="27.75">
      <c r="A113" s="1556" t="s">
        <v>109</v>
      </c>
      <c r="B113" s="1557"/>
      <c r="C113" s="1136"/>
      <c r="D113" s="622"/>
      <c r="E113" s="484"/>
      <c r="F113" s="659"/>
      <c r="G113" s="532">
        <f>SUM(G110:G112)</f>
        <v>134</v>
      </c>
      <c r="H113" s="533">
        <f>SUM(G113+'1'!G84)</f>
        <v>950</v>
      </c>
      <c r="I113" s="532"/>
      <c r="J113" s="558">
        <f>H113/DAY(B2)</f>
        <v>79.166666666666671</v>
      </c>
      <c r="N113" s="718"/>
      <c r="O113" s="727"/>
      <c r="P113" s="713"/>
      <c r="Q113" s="445"/>
    </row>
    <row r="114" spans="1:17" s="442" customFormat="1" ht="27.75">
      <c r="A114" s="1560" t="s">
        <v>221</v>
      </c>
      <c r="B114" s="1561"/>
      <c r="C114" s="1136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7"/>
      <c r="P114" s="713"/>
      <c r="Q114" s="445"/>
    </row>
    <row r="115" spans="1:17" s="442" customFormat="1" ht="27.75">
      <c r="A115" s="1554" t="s">
        <v>222</v>
      </c>
      <c r="B115" s="1555"/>
      <c r="C115" s="574"/>
      <c r="D115" s="622" t="s">
        <v>142</v>
      </c>
      <c r="E115" s="484">
        <f>'11'!F115</f>
        <v>12163</v>
      </c>
      <c r="F115" s="659">
        <v>12179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1.3333333333333333</v>
      </c>
      <c r="N115" s="718"/>
      <c r="O115" s="727"/>
      <c r="P115" s="713"/>
      <c r="Q115" s="445"/>
    </row>
    <row r="116" spans="1:17" s="442" customFormat="1" ht="27.75">
      <c r="A116" s="1554" t="s">
        <v>223</v>
      </c>
      <c r="B116" s="1555"/>
      <c r="C116" s="574"/>
      <c r="D116" s="622" t="s">
        <v>142</v>
      </c>
      <c r="E116" s="484">
        <f>'11'!F116</f>
        <v>8648</v>
      </c>
      <c r="F116" s="659">
        <v>8659</v>
      </c>
      <c r="G116" s="534">
        <f t="shared" ref="G116:G117" si="13">F116-E116</f>
        <v>11</v>
      </c>
      <c r="H116" s="533">
        <f>SUM(G116+'1'!G93)</f>
        <v>100</v>
      </c>
      <c r="I116" s="532"/>
      <c r="J116" s="558">
        <f>H116/DAY(B2)</f>
        <v>8.3333333333333339</v>
      </c>
      <c r="N116" s="718"/>
      <c r="O116" s="727"/>
      <c r="P116" s="713"/>
      <c r="Q116" s="445"/>
    </row>
    <row r="117" spans="1:17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8.0833333333333339</v>
      </c>
      <c r="N117" s="718"/>
      <c r="O117" s="727"/>
      <c r="P117" s="713"/>
      <c r="Q117" s="445"/>
    </row>
    <row r="118" spans="1:17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27</v>
      </c>
      <c r="H118" s="533">
        <f>SUM(G118+'1'!G96)</f>
        <v>113</v>
      </c>
      <c r="I118" s="534"/>
      <c r="J118" s="558">
        <f>H118/DAY(B2)</f>
        <v>9.4166666666666661</v>
      </c>
      <c r="N118" s="718"/>
      <c r="O118" s="727"/>
      <c r="P118" s="713"/>
    </row>
    <row r="119" spans="1:17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161</v>
      </c>
      <c r="G119" s="536">
        <f>SUM(G19+G93)</f>
        <v>161</v>
      </c>
      <c r="H119" s="533">
        <f>SUM(G119+'1'!G97)</f>
        <v>178</v>
      </c>
      <c r="I119" s="535"/>
      <c r="J119" s="559">
        <f>H119/DAY(B2)</f>
        <v>14.833333333333334</v>
      </c>
      <c r="N119" s="718"/>
      <c r="O119" s="727"/>
      <c r="P119" s="713"/>
    </row>
    <row r="120" spans="1:17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17.416666666666668</v>
      </c>
      <c r="N120" s="718"/>
      <c r="O120" s="727"/>
      <c r="P120" s="713"/>
    </row>
    <row r="121" spans="1:17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134</v>
      </c>
      <c r="G121" s="534">
        <f>SUM(G113)</f>
        <v>134</v>
      </c>
      <c r="H121" s="533">
        <f>SUM(G121+'1'!G101)</f>
        <v>139</v>
      </c>
      <c r="I121" s="535"/>
      <c r="J121" s="559">
        <f>H121/DAY(B2)</f>
        <v>11.583333333333334</v>
      </c>
      <c r="N121" s="718"/>
      <c r="O121" s="727"/>
      <c r="P121" s="713"/>
    </row>
    <row r="122" spans="1:17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7"/>
      <c r="P122" s="713"/>
      <c r="Q122" s="445"/>
    </row>
    <row r="123" spans="1:17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7"/>
      <c r="P123" s="713"/>
    </row>
    <row r="124" spans="1:17" ht="27.75">
      <c r="A124" s="1137" t="s">
        <v>229</v>
      </c>
      <c r="B124" s="1138"/>
      <c r="C124" s="1138"/>
      <c r="D124" s="523" t="s">
        <v>139</v>
      </c>
      <c r="E124" s="478">
        <f>'11'!F124</f>
        <v>842701.88</v>
      </c>
      <c r="F124" s="478">
        <v>842969.01</v>
      </c>
      <c r="G124" s="473">
        <f t="shared" ref="G124:G128" si="14">F124-E124</f>
        <v>267.13000000000466</v>
      </c>
      <c r="H124" s="460">
        <f>G124+'11'!H124</f>
        <v>3299.0100000000093</v>
      </c>
      <c r="I124" s="526"/>
      <c r="J124" s="552">
        <f>H124/DAY(B2)</f>
        <v>274.91750000000076</v>
      </c>
      <c r="K124" s="380"/>
      <c r="L124" s="377"/>
      <c r="N124" s="718"/>
      <c r="O124" s="727"/>
      <c r="P124" s="713"/>
    </row>
    <row r="125" spans="1:17" ht="27.75">
      <c r="A125" s="1137" t="s">
        <v>230</v>
      </c>
      <c r="B125" s="1138"/>
      <c r="C125" s="1138"/>
      <c r="D125" s="523" t="s">
        <v>139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8"/>
      <c r="O125" s="727"/>
      <c r="P125" s="713"/>
    </row>
    <row r="126" spans="1:17" ht="27.75">
      <c r="A126" s="1543" t="s">
        <v>231</v>
      </c>
      <c r="B126" s="1544"/>
      <c r="C126" s="1545"/>
      <c r="D126" s="523" t="s">
        <v>139</v>
      </c>
      <c r="E126" s="478">
        <f>'11'!F126</f>
        <v>149531.91</v>
      </c>
      <c r="F126" s="478">
        <v>149636.23000000001</v>
      </c>
      <c r="G126" s="473">
        <f t="shared" si="14"/>
        <v>104.32000000000698</v>
      </c>
      <c r="H126" s="460">
        <f>G126+'11'!H126</f>
        <v>1039.2300000000105</v>
      </c>
      <c r="I126" s="526"/>
      <c r="J126" s="552">
        <f>H126/DAY(B2)</f>
        <v>86.602500000000873</v>
      </c>
      <c r="K126" s="380"/>
      <c r="L126" s="377"/>
      <c r="N126" s="718"/>
      <c r="O126" s="727"/>
      <c r="P126" s="713"/>
    </row>
    <row r="127" spans="1:17" ht="27.75">
      <c r="A127" s="609" t="s">
        <v>232</v>
      </c>
      <c r="B127" s="1138"/>
      <c r="C127" s="1138"/>
      <c r="D127" s="523" t="s">
        <v>139</v>
      </c>
      <c r="E127" s="626">
        <f>'11'!F127</f>
        <v>32482.799999999999</v>
      </c>
      <c r="F127" s="626">
        <v>32518.2</v>
      </c>
      <c r="G127" s="473">
        <f t="shared" si="14"/>
        <v>35.400000000001455</v>
      </c>
      <c r="H127" s="460">
        <f>G127+'11'!H127</f>
        <v>447.20000000000073</v>
      </c>
      <c r="I127" s="526"/>
      <c r="J127" s="552">
        <f>H127/DAY(B2)</f>
        <v>37.26666666666673</v>
      </c>
      <c r="K127" s="380"/>
      <c r="L127" s="377"/>
      <c r="N127" s="718"/>
      <c r="O127" s="727"/>
      <c r="P127" s="713"/>
    </row>
    <row r="128" spans="1:17" ht="27.75">
      <c r="A128" s="609" t="s">
        <v>233</v>
      </c>
      <c r="B128" s="1138"/>
      <c r="C128" s="1138"/>
      <c r="D128" s="523" t="s">
        <v>139</v>
      </c>
      <c r="E128" s="626">
        <f>'11'!F128</f>
        <v>9046.7000000000007</v>
      </c>
      <c r="F128" s="626">
        <v>9050.9</v>
      </c>
      <c r="G128" s="473">
        <f t="shared" si="14"/>
        <v>4.1999999999989086</v>
      </c>
      <c r="H128" s="460">
        <f>G128+'11'!H128</f>
        <v>38.899999999999636</v>
      </c>
      <c r="I128" s="480"/>
      <c r="J128" s="552">
        <f>H128/DAY(B2)</f>
        <v>3.2416666666666365</v>
      </c>
      <c r="K128" s="380"/>
      <c r="L128" s="377"/>
      <c r="N128" s="718"/>
      <c r="O128" s="727"/>
      <c r="P128" s="713"/>
    </row>
    <row r="129" spans="1:17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504.14000000001943</v>
      </c>
      <c r="H129" s="460">
        <f>H15-SUM(H124:H128)</f>
        <v>4921.2599999999275</v>
      </c>
      <c r="I129" s="480"/>
      <c r="J129" s="552"/>
      <c r="K129" s="364"/>
      <c r="L129" s="292"/>
      <c r="N129" s="718"/>
      <c r="O129" s="727"/>
      <c r="P129" s="713"/>
      <c r="Q129" s="710"/>
    </row>
    <row r="130" spans="1:17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7"/>
      <c r="P130" s="713"/>
    </row>
    <row r="131" spans="1:17" ht="27.75">
      <c r="A131" s="1137" t="s">
        <v>236</v>
      </c>
      <c r="B131" s="1138"/>
      <c r="C131" s="1138"/>
      <c r="D131" s="523" t="s">
        <v>237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8"/>
      <c r="O131" s="727"/>
      <c r="P131" s="713"/>
    </row>
    <row r="132" spans="1:17" ht="27.75">
      <c r="A132" s="1137" t="s">
        <v>238</v>
      </c>
      <c r="B132" s="1138"/>
      <c r="C132" s="1138"/>
      <c r="D132" s="523" t="s">
        <v>237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8"/>
      <c r="O132" s="727"/>
      <c r="P132" s="713"/>
    </row>
    <row r="133" spans="1:17" ht="27.75">
      <c r="A133" s="1137" t="s">
        <v>239</v>
      </c>
      <c r="B133" s="1138"/>
      <c r="C133" s="1138"/>
      <c r="D133" s="523" t="s">
        <v>237</v>
      </c>
      <c r="E133" s="541">
        <f>'11'!F133</f>
        <v>40605.550000000003</v>
      </c>
      <c r="F133" s="651">
        <v>40605.550000000003</v>
      </c>
      <c r="G133" s="473">
        <f t="shared" si="15"/>
        <v>0</v>
      </c>
      <c r="H133" s="460">
        <f>G133+'11'!H133</f>
        <v>152.55000000000291</v>
      </c>
      <c r="I133" s="480"/>
      <c r="J133" s="552">
        <f>H133/DAY(B2)</f>
        <v>12.712500000000242</v>
      </c>
      <c r="N133" s="718"/>
      <c r="O133" s="727"/>
      <c r="P133" s="713"/>
    </row>
    <row r="134" spans="1:17" ht="27.75">
      <c r="A134" s="1137" t="s">
        <v>240</v>
      </c>
      <c r="B134" s="1138"/>
      <c r="C134" s="1138"/>
      <c r="D134" s="523" t="s">
        <v>237</v>
      </c>
      <c r="E134" s="701">
        <f>'11'!F134</f>
        <v>300</v>
      </c>
      <c r="F134" s="626">
        <v>304.57</v>
      </c>
      <c r="G134" s="473">
        <f t="shared" si="15"/>
        <v>4.5699999999999932</v>
      </c>
      <c r="H134" s="460">
        <f>G134+'11'!H134</f>
        <v>4.5699999999999932</v>
      </c>
      <c r="I134" s="480">
        <f>G131+G132+G133+G134</f>
        <v>4.5699999999999932</v>
      </c>
      <c r="J134" s="552">
        <f>H134/DAY(B2)</f>
        <v>0.38083333333333275</v>
      </c>
      <c r="N134" s="718"/>
      <c r="O134" s="727"/>
      <c r="P134" s="713"/>
    </row>
    <row r="135" spans="1:17" ht="27.75">
      <c r="A135" s="1137" t="s">
        <v>241</v>
      </c>
      <c r="B135" s="1138"/>
      <c r="C135" s="1138"/>
      <c r="D135" s="523" t="s">
        <v>237</v>
      </c>
      <c r="E135" s="701">
        <f>'11'!F135</f>
        <v>42151.42</v>
      </c>
      <c r="F135" s="626">
        <v>42175.3</v>
      </c>
      <c r="G135" s="473">
        <f t="shared" si="15"/>
        <v>23.880000000004657</v>
      </c>
      <c r="H135" s="460">
        <f>G135+'11'!H135</f>
        <v>203.30000000000291</v>
      </c>
      <c r="I135" s="480"/>
      <c r="J135" s="552">
        <f>H135/DAY(B2)</f>
        <v>16.941666666666908</v>
      </c>
      <c r="N135" s="718"/>
      <c r="O135" s="727"/>
      <c r="P135" s="713"/>
    </row>
    <row r="136" spans="1:17" ht="27.75">
      <c r="A136" s="1137" t="s">
        <v>242</v>
      </c>
      <c r="B136" s="1138"/>
      <c r="C136" s="1138"/>
      <c r="D136" s="523" t="s">
        <v>237</v>
      </c>
      <c r="E136" s="522">
        <f>'11'!F136</f>
        <v>32874.050000000003</v>
      </c>
      <c r="F136" s="651">
        <v>32874.050000000003</v>
      </c>
      <c r="G136" s="473">
        <f t="shared" si="15"/>
        <v>0</v>
      </c>
      <c r="H136" s="460">
        <f>G136+'11'!H136</f>
        <v>5.0000000002910383E-2</v>
      </c>
      <c r="I136" s="480"/>
      <c r="J136" s="552">
        <f>H136/DAY(B2)</f>
        <v>4.1666666669091983E-3</v>
      </c>
      <c r="N136" s="718"/>
      <c r="O136" s="727"/>
      <c r="P136" s="713"/>
    </row>
    <row r="137" spans="1:17" ht="27.75">
      <c r="A137" s="1137" t="s">
        <v>243</v>
      </c>
      <c r="B137" s="1138"/>
      <c r="C137" s="1138"/>
      <c r="D137" s="523" t="s">
        <v>237</v>
      </c>
      <c r="E137" s="541">
        <f>'11'!F137</f>
        <v>22963.85</v>
      </c>
      <c r="F137" s="651">
        <v>22972.33</v>
      </c>
      <c r="G137" s="473">
        <f t="shared" si="15"/>
        <v>8.4800000000032014</v>
      </c>
      <c r="H137" s="460">
        <f>G137+'11'!H137</f>
        <v>80.840000000000146</v>
      </c>
      <c r="I137" s="480">
        <f>G135+G136+G137</f>
        <v>32.360000000007858</v>
      </c>
      <c r="J137" s="552">
        <f>H137/DAY(B2)</f>
        <v>6.7366666666666788</v>
      </c>
      <c r="N137" s="718"/>
      <c r="O137" s="727"/>
      <c r="P137" s="713"/>
    </row>
    <row r="138" spans="1:17" ht="27.75">
      <c r="A138" s="1137" t="s">
        <v>244</v>
      </c>
      <c r="B138" s="1138"/>
      <c r="C138" s="1138"/>
      <c r="D138" s="523" t="s">
        <v>237</v>
      </c>
      <c r="E138" s="541">
        <f>'11'!F138</f>
        <v>25099.16</v>
      </c>
      <c r="F138" s="651">
        <v>25099.16</v>
      </c>
      <c r="G138" s="473">
        <f t="shared" si="15"/>
        <v>0</v>
      </c>
      <c r="H138" s="460">
        <f>G138+'11'!H138</f>
        <v>7.7700000000004366</v>
      </c>
      <c r="I138" s="480"/>
      <c r="J138" s="552">
        <f>H138/DAY(B2)</f>
        <v>0.64750000000003638</v>
      </c>
      <c r="N138" s="718"/>
      <c r="O138" s="727"/>
      <c r="P138" s="713"/>
    </row>
    <row r="139" spans="1:17" ht="27.75">
      <c r="A139" s="1137" t="s">
        <v>245</v>
      </c>
      <c r="B139" s="1138"/>
      <c r="C139" s="1138"/>
      <c r="D139" s="523" t="s">
        <v>237</v>
      </c>
      <c r="E139" s="541">
        <f>'11'!F139</f>
        <v>70514.289999999994</v>
      </c>
      <c r="F139" s="651">
        <v>70514.289999999994</v>
      </c>
      <c r="G139" s="473">
        <f t="shared" si="15"/>
        <v>0</v>
      </c>
      <c r="H139" s="460">
        <f>G139+'11'!H139</f>
        <v>0.66999999999825377</v>
      </c>
      <c r="I139" s="480">
        <f>G138+G139</f>
        <v>0</v>
      </c>
      <c r="J139" s="552">
        <f>H139/DAY(B2)</f>
        <v>5.5833333333187816E-2</v>
      </c>
      <c r="N139" s="718"/>
      <c r="O139" s="727"/>
      <c r="P139" s="713"/>
    </row>
    <row r="140" spans="1:17" ht="27.75">
      <c r="A140" s="1137" t="s">
        <v>246</v>
      </c>
      <c r="B140" s="1138"/>
      <c r="C140" s="1138"/>
      <c r="D140" s="523" t="s">
        <v>237</v>
      </c>
      <c r="E140" s="701">
        <f>'11'!F140</f>
        <v>2241.3000000000002</v>
      </c>
      <c r="F140" s="626">
        <v>2247.77</v>
      </c>
      <c r="G140" s="473">
        <f t="shared" si="15"/>
        <v>6.4699999999997999</v>
      </c>
      <c r="H140" s="460">
        <f>G140+'11'!H140</f>
        <v>118.59000000000015</v>
      </c>
      <c r="I140" s="542"/>
      <c r="J140" s="552">
        <f>H140/DAY(B2)</f>
        <v>9.8825000000000127</v>
      </c>
      <c r="N140" s="718"/>
      <c r="O140" s="727"/>
      <c r="P140" s="713"/>
    </row>
    <row r="141" spans="1:17" ht="27.75">
      <c r="A141" s="1137" t="s">
        <v>247</v>
      </c>
      <c r="B141" s="1138"/>
      <c r="C141" s="1138"/>
      <c r="D141" s="523" t="s">
        <v>237</v>
      </c>
      <c r="E141" s="484">
        <f>'11'!F141</f>
        <v>4636.88</v>
      </c>
      <c r="F141" s="478">
        <v>4640.12</v>
      </c>
      <c r="G141" s="473">
        <f t="shared" si="15"/>
        <v>3.2399999999997817</v>
      </c>
      <c r="H141" s="460">
        <f>G141+'11'!H141</f>
        <v>3.1199999999998909</v>
      </c>
      <c r="I141" s="542"/>
      <c r="J141" s="552">
        <f>H141/DAY(B2)</f>
        <v>0.25999999999999091</v>
      </c>
      <c r="N141" s="718"/>
      <c r="O141" s="727"/>
      <c r="P141" s="713"/>
    </row>
    <row r="142" spans="1:17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7"/>
      <c r="P142" s="713"/>
    </row>
    <row r="143" spans="1:17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5564.6000000002095</v>
      </c>
      <c r="H143" s="460">
        <f>G143+'11'!H143</f>
        <v>67821.030000000144</v>
      </c>
      <c r="I143" s="480"/>
      <c r="J143" s="552">
        <f>H143/DAY(B2)</f>
        <v>5651.7525000000123</v>
      </c>
      <c r="K143" s="380"/>
      <c r="L143" s="377"/>
      <c r="N143" s="718"/>
      <c r="O143" s="727"/>
      <c r="P143" s="713"/>
    </row>
    <row r="144" spans="1:17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0.26338159897613217</v>
      </c>
      <c r="H144" s="460">
        <f>G144+'11'!H144</f>
        <v>3.1407588488776814</v>
      </c>
      <c r="I144" s="544"/>
      <c r="J144" s="552">
        <f>H144/DAY(B2)</f>
        <v>0.26172990407314012</v>
      </c>
      <c r="K144" s="380"/>
      <c r="L144" s="377"/>
      <c r="N144" s="718"/>
      <c r="O144" s="727"/>
      <c r="P144" s="713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6204.239999999998</v>
      </c>
      <c r="H145" s="460">
        <f>G145+'11'!H145</f>
        <v>80456.41</v>
      </c>
      <c r="I145" s="480"/>
      <c r="J145" s="552">
        <f>H145/DAY(B2)</f>
        <v>6704.7008333333333</v>
      </c>
      <c r="K145" s="380"/>
      <c r="L145" s="377"/>
      <c r="N145" s="718"/>
      <c r="O145" s="727"/>
      <c r="P145" s="713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0.29365680401675165</v>
      </c>
      <c r="H146" s="460">
        <f>G146+'11'!H146</f>
        <v>3.7188928617594619</v>
      </c>
      <c r="I146" s="544"/>
      <c r="J146" s="552">
        <f>H146/DAY(B2)</f>
        <v>0.30990773847995517</v>
      </c>
      <c r="K146" s="380"/>
      <c r="L146" s="377"/>
      <c r="N146" s="718"/>
      <c r="O146" s="727"/>
      <c r="P146" s="713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3711.7399999999907</v>
      </c>
      <c r="H147" s="460">
        <f>G147+'11'!H147</f>
        <v>44026</v>
      </c>
      <c r="I147" s="545"/>
      <c r="J147" s="552">
        <f>H147/DAY(B2)</f>
        <v>3668.8333333333335</v>
      </c>
      <c r="K147" s="380"/>
      <c r="L147" s="377"/>
      <c r="N147" s="718"/>
      <c r="O147" s="727"/>
      <c r="P147" s="713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0.17568271145879841</v>
      </c>
      <c r="H148" s="460">
        <f>G148+'11'!H148</f>
        <v>2.0406172172225672</v>
      </c>
      <c r="I148" s="545"/>
      <c r="J148" s="552">
        <f>H148/DAY(B2)</f>
        <v>0.17005143476854725</v>
      </c>
      <c r="N148" s="718"/>
      <c r="O148" s="727"/>
      <c r="P148" s="713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1595.1999999999825</v>
      </c>
      <c r="H149" s="460">
        <f>G149+'11'!H149</f>
        <v>19300.059999999939</v>
      </c>
      <c r="I149" s="480"/>
      <c r="J149" s="552">
        <f>H149/DAY(B2)</f>
        <v>1608.3383333333284</v>
      </c>
      <c r="K149" s="381"/>
      <c r="N149" s="718"/>
      <c r="O149" s="727"/>
      <c r="P149" s="713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7.5503419237089031E-2</v>
      </c>
      <c r="H150" s="460">
        <f>G150+'11'!H150</f>
        <v>0.89319973769529848</v>
      </c>
      <c r="I150" s="545"/>
      <c r="J150" s="552">
        <f>H150/DAY(B2)</f>
        <v>7.4433311474608202E-2</v>
      </c>
      <c r="N150" s="718"/>
      <c r="O150" s="727"/>
      <c r="P150" s="713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1799.3299999999399</v>
      </c>
      <c r="H151" s="460">
        <f>G151+'11'!H151</f>
        <v>22824.089999999986</v>
      </c>
      <c r="I151" s="545"/>
      <c r="J151" s="552">
        <f>H151/DAY(B2)</f>
        <v>1902.0074999999988</v>
      </c>
      <c r="N151" s="718"/>
      <c r="O151" s="727"/>
      <c r="P151" s="713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8.516522526069982E-2</v>
      </c>
      <c r="H152" s="460">
        <f>G152+'11'!H152</f>
        <v>1.0548833796438577</v>
      </c>
      <c r="I152" s="480"/>
      <c r="J152" s="552">
        <f>H152/DAY(B2)</f>
        <v>8.7906948303654808E-2</v>
      </c>
      <c r="N152" s="718"/>
      <c r="O152" s="727"/>
      <c r="P152" s="713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1595.1199999999953</v>
      </c>
      <c r="H153" s="460">
        <f>G153+'11'!H153</f>
        <v>18510.739999999991</v>
      </c>
      <c r="I153" s="480"/>
      <c r="J153" s="552">
        <f>H153/DAY(B2)</f>
        <v>1542.5616666666658</v>
      </c>
      <c r="N153" s="718"/>
      <c r="O153" s="727"/>
      <c r="P153" s="713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7.5499632706536132E-2</v>
      </c>
      <c r="H154" s="460">
        <f>G154+'11'!H154</f>
        <v>0.85778726800417482</v>
      </c>
      <c r="I154" s="568"/>
      <c r="J154" s="569">
        <f>H154/DAY(B2)</f>
        <v>7.1482272333681235E-2</v>
      </c>
      <c r="N154" s="718"/>
      <c r="O154" s="727"/>
      <c r="P154" s="713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261</v>
      </c>
      <c r="B161" s="785"/>
      <c r="C161" s="785"/>
      <c r="D161" s="511" t="s">
        <v>185</v>
      </c>
      <c r="E161" s="541">
        <f>'11'!F161</f>
        <v>41724.85</v>
      </c>
      <c r="F161" s="658">
        <v>41804.980000000003</v>
      </c>
      <c r="G161" s="473">
        <f t="shared" ref="G161:G164" si="16">F161-E161</f>
        <v>80.130000000004657</v>
      </c>
      <c r="N161" s="718"/>
    </row>
    <row r="162" spans="1:14">
      <c r="A162" s="784" t="s">
        <v>262</v>
      </c>
      <c r="B162" s="785"/>
      <c r="C162" s="785"/>
      <c r="D162" s="511" t="s">
        <v>185</v>
      </c>
      <c r="E162" s="541">
        <f>'11'!F162</f>
        <v>112729.08</v>
      </c>
      <c r="F162" s="658">
        <v>113183.84</v>
      </c>
      <c r="G162" s="473">
        <f t="shared" si="16"/>
        <v>454.75999999999476</v>
      </c>
      <c r="N162" s="718"/>
    </row>
    <row r="163" spans="1:14">
      <c r="A163" s="784" t="s">
        <v>263</v>
      </c>
      <c r="B163" s="785"/>
      <c r="C163" s="785"/>
      <c r="D163" s="511" t="s">
        <v>185</v>
      </c>
      <c r="E163" s="541">
        <f>'11'!F163</f>
        <v>63485.3</v>
      </c>
      <c r="F163" s="658">
        <v>63686.52</v>
      </c>
      <c r="G163" s="473">
        <f t="shared" si="16"/>
        <v>201.21999999999389</v>
      </c>
      <c r="N163" s="718"/>
    </row>
    <row r="164" spans="1:14">
      <c r="A164" s="784" t="s">
        <v>264</v>
      </c>
      <c r="B164" s="785"/>
      <c r="C164" s="785"/>
      <c r="D164" s="511" t="s">
        <v>185</v>
      </c>
      <c r="E164" s="541">
        <f>'11'!F164</f>
        <v>6956.47</v>
      </c>
      <c r="F164" s="658">
        <v>6967.86</v>
      </c>
      <c r="G164" s="473">
        <f t="shared" si="16"/>
        <v>11.389999999999418</v>
      </c>
      <c r="N164" s="718"/>
    </row>
    <row r="165" spans="1:14">
      <c r="A165" s="786" t="s">
        <v>97</v>
      </c>
      <c r="B165" s="604"/>
      <c r="C165" s="604"/>
      <c r="D165" s="511" t="s">
        <v>185</v>
      </c>
      <c r="E165" s="514">
        <f>E62</f>
        <v>0</v>
      </c>
      <c r="F165" s="514">
        <f>F62</f>
        <v>0</v>
      </c>
      <c r="G165" s="473">
        <f t="shared" ref="G165:G175" si="17">F165-E165</f>
        <v>0</v>
      </c>
      <c r="N165" s="718"/>
    </row>
    <row r="166" spans="1:14">
      <c r="A166" s="786" t="s">
        <v>186</v>
      </c>
      <c r="B166" s="604"/>
      <c r="C166" s="604"/>
      <c r="D166" s="511" t="s">
        <v>185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33" customHeight="1">
      <c r="A167" s="1549" t="s">
        <v>98</v>
      </c>
      <c r="B167" s="1549"/>
      <c r="C167" s="1549"/>
      <c r="D167" s="523" t="s">
        <v>185</v>
      </c>
      <c r="E167" s="514">
        <f t="shared" si="18"/>
        <v>174412.43</v>
      </c>
      <c r="F167" s="514">
        <f t="shared" si="19"/>
        <v>174787.25</v>
      </c>
      <c r="G167" s="473">
        <f t="shared" si="17"/>
        <v>374.82000000000698</v>
      </c>
      <c r="N167" s="718"/>
    </row>
    <row r="168" spans="1:14" ht="33" customHeight="1">
      <c r="A168" s="1549" t="s">
        <v>99</v>
      </c>
      <c r="B168" s="1549"/>
      <c r="C168" s="1549"/>
      <c r="D168" s="523" t="s">
        <v>185</v>
      </c>
      <c r="E168" s="514">
        <f t="shared" si="18"/>
        <v>174374.93</v>
      </c>
      <c r="F168" s="514">
        <f t="shared" si="19"/>
        <v>174756.89</v>
      </c>
      <c r="G168" s="473">
        <f t="shared" si="17"/>
        <v>381.96000000002095</v>
      </c>
      <c r="N168" s="718"/>
    </row>
    <row r="169" spans="1:14" ht="41.25" customHeight="1">
      <c r="A169" s="1549" t="s">
        <v>100</v>
      </c>
      <c r="B169" s="1549"/>
      <c r="C169" s="1549"/>
      <c r="D169" s="523" t="s">
        <v>185</v>
      </c>
      <c r="E169" s="514">
        <f t="shared" si="18"/>
        <v>72541.13</v>
      </c>
      <c r="F169" s="514">
        <f t="shared" si="19"/>
        <v>72962.960000000006</v>
      </c>
      <c r="G169" s="473">
        <f t="shared" si="17"/>
        <v>421.83000000000175</v>
      </c>
      <c r="N169" s="718"/>
    </row>
    <row r="170" spans="1:14" ht="26.25" customHeight="1">
      <c r="A170" s="1549" t="s">
        <v>101</v>
      </c>
      <c r="B170" s="1549"/>
      <c r="C170" s="1549"/>
      <c r="D170" s="523" t="s">
        <v>185</v>
      </c>
      <c r="E170" s="514">
        <f t="shared" si="18"/>
        <v>270132.69</v>
      </c>
      <c r="F170" s="514">
        <f t="shared" si="19"/>
        <v>270573.67</v>
      </c>
      <c r="G170" s="473">
        <f t="shared" si="17"/>
        <v>440.97999999998137</v>
      </c>
      <c r="N170" s="718"/>
    </row>
    <row r="171" spans="1:14" ht="24" customHeight="1">
      <c r="A171" s="1549" t="s">
        <v>102</v>
      </c>
      <c r="B171" s="1549"/>
      <c r="C171" s="1549"/>
      <c r="D171" s="523" t="s">
        <v>185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549" t="s">
        <v>103</v>
      </c>
      <c r="B172" s="1549"/>
      <c r="C172" s="1549"/>
      <c r="D172" s="523" t="s">
        <v>185</v>
      </c>
      <c r="E172" s="514">
        <f t="shared" si="18"/>
        <v>90283</v>
      </c>
      <c r="F172" s="514">
        <f t="shared" si="19"/>
        <v>90565.99</v>
      </c>
      <c r="G172" s="473">
        <f t="shared" si="17"/>
        <v>282.99000000000524</v>
      </c>
      <c r="N172" s="718"/>
    </row>
    <row r="173" spans="1:14">
      <c r="A173" s="1590" t="s">
        <v>348</v>
      </c>
      <c r="B173" s="1553"/>
      <c r="C173" s="785"/>
      <c r="D173" s="523" t="s">
        <v>185</v>
      </c>
      <c r="E173" s="541">
        <f>'11'!F173</f>
        <v>19053</v>
      </c>
      <c r="F173" s="532">
        <v>19057.599999999999</v>
      </c>
      <c r="G173" s="473">
        <f t="shared" si="17"/>
        <v>4.5999999999985448</v>
      </c>
      <c r="N173" s="718"/>
    </row>
    <row r="174" spans="1:14">
      <c r="A174" s="1590" t="s">
        <v>348</v>
      </c>
      <c r="B174" s="1553"/>
      <c r="C174" s="785"/>
      <c r="D174" s="523" t="s">
        <v>185</v>
      </c>
      <c r="E174" s="541">
        <f>'11'!F174</f>
        <v>70406</v>
      </c>
      <c r="F174" s="532">
        <v>70411.899999999994</v>
      </c>
      <c r="G174" s="473">
        <f t="shared" si="17"/>
        <v>5.8999999999941792</v>
      </c>
      <c r="N174" s="718"/>
    </row>
    <row r="175" spans="1:14">
      <c r="A175" s="1590" t="s">
        <v>349</v>
      </c>
      <c r="B175" s="1553"/>
      <c r="C175" s="785"/>
      <c r="D175" s="523" t="s">
        <v>185</v>
      </c>
      <c r="E175" s="541">
        <f>'11'!F175</f>
        <v>27678.400000000001</v>
      </c>
      <c r="F175" s="532">
        <v>27684.7</v>
      </c>
      <c r="G175" s="473">
        <f t="shared" si="17"/>
        <v>6.2999999999992724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8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>
      <c r="N199" s="718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workbookViewId="0">
      <selection activeCell="G126" sqref="G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354</v>
      </c>
      <c r="B2" s="1031">
        <v>44390</v>
      </c>
      <c r="C2" s="1139" t="s">
        <v>68</v>
      </c>
      <c r="D2" s="611">
        <v>0.32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724"/>
    </row>
    <row r="3" spans="1:16" s="281" customFormat="1" ht="27">
      <c r="A3" s="570"/>
      <c r="B3" s="614"/>
      <c r="C3" s="1139" t="s">
        <v>118</v>
      </c>
      <c r="D3" s="612">
        <v>29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39" t="s">
        <v>120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'12'!F7</f>
        <v>181256.02</v>
      </c>
      <c r="F7" s="455">
        <f>E7+21500</f>
        <v>202756.02</v>
      </c>
      <c r="G7" s="678">
        <f>F7-E7</f>
        <v>21500</v>
      </c>
      <c r="H7" s="679">
        <f>G7+'12'!H7</f>
        <v>280803.02</v>
      </c>
      <c r="I7" s="680">
        <f>'1'!I7</f>
        <v>12000</v>
      </c>
      <c r="J7" s="681">
        <f>H7/DAY(B2)</f>
        <v>21600.232307692309</v>
      </c>
      <c r="K7" s="549"/>
      <c r="L7" s="377"/>
      <c r="N7" s="729">
        <f>G7/G8</f>
        <v>0.9948453131217786</v>
      </c>
      <c r="O7" s="725">
        <f>F7+200</f>
        <v>202956.02</v>
      </c>
      <c r="P7" s="728"/>
    </row>
    <row r="8" spans="1:16" ht="27.75" thickBot="1">
      <c r="A8" s="682" t="s">
        <v>131</v>
      </c>
      <c r="B8" s="683"/>
      <c r="C8" s="684"/>
      <c r="D8" s="685" t="s">
        <v>25</v>
      </c>
      <c r="E8" s="633">
        <f>'12'!F8</f>
        <v>187298.87</v>
      </c>
      <c r="F8" s="475">
        <v>208910.27</v>
      </c>
      <c r="G8" s="689">
        <f>F8-E8</f>
        <v>21611.399999999994</v>
      </c>
      <c r="H8" s="679">
        <f>G8+'12'!H8</f>
        <v>282188.27</v>
      </c>
      <c r="I8" s="686">
        <f>'1'!I8</f>
        <v>12000</v>
      </c>
      <c r="J8" s="681">
        <f>H8/DAY(B2)</f>
        <v>21706.79</v>
      </c>
      <c r="K8" s="549"/>
      <c r="L8" s="425"/>
      <c r="M8" s="440"/>
      <c r="N8" s="718"/>
      <c r="O8" s="725">
        <f>F8+200</f>
        <v>209110.27</v>
      </c>
      <c r="P8" s="382"/>
    </row>
    <row r="9" spans="1:16">
      <c r="A9" s="687" t="s">
        <v>132</v>
      </c>
      <c r="B9" s="688"/>
      <c r="C9" s="688"/>
      <c r="D9" s="637" t="s">
        <v>130</v>
      </c>
      <c r="E9" s="633">
        <f>'12'!F9</f>
        <v>2283832.2999999998</v>
      </c>
      <c r="F9" s="478">
        <v>2304587</v>
      </c>
      <c r="G9" s="702">
        <f t="shared" ref="G9:G12" si="0">F9-E9</f>
        <v>20754.700000000186</v>
      </c>
      <c r="H9" s="679">
        <f>G9+'12'!H9</f>
        <v>273585</v>
      </c>
      <c r="I9" s="690">
        <f>I7-J7</f>
        <v>-9600.2323076923094</v>
      </c>
      <c r="J9" s="681">
        <f>H9/DAY(B2)</f>
        <v>21045</v>
      </c>
      <c r="K9" s="428"/>
      <c r="L9" s="377"/>
      <c r="N9" s="718"/>
      <c r="O9" s="725"/>
      <c r="P9" s="382"/>
    </row>
    <row r="10" spans="1:16">
      <c r="A10" s="676" t="s">
        <v>133</v>
      </c>
      <c r="B10" s="677"/>
      <c r="C10" s="677"/>
      <c r="D10" s="637" t="s">
        <v>130</v>
      </c>
      <c r="E10" s="633">
        <f>'12'!F10</f>
        <v>2606.5500000000002</v>
      </c>
      <c r="F10" s="478">
        <v>2606.5500000000002</v>
      </c>
      <c r="G10" s="689">
        <f t="shared" si="0"/>
        <v>0</v>
      </c>
      <c r="H10" s="679">
        <f>G10+'12'!H10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G11+'12'!H11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135</v>
      </c>
      <c r="B12" s="677"/>
      <c r="C12" s="677"/>
      <c r="D12" s="637" t="s">
        <v>130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G12+'12'!H12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20754.700000000186</v>
      </c>
      <c r="H13" s="679">
        <f>G13+'12'!H13</f>
        <v>253258</v>
      </c>
      <c r="I13" s="695">
        <f>G7-G13</f>
        <v>745.29999999981374</v>
      </c>
      <c r="J13" s="681">
        <f>H13/DAY(B2)</f>
        <v>19481.384615384617</v>
      </c>
      <c r="K13" s="428"/>
      <c r="L13" s="377"/>
      <c r="N13" s="718"/>
      <c r="O13" s="725"/>
      <c r="P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138</v>
      </c>
      <c r="B15" s="793"/>
      <c r="C15" s="793"/>
      <c r="D15" s="524" t="s">
        <v>139</v>
      </c>
      <c r="E15" s="485">
        <f>'12'!F15</f>
        <v>1713428.2</v>
      </c>
      <c r="F15" s="700">
        <v>1714372</v>
      </c>
      <c r="G15" s="664">
        <f>(F15-E15)</f>
        <v>943.80000000004657</v>
      </c>
      <c r="H15" s="486">
        <f>G15+'12'!H15</f>
        <v>10689</v>
      </c>
      <c r="I15" s="474">
        <v>800</v>
      </c>
      <c r="J15" s="553">
        <f>H15/DAY(B2)</f>
        <v>822.23076923076928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-22.230769230769283</v>
      </c>
      <c r="J16" s="553"/>
      <c r="K16" s="428"/>
      <c r="L16" s="377"/>
      <c r="N16" s="718"/>
      <c r="O16" s="725"/>
      <c r="P16" s="382"/>
    </row>
    <row r="17" spans="1:16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4">
        <f>'12'!F18</f>
        <v>12</v>
      </c>
      <c r="F18" s="478">
        <v>14</v>
      </c>
      <c r="G18" s="694">
        <f>F18*10</f>
        <v>140</v>
      </c>
      <c r="H18" s="679">
        <f>G18+'12'!H18</f>
        <v>1760</v>
      </c>
      <c r="I18" s="680">
        <f>'1'!I18</f>
        <v>65</v>
      </c>
      <c r="J18" s="681">
        <f>H18/DAY(B2)</f>
        <v>135.38461538461539</v>
      </c>
      <c r="K18" s="428"/>
      <c r="L18" s="377"/>
      <c r="N18" s="718"/>
      <c r="O18" s="725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4">
        <f>'12'!F19</f>
        <v>142226</v>
      </c>
      <c r="F19" s="478">
        <v>142288</v>
      </c>
      <c r="G19" s="689">
        <f t="shared" ref="G19" si="1">F19-E19</f>
        <v>62</v>
      </c>
      <c r="H19" s="679">
        <f>G19+'12'!H19</f>
        <v>793</v>
      </c>
      <c r="I19" s="696"/>
      <c r="J19" s="681">
        <f>H19/DAY(B2)</f>
        <v>61</v>
      </c>
      <c r="K19" s="428"/>
      <c r="L19" s="377"/>
      <c r="N19" s="718"/>
      <c r="O19" s="725"/>
      <c r="P19" s="382"/>
    </row>
    <row r="20" spans="1:16">
      <c r="A20" s="692" t="s">
        <v>143</v>
      </c>
      <c r="B20" s="693"/>
      <c r="C20" s="693"/>
      <c r="D20" s="637"/>
      <c r="E20" s="637"/>
      <c r="F20" s="709"/>
      <c r="G20" s="697">
        <f>G18+G19</f>
        <v>202</v>
      </c>
      <c r="H20" s="679">
        <f>G20+'12'!H20</f>
        <v>2553</v>
      </c>
      <c r="I20" s="698">
        <f>I18-J20</f>
        <v>-131.38461538461539</v>
      </c>
      <c r="J20" s="681">
        <f>H20/DAY(B2)</f>
        <v>196.38461538461539</v>
      </c>
      <c r="K20" s="428"/>
      <c r="L20" s="377"/>
      <c r="N20" s="718"/>
      <c r="O20" s="725"/>
      <c r="P20" s="382"/>
    </row>
    <row r="21" spans="1:16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37" t="s">
        <v>145</v>
      </c>
      <c r="B22" s="589"/>
      <c r="C22" s="589"/>
      <c r="D22" s="523" t="s">
        <v>146</v>
      </c>
      <c r="E22" s="634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37" t="s">
        <v>147</v>
      </c>
      <c r="B23" s="589"/>
      <c r="C23" s="589"/>
      <c r="D23" s="523" t="s">
        <v>146</v>
      </c>
      <c r="E23" s="634">
        <v>2000</v>
      </c>
      <c r="F23" s="478">
        <v>2000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148</v>
      </c>
      <c r="B24" s="591"/>
      <c r="C24" s="591"/>
      <c r="D24" s="511" t="s">
        <v>146</v>
      </c>
      <c r="E24" s="493">
        <v>4970</v>
      </c>
      <c r="F24" s="485">
        <v>4970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21611.399999999994</v>
      </c>
      <c r="F27" s="501">
        <v>9</v>
      </c>
      <c r="G27" s="502">
        <f>E27*F27</f>
        <v>194502.59999999995</v>
      </c>
      <c r="H27" s="460">
        <f>G27+'12'!H27</f>
        <v>2539694.4300000002</v>
      </c>
      <c r="I27" s="503"/>
      <c r="J27" s="552">
        <f>H27/DAY(B2)</f>
        <v>195361.11000000002</v>
      </c>
      <c r="K27" s="373"/>
      <c r="L27" s="443"/>
      <c r="N27" s="718"/>
      <c r="O27" s="725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699">
        <f>G15</f>
        <v>943.80000000004657</v>
      </c>
      <c r="F28" s="501">
        <v>52</v>
      </c>
      <c r="G28" s="502">
        <f>E28*F28</f>
        <v>49077.600000002421</v>
      </c>
      <c r="H28" s="460">
        <f>G28+'12'!H28</f>
        <v>555828</v>
      </c>
      <c r="I28" s="505"/>
      <c r="J28" s="552">
        <f>H28/DAY(B2)</f>
        <v>42756</v>
      </c>
      <c r="K28" s="373"/>
      <c r="L28" s="443"/>
      <c r="N28" s="718"/>
      <c r="O28" s="725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699">
        <f>G19</f>
        <v>62</v>
      </c>
      <c r="F30" s="501">
        <v>146</v>
      </c>
      <c r="G30" s="502">
        <f>E30*F30</f>
        <v>9052</v>
      </c>
      <c r="H30" s="460">
        <f>G30+'12'!H30</f>
        <v>115194</v>
      </c>
      <c r="I30" s="505"/>
      <c r="J30" s="552">
        <f>H30/DAY(B2)</f>
        <v>8861.0769230769238</v>
      </c>
      <c r="K30" s="373"/>
      <c r="L30" s="443"/>
      <c r="N30" s="718"/>
      <c r="O30" s="725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699">
        <f>G18</f>
        <v>140</v>
      </c>
      <c r="F31" s="501">
        <v>80</v>
      </c>
      <c r="G31" s="502">
        <f>E31*F31</f>
        <v>11200</v>
      </c>
      <c r="H31" s="460">
        <f>G31+'12'!H31</f>
        <v>135200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263832.2000000024</v>
      </c>
      <c r="H32" s="460">
        <f>G32+'12'!H32</f>
        <v>3345916.4299999997</v>
      </c>
      <c r="I32" s="509"/>
      <c r="J32" s="552">
        <f>H32/DAY(B2)</f>
        <v>257378.18692307689</v>
      </c>
      <c r="K32" s="373"/>
      <c r="L32" s="443"/>
      <c r="N32" s="718"/>
      <c r="O32" s="725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5"/>
      <c r="P33" s="382"/>
    </row>
    <row r="34" spans="1:16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162</v>
      </c>
      <c r="B35" s="579"/>
      <c r="C35" s="579"/>
      <c r="D35" s="523" t="s">
        <v>130</v>
      </c>
      <c r="E35" s="510">
        <f>'12'!F35</f>
        <v>1058597.3</v>
      </c>
      <c r="F35" s="510">
        <v>1058597</v>
      </c>
      <c r="G35" s="473">
        <f t="shared" ref="G35:G46" si="3">F35-E35</f>
        <v>-0.30000000004656613</v>
      </c>
      <c r="H35" s="460">
        <f>G35+'12'!H35</f>
        <v>29883</v>
      </c>
      <c r="I35" s="455"/>
      <c r="J35" s="552">
        <f>H35/DAY(B2)</f>
        <v>2298.6923076923076</v>
      </c>
      <c r="K35" s="428"/>
      <c r="L35" s="377"/>
      <c r="N35" s="718"/>
      <c r="O35" s="726"/>
      <c r="P35" s="382"/>
    </row>
    <row r="36" spans="1:16">
      <c r="A36" s="578" t="s">
        <v>163</v>
      </c>
      <c r="B36" s="579"/>
      <c r="C36" s="579"/>
      <c r="D36" s="523" t="s">
        <v>130</v>
      </c>
      <c r="E36" s="510">
        <f>'12'!F36</f>
        <v>29928.98</v>
      </c>
      <c r="F36" s="510">
        <v>30898</v>
      </c>
      <c r="G36" s="473">
        <f t="shared" si="3"/>
        <v>969.02000000000044</v>
      </c>
      <c r="H36" s="460">
        <f>G36+'12'!H36</f>
        <v>10437</v>
      </c>
      <c r="I36" s="455"/>
      <c r="J36" s="552">
        <f>H36/DAY(B2)</f>
        <v>802.84615384615381</v>
      </c>
      <c r="K36" s="428"/>
      <c r="L36" s="377"/>
      <c r="N36" s="719"/>
      <c r="O36" s="726"/>
      <c r="P36" s="382"/>
    </row>
    <row r="37" spans="1:16">
      <c r="A37" s="578" t="s">
        <v>164</v>
      </c>
      <c r="B37" s="579"/>
      <c r="C37" s="579"/>
      <c r="D37" s="523" t="s">
        <v>130</v>
      </c>
      <c r="E37" s="510">
        <f>'12'!F37</f>
        <v>195080.87</v>
      </c>
      <c r="F37" s="510">
        <v>196658</v>
      </c>
      <c r="G37" s="473">
        <f t="shared" si="3"/>
        <v>1577.1300000000047</v>
      </c>
      <c r="H37" s="460">
        <f>G37+'12'!H37</f>
        <v>20088</v>
      </c>
      <c r="I37" s="455"/>
      <c r="J37" s="552">
        <f>H37/DAY(B2)</f>
        <v>1545.2307692307693</v>
      </c>
      <c r="K37" s="428"/>
      <c r="L37" s="377"/>
      <c r="N37" s="719"/>
      <c r="O37" s="726"/>
      <c r="P37" s="382"/>
    </row>
    <row r="38" spans="1:16">
      <c r="A38" s="578" t="s">
        <v>165</v>
      </c>
      <c r="B38" s="579"/>
      <c r="C38" s="579"/>
      <c r="D38" s="523" t="s">
        <v>130</v>
      </c>
      <c r="E38" s="510">
        <f>'12'!F38</f>
        <v>217758.99</v>
      </c>
      <c r="F38" s="469">
        <v>219391</v>
      </c>
      <c r="G38" s="473">
        <f t="shared" si="3"/>
        <v>1632.0100000000093</v>
      </c>
      <c r="H38" s="460">
        <f>G38+'12'!H38</f>
        <v>20932</v>
      </c>
      <c r="I38" s="455"/>
      <c r="J38" s="552">
        <f>H38/DAY(B2)</f>
        <v>1610.1538461538462</v>
      </c>
      <c r="K38" s="428"/>
      <c r="L38" s="377"/>
      <c r="N38" s="718"/>
      <c r="O38" s="725"/>
      <c r="P38" s="382"/>
    </row>
    <row r="39" spans="1:16">
      <c r="A39" s="578" t="s">
        <v>166</v>
      </c>
      <c r="B39" s="579"/>
      <c r="C39" s="579"/>
      <c r="D39" s="523" t="s">
        <v>130</v>
      </c>
      <c r="E39" s="510">
        <f>'12'!F39</f>
        <v>448890</v>
      </c>
      <c r="F39" s="510">
        <v>452616</v>
      </c>
      <c r="G39" s="473">
        <f t="shared" si="3"/>
        <v>3726</v>
      </c>
      <c r="H39" s="460">
        <f>G39+'12'!H39</f>
        <v>47752</v>
      </c>
      <c r="I39" s="455"/>
      <c r="J39" s="552">
        <f>H39/DAY(B2)</f>
        <v>3673.2307692307691</v>
      </c>
      <c r="K39" s="428"/>
      <c r="L39" s="377"/>
      <c r="N39" s="718"/>
      <c r="O39" s="726"/>
      <c r="P39" s="382"/>
    </row>
    <row r="40" spans="1:16">
      <c r="A40" s="599" t="s">
        <v>167</v>
      </c>
      <c r="B40" s="600"/>
      <c r="C40" s="600"/>
      <c r="D40" s="523" t="s">
        <v>130</v>
      </c>
      <c r="E40" s="510">
        <f>'12'!F40</f>
        <v>11681.01</v>
      </c>
      <c r="F40" s="510">
        <v>12032</v>
      </c>
      <c r="G40" s="473">
        <f t="shared" si="3"/>
        <v>350.98999999999978</v>
      </c>
      <c r="H40" s="460">
        <f>G40+'12'!H40</f>
        <v>4919</v>
      </c>
      <c r="I40" s="455"/>
      <c r="J40" s="552">
        <f>H40/DAY(B2)</f>
        <v>378.38461538461536</v>
      </c>
      <c r="K40" s="429"/>
      <c r="L40" s="377"/>
      <c r="N40" s="718"/>
      <c r="O40" s="725"/>
      <c r="P40" s="382"/>
    </row>
    <row r="41" spans="1:16">
      <c r="A41" s="578" t="s">
        <v>168</v>
      </c>
      <c r="B41" s="579"/>
      <c r="C41" s="579"/>
      <c r="D41" s="523" t="s">
        <v>130</v>
      </c>
      <c r="E41" s="510">
        <f>'12'!F41</f>
        <v>364063.91</v>
      </c>
      <c r="F41" s="510">
        <v>364063.91</v>
      </c>
      <c r="G41" s="473">
        <f t="shared" si="3"/>
        <v>0</v>
      </c>
      <c r="H41" s="460">
        <f>G41+'12'!H41</f>
        <v>34421.909999999974</v>
      </c>
      <c r="I41" s="455"/>
      <c r="J41" s="552">
        <f>H41/DAY(B2)</f>
        <v>2647.8392307692288</v>
      </c>
      <c r="K41" s="428"/>
      <c r="L41" s="377"/>
      <c r="N41" s="718"/>
      <c r="O41" s="727"/>
      <c r="P41" s="721"/>
    </row>
    <row r="42" spans="1:16">
      <c r="A42" s="578" t="s">
        <v>169</v>
      </c>
      <c r="B42" s="579"/>
      <c r="C42" s="579"/>
      <c r="D42" s="523" t="s">
        <v>130</v>
      </c>
      <c r="E42" s="510">
        <f>'12'!F42</f>
        <v>60020.6</v>
      </c>
      <c r="F42" s="510">
        <v>62568.2</v>
      </c>
      <c r="G42" s="473">
        <f t="shared" si="3"/>
        <v>2547.5999999999985</v>
      </c>
      <c r="H42" s="460">
        <f>G42+'12'!H42</f>
        <v>3369.3099999999977</v>
      </c>
      <c r="I42" s="455"/>
      <c r="J42" s="552">
        <f>H42/DAY(B2)</f>
        <v>259.17769230769215</v>
      </c>
      <c r="K42" s="428"/>
      <c r="L42" s="377"/>
      <c r="N42" s="718"/>
      <c r="O42" s="725"/>
      <c r="P42" s="382"/>
    </row>
    <row r="43" spans="1:16">
      <c r="A43" s="578" t="s">
        <v>170</v>
      </c>
      <c r="B43" s="579"/>
      <c r="C43" s="579"/>
      <c r="D43" s="523" t="s">
        <v>130</v>
      </c>
      <c r="E43" s="510">
        <f>'12'!F43</f>
        <v>1152400.6000000001</v>
      </c>
      <c r="F43" s="510">
        <v>1154953</v>
      </c>
      <c r="G43" s="473">
        <f t="shared" si="3"/>
        <v>2552.3999999999069</v>
      </c>
      <c r="H43" s="460">
        <f>G43+'12'!H43</f>
        <v>34501</v>
      </c>
      <c r="I43" s="455"/>
      <c r="J43" s="552">
        <f>H43/DAY(B2)</f>
        <v>2653.9230769230771</v>
      </c>
      <c r="K43" s="428"/>
      <c r="L43" s="377"/>
      <c r="N43" s="718"/>
      <c r="O43" s="726"/>
      <c r="P43" s="382"/>
    </row>
    <row r="44" spans="1:16">
      <c r="A44" s="578" t="s">
        <v>171</v>
      </c>
      <c r="B44" s="579"/>
      <c r="C44" s="579"/>
      <c r="D44" s="523" t="s">
        <v>130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172</v>
      </c>
      <c r="B45" s="579"/>
      <c r="C45" s="579"/>
      <c r="D45" s="523" t="s">
        <v>130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173</v>
      </c>
      <c r="B46" s="579"/>
      <c r="C46" s="579"/>
      <c r="D46" s="523" t="s">
        <v>130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174</v>
      </c>
      <c r="B47" s="586"/>
      <c r="C47" s="586"/>
      <c r="D47" s="470"/>
      <c r="E47" s="511"/>
      <c r="F47" s="511" t="s">
        <v>266</v>
      </c>
      <c r="G47" s="481">
        <f>G35+G36+G37+G38+G39+G40+G41+G42+G43+G44+G45+G46</f>
        <v>13354.849999999873</v>
      </c>
      <c r="H47" s="460">
        <f>G47+'12'!H47</f>
        <v>207104.70999999993</v>
      </c>
      <c r="I47" s="455"/>
      <c r="J47" s="552">
        <f>H47/DAY(B2)</f>
        <v>15931.131538461534</v>
      </c>
      <c r="K47" s="428"/>
      <c r="L47" s="377"/>
      <c r="N47" s="718"/>
      <c r="O47" s="725"/>
      <c r="P47" s="382"/>
    </row>
    <row r="48" spans="1:16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162</v>
      </c>
      <c r="B49" s="601"/>
      <c r="C49" s="601"/>
      <c r="D49" s="523" t="s">
        <v>130</v>
      </c>
      <c r="E49" s="510">
        <f>'12'!F49</f>
        <v>266721.13</v>
      </c>
      <c r="F49" s="510">
        <v>269621</v>
      </c>
      <c r="G49" s="473">
        <f t="shared" ref="G49:G58" si="4">F49-E49</f>
        <v>2899.8699999999953</v>
      </c>
      <c r="H49" s="460">
        <f>G49+'12'!H49</f>
        <v>8857</v>
      </c>
      <c r="I49" s="455"/>
      <c r="J49" s="552">
        <f>H49/DAY(B2)</f>
        <v>681.30769230769226</v>
      </c>
      <c r="K49" s="428"/>
      <c r="L49" s="377"/>
      <c r="N49" s="718"/>
      <c r="O49" s="725"/>
      <c r="P49" s="382"/>
    </row>
    <row r="50" spans="1:16">
      <c r="A50" s="578" t="s">
        <v>176</v>
      </c>
      <c r="B50" s="601"/>
      <c r="C50" s="601"/>
      <c r="D50" s="523" t="s">
        <v>130</v>
      </c>
      <c r="E50" s="510">
        <f>'12'!F50</f>
        <v>548019.11</v>
      </c>
      <c r="F50" s="510">
        <v>549182</v>
      </c>
      <c r="G50" s="473">
        <f t="shared" si="4"/>
        <v>1162.890000000014</v>
      </c>
      <c r="H50" s="460">
        <f>G50+'12'!H50</f>
        <v>13426</v>
      </c>
      <c r="I50" s="455"/>
      <c r="J50" s="552">
        <f>H50/DAY(B2)</f>
        <v>1032.7692307692307</v>
      </c>
      <c r="K50" s="428"/>
      <c r="L50" s="377"/>
      <c r="N50" s="718"/>
      <c r="O50" s="726"/>
      <c r="P50" s="382"/>
    </row>
    <row r="51" spans="1:16">
      <c r="A51" s="578" t="s">
        <v>164</v>
      </c>
      <c r="B51" s="601"/>
      <c r="C51" s="601"/>
      <c r="D51" s="523" t="s">
        <v>130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8"/>
      <c r="O51" s="725"/>
      <c r="P51" s="382"/>
    </row>
    <row r="52" spans="1:16">
      <c r="A52" s="578" t="s">
        <v>177</v>
      </c>
      <c r="B52" s="601"/>
      <c r="C52" s="601"/>
      <c r="D52" s="523" t="s">
        <v>130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166</v>
      </c>
      <c r="B53" s="601"/>
      <c r="C53" s="601"/>
      <c r="D53" s="523" t="s">
        <v>130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-0.33000000001629815</v>
      </c>
      <c r="I53" s="455"/>
      <c r="J53" s="552">
        <f>H53/DAY(B2)</f>
        <v>-2.5384615385869089E-2</v>
      </c>
      <c r="K53" s="428"/>
      <c r="L53" s="377"/>
      <c r="N53" s="718"/>
      <c r="O53" s="725"/>
      <c r="P53" s="382"/>
    </row>
    <row r="54" spans="1:16">
      <c r="A54" s="578" t="s">
        <v>178</v>
      </c>
      <c r="B54" s="601"/>
      <c r="C54" s="601"/>
      <c r="D54" s="523" t="s">
        <v>130</v>
      </c>
      <c r="E54" s="510">
        <f>'12'!F54</f>
        <v>14967</v>
      </c>
      <c r="F54" s="510">
        <v>14967</v>
      </c>
      <c r="G54" s="473">
        <f t="shared" si="4"/>
        <v>0</v>
      </c>
      <c r="H54" s="460">
        <f>G54+'12'!H54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179</v>
      </c>
      <c r="B55" s="601"/>
      <c r="C55" s="601"/>
      <c r="D55" s="523" t="s">
        <v>130</v>
      </c>
      <c r="E55" s="510">
        <f>'12'!F55</f>
        <v>162722</v>
      </c>
      <c r="F55" s="653">
        <v>166357</v>
      </c>
      <c r="G55" s="652">
        <f t="shared" si="4"/>
        <v>3635</v>
      </c>
      <c r="H55" s="705">
        <f>G55+'12'!H55</f>
        <v>43147</v>
      </c>
      <c r="I55" s="706"/>
      <c r="J55" s="707">
        <f>H55/DAY(B2)</f>
        <v>3319</v>
      </c>
      <c r="K55" s="428"/>
      <c r="L55" s="377"/>
      <c r="N55" s="718"/>
      <c r="O55" s="725"/>
      <c r="P55" s="382"/>
    </row>
    <row r="56" spans="1:16">
      <c r="A56" s="578" t="s">
        <v>180</v>
      </c>
      <c r="B56" s="601"/>
      <c r="C56" s="601"/>
      <c r="D56" s="523" t="s">
        <v>181</v>
      </c>
      <c r="E56" s="510">
        <f>'12'!F56</f>
        <v>649158.79</v>
      </c>
      <c r="F56" s="653">
        <v>649168</v>
      </c>
      <c r="G56" s="473">
        <f t="shared" si="4"/>
        <v>9.2099999999627471</v>
      </c>
      <c r="H56" s="460">
        <f>G56+'12'!H56</f>
        <v>126</v>
      </c>
      <c r="I56" s="455"/>
      <c r="J56" s="552">
        <f>H56/DAY(B2)</f>
        <v>9.6923076923076916</v>
      </c>
      <c r="K56" s="427"/>
      <c r="L56" s="377"/>
      <c r="N56" s="718"/>
      <c r="O56" s="727"/>
      <c r="P56" s="382"/>
    </row>
    <row r="57" spans="1:16">
      <c r="A57" s="578" t="s">
        <v>170</v>
      </c>
      <c r="B57" s="601"/>
      <c r="C57" s="601"/>
      <c r="D57" s="523" t="s">
        <v>130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8"/>
      <c r="O57" s="725"/>
      <c r="P57" s="382"/>
    </row>
    <row r="58" spans="1:16">
      <c r="A58" s="578" t="s">
        <v>182</v>
      </c>
      <c r="B58" s="601"/>
      <c r="C58" s="601"/>
      <c r="D58" s="523" t="s">
        <v>130</v>
      </c>
      <c r="E58" s="510">
        <f>'12'!F58</f>
        <v>56042.16</v>
      </c>
      <c r="F58" s="653">
        <v>56249</v>
      </c>
      <c r="G58" s="473">
        <f t="shared" si="4"/>
        <v>206.83999999999651</v>
      </c>
      <c r="H58" s="460">
        <f>G58+'12'!H58</f>
        <v>2069</v>
      </c>
      <c r="I58" s="455"/>
      <c r="J58" s="552">
        <f>H58/DAY(B2)</f>
        <v>159.15384615384616</v>
      </c>
      <c r="K58" s="428"/>
      <c r="L58" s="377"/>
      <c r="N58" s="718"/>
      <c r="O58" s="725"/>
      <c r="P58" s="382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7914.1399999999685</v>
      </c>
      <c r="H59" s="460">
        <f>G59+'12'!H59</f>
        <v>67624.93999999993</v>
      </c>
      <c r="I59" s="455">
        <f>G7-G60</f>
        <v>231.01000000015847</v>
      </c>
      <c r="J59" s="552">
        <f>H59/DAY(B2)</f>
        <v>5201.9184615384565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21268.989999999842</v>
      </c>
      <c r="H60" s="460">
        <f>G60+'12'!H60</f>
        <v>281632.97999999992</v>
      </c>
      <c r="I60" s="455">
        <f>G13-G60</f>
        <v>-514.28999999965527</v>
      </c>
      <c r="J60" s="552">
        <f>H60/DAY(B2)</f>
        <v>21664.075384615378</v>
      </c>
      <c r="K60" s="428"/>
      <c r="L60" s="377"/>
      <c r="N60" s="718"/>
      <c r="O60" s="725"/>
      <c r="P60" s="382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185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8"/>
      <c r="O62" s="725"/>
      <c r="P62" s="382"/>
    </row>
    <row r="63" spans="1:16">
      <c r="A63" s="603" t="s">
        <v>186</v>
      </c>
      <c r="B63" s="604"/>
      <c r="C63" s="604"/>
      <c r="D63" s="511" t="s">
        <v>185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514">
        <f>'12'!F64</f>
        <v>174787.25</v>
      </c>
      <c r="F64" s="478">
        <v>175161</v>
      </c>
      <c r="G64" s="473">
        <f t="shared" si="5"/>
        <v>373.75</v>
      </c>
      <c r="H64" s="460">
        <f>G64+'12'!H64</f>
        <v>5139</v>
      </c>
      <c r="I64" s="480"/>
      <c r="J64" s="552">
        <f>H64/DAY(B2)</f>
        <v>395.30769230769232</v>
      </c>
      <c r="K64" s="428"/>
      <c r="L64" s="377"/>
      <c r="N64" s="718"/>
      <c r="O64" s="725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514">
        <f>'12'!F65</f>
        <v>174756.89</v>
      </c>
      <c r="F65" s="651">
        <v>175162</v>
      </c>
      <c r="G65" s="473">
        <f t="shared" si="5"/>
        <v>405.10999999998603</v>
      </c>
      <c r="H65" s="460">
        <f>G65+'12'!H65</f>
        <v>4860</v>
      </c>
      <c r="I65" s="489"/>
      <c r="J65" s="552">
        <f>H65/DAY(B2)</f>
        <v>373.84615384615387</v>
      </c>
      <c r="K65" s="428"/>
      <c r="L65" s="377"/>
      <c r="N65" s="718"/>
      <c r="O65" s="726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514">
        <f>'12'!F66</f>
        <v>72962.960000000006</v>
      </c>
      <c r="F66" s="478">
        <v>73368</v>
      </c>
      <c r="G66" s="473">
        <f t="shared" si="5"/>
        <v>405.0399999999936</v>
      </c>
      <c r="H66" s="460">
        <f>G66+'12'!H66</f>
        <v>5398</v>
      </c>
      <c r="I66" s="480"/>
      <c r="J66" s="552">
        <f>H66/DAY(B2)</f>
        <v>415.23076923076923</v>
      </c>
      <c r="K66" s="428"/>
      <c r="L66" s="377"/>
      <c r="N66" s="718"/>
      <c r="O66" s="725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514">
        <f>'12'!F67</f>
        <v>270573.67</v>
      </c>
      <c r="F67" s="478">
        <v>271039</v>
      </c>
      <c r="G67" s="473">
        <f t="shared" si="5"/>
        <v>465.3300000000163</v>
      </c>
      <c r="H67" s="460">
        <f>G67+'12'!H67</f>
        <v>6080</v>
      </c>
      <c r="I67" s="489"/>
      <c r="J67" s="552">
        <f>H67/DAY(B2)</f>
        <v>467.69230769230768</v>
      </c>
      <c r="K67" s="429"/>
      <c r="L67" s="377"/>
      <c r="N67" s="718"/>
      <c r="O67" s="725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514">
        <f>'12'!F69</f>
        <v>90565.99</v>
      </c>
      <c r="F69" s="478">
        <v>90847</v>
      </c>
      <c r="G69" s="473">
        <f t="shared" si="5"/>
        <v>281.00999999999476</v>
      </c>
      <c r="H69" s="460">
        <f>G69+'12'!H69</f>
        <v>3332</v>
      </c>
      <c r="I69" s="516"/>
      <c r="J69" s="552">
        <f>H69/DAY(B2)</f>
        <v>256.30769230769232</v>
      </c>
      <c r="K69" s="431"/>
      <c r="L69" s="377"/>
      <c r="N69" s="718"/>
      <c r="O69" s="725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8"/>
      <c r="O70" s="725"/>
      <c r="P70" s="382"/>
    </row>
    <row r="71" spans="1:16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5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19">
        <f>'12'!F72</f>
        <v>856364</v>
      </c>
      <c r="F72" s="654">
        <v>856377</v>
      </c>
      <c r="G72" s="473">
        <f t="shared" ref="G72:G84" si="6">F72-E72</f>
        <v>13</v>
      </c>
      <c r="H72" s="460">
        <f>G72+'12'!H72</f>
        <v>155</v>
      </c>
      <c r="I72" s="480"/>
      <c r="J72" s="552">
        <f>H72/DAY(B2)</f>
        <v>11.923076923076923</v>
      </c>
      <c r="K72" s="431"/>
      <c r="L72" s="377"/>
      <c r="N72" s="718"/>
      <c r="O72" s="725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19">
        <f>'12'!F73</f>
        <v>885987</v>
      </c>
      <c r="F73" s="655">
        <v>885989</v>
      </c>
      <c r="G73" s="652">
        <f t="shared" si="6"/>
        <v>2</v>
      </c>
      <c r="H73" s="460">
        <f>G73+'12'!H73</f>
        <v>17</v>
      </c>
      <c r="I73" s="480"/>
      <c r="J73" s="552">
        <f>H73/DAY(B2)</f>
        <v>1.3076923076923077</v>
      </c>
      <c r="K73" s="430"/>
      <c r="L73" s="377"/>
      <c r="N73" s="718"/>
      <c r="O73" s="725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19">
        <f>'12'!F74</f>
        <v>88711.3</v>
      </c>
      <c r="F74" s="655">
        <v>88713</v>
      </c>
      <c r="G74" s="473">
        <f t="shared" si="6"/>
        <v>1.6999999999970896</v>
      </c>
      <c r="H74" s="460">
        <f>G74+'12'!H74</f>
        <v>17</v>
      </c>
      <c r="I74" s="480"/>
      <c r="J74" s="552">
        <f>H74/DAY(B2)</f>
        <v>1.3076923076923077</v>
      </c>
      <c r="K74" s="431"/>
      <c r="L74" s="377"/>
      <c r="N74" s="718"/>
      <c r="O74" s="725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19">
        <f>'12'!F75</f>
        <v>17885.84</v>
      </c>
      <c r="F75" s="655">
        <v>18041</v>
      </c>
      <c r="G75" s="473">
        <f t="shared" si="6"/>
        <v>155.15999999999985</v>
      </c>
      <c r="H75" s="460">
        <f>G75+'12'!H75</f>
        <v>1970</v>
      </c>
      <c r="I75" s="480"/>
      <c r="J75" s="552">
        <f>H75/DAY(B2)</f>
        <v>151.53846153846155</v>
      </c>
      <c r="K75" s="430"/>
      <c r="L75" s="377"/>
      <c r="N75" s="718"/>
      <c r="O75" s="725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19">
        <f>'12'!F76</f>
        <v>10124.290000000001</v>
      </c>
      <c r="F76" s="655">
        <v>10189</v>
      </c>
      <c r="G76" s="473">
        <f t="shared" si="6"/>
        <v>64.709999999999127</v>
      </c>
      <c r="H76" s="460">
        <f>G76+'12'!H76</f>
        <v>853</v>
      </c>
      <c r="I76" s="505"/>
      <c r="J76" s="552">
        <f>H76/DAY(B2)</f>
        <v>65.615384615384613</v>
      </c>
      <c r="K76" s="430"/>
      <c r="L76" s="377"/>
      <c r="N76" s="718"/>
      <c r="O76" s="725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19">
        <f>'12'!F77</f>
        <v>705111</v>
      </c>
      <c r="F77" s="655">
        <v>705164</v>
      </c>
      <c r="G77" s="652">
        <f t="shared" si="6"/>
        <v>53</v>
      </c>
      <c r="H77" s="460">
        <f>G77+'12'!H77</f>
        <v>790</v>
      </c>
      <c r="I77" s="505"/>
      <c r="J77" s="552">
        <f>H77/DAY(B2)</f>
        <v>60.769230769230766</v>
      </c>
      <c r="K77" s="430"/>
      <c r="L77" s="377"/>
      <c r="N77" s="718"/>
      <c r="O77" s="725"/>
      <c r="P77" s="382"/>
    </row>
    <row r="78" spans="1:16" ht="27.75">
      <c r="A78" s="1140" t="s">
        <v>195</v>
      </c>
      <c r="B78" s="1113"/>
      <c r="C78" s="1113"/>
      <c r="D78" s="523" t="s">
        <v>185</v>
      </c>
      <c r="E78" s="519">
        <f>'12'!F78</f>
        <v>676565</v>
      </c>
      <c r="F78" s="656">
        <v>676658</v>
      </c>
      <c r="G78" s="473">
        <f t="shared" si="6"/>
        <v>93</v>
      </c>
      <c r="H78" s="460">
        <f>G78+'12'!H78</f>
        <v>1244</v>
      </c>
      <c r="I78" s="505"/>
      <c r="J78" s="552">
        <f>H78/DAY(B2)</f>
        <v>95.692307692307693</v>
      </c>
      <c r="K78" s="430"/>
      <c r="L78" s="377"/>
      <c r="N78" s="718"/>
      <c r="O78" s="725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19">
        <f>'12'!F79</f>
        <v>837223</v>
      </c>
      <c r="F79" s="656">
        <v>837398</v>
      </c>
      <c r="G79" s="473">
        <f t="shared" si="6"/>
        <v>175</v>
      </c>
      <c r="H79" s="460">
        <f>G79+'12'!H79</f>
        <v>1982</v>
      </c>
      <c r="I79" s="505"/>
      <c r="J79" s="552">
        <f>H79/DAY(B2)</f>
        <v>152.46153846153845</v>
      </c>
      <c r="K79" s="430"/>
      <c r="L79" s="377"/>
      <c r="N79" s="718"/>
      <c r="O79" s="725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19">
        <f>'12'!F80</f>
        <v>543968.04</v>
      </c>
      <c r="F80" s="655">
        <v>544373</v>
      </c>
      <c r="G80" s="473">
        <f t="shared" si="6"/>
        <v>404.95999999996275</v>
      </c>
      <c r="H80" s="460">
        <f>G80+'12'!H80</f>
        <v>5360</v>
      </c>
      <c r="I80" s="505"/>
      <c r="J80" s="552">
        <f>H80/DAY(B2)</f>
        <v>412.30769230769232</v>
      </c>
      <c r="K80" s="430"/>
      <c r="L80" s="377"/>
      <c r="N80" s="718"/>
      <c r="O80" s="725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19">
        <f>'12'!F81</f>
        <v>645289.31999999995</v>
      </c>
      <c r="F81" s="655">
        <v>645443</v>
      </c>
      <c r="G81" s="473">
        <f t="shared" si="6"/>
        <v>153.68000000005122</v>
      </c>
      <c r="H81" s="460">
        <f>G81+'12'!H81</f>
        <v>2458</v>
      </c>
      <c r="I81" s="505"/>
      <c r="J81" s="552">
        <f>H81/DAY(B2)</f>
        <v>189.07692307692307</v>
      </c>
      <c r="K81" s="430"/>
      <c r="L81" s="377"/>
      <c r="N81" s="718"/>
      <c r="O81" s="725"/>
      <c r="P81" s="382"/>
    </row>
    <row r="82" spans="1:16" ht="27.75">
      <c r="A82" s="1546" t="s">
        <v>92</v>
      </c>
      <c r="B82" s="1547"/>
      <c r="C82" s="1548"/>
      <c r="D82" s="485" t="s">
        <v>130</v>
      </c>
      <c r="E82" s="519">
        <f>'12'!F82</f>
        <v>108925.77</v>
      </c>
      <c r="F82" s="651">
        <v>108956</v>
      </c>
      <c r="G82" s="473">
        <f t="shared" si="6"/>
        <v>30.229999999995925</v>
      </c>
      <c r="H82" s="460">
        <f>G82+'12'!H82</f>
        <v>275</v>
      </c>
      <c r="I82" s="486"/>
      <c r="J82" s="552">
        <f>H82/DAY(B2)</f>
        <v>21.153846153846153</v>
      </c>
      <c r="K82" s="430"/>
      <c r="L82" s="377"/>
      <c r="N82" s="718"/>
      <c r="O82" s="725"/>
      <c r="P82" s="382"/>
    </row>
    <row r="83" spans="1:16" ht="27.75">
      <c r="A83" s="1546" t="s">
        <v>198</v>
      </c>
      <c r="B83" s="1547"/>
      <c r="C83" s="1548"/>
      <c r="D83" s="620" t="s">
        <v>130</v>
      </c>
      <c r="E83" s="519">
        <f>'12'!F83</f>
        <v>30443</v>
      </c>
      <c r="F83" s="511">
        <v>30675</v>
      </c>
      <c r="G83" s="473">
        <f t="shared" si="6"/>
        <v>232</v>
      </c>
      <c r="H83" s="460">
        <f>G83+'12'!H83</f>
        <v>3124</v>
      </c>
      <c r="I83" s="481"/>
      <c r="J83" s="552">
        <f>H83/DAY(B2)</f>
        <v>240.30769230769232</v>
      </c>
      <c r="K83" s="429"/>
      <c r="L83" s="377"/>
      <c r="N83" s="718"/>
      <c r="O83" s="725"/>
      <c r="P83" s="382"/>
    </row>
    <row r="84" spans="1:16">
      <c r="A84" s="1141" t="s">
        <v>199</v>
      </c>
      <c r="B84" s="571"/>
      <c r="C84" s="571"/>
      <c r="D84" s="478" t="s">
        <v>130</v>
      </c>
      <c r="E84" s="519">
        <f>'12'!F84</f>
        <v>532830</v>
      </c>
      <c r="F84" s="627">
        <v>533617</v>
      </c>
      <c r="G84" s="473">
        <f t="shared" si="6"/>
        <v>787</v>
      </c>
      <c r="H84" s="460">
        <f>G84+'12'!H84</f>
        <v>10537</v>
      </c>
      <c r="I84" s="481"/>
      <c r="J84" s="552">
        <f>H84/DAY(B2)</f>
        <v>810.53846153846155</v>
      </c>
      <c r="K84" s="380"/>
      <c r="L84" s="377"/>
      <c r="N84" s="718"/>
      <c r="O84" s="725"/>
      <c r="P84" s="382"/>
    </row>
    <row r="85" spans="1:16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SUM(G71:G84)</f>
        <v>2165.440000000006</v>
      </c>
      <c r="H85" s="460">
        <f>G85+'12'!H85</f>
        <v>28782</v>
      </c>
      <c r="I85" s="481"/>
      <c r="J85" s="552">
        <f>H85/DAY(B2)</f>
        <v>2214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'12'!F86</f>
        <v>462143.64</v>
      </c>
      <c r="F86" s="647">
        <v>462161</v>
      </c>
      <c r="G86" s="705">
        <f t="shared" ref="G86:G91" si="7">F86-E86</f>
        <v>17.35999999998603</v>
      </c>
      <c r="H86" s="705">
        <f t="shared" ref="H86:H88" si="8">G86</f>
        <v>17.35999999998603</v>
      </c>
      <c r="I86" s="652"/>
      <c r="J86" s="707">
        <f>H86/DAY(B2)</f>
        <v>1.3353846153835407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'12'!F87</f>
        <v>82402.100000000006</v>
      </c>
      <c r="F87" s="647">
        <v>82429</v>
      </c>
      <c r="G87" s="705">
        <f t="shared" si="7"/>
        <v>26.899999999994179</v>
      </c>
      <c r="H87" s="705">
        <f t="shared" si="8"/>
        <v>26.899999999994179</v>
      </c>
      <c r="I87" s="652"/>
      <c r="J87" s="707">
        <f>H87/DAY(B2)</f>
        <v>2.0692307692303213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'12'!F88</f>
        <v>156638.73000000001</v>
      </c>
      <c r="F88" s="647">
        <v>156787</v>
      </c>
      <c r="G88" s="705">
        <f t="shared" si="7"/>
        <v>148.26999999998952</v>
      </c>
      <c r="H88" s="705">
        <f t="shared" si="8"/>
        <v>148.26999999998952</v>
      </c>
      <c r="I88" s="652"/>
      <c r="J88" s="707">
        <f>H88/DAY(B2)</f>
        <v>11.405384615383809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'12'!F89</f>
        <v>66382.8</v>
      </c>
      <c r="F89" s="647">
        <v>66419</v>
      </c>
      <c r="G89" s="705">
        <f t="shared" si="7"/>
        <v>36.19999999999709</v>
      </c>
      <c r="H89" s="705">
        <f>G89</f>
        <v>36.19999999999709</v>
      </c>
      <c r="I89" s="652"/>
      <c r="J89" s="707">
        <f>H89/DAY(B2)</f>
        <v>2.7846153846151607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'12'!F90</f>
        <v>3385.2</v>
      </c>
      <c r="F90" s="647">
        <v>3388</v>
      </c>
      <c r="G90" s="705">
        <f t="shared" si="7"/>
        <v>2.8000000000001819</v>
      </c>
      <c r="H90" s="705">
        <f>G90</f>
        <v>2.8000000000001819</v>
      </c>
      <c r="I90" s="652"/>
      <c r="J90" s="707">
        <f>H90/DAY(B2)</f>
        <v>0.21538461538462939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/>
      <c r="E91" s="627">
        <f>'12'!F91</f>
        <v>28345</v>
      </c>
      <c r="F91" s="647">
        <v>28354</v>
      </c>
      <c r="G91" s="705">
        <f t="shared" si="7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484">
        <f>'12'!F93</f>
        <v>248587</v>
      </c>
      <c r="F93" s="478">
        <v>248678</v>
      </c>
      <c r="G93" s="473">
        <f t="shared" ref="G93:G94" si="9">F93-E93</f>
        <v>91</v>
      </c>
      <c r="H93" s="460">
        <f>G93+'12'!H93</f>
        <v>1326</v>
      </c>
      <c r="I93" s="480"/>
      <c r="J93" s="552">
        <f>H93/DAY(B2)</f>
        <v>102</v>
      </c>
      <c r="K93" s="429"/>
      <c r="L93" s="377"/>
      <c r="N93" s="718"/>
      <c r="O93" s="725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484">
        <f>'12'!F94</f>
        <v>190842</v>
      </c>
      <c r="F94" s="478">
        <v>190948</v>
      </c>
      <c r="G94" s="473">
        <f t="shared" si="9"/>
        <v>106</v>
      </c>
      <c r="H94" s="460">
        <f>G94+'12'!H94</f>
        <v>1494</v>
      </c>
      <c r="I94" s="480"/>
      <c r="J94" s="552">
        <f>H94/DAY(B2)</f>
        <v>114.92307692307692</v>
      </c>
      <c r="K94" s="380"/>
      <c r="L94" s="377"/>
      <c r="N94" s="718"/>
      <c r="O94" s="725"/>
      <c r="P94" s="382"/>
    </row>
    <row r="95" spans="1:16">
      <c r="A95" s="1594" t="s">
        <v>206</v>
      </c>
      <c r="B95" s="1595"/>
      <c r="C95" s="1596"/>
      <c r="D95" s="523"/>
      <c r="E95" s="484">
        <f>'12'!F95</f>
        <v>0</v>
      </c>
      <c r="F95" s="478"/>
      <c r="G95" s="473">
        <f>G93+G94</f>
        <v>197</v>
      </c>
      <c r="H95" s="460">
        <f>G95+'12'!H95</f>
        <v>2634</v>
      </c>
      <c r="I95" s="480"/>
      <c r="J95" s="552">
        <f>H95/DAY(B2)</f>
        <v>202.61538461538461</v>
      </c>
      <c r="K95" s="380"/>
      <c r="L95" s="377"/>
      <c r="N95" s="718"/>
      <c r="O95" s="725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484">
        <f>'12'!F96</f>
        <v>417106</v>
      </c>
      <c r="F96" s="478">
        <v>417207</v>
      </c>
      <c r="G96" s="473">
        <f t="shared" ref="G96:G101" si="10">F96-E96</f>
        <v>101</v>
      </c>
      <c r="H96" s="460">
        <f>G96+'12'!H96</f>
        <v>1208</v>
      </c>
      <c r="I96" s="480"/>
      <c r="J96" s="552">
        <f>H96/DAY(B2)</f>
        <v>92.92307692307692</v>
      </c>
      <c r="K96" s="380"/>
      <c r="L96" s="377"/>
      <c r="N96" s="718"/>
      <c r="O96" s="725"/>
      <c r="P96" s="382"/>
    </row>
    <row r="97" spans="1:16" ht="27.75">
      <c r="A97" s="1137" t="s">
        <v>208</v>
      </c>
      <c r="B97" s="1138"/>
      <c r="C97" s="1138"/>
      <c r="D97" s="523" t="s">
        <v>142</v>
      </c>
      <c r="E97" s="484">
        <f>'12'!F97</f>
        <v>103425</v>
      </c>
      <c r="F97" s="478">
        <v>103440</v>
      </c>
      <c r="G97" s="473">
        <f t="shared" si="10"/>
        <v>15</v>
      </c>
      <c r="H97" s="460">
        <f>G97+'12'!H97</f>
        <v>277</v>
      </c>
      <c r="I97" s="480"/>
      <c r="J97" s="552">
        <f>H97/DAY(B2)</f>
        <v>21.307692307692307</v>
      </c>
      <c r="K97" s="427"/>
      <c r="L97" s="377"/>
      <c r="N97" s="718"/>
      <c r="O97" s="725"/>
      <c r="P97" s="382"/>
    </row>
    <row r="98" spans="1:16" ht="27.75">
      <c r="A98" s="1137" t="s">
        <v>209</v>
      </c>
      <c r="B98" s="1138"/>
      <c r="C98" s="1138"/>
      <c r="D98" s="523" t="s">
        <v>142</v>
      </c>
      <c r="E98" s="484">
        <f>'12'!F98</f>
        <v>98963</v>
      </c>
      <c r="F98" s="478">
        <v>98987</v>
      </c>
      <c r="G98" s="473">
        <f t="shared" si="10"/>
        <v>24</v>
      </c>
      <c r="H98" s="460">
        <f>G98+'12'!H98</f>
        <v>330</v>
      </c>
      <c r="I98" s="480"/>
      <c r="J98" s="552">
        <f>H98/DAY(B2)</f>
        <v>25.384615384615383</v>
      </c>
      <c r="K98" s="432"/>
      <c r="L98" s="377"/>
      <c r="N98" s="718"/>
      <c r="O98" s="725"/>
      <c r="P98" s="382"/>
    </row>
    <row r="99" spans="1:16" ht="27.75">
      <c r="A99" s="1137" t="s">
        <v>210</v>
      </c>
      <c r="B99" s="1138"/>
      <c r="C99" s="1138"/>
      <c r="D99" s="523" t="s">
        <v>142</v>
      </c>
      <c r="E99" s="484">
        <f>'12'!F99</f>
        <v>150797</v>
      </c>
      <c r="F99" s="478">
        <v>150814</v>
      </c>
      <c r="G99" s="473">
        <f t="shared" si="10"/>
        <v>17</v>
      </c>
      <c r="H99" s="460">
        <f>G99+'12'!H99</f>
        <v>409</v>
      </c>
      <c r="I99" s="480"/>
      <c r="J99" s="552">
        <f>H99/DAY(B2)</f>
        <v>31.46153846153846</v>
      </c>
      <c r="K99" s="380"/>
      <c r="L99" s="377"/>
      <c r="N99" s="720"/>
      <c r="O99" s="725"/>
      <c r="P99" s="382"/>
    </row>
    <row r="100" spans="1:16" ht="27.75">
      <c r="A100" s="1137" t="s">
        <v>211</v>
      </c>
      <c r="B100" s="1138"/>
      <c r="C100" s="1138"/>
      <c r="D100" s="523" t="s">
        <v>142</v>
      </c>
      <c r="E100" s="484">
        <f>'12'!F100</f>
        <v>7930</v>
      </c>
      <c r="F100" s="478">
        <v>7938</v>
      </c>
      <c r="G100" s="473">
        <f t="shared" si="10"/>
        <v>8</v>
      </c>
      <c r="H100" s="460">
        <f>G100+'12'!H100</f>
        <v>141</v>
      </c>
      <c r="I100" s="480"/>
      <c r="J100" s="552">
        <f>H100/DAY(B2)</f>
        <v>10.846153846153847</v>
      </c>
      <c r="K100" s="380"/>
      <c r="L100" s="377"/>
      <c r="N100" s="718"/>
      <c r="O100" s="725"/>
      <c r="P100" s="382"/>
    </row>
    <row r="101" spans="1:16" ht="27.75">
      <c r="A101" s="1137" t="s">
        <v>212</v>
      </c>
      <c r="B101" s="1138"/>
      <c r="C101" s="1138"/>
      <c r="D101" s="523" t="s">
        <v>142</v>
      </c>
      <c r="E101" s="484">
        <f>'12'!F101</f>
        <v>5796</v>
      </c>
      <c r="F101" s="626">
        <v>5807</v>
      </c>
      <c r="G101" s="473">
        <f t="shared" si="10"/>
        <v>11</v>
      </c>
      <c r="H101" s="460">
        <f>G101+'12'!H101</f>
        <v>133</v>
      </c>
      <c r="I101" s="480"/>
      <c r="J101" s="552">
        <f>H101/DAY(B2)</f>
        <v>10.23076923076923</v>
      </c>
      <c r="K101" s="380"/>
      <c r="L101" s="377"/>
      <c r="N101" s="718"/>
      <c r="O101" s="725"/>
      <c r="P101" s="382"/>
    </row>
    <row r="102" spans="1:16">
      <c r="A102" s="1594" t="s">
        <v>214</v>
      </c>
      <c r="B102" s="1595"/>
      <c r="C102" s="1596"/>
      <c r="D102" s="524"/>
      <c r="E102" s="484"/>
      <c r="F102" s="524"/>
      <c r="G102" s="525">
        <f>SUM(G96:G101)</f>
        <v>176</v>
      </c>
      <c r="H102" s="460">
        <f>G102+'12'!H102</f>
        <v>2498</v>
      </c>
      <c r="I102" s="526"/>
      <c r="J102" s="552">
        <f>H102/DAY(B2)</f>
        <v>192.15384615384616</v>
      </c>
      <c r="K102" s="380"/>
      <c r="L102" s="377"/>
      <c r="N102" s="718"/>
      <c r="O102" s="725"/>
      <c r="P102" s="382"/>
    </row>
    <row r="103" spans="1:16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4" t="s">
        <v>217</v>
      </c>
      <c r="B105" s="1555"/>
      <c r="C105" s="1136"/>
      <c r="D105" s="622" t="s">
        <v>142</v>
      </c>
      <c r="E105" s="484">
        <f>'12'!F105</f>
        <v>7767</v>
      </c>
      <c r="F105" s="659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5.3369230769230152</v>
      </c>
      <c r="N105" s="718"/>
      <c r="O105" s="725"/>
      <c r="P105" s="382"/>
    </row>
    <row r="106" spans="1:16" s="442" customFormat="1" ht="27.75">
      <c r="A106" s="1554" t="s">
        <v>76</v>
      </c>
      <c r="B106" s="1555"/>
      <c r="C106" s="1136"/>
      <c r="D106" s="622" t="s">
        <v>142</v>
      </c>
      <c r="E106" s="659">
        <v>36269</v>
      </c>
      <c r="F106" s="659">
        <v>36292</v>
      </c>
      <c r="G106" s="532">
        <f t="shared" ref="G106:G107" si="11">F106-E106</f>
        <v>23</v>
      </c>
      <c r="H106" s="533">
        <f>SUM(G106+'1'!G77)</f>
        <v>76</v>
      </c>
      <c r="I106" s="532"/>
      <c r="J106" s="558">
        <f>H106/DAY(B2)</f>
        <v>5.8461538461538458</v>
      </c>
      <c r="N106" s="718"/>
      <c r="O106" s="725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484">
        <f>'12'!F107</f>
        <v>19874</v>
      </c>
      <c r="F107" s="659">
        <v>19879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9.1538461538461533</v>
      </c>
      <c r="N107" s="718"/>
      <c r="O107" s="725"/>
      <c r="P107" s="382"/>
    </row>
    <row r="108" spans="1:16" s="442" customFormat="1" ht="27.75">
      <c r="A108" s="1556" t="s">
        <v>200</v>
      </c>
      <c r="B108" s="1557"/>
      <c r="C108" s="1136"/>
      <c r="D108" s="622"/>
      <c r="E108" s="484"/>
      <c r="F108" s="659"/>
      <c r="G108" s="532">
        <f>SUM(G105:G107)</f>
        <v>28</v>
      </c>
      <c r="H108" s="533">
        <f>SUM(G108+'1'!G79)</f>
        <v>181</v>
      </c>
      <c r="I108" s="532"/>
      <c r="J108" s="558">
        <f>H108/DAY(B2)</f>
        <v>13.923076923076923</v>
      </c>
      <c r="N108" s="718"/>
      <c r="O108" s="725"/>
      <c r="P108" s="382"/>
    </row>
    <row r="109" spans="1:16" s="442" customFormat="1" ht="27.75">
      <c r="A109" s="1560" t="s">
        <v>78</v>
      </c>
      <c r="B109" s="1561"/>
      <c r="C109" s="1136"/>
      <c r="D109" s="622" t="s">
        <v>142</v>
      </c>
      <c r="E109" s="484"/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4" t="s">
        <v>218</v>
      </c>
      <c r="B110" s="1555"/>
      <c r="C110" s="1136"/>
      <c r="D110" s="622" t="s">
        <v>142</v>
      </c>
      <c r="E110" s="484">
        <f>'12'!F110</f>
        <v>65778</v>
      </c>
      <c r="F110" s="659">
        <v>65843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15.126153846154921</v>
      </c>
      <c r="N110" s="718"/>
      <c r="O110" s="725"/>
      <c r="P110" s="382"/>
    </row>
    <row r="111" spans="1:16" s="442" customFormat="1" ht="27.75">
      <c r="A111" s="1554" t="s">
        <v>219</v>
      </c>
      <c r="B111" s="1555"/>
      <c r="C111" s="1136"/>
      <c r="D111" s="622" t="s">
        <v>142</v>
      </c>
      <c r="E111" s="484">
        <f>'12'!F111</f>
        <v>33529</v>
      </c>
      <c r="F111" s="659">
        <v>33555</v>
      </c>
      <c r="G111" s="532">
        <f t="shared" ref="G111:G112" si="12">F111-E111</f>
        <v>26</v>
      </c>
      <c r="H111" s="533">
        <f>SUM(G111+'1'!G82)</f>
        <v>50.899999999994179</v>
      </c>
      <c r="I111" s="532"/>
      <c r="J111" s="558">
        <f>H111/DAY(B2)</f>
        <v>3.9153846153841676</v>
      </c>
      <c r="N111" s="718"/>
      <c r="O111" s="725"/>
      <c r="P111" s="382"/>
    </row>
    <row r="112" spans="1:16" s="442" customFormat="1" ht="27.75">
      <c r="A112" s="1554" t="s">
        <v>220</v>
      </c>
      <c r="B112" s="1555"/>
      <c r="C112" s="1136"/>
      <c r="D112" s="622" t="s">
        <v>142</v>
      </c>
      <c r="E112" s="484">
        <f>'12'!F112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27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136"/>
      <c r="D113" s="622"/>
      <c r="E113" s="484"/>
      <c r="F113" s="659"/>
      <c r="G113" s="532">
        <f>SUM(G110:G112)</f>
        <v>91</v>
      </c>
      <c r="H113" s="533">
        <f>SUM(G113+'1'!G84)</f>
        <v>907</v>
      </c>
      <c r="I113" s="532"/>
      <c r="J113" s="558">
        <f>H113/DAY(B2)</f>
        <v>69.769230769230774</v>
      </c>
      <c r="N113" s="718"/>
      <c r="O113" s="725"/>
      <c r="P113" s="382"/>
    </row>
    <row r="114" spans="1:16" s="442" customFormat="1" ht="27.75">
      <c r="A114" s="1560" t="s">
        <v>221</v>
      </c>
      <c r="B114" s="1561"/>
      <c r="C114" s="1136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484">
        <f>'12'!F115</f>
        <v>12179</v>
      </c>
      <c r="F115" s="659">
        <v>12190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0.84615384615384615</v>
      </c>
      <c r="N115" s="718"/>
      <c r="O115" s="725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484">
        <f>'12'!F116</f>
        <v>8659</v>
      </c>
      <c r="F116" s="659">
        <v>8663</v>
      </c>
      <c r="G116" s="534">
        <f t="shared" ref="G116:G117" si="13">F116-E116</f>
        <v>4</v>
      </c>
      <c r="H116" s="533">
        <f>SUM(G116+'1'!G93)</f>
        <v>93</v>
      </c>
      <c r="I116" s="532"/>
      <c r="J116" s="558">
        <f>H116/DAY(B2)</f>
        <v>7.1538461538461542</v>
      </c>
      <c r="N116" s="718"/>
      <c r="O116" s="725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7.4615384615384617</v>
      </c>
      <c r="N117" s="718"/>
      <c r="O117" s="725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15</v>
      </c>
      <c r="H118" s="533">
        <f>SUM(G118+'1'!G96)</f>
        <v>101</v>
      </c>
      <c r="I118" s="534"/>
      <c r="J118" s="558">
        <f>H118/DAY(B2)</f>
        <v>7.7692307692307692</v>
      </c>
      <c r="N118" s="718"/>
      <c r="O118" s="725"/>
      <c r="P118" s="382"/>
    </row>
    <row r="119" spans="1:16" s="446" customFormat="1" ht="27.75">
      <c r="A119" s="1550" t="s">
        <v>225</v>
      </c>
      <c r="B119" s="1551"/>
      <c r="C119" s="1134"/>
      <c r="D119" s="624" t="s">
        <v>142</v>
      </c>
      <c r="E119" s="536"/>
      <c r="F119" s="660">
        <f>SUM(G19+G93)</f>
        <v>153</v>
      </c>
      <c r="G119" s="536">
        <f>SUM(G19+G93)</f>
        <v>153</v>
      </c>
      <c r="H119" s="533">
        <f>SUM(G119+'1'!G97)</f>
        <v>170</v>
      </c>
      <c r="I119" s="535"/>
      <c r="J119" s="559">
        <f>H119/DAY(B2)</f>
        <v>13.076923076923077</v>
      </c>
      <c r="N119" s="718"/>
      <c r="O119" s="725"/>
      <c r="P119" s="382"/>
    </row>
    <row r="120" spans="1:16" s="446" customFormat="1" ht="27.75">
      <c r="A120" s="1550" t="s">
        <v>226</v>
      </c>
      <c r="B120" s="1551"/>
      <c r="C120" s="1134"/>
      <c r="D120" s="624" t="s">
        <v>142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16.076923076923077</v>
      </c>
      <c r="N120" s="718"/>
      <c r="O120" s="725"/>
      <c r="P120" s="382"/>
    </row>
    <row r="121" spans="1:16" s="446" customFormat="1" ht="27.75">
      <c r="A121" s="1550" t="s">
        <v>227</v>
      </c>
      <c r="B121" s="1551"/>
      <c r="C121" s="1134"/>
      <c r="D121" s="624" t="s">
        <v>142</v>
      </c>
      <c r="E121" s="534"/>
      <c r="F121" s="659">
        <f>SUM(G113)</f>
        <v>91</v>
      </c>
      <c r="G121" s="534">
        <f>SUM(G113)</f>
        <v>91</v>
      </c>
      <c r="H121" s="533">
        <f>SUM(G121+'1'!G101)</f>
        <v>96</v>
      </c>
      <c r="I121" s="535"/>
      <c r="J121" s="559">
        <f>H121/DAY(B2)</f>
        <v>7.384615384615385</v>
      </c>
      <c r="N121" s="718"/>
      <c r="O121" s="725"/>
      <c r="P121" s="382"/>
    </row>
    <row r="122" spans="1:16" s="442" customFormat="1" ht="27.75">
      <c r="A122" s="1552"/>
      <c r="B122" s="1553"/>
      <c r="C122" s="1135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5"/>
      <c r="P122" s="382"/>
    </row>
    <row r="123" spans="1:16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37" t="s">
        <v>229</v>
      </c>
      <c r="B124" s="1138"/>
      <c r="C124" s="1138"/>
      <c r="D124" s="523" t="s">
        <v>139</v>
      </c>
      <c r="E124" s="478">
        <f>'12'!F124</f>
        <v>842969.01</v>
      </c>
      <c r="F124" s="478">
        <v>843224</v>
      </c>
      <c r="G124" s="473">
        <f t="shared" ref="G124:G128" si="14">F124-E124</f>
        <v>254.98999999999069</v>
      </c>
      <c r="H124" s="460">
        <f>G124+'12'!H124</f>
        <v>3554</v>
      </c>
      <c r="I124" s="526"/>
      <c r="J124" s="552">
        <f>H124/DAY(B2)</f>
        <v>273.38461538461536</v>
      </c>
      <c r="K124" s="380"/>
      <c r="L124" s="377"/>
      <c r="N124" s="718"/>
      <c r="O124" s="725"/>
      <c r="P124" s="382"/>
    </row>
    <row r="125" spans="1:16" ht="27.75">
      <c r="A125" s="1137" t="s">
        <v>230</v>
      </c>
      <c r="B125" s="1138"/>
      <c r="C125" s="1138"/>
      <c r="D125" s="523" t="s">
        <v>139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8"/>
      <c r="O125" s="725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478">
        <f>'12'!F126</f>
        <v>149636.23000000001</v>
      </c>
      <c r="F126" s="478">
        <v>149731</v>
      </c>
      <c r="G126" s="473">
        <f t="shared" si="14"/>
        <v>94.769999999989523</v>
      </c>
      <c r="H126" s="460">
        <f>G126+'12'!H126</f>
        <v>1134</v>
      </c>
      <c r="I126" s="526"/>
      <c r="J126" s="552">
        <f>H126/DAY(B2)</f>
        <v>87.230769230769226</v>
      </c>
      <c r="K126" s="380"/>
      <c r="L126" s="377"/>
      <c r="N126" s="718"/>
      <c r="O126" s="725"/>
      <c r="P126" s="382"/>
    </row>
    <row r="127" spans="1:16" ht="27.75">
      <c r="A127" s="609" t="s">
        <v>232</v>
      </c>
      <c r="B127" s="1138"/>
      <c r="C127" s="1138"/>
      <c r="D127" s="523" t="s">
        <v>139</v>
      </c>
      <c r="E127" s="626">
        <f>'12'!F127</f>
        <v>32518.2</v>
      </c>
      <c r="F127" s="626">
        <v>32560</v>
      </c>
      <c r="G127" s="473">
        <f t="shared" si="14"/>
        <v>41.799999999999272</v>
      </c>
      <c r="H127" s="460">
        <f>G127+'12'!H127</f>
        <v>489</v>
      </c>
      <c r="I127" s="526"/>
      <c r="J127" s="552">
        <f>H127/DAY(B2)</f>
        <v>37.615384615384613</v>
      </c>
      <c r="K127" s="380"/>
      <c r="L127" s="377"/>
      <c r="N127" s="718"/>
      <c r="O127" s="725"/>
      <c r="P127" s="382"/>
    </row>
    <row r="128" spans="1:16" ht="27.75">
      <c r="A128" s="609" t="s">
        <v>233</v>
      </c>
      <c r="B128" s="1138"/>
      <c r="C128" s="1138"/>
      <c r="D128" s="523" t="s">
        <v>139</v>
      </c>
      <c r="E128" s="626">
        <f>'12'!F128</f>
        <v>9050.9</v>
      </c>
      <c r="F128" s="626">
        <v>9057</v>
      </c>
      <c r="G128" s="473">
        <f t="shared" si="14"/>
        <v>6.1000000000003638</v>
      </c>
      <c r="H128" s="460">
        <f>G128+'12'!H128</f>
        <v>45</v>
      </c>
      <c r="I128" s="480"/>
      <c r="J128" s="552">
        <f>H128/DAY(B2)</f>
        <v>3.4615384615384617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546.14000000006672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37" t="s">
        <v>236</v>
      </c>
      <c r="B131" s="1138"/>
      <c r="C131" s="1138"/>
      <c r="D131" s="523" t="s">
        <v>237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37" t="s">
        <v>238</v>
      </c>
      <c r="B132" s="1138"/>
      <c r="C132" s="1138"/>
      <c r="D132" s="523" t="s">
        <v>237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37" t="s">
        <v>239</v>
      </c>
      <c r="B133" s="1138"/>
      <c r="C133" s="1138"/>
      <c r="D133" s="523" t="s">
        <v>237</v>
      </c>
      <c r="E133" s="541">
        <f>'12'!F133</f>
        <v>40605.550000000003</v>
      </c>
      <c r="F133" s="651">
        <v>40605.550000000003</v>
      </c>
      <c r="G133" s="473">
        <f t="shared" si="15"/>
        <v>0</v>
      </c>
      <c r="H133" s="460">
        <f>G133+'12'!H133</f>
        <v>152.55000000000291</v>
      </c>
      <c r="I133" s="480"/>
      <c r="J133" s="552">
        <f>H133/DAY(B2)</f>
        <v>11.734615384615608</v>
      </c>
      <c r="N133" s="718"/>
      <c r="O133" s="725"/>
      <c r="P133" s="382"/>
    </row>
    <row r="134" spans="1:16" ht="27.75">
      <c r="A134" s="1137" t="s">
        <v>240</v>
      </c>
      <c r="B134" s="1138"/>
      <c r="C134" s="1138"/>
      <c r="D134" s="523" t="s">
        <v>237</v>
      </c>
      <c r="E134" s="701">
        <f>'12'!F134</f>
        <v>304.57</v>
      </c>
      <c r="F134" s="626">
        <v>317</v>
      </c>
      <c r="G134" s="473">
        <f t="shared" si="15"/>
        <v>12.430000000000007</v>
      </c>
      <c r="H134" s="460">
        <f>G134+'12'!H134</f>
        <v>17</v>
      </c>
      <c r="I134" s="480">
        <f>G131+G132+G133+G134</f>
        <v>12.430000000000007</v>
      </c>
      <c r="J134" s="552">
        <f>H134/DAY(B2)</f>
        <v>1.3076923076923077</v>
      </c>
      <c r="N134" s="718"/>
      <c r="O134" s="725"/>
      <c r="P134" s="382"/>
    </row>
    <row r="135" spans="1:16" ht="27.75">
      <c r="A135" s="1137" t="s">
        <v>241</v>
      </c>
      <c r="B135" s="1138"/>
      <c r="C135" s="1138"/>
      <c r="D135" s="523" t="s">
        <v>237</v>
      </c>
      <c r="E135" s="701">
        <f>'12'!F135</f>
        <v>42175.3</v>
      </c>
      <c r="F135" s="626">
        <v>42192</v>
      </c>
      <c r="G135" s="473">
        <f t="shared" si="15"/>
        <v>16.69999999999709</v>
      </c>
      <c r="H135" s="460">
        <f>G135+'12'!H135</f>
        <v>220</v>
      </c>
      <c r="I135" s="480"/>
      <c r="J135" s="552">
        <f>H135/DAY(B2)</f>
        <v>16.923076923076923</v>
      </c>
      <c r="N135" s="718"/>
      <c r="O135" s="725"/>
      <c r="P135" s="382"/>
    </row>
    <row r="136" spans="1:16" ht="27.75">
      <c r="A136" s="1137" t="s">
        <v>242</v>
      </c>
      <c r="B136" s="1138"/>
      <c r="C136" s="1138"/>
      <c r="D136" s="523" t="s">
        <v>237</v>
      </c>
      <c r="E136" s="541">
        <f>'12'!F136</f>
        <v>32874.050000000003</v>
      </c>
      <c r="F136" s="651">
        <v>32874</v>
      </c>
      <c r="G136" s="473">
        <f t="shared" si="15"/>
        <v>-5.0000000002910383E-2</v>
      </c>
      <c r="H136" s="460">
        <f>G136+'12'!H136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37" t="s">
        <v>243</v>
      </c>
      <c r="B137" s="1138"/>
      <c r="C137" s="1138"/>
      <c r="D137" s="523" t="s">
        <v>237</v>
      </c>
      <c r="E137" s="541">
        <f>'12'!F137</f>
        <v>22972.33</v>
      </c>
      <c r="F137" s="651">
        <v>22982.78</v>
      </c>
      <c r="G137" s="473">
        <f t="shared" si="15"/>
        <v>10.44999999999709</v>
      </c>
      <c r="H137" s="460">
        <f>G137+'12'!H137</f>
        <v>91.289999999997235</v>
      </c>
      <c r="I137" s="480">
        <f>G135+G136+G137</f>
        <v>27.099999999991269</v>
      </c>
      <c r="J137" s="552">
        <f>H137/DAY(B2)</f>
        <v>7.0223076923074794</v>
      </c>
      <c r="N137" s="718"/>
      <c r="O137" s="725"/>
      <c r="P137" s="382"/>
    </row>
    <row r="138" spans="1:16" ht="27.75">
      <c r="A138" s="1137" t="s">
        <v>244</v>
      </c>
      <c r="B138" s="1138"/>
      <c r="C138" s="1138"/>
      <c r="D138" s="523" t="s">
        <v>237</v>
      </c>
      <c r="E138" s="541">
        <f>'12'!F138</f>
        <v>25099.16</v>
      </c>
      <c r="F138" s="651">
        <v>25099.16</v>
      </c>
      <c r="G138" s="473">
        <f t="shared" si="15"/>
        <v>0</v>
      </c>
      <c r="H138" s="460">
        <f>G138+'12'!H138</f>
        <v>7.7700000000004366</v>
      </c>
      <c r="I138" s="480"/>
      <c r="J138" s="552">
        <f>H138/DAY(B2)</f>
        <v>0.59769230769234127</v>
      </c>
      <c r="N138" s="718"/>
      <c r="O138" s="725"/>
      <c r="P138" s="382"/>
    </row>
    <row r="139" spans="1:16" ht="27.75">
      <c r="A139" s="1137" t="s">
        <v>245</v>
      </c>
      <c r="B139" s="1138"/>
      <c r="C139" s="1138"/>
      <c r="D139" s="523" t="s">
        <v>237</v>
      </c>
      <c r="E139" s="541">
        <f>'12'!F139</f>
        <v>70514.289999999994</v>
      </c>
      <c r="F139" s="651">
        <v>70514.289999999994</v>
      </c>
      <c r="G139" s="473">
        <f t="shared" si="15"/>
        <v>0</v>
      </c>
      <c r="H139" s="460">
        <f>G139+'12'!H139</f>
        <v>0.66999999999825377</v>
      </c>
      <c r="I139" s="480">
        <f>G138+G139</f>
        <v>0</v>
      </c>
      <c r="J139" s="552">
        <f>H139/DAY(B2)</f>
        <v>5.153846153832721E-2</v>
      </c>
      <c r="N139" s="718"/>
      <c r="O139" s="725"/>
      <c r="P139" s="382"/>
    </row>
    <row r="140" spans="1:16" ht="27.75">
      <c r="A140" s="1137" t="s">
        <v>246</v>
      </c>
      <c r="B140" s="1138"/>
      <c r="C140" s="1138"/>
      <c r="D140" s="523" t="s">
        <v>237</v>
      </c>
      <c r="E140" s="701">
        <f>'12'!F140</f>
        <v>2247.77</v>
      </c>
      <c r="F140" s="626">
        <v>2247.77</v>
      </c>
      <c r="G140" s="473">
        <f t="shared" si="15"/>
        <v>0</v>
      </c>
      <c r="H140" s="460">
        <f>G140+'12'!H140</f>
        <v>118.59000000000015</v>
      </c>
      <c r="I140" s="542"/>
      <c r="J140" s="552">
        <f>H140/DAY(B2)</f>
        <v>9.1223076923077038</v>
      </c>
      <c r="N140" s="718"/>
      <c r="O140" s="725"/>
      <c r="P140" s="382"/>
    </row>
    <row r="141" spans="1:16" ht="27.75">
      <c r="A141" s="1137" t="s">
        <v>247</v>
      </c>
      <c r="B141" s="1138"/>
      <c r="C141" s="1138"/>
      <c r="D141" s="523" t="s">
        <v>237</v>
      </c>
      <c r="E141" s="484">
        <f>'12'!F141</f>
        <v>4640.12</v>
      </c>
      <c r="F141" s="478">
        <v>4648.96</v>
      </c>
      <c r="G141" s="473">
        <f t="shared" si="15"/>
        <v>8.8400000000001455</v>
      </c>
      <c r="H141" s="460">
        <f>G141+'12'!H141</f>
        <v>11.960000000000036</v>
      </c>
      <c r="I141" s="542"/>
      <c r="J141" s="552">
        <f>H141/DAY(B2)</f>
        <v>0.92000000000000282</v>
      </c>
      <c r="N141" s="718"/>
      <c r="O141" s="725"/>
      <c r="P141" s="382"/>
    </row>
    <row r="142" spans="1:16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5452.2999999998556</v>
      </c>
      <c r="H143" s="460">
        <f>G143+'12'!H143</f>
        <v>73273.33</v>
      </c>
      <c r="I143" s="480"/>
      <c r="J143" s="552">
        <f>H143/DAY(B2)</f>
        <v>5636.41</v>
      </c>
      <c r="K143" s="380"/>
      <c r="L143" s="377"/>
      <c r="N143" s="718"/>
      <c r="O143" s="725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0.25359534883720258</v>
      </c>
      <c r="H144" s="460">
        <f>G144+'12'!H144</f>
        <v>3.3943541977148839</v>
      </c>
      <c r="I144" s="544"/>
      <c r="J144" s="552">
        <f>H144/DAY(B2)</f>
        <v>0.26110416905499106</v>
      </c>
      <c r="K144" s="380"/>
      <c r="L144" s="377"/>
      <c r="N144" s="718"/>
      <c r="O144" s="725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6191.8099999999613</v>
      </c>
      <c r="H145" s="460">
        <f>G145+'12'!H145</f>
        <v>86648.219999999972</v>
      </c>
      <c r="I145" s="480"/>
      <c r="J145" s="552">
        <f>H145/DAY(B2)</f>
        <v>6665.2476923076902</v>
      </c>
      <c r="K145" s="380"/>
      <c r="L145" s="377"/>
      <c r="N145" s="718"/>
      <c r="O145" s="725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0.28799116279069586</v>
      </c>
      <c r="H146" s="460">
        <f>G146+'12'!H146</f>
        <v>4.0068840245501578</v>
      </c>
      <c r="I146" s="544"/>
      <c r="J146" s="552">
        <f>H146/DAY(B2)</f>
        <v>0.30822184804231983</v>
      </c>
      <c r="K146" s="380"/>
      <c r="L146" s="377"/>
      <c r="N146" s="718"/>
      <c r="O146" s="725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3726</v>
      </c>
      <c r="H147" s="460">
        <f>G147+'12'!H147</f>
        <v>47752</v>
      </c>
      <c r="I147" s="545"/>
      <c r="J147" s="552">
        <f>H147/DAY(B2)</f>
        <v>3673.2307692307691</v>
      </c>
      <c r="K147" s="380"/>
      <c r="L147" s="377"/>
      <c r="N147" s="718"/>
      <c r="O147" s="725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0.17330232558139536</v>
      </c>
      <c r="H148" s="460">
        <f>G148+'12'!H148</f>
        <v>2.2139195428039624</v>
      </c>
      <c r="I148" s="545"/>
      <c r="J148" s="552">
        <f>H148/DAY(B2)</f>
        <v>0.17030150329261248</v>
      </c>
      <c r="N148" s="718"/>
      <c r="O148" s="725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1632.0100000000093</v>
      </c>
      <c r="H149" s="460">
        <f>G149+'12'!H149</f>
        <v>20932.069999999949</v>
      </c>
      <c r="I149" s="480"/>
      <c r="J149" s="552">
        <f>H149/DAY(B2)</f>
        <v>1610.1592307692267</v>
      </c>
      <c r="K149" s="381"/>
      <c r="N149" s="718"/>
      <c r="O149" s="725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7.5907441860465552E-2</v>
      </c>
      <c r="H150" s="460">
        <f>G150+'12'!H150</f>
        <v>0.96910717955576398</v>
      </c>
      <c r="I150" s="545"/>
      <c r="J150" s="552">
        <f>H150/DAY(B2)</f>
        <v>7.454670611967415E-2</v>
      </c>
      <c r="N150" s="718"/>
      <c r="O150" s="725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2131.9100000000144</v>
      </c>
      <c r="H151" s="460">
        <f>G151+'12'!H151</f>
        <v>24956</v>
      </c>
      <c r="I151" s="545"/>
      <c r="J151" s="552">
        <f>H151/DAY(B2)</f>
        <v>1919.6923076923076</v>
      </c>
      <c r="N151" s="718"/>
      <c r="O151" s="725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9.9158604651163454E-2</v>
      </c>
      <c r="H152" s="460">
        <f>G152+'12'!H152</f>
        <v>1.1540419842950211</v>
      </c>
      <c r="I152" s="480"/>
      <c r="J152" s="552">
        <f>H152/DAY(B2)</f>
        <v>8.8772460330386244E-2</v>
      </c>
      <c r="N152" s="718"/>
      <c r="O152" s="725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1577.1300000000047</v>
      </c>
      <c r="H153" s="460">
        <f>G153+'12'!H153</f>
        <v>20087.869999999995</v>
      </c>
      <c r="I153" s="480"/>
      <c r="J153" s="552">
        <f>H153/DAY(B2)</f>
        <v>1545.2207692307688</v>
      </c>
      <c r="N153" s="718"/>
      <c r="O153" s="725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7.335488372093045E-2</v>
      </c>
      <c r="H154" s="460">
        <f>G154+'12'!H154</f>
        <v>0.93114215172510528</v>
      </c>
      <c r="I154" s="568"/>
      <c r="J154" s="569">
        <f>H154/DAY(B2)</f>
        <v>7.1626319363469637E-2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261</v>
      </c>
      <c r="B161" s="795"/>
      <c r="C161" s="795"/>
      <c r="D161" s="620" t="s">
        <v>185</v>
      </c>
      <c r="E161" s="522">
        <f>'12'!F161</f>
        <v>41804.980000000003</v>
      </c>
      <c r="F161" s="803">
        <v>41887</v>
      </c>
      <c r="G161" s="473">
        <f t="shared" ref="G161:G164" si="16">F161-E161</f>
        <v>82.019999999996799</v>
      </c>
      <c r="N161" s="718"/>
    </row>
    <row r="162" spans="1:14">
      <c r="A162" s="794" t="s">
        <v>262</v>
      </c>
      <c r="B162" s="795"/>
      <c r="C162" s="795"/>
      <c r="D162" s="620" t="s">
        <v>185</v>
      </c>
      <c r="E162" s="522">
        <f>'12'!F162</f>
        <v>113183.84</v>
      </c>
      <c r="F162" s="803">
        <v>113702</v>
      </c>
      <c r="G162" s="473">
        <f t="shared" si="16"/>
        <v>518.16000000000349</v>
      </c>
      <c r="N162" s="718"/>
    </row>
    <row r="163" spans="1:14">
      <c r="A163" s="794" t="s">
        <v>263</v>
      </c>
      <c r="B163" s="795"/>
      <c r="C163" s="795"/>
      <c r="D163" s="620" t="s">
        <v>185</v>
      </c>
      <c r="E163" s="522">
        <f>'12'!F163</f>
        <v>63686.52</v>
      </c>
      <c r="F163" s="803">
        <v>63893</v>
      </c>
      <c r="G163" s="473">
        <f t="shared" si="16"/>
        <v>206.4800000000032</v>
      </c>
      <c r="N163" s="718"/>
    </row>
    <row r="164" spans="1:14">
      <c r="A164" s="794" t="s">
        <v>264</v>
      </c>
      <c r="B164" s="795"/>
      <c r="C164" s="795"/>
      <c r="D164" s="620" t="s">
        <v>185</v>
      </c>
      <c r="E164" s="522">
        <f>'12'!F164</f>
        <v>6967.86</v>
      </c>
      <c r="F164" s="803">
        <v>6978</v>
      </c>
      <c r="G164" s="473">
        <f t="shared" si="16"/>
        <v>10.140000000000327</v>
      </c>
      <c r="N164" s="718"/>
    </row>
    <row r="165" spans="1:14">
      <c r="A165" s="796" t="s">
        <v>97</v>
      </c>
      <c r="B165" s="797"/>
      <c r="C165" s="797"/>
      <c r="D165" s="620" t="s">
        <v>185</v>
      </c>
      <c r="E165" s="514">
        <f>E62</f>
        <v>0</v>
      </c>
      <c r="F165" s="514">
        <f>F62</f>
        <v>0</v>
      </c>
      <c r="G165" s="473">
        <f t="shared" ref="G165:G177" si="17">F165-E165</f>
        <v>0</v>
      </c>
      <c r="N165" s="718"/>
    </row>
    <row r="166" spans="1:14">
      <c r="A166" s="796" t="s">
        <v>186</v>
      </c>
      <c r="B166" s="797"/>
      <c r="C166" s="797"/>
      <c r="D166" s="620" t="s">
        <v>185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21.75" customHeight="1">
      <c r="A167" s="1615" t="s">
        <v>98</v>
      </c>
      <c r="B167" s="1615"/>
      <c r="C167" s="1615"/>
      <c r="D167" s="524" t="s">
        <v>185</v>
      </c>
      <c r="E167" s="514">
        <f t="shared" si="18"/>
        <v>174787.25</v>
      </c>
      <c r="F167" s="514">
        <f t="shared" si="19"/>
        <v>175161</v>
      </c>
      <c r="G167" s="473">
        <f t="shared" si="17"/>
        <v>373.75</v>
      </c>
      <c r="N167" s="718"/>
    </row>
    <row r="168" spans="1:14" ht="21.75" customHeight="1">
      <c r="A168" s="1615" t="s">
        <v>99</v>
      </c>
      <c r="B168" s="1615"/>
      <c r="C168" s="1615"/>
      <c r="D168" s="524" t="s">
        <v>185</v>
      </c>
      <c r="E168" s="514">
        <f t="shared" si="18"/>
        <v>174756.89</v>
      </c>
      <c r="F168" s="514">
        <f t="shared" si="19"/>
        <v>175162</v>
      </c>
      <c r="G168" s="473">
        <f t="shared" si="17"/>
        <v>405.10999999998603</v>
      </c>
      <c r="N168" s="718"/>
    </row>
    <row r="169" spans="1:14" ht="21.75" customHeight="1">
      <c r="A169" s="1615" t="s">
        <v>100</v>
      </c>
      <c r="B169" s="1615"/>
      <c r="C169" s="1615"/>
      <c r="D169" s="524" t="s">
        <v>185</v>
      </c>
      <c r="E169" s="514">
        <f t="shared" si="18"/>
        <v>72962.960000000006</v>
      </c>
      <c r="F169" s="514">
        <f t="shared" si="19"/>
        <v>73368</v>
      </c>
      <c r="G169" s="473">
        <f t="shared" si="17"/>
        <v>405.0399999999936</v>
      </c>
      <c r="N169" s="718"/>
    </row>
    <row r="170" spans="1:14" ht="26.25" customHeight="1">
      <c r="A170" s="1615" t="s">
        <v>101</v>
      </c>
      <c r="B170" s="1615"/>
      <c r="C170" s="1615"/>
      <c r="D170" s="524" t="s">
        <v>185</v>
      </c>
      <c r="E170" s="514">
        <f t="shared" si="18"/>
        <v>270573.67</v>
      </c>
      <c r="F170" s="514">
        <f t="shared" si="19"/>
        <v>271039</v>
      </c>
      <c r="G170" s="473">
        <f t="shared" si="17"/>
        <v>465.3300000000163</v>
      </c>
      <c r="N170" s="718"/>
    </row>
    <row r="171" spans="1:14" ht="24" customHeight="1">
      <c r="A171" s="1615" t="s">
        <v>102</v>
      </c>
      <c r="B171" s="1615"/>
      <c r="C171" s="1615"/>
      <c r="D171" s="524" t="s">
        <v>185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185</v>
      </c>
      <c r="E172" s="514">
        <f t="shared" si="18"/>
        <v>90565.99</v>
      </c>
      <c r="F172" s="514">
        <f t="shared" si="19"/>
        <v>90847</v>
      </c>
      <c r="G172" s="473">
        <f t="shared" si="17"/>
        <v>281.00999999999476</v>
      </c>
      <c r="N172" s="718"/>
    </row>
    <row r="173" spans="1:14">
      <c r="A173" s="1590" t="s">
        <v>348</v>
      </c>
      <c r="B173" s="1553"/>
      <c r="C173" s="785"/>
      <c r="D173" s="523" t="s">
        <v>185</v>
      </c>
      <c r="E173" s="532">
        <v>189285</v>
      </c>
      <c r="F173" s="532">
        <v>189285</v>
      </c>
      <c r="G173" s="473">
        <f t="shared" si="17"/>
        <v>0</v>
      </c>
      <c r="N173" s="718"/>
    </row>
    <row r="174" spans="1:14">
      <c r="A174" s="1590" t="s">
        <v>349</v>
      </c>
      <c r="B174" s="1553"/>
      <c r="C174" s="785"/>
      <c r="D174" s="523" t="s">
        <v>185</v>
      </c>
      <c r="E174" s="532">
        <v>275511</v>
      </c>
      <c r="F174" s="532">
        <v>275556</v>
      </c>
      <c r="G174" s="473">
        <f t="shared" si="17"/>
        <v>45</v>
      </c>
      <c r="N174" s="718"/>
    </row>
    <row r="175" spans="1:14">
      <c r="A175" s="1590" t="s">
        <v>348</v>
      </c>
      <c r="B175" s="1553"/>
      <c r="C175" s="785"/>
      <c r="D175" s="523" t="s">
        <v>185</v>
      </c>
      <c r="E175" s="532">
        <v>19057.599999999999</v>
      </c>
      <c r="F175" s="532">
        <v>19062</v>
      </c>
      <c r="G175" s="473">
        <f t="shared" si="17"/>
        <v>4.4000000000014552</v>
      </c>
      <c r="N175" s="718"/>
    </row>
    <row r="176" spans="1:14">
      <c r="A176" s="1590" t="s">
        <v>348</v>
      </c>
      <c r="B176" s="1553"/>
      <c r="C176" s="785"/>
      <c r="D176" s="523" t="s">
        <v>185</v>
      </c>
      <c r="E176" s="532">
        <v>70411.899999999994</v>
      </c>
      <c r="F176" s="532">
        <v>70418</v>
      </c>
      <c r="G176" s="473">
        <f t="shared" si="17"/>
        <v>6.1000000000058208</v>
      </c>
      <c r="N176" s="718"/>
    </row>
    <row r="177" spans="1:14" ht="18.75" customHeight="1">
      <c r="A177" s="1590" t="s">
        <v>349</v>
      </c>
      <c r="B177" s="1553"/>
      <c r="C177" s="785"/>
      <c r="D177" s="523" t="s">
        <v>185</v>
      </c>
      <c r="E177" s="532">
        <v>27684.7</v>
      </c>
      <c r="F177" s="532">
        <v>27691</v>
      </c>
      <c r="G177" s="473">
        <f t="shared" si="17"/>
        <v>6.2999999999992724</v>
      </c>
      <c r="N177" s="718"/>
    </row>
    <row r="178" spans="1:14" ht="18.75" customHeight="1">
      <c r="N178" s="718"/>
    </row>
    <row r="179" spans="1:14" ht="18.75" customHeight="1">
      <c r="N179" s="718"/>
    </row>
    <row r="180" spans="1:14" ht="18" customHeight="1">
      <c r="N180" s="718"/>
    </row>
    <row r="181" spans="1:14" ht="18.75" customHeight="1">
      <c r="N181" s="718"/>
    </row>
    <row r="182" spans="1:14" ht="18.75" customHeight="1">
      <c r="N182" s="718"/>
    </row>
    <row r="183" spans="1:14" ht="18" customHeight="1">
      <c r="N183" s="718"/>
    </row>
    <row r="184" spans="1:14" ht="18" customHeight="1">
      <c r="N184" s="718"/>
    </row>
    <row r="185" spans="1:14" ht="18" customHeight="1">
      <c r="N185" s="718"/>
    </row>
    <row r="186" spans="1:14" ht="18" customHeight="1">
      <c r="N186" s="718"/>
    </row>
    <row r="187" spans="1:14" ht="18" customHeight="1">
      <c r="N187" s="718"/>
    </row>
    <row r="188" spans="1:14" ht="18" customHeight="1">
      <c r="N188" s="718"/>
    </row>
    <row r="189" spans="1:14" ht="18" customHeight="1">
      <c r="N189" s="718"/>
    </row>
    <row r="190" spans="1:14" ht="18.75" customHeight="1">
      <c r="N190" s="718"/>
    </row>
    <row r="191" spans="1:14" ht="18.75" customHeight="1">
      <c r="N191" s="718"/>
    </row>
    <row r="192" spans="1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61" zoomScale="55" zoomScaleSheetLayoutView="55" workbookViewId="0">
      <selection activeCell="J32" sqref="J32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7" t="s">
        <v>268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273</v>
      </c>
      <c r="B2" s="1031">
        <v>44391</v>
      </c>
      <c r="C2" s="1188" t="s">
        <v>68</v>
      </c>
      <c r="D2" s="611">
        <v>0.25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724"/>
    </row>
    <row r="3" spans="1:16" s="281" customFormat="1" ht="27">
      <c r="A3" s="570"/>
      <c r="B3" s="614"/>
      <c r="C3" s="1188" t="s">
        <v>118</v>
      </c>
      <c r="D3" s="612">
        <v>28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88" t="s">
        <v>120</v>
      </c>
      <c r="D4" s="611">
        <v>0.85</v>
      </c>
      <c r="E4" s="464"/>
      <c r="F4" s="464"/>
      <c r="G4" s="464"/>
      <c r="H4" s="464"/>
      <c r="I4" s="465"/>
      <c r="J4" s="615" t="s">
        <v>213</v>
      </c>
      <c r="K4" s="372"/>
      <c r="L4" s="292"/>
      <c r="N4" s="717"/>
      <c r="O4" s="724"/>
    </row>
    <row r="5" spans="1:16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'13'!F7</f>
        <v>202756.02</v>
      </c>
      <c r="F7" s="455">
        <v>224806.45</v>
      </c>
      <c r="G7" s="678">
        <f>F7-E7</f>
        <v>22050.430000000022</v>
      </c>
      <c r="H7" s="679">
        <f>G7+'13'!H7</f>
        <v>302853.45000000007</v>
      </c>
      <c r="I7" s="680">
        <f>'1'!I7</f>
        <v>12000</v>
      </c>
      <c r="J7" s="681">
        <f>H7/DAY(B2)</f>
        <v>21632.389285714289</v>
      </c>
      <c r="K7" s="549"/>
      <c r="L7" s="377"/>
      <c r="N7" s="729"/>
      <c r="O7" s="725"/>
      <c r="P7" s="728"/>
    </row>
    <row r="8" spans="1:16" ht="27.75" thickBot="1">
      <c r="A8" s="682" t="s">
        <v>131</v>
      </c>
      <c r="B8" s="683"/>
      <c r="C8" s="684"/>
      <c r="D8" s="685" t="s">
        <v>25</v>
      </c>
      <c r="E8" s="633">
        <f>'13'!F8</f>
        <v>208910.27</v>
      </c>
      <c r="F8" s="475">
        <v>231082.51</v>
      </c>
      <c r="G8" s="689">
        <f>F8-E8</f>
        <v>22172.24000000002</v>
      </c>
      <c r="H8" s="679">
        <f>G8+'13'!H8</f>
        <v>304360.51</v>
      </c>
      <c r="I8" s="686">
        <f>'1'!I8</f>
        <v>12000</v>
      </c>
      <c r="J8" s="681">
        <f>H8/DAY(B2)</f>
        <v>21740.036428571428</v>
      </c>
      <c r="K8" s="549"/>
      <c r="L8" s="425"/>
      <c r="M8" s="440"/>
      <c r="N8" s="718"/>
      <c r="O8" s="725"/>
      <c r="P8" s="382"/>
    </row>
    <row r="9" spans="1:16">
      <c r="A9" s="687" t="s">
        <v>132</v>
      </c>
      <c r="B9" s="688"/>
      <c r="C9" s="688"/>
      <c r="D9" s="637" t="s">
        <v>130</v>
      </c>
      <c r="E9" s="633">
        <f>'13'!F9</f>
        <v>2304587</v>
      </c>
      <c r="F9" s="478">
        <v>2325986.1</v>
      </c>
      <c r="G9" s="702">
        <f t="shared" ref="G9:G12" si="0">F9-E9</f>
        <v>21399.100000000093</v>
      </c>
      <c r="H9" s="679">
        <f>G9+'13'!H9</f>
        <v>294984.10000000009</v>
      </c>
      <c r="I9" s="690">
        <f>I7-J7</f>
        <v>-9632.3892857142891</v>
      </c>
      <c r="J9" s="681">
        <f>H9/DAY(B2)</f>
        <v>21070.292857142864</v>
      </c>
      <c r="K9" s="428"/>
      <c r="L9" s="377"/>
      <c r="N9" s="718"/>
      <c r="O9" s="725"/>
      <c r="P9" s="382"/>
    </row>
    <row r="10" spans="1:16">
      <c r="A10" s="676" t="s">
        <v>133</v>
      </c>
      <c r="B10" s="677"/>
      <c r="C10" s="677"/>
      <c r="D10" s="637" t="s">
        <v>130</v>
      </c>
      <c r="E10" s="633">
        <f>'13'!F10</f>
        <v>2606.5500000000002</v>
      </c>
      <c r="F10" s="478">
        <v>2606.5500000000002</v>
      </c>
      <c r="G10" s="689">
        <f t="shared" si="0"/>
        <v>0</v>
      </c>
      <c r="H10" s="679">
        <f>G10+'13'!H10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G11+'13'!H11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135</v>
      </c>
      <c r="B12" s="677"/>
      <c r="C12" s="677"/>
      <c r="D12" s="637" t="s">
        <v>130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G12+'13'!H12</f>
        <v>0</v>
      </c>
      <c r="I12" s="691"/>
      <c r="J12" s="681">
        <f>H12/DAY(B2)</f>
        <v>0</v>
      </c>
      <c r="K12" s="428"/>
      <c r="L12" s="377" t="s">
        <v>266</v>
      </c>
      <c r="N12" s="718"/>
      <c r="O12" s="725"/>
      <c r="P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21399.100000000093</v>
      </c>
      <c r="H13" s="679">
        <f>G13+'13'!H13</f>
        <v>274657.10000000009</v>
      </c>
      <c r="I13" s="695">
        <f>G7-G13</f>
        <v>651.32999999992899</v>
      </c>
      <c r="J13" s="681">
        <f>H13/DAY(B2)</f>
        <v>19618.364285714291</v>
      </c>
      <c r="K13" s="428"/>
      <c r="L13" s="377"/>
      <c r="N13" s="718"/>
      <c r="O13" s="725"/>
      <c r="P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138</v>
      </c>
      <c r="B15" s="793"/>
      <c r="C15" s="793"/>
      <c r="D15" s="524" t="s">
        <v>139</v>
      </c>
      <c r="E15" s="485">
        <f>'13'!F15</f>
        <v>1714372</v>
      </c>
      <c r="F15" s="700">
        <v>1715169.81</v>
      </c>
      <c r="G15" s="664">
        <f>(F15-E15)</f>
        <v>797.81000000005588</v>
      </c>
      <c r="H15" s="486">
        <f>G15+'13'!H15</f>
        <v>11486.810000000056</v>
      </c>
      <c r="I15" s="474">
        <v>800</v>
      </c>
      <c r="J15" s="553">
        <f>H15/DAY(B2)</f>
        <v>820.48642857143261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-20.486428571432612</v>
      </c>
      <c r="J16" s="553"/>
      <c r="K16" s="428"/>
      <c r="L16" s="377"/>
      <c r="N16" s="718"/>
      <c r="O16" s="725"/>
      <c r="P16" s="382"/>
    </row>
    <row r="17" spans="1:16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4">
        <f>'13'!F18</f>
        <v>14</v>
      </c>
      <c r="F18" s="478">
        <v>14</v>
      </c>
      <c r="G18" s="694">
        <f>F18*10</f>
        <v>140</v>
      </c>
      <c r="H18" s="679">
        <f>G18+'13'!H18</f>
        <v>1900</v>
      </c>
      <c r="I18" s="680">
        <f>'1'!I18</f>
        <v>65</v>
      </c>
      <c r="J18" s="681">
        <f>H18/DAY(B2)</f>
        <v>135.71428571428572</v>
      </c>
      <c r="K18" s="428"/>
      <c r="L18" s="377"/>
      <c r="N18" s="718"/>
      <c r="O18" s="725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4">
        <f>'13'!F19</f>
        <v>142288</v>
      </c>
      <c r="F19" s="478">
        <v>142353</v>
      </c>
      <c r="G19" s="689">
        <f t="shared" ref="G19" si="1">F19-E19</f>
        <v>65</v>
      </c>
      <c r="H19" s="679">
        <f>G19+'13'!H19</f>
        <v>858</v>
      </c>
      <c r="I19" s="696"/>
      <c r="J19" s="681">
        <f>H19/DAY(B2)</f>
        <v>61.285714285714285</v>
      </c>
      <c r="K19" s="428"/>
      <c r="L19" s="377"/>
      <c r="N19" s="718"/>
      <c r="O19" s="725"/>
      <c r="P19" s="382"/>
    </row>
    <row r="20" spans="1:16">
      <c r="A20" s="692" t="s">
        <v>143</v>
      </c>
      <c r="B20" s="693"/>
      <c r="C20" s="693"/>
      <c r="D20" s="637"/>
      <c r="E20" s="637"/>
      <c r="F20" s="709"/>
      <c r="G20" s="697">
        <f>G18+G19</f>
        <v>205</v>
      </c>
      <c r="H20" s="679">
        <f>G20+'13'!H20</f>
        <v>2758</v>
      </c>
      <c r="I20" s="698">
        <f>I18-J20</f>
        <v>-132</v>
      </c>
      <c r="J20" s="681">
        <f>H20/DAY(B2)</f>
        <v>197</v>
      </c>
      <c r="K20" s="428"/>
      <c r="L20" s="377"/>
      <c r="N20" s="718"/>
      <c r="O20" s="725"/>
      <c r="P20" s="382"/>
    </row>
    <row r="21" spans="1:16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81" t="s">
        <v>145</v>
      </c>
      <c r="B22" s="589"/>
      <c r="C22" s="589"/>
      <c r="D22" s="523" t="s">
        <v>146</v>
      </c>
      <c r="E22" s="634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81" t="s">
        <v>147</v>
      </c>
      <c r="B23" s="589"/>
      <c r="C23" s="589"/>
      <c r="D23" s="523" t="s">
        <v>146</v>
      </c>
      <c r="E23" s="634">
        <f>'13'!F23</f>
        <v>2000</v>
      </c>
      <c r="F23" s="478">
        <v>2000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148</v>
      </c>
      <c r="B24" s="591"/>
      <c r="C24" s="591"/>
      <c r="D24" s="511" t="s">
        <v>146</v>
      </c>
      <c r="E24" s="493">
        <f>'13'!F24</f>
        <v>4970</v>
      </c>
      <c r="F24" s="485">
        <v>4970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22172.24000000002</v>
      </c>
      <c r="F27" s="501">
        <v>9</v>
      </c>
      <c r="G27" s="502">
        <f>E27*F27</f>
        <v>199550.16000000018</v>
      </c>
      <c r="H27" s="460">
        <f>G27+'13'!H27</f>
        <v>2739244.5900000003</v>
      </c>
      <c r="I27" s="503"/>
      <c r="J27" s="552">
        <f>H27/DAY(B2)</f>
        <v>195660.32785714287</v>
      </c>
      <c r="K27" s="373"/>
      <c r="L27" s="443"/>
      <c r="N27" s="718"/>
      <c r="O27" s="725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699">
        <f>G15</f>
        <v>797.81000000005588</v>
      </c>
      <c r="F28" s="501">
        <v>52</v>
      </c>
      <c r="G28" s="502">
        <f>E28*F28</f>
        <v>41486.120000002906</v>
      </c>
      <c r="H28" s="460">
        <f>G28+'13'!H28</f>
        <v>597314.12000000291</v>
      </c>
      <c r="I28" s="505"/>
      <c r="J28" s="552">
        <f>H28/DAY(B2)</f>
        <v>42665.294285714495</v>
      </c>
      <c r="K28" s="373"/>
      <c r="L28" s="443"/>
      <c r="N28" s="718"/>
      <c r="O28" s="725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699">
        <f>G19</f>
        <v>65</v>
      </c>
      <c r="F30" s="501">
        <v>146</v>
      </c>
      <c r="G30" s="502">
        <f>E30*F30</f>
        <v>9490</v>
      </c>
      <c r="H30" s="460">
        <f>G30+'13'!H30</f>
        <v>124684</v>
      </c>
      <c r="I30" s="505"/>
      <c r="J30" s="552">
        <f>H30/DAY(B2)</f>
        <v>8906</v>
      </c>
      <c r="K30" s="373"/>
      <c r="L30" s="443"/>
      <c r="N30" s="718"/>
      <c r="O30" s="725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699">
        <f>G18</f>
        <v>140</v>
      </c>
      <c r="F31" s="501">
        <v>80</v>
      </c>
      <c r="G31" s="502">
        <f>E31*F31</f>
        <v>11200</v>
      </c>
      <c r="H31" s="460">
        <f>G31+'13'!H31</f>
        <v>146400</v>
      </c>
      <c r="I31" s="505"/>
      <c r="J31" s="552">
        <f>H31/DAY(B2)</f>
        <v>10457.142857142857</v>
      </c>
      <c r="K31" s="373"/>
      <c r="L31" s="443"/>
      <c r="N31" s="718"/>
      <c r="O31" s="725"/>
      <c r="P31" s="382"/>
    </row>
    <row r="32" spans="1:16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261726.28000000308</v>
      </c>
      <c r="H32" s="460">
        <f>G32+'13'!H32</f>
        <v>3607642.7100000028</v>
      </c>
      <c r="I32" s="509"/>
      <c r="J32" s="552">
        <f>H32/DAY(B2)</f>
        <v>257688.76500000019</v>
      </c>
      <c r="K32" s="373"/>
      <c r="L32" s="443"/>
      <c r="N32" s="718"/>
      <c r="O32" s="725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5"/>
      <c r="P33" s="382"/>
    </row>
    <row r="34" spans="1:16">
      <c r="A34" s="598" t="s">
        <v>161</v>
      </c>
      <c r="B34" s="1183"/>
      <c r="C34" s="1183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162</v>
      </c>
      <c r="B35" s="579"/>
      <c r="C35" s="579"/>
      <c r="D35" s="523" t="s">
        <v>130</v>
      </c>
      <c r="E35" s="510">
        <f>'13'!F35</f>
        <v>1058597</v>
      </c>
      <c r="F35" s="510">
        <v>1058597.3</v>
      </c>
      <c r="G35" s="473">
        <f t="shared" ref="G35:G46" si="3">F35-E35</f>
        <v>0.30000000004656613</v>
      </c>
      <c r="H35" s="460">
        <f>G35+'13'!H35</f>
        <v>29883.300000000047</v>
      </c>
      <c r="I35" s="455"/>
      <c r="J35" s="552">
        <f>H35/DAY(B2)</f>
        <v>2134.5214285714319</v>
      </c>
      <c r="K35" s="428"/>
      <c r="L35" s="377"/>
      <c r="N35" s="718"/>
      <c r="O35" s="726" t="s">
        <v>266</v>
      </c>
      <c r="P35" s="382"/>
    </row>
    <row r="36" spans="1:16">
      <c r="A36" s="578" t="s">
        <v>163</v>
      </c>
      <c r="B36" s="579"/>
      <c r="C36" s="579"/>
      <c r="D36" s="523" t="s">
        <v>130</v>
      </c>
      <c r="E36" s="510">
        <f>'13'!F36</f>
        <v>30898</v>
      </c>
      <c r="F36" s="510">
        <v>31848.38</v>
      </c>
      <c r="G36" s="473">
        <f t="shared" si="3"/>
        <v>950.38000000000102</v>
      </c>
      <c r="H36" s="460">
        <f>G36+'13'!H36</f>
        <v>11387.380000000001</v>
      </c>
      <c r="I36" s="455"/>
      <c r="J36" s="552">
        <f>H36/DAY(B2)</f>
        <v>813.38428571428574</v>
      </c>
      <c r="K36" s="428"/>
      <c r="L36" s="377"/>
      <c r="N36" s="719"/>
      <c r="O36" s="726" t="s">
        <v>269</v>
      </c>
      <c r="P36" s="382"/>
    </row>
    <row r="37" spans="1:16">
      <c r="A37" s="578" t="s">
        <v>164</v>
      </c>
      <c r="B37" s="579"/>
      <c r="C37" s="579"/>
      <c r="D37" s="523" t="s">
        <v>130</v>
      </c>
      <c r="E37" s="510">
        <f>'13'!F37</f>
        <v>196658</v>
      </c>
      <c r="F37" s="510">
        <v>198307.35</v>
      </c>
      <c r="G37" s="473">
        <f t="shared" si="3"/>
        <v>1649.3500000000058</v>
      </c>
      <c r="H37" s="460">
        <f>G37+'13'!H37</f>
        <v>21737.350000000006</v>
      </c>
      <c r="I37" s="455"/>
      <c r="J37" s="552">
        <f>H37/DAY(B2)</f>
        <v>1552.6678571428577</v>
      </c>
      <c r="K37" s="428"/>
      <c r="L37" s="377"/>
      <c r="N37" s="719"/>
      <c r="O37" s="726"/>
      <c r="P37" s="382"/>
    </row>
    <row r="38" spans="1:16">
      <c r="A38" s="578" t="s">
        <v>165</v>
      </c>
      <c r="B38" s="579"/>
      <c r="C38" s="579"/>
      <c r="D38" s="523" t="s">
        <v>130</v>
      </c>
      <c r="E38" s="510">
        <f>'13'!F38</f>
        <v>219391</v>
      </c>
      <c r="F38" s="469">
        <v>220976.79</v>
      </c>
      <c r="G38" s="473">
        <f t="shared" si="3"/>
        <v>1585.7900000000081</v>
      </c>
      <c r="H38" s="460">
        <f>G38+'13'!H38</f>
        <v>22517.790000000008</v>
      </c>
      <c r="I38" s="455"/>
      <c r="J38" s="552">
        <f>H38/DAY(B2)</f>
        <v>1608.4135714285719</v>
      </c>
      <c r="K38" s="428"/>
      <c r="L38" s="377"/>
      <c r="N38" s="718"/>
      <c r="O38" s="725"/>
      <c r="P38" s="382"/>
    </row>
    <row r="39" spans="1:16">
      <c r="A39" s="578" t="s">
        <v>166</v>
      </c>
      <c r="B39" s="579"/>
      <c r="C39" s="579"/>
      <c r="D39" s="523" t="s">
        <v>130</v>
      </c>
      <c r="E39" s="510">
        <f>'13'!F39</f>
        <v>452616</v>
      </c>
      <c r="F39" s="510">
        <v>456332.87</v>
      </c>
      <c r="G39" s="473">
        <f t="shared" si="3"/>
        <v>3716.8699999999953</v>
      </c>
      <c r="H39" s="460">
        <f>G39+'13'!H39</f>
        <v>51468.869999999995</v>
      </c>
      <c r="I39" s="455"/>
      <c r="J39" s="552">
        <f>H39/DAY(B2)</f>
        <v>3676.3478571428568</v>
      </c>
      <c r="K39" s="428"/>
      <c r="L39" s="377"/>
      <c r="N39" s="718"/>
      <c r="O39" s="726"/>
      <c r="P39" s="382"/>
    </row>
    <row r="40" spans="1:16">
      <c r="A40" s="599" t="s">
        <v>167</v>
      </c>
      <c r="B40" s="600"/>
      <c r="C40" s="600"/>
      <c r="D40" s="523" t="s">
        <v>130</v>
      </c>
      <c r="E40" s="510">
        <f>'13'!F40</f>
        <v>12032</v>
      </c>
      <c r="F40" s="510">
        <v>12406.06</v>
      </c>
      <c r="G40" s="473">
        <f t="shared" si="3"/>
        <v>374.05999999999949</v>
      </c>
      <c r="H40" s="460">
        <f>G40+'13'!H40</f>
        <v>5293.0599999999995</v>
      </c>
      <c r="I40" s="455"/>
      <c r="J40" s="552">
        <f>H40/DAY(B2)</f>
        <v>378.07571428571424</v>
      </c>
      <c r="K40" s="429"/>
      <c r="L40" s="377"/>
      <c r="N40" s="718"/>
      <c r="O40" s="725"/>
      <c r="P40" s="382"/>
    </row>
    <row r="41" spans="1:16">
      <c r="A41" s="578" t="s">
        <v>168</v>
      </c>
      <c r="B41" s="579"/>
      <c r="C41" s="579" t="s">
        <v>213</v>
      </c>
      <c r="D41" s="523" t="s">
        <v>130</v>
      </c>
      <c r="E41" s="510">
        <f>'13'!F41</f>
        <v>364063.91</v>
      </c>
      <c r="F41" s="510">
        <v>364063.91</v>
      </c>
      <c r="G41" s="473">
        <f t="shared" si="3"/>
        <v>0</v>
      </c>
      <c r="H41" s="460">
        <f>G41+'13'!H41</f>
        <v>34421.909999999974</v>
      </c>
      <c r="I41" s="455"/>
      <c r="J41" s="552">
        <f>H41/DAY(B2)</f>
        <v>2458.7078571428551</v>
      </c>
      <c r="K41" s="428"/>
      <c r="L41" s="377"/>
      <c r="N41" s="718"/>
      <c r="O41" s="727"/>
      <c r="P41" s="721"/>
    </row>
    <row r="42" spans="1:16">
      <c r="A42" s="578" t="s">
        <v>169</v>
      </c>
      <c r="B42" s="579"/>
      <c r="C42" s="579"/>
      <c r="D42" s="523" t="s">
        <v>130</v>
      </c>
      <c r="E42" s="510">
        <f>'13'!F42</f>
        <v>62568.2</v>
      </c>
      <c r="F42" s="510">
        <v>67406.11</v>
      </c>
      <c r="G42" s="473">
        <f t="shared" si="3"/>
        <v>4837.9100000000035</v>
      </c>
      <c r="H42" s="460">
        <f>G42+'13'!H42</f>
        <v>8207.2200000000012</v>
      </c>
      <c r="I42" s="455"/>
      <c r="J42" s="552">
        <f>H42/DAY(B2)</f>
        <v>586.23000000000013</v>
      </c>
      <c r="K42" s="428"/>
      <c r="L42" s="377"/>
      <c r="N42" s="718"/>
      <c r="O42" s="725"/>
      <c r="P42" s="382"/>
    </row>
    <row r="43" spans="1:16">
      <c r="A43" s="578" t="s">
        <v>170</v>
      </c>
      <c r="B43" s="579"/>
      <c r="C43" s="579"/>
      <c r="D43" s="523" t="s">
        <v>130</v>
      </c>
      <c r="E43" s="510">
        <f>'13'!F43</f>
        <v>1154953</v>
      </c>
      <c r="F43" s="510">
        <v>1157593.3</v>
      </c>
      <c r="G43" s="473">
        <f t="shared" si="3"/>
        <v>2640.3000000000466</v>
      </c>
      <c r="H43" s="460">
        <f>G43+'13'!H43</f>
        <v>37141.300000000047</v>
      </c>
      <c r="I43" s="455"/>
      <c r="J43" s="552">
        <f>H43/DAY(B2)</f>
        <v>2652.9500000000035</v>
      </c>
      <c r="K43" s="428"/>
      <c r="L43" s="377"/>
      <c r="N43" s="718"/>
      <c r="O43" s="726"/>
      <c r="P43" s="382"/>
    </row>
    <row r="44" spans="1:16">
      <c r="A44" s="578" t="s">
        <v>171</v>
      </c>
      <c r="B44" s="579"/>
      <c r="C44" s="579"/>
      <c r="D44" s="523" t="s">
        <v>130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172</v>
      </c>
      <c r="B45" s="579"/>
      <c r="C45" s="579"/>
      <c r="D45" s="523" t="s">
        <v>130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173</v>
      </c>
      <c r="B46" s="579"/>
      <c r="C46" s="579"/>
      <c r="D46" s="523" t="s">
        <v>130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15754.960000000106</v>
      </c>
      <c r="H47" s="460">
        <f>G47+'13'!H47</f>
        <v>222859.67000000004</v>
      </c>
      <c r="I47" s="455"/>
      <c r="J47" s="552">
        <f>H47/DAY(B2)</f>
        <v>15918.547857142859</v>
      </c>
      <c r="K47" s="428"/>
      <c r="L47" s="377"/>
      <c r="N47" s="718"/>
      <c r="O47" s="725"/>
      <c r="P47" s="382"/>
    </row>
    <row r="48" spans="1:16">
      <c r="A48" s="598" t="s">
        <v>175</v>
      </c>
      <c r="B48" s="1183"/>
      <c r="C48" s="1183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162</v>
      </c>
      <c r="B49" s="601"/>
      <c r="C49" s="601"/>
      <c r="D49" s="523" t="s">
        <v>130</v>
      </c>
      <c r="E49" s="510">
        <f>'13'!F49</f>
        <v>269621</v>
      </c>
      <c r="F49" s="510">
        <v>272499.17</v>
      </c>
      <c r="G49" s="473">
        <f t="shared" ref="G49:G58" si="4">F49-E49</f>
        <v>2878.1699999999837</v>
      </c>
      <c r="H49" s="460">
        <f>G49+'13'!H49</f>
        <v>11735.169999999984</v>
      </c>
      <c r="I49" s="455"/>
      <c r="J49" s="552">
        <f>H49/DAY(B2)</f>
        <v>838.22642857142739</v>
      </c>
      <c r="K49" s="428"/>
      <c r="L49" s="377"/>
      <c r="N49" s="718"/>
      <c r="O49" s="725"/>
      <c r="P49" s="382"/>
    </row>
    <row r="50" spans="1:16">
      <c r="A50" s="578" t="s">
        <v>176</v>
      </c>
      <c r="B50" s="601"/>
      <c r="C50" s="601"/>
      <c r="D50" s="523" t="s">
        <v>130</v>
      </c>
      <c r="E50" s="510">
        <f>'13'!F50</f>
        <v>549182</v>
      </c>
      <c r="F50" s="510">
        <v>550963.56999999995</v>
      </c>
      <c r="G50" s="473">
        <f t="shared" si="4"/>
        <v>1781.5699999999488</v>
      </c>
      <c r="H50" s="460">
        <f>G50+'13'!H50</f>
        <v>15207.569999999949</v>
      </c>
      <c r="I50" s="455"/>
      <c r="J50" s="552">
        <f>H50/DAY(B2)</f>
        <v>1086.2549999999962</v>
      </c>
      <c r="K50" s="428"/>
      <c r="L50" s="377"/>
      <c r="N50" s="718"/>
      <c r="O50" s="726"/>
      <c r="P50" s="382"/>
    </row>
    <row r="51" spans="1:16">
      <c r="A51" s="578" t="s">
        <v>164</v>
      </c>
      <c r="B51" s="601"/>
      <c r="C51" s="601"/>
      <c r="D51" s="523" t="s">
        <v>130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8"/>
      <c r="O51" s="725"/>
      <c r="P51" s="382"/>
    </row>
    <row r="52" spans="1:16">
      <c r="A52" s="578" t="s">
        <v>177</v>
      </c>
      <c r="B52" s="601"/>
      <c r="C52" s="601"/>
      <c r="D52" s="523" t="s">
        <v>130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166</v>
      </c>
      <c r="B53" s="601"/>
      <c r="C53" s="601"/>
      <c r="D53" s="523" t="s">
        <v>130</v>
      </c>
      <c r="E53" s="510">
        <f>'13'!F53</f>
        <v>434232</v>
      </c>
      <c r="F53" s="510">
        <v>434231.59</v>
      </c>
      <c r="G53" s="473">
        <f t="shared" si="4"/>
        <v>-0.40999999997438863</v>
      </c>
      <c r="H53" s="460">
        <f>G53+'13'!H53</f>
        <v>-0.73999999999068677</v>
      </c>
      <c r="I53" s="455"/>
      <c r="J53" s="552">
        <f>H53/DAY(B2)</f>
        <v>-5.2857142856477628E-2</v>
      </c>
      <c r="K53" s="428"/>
      <c r="L53" s="377"/>
      <c r="N53" s="718"/>
      <c r="O53" s="725"/>
      <c r="P53" s="382"/>
    </row>
    <row r="54" spans="1:16">
      <c r="A54" s="578" t="s">
        <v>178</v>
      </c>
      <c r="B54" s="601"/>
      <c r="C54" s="601"/>
      <c r="D54" s="523" t="s">
        <v>130</v>
      </c>
      <c r="E54" s="510">
        <f>'13'!F54</f>
        <v>14967</v>
      </c>
      <c r="F54" s="510">
        <v>14967</v>
      </c>
      <c r="G54" s="473">
        <f t="shared" si="4"/>
        <v>0</v>
      </c>
      <c r="H54" s="460">
        <f>G54+'13'!H54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179</v>
      </c>
      <c r="B55" s="601"/>
      <c r="C55" s="601"/>
      <c r="D55" s="523" t="s">
        <v>130</v>
      </c>
      <c r="E55" s="510">
        <f>'13'!F55</f>
        <v>166357</v>
      </c>
      <c r="F55" s="653">
        <v>167631.28</v>
      </c>
      <c r="G55" s="652">
        <f t="shared" si="4"/>
        <v>1274.2799999999988</v>
      </c>
      <c r="H55" s="705">
        <f>G55+'13'!H55</f>
        <v>44421.279999999999</v>
      </c>
      <c r="I55" s="706"/>
      <c r="J55" s="707">
        <f>H55/DAY(B2)</f>
        <v>3172.9485714285715</v>
      </c>
      <c r="K55" s="428"/>
      <c r="L55" s="377"/>
      <c r="N55" s="718"/>
      <c r="O55" s="725"/>
      <c r="P55" s="382"/>
    </row>
    <row r="56" spans="1:16">
      <c r="A56" s="578" t="s">
        <v>180</v>
      </c>
      <c r="B56" s="601"/>
      <c r="C56" s="601"/>
      <c r="D56" s="523" t="s">
        <v>181</v>
      </c>
      <c r="E56" s="510">
        <f>'13'!F56</f>
        <v>649168</v>
      </c>
      <c r="F56" s="653">
        <v>649178.35</v>
      </c>
      <c r="G56" s="473">
        <f t="shared" si="4"/>
        <v>10.349999999976717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18"/>
      <c r="O56" s="727"/>
      <c r="P56" s="382"/>
    </row>
    <row r="57" spans="1:16">
      <c r="A57" s="578" t="s">
        <v>170</v>
      </c>
      <c r="B57" s="601"/>
      <c r="C57" s="601"/>
      <c r="D57" s="523" t="s">
        <v>130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8"/>
      <c r="O57" s="725"/>
      <c r="P57" s="382"/>
    </row>
    <row r="58" spans="1:16">
      <c r="A58" s="578" t="s">
        <v>182</v>
      </c>
      <c r="B58" s="601"/>
      <c r="C58" s="601"/>
      <c r="D58" s="523" t="s">
        <v>130</v>
      </c>
      <c r="E58" s="510">
        <f>'13'!F58</f>
        <v>56249</v>
      </c>
      <c r="F58" s="653">
        <v>56413.38</v>
      </c>
      <c r="G58" s="473">
        <f t="shared" si="4"/>
        <v>164.37999999999738</v>
      </c>
      <c r="H58" s="460">
        <f>G58+'13'!H58</f>
        <v>2233.3799999999974</v>
      </c>
      <c r="I58" s="455"/>
      <c r="J58" s="552">
        <f>H58/DAY(B2)</f>
        <v>159.52714285714268</v>
      </c>
      <c r="K58" s="428"/>
      <c r="L58" s="377"/>
      <c r="N58" s="718"/>
      <c r="O58" s="725"/>
      <c r="P58" s="382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6108.339999999931</v>
      </c>
      <c r="H59" s="460">
        <f>G59+'13'!H59</f>
        <v>73733.279999999853</v>
      </c>
      <c r="I59" s="455">
        <f>G7-G60</f>
        <v>187.12999999998283</v>
      </c>
      <c r="J59" s="552">
        <f>H59/DAY(B2)</f>
        <v>5266.6628571428464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21863.300000000039</v>
      </c>
      <c r="H60" s="460">
        <f>G60+'13'!H60</f>
        <v>303496.27999999997</v>
      </c>
      <c r="I60" s="455">
        <f>G13-G60</f>
        <v>-464.19999999994616</v>
      </c>
      <c r="J60" s="552">
        <f>H60/DAY(B2)</f>
        <v>21678.305714285711</v>
      </c>
      <c r="K60" s="428"/>
      <c r="L60" s="377"/>
      <c r="N60" s="718"/>
      <c r="O60" s="725"/>
      <c r="P60" s="382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185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8"/>
      <c r="O62" s="725"/>
      <c r="P62" s="382"/>
    </row>
    <row r="63" spans="1:16">
      <c r="A63" s="603" t="s">
        <v>186</v>
      </c>
      <c r="B63" s="604"/>
      <c r="C63" s="604"/>
      <c r="D63" s="511" t="s">
        <v>185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514">
        <f>'13'!F64</f>
        <v>175161</v>
      </c>
      <c r="F64" s="478">
        <v>175521.13</v>
      </c>
      <c r="G64" s="473">
        <f t="shared" si="5"/>
        <v>360.13000000000466</v>
      </c>
      <c r="H64" s="460">
        <f>G64+'13'!H64</f>
        <v>5499.1300000000047</v>
      </c>
      <c r="I64" s="480"/>
      <c r="J64" s="552">
        <f>H64/DAY(B2)</f>
        <v>392.79500000000036</v>
      </c>
      <c r="K64" s="428"/>
      <c r="L64" s="377"/>
      <c r="N64" s="718"/>
      <c r="O64" s="725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514">
        <f>'13'!F65</f>
        <v>175162</v>
      </c>
      <c r="F65" s="651">
        <v>175559.63</v>
      </c>
      <c r="G65" s="473">
        <f t="shared" si="5"/>
        <v>397.63000000000466</v>
      </c>
      <c r="H65" s="460">
        <f>G65+'13'!H65</f>
        <v>5257.6300000000047</v>
      </c>
      <c r="I65" s="489"/>
      <c r="J65" s="552">
        <f>H65/DAY(B2)</f>
        <v>375.54500000000036</v>
      </c>
      <c r="K65" s="428"/>
      <c r="L65" s="377"/>
      <c r="N65" s="718"/>
      <c r="O65" s="726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514">
        <f>'13'!F66</f>
        <v>73368</v>
      </c>
      <c r="F66" s="478">
        <v>73756.42</v>
      </c>
      <c r="G66" s="473">
        <f t="shared" si="5"/>
        <v>388.41999999999825</v>
      </c>
      <c r="H66" s="460">
        <f>G66+'13'!H66</f>
        <v>5786.4199999999983</v>
      </c>
      <c r="I66" s="480"/>
      <c r="J66" s="552">
        <f>H66/DAY(B2)</f>
        <v>413.31571428571414</v>
      </c>
      <c r="K66" s="428"/>
      <c r="L66" s="377"/>
      <c r="N66" s="718"/>
      <c r="O66" s="725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514">
        <f>'13'!F67</f>
        <v>271039</v>
      </c>
      <c r="F67" s="478">
        <v>271550.77</v>
      </c>
      <c r="G67" s="473">
        <f t="shared" si="5"/>
        <v>511.77000000001863</v>
      </c>
      <c r="H67" s="460">
        <f>G67+'13'!H67</f>
        <v>6591.7700000000186</v>
      </c>
      <c r="I67" s="489"/>
      <c r="J67" s="552">
        <f>H67/DAY(B2)</f>
        <v>470.84071428571559</v>
      </c>
      <c r="K67" s="429"/>
      <c r="L67" s="377"/>
      <c r="N67" s="718"/>
      <c r="O67" s="725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514">
        <f>'13'!F69</f>
        <v>90847</v>
      </c>
      <c r="F69" s="478">
        <v>91122.4</v>
      </c>
      <c r="G69" s="473">
        <f t="shared" si="5"/>
        <v>275.39999999999418</v>
      </c>
      <c r="H69" s="460">
        <f>G69+'13'!H69</f>
        <v>3607.3999999999942</v>
      </c>
      <c r="I69" s="516"/>
      <c r="J69" s="552">
        <f>H69/DAY(B2)</f>
        <v>257.67142857142818</v>
      </c>
      <c r="K69" s="431"/>
      <c r="L69" s="377"/>
      <c r="N69" s="718"/>
      <c r="O69" s="725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5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19">
        <f>'13'!F72</f>
        <v>856377</v>
      </c>
      <c r="F72" s="654">
        <v>856391</v>
      </c>
      <c r="G72" s="473">
        <f t="shared" ref="G72" si="6">F72-E72</f>
        <v>14</v>
      </c>
      <c r="H72" s="460">
        <f>G72+'12'!H72</f>
        <v>156</v>
      </c>
      <c r="I72" s="480"/>
      <c r="J72" s="552">
        <f>H72/DAY(B2)</f>
        <v>11.142857142857142</v>
      </c>
      <c r="K72" s="431"/>
      <c r="L72" s="377"/>
      <c r="N72" s="718"/>
      <c r="O72" s="725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19">
        <f>'13'!F73</f>
        <v>885989</v>
      </c>
      <c r="F73" s="655">
        <v>885990</v>
      </c>
      <c r="G73" s="652">
        <f t="shared" ref="G73:G84" si="7">F73-E73</f>
        <v>1</v>
      </c>
      <c r="H73" s="460">
        <f>G73+'13'!H72</f>
        <v>156</v>
      </c>
      <c r="I73" s="480"/>
      <c r="J73" s="552">
        <f>H73/DAY(B2)</f>
        <v>11.142857142857142</v>
      </c>
      <c r="K73" s="430"/>
      <c r="L73" s="377"/>
      <c r="N73" s="718"/>
      <c r="O73" s="725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19">
        <v>88679</v>
      </c>
      <c r="F74" s="655">
        <v>88679</v>
      </c>
      <c r="G74" s="473">
        <f t="shared" si="7"/>
        <v>0</v>
      </c>
      <c r="H74" s="460">
        <f>G74+'13'!H74</f>
        <v>17</v>
      </c>
      <c r="I74" s="480"/>
      <c r="J74" s="552">
        <f>H74/DAY(B2)</f>
        <v>1.2142857142857142</v>
      </c>
      <c r="K74" s="431"/>
      <c r="L74" s="377"/>
      <c r="N74" s="718"/>
      <c r="O74" s="725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19">
        <f>'13'!F75</f>
        <v>18041</v>
      </c>
      <c r="F75" s="655">
        <v>18188.93</v>
      </c>
      <c r="G75" s="473">
        <f t="shared" si="7"/>
        <v>147.93000000000029</v>
      </c>
      <c r="H75" s="460">
        <f>G75+'13'!H75</f>
        <v>2117.9300000000003</v>
      </c>
      <c r="I75" s="480"/>
      <c r="J75" s="552">
        <f>H75/DAY(B2)</f>
        <v>151.28071428571431</v>
      </c>
      <c r="K75" s="430"/>
      <c r="L75" s="377"/>
      <c r="N75" s="718"/>
      <c r="O75" s="725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19">
        <f>'13'!F76</f>
        <v>10189</v>
      </c>
      <c r="F76" s="655">
        <v>10250.98</v>
      </c>
      <c r="G76" s="473">
        <f t="shared" si="7"/>
        <v>61.979999999999563</v>
      </c>
      <c r="H76" s="460">
        <f>G76+'13'!H75</f>
        <v>2031.9799999999996</v>
      </c>
      <c r="I76" s="505"/>
      <c r="J76" s="552">
        <f>H76/DAY(B2)</f>
        <v>145.14142857142855</v>
      </c>
      <c r="K76" s="430"/>
      <c r="L76" s="377"/>
      <c r="N76" s="718"/>
      <c r="O76" s="725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19">
        <f>'13'!F77</f>
        <v>705164</v>
      </c>
      <c r="F77" s="655">
        <v>705216</v>
      </c>
      <c r="G77" s="652">
        <f t="shared" si="7"/>
        <v>52</v>
      </c>
      <c r="H77" s="460">
        <f>G77+'13'!H77</f>
        <v>842</v>
      </c>
      <c r="I77" s="505"/>
      <c r="J77" s="552">
        <f>H77/DAY(B2)</f>
        <v>60.142857142857146</v>
      </c>
      <c r="K77" s="430"/>
      <c r="L77" s="377"/>
      <c r="N77" s="718"/>
      <c r="O77" s="725"/>
      <c r="P77" s="382"/>
    </row>
    <row r="78" spans="1:16" ht="27.75">
      <c r="A78" s="1184" t="s">
        <v>195</v>
      </c>
      <c r="B78" s="1180"/>
      <c r="C78" s="1180"/>
      <c r="D78" s="523" t="s">
        <v>185</v>
      </c>
      <c r="E78" s="519">
        <f>'13'!F78</f>
        <v>676658</v>
      </c>
      <c r="F78" s="656">
        <v>676794</v>
      </c>
      <c r="G78" s="473">
        <f t="shared" si="7"/>
        <v>136</v>
      </c>
      <c r="H78" s="460">
        <f>G78+'13'!H78</f>
        <v>1380</v>
      </c>
      <c r="I78" s="505"/>
      <c r="J78" s="552">
        <f>H78/DAY(B2)</f>
        <v>98.571428571428569</v>
      </c>
      <c r="K78" s="430"/>
      <c r="L78" s="377"/>
      <c r="N78" s="718"/>
      <c r="O78" s="725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19">
        <f>'13'!F79</f>
        <v>837398</v>
      </c>
      <c r="F79" s="656">
        <v>837571</v>
      </c>
      <c r="G79" s="473">
        <f t="shared" si="7"/>
        <v>173</v>
      </c>
      <c r="H79" s="460">
        <f>G79+'13'!H78</f>
        <v>1417</v>
      </c>
      <c r="I79" s="505"/>
      <c r="J79" s="552">
        <f>H79/DAY(B2)</f>
        <v>101.21428571428571</v>
      </c>
      <c r="K79" s="430"/>
      <c r="L79" s="377"/>
      <c r="N79" s="718"/>
      <c r="O79" s="725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19">
        <f>'13'!F80</f>
        <v>544373</v>
      </c>
      <c r="F80" s="655">
        <v>544859.80000000005</v>
      </c>
      <c r="G80" s="473">
        <f t="shared" si="7"/>
        <v>486.80000000004657</v>
      </c>
      <c r="H80" s="460">
        <f>G80+'13'!H79</f>
        <v>2468.8000000000466</v>
      </c>
      <c r="I80" s="505"/>
      <c r="J80" s="552">
        <f>H80/DAY(B2)</f>
        <v>176.34285714286048</v>
      </c>
      <c r="K80" s="430"/>
      <c r="L80" s="377"/>
      <c r="N80" s="718"/>
      <c r="O80" s="725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19">
        <f>'13'!F81</f>
        <v>645443</v>
      </c>
      <c r="F81" s="655">
        <v>645639.04</v>
      </c>
      <c r="G81" s="473">
        <f t="shared" si="7"/>
        <v>196.04000000003725</v>
      </c>
      <c r="H81" s="460">
        <f>G81+'13'!H81</f>
        <v>2654.0400000000373</v>
      </c>
      <c r="I81" s="505"/>
      <c r="J81" s="552">
        <f>H81/DAY(B2)</f>
        <v>189.57428571428838</v>
      </c>
      <c r="K81" s="430"/>
      <c r="L81" s="377"/>
      <c r="N81" s="718"/>
      <c r="O81" s="725"/>
      <c r="P81" s="382"/>
    </row>
    <row r="82" spans="1:16" ht="27.75">
      <c r="A82" s="1546" t="s">
        <v>92</v>
      </c>
      <c r="B82" s="1547"/>
      <c r="C82" s="1548"/>
      <c r="D82" s="485" t="s">
        <v>130</v>
      </c>
      <c r="E82" s="519">
        <f>'13'!F82</f>
        <v>108956</v>
      </c>
      <c r="F82" s="651">
        <v>108969.5</v>
      </c>
      <c r="G82" s="473">
        <f t="shared" si="7"/>
        <v>13.5</v>
      </c>
      <c r="H82" s="460">
        <f>G82+'13'!H82</f>
        <v>288.5</v>
      </c>
      <c r="I82" s="486"/>
      <c r="J82" s="552">
        <f>H82/DAY(B2)</f>
        <v>20.607142857142858</v>
      </c>
      <c r="K82" s="430"/>
      <c r="L82" s="377"/>
      <c r="N82" s="718"/>
      <c r="O82" s="725"/>
      <c r="P82" s="382"/>
    </row>
    <row r="83" spans="1:16" ht="27.75">
      <c r="A83" s="1546" t="s">
        <v>198</v>
      </c>
      <c r="B83" s="1547"/>
      <c r="C83" s="1548"/>
      <c r="D83" s="620" t="s">
        <v>130</v>
      </c>
      <c r="E83" s="519">
        <f>'13'!F83</f>
        <v>30675</v>
      </c>
      <c r="F83" s="511">
        <v>30921</v>
      </c>
      <c r="G83" s="473">
        <f t="shared" si="7"/>
        <v>246</v>
      </c>
      <c r="H83" s="460">
        <f>G83+'13'!H83</f>
        <v>3370</v>
      </c>
      <c r="I83" s="481"/>
      <c r="J83" s="552">
        <f>H83/DAY(B2)</f>
        <v>240.71428571428572</v>
      </c>
      <c r="K83" s="429"/>
      <c r="L83" s="377"/>
      <c r="N83" s="718"/>
      <c r="O83" s="725"/>
      <c r="P83" s="382"/>
    </row>
    <row r="84" spans="1:16">
      <c r="A84" s="1187" t="s">
        <v>199</v>
      </c>
      <c r="B84" s="571"/>
      <c r="C84" s="571"/>
      <c r="D84" s="478" t="s">
        <v>130</v>
      </c>
      <c r="E84" s="519">
        <f>'13'!F84</f>
        <v>533617</v>
      </c>
      <c r="F84" s="627">
        <v>534382</v>
      </c>
      <c r="G84" s="473">
        <f t="shared" si="7"/>
        <v>765</v>
      </c>
      <c r="H84" s="460">
        <f>G84+'13'!H84</f>
        <v>11302</v>
      </c>
      <c r="I84" s="481"/>
      <c r="J84" s="552">
        <f>H84/DAY(B2)</f>
        <v>807.28571428571433</v>
      </c>
      <c r="K84" s="380"/>
      <c r="L84" s="377"/>
      <c r="N84" s="718"/>
      <c r="O84" s="725"/>
      <c r="P84" s="382"/>
    </row>
    <row r="85" spans="1:16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2293.2500000000837</v>
      </c>
      <c r="H85" s="460">
        <f>G85+'13'!H85</f>
        <v>31075.250000000084</v>
      </c>
      <c r="I85" s="481"/>
      <c r="J85" s="552">
        <f>H85/DAY(B2)</f>
        <v>2219.6607142857201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'13'!F86</f>
        <v>462161</v>
      </c>
      <c r="F86" s="647">
        <v>462192.76</v>
      </c>
      <c r="G86" s="705">
        <f t="shared" ref="G86:G91" si="8">F86-E86</f>
        <v>31.760000000009313</v>
      </c>
      <c r="H86" s="705">
        <f t="shared" ref="H86:H88" si="9">G86</f>
        <v>31.760000000009313</v>
      </c>
      <c r="I86" s="652"/>
      <c r="J86" s="707">
        <f>H86/DAY(B2)</f>
        <v>2.2685714285720939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'13'!F87</f>
        <v>82429</v>
      </c>
      <c r="F87" s="647">
        <v>82461.8</v>
      </c>
      <c r="G87" s="705">
        <f t="shared" si="8"/>
        <v>32.80000000000291</v>
      </c>
      <c r="H87" s="705">
        <f t="shared" si="9"/>
        <v>32.80000000000291</v>
      </c>
      <c r="I87" s="652"/>
      <c r="J87" s="707">
        <f>H87/DAY(B2)</f>
        <v>2.3428571428573508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'13'!F88</f>
        <v>156787</v>
      </c>
      <c r="F88" s="647">
        <v>156926.53</v>
      </c>
      <c r="G88" s="705">
        <f t="shared" si="8"/>
        <v>139.52999999999884</v>
      </c>
      <c r="H88" s="705">
        <f t="shared" si="9"/>
        <v>139.52999999999884</v>
      </c>
      <c r="I88" s="652"/>
      <c r="J88" s="707">
        <f>H88/DAY(B2)</f>
        <v>9.966428571428489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'13'!F89</f>
        <v>66419</v>
      </c>
      <c r="F89" s="647">
        <v>66438.8</v>
      </c>
      <c r="G89" s="705">
        <f t="shared" si="8"/>
        <v>19.80000000000291</v>
      </c>
      <c r="H89" s="705">
        <f>G89</f>
        <v>19.80000000000291</v>
      </c>
      <c r="I89" s="652"/>
      <c r="J89" s="707">
        <f>H89/DAY(B2)</f>
        <v>1.4142857142859222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'13'!F90</f>
        <v>3388</v>
      </c>
      <c r="F90" s="647">
        <v>3391.2</v>
      </c>
      <c r="G90" s="705">
        <f t="shared" si="8"/>
        <v>3.1999999999998181</v>
      </c>
      <c r="H90" s="705">
        <f>G90</f>
        <v>3.1999999999998181</v>
      </c>
      <c r="I90" s="652"/>
      <c r="J90" s="707">
        <f>H90/DAY(B2)</f>
        <v>0.22857142857141557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/>
      <c r="E91" s="627">
        <f>'13'!F91</f>
        <v>28354</v>
      </c>
      <c r="F91" s="647">
        <v>28362.57</v>
      </c>
      <c r="G91" s="705">
        <f t="shared" si="8"/>
        <v>8.569999999999709</v>
      </c>
      <c r="H91" s="705">
        <f>G91</f>
        <v>8.569999999999709</v>
      </c>
      <c r="I91" s="652"/>
      <c r="J91" s="707">
        <f>H91/DAY(B2)</f>
        <v>0.61214285714283634</v>
      </c>
      <c r="K91" s="733"/>
      <c r="L91" s="734"/>
      <c r="N91" s="777"/>
      <c r="O91" s="382"/>
    </row>
    <row r="92" spans="1:16" s="379" customFormat="1">
      <c r="A92" s="606" t="s">
        <v>203</v>
      </c>
      <c r="B92" s="1185"/>
      <c r="C92" s="118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484">
        <f>'13'!F93</f>
        <v>248678</v>
      </c>
      <c r="F93" s="478">
        <v>248765</v>
      </c>
      <c r="G93" s="473">
        <f t="shared" ref="G93:G94" si="10">F93-E93</f>
        <v>87</v>
      </c>
      <c r="H93" s="460">
        <f>G93+'13'!H93</f>
        <v>1413</v>
      </c>
      <c r="I93" s="480"/>
      <c r="J93" s="552">
        <f>H93/DAY(B2)</f>
        <v>100.92857142857143</v>
      </c>
      <c r="K93" s="429"/>
      <c r="L93" s="377"/>
      <c r="N93" s="718"/>
      <c r="O93" s="725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484">
        <f>'13'!F94</f>
        <v>190948</v>
      </c>
      <c r="F94" s="651">
        <v>191047</v>
      </c>
      <c r="G94" s="473">
        <f t="shared" si="10"/>
        <v>99</v>
      </c>
      <c r="H94" s="460">
        <f>G94+'13'!H94</f>
        <v>1593</v>
      </c>
      <c r="I94" s="480"/>
      <c r="J94" s="552">
        <f>H94/DAY(B2)</f>
        <v>113.78571428571429</v>
      </c>
      <c r="K94" s="380"/>
      <c r="L94" s="377"/>
      <c r="N94" s="718"/>
      <c r="O94" s="725"/>
      <c r="P94" s="382"/>
    </row>
    <row r="95" spans="1:16">
      <c r="A95" s="1594" t="s">
        <v>206</v>
      </c>
      <c r="B95" s="1595"/>
      <c r="C95" s="1596"/>
      <c r="D95" s="523"/>
      <c r="E95" s="484">
        <f>'13'!F95</f>
        <v>0</v>
      </c>
      <c r="F95" s="478"/>
      <c r="G95" s="473">
        <f>G93+G94</f>
        <v>186</v>
      </c>
      <c r="H95" s="460">
        <f>G95+'13'!H95</f>
        <v>2820</v>
      </c>
      <c r="I95" s="480"/>
      <c r="J95" s="552">
        <f>H95/DAY(B2)</f>
        <v>201.42857142857142</v>
      </c>
      <c r="K95" s="380"/>
      <c r="L95" s="377"/>
      <c r="N95" s="718"/>
      <c r="O95" s="725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484">
        <f>'13'!F96</f>
        <v>417207</v>
      </c>
      <c r="F96" s="478">
        <v>417281</v>
      </c>
      <c r="G96" s="473">
        <f t="shared" ref="G96:G101" si="11">F96-E96</f>
        <v>74</v>
      </c>
      <c r="H96" s="460">
        <f>G96+'13'!H96</f>
        <v>1282</v>
      </c>
      <c r="I96" s="480"/>
      <c r="J96" s="552">
        <f>H96/DAY(B2)</f>
        <v>91.571428571428569</v>
      </c>
      <c r="K96" s="380"/>
      <c r="L96" s="377"/>
      <c r="N96" s="718"/>
      <c r="O96" s="725"/>
      <c r="P96" s="382"/>
    </row>
    <row r="97" spans="1:16" ht="27.75">
      <c r="A97" s="1181" t="s">
        <v>208</v>
      </c>
      <c r="B97" s="1182"/>
      <c r="C97" s="1182"/>
      <c r="D97" s="523" t="s">
        <v>142</v>
      </c>
      <c r="E97" s="484">
        <f>'13'!F97</f>
        <v>103440</v>
      </c>
      <c r="F97" s="478">
        <v>103464</v>
      </c>
      <c r="G97" s="473">
        <f t="shared" si="11"/>
        <v>24</v>
      </c>
      <c r="H97" s="460">
        <f>G97+'13'!H97</f>
        <v>301</v>
      </c>
      <c r="I97" s="480"/>
      <c r="J97" s="552">
        <f>H97/DAY(B2)</f>
        <v>21.5</v>
      </c>
      <c r="K97" s="427"/>
      <c r="L97" s="377"/>
      <c r="N97" s="718"/>
      <c r="O97" s="725"/>
      <c r="P97" s="382"/>
    </row>
    <row r="98" spans="1:16" ht="27.75">
      <c r="A98" s="1181" t="s">
        <v>209</v>
      </c>
      <c r="B98" s="1182"/>
      <c r="C98" s="1182"/>
      <c r="D98" s="523" t="s">
        <v>142</v>
      </c>
      <c r="E98" s="484">
        <f>'13'!F98</f>
        <v>98987</v>
      </c>
      <c r="F98" s="478">
        <v>99009</v>
      </c>
      <c r="G98" s="473">
        <f t="shared" si="11"/>
        <v>22</v>
      </c>
      <c r="H98" s="460">
        <f>G98+'13'!H98</f>
        <v>352</v>
      </c>
      <c r="I98" s="480"/>
      <c r="J98" s="552">
        <f>H98/DAY(B2)</f>
        <v>25.142857142857142</v>
      </c>
      <c r="K98" s="432"/>
      <c r="L98" s="377"/>
      <c r="N98" s="718"/>
      <c r="O98" s="725"/>
      <c r="P98" s="382"/>
    </row>
    <row r="99" spans="1:16" ht="27.75">
      <c r="A99" s="1181" t="s">
        <v>210</v>
      </c>
      <c r="B99" s="1182"/>
      <c r="C99" s="1182"/>
      <c r="D99" s="523" t="s">
        <v>142</v>
      </c>
      <c r="E99" s="484">
        <f>'13'!F99</f>
        <v>150814</v>
      </c>
      <c r="F99" s="478">
        <v>150836</v>
      </c>
      <c r="G99" s="473">
        <f t="shared" si="11"/>
        <v>22</v>
      </c>
      <c r="H99" s="460">
        <f>G99+'13'!H99</f>
        <v>431</v>
      </c>
      <c r="I99" s="480"/>
      <c r="J99" s="552">
        <f>H99/DAY(B2)</f>
        <v>30.785714285714285</v>
      </c>
      <c r="K99" s="380"/>
      <c r="L99" s="377"/>
      <c r="N99" s="720"/>
      <c r="O99" s="725"/>
      <c r="P99" s="382"/>
    </row>
    <row r="100" spans="1:16" ht="27.75">
      <c r="A100" s="1181" t="s">
        <v>211</v>
      </c>
      <c r="B100" s="1182"/>
      <c r="C100" s="1182"/>
      <c r="D100" s="523" t="s">
        <v>142</v>
      </c>
      <c r="E100" s="484">
        <f>'13'!F100</f>
        <v>7938</v>
      </c>
      <c r="F100" s="478">
        <v>7946</v>
      </c>
      <c r="G100" s="473">
        <f t="shared" si="11"/>
        <v>8</v>
      </c>
      <c r="H100" s="460">
        <f>G100+'13'!H100</f>
        <v>149</v>
      </c>
      <c r="I100" s="480"/>
      <c r="J100" s="552">
        <f>H100/DAY(B2)</f>
        <v>10.642857142857142</v>
      </c>
      <c r="K100" s="380"/>
      <c r="L100" s="377"/>
      <c r="N100" s="718"/>
      <c r="O100" s="725"/>
      <c r="P100" s="382"/>
    </row>
    <row r="101" spans="1:16" ht="27.75">
      <c r="A101" s="1181" t="s">
        <v>212</v>
      </c>
      <c r="B101" s="1182"/>
      <c r="C101" s="1182"/>
      <c r="D101" s="523" t="s">
        <v>142</v>
      </c>
      <c r="E101" s="484">
        <f>'13'!F101</f>
        <v>5807</v>
      </c>
      <c r="F101" s="478">
        <v>5823</v>
      </c>
      <c r="G101" s="473">
        <f t="shared" si="11"/>
        <v>16</v>
      </c>
      <c r="H101" s="460">
        <f>G101+'13'!H101</f>
        <v>149</v>
      </c>
      <c r="I101" s="480"/>
      <c r="J101" s="552">
        <f>H101/DAY(B2)</f>
        <v>10.642857142857142</v>
      </c>
      <c r="K101" s="380"/>
      <c r="L101" s="377"/>
      <c r="N101" s="718"/>
      <c r="O101" s="725"/>
      <c r="P101" s="382"/>
    </row>
    <row r="102" spans="1:16">
      <c r="A102" s="1594" t="s">
        <v>214</v>
      </c>
      <c r="B102" s="1595"/>
      <c r="C102" s="1596"/>
      <c r="D102" s="524"/>
      <c r="E102" s="484"/>
      <c r="F102" s="524"/>
      <c r="G102" s="525">
        <f>SUM(G96:G101)</f>
        <v>166</v>
      </c>
      <c r="H102" s="460">
        <f>G102+'13'!H102</f>
        <v>2664</v>
      </c>
      <c r="I102" s="526"/>
      <c r="J102" s="552">
        <f>H102/DAY(B2)</f>
        <v>190.28571428571428</v>
      </c>
      <c r="K102" s="380"/>
      <c r="L102" s="377"/>
      <c r="N102" s="718"/>
      <c r="O102" s="725"/>
      <c r="P102" s="382"/>
    </row>
    <row r="103" spans="1:16" s="442" customFormat="1" ht="27">
      <c r="A103" s="607" t="s">
        <v>215</v>
      </c>
      <c r="B103" s="608"/>
      <c r="C103" s="608"/>
      <c r="D103" s="621"/>
      <c r="E103" s="1058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4" t="s">
        <v>217</v>
      </c>
      <c r="B105" s="1555"/>
      <c r="C105" s="1186"/>
      <c r="D105" s="622" t="s">
        <v>142</v>
      </c>
      <c r="E105" s="484">
        <f>'13'!F105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4.9557142857142287</v>
      </c>
      <c r="N105" s="718"/>
      <c r="O105" s="725"/>
      <c r="P105" s="382"/>
    </row>
    <row r="106" spans="1:16" s="442" customFormat="1" ht="27.75">
      <c r="A106" s="1554" t="s">
        <v>76</v>
      </c>
      <c r="B106" s="1555"/>
      <c r="C106" s="1186"/>
      <c r="D106" s="622" t="s">
        <v>142</v>
      </c>
      <c r="E106" s="484">
        <f>'13'!F106</f>
        <v>36292</v>
      </c>
      <c r="F106" s="659">
        <v>36302</v>
      </c>
      <c r="G106" s="532">
        <f t="shared" ref="G106:G107" si="12">F106-E106</f>
        <v>10</v>
      </c>
      <c r="H106" s="533">
        <f>SUM(G106+'1'!G77)</f>
        <v>63</v>
      </c>
      <c r="I106" s="532"/>
      <c r="J106" s="558">
        <f>H106/DAY(B2)</f>
        <v>4.5</v>
      </c>
      <c r="N106" s="718"/>
      <c r="O106" s="725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484">
        <f>'13'!F107</f>
        <v>19879</v>
      </c>
      <c r="F107" s="659">
        <v>19883</v>
      </c>
      <c r="G107" s="532">
        <f t="shared" si="12"/>
        <v>4</v>
      </c>
      <c r="H107" s="533">
        <f>SUM(G107+'1'!G78)</f>
        <v>118</v>
      </c>
      <c r="I107" s="532"/>
      <c r="J107" s="558">
        <f>H107/DAY(B2)</f>
        <v>8.4285714285714288</v>
      </c>
      <c r="N107" s="718"/>
      <c r="O107" s="725"/>
      <c r="P107" s="382"/>
    </row>
    <row r="108" spans="1:16" s="442" customFormat="1" ht="27.75">
      <c r="A108" s="1556" t="s">
        <v>200</v>
      </c>
      <c r="B108" s="1557"/>
      <c r="C108" s="1186"/>
      <c r="D108" s="622"/>
      <c r="E108" s="484">
        <f>'13'!F108</f>
        <v>0</v>
      </c>
      <c r="F108" s="659"/>
      <c r="G108" s="532">
        <f>SUM(G105:G107)</f>
        <v>14</v>
      </c>
      <c r="H108" s="533">
        <f>SUM(G108+'1'!G79)</f>
        <v>167</v>
      </c>
      <c r="I108" s="532"/>
      <c r="J108" s="558">
        <f>H108/DAY(B2)</f>
        <v>11.928571428571429</v>
      </c>
      <c r="N108" s="718"/>
      <c r="O108" s="725"/>
      <c r="P108" s="382"/>
    </row>
    <row r="109" spans="1:16" s="442" customFormat="1" ht="27.75">
      <c r="A109" s="1560" t="s">
        <v>78</v>
      </c>
      <c r="B109" s="1561"/>
      <c r="C109" s="1186"/>
      <c r="D109" s="622" t="s">
        <v>142</v>
      </c>
      <c r="E109" s="484">
        <f>'13'!F109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4" t="s">
        <v>218</v>
      </c>
      <c r="B110" s="1555"/>
      <c r="C110" s="1186"/>
      <c r="D110" s="622" t="s">
        <v>142</v>
      </c>
      <c r="E110" s="484">
        <f>'13'!F110</f>
        <v>65843</v>
      </c>
      <c r="F110" s="659">
        <v>65908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14.045714285715283</v>
      </c>
      <c r="N110" s="718"/>
      <c r="O110" s="725"/>
      <c r="P110" s="382"/>
    </row>
    <row r="111" spans="1:16" s="442" customFormat="1" ht="27.75">
      <c r="A111" s="1554" t="s">
        <v>219</v>
      </c>
      <c r="B111" s="1555"/>
      <c r="C111" s="1186"/>
      <c r="D111" s="622" t="s">
        <v>142</v>
      </c>
      <c r="E111" s="484">
        <f>'13'!F111</f>
        <v>33555</v>
      </c>
      <c r="F111" s="659">
        <v>33568</v>
      </c>
      <c r="G111" s="532">
        <f t="shared" ref="G111:G112" si="13">F111-E111</f>
        <v>13</v>
      </c>
      <c r="H111" s="533">
        <f>SUM(G111+'1'!G82)</f>
        <v>37.899999999994179</v>
      </c>
      <c r="I111" s="532"/>
      <c r="J111" s="558">
        <f>H111/DAY(B2)</f>
        <v>2.7071428571424412</v>
      </c>
      <c r="N111" s="718"/>
      <c r="O111" s="725"/>
      <c r="P111" s="382"/>
    </row>
    <row r="112" spans="1:16" s="442" customFormat="1" ht="27.75">
      <c r="A112" s="1554" t="s">
        <v>220</v>
      </c>
      <c r="B112" s="1555"/>
      <c r="C112" s="1186"/>
      <c r="D112" s="622" t="s">
        <v>142</v>
      </c>
      <c r="E112" s="484">
        <f>'13'!F112</f>
        <v>4621.3</v>
      </c>
      <c r="F112" s="659">
        <v>4621.3</v>
      </c>
      <c r="G112" s="532">
        <f t="shared" si="13"/>
        <v>0</v>
      </c>
      <c r="H112" s="533">
        <f>SUM(G112+'1'!G83)</f>
        <v>351</v>
      </c>
      <c r="I112" s="532"/>
      <c r="J112" s="558">
        <f>H112/DAY(B2)</f>
        <v>25.071428571428573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186"/>
      <c r="D113" s="622"/>
      <c r="E113" s="484">
        <f>'13'!F113</f>
        <v>0</v>
      </c>
      <c r="F113" s="659"/>
      <c r="G113" s="532">
        <f>SUM(G110:G112)</f>
        <v>78</v>
      </c>
      <c r="H113" s="533">
        <f>SUM(G113+'1'!G84)</f>
        <v>894</v>
      </c>
      <c r="I113" s="532"/>
      <c r="J113" s="558">
        <f>H113/DAY(B2)</f>
        <v>63.857142857142854</v>
      </c>
      <c r="N113" s="718"/>
      <c r="O113" s="725"/>
      <c r="P113" s="382"/>
    </row>
    <row r="114" spans="1:16" s="442" customFormat="1" ht="27.75">
      <c r="A114" s="1560" t="s">
        <v>221</v>
      </c>
      <c r="B114" s="1561"/>
      <c r="C114" s="1186"/>
      <c r="D114" s="622"/>
      <c r="E114" s="484">
        <f>'13'!F114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484">
        <f>'13'!F115</f>
        <v>12190</v>
      </c>
      <c r="F115" s="659">
        <v>12200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8"/>
      <c r="O115" s="725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484">
        <f>'13'!F116</f>
        <v>8663</v>
      </c>
      <c r="F116" s="659">
        <v>8679</v>
      </c>
      <c r="G116" s="534">
        <f t="shared" ref="G116:G117" si="14">F116-E116</f>
        <v>16</v>
      </c>
      <c r="H116" s="533">
        <f>SUM(G116+'1'!G93)</f>
        <v>105</v>
      </c>
      <c r="I116" s="532"/>
      <c r="J116" s="558">
        <f>H116/DAY(B2)</f>
        <v>7.5</v>
      </c>
      <c r="N116" s="718"/>
      <c r="O116" s="725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4"/>
        <v>0</v>
      </c>
      <c r="H117" s="533">
        <f>SUM(G117+'1'!G94)</f>
        <v>97</v>
      </c>
      <c r="I117" s="532"/>
      <c r="J117" s="558">
        <f>H117/DAY(B2)</f>
        <v>6.9285714285714288</v>
      </c>
      <c r="N117" s="718"/>
      <c r="O117" s="725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26</v>
      </c>
      <c r="H118" s="533">
        <f>SUM(G118+'1'!G96)</f>
        <v>112</v>
      </c>
      <c r="I118" s="534"/>
      <c r="J118" s="558">
        <f>H118/DAY(B2)</f>
        <v>8</v>
      </c>
      <c r="N118" s="718"/>
      <c r="O118" s="725"/>
      <c r="P118" s="382"/>
    </row>
    <row r="119" spans="1:16" s="446" customFormat="1" ht="27.75">
      <c r="A119" s="1550" t="s">
        <v>225</v>
      </c>
      <c r="B119" s="1551"/>
      <c r="C119" s="1189"/>
      <c r="D119" s="624" t="s">
        <v>142</v>
      </c>
      <c r="E119" s="536"/>
      <c r="F119" s="660"/>
      <c r="G119" s="536">
        <f>SUM(G19+G93)</f>
        <v>152</v>
      </c>
      <c r="H119" s="533">
        <f>SUM(G119+'1'!G97)</f>
        <v>169</v>
      </c>
      <c r="I119" s="535"/>
      <c r="J119" s="559">
        <f>H119/DAY(B2)</f>
        <v>12.071428571428571</v>
      </c>
      <c r="N119" s="718"/>
      <c r="O119" s="725"/>
      <c r="P119" s="382"/>
    </row>
    <row r="120" spans="1:16" s="446" customFormat="1" ht="27.75">
      <c r="A120" s="1550" t="s">
        <v>226</v>
      </c>
      <c r="B120" s="1551"/>
      <c r="C120" s="1189"/>
      <c r="D120" s="624" t="s">
        <v>142</v>
      </c>
      <c r="E120" s="536"/>
      <c r="F120" s="660">
        <f>SUM(G96,G97,G98,G100,G101)</f>
        <v>144</v>
      </c>
      <c r="G120" s="536">
        <f>SUM(G96,G97,G98,G100,G101)</f>
        <v>144</v>
      </c>
      <c r="H120" s="533">
        <f>SUM(G120+'1'!G99)</f>
        <v>194</v>
      </c>
      <c r="I120" s="535"/>
      <c r="J120" s="559">
        <f>H120/DAY(B2)</f>
        <v>13.857142857142858</v>
      </c>
      <c r="N120" s="718"/>
      <c r="O120" s="725"/>
      <c r="P120" s="382"/>
    </row>
    <row r="121" spans="1:16" s="446" customFormat="1" ht="27.75">
      <c r="A121" s="1550" t="s">
        <v>227</v>
      </c>
      <c r="B121" s="1551"/>
      <c r="C121" s="1189"/>
      <c r="D121" s="624" t="s">
        <v>142</v>
      </c>
      <c r="E121" s="534"/>
      <c r="F121" s="659">
        <f>SUM(G113)</f>
        <v>78</v>
      </c>
      <c r="G121" s="534">
        <f>SUM(G113)</f>
        <v>78</v>
      </c>
      <c r="H121" s="533">
        <f>SUM(G121+'1'!G101)</f>
        <v>83</v>
      </c>
      <c r="I121" s="535"/>
      <c r="J121" s="559">
        <f>H121/DAY(B2)</f>
        <v>5.9285714285714288</v>
      </c>
      <c r="N121" s="718"/>
      <c r="O121" s="725"/>
      <c r="P121" s="382"/>
    </row>
    <row r="122" spans="1:16" s="442" customFormat="1" ht="27.75">
      <c r="A122" s="1552"/>
      <c r="B122" s="1553"/>
      <c r="C122" s="1190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5"/>
      <c r="P122" s="382"/>
    </row>
    <row r="123" spans="1:16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81" t="s">
        <v>229</v>
      </c>
      <c r="B124" s="1182"/>
      <c r="C124" s="1182"/>
      <c r="D124" s="523" t="s">
        <v>139</v>
      </c>
      <c r="E124" s="478">
        <f>'13'!F124</f>
        <v>843224</v>
      </c>
      <c r="F124" s="478">
        <v>843475.74</v>
      </c>
      <c r="G124" s="473">
        <f t="shared" ref="G124:G128" si="15">F124-E124</f>
        <v>251.73999999999069</v>
      </c>
      <c r="H124" s="460">
        <f>G124+'13'!H124</f>
        <v>3805.7399999999907</v>
      </c>
      <c r="I124" s="526"/>
      <c r="J124" s="552">
        <f>H124/DAY(B2)</f>
        <v>271.83857142857079</v>
      </c>
      <c r="K124" s="380"/>
      <c r="L124" s="377"/>
      <c r="N124" s="718"/>
      <c r="O124" s="725"/>
      <c r="P124" s="382"/>
    </row>
    <row r="125" spans="1:16" ht="27.75">
      <c r="A125" s="1181" t="s">
        <v>230</v>
      </c>
      <c r="B125" s="1182"/>
      <c r="C125" s="1182"/>
      <c r="D125" s="523" t="s">
        <v>139</v>
      </c>
      <c r="E125" s="626">
        <f>'13'!F125</f>
        <v>73583</v>
      </c>
      <c r="F125" s="626">
        <v>73583.399999999994</v>
      </c>
      <c r="G125" s="473">
        <f>F125-E125</f>
        <v>0.39999999999417923</v>
      </c>
      <c r="H125" s="460">
        <f>G125+'13'!H125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478">
        <f>'13'!F126</f>
        <v>149731</v>
      </c>
      <c r="F126" s="478">
        <v>149850.19</v>
      </c>
      <c r="G126" s="473">
        <f t="shared" si="15"/>
        <v>119.19000000000233</v>
      </c>
      <c r="H126" s="460">
        <f>G126+'13'!H126</f>
        <v>1253.1900000000023</v>
      </c>
      <c r="I126" s="526"/>
      <c r="J126" s="552">
        <f>H126/DAY(B2)</f>
        <v>89.513571428571595</v>
      </c>
      <c r="K126" s="380"/>
      <c r="L126" s="377"/>
      <c r="N126" s="718"/>
      <c r="O126" s="725"/>
      <c r="P126" s="382"/>
    </row>
    <row r="127" spans="1:16" ht="27.75">
      <c r="A127" s="609" t="s">
        <v>232</v>
      </c>
      <c r="B127" s="1182"/>
      <c r="C127" s="1182"/>
      <c r="D127" s="523" t="s">
        <v>139</v>
      </c>
      <c r="E127" s="626">
        <f>'13'!F127</f>
        <v>32560</v>
      </c>
      <c r="F127" s="626">
        <v>32605.3</v>
      </c>
      <c r="G127" s="473">
        <f t="shared" si="15"/>
        <v>45.299999999999272</v>
      </c>
      <c r="H127" s="460">
        <f>G127+'13'!H127</f>
        <v>534.29999999999927</v>
      </c>
      <c r="I127" s="526"/>
      <c r="J127" s="552">
        <f>H127/DAY(B2)</f>
        <v>38.164285714285661</v>
      </c>
      <c r="K127" s="380"/>
      <c r="L127" s="377"/>
      <c r="N127" s="718"/>
      <c r="O127" s="725"/>
      <c r="P127" s="382"/>
    </row>
    <row r="128" spans="1:16" ht="27.75">
      <c r="A128" s="609" t="s">
        <v>233</v>
      </c>
      <c r="B128" s="1182"/>
      <c r="C128" s="1182"/>
      <c r="D128" s="523" t="s">
        <v>139</v>
      </c>
      <c r="E128" s="626">
        <f>'13'!F128</f>
        <v>9057</v>
      </c>
      <c r="F128" s="626">
        <v>9060.7000000000007</v>
      </c>
      <c r="G128" s="473">
        <f t="shared" si="15"/>
        <v>3.7000000000007276</v>
      </c>
      <c r="H128" s="460">
        <f>G128+'13'!H128</f>
        <v>48.700000000000728</v>
      </c>
      <c r="I128" s="480"/>
      <c r="J128" s="552">
        <f>H128/DAY(B2)</f>
        <v>3.4785714285714806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234</v>
      </c>
      <c r="B129" s="1182"/>
      <c r="C129" s="1182"/>
      <c r="D129" s="523"/>
      <c r="E129" s="478"/>
      <c r="F129" s="478"/>
      <c r="G129" s="473">
        <f>G15-SUM(G124:G128)</f>
        <v>377.48000000006869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81" t="s">
        <v>236</v>
      </c>
      <c r="B131" s="1182"/>
      <c r="C131" s="1182"/>
      <c r="D131" s="523" t="s">
        <v>237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81" t="s">
        <v>238</v>
      </c>
      <c r="B132" s="1182"/>
      <c r="C132" s="1182"/>
      <c r="D132" s="523" t="s">
        <v>237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81" t="s">
        <v>239</v>
      </c>
      <c r="B133" s="1182"/>
      <c r="C133" s="1182"/>
      <c r="D133" s="523" t="s">
        <v>237</v>
      </c>
      <c r="E133" s="541">
        <f>'13'!F133</f>
        <v>40605.550000000003</v>
      </c>
      <c r="F133" s="651">
        <v>40605.550000000003</v>
      </c>
      <c r="G133" s="473">
        <f t="shared" si="16"/>
        <v>0</v>
      </c>
      <c r="H133" s="460">
        <f>G133+'13'!H133</f>
        <v>152.55000000000291</v>
      </c>
      <c r="I133" s="480"/>
      <c r="J133" s="552">
        <f>H133/DAY(B2)</f>
        <v>10.89642857142878</v>
      </c>
      <c r="N133" s="718"/>
      <c r="O133" s="725"/>
      <c r="P133" s="382"/>
    </row>
    <row r="134" spans="1:16" ht="27.75">
      <c r="A134" s="1181" t="s">
        <v>240</v>
      </c>
      <c r="B134" s="1182"/>
      <c r="C134" s="1182"/>
      <c r="D134" s="523" t="s">
        <v>237</v>
      </c>
      <c r="E134" s="701">
        <f>'13'!F134</f>
        <v>317</v>
      </c>
      <c r="F134" s="626">
        <v>341.29</v>
      </c>
      <c r="G134" s="473">
        <f t="shared" si="16"/>
        <v>24.29000000000002</v>
      </c>
      <c r="H134" s="460">
        <f>G134+'13'!H134</f>
        <v>41.29000000000002</v>
      </c>
      <c r="I134" s="480">
        <f>G131+G132+G133+G134</f>
        <v>24.29000000000002</v>
      </c>
      <c r="J134" s="552">
        <f>H134/DAY(B2)</f>
        <v>2.9492857142857156</v>
      </c>
      <c r="N134" s="718"/>
      <c r="O134" s="725"/>
      <c r="P134" s="382"/>
    </row>
    <row r="135" spans="1:16" ht="27.75">
      <c r="A135" s="1181" t="s">
        <v>241</v>
      </c>
      <c r="B135" s="1182"/>
      <c r="C135" s="1182"/>
      <c r="D135" s="523" t="s">
        <v>237</v>
      </c>
      <c r="E135" s="701">
        <f>'13'!F135</f>
        <v>42192</v>
      </c>
      <c r="F135" s="626">
        <v>42199.46</v>
      </c>
      <c r="G135" s="473">
        <f t="shared" si="16"/>
        <v>7.4599999999991269</v>
      </c>
      <c r="H135" s="460">
        <f>G135+'13'!H135</f>
        <v>227.45999999999913</v>
      </c>
      <c r="I135" s="480"/>
      <c r="J135" s="552">
        <f>H135/DAY(B2)</f>
        <v>16.247142857142794</v>
      </c>
      <c r="N135" s="718"/>
      <c r="O135" s="725"/>
      <c r="P135" s="382"/>
    </row>
    <row r="136" spans="1:16" ht="27.75">
      <c r="A136" s="1181" t="s">
        <v>242</v>
      </c>
      <c r="B136" s="1182"/>
      <c r="C136" s="1182"/>
      <c r="D136" s="523" t="s">
        <v>237</v>
      </c>
      <c r="E136" s="541">
        <f>'13'!F136</f>
        <v>32874</v>
      </c>
      <c r="F136" s="651">
        <v>32874</v>
      </c>
      <c r="G136" s="473">
        <f t="shared" si="16"/>
        <v>0</v>
      </c>
      <c r="H136" s="460">
        <f>G136+'13'!H136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81" t="s">
        <v>243</v>
      </c>
      <c r="B137" s="1182"/>
      <c r="C137" s="1182"/>
      <c r="D137" s="523" t="s">
        <v>237</v>
      </c>
      <c r="E137" s="541">
        <f>'13'!F137</f>
        <v>22982.78</v>
      </c>
      <c r="F137" s="651">
        <v>22988.18</v>
      </c>
      <c r="G137" s="473">
        <f t="shared" si="16"/>
        <v>5.4000000000014552</v>
      </c>
      <c r="H137" s="460">
        <f>G137+'13'!H137</f>
        <v>96.68999999999869</v>
      </c>
      <c r="I137" s="480">
        <f>G135+G136+G137</f>
        <v>12.860000000000582</v>
      </c>
      <c r="J137" s="552">
        <f>H137/DAY(B2)</f>
        <v>6.9064285714284779</v>
      </c>
      <c r="N137" s="718"/>
      <c r="O137" s="725"/>
      <c r="P137" s="382"/>
    </row>
    <row r="138" spans="1:16" ht="27.75">
      <c r="A138" s="1181" t="s">
        <v>244</v>
      </c>
      <c r="B138" s="1182"/>
      <c r="C138" s="1182"/>
      <c r="D138" s="523" t="s">
        <v>237</v>
      </c>
      <c r="E138" s="541">
        <f>'13'!F138</f>
        <v>25099.16</v>
      </c>
      <c r="F138" s="651">
        <v>25099.16</v>
      </c>
      <c r="G138" s="473">
        <f t="shared" si="16"/>
        <v>0</v>
      </c>
      <c r="H138" s="460">
        <f>G138+'13'!H138</f>
        <v>7.7700000000004366</v>
      </c>
      <c r="I138" s="480"/>
      <c r="J138" s="552">
        <f>H138/DAY(B2)</f>
        <v>0.55500000000003114</v>
      </c>
      <c r="N138" s="718"/>
      <c r="O138" s="725"/>
      <c r="P138" s="382"/>
    </row>
    <row r="139" spans="1:16" ht="27.75">
      <c r="A139" s="1181" t="s">
        <v>245</v>
      </c>
      <c r="B139" s="1182"/>
      <c r="C139" s="1182"/>
      <c r="D139" s="523" t="s">
        <v>237</v>
      </c>
      <c r="E139" s="541">
        <f>'13'!F139</f>
        <v>70514.289999999994</v>
      </c>
      <c r="F139" s="651">
        <v>70516.600000000006</v>
      </c>
      <c r="G139" s="473">
        <f t="shared" si="16"/>
        <v>2.3100000000122236</v>
      </c>
      <c r="H139" s="460">
        <f>G139+'13'!H139</f>
        <v>2.9800000000104774</v>
      </c>
      <c r="I139" s="480">
        <f>G138+G139</f>
        <v>2.3100000000122236</v>
      </c>
      <c r="J139" s="552">
        <f>H139/DAY(B2)</f>
        <v>0.21285714285789123</v>
      </c>
      <c r="N139" s="718"/>
      <c r="O139" s="725"/>
      <c r="P139" s="382"/>
    </row>
    <row r="140" spans="1:16" ht="27.75">
      <c r="A140" s="1181" t="s">
        <v>246</v>
      </c>
      <c r="B140" s="1182"/>
      <c r="C140" s="1182"/>
      <c r="D140" s="523" t="s">
        <v>237</v>
      </c>
      <c r="E140" s="701">
        <f>'13'!F140</f>
        <v>2247.77</v>
      </c>
      <c r="F140" s="626">
        <v>2247.77</v>
      </c>
      <c r="G140" s="473">
        <f t="shared" si="16"/>
        <v>0</v>
      </c>
      <c r="H140" s="460">
        <f>G140+'13'!H140</f>
        <v>118.59000000000015</v>
      </c>
      <c r="I140" s="542"/>
      <c r="J140" s="552">
        <f>H140/DAY(B2)</f>
        <v>8.4707142857142959</v>
      </c>
      <c r="N140" s="718"/>
      <c r="O140" s="725"/>
      <c r="P140" s="382"/>
    </row>
    <row r="141" spans="1:16" ht="27.75">
      <c r="A141" s="1181" t="s">
        <v>247</v>
      </c>
      <c r="B141" s="1182"/>
      <c r="C141" s="1182"/>
      <c r="D141" s="523" t="s">
        <v>237</v>
      </c>
      <c r="E141" s="484">
        <f>'13'!F141</f>
        <v>4648.96</v>
      </c>
      <c r="F141" s="478">
        <v>4657.72</v>
      </c>
      <c r="G141" s="473">
        <f t="shared" si="16"/>
        <v>8.7600000000002183</v>
      </c>
      <c r="H141" s="460">
        <f>G141+'13'!H141</f>
        <v>20.720000000000255</v>
      </c>
      <c r="I141" s="542"/>
      <c r="J141" s="552">
        <f>H141/DAY(B2)</f>
        <v>1.4800000000000182</v>
      </c>
      <c r="N141" s="718"/>
      <c r="O141" s="725"/>
      <c r="P141" s="382"/>
    </row>
    <row r="142" spans="1:16">
      <c r="A142" s="1565" t="s">
        <v>248</v>
      </c>
      <c r="B142" s="1566"/>
      <c r="C142" s="118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5518.7700000000768</v>
      </c>
      <c r="H143" s="460">
        <f>G143+'13'!H143</f>
        <v>78792.100000000079</v>
      </c>
      <c r="I143" s="480"/>
      <c r="J143" s="552">
        <f>H143/DAY(B2)</f>
        <v>5628.0071428571482</v>
      </c>
      <c r="K143" s="380"/>
      <c r="L143" s="377"/>
      <c r="N143" s="718"/>
      <c r="O143" s="725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0.25027947300801262</v>
      </c>
      <c r="H144" s="460">
        <f>G144+'13'!H144</f>
        <v>3.6446336707228966</v>
      </c>
      <c r="I144" s="544"/>
      <c r="J144" s="552">
        <f>H144/DAY(B2)</f>
        <v>0.26033097648020692</v>
      </c>
      <c r="K144" s="380"/>
      <c r="L144" s="377"/>
      <c r="N144" s="718"/>
      <c r="O144" s="725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6122.539999999979</v>
      </c>
      <c r="H145" s="460">
        <f>G145+'13'!H145</f>
        <v>92770.759999999951</v>
      </c>
      <c r="I145" s="480"/>
      <c r="J145" s="552">
        <f>H145/DAY(B2)</f>
        <v>6626.4828571428534</v>
      </c>
      <c r="K145" s="380"/>
      <c r="L145" s="377"/>
      <c r="N145" s="718"/>
      <c r="O145" s="725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0.27766079845154823</v>
      </c>
      <c r="H146" s="460">
        <f>G146+'13'!H146</f>
        <v>4.2845448230017062</v>
      </c>
      <c r="I146" s="544"/>
      <c r="J146" s="552">
        <f>H146/DAY(B2)</f>
        <v>0.30603891592869331</v>
      </c>
      <c r="K146" s="380"/>
      <c r="L146" s="377"/>
      <c r="N146" s="718"/>
      <c r="O146" s="725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3716.460000000021</v>
      </c>
      <c r="H147" s="460">
        <f>G147+'13'!H147</f>
        <v>51468.460000000021</v>
      </c>
      <c r="I147" s="545"/>
      <c r="J147" s="552">
        <f>H147/DAY(B2)</f>
        <v>3676.3185714285728</v>
      </c>
      <c r="K147" s="380"/>
      <c r="L147" s="377"/>
      <c r="N147" s="718"/>
      <c r="O147" s="725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0.16854365198320473</v>
      </c>
      <c r="H148" s="460">
        <f>G148+'13'!H148</f>
        <v>2.3824631947871673</v>
      </c>
      <c r="I148" s="545"/>
      <c r="J148" s="552">
        <f>H148/DAY(B2)</f>
        <v>0.17017594248479767</v>
      </c>
      <c r="N148" s="718"/>
      <c r="O148" s="725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1585.7900000000081</v>
      </c>
      <c r="H149" s="460">
        <f>G149+'13'!H149</f>
        <v>22517.859999999957</v>
      </c>
      <c r="I149" s="480"/>
      <c r="J149" s="552">
        <f>H149/DAY(B2)</f>
        <v>1608.4185714285684</v>
      </c>
      <c r="K149" s="381"/>
      <c r="N149" s="718"/>
      <c r="O149" s="725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7.1916511378689971E-2</v>
      </c>
      <c r="H150" s="460">
        <f>G150+'13'!H150</f>
        <v>1.0410236909344539</v>
      </c>
      <c r="I150" s="545"/>
      <c r="J150" s="552">
        <f>H150/DAY(B2)</f>
        <v>7.4358835066746704E-2</v>
      </c>
      <c r="N150" s="718"/>
      <c r="O150" s="725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2731.9499999999498</v>
      </c>
      <c r="H151" s="460">
        <f>G151+'13'!H151</f>
        <v>27687.94999999995</v>
      </c>
      <c r="I151" s="545"/>
      <c r="J151" s="552">
        <f>H151/DAY(B2)</f>
        <v>1977.7107142857108</v>
      </c>
      <c r="N151" s="718"/>
      <c r="O151" s="725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0.12389554308010987</v>
      </c>
      <c r="H152" s="460">
        <f>G152+'13'!H152</f>
        <v>1.277937527375131</v>
      </c>
      <c r="I152" s="480"/>
      <c r="J152" s="552">
        <f>H152/DAY(B2)</f>
        <v>9.1281251955366502E-2</v>
      </c>
      <c r="N152" s="718"/>
      <c r="O152" s="725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1649.3500000000058</v>
      </c>
      <c r="H153" s="460">
        <f>G153+'13'!H153</f>
        <v>21737.22</v>
      </c>
      <c r="I153" s="480"/>
      <c r="J153" s="552">
        <f>H153/DAY(B2)</f>
        <v>1552.6585714285716</v>
      </c>
      <c r="N153" s="718"/>
      <c r="O153" s="725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7.4798994849533729E-2</v>
      </c>
      <c r="H154" s="460">
        <f>G154+'13'!H154</f>
        <v>1.0059411465746391</v>
      </c>
      <c r="I154" s="568"/>
      <c r="J154" s="569">
        <f>H154/DAY(B2)</f>
        <v>7.1852939041045644E-2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261</v>
      </c>
      <c r="B161" s="795"/>
      <c r="C161" s="795"/>
      <c r="D161" s="620" t="s">
        <v>185</v>
      </c>
      <c r="E161" s="522">
        <f>'13'!F161</f>
        <v>41887</v>
      </c>
      <c r="F161" s="803">
        <v>41964.81</v>
      </c>
      <c r="G161" s="473">
        <f t="shared" ref="G161:G164" si="17">F161-E161</f>
        <v>77.809999999997672</v>
      </c>
      <c r="N161" s="718"/>
    </row>
    <row r="162" spans="1:14">
      <c r="A162" s="794" t="s">
        <v>262</v>
      </c>
      <c r="B162" s="795"/>
      <c r="C162" s="795"/>
      <c r="D162" s="620" t="s">
        <v>185</v>
      </c>
      <c r="E162" s="522">
        <f>'13'!F162</f>
        <v>113702</v>
      </c>
      <c r="F162" s="803">
        <v>114233.7</v>
      </c>
      <c r="G162" s="473">
        <f t="shared" si="17"/>
        <v>531.69999999999709</v>
      </c>
      <c r="N162" s="718"/>
    </row>
    <row r="163" spans="1:14">
      <c r="A163" s="794" t="s">
        <v>263</v>
      </c>
      <c r="B163" s="795"/>
      <c r="C163" s="795"/>
      <c r="D163" s="620" t="s">
        <v>185</v>
      </c>
      <c r="E163" s="522">
        <f>'13'!F163</f>
        <v>63893</v>
      </c>
      <c r="F163" s="803">
        <v>64099.199999999997</v>
      </c>
      <c r="G163" s="473">
        <f t="shared" si="17"/>
        <v>206.19999999999709</v>
      </c>
      <c r="N163" s="718"/>
    </row>
    <row r="164" spans="1:14">
      <c r="A164" s="794" t="s">
        <v>264</v>
      </c>
      <c r="B164" s="795"/>
      <c r="C164" s="795"/>
      <c r="D164" s="620" t="s">
        <v>185</v>
      </c>
      <c r="E164" s="522">
        <f>'13'!F164</f>
        <v>6978</v>
      </c>
      <c r="F164" s="803">
        <v>6989.21</v>
      </c>
      <c r="G164" s="473">
        <f t="shared" si="17"/>
        <v>11.210000000000036</v>
      </c>
      <c r="N164" s="718"/>
    </row>
    <row r="165" spans="1:14">
      <c r="A165" s="796" t="s">
        <v>97</v>
      </c>
      <c r="B165" s="797"/>
      <c r="C165" s="797"/>
      <c r="D165" s="620" t="s">
        <v>185</v>
      </c>
      <c r="E165" s="514">
        <f>E62</f>
        <v>0</v>
      </c>
      <c r="F165" s="514">
        <f>F62</f>
        <v>0</v>
      </c>
      <c r="G165" s="473">
        <f t="shared" ref="G165:G175" si="18">F165-E165</f>
        <v>0</v>
      </c>
      <c r="N165" s="718"/>
    </row>
    <row r="166" spans="1:14">
      <c r="A166" s="796" t="s">
        <v>186</v>
      </c>
      <c r="B166" s="797"/>
      <c r="C166" s="797"/>
      <c r="D166" s="620" t="s">
        <v>185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185</v>
      </c>
      <c r="E167" s="514">
        <f t="shared" si="19"/>
        <v>175161</v>
      </c>
      <c r="F167" s="514">
        <f t="shared" si="20"/>
        <v>175521.13</v>
      </c>
      <c r="G167" s="473">
        <f t="shared" si="18"/>
        <v>360.13000000000466</v>
      </c>
      <c r="N167" s="718"/>
    </row>
    <row r="168" spans="1:14" ht="27.75">
      <c r="A168" s="1615" t="s">
        <v>99</v>
      </c>
      <c r="B168" s="1615"/>
      <c r="C168" s="1615"/>
      <c r="D168" s="524" t="s">
        <v>185</v>
      </c>
      <c r="E168" s="514">
        <f t="shared" si="19"/>
        <v>175162</v>
      </c>
      <c r="F168" s="514">
        <f t="shared" si="20"/>
        <v>175559.63</v>
      </c>
      <c r="G168" s="473">
        <f t="shared" si="18"/>
        <v>397.63000000000466</v>
      </c>
      <c r="N168" s="718"/>
    </row>
    <row r="169" spans="1:14" ht="27.75">
      <c r="A169" s="1615" t="s">
        <v>100</v>
      </c>
      <c r="B169" s="1615"/>
      <c r="C169" s="1615"/>
      <c r="D169" s="524" t="s">
        <v>185</v>
      </c>
      <c r="E169" s="514">
        <f t="shared" si="19"/>
        <v>73368</v>
      </c>
      <c r="F169" s="514">
        <f t="shared" si="20"/>
        <v>73756.42</v>
      </c>
      <c r="G169" s="473">
        <f t="shared" si="18"/>
        <v>388.41999999999825</v>
      </c>
      <c r="N169" s="718"/>
    </row>
    <row r="170" spans="1:14" ht="27.75">
      <c r="A170" s="1615" t="s">
        <v>101</v>
      </c>
      <c r="B170" s="1615"/>
      <c r="C170" s="1615"/>
      <c r="D170" s="524" t="s">
        <v>185</v>
      </c>
      <c r="E170" s="514">
        <f t="shared" si="19"/>
        <v>271039</v>
      </c>
      <c r="F170" s="514">
        <f t="shared" si="20"/>
        <v>271550.77</v>
      </c>
      <c r="G170" s="473">
        <f t="shared" si="18"/>
        <v>511.77000000001863</v>
      </c>
      <c r="N170" s="718"/>
    </row>
    <row r="171" spans="1:14" ht="27.75">
      <c r="A171" s="1615" t="s">
        <v>102</v>
      </c>
      <c r="B171" s="1615"/>
      <c r="C171" s="1615"/>
      <c r="D171" s="524" t="s">
        <v>185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185</v>
      </c>
      <c r="E172" s="514">
        <f t="shared" si="19"/>
        <v>90847</v>
      </c>
      <c r="F172" s="514">
        <f t="shared" si="20"/>
        <v>91122.4</v>
      </c>
      <c r="G172" s="473">
        <f t="shared" si="18"/>
        <v>275.39999999999418</v>
      </c>
      <c r="N172" s="718"/>
    </row>
    <row r="173" spans="1:14">
      <c r="A173" s="1590" t="s">
        <v>348</v>
      </c>
      <c r="B173" s="1553"/>
      <c r="C173" s="785"/>
      <c r="D173" s="523" t="s">
        <v>185</v>
      </c>
      <c r="E173" s="532">
        <f>'13'!F175</f>
        <v>19062</v>
      </c>
      <c r="F173" s="532">
        <v>19067.400000000001</v>
      </c>
      <c r="G173" s="473">
        <f t="shared" si="18"/>
        <v>5.4000000000014552</v>
      </c>
      <c r="N173" s="718"/>
    </row>
    <row r="174" spans="1:14">
      <c r="A174" s="1590" t="s">
        <v>348</v>
      </c>
      <c r="B174" s="1553"/>
      <c r="C174" s="785"/>
      <c r="D174" s="523" t="s">
        <v>185</v>
      </c>
      <c r="E174" s="532">
        <f>'13'!F176</f>
        <v>70418</v>
      </c>
      <c r="F174" s="532">
        <v>70423.7</v>
      </c>
      <c r="G174" s="473">
        <f t="shared" si="18"/>
        <v>5.6999999999970896</v>
      </c>
      <c r="N174" s="718"/>
    </row>
    <row r="175" spans="1:14">
      <c r="A175" s="1590" t="s">
        <v>349</v>
      </c>
      <c r="B175" s="1553"/>
      <c r="C175" s="785"/>
      <c r="D175" s="523" t="s">
        <v>185</v>
      </c>
      <c r="E175" s="532">
        <f>'13'!F177</f>
        <v>27691</v>
      </c>
      <c r="F175" s="532">
        <v>27698</v>
      </c>
      <c r="G175" s="473">
        <f t="shared" si="18"/>
        <v>7</v>
      </c>
      <c r="N175" s="718"/>
    </row>
    <row r="176" spans="1:14" ht="22.5" customHeight="1">
      <c r="N176" s="718"/>
    </row>
    <row r="177" spans="14:14" ht="22.5" customHeight="1">
      <c r="N177" s="718"/>
    </row>
    <row r="178" spans="14:14" ht="22.5" customHeight="1">
      <c r="N178" s="718"/>
    </row>
    <row r="179" spans="14:14" ht="22.5" customHeight="1">
      <c r="N179" s="718"/>
    </row>
    <row r="180" spans="14:14" ht="22.5" customHeight="1">
      <c r="N180" s="718"/>
    </row>
    <row r="181" spans="14:14" ht="22.5" customHeight="1">
      <c r="N181" s="718"/>
    </row>
    <row r="182" spans="14:14" ht="22.5" customHeight="1">
      <c r="N182" s="718"/>
    </row>
    <row r="183" spans="14:14" ht="22.5" customHeight="1">
      <c r="N183" s="718"/>
    </row>
    <row r="184" spans="14:14" ht="22.5" customHeight="1">
      <c r="N184" s="718"/>
    </row>
    <row r="185" spans="14:14" ht="22.5" customHeight="1">
      <c r="N185" s="718"/>
    </row>
    <row r="186" spans="14:14" ht="22.5" customHeight="1">
      <c r="N186" s="718"/>
    </row>
    <row r="187" spans="14:14" ht="22.5" customHeight="1">
      <c r="N187" s="718"/>
    </row>
    <row r="188" spans="14:14" ht="22.5" customHeight="1">
      <c r="N188" s="718"/>
    </row>
    <row r="189" spans="14:14" ht="22.5" customHeight="1">
      <c r="N189" s="718"/>
    </row>
    <row r="190" spans="14:14" ht="22.5" customHeight="1">
      <c r="N190" s="718"/>
    </row>
    <row r="191" spans="14:14" ht="22.5" customHeight="1">
      <c r="N191" s="718"/>
    </row>
    <row r="192" spans="14:14" ht="22.5" customHeight="1">
      <c r="N192" s="718"/>
    </row>
    <row r="193" spans="14:14" ht="22.5" customHeight="1">
      <c r="N193" s="718"/>
    </row>
    <row r="194" spans="14:14" ht="22.5" customHeight="1">
      <c r="N194" s="718"/>
    </row>
    <row r="195" spans="14:14" ht="22.5" customHeight="1">
      <c r="N195" s="718"/>
    </row>
    <row r="196" spans="14:14" ht="22.5" customHeight="1">
      <c r="N196" s="718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80" zoomScaleSheetLayoutView="55" workbookViewId="0">
      <selection activeCell="A78" sqref="A78:XFD7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273</v>
      </c>
      <c r="B2" s="1031">
        <v>44392</v>
      </c>
      <c r="C2" s="1197" t="s">
        <v>68</v>
      </c>
      <c r="D2" s="611">
        <v>0.47020000000000001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724"/>
    </row>
    <row r="3" spans="1:16" s="281" customFormat="1" ht="27">
      <c r="A3" s="570"/>
      <c r="B3" s="614"/>
      <c r="C3" s="1197" t="s">
        <v>118</v>
      </c>
      <c r="D3" s="612">
        <v>29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7" t="s">
        <v>120</v>
      </c>
      <c r="D4" s="611">
        <v>0.93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'14'!F7</f>
        <v>224806.45</v>
      </c>
      <c r="F7" s="455">
        <v>247258.39</v>
      </c>
      <c r="G7" s="678">
        <f t="shared" ref="G7:G12" si="0">F7-E7</f>
        <v>22451.940000000002</v>
      </c>
      <c r="H7" s="679">
        <f>G7+'14'!H7</f>
        <v>325305.39000000007</v>
      </c>
      <c r="I7" s="680">
        <f>'1'!I7</f>
        <v>12000</v>
      </c>
      <c r="J7" s="681">
        <f>H7/DAY(B2)</f>
        <v>21687.026000000005</v>
      </c>
      <c r="K7" s="549"/>
      <c r="L7" s="377"/>
      <c r="N7" s="729"/>
      <c r="O7" s="725"/>
      <c r="P7" s="728"/>
    </row>
    <row r="8" spans="1:16" ht="27.75" thickBot="1">
      <c r="A8" s="682" t="s">
        <v>131</v>
      </c>
      <c r="B8" s="683"/>
      <c r="C8" s="684"/>
      <c r="D8" s="685" t="s">
        <v>25</v>
      </c>
      <c r="E8" s="633">
        <f>'14'!F8</f>
        <v>231082.51</v>
      </c>
      <c r="F8" s="475">
        <v>253628.81</v>
      </c>
      <c r="G8" s="689">
        <f t="shared" si="0"/>
        <v>22546.299999999988</v>
      </c>
      <c r="H8" s="679">
        <f>G8+'14'!H8</f>
        <v>326906.81</v>
      </c>
      <c r="I8" s="686">
        <f>'1'!I8</f>
        <v>12000</v>
      </c>
      <c r="J8" s="681">
        <f>H8/DAY(B2)</f>
        <v>21793.787333333334</v>
      </c>
      <c r="K8" s="549"/>
      <c r="L8" s="425"/>
      <c r="M8" s="440"/>
      <c r="N8" s="718"/>
      <c r="O8" s="725"/>
      <c r="P8" s="382"/>
    </row>
    <row r="9" spans="1:16">
      <c r="A9" s="687" t="s">
        <v>132</v>
      </c>
      <c r="B9" s="688"/>
      <c r="C9" s="688"/>
      <c r="D9" s="637" t="s">
        <v>130</v>
      </c>
      <c r="E9" s="633">
        <f>'14'!F9</f>
        <v>2325986.1</v>
      </c>
      <c r="F9" s="478">
        <v>2347719.9</v>
      </c>
      <c r="G9" s="702">
        <f t="shared" si="0"/>
        <v>21733.799999999814</v>
      </c>
      <c r="H9" s="679">
        <f>G9+'14'!H9</f>
        <v>316717.89999999991</v>
      </c>
      <c r="I9" s="690">
        <f>I7-J7</f>
        <v>-9687.0260000000053</v>
      </c>
      <c r="J9" s="681">
        <f>H9/DAY(B2)</f>
        <v>21114.526666666661</v>
      </c>
      <c r="K9" s="428"/>
      <c r="L9" s="377"/>
      <c r="N9" s="718"/>
      <c r="O9" s="725"/>
      <c r="P9" s="382"/>
    </row>
    <row r="10" spans="1:16">
      <c r="A10" s="676" t="s">
        <v>133</v>
      </c>
      <c r="B10" s="677"/>
      <c r="C10" s="677"/>
      <c r="D10" s="637" t="s">
        <v>130</v>
      </c>
      <c r="E10" s="633">
        <f>'14'!F10</f>
        <v>2606.5500000000002</v>
      </c>
      <c r="F10" s="478">
        <v>2606.5500000000002</v>
      </c>
      <c r="G10" s="689">
        <f t="shared" si="0"/>
        <v>0</v>
      </c>
      <c r="H10" s="679">
        <f>G10+'14'!H10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G11+'14'!H11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135</v>
      </c>
      <c r="B12" s="677"/>
      <c r="C12" s="677"/>
      <c r="D12" s="637" t="s">
        <v>130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G12+'14'!H12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21733.799999999814</v>
      </c>
      <c r="H13" s="679">
        <f>G13+'14'!H13</f>
        <v>296390.89999999991</v>
      </c>
      <c r="I13" s="695">
        <f>G7-G13</f>
        <v>718.14000000018859</v>
      </c>
      <c r="J13" s="681">
        <f>H13/DAY(B2)</f>
        <v>19759.393333333326</v>
      </c>
      <c r="K13" s="428"/>
      <c r="L13" s="377"/>
      <c r="N13" s="718"/>
      <c r="O13" s="725"/>
      <c r="P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1215"/>
      <c r="K14" s="429"/>
      <c r="L14" s="377"/>
      <c r="N14" s="718"/>
      <c r="O14" s="725"/>
      <c r="P14" s="382"/>
    </row>
    <row r="15" spans="1:16">
      <c r="A15" s="792" t="s">
        <v>138</v>
      </c>
      <c r="B15" s="793"/>
      <c r="C15" s="793"/>
      <c r="D15" s="524" t="s">
        <v>139</v>
      </c>
      <c r="E15" s="485">
        <f>'14'!F15</f>
        <v>1715169.81</v>
      </c>
      <c r="F15" s="700">
        <v>1716117.6229999999</v>
      </c>
      <c r="G15" s="664">
        <f>(F15-E15)</f>
        <v>947.81299999984913</v>
      </c>
      <c r="H15" s="486">
        <f>G15+'14'!H15</f>
        <v>12434.622999999905</v>
      </c>
      <c r="I15" s="474">
        <v>800</v>
      </c>
      <c r="J15" s="553">
        <f>H15/DAY(B2)</f>
        <v>828.97486666666032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-28.974866666660319</v>
      </c>
      <c r="J16" s="553"/>
      <c r="K16" s="428"/>
      <c r="L16" s="377"/>
      <c r="N16" s="718"/>
      <c r="O16" s="725"/>
      <c r="P16" s="382"/>
    </row>
    <row r="17" spans="1:16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4">
        <f>'14'!F18</f>
        <v>14</v>
      </c>
      <c r="F18" s="478">
        <v>12</v>
      </c>
      <c r="G18" s="694">
        <f>F18*10</f>
        <v>120</v>
      </c>
      <c r="H18" s="679">
        <f>G18+'14'!H18</f>
        <v>2020</v>
      </c>
      <c r="I18" s="680">
        <f>'1'!I18</f>
        <v>65</v>
      </c>
      <c r="J18" s="681">
        <f>H18/DAY(B2)</f>
        <v>134.66666666666666</v>
      </c>
      <c r="K18" s="428"/>
      <c r="L18" s="377"/>
      <c r="N18" s="718"/>
      <c r="O18" s="725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4">
        <f>'14'!F19</f>
        <v>142353</v>
      </c>
      <c r="F19" s="478">
        <v>142417</v>
      </c>
      <c r="G19" s="689">
        <f t="shared" ref="G19" si="1">F19-E19</f>
        <v>64</v>
      </c>
      <c r="H19" s="679">
        <f>G19+'14'!H19</f>
        <v>922</v>
      </c>
      <c r="I19" s="696"/>
      <c r="J19" s="681">
        <f>H19/DAY(B2)</f>
        <v>61.466666666666669</v>
      </c>
      <c r="K19" s="428"/>
      <c r="L19" s="377"/>
      <c r="N19" s="718"/>
      <c r="O19" s="725"/>
      <c r="P19" s="382"/>
    </row>
    <row r="20" spans="1:16">
      <c r="A20" s="692" t="s">
        <v>143</v>
      </c>
      <c r="B20" s="693"/>
      <c r="C20" s="693"/>
      <c r="D20" s="637"/>
      <c r="E20" s="637"/>
      <c r="F20" s="709"/>
      <c r="G20" s="697">
        <f>G18+G19</f>
        <v>184</v>
      </c>
      <c r="H20" s="679">
        <f>G20+'14'!H20</f>
        <v>2942</v>
      </c>
      <c r="I20" s="698">
        <f>I18-J20</f>
        <v>-131.13333333333333</v>
      </c>
      <c r="J20" s="681">
        <f>H20/DAY(B2)</f>
        <v>196.13333333333333</v>
      </c>
      <c r="K20" s="428"/>
      <c r="L20" s="377"/>
      <c r="N20" s="718"/>
      <c r="O20" s="725"/>
      <c r="P20" s="382"/>
    </row>
    <row r="21" spans="1:16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95" t="s">
        <v>145</v>
      </c>
      <c r="B22" s="589"/>
      <c r="C22" s="589"/>
      <c r="D22" s="523" t="s">
        <v>146</v>
      </c>
      <c r="E22" s="634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95" t="s">
        <v>147</v>
      </c>
      <c r="B23" s="589"/>
      <c r="C23" s="589"/>
      <c r="D23" s="523" t="s">
        <v>146</v>
      </c>
      <c r="E23" s="634">
        <f>'14'!F23</f>
        <v>2000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148</v>
      </c>
      <c r="B24" s="591"/>
      <c r="C24" s="591"/>
      <c r="D24" s="511" t="s">
        <v>146</v>
      </c>
      <c r="E24" s="493">
        <f>'14'!F24</f>
        <v>4970</v>
      </c>
      <c r="F24" s="485">
        <v>4970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22546.299999999988</v>
      </c>
      <c r="F27" s="501">
        <v>9</v>
      </c>
      <c r="G27" s="502">
        <f>E27*F27</f>
        <v>202916.6999999999</v>
      </c>
      <c r="H27" s="460">
        <f>G27+'14'!H27</f>
        <v>2942161.29</v>
      </c>
      <c r="I27" s="503"/>
      <c r="J27" s="552">
        <f>H27/DAY(B2)</f>
        <v>196144.08600000001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699">
        <f>G15</f>
        <v>947.81299999984913</v>
      </c>
      <c r="F28" s="501">
        <v>52</v>
      </c>
      <c r="G28" s="502">
        <f>E28*F28</f>
        <v>49286.275999992155</v>
      </c>
      <c r="H28" s="460">
        <f>G28+'14'!H28</f>
        <v>646600.39599999506</v>
      </c>
      <c r="I28" s="505"/>
      <c r="J28" s="552">
        <f>H28/DAY(B2)</f>
        <v>43106.693066666339</v>
      </c>
      <c r="K28" s="373"/>
      <c r="L28" s="443"/>
      <c r="N28" s="718"/>
      <c r="O28" s="725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699">
        <f>G19</f>
        <v>64</v>
      </c>
      <c r="F30" s="501">
        <v>146</v>
      </c>
      <c r="G30" s="502">
        <f>E30*F30</f>
        <v>9344</v>
      </c>
      <c r="H30" s="460">
        <f>G30+'14'!H30</f>
        <v>134028</v>
      </c>
      <c r="I30" s="505"/>
      <c r="J30" s="552">
        <f>H30/DAY(B2)</f>
        <v>8935.2000000000007</v>
      </c>
      <c r="K30" s="373"/>
      <c r="L30" s="443"/>
      <c r="N30" s="718"/>
      <c r="O30" s="725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699">
        <f>G18</f>
        <v>120</v>
      </c>
      <c r="F31" s="501">
        <v>80</v>
      </c>
      <c r="G31" s="502">
        <f>E31*F31</f>
        <v>9600</v>
      </c>
      <c r="H31" s="460">
        <f>G31+'14'!H31</f>
        <v>156000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271146.97599999205</v>
      </c>
      <c r="H32" s="460">
        <f>G32+'14'!H32</f>
        <v>3878789.6859999946</v>
      </c>
      <c r="I32" s="460"/>
      <c r="J32" s="552">
        <f>H32/DAY(B2)</f>
        <v>258585.9790666663</v>
      </c>
      <c r="K32" s="373"/>
      <c r="L32" s="443"/>
      <c r="N32" s="718"/>
      <c r="O32" s="725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5"/>
      <c r="P33" s="382"/>
    </row>
    <row r="34" spans="1:16">
      <c r="A34" s="598" t="s">
        <v>161</v>
      </c>
      <c r="B34" s="1200"/>
      <c r="C34" s="1200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162</v>
      </c>
      <c r="B35" s="579"/>
      <c r="C35" s="579"/>
      <c r="D35" s="523" t="s">
        <v>130</v>
      </c>
      <c r="E35" s="510">
        <f>'14'!F35</f>
        <v>1058597.3</v>
      </c>
      <c r="F35" s="510">
        <v>1058597.3</v>
      </c>
      <c r="G35" s="473">
        <f t="shared" ref="G35:G46" si="3">F35-E35</f>
        <v>0</v>
      </c>
      <c r="H35" s="460">
        <f>G35+'14'!H35</f>
        <v>29883.300000000047</v>
      </c>
      <c r="I35" s="455"/>
      <c r="J35" s="552">
        <f>H35/DAY(B2)</f>
        <v>1992.2200000000032</v>
      </c>
      <c r="K35" s="428"/>
      <c r="L35" s="377"/>
      <c r="N35" s="718"/>
      <c r="O35" s="726"/>
      <c r="P35" s="382"/>
    </row>
    <row r="36" spans="1:16">
      <c r="A36" s="578" t="s">
        <v>163</v>
      </c>
      <c r="B36" s="579"/>
      <c r="C36" s="579"/>
      <c r="D36" s="523" t="s">
        <v>130</v>
      </c>
      <c r="E36" s="510">
        <f>'14'!F36</f>
        <v>31848.38</v>
      </c>
      <c r="F36" s="510">
        <v>32955.25</v>
      </c>
      <c r="G36" s="473">
        <f t="shared" si="3"/>
        <v>1106.869999999999</v>
      </c>
      <c r="H36" s="460">
        <f>G36+'14'!H36</f>
        <v>12494.25</v>
      </c>
      <c r="I36" s="455"/>
      <c r="J36" s="552">
        <f>H36/DAY(B2)</f>
        <v>832.95</v>
      </c>
      <c r="K36" s="428"/>
      <c r="L36" s="377"/>
      <c r="N36" s="719"/>
      <c r="O36" s="726"/>
      <c r="P36" s="382"/>
    </row>
    <row r="37" spans="1:16">
      <c r="A37" s="578" t="s">
        <v>164</v>
      </c>
      <c r="B37" s="579"/>
      <c r="C37" s="579"/>
      <c r="D37" s="523" t="s">
        <v>130</v>
      </c>
      <c r="E37" s="510">
        <f>'14'!F37</f>
        <v>198307.35</v>
      </c>
      <c r="F37" s="510">
        <v>199902.73</v>
      </c>
      <c r="G37" s="473">
        <f t="shared" si="3"/>
        <v>1595.3800000000047</v>
      </c>
      <c r="H37" s="460">
        <f>G37+'14'!H37</f>
        <v>23332.73000000001</v>
      </c>
      <c r="I37" s="455"/>
      <c r="J37" s="552">
        <f>H37/DAY(B2)</f>
        <v>1555.515333333334</v>
      </c>
      <c r="K37" s="428"/>
      <c r="L37" s="377"/>
      <c r="N37" s="719"/>
      <c r="O37" s="726"/>
      <c r="P37" s="382"/>
    </row>
    <row r="38" spans="1:16">
      <c r="A38" s="578" t="s">
        <v>165</v>
      </c>
      <c r="B38" s="579"/>
      <c r="C38" s="579"/>
      <c r="D38" s="523" t="s">
        <v>130</v>
      </c>
      <c r="E38" s="510">
        <f>'14'!F38</f>
        <v>220976.79</v>
      </c>
      <c r="F38" s="469">
        <v>222622.23</v>
      </c>
      <c r="G38" s="473">
        <f t="shared" si="3"/>
        <v>1645.4400000000023</v>
      </c>
      <c r="H38" s="460">
        <f>G38+'14'!H38</f>
        <v>24163.23000000001</v>
      </c>
      <c r="I38" s="455"/>
      <c r="J38" s="552">
        <f>H38/DAY(B2)</f>
        <v>1610.8820000000007</v>
      </c>
      <c r="K38" s="428"/>
      <c r="L38" s="377"/>
      <c r="N38" s="718"/>
      <c r="O38" s="725"/>
      <c r="P38" s="382"/>
    </row>
    <row r="39" spans="1:16">
      <c r="A39" s="578" t="s">
        <v>166</v>
      </c>
      <c r="B39" s="579"/>
      <c r="C39" s="579"/>
      <c r="D39" s="523" t="s">
        <v>130</v>
      </c>
      <c r="E39" s="510">
        <f>'14'!F39</f>
        <v>456332.87</v>
      </c>
      <c r="F39" s="510">
        <v>460066.27</v>
      </c>
      <c r="G39" s="473">
        <f t="shared" si="3"/>
        <v>3733.4000000000233</v>
      </c>
      <c r="H39" s="460">
        <f>G39+'14'!H39</f>
        <v>55202.270000000019</v>
      </c>
      <c r="I39" s="455"/>
      <c r="J39" s="552">
        <f>H39/DAY(B2)</f>
        <v>3680.1513333333346</v>
      </c>
      <c r="K39" s="428"/>
      <c r="L39" s="377"/>
      <c r="N39" s="718"/>
      <c r="O39" s="726"/>
      <c r="P39" s="382"/>
    </row>
    <row r="40" spans="1:16">
      <c r="A40" s="599" t="s">
        <v>167</v>
      </c>
      <c r="B40" s="600"/>
      <c r="C40" s="600"/>
      <c r="D40" s="523" t="s">
        <v>130</v>
      </c>
      <c r="E40" s="510">
        <f>'14'!F40</f>
        <v>12406.06</v>
      </c>
      <c r="F40" s="510">
        <v>12883.71</v>
      </c>
      <c r="G40" s="473">
        <f t="shared" si="3"/>
        <v>477.64999999999964</v>
      </c>
      <c r="H40" s="460">
        <f>G40+'14'!H40</f>
        <v>5770.7099999999991</v>
      </c>
      <c r="I40" s="455"/>
      <c r="J40" s="552">
        <f>H40/DAY(B2)</f>
        <v>384.71399999999994</v>
      </c>
      <c r="K40" s="429"/>
      <c r="L40" s="377"/>
      <c r="N40" s="718"/>
      <c r="O40" s="725"/>
      <c r="P40" s="382"/>
    </row>
    <row r="41" spans="1:16">
      <c r="A41" s="578" t="s">
        <v>168</v>
      </c>
      <c r="B41" s="579"/>
      <c r="C41" s="579"/>
      <c r="D41" s="523" t="s">
        <v>130</v>
      </c>
      <c r="E41" s="510">
        <f>'14'!F41</f>
        <v>364063.91</v>
      </c>
      <c r="F41" s="510">
        <v>365502.35</v>
      </c>
      <c r="G41" s="473">
        <f t="shared" si="3"/>
        <v>1438.4400000000023</v>
      </c>
      <c r="H41" s="460">
        <f>G41+'14'!H41</f>
        <v>35860.349999999977</v>
      </c>
      <c r="I41" s="455"/>
      <c r="J41" s="552">
        <f>H41/DAY(B2)</f>
        <v>2390.6899999999982</v>
      </c>
      <c r="K41" s="428"/>
      <c r="L41" s="377"/>
      <c r="N41" s="718"/>
      <c r="O41" s="727"/>
      <c r="P41" s="721"/>
    </row>
    <row r="42" spans="1:16">
      <c r="A42" s="578" t="s">
        <v>169</v>
      </c>
      <c r="B42" s="579"/>
      <c r="C42" s="579"/>
      <c r="D42" s="523" t="s">
        <v>130</v>
      </c>
      <c r="E42" s="510">
        <f>'14'!F42</f>
        <v>67406.11</v>
      </c>
      <c r="F42" s="510">
        <v>72340.44</v>
      </c>
      <c r="G42" s="473">
        <f t="shared" si="3"/>
        <v>4934.3300000000017</v>
      </c>
      <c r="H42" s="460">
        <f>G42+'14'!H42</f>
        <v>13141.550000000003</v>
      </c>
      <c r="I42" s="455"/>
      <c r="J42" s="552">
        <f>H42/DAY(B2)</f>
        <v>876.10333333333358</v>
      </c>
      <c r="K42" s="428"/>
      <c r="L42" s="377"/>
      <c r="N42" s="718"/>
      <c r="O42" s="725"/>
      <c r="P42" s="382"/>
    </row>
    <row r="43" spans="1:16">
      <c r="A43" s="578" t="s">
        <v>170</v>
      </c>
      <c r="B43" s="579"/>
      <c r="C43" s="579"/>
      <c r="D43" s="523" t="s">
        <v>130</v>
      </c>
      <c r="E43" s="510">
        <f>'14'!F43</f>
        <v>1157593.3</v>
      </c>
      <c r="F43" s="510">
        <v>1160367.6000000001</v>
      </c>
      <c r="G43" s="473">
        <f t="shared" si="3"/>
        <v>2774.3000000000466</v>
      </c>
      <c r="H43" s="460">
        <f>G43+'14'!H43</f>
        <v>39915.600000000093</v>
      </c>
      <c r="I43" s="455"/>
      <c r="J43" s="552">
        <f>H43/DAY(B2)</f>
        <v>2661.0400000000063</v>
      </c>
      <c r="K43" s="428"/>
      <c r="L43" s="377"/>
      <c r="N43" s="718"/>
      <c r="O43" s="726"/>
      <c r="P43" s="382"/>
    </row>
    <row r="44" spans="1:16">
      <c r="A44" s="578" t="s">
        <v>171</v>
      </c>
      <c r="B44" s="579"/>
      <c r="C44" s="579"/>
      <c r="D44" s="523" t="s">
        <v>130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172</v>
      </c>
      <c r="B45" s="579"/>
      <c r="C45" s="579"/>
      <c r="D45" s="523" t="s">
        <v>130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173</v>
      </c>
      <c r="B46" s="579"/>
      <c r="C46" s="579"/>
      <c r="D46" s="523" t="s">
        <v>130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17705.810000000078</v>
      </c>
      <c r="H47" s="460">
        <f>G47+'14'!H47</f>
        <v>240565.48000000013</v>
      </c>
      <c r="I47" s="455"/>
      <c r="J47" s="552">
        <f>H47/DAY(B2)</f>
        <v>16037.698666666674</v>
      </c>
      <c r="K47" s="428"/>
      <c r="L47" s="377"/>
      <c r="N47" s="718"/>
      <c r="O47" s="725"/>
      <c r="P47" s="382"/>
    </row>
    <row r="48" spans="1:16">
      <c r="A48" s="598" t="s">
        <v>175</v>
      </c>
      <c r="B48" s="1200"/>
      <c r="C48" s="1200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162</v>
      </c>
      <c r="B49" s="601"/>
      <c r="C49" s="601"/>
      <c r="D49" s="523" t="s">
        <v>130</v>
      </c>
      <c r="E49" s="510">
        <f>'14'!F49</f>
        <v>272499.17</v>
      </c>
      <c r="F49" s="510">
        <v>275446.69</v>
      </c>
      <c r="G49" s="473">
        <f t="shared" ref="G49:G58" si="4">F49-E49</f>
        <v>2947.5200000000186</v>
      </c>
      <c r="H49" s="460">
        <f>G49+'14'!H49</f>
        <v>14682.690000000002</v>
      </c>
      <c r="I49" s="455"/>
      <c r="J49" s="552">
        <f>H49/DAY(B2)</f>
        <v>978.84600000000012</v>
      </c>
      <c r="K49" s="428">
        <f>E49+242</f>
        <v>272741.17</v>
      </c>
      <c r="L49" s="377"/>
      <c r="N49" s="718"/>
      <c r="O49" s="725"/>
      <c r="P49" s="382"/>
    </row>
    <row r="50" spans="1:16">
      <c r="A50" s="578" t="s">
        <v>176</v>
      </c>
      <c r="B50" s="601"/>
      <c r="C50" s="601"/>
      <c r="D50" s="523" t="s">
        <v>130</v>
      </c>
      <c r="E50" s="510">
        <f>'14'!F50</f>
        <v>550963.56999999995</v>
      </c>
      <c r="F50" s="510">
        <v>552413.27</v>
      </c>
      <c r="G50" s="473">
        <f t="shared" si="4"/>
        <v>1449.7000000000698</v>
      </c>
      <c r="H50" s="460">
        <f>G50+'14'!H50</f>
        <v>16657.270000000019</v>
      </c>
      <c r="I50" s="455"/>
      <c r="J50" s="552">
        <f>H50/DAY(B2)</f>
        <v>1110.4846666666679</v>
      </c>
      <c r="K50" s="428"/>
      <c r="L50" s="377"/>
      <c r="N50" s="718"/>
      <c r="O50" s="726"/>
      <c r="P50" s="382"/>
    </row>
    <row r="51" spans="1:16">
      <c r="A51" s="578" t="s">
        <v>164</v>
      </c>
      <c r="B51" s="601"/>
      <c r="C51" s="601"/>
      <c r="D51" s="523" t="s">
        <v>130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8"/>
      <c r="O51" s="725"/>
      <c r="P51" s="382"/>
    </row>
    <row r="52" spans="1:16">
      <c r="A52" s="578" t="s">
        <v>177</v>
      </c>
      <c r="B52" s="601"/>
      <c r="C52" s="601"/>
      <c r="D52" s="523" t="s">
        <v>130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8"/>
      <c r="O52" s="725"/>
      <c r="P52" s="382"/>
    </row>
    <row r="53" spans="1:16">
      <c r="A53" s="578" t="s">
        <v>166</v>
      </c>
      <c r="B53" s="601"/>
      <c r="C53" s="601"/>
      <c r="D53" s="523" t="s">
        <v>130</v>
      </c>
      <c r="E53" s="510">
        <f>'14'!F53</f>
        <v>434231.59</v>
      </c>
      <c r="F53" s="510">
        <v>434232</v>
      </c>
      <c r="G53" s="473">
        <f t="shared" si="4"/>
        <v>0.40999999997438863</v>
      </c>
      <c r="H53" s="460">
        <f>G53+'14'!H53</f>
        <v>-0.33000000001629815</v>
      </c>
      <c r="I53" s="455"/>
      <c r="J53" s="552">
        <f>H53/DAY(B2)</f>
        <v>-2.2000000001086543E-2</v>
      </c>
      <c r="K53" s="428"/>
      <c r="L53" s="377"/>
      <c r="N53" s="718"/>
      <c r="O53" s="725"/>
      <c r="P53" s="382"/>
    </row>
    <row r="54" spans="1:16">
      <c r="A54" s="578" t="s">
        <v>178</v>
      </c>
      <c r="B54" s="601"/>
      <c r="C54" s="601"/>
      <c r="D54" s="523" t="s">
        <v>130</v>
      </c>
      <c r="E54" s="510">
        <f>'14'!F54</f>
        <v>14967</v>
      </c>
      <c r="F54" s="510">
        <v>14967</v>
      </c>
      <c r="G54" s="473">
        <f t="shared" si="4"/>
        <v>0</v>
      </c>
      <c r="H54" s="460">
        <f>G54+'14'!H54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179</v>
      </c>
      <c r="B55" s="601"/>
      <c r="C55" s="601"/>
      <c r="D55" s="523" t="s">
        <v>130</v>
      </c>
      <c r="E55" s="510">
        <f>'14'!F55</f>
        <v>167631.28</v>
      </c>
      <c r="F55" s="653">
        <v>167631.28</v>
      </c>
      <c r="G55" s="652">
        <f t="shared" si="4"/>
        <v>0</v>
      </c>
      <c r="H55" s="705">
        <f>G55+'14'!H55</f>
        <v>44421.279999999999</v>
      </c>
      <c r="I55" s="706"/>
      <c r="J55" s="707">
        <f>H55/DAY(B2)</f>
        <v>2961.4186666666665</v>
      </c>
      <c r="K55" s="428"/>
      <c r="L55" s="377"/>
      <c r="N55" s="718"/>
      <c r="O55" s="725"/>
      <c r="P55" s="382"/>
    </row>
    <row r="56" spans="1:16">
      <c r="A56" s="578" t="s">
        <v>180</v>
      </c>
      <c r="B56" s="601"/>
      <c r="C56" s="601"/>
      <c r="D56" s="523" t="s">
        <v>181</v>
      </c>
      <c r="E56" s="510">
        <f>'14'!F56</f>
        <v>649178.35</v>
      </c>
      <c r="F56" s="653">
        <v>649189.75</v>
      </c>
      <c r="G56" s="473">
        <f t="shared" si="4"/>
        <v>11.400000000023283</v>
      </c>
      <c r="H56" s="460">
        <f>G56+'14'!H56</f>
        <v>147.75</v>
      </c>
      <c r="I56" s="455"/>
      <c r="J56" s="552">
        <f>H56/DAY(B2)</f>
        <v>9.85</v>
      </c>
      <c r="K56" s="427"/>
      <c r="L56" s="377"/>
      <c r="N56" s="718"/>
      <c r="O56" s="727"/>
      <c r="P56" s="382"/>
    </row>
    <row r="57" spans="1:16">
      <c r="A57" s="578" t="s">
        <v>170</v>
      </c>
      <c r="B57" s="601"/>
      <c r="C57" s="601"/>
      <c r="D57" s="523" t="s">
        <v>130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8"/>
      <c r="O57" s="725"/>
      <c r="P57" s="382"/>
    </row>
    <row r="58" spans="1:16">
      <c r="A58" s="578" t="s">
        <v>182</v>
      </c>
      <c r="B58" s="601"/>
      <c r="C58" s="601"/>
      <c r="D58" s="523" t="s">
        <v>130</v>
      </c>
      <c r="E58" s="510">
        <f>'14'!F58</f>
        <v>56413.38</v>
      </c>
      <c r="F58" s="653">
        <v>56608.81</v>
      </c>
      <c r="G58" s="473">
        <f t="shared" si="4"/>
        <v>195.43000000000029</v>
      </c>
      <c r="H58" s="460">
        <f>G58+'14'!H58</f>
        <v>2428.8099999999977</v>
      </c>
      <c r="I58" s="455"/>
      <c r="J58" s="552">
        <f>H58/DAY(B2)</f>
        <v>161.92066666666651</v>
      </c>
      <c r="K58" s="428"/>
      <c r="L58" s="377"/>
      <c r="N58" s="718"/>
      <c r="O58" s="725"/>
      <c r="P58" s="382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4604.3900000001377</v>
      </c>
      <c r="H59" s="460">
        <f>G59+'14'!H59</f>
        <v>78337.669999999984</v>
      </c>
      <c r="I59" s="455">
        <f>G7-G60</f>
        <v>141.73999999978696</v>
      </c>
      <c r="J59" s="552">
        <f>H59/DAY(B2)</f>
        <v>5222.511333333332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22310.200000000215</v>
      </c>
      <c r="H60" s="460">
        <f>G60+'14'!H60</f>
        <v>325806.48000000021</v>
      </c>
      <c r="I60" s="455">
        <f>G13-G60</f>
        <v>-576.40000000040163</v>
      </c>
      <c r="J60" s="552">
        <f>H60/DAY(B2)</f>
        <v>21720.432000000015</v>
      </c>
      <c r="K60" s="428"/>
      <c r="L60" s="377"/>
      <c r="N60" s="718"/>
      <c r="O60" s="725"/>
      <c r="P60" s="382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185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8"/>
      <c r="O62" s="725"/>
      <c r="P62" s="382"/>
    </row>
    <row r="63" spans="1:16">
      <c r="A63" s="603" t="s">
        <v>186</v>
      </c>
      <c r="B63" s="604"/>
      <c r="C63" s="604"/>
      <c r="D63" s="511" t="s">
        <v>185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514">
        <f>'14'!F64</f>
        <v>175521.13</v>
      </c>
      <c r="F64" s="478">
        <v>175929.51</v>
      </c>
      <c r="G64" s="473">
        <f t="shared" si="5"/>
        <v>408.38000000000466</v>
      </c>
      <c r="H64" s="460">
        <f>G64+'14'!H64</f>
        <v>5907.5100000000093</v>
      </c>
      <c r="I64" s="480"/>
      <c r="J64" s="552">
        <f>H64/DAY(B2)</f>
        <v>393.83400000000063</v>
      </c>
      <c r="K64" s="428"/>
      <c r="L64" s="377"/>
      <c r="N64" s="718"/>
      <c r="O64" s="725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514">
        <f>'14'!F65</f>
        <v>175559.63</v>
      </c>
      <c r="F65" s="651">
        <v>175940.77</v>
      </c>
      <c r="G65" s="473">
        <f t="shared" si="5"/>
        <v>381.13999999998487</v>
      </c>
      <c r="H65" s="460">
        <f>G65+'14'!H65</f>
        <v>5638.7699999999895</v>
      </c>
      <c r="I65" s="489"/>
      <c r="J65" s="552">
        <f>H65/DAY(B2)</f>
        <v>375.91799999999932</v>
      </c>
      <c r="K65" s="428"/>
      <c r="L65" s="377"/>
      <c r="N65" s="718"/>
      <c r="O65" s="726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514">
        <f>'14'!F66</f>
        <v>73756.42</v>
      </c>
      <c r="F66" s="478">
        <v>74144.679999999993</v>
      </c>
      <c r="G66" s="473">
        <f t="shared" si="5"/>
        <v>388.25999999999476</v>
      </c>
      <c r="H66" s="460">
        <f>G66+'14'!H66</f>
        <v>6174.679999999993</v>
      </c>
      <c r="I66" s="480"/>
      <c r="J66" s="552">
        <f>H66/DAY(B2)</f>
        <v>411.64533333333287</v>
      </c>
      <c r="K66" s="428"/>
      <c r="L66" s="377"/>
      <c r="N66" s="718"/>
      <c r="O66" s="725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514">
        <f>'14'!F67</f>
        <v>271550.77</v>
      </c>
      <c r="F67" s="478">
        <v>272023.17</v>
      </c>
      <c r="G67" s="473">
        <f t="shared" si="5"/>
        <v>472.39999999996508</v>
      </c>
      <c r="H67" s="460">
        <f>G67+'14'!H67</f>
        <v>7064.1699999999837</v>
      </c>
      <c r="I67" s="489"/>
      <c r="J67" s="552">
        <f>H67/DAY(B2)</f>
        <v>470.94466666666557</v>
      </c>
      <c r="K67" s="429"/>
      <c r="L67" s="377"/>
      <c r="N67" s="718"/>
      <c r="O67" s="725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514">
        <f>'14'!F69</f>
        <v>91122.4</v>
      </c>
      <c r="F69" s="478">
        <v>91422.25</v>
      </c>
      <c r="G69" s="473">
        <f t="shared" si="5"/>
        <v>299.85000000000582</v>
      </c>
      <c r="H69" s="460">
        <f>G69+'14'!H69</f>
        <v>3907.25</v>
      </c>
      <c r="I69" s="516"/>
      <c r="J69" s="552">
        <f>H69/DAY(B2)</f>
        <v>260.48333333333335</v>
      </c>
      <c r="K69" s="431"/>
      <c r="L69" s="377"/>
      <c r="N69" s="718"/>
      <c r="O69" s="725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5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19">
        <f>'14'!F72</f>
        <v>856391</v>
      </c>
      <c r="F72" s="654">
        <v>856404</v>
      </c>
      <c r="G72" s="473">
        <f t="shared" ref="G72:G84" si="6">F72-E72</f>
        <v>13</v>
      </c>
      <c r="H72" s="460">
        <f>G72+'14'!H72</f>
        <v>169</v>
      </c>
      <c r="I72" s="480"/>
      <c r="J72" s="552">
        <f>H72/DAY(B2)</f>
        <v>11.266666666666667</v>
      </c>
      <c r="K72" s="431"/>
      <c r="L72" s="377"/>
      <c r="N72" s="718"/>
      <c r="O72" s="725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19">
        <f>'14'!F73</f>
        <v>885990</v>
      </c>
      <c r="F73" s="655">
        <v>885992</v>
      </c>
      <c r="G73" s="652">
        <f t="shared" si="6"/>
        <v>2</v>
      </c>
      <c r="H73" s="460">
        <f>G73+'14'!H73</f>
        <v>158</v>
      </c>
      <c r="I73" s="480"/>
      <c r="J73" s="552">
        <f>H73/DAY(B2)</f>
        <v>10.533333333333333</v>
      </c>
      <c r="K73" s="430"/>
      <c r="L73" s="377"/>
      <c r="N73" s="718"/>
      <c r="O73" s="725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19">
        <f>'14'!F74</f>
        <v>88679</v>
      </c>
      <c r="F74" s="655">
        <v>88680</v>
      </c>
      <c r="G74" s="473">
        <f t="shared" si="6"/>
        <v>1</v>
      </c>
      <c r="H74" s="460">
        <f>G74+'14'!H74</f>
        <v>18</v>
      </c>
      <c r="I74" s="480"/>
      <c r="J74" s="552">
        <f>H74/DAY(B2)</f>
        <v>1.2</v>
      </c>
      <c r="K74" s="431"/>
      <c r="L74" s="377"/>
      <c r="N74" s="718"/>
      <c r="O74" s="725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19">
        <f>'14'!F75</f>
        <v>18188.93</v>
      </c>
      <c r="F75" s="655">
        <v>18343.7</v>
      </c>
      <c r="G75" s="473">
        <f t="shared" si="6"/>
        <v>154.77000000000044</v>
      </c>
      <c r="H75" s="460">
        <f>G75+'14'!H75</f>
        <v>2272.7000000000007</v>
      </c>
      <c r="I75" s="480"/>
      <c r="J75" s="552">
        <f>H75/DAY(B2)</f>
        <v>151.51333333333338</v>
      </c>
      <c r="K75" s="430"/>
      <c r="L75" s="377"/>
      <c r="N75" s="718"/>
      <c r="O75" s="725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19">
        <f>'14'!F76</f>
        <v>10250.98</v>
      </c>
      <c r="F76" s="655">
        <v>10318.15</v>
      </c>
      <c r="G76" s="473">
        <f t="shared" si="6"/>
        <v>67.170000000000073</v>
      </c>
      <c r="H76" s="460">
        <f>G76+'14'!H76</f>
        <v>2099.1499999999996</v>
      </c>
      <c r="I76" s="505"/>
      <c r="J76" s="552">
        <f>H76/DAY(B2)</f>
        <v>139.9433333333333</v>
      </c>
      <c r="K76" s="430"/>
      <c r="L76" s="377"/>
      <c r="N76" s="718"/>
      <c r="O76" s="725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19">
        <f>'14'!F77</f>
        <v>705216</v>
      </c>
      <c r="F77" s="655">
        <v>705280</v>
      </c>
      <c r="G77" s="652">
        <f t="shared" si="6"/>
        <v>64</v>
      </c>
      <c r="H77" s="460">
        <f>G77+'14'!H77</f>
        <v>906</v>
      </c>
      <c r="I77" s="505"/>
      <c r="J77" s="552">
        <f>H77/DAY(B2)</f>
        <v>60.4</v>
      </c>
      <c r="K77" s="430"/>
      <c r="L77" s="377"/>
      <c r="N77" s="718"/>
      <c r="O77" s="725"/>
      <c r="P77" s="382"/>
    </row>
    <row r="78" spans="1:16" ht="27.75">
      <c r="A78" s="1198" t="s">
        <v>195</v>
      </c>
      <c r="B78" s="1191"/>
      <c r="C78" s="1191"/>
      <c r="D78" s="523" t="s">
        <v>185</v>
      </c>
      <c r="E78" s="519">
        <f>'14'!F78</f>
        <v>676794</v>
      </c>
      <c r="F78" s="656">
        <v>676894</v>
      </c>
      <c r="G78" s="473">
        <f t="shared" si="6"/>
        <v>100</v>
      </c>
      <c r="H78" s="460">
        <f>G78+'14'!H78</f>
        <v>1480</v>
      </c>
      <c r="I78" s="505"/>
      <c r="J78" s="552">
        <f>H78/DAY(B2)</f>
        <v>98.666666666666671</v>
      </c>
      <c r="K78" s="430"/>
      <c r="L78" s="377"/>
      <c r="N78" s="718"/>
      <c r="O78" s="725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19">
        <f>'14'!F79</f>
        <v>837571</v>
      </c>
      <c r="F79" s="656">
        <v>837747</v>
      </c>
      <c r="G79" s="473">
        <f t="shared" si="6"/>
        <v>176</v>
      </c>
      <c r="H79" s="460">
        <f>G79+'14'!H79</f>
        <v>1593</v>
      </c>
      <c r="I79" s="505"/>
      <c r="J79" s="552">
        <f>H79/DAY(B2)</f>
        <v>106.2</v>
      </c>
      <c r="K79" s="430"/>
      <c r="L79" s="377"/>
      <c r="N79" s="718"/>
      <c r="O79" s="725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19">
        <f>'14'!F80</f>
        <v>544859.80000000005</v>
      </c>
      <c r="F80" s="655">
        <v>545325.48</v>
      </c>
      <c r="G80" s="473">
        <f t="shared" si="6"/>
        <v>465.67999999993481</v>
      </c>
      <c r="H80" s="460">
        <f>G80+'14'!H80</f>
        <v>2934.4799999999814</v>
      </c>
      <c r="I80" s="505"/>
      <c r="J80" s="552">
        <f>H80/DAY(B2)</f>
        <v>195.63199999999875</v>
      </c>
      <c r="K80" s="430"/>
      <c r="L80" s="377"/>
      <c r="N80" s="718"/>
      <c r="O80" s="725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19">
        <f>'14'!F81</f>
        <v>645639.04</v>
      </c>
      <c r="F81" s="655">
        <v>645815.61</v>
      </c>
      <c r="G81" s="473">
        <f t="shared" si="6"/>
        <v>176.56999999994878</v>
      </c>
      <c r="H81" s="460">
        <f>G81+'14'!H81</f>
        <v>2830.609999999986</v>
      </c>
      <c r="I81" s="505"/>
      <c r="J81" s="552">
        <f>H81/DAY(B2)</f>
        <v>188.7073333333324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485" t="s">
        <v>130</v>
      </c>
      <c r="E82" s="519">
        <f>'14'!F82</f>
        <v>108969.5</v>
      </c>
      <c r="F82" s="485">
        <v>108998.19</v>
      </c>
      <c r="G82" s="473">
        <f t="shared" si="6"/>
        <v>28.690000000002328</v>
      </c>
      <c r="H82" s="486">
        <f>G82+'14'!H82</f>
        <v>317.19000000000233</v>
      </c>
      <c r="I82" s="486"/>
      <c r="J82" s="553">
        <f>H82/DAY(B2)</f>
        <v>21.146000000000154</v>
      </c>
      <c r="K82" s="1213"/>
      <c r="L82" s="1214"/>
      <c r="N82" s="722"/>
      <c r="O82" s="726"/>
      <c r="P82" s="721"/>
    </row>
    <row r="83" spans="1:16" s="775" customFormat="1" ht="27.75">
      <c r="A83" s="1619" t="s">
        <v>198</v>
      </c>
      <c r="B83" s="1620"/>
      <c r="C83" s="1621"/>
      <c r="D83" s="1308" t="s">
        <v>130</v>
      </c>
      <c r="E83" s="782">
        <f>'14'!F83</f>
        <v>30921</v>
      </c>
      <c r="F83" s="1308">
        <v>31137</v>
      </c>
      <c r="G83" s="773">
        <f t="shared" si="6"/>
        <v>216</v>
      </c>
      <c r="H83" s="479">
        <f>G83+'14'!H83</f>
        <v>3586</v>
      </c>
      <c r="I83" s="773"/>
      <c r="J83" s="774">
        <f>H83/DAY(B2)</f>
        <v>239.06666666666666</v>
      </c>
      <c r="K83" s="1309"/>
      <c r="L83" s="1214"/>
      <c r="N83" s="722"/>
      <c r="O83" s="726"/>
      <c r="P83" s="721"/>
    </row>
    <row r="84" spans="1:16">
      <c r="A84" s="1199" t="s">
        <v>199</v>
      </c>
      <c r="B84" s="571"/>
      <c r="C84" s="571"/>
      <c r="D84" s="478" t="s">
        <v>130</v>
      </c>
      <c r="E84" s="519">
        <f>'14'!F84</f>
        <v>534382</v>
      </c>
      <c r="F84" s="627">
        <v>535125</v>
      </c>
      <c r="G84" s="473">
        <f t="shared" si="6"/>
        <v>743</v>
      </c>
      <c r="H84" s="460">
        <f>G84+'14'!H84</f>
        <v>12045</v>
      </c>
      <c r="I84" s="481"/>
      <c r="J84" s="552">
        <f>H84/DAY(B2)</f>
        <v>803</v>
      </c>
      <c r="K84" s="380"/>
      <c r="L84" s="377"/>
      <c r="N84" s="718"/>
      <c r="O84" s="725"/>
      <c r="P84" s="382"/>
    </row>
    <row r="85" spans="1:16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2207.8799999998864</v>
      </c>
      <c r="H85" s="460">
        <f>G85+'14'!H85</f>
        <v>33283.129999999968</v>
      </c>
      <c r="I85" s="481"/>
      <c r="J85" s="552">
        <f>H85/DAY(B2)</f>
        <v>2218.8753333333311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'14'!F86</f>
        <v>462192.76</v>
      </c>
      <c r="F86" s="647">
        <v>462201.64</v>
      </c>
      <c r="G86" s="705">
        <f t="shared" ref="G86:G91" si="7">F86-E86</f>
        <v>8.8800000000046566</v>
      </c>
      <c r="H86" s="705">
        <f t="shared" ref="H86:H88" si="8">G86</f>
        <v>8.8800000000046566</v>
      </c>
      <c r="I86" s="652"/>
      <c r="J86" s="707">
        <f>H86/DAY(B2)</f>
        <v>0.59200000000031039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'14'!F87</f>
        <v>82461.8</v>
      </c>
      <c r="F87" s="647">
        <v>82498</v>
      </c>
      <c r="G87" s="705">
        <f t="shared" si="7"/>
        <v>36.19999999999709</v>
      </c>
      <c r="H87" s="705">
        <f t="shared" si="8"/>
        <v>36.19999999999709</v>
      </c>
      <c r="I87" s="652"/>
      <c r="J87" s="707">
        <f>H87/DAY(B2)</f>
        <v>2.4133333333331395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'14'!F88</f>
        <v>156926.53</v>
      </c>
      <c r="F88" s="1460">
        <v>156997.01</v>
      </c>
      <c r="G88" s="705">
        <f t="shared" si="7"/>
        <v>70.480000000010477</v>
      </c>
      <c r="H88" s="705">
        <f t="shared" si="8"/>
        <v>70.480000000010477</v>
      </c>
      <c r="I88" s="652"/>
      <c r="J88" s="707">
        <f>H88/DAY(B2)</f>
        <v>4.6986666666673651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'14'!F89</f>
        <v>66438.8</v>
      </c>
      <c r="F89" s="647">
        <v>66482.100000000006</v>
      </c>
      <c r="G89" s="705">
        <f t="shared" si="7"/>
        <v>43.30000000000291</v>
      </c>
      <c r="H89" s="705">
        <f>G89</f>
        <v>43.30000000000291</v>
      </c>
      <c r="I89" s="652"/>
      <c r="J89" s="707">
        <f>H89/DAY(B2)</f>
        <v>2.8866666666668608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'14'!F90</f>
        <v>3391.2</v>
      </c>
      <c r="F90" s="647">
        <v>3398.3</v>
      </c>
      <c r="G90" s="705">
        <f t="shared" si="7"/>
        <v>7.1000000000003638</v>
      </c>
      <c r="H90" s="705">
        <f>G90</f>
        <v>7.1000000000003638</v>
      </c>
      <c r="I90" s="652"/>
      <c r="J90" s="707">
        <f>H90/DAY(B2)</f>
        <v>0.47333333333335759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/>
      <c r="E91" s="627">
        <f>'14'!F91</f>
        <v>28362.57</v>
      </c>
      <c r="F91" s="647">
        <v>28375.08</v>
      </c>
      <c r="G91" s="705">
        <f t="shared" si="7"/>
        <v>12.510000000002037</v>
      </c>
      <c r="H91" s="705">
        <f>G91</f>
        <v>12.510000000002037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203</v>
      </c>
      <c r="B92" s="1201"/>
      <c r="C92" s="1201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484">
        <f>'14'!F93</f>
        <v>248765</v>
      </c>
      <c r="F93" s="478">
        <v>248840</v>
      </c>
      <c r="G93" s="473">
        <f t="shared" ref="G93:G94" si="9">F93-E93</f>
        <v>75</v>
      </c>
      <c r="H93" s="460">
        <f>G93+'14'!H93</f>
        <v>1488</v>
      </c>
      <c r="I93" s="480"/>
      <c r="J93" s="552">
        <f>H93/DAY(B2)</f>
        <v>99.2</v>
      </c>
      <c r="K93" s="429"/>
      <c r="L93" s="377"/>
      <c r="N93" s="718"/>
      <c r="O93" s="725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484">
        <f>'14'!F94</f>
        <v>191047</v>
      </c>
      <c r="F94" s="478">
        <v>191194</v>
      </c>
      <c r="G94" s="473">
        <f t="shared" si="9"/>
        <v>147</v>
      </c>
      <c r="H94" s="460">
        <f>G94+'14'!H94</f>
        <v>1740</v>
      </c>
      <c r="I94" s="480"/>
      <c r="J94" s="552">
        <f>H94/DAY(B2)</f>
        <v>116</v>
      </c>
      <c r="K94" s="380"/>
      <c r="L94" s="377"/>
      <c r="N94" s="718"/>
      <c r="O94" s="725"/>
      <c r="P94" s="382"/>
    </row>
    <row r="95" spans="1:16">
      <c r="A95" s="1594" t="s">
        <v>206</v>
      </c>
      <c r="B95" s="1595"/>
      <c r="C95" s="1596"/>
      <c r="D95" s="523"/>
      <c r="E95" s="484"/>
      <c r="F95" s="478"/>
      <c r="G95" s="473">
        <f>G93+G94</f>
        <v>222</v>
      </c>
      <c r="H95" s="460">
        <f>G95+'14'!H95</f>
        <v>3042</v>
      </c>
      <c r="I95" s="480"/>
      <c r="J95" s="552">
        <f>H95/DAY(B2)</f>
        <v>202.8</v>
      </c>
      <c r="K95" s="380"/>
      <c r="L95" s="377"/>
      <c r="N95" s="718"/>
      <c r="O95" s="725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484">
        <f>'14'!F96</f>
        <v>417281</v>
      </c>
      <c r="F96" s="478">
        <v>417359</v>
      </c>
      <c r="G96" s="473">
        <f t="shared" ref="G96:G101" si="10">F96-E96</f>
        <v>78</v>
      </c>
      <c r="H96" s="460">
        <f>G96+'14'!H96</f>
        <v>1360</v>
      </c>
      <c r="I96" s="480"/>
      <c r="J96" s="552">
        <f>H96/DAY(B2)</f>
        <v>90.666666666666671</v>
      </c>
      <c r="K96" s="380"/>
      <c r="L96" s="377"/>
      <c r="N96" s="718"/>
      <c r="O96" s="725"/>
      <c r="P96" s="382"/>
    </row>
    <row r="97" spans="1:16" ht="27.75">
      <c r="A97" s="1195" t="s">
        <v>208</v>
      </c>
      <c r="B97" s="1196"/>
      <c r="C97" s="1196"/>
      <c r="D97" s="523" t="s">
        <v>142</v>
      </c>
      <c r="E97" s="484">
        <f>'14'!F97</f>
        <v>103464</v>
      </c>
      <c r="F97" s="478">
        <v>103485</v>
      </c>
      <c r="G97" s="473">
        <f t="shared" si="10"/>
        <v>21</v>
      </c>
      <c r="H97" s="460">
        <f>G97+'14'!H97</f>
        <v>322</v>
      </c>
      <c r="I97" s="480"/>
      <c r="J97" s="552">
        <f>H97/DAY(B2)</f>
        <v>21.466666666666665</v>
      </c>
      <c r="K97" s="427"/>
      <c r="L97" s="377"/>
      <c r="N97" s="718"/>
      <c r="O97" s="725"/>
      <c r="P97" s="382"/>
    </row>
    <row r="98" spans="1:16" ht="27.75">
      <c r="A98" s="1195" t="s">
        <v>209</v>
      </c>
      <c r="B98" s="1196"/>
      <c r="C98" s="1196"/>
      <c r="D98" s="523" t="s">
        <v>142</v>
      </c>
      <c r="E98" s="484">
        <f>'14'!F98</f>
        <v>99009</v>
      </c>
      <c r="F98" s="478">
        <v>99035</v>
      </c>
      <c r="G98" s="473">
        <f t="shared" si="10"/>
        <v>26</v>
      </c>
      <c r="H98" s="460">
        <f>G98+'14'!H98</f>
        <v>378</v>
      </c>
      <c r="I98" s="480"/>
      <c r="J98" s="552">
        <f>H98/DAY(B2)</f>
        <v>25.2</v>
      </c>
      <c r="K98" s="432"/>
      <c r="L98" s="377"/>
      <c r="N98" s="718"/>
      <c r="O98" s="725"/>
      <c r="P98" s="382"/>
    </row>
    <row r="99" spans="1:16" ht="27.75">
      <c r="A99" s="1195" t="s">
        <v>210</v>
      </c>
      <c r="B99" s="1196"/>
      <c r="C99" s="1196"/>
      <c r="D99" s="523" t="s">
        <v>142</v>
      </c>
      <c r="E99" s="484">
        <f>'14'!F99</f>
        <v>150836</v>
      </c>
      <c r="F99" s="478">
        <v>150872</v>
      </c>
      <c r="G99" s="473">
        <f t="shared" si="10"/>
        <v>36</v>
      </c>
      <c r="H99" s="460">
        <f>G99+'14'!H99</f>
        <v>467</v>
      </c>
      <c r="I99" s="480"/>
      <c r="J99" s="552">
        <f>H99/DAY(B2)</f>
        <v>31.133333333333333</v>
      </c>
      <c r="K99" s="380"/>
      <c r="L99" s="377"/>
      <c r="N99" s="720"/>
      <c r="O99" s="725"/>
      <c r="P99" s="382"/>
    </row>
    <row r="100" spans="1:16" ht="27.75">
      <c r="A100" s="1195" t="s">
        <v>211</v>
      </c>
      <c r="B100" s="1196"/>
      <c r="C100" s="1196"/>
      <c r="D100" s="523" t="s">
        <v>142</v>
      </c>
      <c r="E100" s="484">
        <f>'14'!F100</f>
        <v>7946</v>
      </c>
      <c r="F100" s="478">
        <v>7957</v>
      </c>
      <c r="G100" s="473">
        <f t="shared" si="10"/>
        <v>11</v>
      </c>
      <c r="H100" s="460">
        <f>G100+'14'!H100</f>
        <v>160</v>
      </c>
      <c r="I100" s="480"/>
      <c r="J100" s="552">
        <f>H100/DAY(B2)</f>
        <v>10.666666666666666</v>
      </c>
      <c r="K100" s="380"/>
      <c r="L100" s="377"/>
      <c r="N100" s="718"/>
      <c r="O100" s="725"/>
      <c r="P100" s="382"/>
    </row>
    <row r="101" spans="1:16" ht="27.75">
      <c r="A101" s="1195" t="s">
        <v>212</v>
      </c>
      <c r="B101" s="1196"/>
      <c r="C101" s="1196"/>
      <c r="D101" s="523" t="s">
        <v>142</v>
      </c>
      <c r="E101" s="484">
        <f>'14'!F101</f>
        <v>5823</v>
      </c>
      <c r="F101" s="478">
        <v>5833</v>
      </c>
      <c r="G101" s="473">
        <f t="shared" si="10"/>
        <v>10</v>
      </c>
      <c r="H101" s="460">
        <f>G101+'14'!H101</f>
        <v>159</v>
      </c>
      <c r="I101" s="480"/>
      <c r="J101" s="552">
        <f>H101/DAY(B2)</f>
        <v>10.6</v>
      </c>
      <c r="K101" s="380"/>
      <c r="L101" s="377"/>
      <c r="N101" s="718"/>
      <c r="O101" s="725"/>
      <c r="P101" s="382"/>
    </row>
    <row r="102" spans="1:16">
      <c r="A102" s="1594" t="s">
        <v>214</v>
      </c>
      <c r="B102" s="1595"/>
      <c r="C102" s="1596"/>
      <c r="D102" s="524"/>
      <c r="E102" s="484"/>
      <c r="F102" s="524"/>
      <c r="G102" s="525">
        <f>SUM(G96:G101)</f>
        <v>182</v>
      </c>
      <c r="H102" s="460">
        <f>G102+'14'!H102</f>
        <v>2846</v>
      </c>
      <c r="I102" s="526"/>
      <c r="J102" s="552">
        <f>H102/DAY(B2)</f>
        <v>189.73333333333332</v>
      </c>
      <c r="K102" s="380"/>
      <c r="L102" s="377"/>
      <c r="N102" s="718"/>
      <c r="O102" s="725"/>
      <c r="P102" s="382"/>
    </row>
    <row r="103" spans="1:16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>
        <v>3</v>
      </c>
      <c r="N103" s="718"/>
      <c r="O103" s="725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4" t="s">
        <v>217</v>
      </c>
      <c r="B105" s="1555"/>
      <c r="C105" s="1194"/>
      <c r="D105" s="622" t="s">
        <v>142</v>
      </c>
      <c r="E105" s="484">
        <f>'14'!F105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4.6253333333332796</v>
      </c>
      <c r="N105" s="718"/>
      <c r="O105" s="725"/>
      <c r="P105" s="382"/>
    </row>
    <row r="106" spans="1:16" s="442" customFormat="1" ht="27.75">
      <c r="A106" s="1554" t="s">
        <v>76</v>
      </c>
      <c r="B106" s="1555"/>
      <c r="C106" s="1194"/>
      <c r="D106" s="622" t="s">
        <v>142</v>
      </c>
      <c r="E106" s="484">
        <f>'14'!F106</f>
        <v>36302</v>
      </c>
      <c r="F106" s="659">
        <v>36310</v>
      </c>
      <c r="G106" s="532">
        <f t="shared" ref="G106:G107" si="11">F106-E106</f>
        <v>8</v>
      </c>
      <c r="H106" s="533">
        <f>SUM(G106+'1'!G77)</f>
        <v>61</v>
      </c>
      <c r="I106" s="532"/>
      <c r="J106" s="558">
        <f>H106/DAY(B2)</f>
        <v>4.0666666666666664</v>
      </c>
      <c r="N106" s="718"/>
      <c r="O106" s="725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484">
        <f>'14'!F107</f>
        <v>19883</v>
      </c>
      <c r="F107" s="659">
        <v>19887</v>
      </c>
      <c r="G107" s="532">
        <f t="shared" si="11"/>
        <v>4</v>
      </c>
      <c r="H107" s="533">
        <f>SUM(G107+'1'!G78)</f>
        <v>118</v>
      </c>
      <c r="I107" s="532"/>
      <c r="J107" s="558">
        <f>H107/DAY(B2)</f>
        <v>7.8666666666666663</v>
      </c>
      <c r="N107" s="718"/>
      <c r="O107" s="725"/>
      <c r="P107" s="382"/>
    </row>
    <row r="108" spans="1:16" s="442" customFormat="1" ht="27.75">
      <c r="A108" s="1556" t="s">
        <v>200</v>
      </c>
      <c r="B108" s="1557"/>
      <c r="C108" s="1194"/>
      <c r="D108" s="622"/>
      <c r="E108" s="484">
        <f>'14'!F108</f>
        <v>0</v>
      </c>
      <c r="F108" s="659"/>
      <c r="G108" s="532">
        <f>SUM(G105:G107)</f>
        <v>12</v>
      </c>
      <c r="H108" s="533">
        <f>SUM(G108+'1'!G79)</f>
        <v>165</v>
      </c>
      <c r="I108" s="532"/>
      <c r="J108" s="558">
        <f>H108/DAY(B2)</f>
        <v>11</v>
      </c>
      <c r="N108" s="718"/>
      <c r="O108" s="725"/>
      <c r="P108" s="382"/>
    </row>
    <row r="109" spans="1:16" s="442" customFormat="1" ht="27.75">
      <c r="A109" s="1560" t="s">
        <v>78</v>
      </c>
      <c r="B109" s="1561"/>
      <c r="C109" s="1194"/>
      <c r="D109" s="622" t="s">
        <v>142</v>
      </c>
      <c r="E109" s="484">
        <f>'14'!F109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4" t="s">
        <v>218</v>
      </c>
      <c r="B110" s="1555"/>
      <c r="C110" s="1194"/>
      <c r="D110" s="622" t="s">
        <v>142</v>
      </c>
      <c r="E110" s="484">
        <f>'14'!F110</f>
        <v>65908</v>
      </c>
      <c r="F110" s="659">
        <v>65973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13.109333333334265</v>
      </c>
      <c r="N110" s="718"/>
      <c r="O110" s="725"/>
      <c r="P110" s="382"/>
    </row>
    <row r="111" spans="1:16" s="442" customFormat="1" ht="27.75">
      <c r="A111" s="1554" t="s">
        <v>219</v>
      </c>
      <c r="B111" s="1555"/>
      <c r="C111" s="1194"/>
      <c r="D111" s="622" t="s">
        <v>142</v>
      </c>
      <c r="E111" s="484">
        <f>'14'!F111</f>
        <v>33568</v>
      </c>
      <c r="F111" s="659">
        <v>33575</v>
      </c>
      <c r="G111" s="532">
        <f t="shared" ref="G111:G112" si="12">F111-E111</f>
        <v>7</v>
      </c>
      <c r="H111" s="533">
        <f>SUM(G111+'1'!G82)</f>
        <v>31.899999999994179</v>
      </c>
      <c r="I111" s="532"/>
      <c r="J111" s="558">
        <f>H111/DAY(B2)</f>
        <v>2.1266666666662788</v>
      </c>
      <c r="N111" s="718"/>
      <c r="O111" s="725"/>
      <c r="P111" s="382"/>
    </row>
    <row r="112" spans="1:16" s="442" customFormat="1" ht="27.75">
      <c r="A112" s="1554" t="s">
        <v>220</v>
      </c>
      <c r="B112" s="1555"/>
      <c r="C112" s="1194"/>
      <c r="D112" s="622" t="s">
        <v>142</v>
      </c>
      <c r="E112" s="484">
        <f>'14'!F112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23.4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194"/>
      <c r="D113" s="622"/>
      <c r="E113" s="484">
        <f>'14'!F113</f>
        <v>0</v>
      </c>
      <c r="F113" s="659"/>
      <c r="G113" s="532">
        <f>SUM(G110:G112)</f>
        <v>72</v>
      </c>
      <c r="H113" s="533">
        <f>SUM(G113+'1'!G84)</f>
        <v>888</v>
      </c>
      <c r="I113" s="532"/>
      <c r="J113" s="558">
        <f>H113/DAY(B2)</f>
        <v>59.2</v>
      </c>
      <c r="N113" s="718"/>
      <c r="O113" s="725"/>
      <c r="P113" s="382"/>
    </row>
    <row r="114" spans="1:16" s="442" customFormat="1" ht="27.75">
      <c r="A114" s="1560" t="s">
        <v>221</v>
      </c>
      <c r="B114" s="1561"/>
      <c r="C114" s="1194"/>
      <c r="D114" s="622"/>
      <c r="E114" s="484">
        <f>'14'!F114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484">
        <f>'14'!F115</f>
        <v>12200</v>
      </c>
      <c r="F115" s="659">
        <v>12214</v>
      </c>
      <c r="G115" s="534">
        <f>F115-E115</f>
        <v>14</v>
      </c>
      <c r="H115" s="533">
        <f>SUM(G115+'1'!G92)</f>
        <v>14</v>
      </c>
      <c r="I115" s="532"/>
      <c r="J115" s="558">
        <f>H115/DAY(B2)</f>
        <v>0.93333333333333335</v>
      </c>
      <c r="N115" s="718"/>
      <c r="O115" s="725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484">
        <f>'14'!F116</f>
        <v>8679</v>
      </c>
      <c r="F116" s="659">
        <v>8687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6.4666666666666668</v>
      </c>
      <c r="N116" s="718"/>
      <c r="O116" s="725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>
        <f>'14'!F117</f>
        <v>0</v>
      </c>
      <c r="F117" s="659">
        <v>0</v>
      </c>
      <c r="G117" s="534">
        <f t="shared" si="13"/>
        <v>0</v>
      </c>
      <c r="H117" s="533">
        <f>SUM(G117+'1'!G94)</f>
        <v>97</v>
      </c>
      <c r="I117" s="532"/>
      <c r="J117" s="558">
        <f>H117/DAY(B2)</f>
        <v>6.4666666666666668</v>
      </c>
      <c r="N117" s="718"/>
      <c r="O117" s="725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22</v>
      </c>
      <c r="H118" s="533">
        <f>SUM(G118+'1'!G96)</f>
        <v>108</v>
      </c>
      <c r="I118" s="534"/>
      <c r="J118" s="558">
        <f>H118/DAY(B2)</f>
        <v>7.2</v>
      </c>
      <c r="N118" s="718"/>
      <c r="O118" s="725"/>
      <c r="P118" s="382"/>
    </row>
    <row r="119" spans="1:16" s="446" customFormat="1" ht="27.75">
      <c r="A119" s="1550" t="s">
        <v>225</v>
      </c>
      <c r="B119" s="1551"/>
      <c r="C119" s="1192"/>
      <c r="D119" s="624" t="s">
        <v>142</v>
      </c>
      <c r="E119" s="536"/>
      <c r="F119" s="660">
        <f>SUM(G19+G93)</f>
        <v>139</v>
      </c>
      <c r="G119" s="536">
        <f>SUM(G19+G93)</f>
        <v>139</v>
      </c>
      <c r="H119" s="533">
        <f>SUM(G119+'1'!G97)</f>
        <v>156</v>
      </c>
      <c r="I119" s="535"/>
      <c r="J119" s="559">
        <f>H119/DAY(B2)</f>
        <v>10.4</v>
      </c>
      <c r="N119" s="718"/>
      <c r="O119" s="725"/>
      <c r="P119" s="382"/>
    </row>
    <row r="120" spans="1:16" s="446" customFormat="1" ht="27.75">
      <c r="A120" s="1550" t="s">
        <v>226</v>
      </c>
      <c r="B120" s="1551"/>
      <c r="C120" s="1192"/>
      <c r="D120" s="624" t="s">
        <v>142</v>
      </c>
      <c r="E120" s="536"/>
      <c r="F120" s="660">
        <f>SUM(G96,G97,G98,G100,G101)</f>
        <v>146</v>
      </c>
      <c r="G120" s="536">
        <f>SUM(G96,G97,G98,G100,G101)</f>
        <v>146</v>
      </c>
      <c r="H120" s="533">
        <f>SUM(G120+'1'!G99)</f>
        <v>196</v>
      </c>
      <c r="I120" s="535"/>
      <c r="J120" s="559">
        <f>H120/DAY(B2)</f>
        <v>13.066666666666666</v>
      </c>
      <c r="N120" s="718"/>
      <c r="O120" s="725"/>
      <c r="P120" s="382"/>
    </row>
    <row r="121" spans="1:16" s="446" customFormat="1" ht="27.75">
      <c r="A121" s="1550" t="s">
        <v>227</v>
      </c>
      <c r="B121" s="1551"/>
      <c r="C121" s="1192"/>
      <c r="D121" s="624" t="s">
        <v>142</v>
      </c>
      <c r="E121" s="534"/>
      <c r="F121" s="659">
        <f>SUM(G113)</f>
        <v>72</v>
      </c>
      <c r="G121" s="534">
        <f>SUM(G113)</f>
        <v>72</v>
      </c>
      <c r="H121" s="533">
        <f>SUM(G121+'1'!G101)</f>
        <v>77</v>
      </c>
      <c r="I121" s="535"/>
      <c r="J121" s="559">
        <f>H121/DAY(B2)</f>
        <v>5.1333333333333337</v>
      </c>
      <c r="N121" s="718"/>
      <c r="O121" s="725"/>
      <c r="P121" s="382"/>
    </row>
    <row r="122" spans="1:16" s="442" customFormat="1" ht="27.75">
      <c r="A122" s="1552"/>
      <c r="B122" s="1553"/>
      <c r="C122" s="1193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5"/>
      <c r="P122" s="382"/>
    </row>
    <row r="123" spans="1:16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95" t="s">
        <v>229</v>
      </c>
      <c r="B124" s="1196"/>
      <c r="C124" s="1196"/>
      <c r="D124" s="523" t="s">
        <v>139</v>
      </c>
      <c r="E124" s="478">
        <f>'14'!F124</f>
        <v>843475.74</v>
      </c>
      <c r="F124" s="478">
        <v>843729.17</v>
      </c>
      <c r="G124" s="473">
        <f>F124-E124</f>
        <v>253.43000000005122</v>
      </c>
      <c r="H124" s="460">
        <f>G124+'14'!H124</f>
        <v>4059.1700000000419</v>
      </c>
      <c r="I124" s="526"/>
      <c r="J124" s="552">
        <f>H124/DAY(B2)</f>
        <v>270.61133333333612</v>
      </c>
      <c r="K124" s="380"/>
      <c r="L124" s="377"/>
      <c r="N124" s="718"/>
      <c r="O124" s="725"/>
      <c r="P124" s="382"/>
    </row>
    <row r="125" spans="1:16" ht="27.75">
      <c r="A125" s="1195" t="s">
        <v>230</v>
      </c>
      <c r="B125" s="1196"/>
      <c r="C125" s="1196"/>
      <c r="D125" s="523" t="s">
        <v>139</v>
      </c>
      <c r="E125" s="626">
        <f>'14'!F125</f>
        <v>73583.399999999994</v>
      </c>
      <c r="F125" s="626">
        <v>73583.399999999994</v>
      </c>
      <c r="G125" s="473">
        <f t="shared" ref="G125:G128" si="14">F125-E125</f>
        <v>0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478">
        <f>'14'!F126</f>
        <v>149850.19</v>
      </c>
      <c r="F126" s="478">
        <v>149972.35</v>
      </c>
      <c r="G126" s="473">
        <f t="shared" si="14"/>
        <v>122.16000000000349</v>
      </c>
      <c r="H126" s="460">
        <f>G126+'14'!H126</f>
        <v>1375.3500000000058</v>
      </c>
      <c r="I126" s="526"/>
      <c r="J126" s="552">
        <f>H126/DAY(B2)</f>
        <v>91.690000000000381</v>
      </c>
      <c r="K126" s="380"/>
      <c r="L126" s="377"/>
      <c r="N126" s="718"/>
      <c r="O126" s="725"/>
      <c r="P126" s="382"/>
    </row>
    <row r="127" spans="1:16" ht="27.75">
      <c r="A127" s="609" t="s">
        <v>232</v>
      </c>
      <c r="B127" s="1196"/>
      <c r="C127" s="1196"/>
      <c r="D127" s="523" t="s">
        <v>139</v>
      </c>
      <c r="E127" s="626">
        <f>'14'!F127</f>
        <v>32605.3</v>
      </c>
      <c r="F127" s="626">
        <v>32643.200000000001</v>
      </c>
      <c r="G127" s="473">
        <f t="shared" si="14"/>
        <v>37.900000000001455</v>
      </c>
      <c r="H127" s="460">
        <f>G127+'14'!H127</f>
        <v>572.20000000000073</v>
      </c>
      <c r="I127" s="526"/>
      <c r="J127" s="552">
        <f>H127/DAY(B2)</f>
        <v>38.146666666666718</v>
      </c>
      <c r="K127" s="380"/>
      <c r="L127" s="377"/>
      <c r="N127" s="718"/>
      <c r="O127" s="725"/>
      <c r="P127" s="382"/>
    </row>
    <row r="128" spans="1:16" ht="27.75">
      <c r="A128" s="609" t="s">
        <v>233</v>
      </c>
      <c r="B128" s="1196"/>
      <c r="C128" s="1196"/>
      <c r="D128" s="523" t="s">
        <v>139</v>
      </c>
      <c r="E128" s="626">
        <f>'14'!F128</f>
        <v>9060.7000000000007</v>
      </c>
      <c r="F128" s="626">
        <v>9066.4</v>
      </c>
      <c r="G128" s="473">
        <f t="shared" si="14"/>
        <v>5.6999999999989086</v>
      </c>
      <c r="H128" s="460">
        <f>G128+'14'!H128</f>
        <v>54.399999999999636</v>
      </c>
      <c r="I128" s="480"/>
      <c r="J128" s="552">
        <f>H128/DAY(B2)</f>
        <v>3.6266666666666425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234</v>
      </c>
      <c r="B129" s="1196"/>
      <c r="C129" s="1196"/>
      <c r="D129" s="523"/>
      <c r="E129" s="478"/>
      <c r="F129" s="478"/>
      <c r="G129" s="473">
        <f>G15-SUM(G124:G128)</f>
        <v>528.62299999979405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95" t="s">
        <v>236</v>
      </c>
      <c r="B131" s="1196"/>
      <c r="C131" s="1196"/>
      <c r="D131" s="523" t="s">
        <v>237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95" t="s">
        <v>238</v>
      </c>
      <c r="B132" s="1196"/>
      <c r="C132" s="1196"/>
      <c r="D132" s="523" t="s">
        <v>237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95" t="s">
        <v>239</v>
      </c>
      <c r="B133" s="1196"/>
      <c r="C133" s="1196"/>
      <c r="D133" s="523" t="s">
        <v>237</v>
      </c>
      <c r="E133" s="484">
        <f>'14'!F133</f>
        <v>40605.550000000003</v>
      </c>
      <c r="F133" s="651">
        <v>40612.1</v>
      </c>
      <c r="G133" s="473">
        <f t="shared" si="15"/>
        <v>6.5499999999956344</v>
      </c>
      <c r="H133" s="460">
        <f>G133+'14'!H133</f>
        <v>159.09999999999854</v>
      </c>
      <c r="I133" s="480"/>
      <c r="J133" s="552">
        <f>H133/DAY(B2)</f>
        <v>10.60666666666657</v>
      </c>
      <c r="N133" s="718"/>
      <c r="O133" s="725"/>
      <c r="P133" s="382"/>
    </row>
    <row r="134" spans="1:16" ht="27.75">
      <c r="A134" s="1195" t="s">
        <v>240</v>
      </c>
      <c r="B134" s="1196"/>
      <c r="C134" s="1196"/>
      <c r="D134" s="523" t="s">
        <v>237</v>
      </c>
      <c r="E134" s="484">
        <f>'14'!F134</f>
        <v>341.29</v>
      </c>
      <c r="F134" s="626">
        <v>365.24</v>
      </c>
      <c r="G134" s="473">
        <f t="shared" si="15"/>
        <v>23.949999999999989</v>
      </c>
      <c r="H134" s="460">
        <f>G134+'14'!H134</f>
        <v>65.240000000000009</v>
      </c>
      <c r="I134" s="480">
        <f>G131+G132+G133+G134</f>
        <v>30.499999999995623</v>
      </c>
      <c r="J134" s="552">
        <f>H134/DAY(B2)</f>
        <v>4.3493333333333339</v>
      </c>
      <c r="N134" s="718"/>
      <c r="O134" s="725"/>
      <c r="P134" s="382"/>
    </row>
    <row r="135" spans="1:16" ht="27.75">
      <c r="A135" s="1195" t="s">
        <v>241</v>
      </c>
      <c r="B135" s="1196"/>
      <c r="C135" s="1196"/>
      <c r="D135" s="523" t="s">
        <v>237</v>
      </c>
      <c r="E135" s="484">
        <f>'14'!F135</f>
        <v>42199.46</v>
      </c>
      <c r="F135" s="626">
        <v>42199.46</v>
      </c>
      <c r="G135" s="473">
        <f t="shared" si="15"/>
        <v>0</v>
      </c>
      <c r="H135" s="460">
        <f>G135+'14'!H135</f>
        <v>227.45999999999913</v>
      </c>
      <c r="I135" s="480"/>
      <c r="J135" s="552">
        <f>H135/DAY(B2)</f>
        <v>15.163999999999941</v>
      </c>
      <c r="N135" s="718"/>
      <c r="O135" s="725"/>
      <c r="P135" s="382"/>
    </row>
    <row r="136" spans="1:16" ht="27.75">
      <c r="A136" s="1195" t="s">
        <v>242</v>
      </c>
      <c r="B136" s="1196"/>
      <c r="C136" s="1196"/>
      <c r="D136" s="523" t="s">
        <v>237</v>
      </c>
      <c r="E136" s="484">
        <f>'14'!F136</f>
        <v>32874</v>
      </c>
      <c r="F136" s="651">
        <v>32874</v>
      </c>
      <c r="G136" s="473">
        <f t="shared" si="15"/>
        <v>0</v>
      </c>
      <c r="H136" s="460">
        <f>G136+'14'!H136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95" t="s">
        <v>243</v>
      </c>
      <c r="B137" s="1196"/>
      <c r="C137" s="1196"/>
      <c r="D137" s="523" t="s">
        <v>237</v>
      </c>
      <c r="E137" s="484">
        <f>'14'!F137</f>
        <v>22988.18</v>
      </c>
      <c r="F137" s="651">
        <v>22997.77</v>
      </c>
      <c r="G137" s="473">
        <f t="shared" si="15"/>
        <v>9.5900000000001455</v>
      </c>
      <c r="H137" s="460">
        <f>G137+'14'!H137</f>
        <v>106.27999999999884</v>
      </c>
      <c r="I137" s="480">
        <f>G135+G136+G137</f>
        <v>9.5900000000001455</v>
      </c>
      <c r="J137" s="552">
        <f>H137/DAY(B2)</f>
        <v>7.0853333333332555</v>
      </c>
      <c r="N137" s="718"/>
      <c r="O137" s="725"/>
      <c r="P137" s="382"/>
    </row>
    <row r="138" spans="1:16" ht="27.75">
      <c r="A138" s="1195" t="s">
        <v>244</v>
      </c>
      <c r="B138" s="1196"/>
      <c r="C138" s="1196"/>
      <c r="D138" s="523" t="s">
        <v>237</v>
      </c>
      <c r="E138" s="484">
        <f>'14'!F138</f>
        <v>25099.16</v>
      </c>
      <c r="F138" s="651">
        <v>25099.16</v>
      </c>
      <c r="G138" s="473">
        <f t="shared" si="15"/>
        <v>0</v>
      </c>
      <c r="H138" s="460">
        <f>G138+'14'!H138</f>
        <v>7.7700000000004366</v>
      </c>
      <c r="I138" s="480"/>
      <c r="J138" s="552">
        <f>H138/DAY(B2)</f>
        <v>0.5180000000000291</v>
      </c>
      <c r="N138" s="718"/>
      <c r="O138" s="725"/>
      <c r="P138" s="382"/>
    </row>
    <row r="139" spans="1:16" ht="27.75">
      <c r="A139" s="1195" t="s">
        <v>245</v>
      </c>
      <c r="B139" s="1196"/>
      <c r="C139" s="1196"/>
      <c r="D139" s="523" t="s">
        <v>237</v>
      </c>
      <c r="E139" s="484">
        <f>'14'!F139</f>
        <v>70516.600000000006</v>
      </c>
      <c r="F139" s="651">
        <v>70516.600000000006</v>
      </c>
      <c r="G139" s="473">
        <f t="shared" si="15"/>
        <v>0</v>
      </c>
      <c r="H139" s="460">
        <f>G139+'14'!H139</f>
        <v>2.9800000000104774</v>
      </c>
      <c r="I139" s="480">
        <f>G138+G139</f>
        <v>0</v>
      </c>
      <c r="J139" s="552">
        <f>H139/DAY(B2)</f>
        <v>0.19866666666736515</v>
      </c>
      <c r="N139" s="718"/>
      <c r="O139" s="725"/>
      <c r="P139" s="382"/>
    </row>
    <row r="140" spans="1:16" ht="27.75">
      <c r="A140" s="1195" t="s">
        <v>246</v>
      </c>
      <c r="B140" s="1196"/>
      <c r="C140" s="1196"/>
      <c r="D140" s="523" t="s">
        <v>237</v>
      </c>
      <c r="E140" s="484">
        <f>'14'!F140</f>
        <v>2247.77</v>
      </c>
      <c r="F140" s="626">
        <v>2247.77</v>
      </c>
      <c r="G140" s="473">
        <f t="shared" si="15"/>
        <v>0</v>
      </c>
      <c r="H140" s="460">
        <f>G140+'14'!H140</f>
        <v>118.59000000000015</v>
      </c>
      <c r="I140" s="542"/>
      <c r="J140" s="552">
        <f>H140/DAY(B2)</f>
        <v>7.9060000000000095</v>
      </c>
      <c r="N140" s="718"/>
      <c r="O140" s="725"/>
      <c r="P140" s="382"/>
    </row>
    <row r="141" spans="1:16" ht="27.75">
      <c r="A141" s="1195" t="s">
        <v>247</v>
      </c>
      <c r="B141" s="1196"/>
      <c r="C141" s="1196"/>
      <c r="D141" s="523" t="s">
        <v>237</v>
      </c>
      <c r="E141" s="484">
        <f>'14'!F141</f>
        <v>4657.72</v>
      </c>
      <c r="F141" s="478">
        <v>4666.72</v>
      </c>
      <c r="G141" s="473">
        <f t="shared" si="15"/>
        <v>9</v>
      </c>
      <c r="H141" s="460">
        <f>G141+'14'!H141</f>
        <v>29.720000000000255</v>
      </c>
      <c r="I141" s="542"/>
      <c r="J141" s="552">
        <f>H141/DAY(B2)</f>
        <v>1.9813333333333503</v>
      </c>
      <c r="N141" s="718"/>
      <c r="O141" s="725"/>
      <c r="P141" s="382"/>
    </row>
    <row r="142" spans="1:16">
      <c r="A142" s="1565" t="s">
        <v>248</v>
      </c>
      <c r="B142" s="1566"/>
      <c r="C142" s="120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5721.8200000000652</v>
      </c>
      <c r="H143" s="460">
        <f>G143+'14'!H143</f>
        <v>84513.920000000144</v>
      </c>
      <c r="I143" s="480"/>
      <c r="J143" s="552">
        <f>H143/DAY(B2)</f>
        <v>5634.2613333333429</v>
      </c>
      <c r="K143" s="380"/>
      <c r="L143" s="377"/>
      <c r="N143" s="718"/>
      <c r="O143" s="725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0.25484746529698837</v>
      </c>
      <c r="H144" s="460">
        <f>G144+'14'!H144</f>
        <v>3.8994811360198849</v>
      </c>
      <c r="I144" s="544"/>
      <c r="J144" s="552">
        <f>H144/DAY(B2)</f>
        <v>0.25996540906799231</v>
      </c>
      <c r="K144" s="380"/>
      <c r="L144" s="377"/>
      <c r="N144" s="718"/>
      <c r="O144" s="725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6384.1700000000274</v>
      </c>
      <c r="H145" s="460">
        <f>G145+'14'!H145</f>
        <v>99154.929999999978</v>
      </c>
      <c r="I145" s="480"/>
      <c r="J145" s="552">
        <f>H145/DAY(B2)</f>
        <v>6610.3286666666654</v>
      </c>
      <c r="K145" s="380"/>
      <c r="L145" s="377"/>
      <c r="N145" s="718"/>
      <c r="O145" s="725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0.28434825676534087</v>
      </c>
      <c r="H146" s="460">
        <f>G146+'14'!H146</f>
        <v>4.5688930797670473</v>
      </c>
      <c r="I146" s="544"/>
      <c r="J146" s="552">
        <f>H146/DAY(B2)</f>
        <v>0.30459287198446983</v>
      </c>
      <c r="K146" s="380"/>
      <c r="L146" s="377"/>
      <c r="N146" s="718"/>
      <c r="O146" s="725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3733.8099999999977</v>
      </c>
      <c r="H147" s="460">
        <f>G147+'14'!H147</f>
        <v>55202.270000000019</v>
      </c>
      <c r="I147" s="545"/>
      <c r="J147" s="552">
        <f>H147/DAY(B2)</f>
        <v>3680.1513333333346</v>
      </c>
      <c r="K147" s="380"/>
      <c r="L147" s="377"/>
      <c r="N147" s="718"/>
      <c r="O147" s="725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0.16630233289417296</v>
      </c>
      <c r="H148" s="460">
        <f>G148+'14'!H148</f>
        <v>2.5487655276813403</v>
      </c>
      <c r="I148" s="545"/>
      <c r="J148" s="552">
        <f>H148/DAY(B2)</f>
        <v>0.16991770184542268</v>
      </c>
      <c r="N148" s="718"/>
      <c r="O148" s="725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1645.3700000000536</v>
      </c>
      <c r="H149" s="460">
        <f>G149+'14'!H149</f>
        <v>24163.23000000001</v>
      </c>
      <c r="I149" s="480"/>
      <c r="J149" s="552">
        <f>H149/DAY(B2)</f>
        <v>1610.8820000000007</v>
      </c>
      <c r="K149" s="381"/>
      <c r="N149" s="718"/>
      <c r="O149" s="725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7.3284090372593785E-2</v>
      </c>
      <c r="H150" s="460">
        <f>G150+'14'!H150</f>
        <v>1.1143077813070477</v>
      </c>
      <c r="I150" s="545"/>
      <c r="J150" s="552">
        <f>H150/DAY(B2)</f>
        <v>7.4287185420469845E-2</v>
      </c>
      <c r="N150" s="718"/>
      <c r="O150" s="725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2556.5700000000688</v>
      </c>
      <c r="H151" s="460">
        <f>G151+'14'!H151</f>
        <v>30244.520000000019</v>
      </c>
      <c r="I151" s="545"/>
      <c r="J151" s="552">
        <f>H151/DAY(B2)</f>
        <v>2016.3013333333345</v>
      </c>
      <c r="N151" s="718"/>
      <c r="O151" s="725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0.11386855657017027</v>
      </c>
      <c r="H152" s="460">
        <f>G152+'14'!H152</f>
        <v>1.3918060839453013</v>
      </c>
      <c r="I152" s="480"/>
      <c r="J152" s="552">
        <f>H152/DAY(B2)</f>
        <v>9.278707226302009E-2</v>
      </c>
      <c r="N152" s="718"/>
      <c r="O152" s="725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1595.3800000000047</v>
      </c>
      <c r="H153" s="460">
        <f>G153+'14'!H153</f>
        <v>23332.600000000006</v>
      </c>
      <c r="I153" s="480"/>
      <c r="J153" s="552">
        <f>H153/DAY(B2)</f>
        <v>1555.5066666666671</v>
      </c>
      <c r="N153" s="718"/>
      <c r="O153" s="725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7.1057556718929604E-2</v>
      </c>
      <c r="H154" s="460">
        <f>G154+'14'!H154</f>
        <v>1.0769987032935686</v>
      </c>
      <c r="I154" s="568"/>
      <c r="J154" s="569">
        <f>H154/DAY(B2)</f>
        <v>7.1799913552904576E-2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261</v>
      </c>
      <c r="B161" s="795"/>
      <c r="C161" s="795"/>
      <c r="D161" s="620" t="s">
        <v>185</v>
      </c>
      <c r="E161" s="522">
        <f>'14'!F161</f>
        <v>41964.81</v>
      </c>
      <c r="F161" s="803">
        <v>42045.26</v>
      </c>
      <c r="G161" s="473">
        <f t="shared" ref="G161:G164" si="16">F161-E161</f>
        <v>80.450000000004366</v>
      </c>
      <c r="N161" s="718"/>
    </row>
    <row r="162" spans="1:14" ht="21.75" customHeight="1">
      <c r="A162" s="794" t="s">
        <v>262</v>
      </c>
      <c r="B162" s="795"/>
      <c r="C162" s="795"/>
      <c r="D162" s="620" t="s">
        <v>185</v>
      </c>
      <c r="E162" s="522">
        <f>'14'!F162</f>
        <v>114233.7</v>
      </c>
      <c r="F162" s="803">
        <v>114691.19</v>
      </c>
      <c r="G162" s="473">
        <f t="shared" si="16"/>
        <v>457.49000000000524</v>
      </c>
      <c r="N162" s="718"/>
    </row>
    <row r="163" spans="1:14" ht="21.75" customHeight="1">
      <c r="A163" s="794" t="s">
        <v>263</v>
      </c>
      <c r="B163" s="795"/>
      <c r="C163" s="795"/>
      <c r="D163" s="620" t="s">
        <v>185</v>
      </c>
      <c r="E163" s="522">
        <f>'14'!F163</f>
        <v>64099.199999999997</v>
      </c>
      <c r="F163" s="803">
        <v>64304.480000000003</v>
      </c>
      <c r="G163" s="473">
        <f t="shared" si="16"/>
        <v>205.28000000000611</v>
      </c>
      <c r="N163" s="718"/>
    </row>
    <row r="164" spans="1:14" ht="21.75" customHeight="1">
      <c r="A164" s="794" t="s">
        <v>264</v>
      </c>
      <c r="B164" s="795"/>
      <c r="C164" s="795"/>
      <c r="D164" s="620" t="s">
        <v>185</v>
      </c>
      <c r="E164" s="522">
        <f>'14'!F164</f>
        <v>6989.21</v>
      </c>
      <c r="F164" s="803">
        <v>6998.14</v>
      </c>
      <c r="G164" s="473">
        <f t="shared" si="16"/>
        <v>8.930000000000291</v>
      </c>
      <c r="N164" s="718"/>
    </row>
    <row r="165" spans="1:14" ht="21.75" customHeight="1">
      <c r="A165" s="796" t="s">
        <v>97</v>
      </c>
      <c r="B165" s="797"/>
      <c r="C165" s="797"/>
      <c r="D165" s="620" t="s">
        <v>185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8"/>
    </row>
    <row r="166" spans="1:14" ht="21.75" customHeight="1">
      <c r="A166" s="796" t="s">
        <v>186</v>
      </c>
      <c r="B166" s="797"/>
      <c r="C166" s="797"/>
      <c r="D166" s="620" t="s">
        <v>185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8"/>
    </row>
    <row r="167" spans="1:14" ht="21.75" customHeight="1">
      <c r="A167" s="1615" t="s">
        <v>98</v>
      </c>
      <c r="B167" s="1615"/>
      <c r="C167" s="1615"/>
      <c r="D167" s="524" t="s">
        <v>185</v>
      </c>
      <c r="E167" s="514">
        <f t="shared" si="18"/>
        <v>175521.13</v>
      </c>
      <c r="F167" s="514">
        <f t="shared" ref="F167:F172" si="19">F64</f>
        <v>175929.51</v>
      </c>
      <c r="G167" s="473">
        <f t="shared" si="17"/>
        <v>408.38000000000466</v>
      </c>
      <c r="N167" s="718"/>
    </row>
    <row r="168" spans="1:14" ht="21.75" customHeight="1">
      <c r="A168" s="1615" t="s">
        <v>99</v>
      </c>
      <c r="B168" s="1615"/>
      <c r="C168" s="1615"/>
      <c r="D168" s="524" t="s">
        <v>185</v>
      </c>
      <c r="E168" s="514">
        <f t="shared" si="18"/>
        <v>175559.63</v>
      </c>
      <c r="F168" s="514">
        <f t="shared" si="19"/>
        <v>175940.77</v>
      </c>
      <c r="G168" s="473">
        <f t="shared" si="17"/>
        <v>381.13999999998487</v>
      </c>
      <c r="N168" s="718"/>
    </row>
    <row r="169" spans="1:14" ht="21.75" customHeight="1">
      <c r="A169" s="1615" t="s">
        <v>100</v>
      </c>
      <c r="B169" s="1615"/>
      <c r="C169" s="1615"/>
      <c r="D169" s="524" t="s">
        <v>185</v>
      </c>
      <c r="E169" s="514">
        <f t="shared" si="18"/>
        <v>73756.42</v>
      </c>
      <c r="F169" s="514">
        <f t="shared" si="19"/>
        <v>74144.679999999993</v>
      </c>
      <c r="G169" s="473">
        <f t="shared" si="17"/>
        <v>388.25999999999476</v>
      </c>
      <c r="N169" s="718"/>
    </row>
    <row r="170" spans="1:14" ht="23.25" customHeight="1">
      <c r="A170" s="1615" t="s">
        <v>101</v>
      </c>
      <c r="B170" s="1615"/>
      <c r="C170" s="1615"/>
      <c r="D170" s="524" t="s">
        <v>185</v>
      </c>
      <c r="E170" s="514">
        <f t="shared" si="18"/>
        <v>271550.77</v>
      </c>
      <c r="F170" s="514">
        <f t="shared" si="19"/>
        <v>272023.17</v>
      </c>
      <c r="G170" s="473">
        <f t="shared" si="17"/>
        <v>472.39999999996508</v>
      </c>
      <c r="N170" s="718"/>
    </row>
    <row r="171" spans="1:14" ht="24" customHeight="1">
      <c r="A171" s="1615" t="s">
        <v>102</v>
      </c>
      <c r="B171" s="1615"/>
      <c r="C171" s="1615"/>
      <c r="D171" s="524" t="s">
        <v>185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185</v>
      </c>
      <c r="E172" s="514">
        <f t="shared" si="18"/>
        <v>91122.4</v>
      </c>
      <c r="F172" s="514">
        <f t="shared" si="19"/>
        <v>91422.25</v>
      </c>
      <c r="G172" s="473">
        <f t="shared" si="17"/>
        <v>299.85000000000582</v>
      </c>
      <c r="N172" s="718"/>
    </row>
    <row r="173" spans="1:14">
      <c r="A173" s="1590" t="s">
        <v>348</v>
      </c>
      <c r="B173" s="1553"/>
      <c r="C173" s="785"/>
      <c r="D173" s="523" t="s">
        <v>185</v>
      </c>
      <c r="E173" s="532">
        <v>189285</v>
      </c>
      <c r="F173" s="532">
        <v>189324</v>
      </c>
      <c r="G173" s="473">
        <f t="shared" si="17"/>
        <v>39</v>
      </c>
      <c r="N173" s="718"/>
    </row>
    <row r="174" spans="1:14">
      <c r="A174" s="1590" t="s">
        <v>349</v>
      </c>
      <c r="B174" s="1553"/>
      <c r="C174" s="785"/>
      <c r="D174" s="523" t="s">
        <v>185</v>
      </c>
      <c r="E174" s="532">
        <v>38246</v>
      </c>
      <c r="F174" s="532">
        <v>38345</v>
      </c>
      <c r="G174" s="473">
        <f t="shared" si="17"/>
        <v>99</v>
      </c>
      <c r="N174" s="718"/>
    </row>
    <row r="175" spans="1:14">
      <c r="N175" s="718"/>
    </row>
    <row r="176" spans="1:14">
      <c r="N176" s="718"/>
    </row>
    <row r="177" spans="1:14" ht="18.75" customHeight="1">
      <c r="N177" s="718"/>
    </row>
    <row r="178" spans="1:14">
      <c r="A178" s="1590" t="s">
        <v>348</v>
      </c>
      <c r="B178" s="1553"/>
      <c r="C178" s="785"/>
      <c r="D178" s="523" t="s">
        <v>185</v>
      </c>
      <c r="E178" s="532">
        <f>'14'!F173</f>
        <v>19067.400000000001</v>
      </c>
      <c r="F178" s="532">
        <v>19072</v>
      </c>
      <c r="G178" s="473">
        <f t="shared" ref="G178:G180" si="20">F178-E178</f>
        <v>4.5999999999985448</v>
      </c>
      <c r="N178" s="718"/>
    </row>
    <row r="179" spans="1:14">
      <c r="A179" s="1590" t="s">
        <v>348</v>
      </c>
      <c r="B179" s="1553"/>
      <c r="C179" s="785"/>
      <c r="D179" s="523" t="s">
        <v>185</v>
      </c>
      <c r="E179" s="532">
        <f>'14'!F174</f>
        <v>70423.7</v>
      </c>
      <c r="F179" s="532">
        <v>70429.3</v>
      </c>
      <c r="G179" s="473">
        <f t="shared" si="20"/>
        <v>5.6000000000058208</v>
      </c>
      <c r="N179" s="718"/>
    </row>
    <row r="180" spans="1:14">
      <c r="A180" s="1590" t="s">
        <v>349</v>
      </c>
      <c r="B180" s="1553"/>
      <c r="C180" s="785"/>
      <c r="D180" s="523" t="s">
        <v>185</v>
      </c>
      <c r="E180" s="532">
        <f>'14'!F175</f>
        <v>27698</v>
      </c>
      <c r="F180" s="532">
        <v>27704.6</v>
      </c>
      <c r="G180" s="473">
        <f t="shared" si="20"/>
        <v>6.5999999999985448</v>
      </c>
      <c r="N180" s="718"/>
    </row>
    <row r="181" spans="1:14" ht="27" customHeight="1">
      <c r="N181" s="718"/>
    </row>
    <row r="182" spans="1:14" ht="27" customHeight="1">
      <c r="N182" s="718"/>
    </row>
    <row r="183" spans="1:14" ht="27" customHeight="1">
      <c r="N183" s="718"/>
    </row>
    <row r="184" spans="1:14" ht="27" customHeight="1">
      <c r="N184" s="718"/>
    </row>
    <row r="185" spans="1:14" ht="27" customHeight="1">
      <c r="N185" s="718"/>
    </row>
    <row r="186" spans="1:14" ht="27" customHeight="1">
      <c r="N186" s="718"/>
    </row>
    <row r="187" spans="1:14" ht="27" customHeight="1">
      <c r="N187" s="718"/>
    </row>
    <row r="188" spans="1:14" ht="27" customHeight="1">
      <c r="N188" s="718"/>
    </row>
    <row r="189" spans="1:14" ht="27" customHeight="1">
      <c r="N189" s="718"/>
    </row>
    <row r="190" spans="1:14" ht="27" customHeight="1">
      <c r="N190" s="718"/>
    </row>
    <row r="191" spans="1:14" ht="27" customHeight="1">
      <c r="N191" s="718"/>
    </row>
    <row r="192" spans="1:14" ht="27" customHeight="1">
      <c r="N192" s="718"/>
    </row>
    <row r="193" spans="14:14" ht="27" customHeight="1">
      <c r="N193" s="718"/>
    </row>
    <row r="194" spans="14:14" ht="27" customHeight="1">
      <c r="N194" s="718"/>
    </row>
    <row r="195" spans="14:14" ht="27" customHeight="1">
      <c r="N195" s="718"/>
    </row>
    <row r="196" spans="14:14" ht="27" customHeight="1">
      <c r="N196" s="718"/>
    </row>
    <row r="197" spans="14:14" ht="27" customHeight="1">
      <c r="N197" s="718"/>
    </row>
    <row r="198" spans="14:14" ht="27" customHeight="1">
      <c r="N198" s="718"/>
    </row>
    <row r="199" spans="14:14" ht="27" customHeight="1">
      <c r="N199" s="718"/>
    </row>
    <row r="200" spans="14:14" ht="27" customHeight="1">
      <c r="N200" s="718"/>
    </row>
    <row r="201" spans="14:14" ht="27" customHeight="1">
      <c r="N201" s="718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90" zoomScaleSheetLayoutView="55" workbookViewId="0">
      <selection activeCell="A110" sqref="A110:XFD110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3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355</v>
      </c>
      <c r="B2" s="1031">
        <v>44393</v>
      </c>
      <c r="C2" s="1210" t="s">
        <v>68</v>
      </c>
      <c r="D2" s="611">
        <v>0.52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724"/>
    </row>
    <row r="3" spans="1:16" s="281" customFormat="1" ht="27">
      <c r="A3" s="570"/>
      <c r="B3" s="614"/>
      <c r="C3" s="1210" t="s">
        <v>118</v>
      </c>
      <c r="D3" s="612">
        <v>30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10" t="s">
        <v>120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'15'!F7</f>
        <v>247258.39</v>
      </c>
      <c r="F7" s="455">
        <v>269331.73</v>
      </c>
      <c r="G7" s="678">
        <f>F7-E7</f>
        <v>22073.339999999967</v>
      </c>
      <c r="H7" s="679">
        <f>G7+'15'!H7</f>
        <v>347378.73000000004</v>
      </c>
      <c r="I7" s="680">
        <f>'1'!I7</f>
        <v>12000</v>
      </c>
      <c r="J7" s="681">
        <f>H7/DAY(B2)</f>
        <v>21711.170625000002</v>
      </c>
      <c r="K7" s="549">
        <f>'1'!E7-'16'!F7</f>
        <v>652621.27</v>
      </c>
      <c r="L7" s="377"/>
      <c r="N7" s="729"/>
      <c r="O7" s="725"/>
      <c r="P7" s="728"/>
    </row>
    <row r="8" spans="1:16" ht="27.75" thickBot="1">
      <c r="A8" s="682" t="s">
        <v>131</v>
      </c>
      <c r="B8" s="683"/>
      <c r="C8" s="684"/>
      <c r="D8" s="685" t="s">
        <v>25</v>
      </c>
      <c r="E8" s="633">
        <f>'15'!F8</f>
        <v>253628.81</v>
      </c>
      <c r="F8" s="475">
        <v>275803.39</v>
      </c>
      <c r="G8" s="689">
        <f>F8-E8</f>
        <v>22174.580000000016</v>
      </c>
      <c r="H8" s="679">
        <f>G8+'15'!H8</f>
        <v>349081.39</v>
      </c>
      <c r="I8" s="686">
        <f>'1'!I8</f>
        <v>12000</v>
      </c>
      <c r="J8" s="681">
        <f>H8/DAY(B2)</f>
        <v>21817.586875000001</v>
      </c>
      <c r="K8" s="549">
        <f>'1'!E8-'16'!F8</f>
        <v>650918.61</v>
      </c>
      <c r="L8" s="425"/>
      <c r="M8" s="440"/>
      <c r="N8" s="718"/>
      <c r="O8" s="725"/>
      <c r="P8" s="382"/>
    </row>
    <row r="9" spans="1:16">
      <c r="A9" s="687" t="s">
        <v>132</v>
      </c>
      <c r="B9" s="688"/>
      <c r="C9" s="688"/>
      <c r="D9" s="637" t="s">
        <v>130</v>
      </c>
      <c r="E9" s="633">
        <f>'15'!F9</f>
        <v>2347719.9</v>
      </c>
      <c r="F9" s="478">
        <v>2369088.7000000002</v>
      </c>
      <c r="G9" s="702">
        <f t="shared" ref="G9:G12" si="0">F9-E9</f>
        <v>21368.800000000279</v>
      </c>
      <c r="H9" s="679">
        <f>G9+'15'!H9</f>
        <v>338086.70000000019</v>
      </c>
      <c r="I9" s="690">
        <f>I7-J7</f>
        <v>-9711.1706250000025</v>
      </c>
      <c r="J9" s="681">
        <f>H9/DAY(B2)</f>
        <v>21130.418750000012</v>
      </c>
      <c r="K9" s="428">
        <f>'1'!E9-'16'!F9</f>
        <v>-338086.70000000019</v>
      </c>
      <c r="L9" s="377"/>
      <c r="N9" s="718"/>
      <c r="O9" s="725"/>
      <c r="P9" s="382"/>
    </row>
    <row r="10" spans="1:16">
      <c r="A10" s="676" t="s">
        <v>133</v>
      </c>
      <c r="B10" s="677"/>
      <c r="C10" s="677"/>
      <c r="D10" s="637" t="s">
        <v>130</v>
      </c>
      <c r="E10" s="633">
        <f>'15'!F10</f>
        <v>2606.5500000000002</v>
      </c>
      <c r="F10" s="478">
        <v>2606.5500000000002</v>
      </c>
      <c r="G10" s="689">
        <f t="shared" si="0"/>
        <v>0</v>
      </c>
      <c r="H10" s="679">
        <f>G10+'15'!H10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G11+'15'!H11</f>
        <v>0</v>
      </c>
      <c r="I11" s="691"/>
      <c r="J11" s="681">
        <f>H11/DAY(B2)</f>
        <v>0</v>
      </c>
      <c r="K11" s="428"/>
      <c r="L11" s="377"/>
      <c r="N11" s="718">
        <f>G8-G10</f>
        <v>22174.580000000016</v>
      </c>
      <c r="O11" s="725"/>
      <c r="P11" s="382"/>
    </row>
    <row r="12" spans="1:16">
      <c r="A12" s="676" t="s">
        <v>135</v>
      </c>
      <c r="B12" s="677"/>
      <c r="C12" s="677"/>
      <c r="D12" s="637" t="s">
        <v>130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G12+'15'!H12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21368.800000000279</v>
      </c>
      <c r="H13" s="679">
        <f>G13+'15'!H13</f>
        <v>317759.70000000019</v>
      </c>
      <c r="I13" s="695">
        <f>G7-G13</f>
        <v>704.53999999968801</v>
      </c>
      <c r="J13" s="681">
        <f>H13/DAY(B2)</f>
        <v>19859.981250000012</v>
      </c>
      <c r="K13" s="428"/>
      <c r="L13" s="377"/>
      <c r="N13" s="718"/>
      <c r="O13" s="725"/>
      <c r="P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1215"/>
      <c r="K14" s="429"/>
      <c r="L14" s="377"/>
      <c r="N14" s="718"/>
      <c r="O14" s="725"/>
      <c r="P14" s="382"/>
    </row>
    <row r="15" spans="1:16">
      <c r="A15" s="792" t="s">
        <v>138</v>
      </c>
      <c r="B15" s="793"/>
      <c r="C15" s="793"/>
      <c r="D15" s="524" t="s">
        <v>139</v>
      </c>
      <c r="E15" s="485">
        <f>'15'!F15</f>
        <v>1716117.6229999999</v>
      </c>
      <c r="F15" s="700">
        <v>1716954.88</v>
      </c>
      <c r="G15" s="664">
        <f>(F15-E15)</f>
        <v>837.25699999998324</v>
      </c>
      <c r="H15" s="486">
        <f>G15+'15'!H15</f>
        <v>13271.879999999888</v>
      </c>
      <c r="I15" s="474">
        <f>'1'!I15</f>
        <v>800</v>
      </c>
      <c r="J15" s="553">
        <f>H15/DAY(B2)</f>
        <v>829.49249999999302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 t="s">
        <v>270</v>
      </c>
      <c r="G16" s="669"/>
      <c r="H16" s="486"/>
      <c r="I16" s="482">
        <f>I15-J15</f>
        <v>-29.492499999993015</v>
      </c>
      <c r="J16" s="553"/>
      <c r="K16" s="428"/>
      <c r="L16" s="377"/>
      <c r="N16" s="718"/>
      <c r="O16" s="725"/>
      <c r="P16" s="382"/>
    </row>
    <row r="17" spans="1:16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4">
        <f>'15'!F18</f>
        <v>12</v>
      </c>
      <c r="F18" s="478">
        <v>11</v>
      </c>
      <c r="G18" s="694">
        <f>F18*10</f>
        <v>110</v>
      </c>
      <c r="H18" s="679">
        <f>G18+'15'!H18</f>
        <v>2130</v>
      </c>
      <c r="I18" s="680">
        <f>'1'!I18</f>
        <v>65</v>
      </c>
      <c r="J18" s="681">
        <f>H18/DAY(B2)</f>
        <v>133.125</v>
      </c>
      <c r="K18" s="428"/>
      <c r="L18" s="377"/>
      <c r="N18" s="718"/>
      <c r="O18" s="725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4">
        <f>'15'!F19</f>
        <v>142417</v>
      </c>
      <c r="F19" s="478">
        <v>142477</v>
      </c>
      <c r="G19" s="689">
        <f t="shared" ref="G19" si="1">F19-E19</f>
        <v>60</v>
      </c>
      <c r="H19" s="679">
        <f>G19+'15'!H19</f>
        <v>982</v>
      </c>
      <c r="I19" s="696"/>
      <c r="J19" s="681">
        <f>H19/DAY(B2)</f>
        <v>61.375</v>
      </c>
      <c r="K19" s="428"/>
      <c r="L19" s="377"/>
      <c r="N19" s="718"/>
      <c r="O19" s="725"/>
      <c r="P19" s="382"/>
    </row>
    <row r="20" spans="1:16">
      <c r="A20" s="692" t="s">
        <v>143</v>
      </c>
      <c r="B20" s="693"/>
      <c r="C20" s="693"/>
      <c r="D20" s="637"/>
      <c r="E20" s="637"/>
      <c r="F20" s="709"/>
      <c r="G20" s="697">
        <f>G18+G19</f>
        <v>170</v>
      </c>
      <c r="H20" s="679">
        <f>G20+'15'!H20</f>
        <v>3112</v>
      </c>
      <c r="I20" s="698">
        <f>I18-J20</f>
        <v>-129.5</v>
      </c>
      <c r="J20" s="681">
        <f>H20/DAY(B2)</f>
        <v>194.5</v>
      </c>
      <c r="K20" s="428"/>
      <c r="L20" s="377"/>
      <c r="N20" s="718"/>
      <c r="O20" s="725"/>
      <c r="P20" s="382"/>
    </row>
    <row r="21" spans="1:16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03" t="s">
        <v>145</v>
      </c>
      <c r="B22" s="589"/>
      <c r="C22" s="589"/>
      <c r="D22" s="523" t="s">
        <v>146</v>
      </c>
      <c r="E22" s="634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03" t="s">
        <v>147</v>
      </c>
      <c r="B23" s="589"/>
      <c r="C23" s="589"/>
      <c r="D23" s="523" t="s">
        <v>146</v>
      </c>
      <c r="E23" s="634">
        <f>'15'!F23</f>
        <v>2000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148</v>
      </c>
      <c r="B24" s="591"/>
      <c r="C24" s="591"/>
      <c r="D24" s="511" t="s">
        <v>146</v>
      </c>
      <c r="E24" s="493">
        <f>'15'!F24</f>
        <v>4970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22174.580000000016</v>
      </c>
      <c r="F27" s="501">
        <v>9</v>
      </c>
      <c r="G27" s="502">
        <f>E27*F27</f>
        <v>199571.22000000015</v>
      </c>
      <c r="H27" s="460">
        <f>G27+'15'!H27</f>
        <v>3141732.5100000002</v>
      </c>
      <c r="I27" s="503"/>
      <c r="J27" s="552">
        <f>H27/DAY(B2)</f>
        <v>196358.28187500002</v>
      </c>
      <c r="K27" s="373"/>
      <c r="L27" s="443"/>
      <c r="N27" s="718"/>
      <c r="O27" s="725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699">
        <f>G15</f>
        <v>837.25699999998324</v>
      </c>
      <c r="F28" s="501">
        <v>52</v>
      </c>
      <c r="G28" s="502">
        <f>E28*F28</f>
        <v>43537.363999999128</v>
      </c>
      <c r="H28" s="460">
        <f>G28+'15'!H28</f>
        <v>690137.75999999419</v>
      </c>
      <c r="I28" s="505"/>
      <c r="J28" s="552">
        <f>H28/DAY(B2)</f>
        <v>43133.609999999637</v>
      </c>
      <c r="K28" s="373"/>
      <c r="L28" s="443"/>
      <c r="N28" s="718"/>
      <c r="O28" s="725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699">
        <f>G19</f>
        <v>60</v>
      </c>
      <c r="F30" s="501">
        <v>146</v>
      </c>
      <c r="G30" s="502">
        <f>E30*F30</f>
        <v>8760</v>
      </c>
      <c r="H30" s="460">
        <f>G30+'15'!H30</f>
        <v>142788</v>
      </c>
      <c r="I30" s="505"/>
      <c r="J30" s="552">
        <f>H30/DAY(B2)</f>
        <v>8924.25</v>
      </c>
      <c r="K30" s="373"/>
      <c r="L30" s="443"/>
      <c r="N30" s="718"/>
      <c r="O30" s="725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699">
        <f>G18</f>
        <v>110</v>
      </c>
      <c r="F31" s="501">
        <v>80</v>
      </c>
      <c r="G31" s="502">
        <f>E31*F31</f>
        <v>8800</v>
      </c>
      <c r="H31" s="460">
        <f>G31+'15'!H31</f>
        <v>164800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260668.58399999927</v>
      </c>
      <c r="H32" s="460">
        <f>G32+'15'!H32</f>
        <v>4139458.269999994</v>
      </c>
      <c r="I32" s="509"/>
      <c r="J32" s="552">
        <f>H32/DAY(B2)</f>
        <v>258716.14187499962</v>
      </c>
      <c r="K32" s="373"/>
      <c r="L32" s="443"/>
      <c r="N32" s="718"/>
      <c r="O32" s="725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5"/>
      <c r="P33" s="382"/>
    </row>
    <row r="34" spans="1:16">
      <c r="A34" s="598" t="s">
        <v>161</v>
      </c>
      <c r="B34" s="1205"/>
      <c r="C34" s="120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162</v>
      </c>
      <c r="B35" s="579"/>
      <c r="C35" s="579"/>
      <c r="D35" s="523" t="s">
        <v>130</v>
      </c>
      <c r="E35" s="510">
        <f>'15'!F35</f>
        <v>1058597.3</v>
      </c>
      <c r="F35" s="510">
        <v>1058597.3</v>
      </c>
      <c r="G35" s="473">
        <f t="shared" ref="G35:G46" si="3">F35-E35</f>
        <v>0</v>
      </c>
      <c r="H35" s="460">
        <f>G35+'15'!H35</f>
        <v>29883.300000000047</v>
      </c>
      <c r="I35" s="455"/>
      <c r="J35" s="552">
        <f>H35/DAY(B2)</f>
        <v>1867.7062500000029</v>
      </c>
      <c r="K35" s="428"/>
      <c r="L35" s="377"/>
      <c r="N35" s="718"/>
      <c r="O35" s="726"/>
      <c r="P35" s="382"/>
    </row>
    <row r="36" spans="1:16">
      <c r="A36" s="578" t="s">
        <v>163</v>
      </c>
      <c r="B36" s="579"/>
      <c r="C36" s="579"/>
      <c r="D36" s="523" t="s">
        <v>130</v>
      </c>
      <c r="E36" s="510">
        <f>'15'!F36</f>
        <v>32955.25</v>
      </c>
      <c r="F36" s="510">
        <v>33958.83</v>
      </c>
      <c r="G36" s="473">
        <f t="shared" si="3"/>
        <v>1003.5800000000017</v>
      </c>
      <c r="H36" s="460">
        <f>G36+'15'!H36</f>
        <v>13497.830000000002</v>
      </c>
      <c r="I36" s="455"/>
      <c r="J36" s="552">
        <f>H36/DAY(B2)</f>
        <v>843.61437500000011</v>
      </c>
      <c r="K36" s="428"/>
      <c r="L36" s="377"/>
      <c r="N36" s="719"/>
      <c r="O36" s="726"/>
      <c r="P36" s="382"/>
    </row>
    <row r="37" spans="1:16">
      <c r="A37" s="578" t="s">
        <v>164</v>
      </c>
      <c r="B37" s="579"/>
      <c r="C37" s="579"/>
      <c r="D37" s="523" t="s">
        <v>130</v>
      </c>
      <c r="E37" s="510">
        <f>'15'!F37</f>
        <v>199902.73</v>
      </c>
      <c r="F37" s="510">
        <v>201544.9</v>
      </c>
      <c r="G37" s="473">
        <f t="shared" si="3"/>
        <v>1642.1699999999837</v>
      </c>
      <c r="H37" s="460">
        <f>G37+'15'!H37</f>
        <v>24974.899999999994</v>
      </c>
      <c r="I37" s="455"/>
      <c r="J37" s="552">
        <f>H37/DAY(B2)</f>
        <v>1560.9312499999996</v>
      </c>
      <c r="K37" s="428"/>
      <c r="L37" s="377"/>
      <c r="N37" s="719"/>
      <c r="O37" s="726"/>
      <c r="P37" s="382"/>
    </row>
    <row r="38" spans="1:16">
      <c r="A38" s="578" t="s">
        <v>165</v>
      </c>
      <c r="B38" s="579"/>
      <c r="C38" s="579"/>
      <c r="D38" s="523" t="s">
        <v>130</v>
      </c>
      <c r="E38" s="510">
        <f>'15'!F38</f>
        <v>222622.23</v>
      </c>
      <c r="F38" s="469">
        <v>224250.57</v>
      </c>
      <c r="G38" s="473">
        <f t="shared" si="3"/>
        <v>1628.3399999999965</v>
      </c>
      <c r="H38" s="460">
        <f>G38+'15'!H38</f>
        <v>25791.570000000007</v>
      </c>
      <c r="I38" s="455"/>
      <c r="J38" s="552">
        <f>H38/DAY(B2)</f>
        <v>1611.9731250000004</v>
      </c>
      <c r="K38" s="428"/>
      <c r="L38" s="377"/>
      <c r="N38" s="718"/>
      <c r="O38" s="725"/>
      <c r="P38" s="382"/>
    </row>
    <row r="39" spans="1:16">
      <c r="A39" s="578" t="s">
        <v>166</v>
      </c>
      <c r="B39" s="579"/>
      <c r="C39" s="579"/>
      <c r="D39" s="523" t="s">
        <v>130</v>
      </c>
      <c r="E39" s="510">
        <f>'15'!F39</f>
        <v>460066.27</v>
      </c>
      <c r="F39" s="510">
        <v>463842.9</v>
      </c>
      <c r="G39" s="473">
        <f t="shared" si="3"/>
        <v>3776.6300000000047</v>
      </c>
      <c r="H39" s="460">
        <f>G39+'15'!H39</f>
        <v>58978.900000000023</v>
      </c>
      <c r="I39" s="455"/>
      <c r="J39" s="552">
        <f>H39/DAY(B2)</f>
        <v>3686.1812500000015</v>
      </c>
      <c r="K39" s="428"/>
      <c r="L39" s="377"/>
      <c r="N39" s="718"/>
      <c r="O39" s="726"/>
      <c r="P39" s="382"/>
    </row>
    <row r="40" spans="1:16">
      <c r="A40" s="599" t="s">
        <v>167</v>
      </c>
      <c r="B40" s="600"/>
      <c r="C40" s="600"/>
      <c r="D40" s="523" t="s">
        <v>130</v>
      </c>
      <c r="E40" s="510">
        <f>'15'!F40</f>
        <v>12883.71</v>
      </c>
      <c r="F40" s="510">
        <v>13152.74</v>
      </c>
      <c r="G40" s="473">
        <f t="shared" si="3"/>
        <v>269.03000000000065</v>
      </c>
      <c r="H40" s="460">
        <f>G40+'15'!H40</f>
        <v>6039.74</v>
      </c>
      <c r="I40" s="455"/>
      <c r="J40" s="552">
        <f>H40/DAY(B2)</f>
        <v>377.48374999999999</v>
      </c>
      <c r="K40" s="429"/>
      <c r="L40" s="377"/>
      <c r="N40" s="718"/>
      <c r="O40" s="725"/>
      <c r="P40" s="382"/>
    </row>
    <row r="41" spans="1:16">
      <c r="A41" s="578" t="s">
        <v>168</v>
      </c>
      <c r="B41" s="579"/>
      <c r="C41" s="579"/>
      <c r="D41" s="523" t="s">
        <v>130</v>
      </c>
      <c r="E41" s="510">
        <f>'15'!F41</f>
        <v>365502.35</v>
      </c>
      <c r="F41" s="510">
        <v>365502.35</v>
      </c>
      <c r="G41" s="473">
        <f t="shared" si="3"/>
        <v>0</v>
      </c>
      <c r="H41" s="460">
        <f>G41+'15'!H41</f>
        <v>35860.349999999977</v>
      </c>
      <c r="I41" s="455"/>
      <c r="J41" s="552">
        <f>H41/DAY(B2)</f>
        <v>2241.2718749999985</v>
      </c>
      <c r="K41" s="428"/>
      <c r="L41" s="377"/>
      <c r="N41" s="718"/>
      <c r="O41" s="727"/>
      <c r="P41" s="721"/>
    </row>
    <row r="42" spans="1:16">
      <c r="A42" s="578" t="s">
        <v>169</v>
      </c>
      <c r="B42" s="579"/>
      <c r="C42" s="579"/>
      <c r="D42" s="523" t="s">
        <v>130</v>
      </c>
      <c r="E42" s="510">
        <f>'15'!F42</f>
        <v>72340.44</v>
      </c>
      <c r="F42" s="510">
        <v>76541.78</v>
      </c>
      <c r="G42" s="473">
        <f>F42-E42</f>
        <v>4201.3399999999965</v>
      </c>
      <c r="H42" s="460">
        <f>G42+'15'!H42</f>
        <v>17342.89</v>
      </c>
      <c r="I42" s="455"/>
      <c r="J42" s="552">
        <f>H42/DAY(B2)</f>
        <v>1083.930625</v>
      </c>
      <c r="K42" s="428"/>
      <c r="L42" s="377"/>
      <c r="N42" s="718"/>
      <c r="O42" s="725"/>
      <c r="P42" s="382"/>
    </row>
    <row r="43" spans="1:16">
      <c r="A43" s="578" t="s">
        <v>170</v>
      </c>
      <c r="B43" s="579"/>
      <c r="C43" s="579"/>
      <c r="D43" s="523" t="s">
        <v>130</v>
      </c>
      <c r="E43" s="510">
        <f>'15'!F43</f>
        <v>1160367.6000000001</v>
      </c>
      <c r="F43" s="510">
        <v>1162991.5</v>
      </c>
      <c r="G43" s="473">
        <f t="shared" si="3"/>
        <v>2623.8999999999069</v>
      </c>
      <c r="H43" s="460">
        <f>G43+'15'!H43</f>
        <v>42539.5</v>
      </c>
      <c r="I43" s="455"/>
      <c r="J43" s="552">
        <f>H43/DAY(B2)</f>
        <v>2658.71875</v>
      </c>
      <c r="K43" s="428"/>
      <c r="L43" s="377"/>
      <c r="N43" s="718"/>
      <c r="O43" s="726"/>
      <c r="P43" s="382"/>
    </row>
    <row r="44" spans="1:16">
      <c r="A44" s="578" t="s">
        <v>171</v>
      </c>
      <c r="B44" s="579"/>
      <c r="C44" s="579"/>
      <c r="D44" s="523" t="s">
        <v>130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172</v>
      </c>
      <c r="B45" s="579"/>
      <c r="C45" s="579"/>
      <c r="D45" s="523" t="s">
        <v>130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173</v>
      </c>
      <c r="B46" s="579"/>
      <c r="C46" s="579"/>
      <c r="D46" s="523" t="s">
        <v>130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15144.989999999891</v>
      </c>
      <c r="H47" s="460">
        <f>G47+'15'!H47</f>
        <v>255710.47000000003</v>
      </c>
      <c r="I47" s="455"/>
      <c r="J47" s="552">
        <f>H47/DAY(B2)</f>
        <v>15981.904375000002</v>
      </c>
      <c r="K47" s="428"/>
      <c r="L47" s="377"/>
      <c r="N47" s="718"/>
      <c r="O47" s="725"/>
      <c r="P47" s="382"/>
    </row>
    <row r="48" spans="1:16">
      <c r="A48" s="598" t="s">
        <v>175</v>
      </c>
      <c r="B48" s="1205"/>
      <c r="C48" s="120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162</v>
      </c>
      <c r="B49" s="601"/>
      <c r="C49" s="601"/>
      <c r="D49" s="523" t="s">
        <v>130</v>
      </c>
      <c r="E49" s="510">
        <f>'15'!F49</f>
        <v>275446.69</v>
      </c>
      <c r="F49" s="510">
        <v>278602.17</v>
      </c>
      <c r="G49" s="473">
        <f t="shared" ref="G49:G58" si="4">F49-E49</f>
        <v>3155.4799999999814</v>
      </c>
      <c r="H49" s="460">
        <f>G49+'15'!H49</f>
        <v>17838.169999999984</v>
      </c>
      <c r="I49" s="455"/>
      <c r="J49" s="552">
        <f>H49/DAY(B2)</f>
        <v>1114.885624999999</v>
      </c>
      <c r="K49" s="428">
        <f>E49+244</f>
        <v>275690.69</v>
      </c>
      <c r="L49" s="377"/>
      <c r="N49" s="718"/>
      <c r="O49" s="725"/>
      <c r="P49" s="382"/>
    </row>
    <row r="50" spans="1:16">
      <c r="A50" s="578" t="s">
        <v>176</v>
      </c>
      <c r="B50" s="601"/>
      <c r="C50" s="601"/>
      <c r="D50" s="523" t="s">
        <v>130</v>
      </c>
      <c r="E50" s="510">
        <f>'15'!F50</f>
        <v>552413.27</v>
      </c>
      <c r="F50" s="1054">
        <v>553515.43000000005</v>
      </c>
      <c r="G50" s="473">
        <f t="shared" si="4"/>
        <v>1102.1600000000326</v>
      </c>
      <c r="H50" s="460">
        <f>G50+'15'!H50</f>
        <v>17759.430000000051</v>
      </c>
      <c r="I50" s="455"/>
      <c r="J50" s="552">
        <f>H50/DAY(B2)</f>
        <v>1109.9643750000032</v>
      </c>
      <c r="K50" s="428"/>
      <c r="L50" s="377"/>
      <c r="N50" s="718"/>
      <c r="O50" s="726"/>
      <c r="P50" s="382"/>
    </row>
    <row r="51" spans="1:16">
      <c r="A51" s="578" t="s">
        <v>164</v>
      </c>
      <c r="B51" s="601"/>
      <c r="C51" s="601"/>
      <c r="D51" s="523" t="s">
        <v>130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8"/>
      <c r="O51" s="725"/>
      <c r="P51" s="382"/>
    </row>
    <row r="52" spans="1:16">
      <c r="A52" s="578" t="s">
        <v>177</v>
      </c>
      <c r="B52" s="601"/>
      <c r="C52" s="601"/>
      <c r="D52" s="523" t="s">
        <v>130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166</v>
      </c>
      <c r="B53" s="601"/>
      <c r="C53" s="601"/>
      <c r="D53" s="523" t="s">
        <v>130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-0.73999999999068677</v>
      </c>
      <c r="I53" s="455"/>
      <c r="J53" s="552">
        <f>H53/DAY(B2)</f>
        <v>-4.6249999999417923E-2</v>
      </c>
      <c r="K53" s="428"/>
      <c r="L53" s="377"/>
      <c r="N53" s="718"/>
      <c r="O53" s="725"/>
      <c r="P53" s="382"/>
    </row>
    <row r="54" spans="1:16">
      <c r="A54" s="578" t="s">
        <v>178</v>
      </c>
      <c r="B54" s="601"/>
      <c r="C54" s="601"/>
      <c r="D54" s="523" t="s">
        <v>130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0.27000000000043656</v>
      </c>
      <c r="I54" s="455"/>
      <c r="J54" s="552">
        <f>H54/DAY(B2)</f>
        <v>1.6875000000027285E-2</v>
      </c>
      <c r="K54" s="428"/>
      <c r="L54" s="377"/>
      <c r="N54" s="718"/>
      <c r="O54" s="725"/>
      <c r="P54" s="382"/>
    </row>
    <row r="55" spans="1:16">
      <c r="A55" s="578" t="s">
        <v>179</v>
      </c>
      <c r="B55" s="601"/>
      <c r="C55" s="601"/>
      <c r="D55" s="523" t="s">
        <v>130</v>
      </c>
      <c r="E55" s="510">
        <f>'15'!F55</f>
        <v>167631.28</v>
      </c>
      <c r="F55" s="653">
        <v>169786.79</v>
      </c>
      <c r="G55" s="652">
        <f t="shared" si="4"/>
        <v>2155.5100000000093</v>
      </c>
      <c r="H55" s="705">
        <f>G55+'15'!H55</f>
        <v>46576.790000000008</v>
      </c>
      <c r="I55" s="706"/>
      <c r="J55" s="707">
        <f>H55/DAY(B2)</f>
        <v>2911.0493750000005</v>
      </c>
      <c r="K55" s="428"/>
      <c r="L55" s="377"/>
      <c r="N55" s="718"/>
      <c r="O55" s="725"/>
      <c r="P55" s="382"/>
    </row>
    <row r="56" spans="1:16">
      <c r="A56" s="578" t="s">
        <v>180</v>
      </c>
      <c r="B56" s="601"/>
      <c r="C56" s="601"/>
      <c r="D56" s="523" t="s">
        <v>181</v>
      </c>
      <c r="E56" s="510">
        <f>'15'!F56</f>
        <v>649189.75</v>
      </c>
      <c r="F56" s="653">
        <v>649199.91</v>
      </c>
      <c r="G56" s="473">
        <f t="shared" si="4"/>
        <v>10.160000000032596</v>
      </c>
      <c r="H56" s="460">
        <f>G56+'15'!H56</f>
        <v>157.9100000000326</v>
      </c>
      <c r="I56" s="455"/>
      <c r="J56" s="552">
        <f>H56/DAY(B2)</f>
        <v>9.8693750000020373</v>
      </c>
      <c r="K56" s="427"/>
      <c r="L56" s="377"/>
      <c r="N56" s="718"/>
      <c r="O56" s="727"/>
      <c r="P56" s="382"/>
    </row>
    <row r="57" spans="1:16">
      <c r="A57" s="578" t="s">
        <v>170</v>
      </c>
      <c r="B57" s="601"/>
      <c r="C57" s="601"/>
      <c r="D57" s="523" t="s">
        <v>130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8"/>
      <c r="O57" s="725"/>
      <c r="P57" s="382"/>
    </row>
    <row r="58" spans="1:16">
      <c r="A58" s="578" t="s">
        <v>182</v>
      </c>
      <c r="B58" s="601"/>
      <c r="C58" s="601"/>
      <c r="D58" s="523" t="s">
        <v>130</v>
      </c>
      <c r="E58" s="510">
        <f>'15'!F58</f>
        <v>56608.81</v>
      </c>
      <c r="F58" s="653">
        <v>56816.19</v>
      </c>
      <c r="G58" s="473">
        <f t="shared" si="4"/>
        <v>207.38000000000466</v>
      </c>
      <c r="H58" s="460">
        <f>G58+'15'!H58</f>
        <v>2636.1900000000023</v>
      </c>
      <c r="I58" s="455"/>
      <c r="J58" s="552">
        <f>H58/DAY(B2)</f>
        <v>164.76187500000015</v>
      </c>
      <c r="K58" s="428"/>
      <c r="L58" s="377"/>
      <c r="N58" s="718"/>
      <c r="O58" s="725"/>
      <c r="P58" s="382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6630.6200000000354</v>
      </c>
      <c r="H59" s="460">
        <f>G59+'15'!H59</f>
        <v>84968.290000000023</v>
      </c>
      <c r="I59" s="455">
        <f>G7-G60</f>
        <v>297.73000000003958</v>
      </c>
      <c r="J59" s="552">
        <f>H59/DAY(B2)</f>
        <v>5310.5181250000014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21775.609999999928</v>
      </c>
      <c r="H60" s="460">
        <f>G60+'15'!H60</f>
        <v>347582.09000000014</v>
      </c>
      <c r="I60" s="455">
        <f>G13-G60</f>
        <v>-406.80999999964843</v>
      </c>
      <c r="J60" s="552">
        <f>H60/DAY(B2)</f>
        <v>21723.880625000009</v>
      </c>
      <c r="K60" s="428"/>
      <c r="L60" s="377"/>
      <c r="N60" s="718"/>
      <c r="O60" s="725"/>
      <c r="P60" s="382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185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8"/>
      <c r="O62" s="725"/>
      <c r="P62" s="382"/>
    </row>
    <row r="63" spans="1:16">
      <c r="A63" s="603" t="s">
        <v>186</v>
      </c>
      <c r="B63" s="604"/>
      <c r="C63" s="604"/>
      <c r="D63" s="511" t="s">
        <v>185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1227">
        <f>'15'!F64</f>
        <v>175929.51</v>
      </c>
      <c r="F64" s="626">
        <v>176328.81</v>
      </c>
      <c r="G64" s="773">
        <f t="shared" si="5"/>
        <v>399.29999999998836</v>
      </c>
      <c r="H64" s="460">
        <f>G64+'15'!H64</f>
        <v>6306.8099999999977</v>
      </c>
      <c r="I64" s="480"/>
      <c r="J64" s="552">
        <f>H64/DAY(B2)</f>
        <v>394.17562499999985</v>
      </c>
      <c r="K64" s="428"/>
      <c r="L64" s="377"/>
      <c r="N64" s="718"/>
      <c r="O64" s="725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514">
        <f>'15'!F65</f>
        <v>175940.77</v>
      </c>
      <c r="F65" s="651">
        <v>176333.07</v>
      </c>
      <c r="G65" s="473">
        <f t="shared" si="5"/>
        <v>392.30000000001746</v>
      </c>
      <c r="H65" s="460">
        <f>G65+'15'!H65</f>
        <v>6031.070000000007</v>
      </c>
      <c r="I65" s="489"/>
      <c r="J65" s="552">
        <f>H65/DAY(B2)</f>
        <v>376.94187500000044</v>
      </c>
      <c r="K65" s="428"/>
      <c r="L65" s="377"/>
      <c r="N65" s="718"/>
      <c r="O65" s="726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514">
        <f>'15'!F66</f>
        <v>74144.679999999993</v>
      </c>
      <c r="F66" s="478">
        <v>74541.64</v>
      </c>
      <c r="G66" s="473">
        <f t="shared" si="5"/>
        <v>396.9600000000064</v>
      </c>
      <c r="H66" s="460">
        <f>G66+'15'!H66</f>
        <v>6571.6399999999994</v>
      </c>
      <c r="I66" s="480"/>
      <c r="J66" s="552">
        <f>H66/DAY(B2)</f>
        <v>410.72749999999996</v>
      </c>
      <c r="K66" s="428"/>
      <c r="L66" s="377"/>
      <c r="N66" s="718"/>
      <c r="O66" s="725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514">
        <f>'15'!F67</f>
        <v>272023.17</v>
      </c>
      <c r="F67" s="478">
        <v>272493.05</v>
      </c>
      <c r="G67" s="473">
        <f t="shared" si="5"/>
        <v>469.88000000000466</v>
      </c>
      <c r="H67" s="460">
        <f>G67+'15'!H67</f>
        <v>7534.0499999999884</v>
      </c>
      <c r="I67" s="489"/>
      <c r="J67" s="552">
        <f>H67/DAY(B2)</f>
        <v>470.87812499999927</v>
      </c>
      <c r="K67" s="429"/>
      <c r="L67" s="377"/>
      <c r="N67" s="718"/>
      <c r="O67" s="725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514">
        <f>'15'!F69</f>
        <v>91422.25</v>
      </c>
      <c r="F69" s="478">
        <v>91726.12</v>
      </c>
      <c r="G69" s="473">
        <f t="shared" si="5"/>
        <v>303.86999999999534</v>
      </c>
      <c r="H69" s="460">
        <f>G69+'15'!H69</f>
        <v>4211.1199999999953</v>
      </c>
      <c r="I69" s="516"/>
      <c r="J69" s="552">
        <f>H69/DAY(B2)</f>
        <v>263.19499999999971</v>
      </c>
      <c r="K69" s="431"/>
      <c r="L69" s="377"/>
      <c r="N69" s="718"/>
      <c r="O69" s="725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7"/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5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19">
        <f>'15'!F72</f>
        <v>856404</v>
      </c>
      <c r="F72" s="654">
        <v>856417</v>
      </c>
      <c r="G72" s="473">
        <f t="shared" ref="G72:G84" si="6">F72-E72</f>
        <v>13</v>
      </c>
      <c r="H72" s="460">
        <f>G72+'15'!H72</f>
        <v>182</v>
      </c>
      <c r="I72" s="480"/>
      <c r="J72" s="552">
        <f>H72/DAY(B2)</f>
        <v>11.375</v>
      </c>
      <c r="K72" s="431"/>
      <c r="L72" s="377"/>
      <c r="N72" s="718"/>
      <c r="O72" s="725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19">
        <f>'15'!F73</f>
        <v>885992</v>
      </c>
      <c r="F73" s="655">
        <v>885994</v>
      </c>
      <c r="G73" s="652">
        <f t="shared" si="6"/>
        <v>2</v>
      </c>
      <c r="H73" s="460">
        <f>G73+'15'!H73</f>
        <v>160</v>
      </c>
      <c r="I73" s="480"/>
      <c r="J73" s="552">
        <f>H73/DAY(B2)</f>
        <v>10</v>
      </c>
      <c r="K73" s="430"/>
      <c r="L73" s="377"/>
      <c r="N73" s="718"/>
      <c r="O73" s="725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19">
        <f>'15'!F74</f>
        <v>88680</v>
      </c>
      <c r="F74" s="655">
        <v>88714.6</v>
      </c>
      <c r="G74" s="473">
        <f t="shared" si="6"/>
        <v>34.600000000005821</v>
      </c>
      <c r="H74" s="460">
        <f>G74+'15'!H74</f>
        <v>52.600000000005821</v>
      </c>
      <c r="I74" s="480"/>
      <c r="J74" s="552">
        <f>H74/DAY(B2)</f>
        <v>3.2875000000003638</v>
      </c>
      <c r="K74" s="431"/>
      <c r="L74" s="377"/>
      <c r="N74" s="718"/>
      <c r="O74" s="725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19">
        <f>'15'!F75</f>
        <v>18343.7</v>
      </c>
      <c r="F75" s="655">
        <v>18527.59</v>
      </c>
      <c r="G75" s="473">
        <f t="shared" si="6"/>
        <v>183.88999999999942</v>
      </c>
      <c r="H75" s="460">
        <f>G75+'15'!H75</f>
        <v>2456.59</v>
      </c>
      <c r="I75" s="480"/>
      <c r="J75" s="552">
        <f>H75/DAY(B2)</f>
        <v>153.53687500000001</v>
      </c>
      <c r="K75" s="430"/>
      <c r="L75" s="377"/>
      <c r="N75" s="718"/>
      <c r="O75" s="725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19">
        <f>'15'!F76</f>
        <v>10318.15</v>
      </c>
      <c r="F76" s="655">
        <v>10388.01</v>
      </c>
      <c r="G76" s="473">
        <f t="shared" si="6"/>
        <v>69.860000000000582</v>
      </c>
      <c r="H76" s="460">
        <f>G76+'15'!H76</f>
        <v>2169.0100000000002</v>
      </c>
      <c r="I76" s="505"/>
      <c r="J76" s="552">
        <f>H76/DAY(B2)</f>
        <v>135.56312500000001</v>
      </c>
      <c r="K76" s="430"/>
      <c r="L76" s="377"/>
      <c r="N76" s="718"/>
      <c r="O76" s="725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19">
        <f>'15'!F77</f>
        <v>705280</v>
      </c>
      <c r="F77" s="655">
        <v>705350</v>
      </c>
      <c r="G77" s="652">
        <f t="shared" si="6"/>
        <v>70</v>
      </c>
      <c r="H77" s="460">
        <f>G77+'15'!H77</f>
        <v>976</v>
      </c>
      <c r="I77" s="505"/>
      <c r="J77" s="552">
        <f>H77/DAY(B2)</f>
        <v>61</v>
      </c>
      <c r="K77" s="430"/>
      <c r="L77" s="377"/>
      <c r="N77" s="718"/>
      <c r="O77" s="725"/>
      <c r="P77" s="382"/>
    </row>
    <row r="78" spans="1:16" ht="27.75">
      <c r="A78" s="1206" t="s">
        <v>195</v>
      </c>
      <c r="B78" s="1202"/>
      <c r="C78" s="1202"/>
      <c r="D78" s="523" t="s">
        <v>185</v>
      </c>
      <c r="E78" s="519">
        <f>'15'!F78</f>
        <v>676894</v>
      </c>
      <c r="F78" s="656">
        <v>676996</v>
      </c>
      <c r="G78" s="473">
        <f t="shared" si="6"/>
        <v>102</v>
      </c>
      <c r="H78" s="460">
        <f>G78+'15'!H78</f>
        <v>1582</v>
      </c>
      <c r="I78" s="505"/>
      <c r="J78" s="552">
        <f>H78/DAY(B2)</f>
        <v>98.875</v>
      </c>
      <c r="K78" s="430"/>
      <c r="L78" s="377"/>
      <c r="N78" s="718"/>
      <c r="O78" s="725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19">
        <f>'15'!F79</f>
        <v>837747</v>
      </c>
      <c r="F79" s="656">
        <v>837913</v>
      </c>
      <c r="G79" s="473">
        <f t="shared" si="6"/>
        <v>166</v>
      </c>
      <c r="H79" s="460">
        <f>G79+'15'!H79</f>
        <v>1759</v>
      </c>
      <c r="I79" s="505"/>
      <c r="J79" s="552">
        <f>H79/DAY(B2)</f>
        <v>109.9375</v>
      </c>
      <c r="K79" s="430"/>
      <c r="L79" s="377"/>
      <c r="N79" s="718"/>
      <c r="O79" s="725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19">
        <f>'15'!F80</f>
        <v>545325.48</v>
      </c>
      <c r="F80" s="1307">
        <v>545786.76</v>
      </c>
      <c r="G80" s="473">
        <f t="shared" si="6"/>
        <v>461.28000000002794</v>
      </c>
      <c r="H80" s="460">
        <f>G80+'15'!H80</f>
        <v>3395.7600000000093</v>
      </c>
      <c r="I80" s="505"/>
      <c r="J80" s="552">
        <f>H80/DAY(B2)</f>
        <v>212.23500000000058</v>
      </c>
      <c r="K80" s="430"/>
      <c r="L80" s="377"/>
      <c r="N80" s="718"/>
      <c r="O80" s="725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19">
        <f>'15'!F81</f>
        <v>645815.61</v>
      </c>
      <c r="F81" s="655">
        <v>645997.07999999996</v>
      </c>
      <c r="G81" s="473">
        <f t="shared" si="6"/>
        <v>181.46999999997206</v>
      </c>
      <c r="H81" s="460">
        <f>G81+'15'!H81</f>
        <v>3012.0799999999581</v>
      </c>
      <c r="I81" s="505"/>
      <c r="J81" s="552">
        <f>H81/DAY(B2)</f>
        <v>188.25499999999738</v>
      </c>
      <c r="K81" s="430"/>
      <c r="L81" s="377"/>
      <c r="N81" s="718"/>
      <c r="O81" s="725"/>
      <c r="P81" s="382"/>
    </row>
    <row r="82" spans="1:16" s="441" customFormat="1" ht="27.75">
      <c r="A82" s="1622" t="s">
        <v>92</v>
      </c>
      <c r="B82" s="1623"/>
      <c r="C82" s="1624"/>
      <c r="D82" s="651" t="s">
        <v>130</v>
      </c>
      <c r="E82" s="520">
        <f>'15'!F82</f>
        <v>108998.19</v>
      </c>
      <c r="F82" s="651">
        <v>109014.88</v>
      </c>
      <c r="G82" s="652">
        <f t="shared" si="6"/>
        <v>16.690000000002328</v>
      </c>
      <c r="H82" s="705">
        <f>G82+'15'!H82</f>
        <v>333.88000000000466</v>
      </c>
      <c r="I82" s="705"/>
      <c r="J82" s="707">
        <f>H82/DAY(B2)</f>
        <v>20.867500000000291</v>
      </c>
      <c r="K82" s="1311"/>
      <c r="L82" s="1103"/>
      <c r="N82" s="718"/>
      <c r="O82" s="727"/>
      <c r="P82" s="713"/>
    </row>
    <row r="83" spans="1:16" ht="27.75">
      <c r="A83" s="1546" t="s">
        <v>198</v>
      </c>
      <c r="B83" s="1547"/>
      <c r="C83" s="1548"/>
      <c r="D83" s="620" t="s">
        <v>130</v>
      </c>
      <c r="E83" s="519">
        <f>'15'!F83</f>
        <v>31137</v>
      </c>
      <c r="F83" s="511">
        <v>31313</v>
      </c>
      <c r="G83" s="473">
        <f t="shared" si="6"/>
        <v>176</v>
      </c>
      <c r="H83" s="460">
        <f>G83+'15'!H83</f>
        <v>3762</v>
      </c>
      <c r="I83" s="481"/>
      <c r="J83" s="552">
        <f>H83/DAY(B2)</f>
        <v>235.125</v>
      </c>
      <c r="K83" s="429"/>
      <c r="L83" s="377"/>
      <c r="N83" s="718"/>
      <c r="O83" s="725"/>
      <c r="P83" s="382"/>
    </row>
    <row r="84" spans="1:16">
      <c r="A84" s="1209" t="s">
        <v>199</v>
      </c>
      <c r="B84" s="571"/>
      <c r="C84" s="571"/>
      <c r="D84" s="478" t="s">
        <v>130</v>
      </c>
      <c r="E84" s="519">
        <f>'15'!F84</f>
        <v>535125</v>
      </c>
      <c r="F84" s="627">
        <v>535859</v>
      </c>
      <c r="G84" s="473">
        <f t="shared" si="6"/>
        <v>734</v>
      </c>
      <c r="H84" s="460">
        <f>G84+'15'!H84</f>
        <v>12779</v>
      </c>
      <c r="I84" s="481"/>
      <c r="J84" s="552">
        <f>H84/DAY(B2)</f>
        <v>798.6875</v>
      </c>
      <c r="K84" s="380"/>
      <c r="L84" s="377"/>
      <c r="N84" s="718"/>
      <c r="O84" s="725"/>
      <c r="P84" s="382"/>
    </row>
    <row r="85" spans="1:16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2210.7900000000081</v>
      </c>
      <c r="H85" s="460">
        <f>G85+'15'!H85</f>
        <v>35493.919999999976</v>
      </c>
      <c r="I85" s="481"/>
      <c r="J85" s="552">
        <f>H85/DAY(B2)</f>
        <v>2218.3699999999985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'15'!F86</f>
        <v>462201.64</v>
      </c>
      <c r="F86" s="1460">
        <v>462211.88</v>
      </c>
      <c r="G86" s="705">
        <f t="shared" ref="G86:G91" si="7">F86-E86</f>
        <v>10.239999999990687</v>
      </c>
      <c r="H86" s="705">
        <f t="shared" ref="H86:H88" si="8">G86</f>
        <v>10.239999999990687</v>
      </c>
      <c r="I86" s="652"/>
      <c r="J86" s="707">
        <f>H86/DAY(B2)</f>
        <v>0.63999999999941792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'15'!F87</f>
        <v>82498</v>
      </c>
      <c r="F87" s="647">
        <v>82523.399999999994</v>
      </c>
      <c r="G87" s="705">
        <f t="shared" si="7"/>
        <v>25.399999999994179</v>
      </c>
      <c r="H87" s="705">
        <f t="shared" si="8"/>
        <v>25.399999999994179</v>
      </c>
      <c r="I87" s="652"/>
      <c r="J87" s="707">
        <f>H87/DAY(B2)</f>
        <v>1.5874999999996362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'15'!F88</f>
        <v>156997.01</v>
      </c>
      <c r="F88" s="1460">
        <v>157124.66</v>
      </c>
      <c r="G88" s="705">
        <f t="shared" si="7"/>
        <v>127.64999999999418</v>
      </c>
      <c r="H88" s="705">
        <f t="shared" si="8"/>
        <v>127.64999999999418</v>
      </c>
      <c r="I88" s="652"/>
      <c r="J88" s="707">
        <f>H88/DAY(B2)</f>
        <v>7.9781249999996362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'15'!F89</f>
        <v>66482.100000000006</v>
      </c>
      <c r="F89" s="647">
        <v>66543.199999999997</v>
      </c>
      <c r="G89" s="705">
        <f t="shared" si="7"/>
        <v>61.099999999991269</v>
      </c>
      <c r="H89" s="705">
        <f>G89</f>
        <v>61.099999999991269</v>
      </c>
      <c r="I89" s="652"/>
      <c r="J89" s="707">
        <f>H89/DAY(B2)</f>
        <v>3.8187499999994543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'15'!F90</f>
        <v>3398.3</v>
      </c>
      <c r="F90" s="647">
        <v>3404.9</v>
      </c>
      <c r="G90" s="705">
        <f t="shared" si="7"/>
        <v>6.5999999999999091</v>
      </c>
      <c r="H90" s="705">
        <f>G90</f>
        <v>6.5999999999999091</v>
      </c>
      <c r="I90" s="652"/>
      <c r="J90" s="707">
        <f>H90/DAY(B2)</f>
        <v>0.41249999999999432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/>
      <c r="E91" s="627">
        <f>'15'!F91</f>
        <v>28375.08</v>
      </c>
      <c r="F91" s="647">
        <v>28384.31</v>
      </c>
      <c r="G91" s="705">
        <f t="shared" si="7"/>
        <v>9.2299999999995634</v>
      </c>
      <c r="H91" s="705">
        <f>G91</f>
        <v>9.2299999999995634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203</v>
      </c>
      <c r="B92" s="1207"/>
      <c r="C92" s="1207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484">
        <f>'15'!F93</f>
        <v>248840</v>
      </c>
      <c r="F93" s="478">
        <v>248943</v>
      </c>
      <c r="G93" s="473">
        <f t="shared" ref="G93:G94" si="9">F93-E93</f>
        <v>103</v>
      </c>
      <c r="H93" s="460">
        <f>G93+'15'!H93</f>
        <v>1591</v>
      </c>
      <c r="I93" s="480"/>
      <c r="J93" s="552">
        <f>H93/DAY(B2)</f>
        <v>99.4375</v>
      </c>
      <c r="K93" s="429"/>
      <c r="L93" s="377"/>
      <c r="N93" s="718"/>
      <c r="O93" s="725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484">
        <f>'15'!F94</f>
        <v>191194</v>
      </c>
      <c r="F94" s="478">
        <v>191265</v>
      </c>
      <c r="G94" s="473">
        <f t="shared" si="9"/>
        <v>71</v>
      </c>
      <c r="H94" s="460">
        <f>G94+'15'!H94</f>
        <v>1811</v>
      </c>
      <c r="I94" s="480"/>
      <c r="J94" s="552">
        <f>H94/DAY(B2)</f>
        <v>113.1875</v>
      </c>
      <c r="K94" s="380"/>
      <c r="L94" s="377"/>
      <c r="N94" s="718"/>
      <c r="O94" s="725"/>
      <c r="P94" s="382"/>
    </row>
    <row r="95" spans="1:16">
      <c r="A95" s="1594" t="s">
        <v>206</v>
      </c>
      <c r="B95" s="1595"/>
      <c r="C95" s="1596"/>
      <c r="D95" s="523"/>
      <c r="E95" s="484">
        <f>'15'!F95</f>
        <v>0</v>
      </c>
      <c r="F95" s="478">
        <v>0</v>
      </c>
      <c r="G95" s="473">
        <f>G93+G94</f>
        <v>174</v>
      </c>
      <c r="H95" s="460">
        <f>G95+'15'!H95</f>
        <v>3216</v>
      </c>
      <c r="I95" s="480"/>
      <c r="J95" s="552">
        <f>H95/DAY(B2)</f>
        <v>201</v>
      </c>
      <c r="K95" s="380"/>
      <c r="L95" s="377"/>
      <c r="N95" s="718"/>
      <c r="O95" s="725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484">
        <f>'15'!F96</f>
        <v>417359</v>
      </c>
      <c r="F96" s="478">
        <v>417455</v>
      </c>
      <c r="G96" s="473">
        <f t="shared" ref="G96:G101" si="10">F96-E96</f>
        <v>96</v>
      </c>
      <c r="H96" s="460">
        <f>G96+'15'!H96</f>
        <v>1456</v>
      </c>
      <c r="I96" s="480"/>
      <c r="J96" s="552">
        <f>H96/DAY(B2)</f>
        <v>91</v>
      </c>
      <c r="K96" s="380"/>
      <c r="L96" s="377"/>
      <c r="N96" s="718"/>
      <c r="O96" s="725"/>
      <c r="P96" s="382"/>
    </row>
    <row r="97" spans="1:16" ht="27.75">
      <c r="A97" s="1203" t="s">
        <v>208</v>
      </c>
      <c r="B97" s="1204"/>
      <c r="C97" s="1204"/>
      <c r="D97" s="523" t="s">
        <v>142</v>
      </c>
      <c r="E97" s="484">
        <f>'15'!F97</f>
        <v>103485</v>
      </c>
      <c r="F97" s="478">
        <v>103511</v>
      </c>
      <c r="G97" s="473">
        <f t="shared" si="10"/>
        <v>26</v>
      </c>
      <c r="H97" s="460">
        <f>G97+'15'!H97</f>
        <v>348</v>
      </c>
      <c r="I97" s="480"/>
      <c r="J97" s="552">
        <f>H97/DAY(B2)</f>
        <v>21.75</v>
      </c>
      <c r="K97" s="427"/>
      <c r="L97" s="377"/>
      <c r="N97" s="718"/>
      <c r="O97" s="725"/>
      <c r="P97" s="382"/>
    </row>
    <row r="98" spans="1:16" ht="27.75">
      <c r="A98" s="1203" t="s">
        <v>209</v>
      </c>
      <c r="B98" s="1204"/>
      <c r="C98" s="1204"/>
      <c r="D98" s="523" t="s">
        <v>142</v>
      </c>
      <c r="E98" s="484">
        <f>'15'!F98</f>
        <v>99035</v>
      </c>
      <c r="F98" s="478">
        <v>99060</v>
      </c>
      <c r="G98" s="473">
        <f t="shared" si="10"/>
        <v>25</v>
      </c>
      <c r="H98" s="460">
        <f>G98+'15'!H98</f>
        <v>403</v>
      </c>
      <c r="I98" s="480"/>
      <c r="J98" s="552">
        <f>H98/DAY(B2)</f>
        <v>25.1875</v>
      </c>
      <c r="K98" s="432"/>
      <c r="L98" s="377"/>
      <c r="N98" s="718">
        <v>96617</v>
      </c>
      <c r="O98" s="725"/>
      <c r="P98" s="382"/>
    </row>
    <row r="99" spans="1:16" ht="27.75">
      <c r="A99" s="1203" t="s">
        <v>210</v>
      </c>
      <c r="B99" s="1204"/>
      <c r="C99" s="1204"/>
      <c r="D99" s="523" t="s">
        <v>142</v>
      </c>
      <c r="E99" s="484">
        <f>'15'!F99</f>
        <v>150872</v>
      </c>
      <c r="F99" s="478">
        <v>150885</v>
      </c>
      <c r="G99" s="473">
        <f t="shared" si="10"/>
        <v>13</v>
      </c>
      <c r="H99" s="460">
        <f>G99+'15'!H99</f>
        <v>480</v>
      </c>
      <c r="I99" s="480"/>
      <c r="J99" s="552">
        <f>H99/DAY(B2)</f>
        <v>30</v>
      </c>
      <c r="K99" s="380"/>
      <c r="L99" s="377"/>
      <c r="N99" s="720"/>
      <c r="O99" s="725"/>
      <c r="P99" s="382"/>
    </row>
    <row r="100" spans="1:16" ht="27.75">
      <c r="A100" s="1203" t="s">
        <v>211</v>
      </c>
      <c r="B100" s="1204"/>
      <c r="C100" s="1204"/>
      <c r="D100" s="523" t="s">
        <v>142</v>
      </c>
      <c r="E100" s="484">
        <f>'15'!F100</f>
        <v>7957</v>
      </c>
      <c r="F100" s="478">
        <v>7966</v>
      </c>
      <c r="G100" s="473">
        <f t="shared" si="10"/>
        <v>9</v>
      </c>
      <c r="H100" s="460">
        <f>G100+'15'!H100</f>
        <v>169</v>
      </c>
      <c r="I100" s="480"/>
      <c r="J100" s="552">
        <f>H100/DAY(B2)</f>
        <v>10.5625</v>
      </c>
      <c r="K100" s="380"/>
      <c r="L100" s="377"/>
      <c r="N100" s="718"/>
      <c r="O100" s="725"/>
      <c r="P100" s="382"/>
    </row>
    <row r="101" spans="1:16" ht="27.75">
      <c r="A101" s="1203" t="s">
        <v>212</v>
      </c>
      <c r="B101" s="1204"/>
      <c r="C101" s="1204"/>
      <c r="D101" s="523" t="s">
        <v>142</v>
      </c>
      <c r="E101" s="484">
        <f>'15'!F101</f>
        <v>5833</v>
      </c>
      <c r="F101" s="478">
        <v>5841</v>
      </c>
      <c r="G101" s="473">
        <f t="shared" si="10"/>
        <v>8</v>
      </c>
      <c r="H101" s="460">
        <f>G101+'15'!H101</f>
        <v>167</v>
      </c>
      <c r="I101" s="480"/>
      <c r="J101" s="552">
        <f>H101/DAY(B2)</f>
        <v>10.4375</v>
      </c>
      <c r="K101" s="380"/>
      <c r="L101" s="377"/>
      <c r="N101" s="718"/>
      <c r="O101" s="725"/>
      <c r="P101" s="382"/>
    </row>
    <row r="102" spans="1:16">
      <c r="A102" s="1594" t="s">
        <v>214</v>
      </c>
      <c r="B102" s="1595"/>
      <c r="C102" s="1596"/>
      <c r="D102" s="524"/>
      <c r="E102" s="484"/>
      <c r="F102" s="524"/>
      <c r="G102" s="525">
        <f>SUM(G96:G101)</f>
        <v>177</v>
      </c>
      <c r="H102" s="460">
        <f>G102+'15'!H102</f>
        <v>3023</v>
      </c>
      <c r="I102" s="526"/>
      <c r="J102" s="552">
        <f>H102/DAY(B2)</f>
        <v>188.9375</v>
      </c>
      <c r="K102" s="380"/>
      <c r="L102" s="377"/>
      <c r="N102" s="718"/>
      <c r="O102" s="725"/>
      <c r="P102" s="382"/>
    </row>
    <row r="103" spans="1:16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4" t="s">
        <v>217</v>
      </c>
      <c r="B105" s="1555"/>
      <c r="C105" s="1208"/>
      <c r="D105" s="622" t="s">
        <v>142</v>
      </c>
      <c r="E105" s="484">
        <f>'15'!F105</f>
        <v>7767</v>
      </c>
      <c r="F105" s="1310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4.33624999999995</v>
      </c>
      <c r="N105" s="718"/>
      <c r="O105" s="725"/>
      <c r="P105" s="382"/>
    </row>
    <row r="106" spans="1:16" s="442" customFormat="1" ht="27.75">
      <c r="A106" s="1554" t="s">
        <v>76</v>
      </c>
      <c r="B106" s="1555"/>
      <c r="C106" s="1208"/>
      <c r="D106" s="622" t="s">
        <v>142</v>
      </c>
      <c r="E106" s="484">
        <f>'15'!F106</f>
        <v>36310</v>
      </c>
      <c r="F106" s="659">
        <v>36321</v>
      </c>
      <c r="G106" s="532">
        <f t="shared" ref="G106:G107" si="11">F106-E106</f>
        <v>11</v>
      </c>
      <c r="H106" s="533">
        <f>SUM(G106+'1'!G77)</f>
        <v>64</v>
      </c>
      <c r="I106" s="532"/>
      <c r="J106" s="558">
        <f>H106/DAY(B2)</f>
        <v>4</v>
      </c>
      <c r="N106" s="718"/>
      <c r="O106" s="725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484">
        <f>'15'!F107</f>
        <v>19887</v>
      </c>
      <c r="F107" s="659">
        <v>19893</v>
      </c>
      <c r="G107" s="532">
        <f t="shared" si="11"/>
        <v>6</v>
      </c>
      <c r="H107" s="533">
        <f>SUM(G107+'1'!G78)</f>
        <v>120</v>
      </c>
      <c r="I107" s="532"/>
      <c r="J107" s="558">
        <f>H107/DAY(B2)</f>
        <v>7.5</v>
      </c>
      <c r="N107" s="718"/>
      <c r="O107" s="725"/>
      <c r="P107" s="382"/>
    </row>
    <row r="108" spans="1:16" s="442" customFormat="1" ht="27.75">
      <c r="A108" s="1556" t="s">
        <v>200</v>
      </c>
      <c r="B108" s="1557"/>
      <c r="C108" s="1208"/>
      <c r="D108" s="622"/>
      <c r="E108" s="484">
        <f>'15'!F108</f>
        <v>0</v>
      </c>
      <c r="F108" s="659"/>
      <c r="G108" s="532">
        <f>SUM(G105:G107)</f>
        <v>17</v>
      </c>
      <c r="H108" s="533">
        <f>SUM(G108+'1'!G79)</f>
        <v>170</v>
      </c>
      <c r="I108" s="532"/>
      <c r="J108" s="558">
        <f>H108/DAY(B2)</f>
        <v>10.625</v>
      </c>
      <c r="N108" s="718"/>
      <c r="O108" s="725"/>
      <c r="P108" s="382"/>
    </row>
    <row r="109" spans="1:16" s="442" customFormat="1" ht="27.75">
      <c r="A109" s="1560" t="s">
        <v>78</v>
      </c>
      <c r="B109" s="1561"/>
      <c r="C109" s="1208"/>
      <c r="D109" s="622" t="s">
        <v>142</v>
      </c>
      <c r="E109" s="484">
        <f>'15'!F109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4" t="s">
        <v>218</v>
      </c>
      <c r="B110" s="1555"/>
      <c r="C110" s="1208"/>
      <c r="D110" s="622" t="s">
        <v>142</v>
      </c>
      <c r="E110" s="484">
        <f>'15'!F110</f>
        <v>65973</v>
      </c>
      <c r="F110" s="659">
        <v>66039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12.352500000000873</v>
      </c>
      <c r="N110" s="718"/>
      <c r="O110" s="725"/>
      <c r="P110" s="382"/>
    </row>
    <row r="111" spans="1:16" s="442" customFormat="1" ht="27.75">
      <c r="A111" s="1554" t="s">
        <v>219</v>
      </c>
      <c r="B111" s="1555"/>
      <c r="C111" s="1208"/>
      <c r="D111" s="622" t="s">
        <v>142</v>
      </c>
      <c r="E111" s="484">
        <f>'15'!F111</f>
        <v>33575</v>
      </c>
      <c r="F111" s="659">
        <v>33603</v>
      </c>
      <c r="G111" s="532">
        <f t="shared" ref="G111:G112" si="12">F111-E111</f>
        <v>28</v>
      </c>
      <c r="H111" s="533">
        <f>SUM(G111+'1'!G82)</f>
        <v>52.899999999994179</v>
      </c>
      <c r="I111" s="532"/>
      <c r="J111" s="558">
        <f>H111/DAY(B2)</f>
        <v>3.3062499999996362</v>
      </c>
      <c r="N111" s="718"/>
      <c r="O111" s="725"/>
      <c r="P111" s="382"/>
    </row>
    <row r="112" spans="1:16" s="442" customFormat="1" ht="27.75">
      <c r="A112" s="1554" t="s">
        <v>220</v>
      </c>
      <c r="B112" s="1555"/>
      <c r="C112" s="1208"/>
      <c r="D112" s="622" t="s">
        <v>142</v>
      </c>
      <c r="E112" s="484">
        <f>'15'!F112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21.9375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208"/>
      <c r="D113" s="622"/>
      <c r="E113" s="484">
        <f>'15'!F113</f>
        <v>0</v>
      </c>
      <c r="F113" s="659"/>
      <c r="G113" s="532">
        <f>SUM(G110:G112)</f>
        <v>94</v>
      </c>
      <c r="H113" s="533">
        <f>SUM(G113+'1'!G84)</f>
        <v>910</v>
      </c>
      <c r="I113" s="532"/>
      <c r="J113" s="558">
        <f>H113/DAY(B2)</f>
        <v>56.875</v>
      </c>
      <c r="N113" s="718"/>
      <c r="O113" s="725"/>
      <c r="P113" s="382"/>
    </row>
    <row r="114" spans="1:16" s="442" customFormat="1" ht="27.75">
      <c r="A114" s="1560" t="s">
        <v>221</v>
      </c>
      <c r="B114" s="1561"/>
      <c r="C114" s="1208"/>
      <c r="D114" s="622"/>
      <c r="E114" s="484">
        <f>'15'!F114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484">
        <f>'15'!F115</f>
        <v>12214</v>
      </c>
      <c r="F115" s="659">
        <v>12226</v>
      </c>
      <c r="G115" s="534">
        <f>F115-E115</f>
        <v>12</v>
      </c>
      <c r="H115" s="533">
        <f>SUM(G115+'1'!G92)</f>
        <v>12</v>
      </c>
      <c r="I115" s="532"/>
      <c r="J115" s="558">
        <f>H115/DAY(B2)</f>
        <v>0.75</v>
      </c>
      <c r="N115" s="718"/>
      <c r="O115" s="725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484">
        <f>'15'!F116</f>
        <v>8687</v>
      </c>
      <c r="F116" s="659">
        <v>8694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6</v>
      </c>
      <c r="N116" s="718"/>
      <c r="O116" s="725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6.0625</v>
      </c>
      <c r="N117" s="718"/>
      <c r="O117" s="725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19</v>
      </c>
      <c r="H118" s="533">
        <f>SUM(G118+'1'!G96)</f>
        <v>105</v>
      </c>
      <c r="I118" s="534"/>
      <c r="J118" s="558">
        <f>H118/DAY(B2)</f>
        <v>6.5625</v>
      </c>
      <c r="N118" s="718"/>
      <c r="O118" s="725"/>
      <c r="P118" s="382"/>
    </row>
    <row r="119" spans="1:16" s="446" customFormat="1" ht="27.75">
      <c r="A119" s="1550" t="s">
        <v>225</v>
      </c>
      <c r="B119" s="1551"/>
      <c r="C119" s="1211"/>
      <c r="D119" s="624" t="s">
        <v>142</v>
      </c>
      <c r="E119" s="536"/>
      <c r="F119" s="660">
        <f>SUM(G19+G93)</f>
        <v>163</v>
      </c>
      <c r="G119" s="536">
        <f>SUM(G19+G93)</f>
        <v>163</v>
      </c>
      <c r="H119" s="533">
        <f>SUM(G119+'1'!G97)</f>
        <v>180</v>
      </c>
      <c r="I119" s="535"/>
      <c r="J119" s="559">
        <f>H119/DAY(B2)</f>
        <v>11.25</v>
      </c>
      <c r="N119" s="718"/>
      <c r="O119" s="725"/>
      <c r="P119" s="382"/>
    </row>
    <row r="120" spans="1:16" s="446" customFormat="1" ht="27.75">
      <c r="A120" s="1550" t="s">
        <v>226</v>
      </c>
      <c r="B120" s="1551"/>
      <c r="C120" s="1211"/>
      <c r="D120" s="624" t="s">
        <v>142</v>
      </c>
      <c r="E120" s="536"/>
      <c r="F120" s="660">
        <f>SUM(G96,G97,G98,G100,G101)</f>
        <v>164</v>
      </c>
      <c r="G120" s="536">
        <f>SUM(G96,G97,G98,G100,G101)</f>
        <v>164</v>
      </c>
      <c r="H120" s="533">
        <f>SUM(G120+'1'!G99)</f>
        <v>214</v>
      </c>
      <c r="I120" s="535"/>
      <c r="J120" s="559">
        <f>H120/DAY(B2)</f>
        <v>13.375</v>
      </c>
      <c r="N120" s="718"/>
      <c r="O120" s="725"/>
      <c r="P120" s="382"/>
    </row>
    <row r="121" spans="1:16" s="446" customFormat="1" ht="27.75">
      <c r="A121" s="1550" t="s">
        <v>227</v>
      </c>
      <c r="B121" s="1551"/>
      <c r="C121" s="1211"/>
      <c r="D121" s="624" t="s">
        <v>142</v>
      </c>
      <c r="E121" s="534"/>
      <c r="F121" s="659">
        <f>SUM(G113)</f>
        <v>94</v>
      </c>
      <c r="G121" s="534">
        <f>SUM(G113)</f>
        <v>94</v>
      </c>
      <c r="H121" s="533">
        <f>SUM(G121+'1'!G101)</f>
        <v>99</v>
      </c>
      <c r="I121" s="535"/>
      <c r="J121" s="559">
        <f>H121/DAY(B2)</f>
        <v>6.1875</v>
      </c>
      <c r="N121" s="718"/>
      <c r="O121" s="725"/>
      <c r="P121" s="382"/>
    </row>
    <row r="122" spans="1:16" s="442" customFormat="1" ht="27.75">
      <c r="A122" s="1552"/>
      <c r="B122" s="1553"/>
      <c r="C122" s="1212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5"/>
      <c r="P122" s="382"/>
    </row>
    <row r="123" spans="1:16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03" t="s">
        <v>229</v>
      </c>
      <c r="B124" s="1204"/>
      <c r="C124" s="1204"/>
      <c r="D124" s="523" t="s">
        <v>139</v>
      </c>
      <c r="E124" s="478">
        <f>'15'!F124</f>
        <v>843729.17</v>
      </c>
      <c r="F124" s="478">
        <v>843994.51</v>
      </c>
      <c r="G124" s="473">
        <f t="shared" ref="G124:G128" si="14">F124-E124</f>
        <v>265.3399999999674</v>
      </c>
      <c r="H124" s="460">
        <f>G124+'15'!H124</f>
        <v>4324.5100000000093</v>
      </c>
      <c r="I124" s="526"/>
      <c r="J124" s="552">
        <f>H124/DAY(B2)</f>
        <v>270.28187500000058</v>
      </c>
      <c r="K124" s="380"/>
      <c r="L124" s="377"/>
      <c r="N124" s="718"/>
      <c r="O124" s="725"/>
      <c r="P124" s="382"/>
    </row>
    <row r="125" spans="1:16" ht="27.75">
      <c r="A125" s="1203" t="s">
        <v>230</v>
      </c>
      <c r="B125" s="1204"/>
      <c r="C125" s="1204"/>
      <c r="D125" s="523" t="s">
        <v>139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478">
        <f>'15'!F126</f>
        <v>149972.35</v>
      </c>
      <c r="F126" s="478">
        <v>150071.53</v>
      </c>
      <c r="G126" s="473">
        <f t="shared" si="14"/>
        <v>99.179999999993015</v>
      </c>
      <c r="H126" s="460">
        <f>G126+'15'!H126</f>
        <v>1474.5299999999988</v>
      </c>
      <c r="I126" s="526"/>
      <c r="J126" s="552">
        <f>H126/DAY(B2)</f>
        <v>92.158124999999927</v>
      </c>
      <c r="K126" s="380"/>
      <c r="L126" s="377"/>
      <c r="N126" s="718"/>
      <c r="O126" s="725"/>
      <c r="P126" s="382"/>
    </row>
    <row r="127" spans="1:16" ht="27.75">
      <c r="A127" s="609" t="s">
        <v>232</v>
      </c>
      <c r="B127" s="1204"/>
      <c r="C127" s="1204"/>
      <c r="D127" s="523" t="s">
        <v>139</v>
      </c>
      <c r="E127" s="626">
        <f>'15'!F127</f>
        <v>32643.200000000001</v>
      </c>
      <c r="F127" s="626">
        <v>32684.2</v>
      </c>
      <c r="G127" s="473">
        <f t="shared" si="14"/>
        <v>41</v>
      </c>
      <c r="H127" s="460">
        <f>G127+'15'!H127</f>
        <v>613.20000000000073</v>
      </c>
      <c r="I127" s="526"/>
      <c r="J127" s="552">
        <f>H127/DAY(B2)</f>
        <v>38.325000000000045</v>
      </c>
      <c r="K127" s="380"/>
      <c r="L127" s="377"/>
      <c r="N127" s="718"/>
      <c r="O127" s="725"/>
      <c r="P127" s="382"/>
    </row>
    <row r="128" spans="1:16" ht="27.75">
      <c r="A128" s="609" t="s">
        <v>233</v>
      </c>
      <c r="B128" s="1204"/>
      <c r="C128" s="1204"/>
      <c r="D128" s="523" t="s">
        <v>139</v>
      </c>
      <c r="E128" s="626">
        <f>'15'!F128</f>
        <v>9066.4</v>
      </c>
      <c r="F128" s="626">
        <v>9073.4</v>
      </c>
      <c r="G128" s="473">
        <f t="shared" si="14"/>
        <v>7</v>
      </c>
      <c r="H128" s="460">
        <f>G128+'15'!H128</f>
        <v>61.399999999999636</v>
      </c>
      <c r="I128" s="480"/>
      <c r="J128" s="552">
        <f>H128/DAY(B2)</f>
        <v>3.8374999999999773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234</v>
      </c>
      <c r="B129" s="1204"/>
      <c r="C129" s="1204"/>
      <c r="D129" s="523"/>
      <c r="E129" s="478"/>
      <c r="F129" s="478"/>
      <c r="G129" s="473">
        <f>G15-SUM(G124:G128)</f>
        <v>424.73700000002282</v>
      </c>
      <c r="H129" s="460">
        <f>G129+'15'!H129</f>
        <v>424.73700000002282</v>
      </c>
      <c r="I129" s="480"/>
      <c r="J129" s="552">
        <f>H129/DAY(B2)</f>
        <v>26.546062500001426</v>
      </c>
      <c r="K129" s="364"/>
      <c r="L129" s="292"/>
      <c r="N129" s="718"/>
      <c r="O129" s="725"/>
      <c r="P129" s="382"/>
    </row>
    <row r="130" spans="1:16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03" t="s">
        <v>236</v>
      </c>
      <c r="B131" s="1204"/>
      <c r="C131" s="1204"/>
      <c r="D131" s="523" t="s">
        <v>237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03" t="s">
        <v>238</v>
      </c>
      <c r="B132" s="1204"/>
      <c r="C132" s="1204"/>
      <c r="D132" s="523" t="s">
        <v>237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03" t="s">
        <v>239</v>
      </c>
      <c r="B133" s="1204"/>
      <c r="C133" s="1204"/>
      <c r="D133" s="523" t="s">
        <v>237</v>
      </c>
      <c r="E133" s="541">
        <f>'15'!F133</f>
        <v>40612.1</v>
      </c>
      <c r="F133" s="651">
        <v>40612.1</v>
      </c>
      <c r="G133" s="473">
        <f t="shared" si="15"/>
        <v>0</v>
      </c>
      <c r="H133" s="460">
        <f>G133+'15'!H133</f>
        <v>159.09999999999854</v>
      </c>
      <c r="I133" s="480"/>
      <c r="J133" s="552">
        <f>H133/DAY(B2)</f>
        <v>9.9437499999999091</v>
      </c>
      <c r="N133" s="718"/>
      <c r="O133" s="725"/>
      <c r="P133" s="382"/>
    </row>
    <row r="134" spans="1:16" ht="27.75">
      <c r="A134" s="1203" t="s">
        <v>240</v>
      </c>
      <c r="B134" s="1204"/>
      <c r="C134" s="1204"/>
      <c r="D134" s="523" t="s">
        <v>237</v>
      </c>
      <c r="E134" s="701">
        <f>'15'!F134</f>
        <v>365.24</v>
      </c>
      <c r="F134" s="626">
        <v>384.48</v>
      </c>
      <c r="G134" s="473">
        <f t="shared" si="15"/>
        <v>19.240000000000009</v>
      </c>
      <c r="H134" s="460">
        <f>G134+'15'!H134</f>
        <v>84.480000000000018</v>
      </c>
      <c r="I134" s="480">
        <f>G131+G132+G133+G134</f>
        <v>19.240000000000009</v>
      </c>
      <c r="J134" s="552">
        <f>H134/DAY(B2)</f>
        <v>5.2800000000000011</v>
      </c>
      <c r="N134" s="718"/>
      <c r="O134" s="725"/>
      <c r="P134" s="382"/>
    </row>
    <row r="135" spans="1:16" ht="27.75">
      <c r="A135" s="1203" t="s">
        <v>241</v>
      </c>
      <c r="B135" s="1204"/>
      <c r="C135" s="1204"/>
      <c r="D135" s="523" t="s">
        <v>237</v>
      </c>
      <c r="E135" s="701">
        <f>'15'!F135</f>
        <v>42199.46</v>
      </c>
      <c r="F135" s="626">
        <v>42209</v>
      </c>
      <c r="G135" s="473">
        <f t="shared" si="15"/>
        <v>9.5400000000008731</v>
      </c>
      <c r="H135" s="460">
        <f>G135+'15'!H135</f>
        <v>237</v>
      </c>
      <c r="I135" s="480"/>
      <c r="J135" s="552">
        <f>H135/DAY(B2)</f>
        <v>14.8125</v>
      </c>
      <c r="N135" s="718"/>
      <c r="O135" s="725"/>
      <c r="P135" s="382"/>
    </row>
    <row r="136" spans="1:16" ht="27.75">
      <c r="A136" s="1203" t="s">
        <v>242</v>
      </c>
      <c r="B136" s="1204"/>
      <c r="C136" s="1204"/>
      <c r="D136" s="523" t="s">
        <v>237</v>
      </c>
      <c r="E136" s="541">
        <f>'15'!F136</f>
        <v>32874</v>
      </c>
      <c r="F136" s="651">
        <v>32874</v>
      </c>
      <c r="G136" s="473">
        <f t="shared" si="15"/>
        <v>0</v>
      </c>
      <c r="H136" s="460">
        <f>G136+'15'!H136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03" t="s">
        <v>243</v>
      </c>
      <c r="B137" s="1204"/>
      <c r="C137" s="1204"/>
      <c r="D137" s="523" t="s">
        <v>237</v>
      </c>
      <c r="E137" s="541">
        <f>'15'!F137</f>
        <v>22997.77</v>
      </c>
      <c r="F137" s="651">
        <v>23005.79</v>
      </c>
      <c r="G137" s="473">
        <f t="shared" si="15"/>
        <v>8.0200000000004366</v>
      </c>
      <c r="H137" s="460">
        <f>G137+'15'!H137</f>
        <v>114.29999999999927</v>
      </c>
      <c r="I137" s="480">
        <f>G135+G136+G137</f>
        <v>17.56000000000131</v>
      </c>
      <c r="J137" s="552">
        <f>H137/DAY(B2)</f>
        <v>7.1437499999999545</v>
      </c>
      <c r="N137" s="718"/>
      <c r="O137" s="725"/>
      <c r="P137" s="382"/>
    </row>
    <row r="138" spans="1:16" ht="27.75">
      <c r="A138" s="1203" t="s">
        <v>244</v>
      </c>
      <c r="B138" s="1204"/>
      <c r="C138" s="1204"/>
      <c r="D138" s="523" t="s">
        <v>237</v>
      </c>
      <c r="E138" s="541">
        <f>'15'!F138</f>
        <v>25099.16</v>
      </c>
      <c r="F138" s="651">
        <v>25099.16</v>
      </c>
      <c r="G138" s="473">
        <f t="shared" si="15"/>
        <v>0</v>
      </c>
      <c r="H138" s="460">
        <f>G138+'15'!H138</f>
        <v>7.7700000000004366</v>
      </c>
      <c r="I138" s="480"/>
      <c r="J138" s="552">
        <f>H138/DAY(B2)</f>
        <v>0.48562500000002728</v>
      </c>
      <c r="N138" s="718"/>
      <c r="O138" s="725"/>
      <c r="P138" s="382"/>
    </row>
    <row r="139" spans="1:16" ht="27.75">
      <c r="A139" s="1203" t="s">
        <v>245</v>
      </c>
      <c r="B139" s="1204"/>
      <c r="C139" s="1204"/>
      <c r="D139" s="523" t="s">
        <v>237</v>
      </c>
      <c r="E139" s="541">
        <f>'15'!F139</f>
        <v>70516.600000000006</v>
      </c>
      <c r="F139" s="651">
        <v>70516.600000000006</v>
      </c>
      <c r="G139" s="473">
        <f t="shared" si="15"/>
        <v>0</v>
      </c>
      <c r="H139" s="460">
        <f>G139+'15'!H139</f>
        <v>2.9800000000104774</v>
      </c>
      <c r="I139" s="480">
        <f>G138+G139</f>
        <v>0</v>
      </c>
      <c r="J139" s="552">
        <f>H139/DAY(B2)</f>
        <v>0.18625000000065484</v>
      </c>
      <c r="N139" s="718"/>
      <c r="O139" s="725"/>
      <c r="P139" s="382"/>
    </row>
    <row r="140" spans="1:16" ht="27.75">
      <c r="A140" s="1203" t="s">
        <v>246</v>
      </c>
      <c r="B140" s="1204"/>
      <c r="C140" s="1204"/>
      <c r="D140" s="523" t="s">
        <v>237</v>
      </c>
      <c r="E140" s="701">
        <f>'15'!F140</f>
        <v>2247.77</v>
      </c>
      <c r="F140" s="626">
        <v>2247.77</v>
      </c>
      <c r="G140" s="473">
        <f t="shared" si="15"/>
        <v>0</v>
      </c>
      <c r="H140" s="460">
        <f>G140+'15'!H140</f>
        <v>118.59000000000015</v>
      </c>
      <c r="I140" s="542"/>
      <c r="J140" s="552">
        <f>H140/DAY(B2)</f>
        <v>7.4118750000000091</v>
      </c>
      <c r="N140" s="718"/>
      <c r="O140" s="725"/>
      <c r="P140" s="382"/>
    </row>
    <row r="141" spans="1:16" ht="27.75">
      <c r="A141" s="1203" t="s">
        <v>247</v>
      </c>
      <c r="B141" s="1204"/>
      <c r="C141" s="1204"/>
      <c r="D141" s="523" t="s">
        <v>237</v>
      </c>
      <c r="E141" s="484">
        <f>'15'!F141</f>
        <v>4666.72</v>
      </c>
      <c r="F141" s="478">
        <v>4675.7700000000004</v>
      </c>
      <c r="G141" s="473">
        <f t="shared" si="15"/>
        <v>9.0500000000001819</v>
      </c>
      <c r="H141" s="460">
        <f>G141+'15'!H141</f>
        <v>38.770000000000437</v>
      </c>
      <c r="I141" s="542"/>
      <c r="J141" s="552">
        <f>H141/DAY(B2)</f>
        <v>2.4231250000000273</v>
      </c>
      <c r="N141" s="718"/>
      <c r="O141" s="725"/>
      <c r="P141" s="382"/>
    </row>
    <row r="142" spans="1:16">
      <c r="A142" s="1565" t="s">
        <v>306</v>
      </c>
      <c r="B142" s="1566"/>
      <c r="C142" s="120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5779.3799999998882</v>
      </c>
      <c r="H143" s="460">
        <f>G143+'15'!H143</f>
        <v>90293.300000000032</v>
      </c>
      <c r="I143" s="480"/>
      <c r="J143" s="552">
        <f>H143/DAY(B2)</f>
        <v>5643.331250000002</v>
      </c>
      <c r="K143" s="380"/>
      <c r="L143" s="377"/>
      <c r="N143" s="718"/>
      <c r="O143" s="725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0.26182625737654097</v>
      </c>
      <c r="H144" s="460">
        <f>G144+'15'!H144</f>
        <v>4.1613073933964255</v>
      </c>
      <c r="I144" s="544"/>
      <c r="J144" s="552">
        <f>H144/DAY(B2)</f>
        <v>0.2600817120872766</v>
      </c>
      <c r="K144" s="380"/>
      <c r="L144" s="377"/>
      <c r="N144" s="718"/>
      <c r="O144" s="725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6367.0100000000384</v>
      </c>
      <c r="H145" s="460">
        <f>G145+'15'!H145</f>
        <v>105521.94000000002</v>
      </c>
      <c r="I145" s="480"/>
      <c r="J145" s="552">
        <f>H145/DAY(B2)</f>
        <v>6595.1212500000011</v>
      </c>
      <c r="K145" s="380"/>
      <c r="L145" s="377"/>
      <c r="N145" s="718"/>
      <c r="O145" s="725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0.28844796482997354</v>
      </c>
      <c r="H146" s="460">
        <f>G146+'15'!H146</f>
        <v>4.8573410445970211</v>
      </c>
      <c r="I146" s="544"/>
      <c r="J146" s="552">
        <f>H146/DAY(B2)</f>
        <v>0.30358381528731382</v>
      </c>
      <c r="K146" s="380"/>
      <c r="L146" s="377"/>
      <c r="N146" s="718"/>
      <c r="O146" s="725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3776.2200000000303</v>
      </c>
      <c r="H147" s="460">
        <f>G147+'15'!H147</f>
        <v>58978.490000000049</v>
      </c>
      <c r="I147" s="545"/>
      <c r="J147" s="552">
        <f>H147/DAY(B2)</f>
        <v>3686.1556250000031</v>
      </c>
      <c r="K147" s="380"/>
      <c r="L147" s="377"/>
      <c r="N147" s="718"/>
      <c r="O147" s="725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0.17107605826757691</v>
      </c>
      <c r="H148" s="460">
        <f>G148+'15'!H148</f>
        <v>2.7198415859489171</v>
      </c>
      <c r="I148" s="545"/>
      <c r="J148" s="552">
        <f>H148/DAY(B2)</f>
        <v>0.16999009912180732</v>
      </c>
      <c r="N148" s="718"/>
      <c r="O148" s="725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1628.4099999999453</v>
      </c>
      <c r="H149" s="460">
        <f>G149+'15'!H149</f>
        <v>25791.639999999956</v>
      </c>
      <c r="I149" s="480"/>
      <c r="J149" s="552">
        <f>H149/DAY(B2)</f>
        <v>1611.9774999999972</v>
      </c>
      <c r="K149" s="381"/>
      <c r="N149" s="718"/>
      <c r="O149" s="725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7.3772704991630064E-2</v>
      </c>
      <c r="H150" s="460">
        <f>G150+'15'!H150</f>
        <v>1.1880804862986778</v>
      </c>
      <c r="I150" s="545"/>
      <c r="J150" s="552">
        <f>H150/DAY(B2)</f>
        <v>7.4255030393667362E-2</v>
      </c>
      <c r="N150" s="718"/>
      <c r="O150" s="725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2105.7400000000343</v>
      </c>
      <c r="H151" s="460">
        <f>G151+'15'!H151</f>
        <v>32350.260000000053</v>
      </c>
      <c r="I151" s="545"/>
      <c r="J151" s="552">
        <f>H151/DAY(B2)</f>
        <v>2021.8912500000033</v>
      </c>
      <c r="N151" s="718"/>
      <c r="O151" s="725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9.539743418984338E-2</v>
      </c>
      <c r="H152" s="460">
        <f>G152+'15'!H152</f>
        <v>1.4872035181351446</v>
      </c>
      <c r="I152" s="480"/>
      <c r="J152" s="552">
        <f>H152/DAY(B2)</f>
        <v>9.2950219883446539E-2</v>
      </c>
      <c r="N152" s="718"/>
      <c r="O152" s="725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1642.1699999999837</v>
      </c>
      <c r="H153" s="460">
        <f>G153+'15'!H153</f>
        <v>24974.76999999999</v>
      </c>
      <c r="I153" s="480"/>
      <c r="J153" s="552">
        <f>H153/DAY(B2)</f>
        <v>1560.9231249999993</v>
      </c>
      <c r="N153" s="718"/>
      <c r="O153" s="725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7.4396081426734068E-2</v>
      </c>
      <c r="H154" s="460">
        <f>G154+'15'!H154</f>
        <v>1.1513947847203028</v>
      </c>
      <c r="I154" s="568"/>
      <c r="J154" s="569">
        <f>H154/DAY(B2)</f>
        <v>7.1962174045018923E-2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261</v>
      </c>
      <c r="B161" s="795"/>
      <c r="C161" s="795"/>
      <c r="D161" s="620" t="s">
        <v>185</v>
      </c>
      <c r="E161" s="522">
        <f>'15'!F161</f>
        <v>42045.26</v>
      </c>
      <c r="F161" s="803">
        <v>42126.62</v>
      </c>
      <c r="G161" s="473">
        <f t="shared" ref="G161:G164" si="16">F161-E161</f>
        <v>81.360000000000582</v>
      </c>
      <c r="N161" s="718"/>
    </row>
    <row r="162" spans="1:14">
      <c r="A162" s="794" t="s">
        <v>262</v>
      </c>
      <c r="B162" s="795"/>
      <c r="C162" s="795"/>
      <c r="D162" s="620" t="s">
        <v>185</v>
      </c>
      <c r="E162" s="522">
        <f>'15'!F162</f>
        <v>114691.19</v>
      </c>
      <c r="F162" s="803">
        <v>115140.88</v>
      </c>
      <c r="G162" s="473">
        <f t="shared" si="16"/>
        <v>449.69000000000233</v>
      </c>
      <c r="N162" s="718"/>
    </row>
    <row r="163" spans="1:14">
      <c r="A163" s="794" t="s">
        <v>263</v>
      </c>
      <c r="B163" s="795"/>
      <c r="C163" s="795"/>
      <c r="D163" s="620" t="s">
        <v>185</v>
      </c>
      <c r="E163" s="522">
        <f>'15'!F163</f>
        <v>64304.480000000003</v>
      </c>
      <c r="F163" s="783">
        <v>64518.62</v>
      </c>
      <c r="G163" s="473">
        <f t="shared" si="16"/>
        <v>214.13999999999942</v>
      </c>
      <c r="N163" s="718"/>
    </row>
    <row r="164" spans="1:14">
      <c r="A164" s="794" t="s">
        <v>264</v>
      </c>
      <c r="B164" s="795"/>
      <c r="C164" s="795"/>
      <c r="D164" s="620" t="s">
        <v>185</v>
      </c>
      <c r="E164" s="522">
        <f>'15'!F164</f>
        <v>6998.14</v>
      </c>
      <c r="F164" s="803">
        <v>7006.85</v>
      </c>
      <c r="G164" s="473">
        <f t="shared" si="16"/>
        <v>8.7100000000000364</v>
      </c>
      <c r="N164" s="718"/>
    </row>
    <row r="165" spans="1:14">
      <c r="A165" s="796" t="s">
        <v>97</v>
      </c>
      <c r="B165" s="797"/>
      <c r="C165" s="797"/>
      <c r="D165" s="620" t="s">
        <v>185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8"/>
    </row>
    <row r="166" spans="1:14">
      <c r="A166" s="796" t="s">
        <v>186</v>
      </c>
      <c r="B166" s="797"/>
      <c r="C166" s="797"/>
      <c r="D166" s="620" t="s">
        <v>185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185</v>
      </c>
      <c r="E167" s="522">
        <f>'15'!F167</f>
        <v>175929.51</v>
      </c>
      <c r="F167" s="514">
        <f t="shared" si="18"/>
        <v>176328.81</v>
      </c>
      <c r="G167" s="473">
        <f t="shared" si="17"/>
        <v>399.29999999998836</v>
      </c>
      <c r="N167" s="718"/>
    </row>
    <row r="168" spans="1:14" ht="27.75">
      <c r="A168" s="1615" t="s">
        <v>99</v>
      </c>
      <c r="B168" s="1615"/>
      <c r="C168" s="1615"/>
      <c r="D168" s="524" t="s">
        <v>185</v>
      </c>
      <c r="E168" s="522">
        <f>'15'!F168</f>
        <v>175940.77</v>
      </c>
      <c r="F168" s="514">
        <f t="shared" si="18"/>
        <v>176333.07</v>
      </c>
      <c r="G168" s="473">
        <f t="shared" si="17"/>
        <v>392.30000000001746</v>
      </c>
      <c r="N168" s="718"/>
    </row>
    <row r="169" spans="1:14" ht="27.75">
      <c r="A169" s="1615" t="s">
        <v>100</v>
      </c>
      <c r="B169" s="1615"/>
      <c r="C169" s="1615"/>
      <c r="D169" s="524" t="s">
        <v>185</v>
      </c>
      <c r="E169" s="522">
        <f>'15'!F169</f>
        <v>74144.679999999993</v>
      </c>
      <c r="F169" s="514">
        <f t="shared" si="18"/>
        <v>74541.64</v>
      </c>
      <c r="G169" s="473">
        <f t="shared" si="17"/>
        <v>396.9600000000064</v>
      </c>
      <c r="N169" s="718"/>
    </row>
    <row r="170" spans="1:14" ht="27.75">
      <c r="A170" s="1615" t="s">
        <v>101</v>
      </c>
      <c r="B170" s="1615"/>
      <c r="C170" s="1615"/>
      <c r="D170" s="524" t="s">
        <v>185</v>
      </c>
      <c r="E170" s="522">
        <f>'15'!F170</f>
        <v>272023.17</v>
      </c>
      <c r="F170" s="514">
        <f t="shared" si="18"/>
        <v>272493.05</v>
      </c>
      <c r="G170" s="473">
        <f t="shared" si="17"/>
        <v>469.88000000000466</v>
      </c>
      <c r="N170" s="718"/>
    </row>
    <row r="171" spans="1:14" ht="27.75">
      <c r="A171" s="1615" t="s">
        <v>102</v>
      </c>
      <c r="B171" s="1615"/>
      <c r="C171" s="1615"/>
      <c r="D171" s="524" t="s">
        <v>185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185</v>
      </c>
      <c r="E172" s="522">
        <f>'15'!F172</f>
        <v>91422.25</v>
      </c>
      <c r="F172" s="514">
        <f t="shared" si="18"/>
        <v>91726.12</v>
      </c>
      <c r="G172" s="473">
        <f t="shared" si="17"/>
        <v>303.86999999999534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2716.2100000000146</v>
      </c>
      <c r="N173" s="718"/>
    </row>
    <row r="174" spans="1:14">
      <c r="N174" s="718"/>
    </row>
    <row r="175" spans="1:14">
      <c r="A175" s="1590" t="s">
        <v>348</v>
      </c>
      <c r="B175" s="1553"/>
      <c r="C175" s="785"/>
      <c r="D175" s="523" t="s">
        <v>185</v>
      </c>
      <c r="N175" s="718"/>
    </row>
    <row r="176" spans="1:14">
      <c r="A176" s="1590" t="s">
        <v>349</v>
      </c>
      <c r="B176" s="1553"/>
      <c r="C176" s="785"/>
      <c r="D176" s="523" t="s">
        <v>185</v>
      </c>
      <c r="N176" s="718"/>
    </row>
    <row r="177" spans="1:14" ht="18.75" customHeight="1">
      <c r="N177" s="718"/>
    </row>
    <row r="178" spans="1:14">
      <c r="A178" s="1590" t="s">
        <v>348</v>
      </c>
      <c r="B178" s="1553"/>
      <c r="C178" s="785"/>
      <c r="D178" s="523" t="s">
        <v>185</v>
      </c>
      <c r="E178" s="532">
        <f>'15'!F178</f>
        <v>19072</v>
      </c>
      <c r="F178" s="532">
        <v>19077.2</v>
      </c>
      <c r="G178" s="473">
        <f t="shared" ref="G178:G180" si="19">F178-E178</f>
        <v>5.2000000000007276</v>
      </c>
      <c r="N178" s="718"/>
    </row>
    <row r="179" spans="1:14">
      <c r="A179" s="1590" t="s">
        <v>348</v>
      </c>
      <c r="B179" s="1553"/>
      <c r="C179" s="785"/>
      <c r="D179" s="523" t="s">
        <v>185</v>
      </c>
      <c r="E179" s="532">
        <f>'15'!F179</f>
        <v>70429.3</v>
      </c>
      <c r="F179" s="532">
        <v>70435.8</v>
      </c>
      <c r="G179" s="473">
        <f t="shared" si="19"/>
        <v>6.5</v>
      </c>
      <c r="N179" s="718"/>
    </row>
    <row r="180" spans="1:14">
      <c r="A180" s="1590" t="s">
        <v>349</v>
      </c>
      <c r="B180" s="1553"/>
      <c r="C180" s="785"/>
      <c r="D180" s="523" t="s">
        <v>185</v>
      </c>
      <c r="E180" s="532">
        <f>'15'!F180</f>
        <v>27704.6</v>
      </c>
      <c r="F180" s="532">
        <v>27712</v>
      </c>
      <c r="G180" s="473">
        <f t="shared" si="19"/>
        <v>7.4000000000014552</v>
      </c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>
      <c r="N199" s="718"/>
    </row>
    <row r="200" spans="14:14" ht="23.25" customHeight="1">
      <c r="N200" s="718"/>
    </row>
    <row r="201" spans="14:14" ht="23.25" customHeight="1">
      <c r="N201" s="718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75" sqref="F17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356</v>
      </c>
      <c r="B2" s="1031">
        <v>44394</v>
      </c>
      <c r="C2" s="1222" t="s">
        <v>68</v>
      </c>
      <c r="D2" s="611">
        <v>0.6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724"/>
    </row>
    <row r="3" spans="1:16" s="281" customFormat="1" ht="27">
      <c r="A3" s="570"/>
      <c r="B3" s="614"/>
      <c r="C3" s="1222" t="s">
        <v>118</v>
      </c>
      <c r="D3" s="612">
        <v>29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22" t="s">
        <v>120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'16'!F7</f>
        <v>269331.73</v>
      </c>
      <c r="F7" s="455">
        <v>294110.21000000002</v>
      </c>
      <c r="G7" s="678">
        <f>F7-E7</f>
        <v>24778.48000000004</v>
      </c>
      <c r="H7" s="679">
        <f>G7+'16'!H7</f>
        <v>372157.21000000008</v>
      </c>
      <c r="I7" s="680">
        <f>'1'!I7</f>
        <v>12000</v>
      </c>
      <c r="J7" s="681">
        <f>H7/DAY(B2)</f>
        <v>21891.600588235298</v>
      </c>
      <c r="K7" s="549"/>
      <c r="L7" s="377"/>
      <c r="N7" s="729"/>
      <c r="O7" s="725"/>
      <c r="P7" s="728"/>
    </row>
    <row r="8" spans="1:16" ht="27.75" thickBot="1">
      <c r="A8" s="682" t="s">
        <v>131</v>
      </c>
      <c r="B8" s="683"/>
      <c r="C8" s="684"/>
      <c r="D8" s="685" t="s">
        <v>25</v>
      </c>
      <c r="E8" s="633">
        <f>'16'!F8</f>
        <v>275803.39</v>
      </c>
      <c r="F8" s="475">
        <v>300718.13</v>
      </c>
      <c r="G8" s="689">
        <f>F8-E8</f>
        <v>24914.739999999991</v>
      </c>
      <c r="H8" s="679">
        <f>G8+'16'!H8</f>
        <v>373996.13</v>
      </c>
      <c r="I8" s="686">
        <f>'1'!I8</f>
        <v>12000</v>
      </c>
      <c r="J8" s="681">
        <f>H8/DAY(B2)</f>
        <v>21999.772352941178</v>
      </c>
      <c r="K8" s="549"/>
      <c r="L8" s="425"/>
      <c r="M8" s="440"/>
      <c r="N8" s="718"/>
      <c r="O8" s="725"/>
      <c r="P8" s="382"/>
    </row>
    <row r="9" spans="1:16">
      <c r="A9" s="687" t="s">
        <v>132</v>
      </c>
      <c r="B9" s="688"/>
      <c r="C9" s="688"/>
      <c r="D9" s="637" t="s">
        <v>130</v>
      </c>
      <c r="E9" s="633">
        <f>'16'!F9</f>
        <v>2369088.7000000002</v>
      </c>
      <c r="F9" s="478">
        <v>2393068.2999999998</v>
      </c>
      <c r="G9" s="702">
        <f t="shared" ref="G9:G12" si="0">F9-E9</f>
        <v>23979.599999999627</v>
      </c>
      <c r="H9" s="679">
        <f>G9+'16'!H9</f>
        <v>362066.29999999981</v>
      </c>
      <c r="I9" s="690">
        <f>I7-J7</f>
        <v>-9891.6005882352983</v>
      </c>
      <c r="J9" s="681">
        <f>H9/DAY(B2)</f>
        <v>21298.017647058812</v>
      </c>
      <c r="K9" s="428"/>
      <c r="L9" s="377"/>
      <c r="N9" s="718"/>
      <c r="O9" s="725"/>
      <c r="P9" s="382"/>
    </row>
    <row r="10" spans="1:16">
      <c r="A10" s="676" t="s">
        <v>133</v>
      </c>
      <c r="B10" s="677"/>
      <c r="C10" s="677"/>
      <c r="D10" s="637" t="s">
        <v>130</v>
      </c>
      <c r="E10" s="633">
        <f>'16'!F10</f>
        <v>2606.5500000000002</v>
      </c>
      <c r="F10" s="478">
        <v>2606.85</v>
      </c>
      <c r="G10" s="689">
        <f t="shared" si="0"/>
        <v>0.29999999999972715</v>
      </c>
      <c r="H10" s="679">
        <f>G10+'16'!H10</f>
        <v>0.29999999999972715</v>
      </c>
      <c r="I10" s="691"/>
      <c r="J10" s="681">
        <f>H10/DAY(B2)</f>
        <v>1.7647058823513362E-2</v>
      </c>
      <c r="K10" s="428"/>
      <c r="L10" s="377"/>
      <c r="N10" s="718"/>
      <c r="O10" s="725"/>
      <c r="P10" s="382"/>
    </row>
    <row r="11" spans="1:16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G11+'16'!H11</f>
        <v>0</v>
      </c>
      <c r="I11" s="691"/>
      <c r="J11" s="681">
        <f>H11/DAY(B2)</f>
        <v>0</v>
      </c>
      <c r="K11" s="428"/>
      <c r="L11" s="377"/>
      <c r="N11" s="718">
        <f>G8-866</f>
        <v>24048.739999999991</v>
      </c>
      <c r="O11" s="725"/>
      <c r="P11" s="382"/>
    </row>
    <row r="12" spans="1:16">
      <c r="A12" s="676" t="s">
        <v>135</v>
      </c>
      <c r="B12" s="677"/>
      <c r="C12" s="677"/>
      <c r="D12" s="637" t="s">
        <v>130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G12+'16'!H12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23979.899999999627</v>
      </c>
      <c r="H13" s="679">
        <f>G13+'16'!H13</f>
        <v>341739.5999999998</v>
      </c>
      <c r="I13" s="695">
        <f>G7-G13</f>
        <v>798.58000000041284</v>
      </c>
      <c r="J13" s="681">
        <f>H13/DAY(B2)</f>
        <v>20102.329411764695</v>
      </c>
      <c r="K13" s="428"/>
      <c r="L13" s="377"/>
      <c r="N13" s="718"/>
      <c r="O13" s="725"/>
      <c r="P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1215"/>
      <c r="K14" s="429"/>
      <c r="L14" s="377"/>
      <c r="N14" s="718"/>
      <c r="O14" s="725"/>
      <c r="P14" s="382"/>
    </row>
    <row r="15" spans="1:16">
      <c r="A15" s="792" t="s">
        <v>138</v>
      </c>
      <c r="B15" s="793"/>
      <c r="C15" s="793"/>
      <c r="D15" s="524" t="s">
        <v>139</v>
      </c>
      <c r="E15" s="485">
        <f>'16'!F15</f>
        <v>1716954.88</v>
      </c>
      <c r="F15" s="700">
        <v>1717936.541</v>
      </c>
      <c r="G15" s="664">
        <f>(F15-E15)</f>
        <v>981.66100000008009</v>
      </c>
      <c r="H15" s="486">
        <f>G15+'16'!H15</f>
        <v>14253.540999999968</v>
      </c>
      <c r="I15" s="474">
        <f>'1'!I15</f>
        <v>800</v>
      </c>
      <c r="J15" s="553">
        <f>H15/DAY(B2)</f>
        <v>838.44358823529228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-38.443588235292282</v>
      </c>
      <c r="J16" s="553"/>
      <c r="K16" s="428"/>
      <c r="L16" s="377"/>
      <c r="N16" s="718"/>
      <c r="O16" s="725"/>
      <c r="P16" s="382"/>
    </row>
    <row r="17" spans="1:16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4">
        <f>'16'!F18</f>
        <v>11</v>
      </c>
      <c r="F18" s="478">
        <v>14</v>
      </c>
      <c r="G18" s="694">
        <f>F18*10</f>
        <v>140</v>
      </c>
      <c r="H18" s="679">
        <f>G18+'16'!H18</f>
        <v>2270</v>
      </c>
      <c r="I18" s="680">
        <f>'1'!I18</f>
        <v>65</v>
      </c>
      <c r="J18" s="681">
        <f>H18/DAY(B2)</f>
        <v>133.52941176470588</v>
      </c>
      <c r="K18" s="428"/>
      <c r="L18" s="377"/>
      <c r="N18" s="718"/>
      <c r="O18" s="725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4">
        <f>'16'!F19</f>
        <v>142477</v>
      </c>
      <c r="F19" s="478">
        <v>142538</v>
      </c>
      <c r="G19" s="689">
        <f>F19-E19</f>
        <v>61</v>
      </c>
      <c r="H19" s="679">
        <f>G19+'16'!H19</f>
        <v>1043</v>
      </c>
      <c r="I19" s="696"/>
      <c r="J19" s="681">
        <f>H19/DAY(B2)</f>
        <v>61.352941176470587</v>
      </c>
      <c r="K19" s="428"/>
      <c r="L19" s="377"/>
      <c r="N19" s="718"/>
      <c r="O19" s="725"/>
      <c r="P19" s="382"/>
    </row>
    <row r="20" spans="1:16">
      <c r="A20" s="692" t="s">
        <v>143</v>
      </c>
      <c r="B20" s="693"/>
      <c r="C20" s="693"/>
      <c r="D20" s="637"/>
      <c r="E20" s="637"/>
      <c r="F20" s="709"/>
      <c r="G20" s="697">
        <f>G18+G19</f>
        <v>201</v>
      </c>
      <c r="H20" s="679">
        <f>G20+'16'!H20</f>
        <v>3313</v>
      </c>
      <c r="I20" s="698">
        <f>I18-J20</f>
        <v>-129.88235294117646</v>
      </c>
      <c r="J20" s="681">
        <f>H20/DAY(B2)</f>
        <v>194.88235294117646</v>
      </c>
      <c r="K20" s="428"/>
      <c r="L20" s="377"/>
      <c r="N20" s="718"/>
      <c r="O20" s="725"/>
      <c r="P20" s="382"/>
    </row>
    <row r="21" spans="1:16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20" t="s">
        <v>145</v>
      </c>
      <c r="B22" s="589"/>
      <c r="C22" s="589"/>
      <c r="D22" s="523" t="s">
        <v>146</v>
      </c>
      <c r="E22" s="634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20" t="s">
        <v>147</v>
      </c>
      <c r="B23" s="589"/>
      <c r="C23" s="589"/>
      <c r="D23" s="523" t="s">
        <v>146</v>
      </c>
      <c r="E23" s="634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148</v>
      </c>
      <c r="B24" s="591"/>
      <c r="C24" s="591"/>
      <c r="D24" s="511" t="s">
        <v>146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24914.739999999991</v>
      </c>
      <c r="F27" s="501">
        <v>9</v>
      </c>
      <c r="G27" s="502">
        <f>E27*F27</f>
        <v>224232.65999999992</v>
      </c>
      <c r="H27" s="460">
        <f>G27+'16'!H27</f>
        <v>3365965.17</v>
      </c>
      <c r="I27" s="503"/>
      <c r="J27" s="552">
        <f>H27/DAY(B2)</f>
        <v>197997.95117647058</v>
      </c>
      <c r="K27" s="373"/>
      <c r="L27" s="443"/>
      <c r="N27" s="718"/>
      <c r="O27" s="725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699">
        <f>G15</f>
        <v>981.66100000008009</v>
      </c>
      <c r="F28" s="501">
        <v>52</v>
      </c>
      <c r="G28" s="502">
        <f>E28*F28</f>
        <v>51046.372000004165</v>
      </c>
      <c r="H28" s="460">
        <f>G28+'16'!H28</f>
        <v>741184.13199999835</v>
      </c>
      <c r="I28" s="505"/>
      <c r="J28" s="552">
        <f>H28/DAY(B2)</f>
        <v>43599.066588235197</v>
      </c>
      <c r="K28" s="373"/>
      <c r="L28" s="443"/>
      <c r="N28" s="718"/>
      <c r="O28" s="725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699">
        <f>G19</f>
        <v>61</v>
      </c>
      <c r="F30" s="501">
        <v>146</v>
      </c>
      <c r="G30" s="502">
        <f>E30*F30</f>
        <v>8906</v>
      </c>
      <c r="H30" s="460">
        <f>G30+'16'!H30</f>
        <v>151694</v>
      </c>
      <c r="I30" s="505"/>
      <c r="J30" s="552">
        <f>H30/DAY(B2)</f>
        <v>8923.176470588236</v>
      </c>
      <c r="K30" s="373"/>
      <c r="L30" s="443"/>
      <c r="N30" s="718"/>
      <c r="O30" s="725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699">
        <f>G18</f>
        <v>140</v>
      </c>
      <c r="F31" s="501">
        <v>80</v>
      </c>
      <c r="G31" s="502">
        <f>E31*F31</f>
        <v>11200</v>
      </c>
      <c r="H31" s="460">
        <f>G31+'16'!H31</f>
        <v>176000</v>
      </c>
      <c r="I31" s="505"/>
      <c r="J31" s="552"/>
      <c r="K31" s="373">
        <f>E31*80%</f>
        <v>112</v>
      </c>
      <c r="L31" s="443"/>
      <c r="N31" s="718"/>
      <c r="O31" s="725"/>
      <c r="P31" s="382"/>
    </row>
    <row r="32" spans="1:16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295385.03200000408</v>
      </c>
      <c r="H32" s="460">
        <f>G32+'16'!H32</f>
        <v>4434843.3019999983</v>
      </c>
      <c r="I32" s="509"/>
      <c r="J32" s="552">
        <f>H32/DAY(B2)</f>
        <v>260873.13541176461</v>
      </c>
      <c r="K32" s="373"/>
      <c r="L32" s="443"/>
      <c r="N32" s="718"/>
      <c r="O32" s="725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5"/>
      <c r="P33" s="382"/>
    </row>
    <row r="34" spans="1:16">
      <c r="A34" s="598" t="s">
        <v>161</v>
      </c>
      <c r="B34" s="1225"/>
      <c r="C34" s="122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162</v>
      </c>
      <c r="B35" s="579"/>
      <c r="C35" s="579"/>
      <c r="D35" s="523" t="s">
        <v>130</v>
      </c>
      <c r="E35" s="510">
        <f>'16'!F35</f>
        <v>1058597.3</v>
      </c>
      <c r="F35" s="510">
        <v>1058597.3</v>
      </c>
      <c r="G35" s="473">
        <f t="shared" ref="G35:G46" si="1">F35-E35</f>
        <v>0</v>
      </c>
      <c r="H35" s="460">
        <f>G35+'16'!H35</f>
        <v>29883.300000000047</v>
      </c>
      <c r="I35" s="455"/>
      <c r="J35" s="552">
        <f>H35/DAY(B2)</f>
        <v>1757.8411764705909</v>
      </c>
      <c r="K35" s="428"/>
      <c r="L35" s="377"/>
      <c r="N35" s="718"/>
      <c r="O35" s="726"/>
      <c r="P35" s="382"/>
    </row>
    <row r="36" spans="1:16">
      <c r="A36" s="578" t="s">
        <v>163</v>
      </c>
      <c r="B36" s="579"/>
      <c r="C36" s="579"/>
      <c r="D36" s="523" t="s">
        <v>130</v>
      </c>
      <c r="E36" s="510">
        <f>'16'!F36</f>
        <v>33958.83</v>
      </c>
      <c r="F36" s="510">
        <v>35090.65</v>
      </c>
      <c r="G36" s="473">
        <f t="shared" si="1"/>
        <v>1131.8199999999997</v>
      </c>
      <c r="H36" s="460">
        <f>G36+'16'!H36</f>
        <v>14629.650000000001</v>
      </c>
      <c r="I36" s="455"/>
      <c r="J36" s="552">
        <f>H36/DAY(B2)</f>
        <v>860.56764705882358</v>
      </c>
      <c r="K36" s="428"/>
      <c r="L36" s="377"/>
      <c r="N36" s="719"/>
      <c r="O36" s="726"/>
      <c r="P36" s="382"/>
    </row>
    <row r="37" spans="1:16">
      <c r="A37" s="578" t="s">
        <v>164</v>
      </c>
      <c r="B37" s="579"/>
      <c r="C37" s="579"/>
      <c r="D37" s="523" t="s">
        <v>130</v>
      </c>
      <c r="E37" s="510">
        <f>'16'!F37</f>
        <v>201544.9</v>
      </c>
      <c r="F37" s="510">
        <v>203201.45</v>
      </c>
      <c r="G37" s="473">
        <f t="shared" si="1"/>
        <v>1656.5500000000175</v>
      </c>
      <c r="H37" s="460">
        <f>G37+'16'!H37</f>
        <v>26631.450000000012</v>
      </c>
      <c r="I37" s="455"/>
      <c r="J37" s="552">
        <f>H37/DAY(B2)</f>
        <v>1566.5558823529418</v>
      </c>
      <c r="K37" s="428"/>
      <c r="L37" s="377"/>
      <c r="N37" s="719"/>
      <c r="O37" s="726"/>
      <c r="P37" s="382"/>
    </row>
    <row r="38" spans="1:16">
      <c r="A38" s="578" t="s">
        <v>165</v>
      </c>
      <c r="B38" s="579"/>
      <c r="C38" s="579"/>
      <c r="D38" s="523" t="s">
        <v>130</v>
      </c>
      <c r="E38" s="510">
        <f>'16'!F38</f>
        <v>224250.57</v>
      </c>
      <c r="F38" s="469">
        <v>226010.49</v>
      </c>
      <c r="G38" s="473">
        <f t="shared" si="1"/>
        <v>1759.9199999999837</v>
      </c>
      <c r="H38" s="460">
        <f>G38+'16'!H38</f>
        <v>27551.489999999991</v>
      </c>
      <c r="I38" s="455"/>
      <c r="J38" s="552">
        <f>H38/DAY(B2)</f>
        <v>1620.6758823529406</v>
      </c>
      <c r="K38" s="428"/>
      <c r="L38" s="377"/>
      <c r="N38" s="718"/>
      <c r="O38" s="725"/>
      <c r="P38" s="382"/>
    </row>
    <row r="39" spans="1:16">
      <c r="A39" s="578" t="s">
        <v>166</v>
      </c>
      <c r="B39" s="579"/>
      <c r="C39" s="579"/>
      <c r="D39" s="523" t="s">
        <v>130</v>
      </c>
      <c r="E39" s="510">
        <f>'16'!F39</f>
        <v>463842.9</v>
      </c>
      <c r="F39" s="510">
        <v>467561.43</v>
      </c>
      <c r="G39" s="473">
        <f>F39-E39</f>
        <v>3718.5299999999697</v>
      </c>
      <c r="H39" s="460">
        <f>G39+'16'!H39</f>
        <v>62697.429999999993</v>
      </c>
      <c r="I39" s="455"/>
      <c r="J39" s="552">
        <f>H39/DAY(B2)</f>
        <v>3688.0841176470585</v>
      </c>
      <c r="K39" s="428"/>
      <c r="L39" s="377"/>
      <c r="N39" s="718"/>
      <c r="O39" s="726"/>
      <c r="P39" s="382"/>
    </row>
    <row r="40" spans="1:16">
      <c r="A40" s="599" t="s">
        <v>167</v>
      </c>
      <c r="B40" s="600"/>
      <c r="C40" s="600"/>
      <c r="D40" s="523" t="s">
        <v>130</v>
      </c>
      <c r="E40" s="510">
        <f>'16'!F40</f>
        <v>13152.74</v>
      </c>
      <c r="F40" s="510">
        <v>13572.19</v>
      </c>
      <c r="G40" s="473">
        <f t="shared" si="1"/>
        <v>419.45000000000073</v>
      </c>
      <c r="H40" s="460">
        <f>G40+'16'!H40</f>
        <v>6459.1900000000005</v>
      </c>
      <c r="I40" s="455"/>
      <c r="J40" s="552">
        <f>H40/DAY(B2)</f>
        <v>379.95235294117651</v>
      </c>
      <c r="K40" s="429"/>
      <c r="L40" s="377"/>
      <c r="N40" s="718"/>
      <c r="O40" s="725"/>
      <c r="P40" s="382"/>
    </row>
    <row r="41" spans="1:16">
      <c r="A41" s="578" t="s">
        <v>168</v>
      </c>
      <c r="B41" s="579"/>
      <c r="C41" s="579"/>
      <c r="D41" s="523" t="s">
        <v>130</v>
      </c>
      <c r="E41" s="510">
        <f>'16'!F41</f>
        <v>365502.35</v>
      </c>
      <c r="F41" s="510">
        <v>365502.35</v>
      </c>
      <c r="G41" s="473">
        <f t="shared" si="1"/>
        <v>0</v>
      </c>
      <c r="H41" s="460">
        <f>G41+'16'!H41</f>
        <v>35860.349999999977</v>
      </c>
      <c r="I41" s="455"/>
      <c r="J41" s="552">
        <f>H41/DAY(B2)</f>
        <v>2109.4323529411749</v>
      </c>
      <c r="K41" s="428"/>
      <c r="L41" s="377"/>
      <c r="N41" s="718"/>
      <c r="O41" s="727"/>
      <c r="P41" s="721"/>
    </row>
    <row r="42" spans="1:16">
      <c r="A42" s="578" t="s">
        <v>169</v>
      </c>
      <c r="B42" s="579"/>
      <c r="C42" s="579"/>
      <c r="D42" s="523" t="s">
        <v>130</v>
      </c>
      <c r="E42" s="510">
        <f>'16'!F42</f>
        <v>76541.78</v>
      </c>
      <c r="F42" s="510">
        <v>79273.179999999993</v>
      </c>
      <c r="G42" s="473">
        <f>F42-E42</f>
        <v>2731.3999999999942</v>
      </c>
      <c r="H42" s="460">
        <f>G42+'16'!H42</f>
        <v>20074.289999999994</v>
      </c>
      <c r="I42" s="455"/>
      <c r="J42" s="552">
        <f>H42/DAY(B2)</f>
        <v>1180.8405882352938</v>
      </c>
      <c r="K42" s="428"/>
      <c r="L42" s="377"/>
      <c r="N42" s="718"/>
      <c r="O42" s="725"/>
      <c r="P42" s="382"/>
    </row>
    <row r="43" spans="1:16">
      <c r="A43" s="578" t="s">
        <v>170</v>
      </c>
      <c r="B43" s="579"/>
      <c r="C43" s="579"/>
      <c r="D43" s="523" t="s">
        <v>130</v>
      </c>
      <c r="E43" s="510">
        <f>'16'!F43</f>
        <v>1162991.5</v>
      </c>
      <c r="F43" s="510">
        <v>1166088.8999999999</v>
      </c>
      <c r="G43" s="473">
        <f t="shared" si="1"/>
        <v>3097.3999999999069</v>
      </c>
      <c r="H43" s="460">
        <f>G43+'16'!H43</f>
        <v>45636.899999999907</v>
      </c>
      <c r="I43" s="455"/>
      <c r="J43" s="552">
        <f>H43/DAY(B2)</f>
        <v>2684.5235294117592</v>
      </c>
      <c r="K43" s="428"/>
      <c r="L43" s="377"/>
      <c r="N43" s="718"/>
      <c r="O43" s="726"/>
      <c r="P43" s="382"/>
    </row>
    <row r="44" spans="1:16">
      <c r="A44" s="578" t="s">
        <v>171</v>
      </c>
      <c r="B44" s="579"/>
      <c r="C44" s="579"/>
      <c r="D44" s="523" t="s">
        <v>130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172</v>
      </c>
      <c r="B45" s="579"/>
      <c r="C45" s="579"/>
      <c r="D45" s="523" t="s">
        <v>130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173</v>
      </c>
      <c r="B46" s="579"/>
      <c r="C46" s="579"/>
      <c r="D46" s="523" t="s">
        <v>130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14515.069999999872</v>
      </c>
      <c r="H47" s="460">
        <f>G47+'16'!H47</f>
        <v>270225.53999999992</v>
      </c>
      <c r="I47" s="455"/>
      <c r="J47" s="552">
        <f>H47/DAY(B2)</f>
        <v>15895.619999999995</v>
      </c>
      <c r="K47" s="428"/>
      <c r="L47" s="377"/>
      <c r="N47" s="718"/>
      <c r="O47" s="725"/>
      <c r="P47" s="382"/>
    </row>
    <row r="48" spans="1:16">
      <c r="A48" s="598" t="s">
        <v>175</v>
      </c>
      <c r="B48" s="1225"/>
      <c r="C48" s="122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162</v>
      </c>
      <c r="B49" s="601"/>
      <c r="C49" s="601"/>
      <c r="D49" s="523" t="s">
        <v>130</v>
      </c>
      <c r="E49" s="510">
        <f>'16'!F49</f>
        <v>278602.17</v>
      </c>
      <c r="F49" s="510">
        <v>281872.59000000003</v>
      </c>
      <c r="G49" s="473">
        <f t="shared" ref="G49:G58" si="2">F49-E49</f>
        <v>3270.4200000000419</v>
      </c>
      <c r="H49" s="460">
        <f>G49+'16'!H49</f>
        <v>21108.590000000026</v>
      </c>
      <c r="I49" s="455"/>
      <c r="J49" s="552">
        <f>H49/DAY(B2)</f>
        <v>1241.6817647058838</v>
      </c>
      <c r="K49" s="428">
        <f>E49+242</f>
        <v>278844.17</v>
      </c>
      <c r="L49" s="377"/>
      <c r="N49" s="718"/>
      <c r="O49" s="725"/>
      <c r="P49" s="382"/>
    </row>
    <row r="50" spans="1:16">
      <c r="A50" s="578" t="s">
        <v>176</v>
      </c>
      <c r="B50" s="601"/>
      <c r="C50" s="601"/>
      <c r="D50" s="523" t="s">
        <v>130</v>
      </c>
      <c r="E50" s="510">
        <f>'16'!F50</f>
        <v>553515.43000000005</v>
      </c>
      <c r="F50" s="510">
        <v>554815.87</v>
      </c>
      <c r="G50" s="473">
        <f t="shared" si="2"/>
        <v>1300.4399999999441</v>
      </c>
      <c r="H50" s="460">
        <f>G50+'16'!H50</f>
        <v>19059.869999999995</v>
      </c>
      <c r="I50" s="455"/>
      <c r="J50" s="552">
        <f>H50/DAY(B2)</f>
        <v>1121.1688235294114</v>
      </c>
      <c r="K50" s="428"/>
      <c r="L50" s="377"/>
      <c r="N50" s="718"/>
      <c r="O50" s="726"/>
      <c r="P50" s="382"/>
    </row>
    <row r="51" spans="1:16">
      <c r="A51" s="578" t="s">
        <v>164</v>
      </c>
      <c r="B51" s="601"/>
      <c r="C51" s="601"/>
      <c r="D51" s="523" t="s">
        <v>130</v>
      </c>
      <c r="E51" s="510">
        <f>'16'!F51</f>
        <v>144639.87</v>
      </c>
      <c r="F51" s="510">
        <v>144639.87</v>
      </c>
      <c r="G51" s="473">
        <f t="shared" si="2"/>
        <v>0</v>
      </c>
      <c r="H51" s="460">
        <f>G51+'16'!H51</f>
        <v>-0.13000000000465661</v>
      </c>
      <c r="I51" s="455"/>
      <c r="J51" s="552">
        <f>H51/DAY(B2)</f>
        <v>-7.6470588238033302E-3</v>
      </c>
      <c r="K51" s="428"/>
      <c r="L51" s="377"/>
      <c r="N51" s="718"/>
      <c r="O51" s="725"/>
      <c r="P51" s="382"/>
    </row>
    <row r="52" spans="1:16">
      <c r="A52" s="578" t="s">
        <v>177</v>
      </c>
      <c r="B52" s="601"/>
      <c r="C52" s="601"/>
      <c r="D52" s="523" t="s">
        <v>130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166</v>
      </c>
      <c r="B53" s="601"/>
      <c r="C53" s="601"/>
      <c r="D53" s="523" t="s">
        <v>130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-0.34000000002561137</v>
      </c>
      <c r="I53" s="455"/>
      <c r="J53" s="552">
        <f>H53/DAY(B2)</f>
        <v>-2.0000000001506552E-2</v>
      </c>
      <c r="K53" s="428"/>
      <c r="L53" s="377"/>
      <c r="N53" s="718"/>
      <c r="O53" s="725"/>
      <c r="P53" s="382"/>
    </row>
    <row r="54" spans="1:16">
      <c r="A54" s="578" t="s">
        <v>178</v>
      </c>
      <c r="B54" s="601"/>
      <c r="C54" s="601"/>
      <c r="D54" s="523" t="s">
        <v>130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0.27000000000043656</v>
      </c>
      <c r="I54" s="455"/>
      <c r="J54" s="552">
        <f>H54/DAY(B2)</f>
        <v>1.588235294120215E-2</v>
      </c>
      <c r="K54" s="428"/>
      <c r="L54" s="377"/>
      <c r="N54" s="718"/>
      <c r="O54" s="725"/>
      <c r="P54" s="382"/>
    </row>
    <row r="55" spans="1:16">
      <c r="A55" s="578" t="s">
        <v>179</v>
      </c>
      <c r="B55" s="601"/>
      <c r="C55" s="601"/>
      <c r="D55" s="523" t="s">
        <v>130</v>
      </c>
      <c r="E55" s="510">
        <f>'16'!F55</f>
        <v>169786.79</v>
      </c>
      <c r="F55" s="653">
        <v>175178.35</v>
      </c>
      <c r="G55" s="652">
        <f t="shared" si="2"/>
        <v>5391.5599999999977</v>
      </c>
      <c r="H55" s="705">
        <f>G55+'16'!H55</f>
        <v>51968.350000000006</v>
      </c>
      <c r="I55" s="706"/>
      <c r="J55" s="707">
        <f>H55/DAY(B2)</f>
        <v>3056.9617647058826</v>
      </c>
      <c r="K55" s="428"/>
      <c r="L55" s="377"/>
      <c r="N55" s="718"/>
      <c r="O55" s="725"/>
      <c r="P55" s="382"/>
    </row>
    <row r="56" spans="1:16">
      <c r="A56" s="578" t="s">
        <v>180</v>
      </c>
      <c r="B56" s="601"/>
      <c r="C56" s="601"/>
      <c r="D56" s="523" t="s">
        <v>181</v>
      </c>
      <c r="E56" s="510">
        <f>'16'!F56</f>
        <v>649199.91</v>
      </c>
      <c r="F56" s="653">
        <v>649210.35</v>
      </c>
      <c r="G56" s="473">
        <f>F56-E56</f>
        <v>10.439999999944121</v>
      </c>
      <c r="H56" s="460">
        <f>G56+'16'!H56</f>
        <v>168.34999999997672</v>
      </c>
      <c r="I56" s="455"/>
      <c r="J56" s="552">
        <f>H56/DAY(B2)</f>
        <v>9.9029411764692181</v>
      </c>
      <c r="K56" s="427"/>
      <c r="L56" s="377"/>
      <c r="N56" s="718"/>
      <c r="O56" s="727"/>
      <c r="P56" s="382"/>
    </row>
    <row r="57" spans="1:16">
      <c r="A57" s="578" t="s">
        <v>170</v>
      </c>
      <c r="B57" s="601"/>
      <c r="C57" s="601"/>
      <c r="D57" s="523" t="s">
        <v>130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8"/>
      <c r="O57" s="725"/>
      <c r="P57" s="382"/>
    </row>
    <row r="58" spans="1:16">
      <c r="A58" s="578" t="s">
        <v>182</v>
      </c>
      <c r="B58" s="601"/>
      <c r="C58" s="601"/>
      <c r="D58" s="523" t="s">
        <v>130</v>
      </c>
      <c r="E58" s="510">
        <f>'16'!F58</f>
        <v>56816.19</v>
      </c>
      <c r="F58" s="653">
        <v>57008.56</v>
      </c>
      <c r="G58" s="473">
        <f t="shared" si="2"/>
        <v>192.36999999999534</v>
      </c>
      <c r="H58" s="460">
        <f>G58+'16'!H58</f>
        <v>2828.5599999999977</v>
      </c>
      <c r="I58" s="455"/>
      <c r="J58" s="552">
        <f>H58/DAY(B2)</f>
        <v>166.38588235294105</v>
      </c>
      <c r="K58" s="428"/>
      <c r="L58" s="377"/>
      <c r="N58" s="718"/>
      <c r="O58" s="725"/>
      <c r="P58" s="382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10165.629999999888</v>
      </c>
      <c r="H59" s="460">
        <f>G59+'16'!H59</f>
        <v>95133.919999999911</v>
      </c>
      <c r="I59" s="455">
        <f>G7-G60</f>
        <v>97.78000000027896</v>
      </c>
      <c r="J59" s="552">
        <f>H59/DAY(B2)</f>
        <v>5596.112941176465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24680.699999999761</v>
      </c>
      <c r="H60" s="460">
        <f>G60+'16'!H60</f>
        <v>372262.78999999992</v>
      </c>
      <c r="I60" s="455">
        <f>G13-G60</f>
        <v>-700.80000000013388</v>
      </c>
      <c r="J60" s="552">
        <f>H60/DAY(B2)</f>
        <v>21897.811176470583</v>
      </c>
      <c r="K60" s="428"/>
      <c r="L60" s="377"/>
      <c r="N60" s="718"/>
      <c r="O60" s="725"/>
      <c r="P60" s="382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185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8"/>
      <c r="O62" s="725"/>
      <c r="P62" s="382"/>
    </row>
    <row r="63" spans="1:16">
      <c r="A63" s="603" t="s">
        <v>186</v>
      </c>
      <c r="B63" s="604"/>
      <c r="C63" s="604"/>
      <c r="D63" s="511" t="s">
        <v>185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1227">
        <f>'16'!F64</f>
        <v>176328.81</v>
      </c>
      <c r="F64" s="626">
        <v>176694.07</v>
      </c>
      <c r="G64" s="773">
        <f t="shared" si="3"/>
        <v>365.26000000000931</v>
      </c>
      <c r="H64" s="460">
        <f>G64+'16'!H64</f>
        <v>6672.070000000007</v>
      </c>
      <c r="I64" s="480"/>
      <c r="J64" s="552">
        <f>H64/DAY(B2)</f>
        <v>392.47470588235336</v>
      </c>
      <c r="K64" s="428"/>
      <c r="L64" s="377"/>
      <c r="N64" s="718"/>
      <c r="O64" s="725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514">
        <f>'16'!F65</f>
        <v>176333.07</v>
      </c>
      <c r="F65" s="651">
        <v>176719.61</v>
      </c>
      <c r="G65" s="473">
        <f t="shared" si="3"/>
        <v>386.53999999997905</v>
      </c>
      <c r="H65" s="460">
        <f>G65+'16'!H65</f>
        <v>6417.609999999986</v>
      </c>
      <c r="I65" s="489"/>
      <c r="J65" s="552">
        <f>H65/DAY(B2)</f>
        <v>377.50647058823449</v>
      </c>
      <c r="K65" s="428"/>
      <c r="L65" s="377"/>
      <c r="N65" s="718"/>
      <c r="O65" s="726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514">
        <f>'16'!F66</f>
        <v>74541.64</v>
      </c>
      <c r="F66" s="478">
        <v>74932.600000000006</v>
      </c>
      <c r="G66" s="473">
        <f t="shared" si="3"/>
        <v>390.9600000000064</v>
      </c>
      <c r="H66" s="460">
        <f>G66+'16'!H66</f>
        <v>6962.6000000000058</v>
      </c>
      <c r="I66" s="480"/>
      <c r="J66" s="552">
        <f>H66/DAY(B2)</f>
        <v>409.56470588235328</v>
      </c>
      <c r="K66" s="428"/>
      <c r="L66" s="377"/>
      <c r="N66" s="718"/>
      <c r="O66" s="725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514">
        <f>'16'!F67</f>
        <v>272493.05</v>
      </c>
      <c r="F67" s="478">
        <v>272970.90999999997</v>
      </c>
      <c r="G67" s="473">
        <f t="shared" si="3"/>
        <v>477.85999999998603</v>
      </c>
      <c r="H67" s="460">
        <f>G67+'16'!H67</f>
        <v>8011.9099999999744</v>
      </c>
      <c r="I67" s="489"/>
      <c r="J67" s="552">
        <f>H67/DAY(B2)</f>
        <v>471.28882352941025</v>
      </c>
      <c r="K67" s="429"/>
      <c r="L67" s="377"/>
      <c r="N67" s="718"/>
      <c r="O67" s="725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514">
        <f>'16'!F69</f>
        <v>91726.12</v>
      </c>
      <c r="F69" s="478">
        <v>92028.09</v>
      </c>
      <c r="G69" s="473">
        <f t="shared" si="3"/>
        <v>301.97000000000116</v>
      </c>
      <c r="H69" s="460">
        <f>G69+'16'!H69</f>
        <v>4513.0899999999965</v>
      </c>
      <c r="I69" s="516"/>
      <c r="J69" s="552">
        <f>H69/DAY(B2)</f>
        <v>265.47588235294097</v>
      </c>
      <c r="K69" s="431"/>
      <c r="L69" s="377"/>
      <c r="N69" s="718"/>
      <c r="O69" s="725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7">
        <v>855695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5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19">
        <f>'16'!F72</f>
        <v>856417</v>
      </c>
      <c r="F72" s="654">
        <v>856430</v>
      </c>
      <c r="G72" s="473">
        <f t="shared" ref="G72:G84" si="4">F72-E72</f>
        <v>13</v>
      </c>
      <c r="H72" s="460">
        <f>G72+'16'!H72</f>
        <v>195</v>
      </c>
      <c r="I72" s="480"/>
      <c r="J72" s="552">
        <f>H72/DAY(B2)</f>
        <v>11.470588235294118</v>
      </c>
      <c r="K72" s="431"/>
      <c r="L72" s="377"/>
      <c r="N72" s="718"/>
      <c r="O72" s="725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19">
        <f>'16'!F73</f>
        <v>885994</v>
      </c>
      <c r="F73" s="655">
        <v>885995</v>
      </c>
      <c r="G73" s="652">
        <f t="shared" si="4"/>
        <v>1</v>
      </c>
      <c r="H73" s="460">
        <f>G73+'16'!H73</f>
        <v>161</v>
      </c>
      <c r="I73" s="480"/>
      <c r="J73" s="552">
        <f>H73/DAY(B2)</f>
        <v>9.4705882352941178</v>
      </c>
      <c r="K73" s="430"/>
      <c r="L73" s="377"/>
      <c r="N73" s="718"/>
      <c r="O73" s="725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19">
        <f>'16'!F74</f>
        <v>88714.6</v>
      </c>
      <c r="F74" s="655">
        <v>88715.6</v>
      </c>
      <c r="G74" s="473">
        <f t="shared" si="4"/>
        <v>1</v>
      </c>
      <c r="H74" s="460">
        <f>G74+'16'!H74</f>
        <v>53.600000000005821</v>
      </c>
      <c r="I74" s="480"/>
      <c r="J74" s="552">
        <f>H74/DAY(B2)</f>
        <v>3.1529411764709305</v>
      </c>
      <c r="K74" s="431"/>
      <c r="L74" s="377"/>
      <c r="N74" s="718"/>
      <c r="O74" s="725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19">
        <f>'16'!F75</f>
        <v>18527.59</v>
      </c>
      <c r="F75" s="655">
        <v>18704.3</v>
      </c>
      <c r="G75" s="473">
        <f t="shared" si="4"/>
        <v>176.70999999999913</v>
      </c>
      <c r="H75" s="460">
        <f>G75+'16'!H75</f>
        <v>2633.2999999999993</v>
      </c>
      <c r="I75" s="480"/>
      <c r="J75" s="552">
        <f>H75/DAY(B2)</f>
        <v>154.89999999999995</v>
      </c>
      <c r="K75" s="430"/>
      <c r="L75" s="377"/>
      <c r="N75" s="718"/>
      <c r="O75" s="725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19">
        <f>'16'!F76</f>
        <v>10388.01</v>
      </c>
      <c r="F76" s="655">
        <v>10453.129999999999</v>
      </c>
      <c r="G76" s="473">
        <f t="shared" si="4"/>
        <v>65.119999999998981</v>
      </c>
      <c r="H76" s="460">
        <f>G76+'16'!H76</f>
        <v>2234.1299999999992</v>
      </c>
      <c r="I76" s="505"/>
      <c r="J76" s="552">
        <f>H76/DAY(B2)</f>
        <v>131.41941176470584</v>
      </c>
      <c r="K76" s="430"/>
      <c r="L76" s="377"/>
      <c r="N76" s="718"/>
      <c r="O76" s="725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19">
        <f>'16'!F77</f>
        <v>705350</v>
      </c>
      <c r="F77" s="655">
        <v>705415</v>
      </c>
      <c r="G77" s="652">
        <f t="shared" si="4"/>
        <v>65</v>
      </c>
      <c r="H77" s="460">
        <f>G77+'16'!H77</f>
        <v>1041</v>
      </c>
      <c r="I77" s="505"/>
      <c r="J77" s="552">
        <f>H77/DAY(B2)</f>
        <v>61.235294117647058</v>
      </c>
      <c r="K77" s="430"/>
      <c r="L77" s="377"/>
      <c r="N77" s="718"/>
      <c r="O77" s="725"/>
      <c r="P77" s="382"/>
    </row>
    <row r="78" spans="1:16" ht="27.75">
      <c r="A78" s="1223" t="s">
        <v>195</v>
      </c>
      <c r="B78" s="1216"/>
      <c r="C78" s="1216"/>
      <c r="D78" s="523" t="s">
        <v>185</v>
      </c>
      <c r="E78" s="519">
        <f>'16'!F78</f>
        <v>676996</v>
      </c>
      <c r="F78" s="656">
        <v>677096</v>
      </c>
      <c r="G78" s="473">
        <f>F78-E78</f>
        <v>100</v>
      </c>
      <c r="H78" s="460">
        <f>G78+'16'!H78</f>
        <v>1682</v>
      </c>
      <c r="I78" s="505"/>
      <c r="J78" s="552">
        <f>H78/DAY(B2)</f>
        <v>98.941176470588232</v>
      </c>
      <c r="K78" s="430"/>
      <c r="L78" s="377"/>
      <c r="N78" s="718"/>
      <c r="O78" s="725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19">
        <f>'16'!F79</f>
        <v>837913</v>
      </c>
      <c r="F79" s="656">
        <v>838112</v>
      </c>
      <c r="G79" s="473">
        <f t="shared" si="4"/>
        <v>199</v>
      </c>
      <c r="H79" s="460">
        <f>G79+'16'!H79</f>
        <v>1958</v>
      </c>
      <c r="I79" s="505"/>
      <c r="J79" s="552">
        <f>H79/DAY(B2)</f>
        <v>115.17647058823529</v>
      </c>
      <c r="K79" s="430"/>
      <c r="L79" s="377"/>
      <c r="N79" s="718"/>
      <c r="O79" s="725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19">
        <f>'16'!F80</f>
        <v>545786.76</v>
      </c>
      <c r="F80" s="655">
        <v>546263.31999999995</v>
      </c>
      <c r="G80" s="473">
        <f t="shared" si="4"/>
        <v>476.55999999993946</v>
      </c>
      <c r="H80" s="460">
        <f>G80+'16'!H80</f>
        <v>3872.3199999999488</v>
      </c>
      <c r="I80" s="505"/>
      <c r="J80" s="552">
        <f>H80/DAY(B2)</f>
        <v>227.78352941176169</v>
      </c>
      <c r="K80" s="430"/>
      <c r="L80" s="377"/>
      <c r="N80" s="718"/>
      <c r="O80" s="725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19">
        <f>'16'!F81</f>
        <v>645997.07999999996</v>
      </c>
      <c r="F81" s="655">
        <v>646228.28</v>
      </c>
      <c r="G81" s="473">
        <f t="shared" si="4"/>
        <v>231.20000000006985</v>
      </c>
      <c r="H81" s="460">
        <f>G81+'16'!H81</f>
        <v>3243.2800000000279</v>
      </c>
      <c r="I81" s="505"/>
      <c r="J81" s="552">
        <f>H81/DAY(B2)</f>
        <v>190.78117647058988</v>
      </c>
      <c r="K81" s="430"/>
      <c r="L81" s="377"/>
      <c r="N81" s="718"/>
      <c r="O81" s="725"/>
      <c r="P81" s="382"/>
    </row>
    <row r="82" spans="1:16" s="775" customFormat="1" ht="27.75">
      <c r="A82" s="1619" t="s">
        <v>92</v>
      </c>
      <c r="B82" s="1620"/>
      <c r="C82" s="1621"/>
      <c r="D82" s="626" t="s">
        <v>130</v>
      </c>
      <c r="E82" s="519">
        <f>'16'!F82</f>
        <v>109014.88</v>
      </c>
      <c r="F82" s="626">
        <v>109042.25</v>
      </c>
      <c r="G82" s="773">
        <f t="shared" si="4"/>
        <v>27.369999999995343</v>
      </c>
      <c r="H82" s="479">
        <f>G82+'16'!H82</f>
        <v>361.25</v>
      </c>
      <c r="I82" s="479"/>
      <c r="J82" s="774">
        <f>H82/DAY(B2)</f>
        <v>21.25</v>
      </c>
      <c r="K82" s="1213"/>
      <c r="L82" s="1214"/>
      <c r="N82" s="722"/>
      <c r="O82" s="726"/>
      <c r="P82" s="721"/>
    </row>
    <row r="83" spans="1:16" ht="27.75">
      <c r="A83" s="1546" t="s">
        <v>198</v>
      </c>
      <c r="B83" s="1547"/>
      <c r="C83" s="1548"/>
      <c r="D83" s="620" t="s">
        <v>130</v>
      </c>
      <c r="E83" s="519">
        <f>'16'!F83</f>
        <v>31313</v>
      </c>
      <c r="F83" s="511">
        <v>31589</v>
      </c>
      <c r="G83" s="473">
        <f t="shared" si="4"/>
        <v>276</v>
      </c>
      <c r="H83" s="460">
        <f>G83+'16'!H83</f>
        <v>4038</v>
      </c>
      <c r="I83" s="481"/>
      <c r="J83" s="552">
        <f>H83/DAY(B2)</f>
        <v>237.52941176470588</v>
      </c>
      <c r="K83" s="429"/>
      <c r="L83" s="377"/>
      <c r="N83" s="718"/>
      <c r="O83" s="725"/>
      <c r="P83" s="382"/>
    </row>
    <row r="84" spans="1:16">
      <c r="A84" s="1224" t="s">
        <v>199</v>
      </c>
      <c r="B84" s="571"/>
      <c r="C84" s="571"/>
      <c r="D84" s="478" t="s">
        <v>130</v>
      </c>
      <c r="E84" s="519">
        <f>'16'!F84</f>
        <v>535859</v>
      </c>
      <c r="F84" s="627">
        <v>536537</v>
      </c>
      <c r="G84" s="473">
        <f t="shared" si="4"/>
        <v>678</v>
      </c>
      <c r="H84" s="460">
        <f>G84+'16'!H84</f>
        <v>13457</v>
      </c>
      <c r="I84" s="481"/>
      <c r="J84" s="552">
        <f>H84/DAY(B2)</f>
        <v>791.58823529411768</v>
      </c>
      <c r="K84" s="380"/>
      <c r="L84" s="377"/>
      <c r="N84" s="718"/>
      <c r="O84" s="725"/>
      <c r="P84" s="382"/>
    </row>
    <row r="85" spans="1:16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2309.9600000000028</v>
      </c>
      <c r="H85" s="460">
        <f>G85+'16'!H85</f>
        <v>37803.879999999976</v>
      </c>
      <c r="I85" s="481"/>
      <c r="J85" s="552">
        <f>H85/DAY(B2)</f>
        <v>2223.7576470588219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'16'!F86</f>
        <v>462211.88</v>
      </c>
      <c r="F86" s="1460">
        <v>462229.84</v>
      </c>
      <c r="G86" s="705">
        <f t="shared" ref="G86:G91" si="5">F86-E86</f>
        <v>17.960000000020955</v>
      </c>
      <c r="H86" s="705">
        <f t="shared" ref="H86:H88" si="6">G86</f>
        <v>17.960000000020955</v>
      </c>
      <c r="I86" s="652"/>
      <c r="J86" s="707">
        <f>H86/DAY(B2)</f>
        <v>1.0564705882365268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'16'!F87</f>
        <v>82523.399999999994</v>
      </c>
      <c r="F87" s="647">
        <v>82543</v>
      </c>
      <c r="G87" s="705">
        <f t="shared" si="5"/>
        <v>19.600000000005821</v>
      </c>
      <c r="H87" s="705">
        <f t="shared" si="6"/>
        <v>19.600000000005821</v>
      </c>
      <c r="I87" s="652"/>
      <c r="J87" s="707">
        <f>H87/DAY(B2)</f>
        <v>1.1529411764709305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'16'!F88</f>
        <v>157124.66</v>
      </c>
      <c r="F88" s="647">
        <v>157245.72</v>
      </c>
      <c r="G88" s="705">
        <f t="shared" si="5"/>
        <v>121.05999999999767</v>
      </c>
      <c r="H88" s="705">
        <f t="shared" si="6"/>
        <v>121.05999999999767</v>
      </c>
      <c r="I88" s="652"/>
      <c r="J88" s="707">
        <f>H88/DAY(B2)</f>
        <v>7.1211764705880984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'16'!F89</f>
        <v>66543.199999999997</v>
      </c>
      <c r="F89" s="647">
        <v>66560.800000000003</v>
      </c>
      <c r="G89" s="705">
        <f t="shared" si="5"/>
        <v>17.600000000005821</v>
      </c>
      <c r="H89" s="705">
        <f>G89</f>
        <v>17.600000000005821</v>
      </c>
      <c r="I89" s="652"/>
      <c r="J89" s="707">
        <f>H89/DAY(B2)</f>
        <v>1.0352941176474013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'16'!F90</f>
        <v>3404.9</v>
      </c>
      <c r="F90" s="647">
        <v>3407</v>
      </c>
      <c r="G90" s="705">
        <f t="shared" si="5"/>
        <v>2.0999999999999091</v>
      </c>
      <c r="H90" s="705">
        <f>G90</f>
        <v>2.0999999999999091</v>
      </c>
      <c r="I90" s="652"/>
      <c r="J90" s="707">
        <f>H90/DAY(B2)</f>
        <v>0.12352941176470053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/>
      <c r="E91" s="627">
        <f>'16'!F91</f>
        <v>28384.31</v>
      </c>
      <c r="F91" s="647">
        <v>28391.759999999998</v>
      </c>
      <c r="G91" s="705">
        <f t="shared" si="5"/>
        <v>7.4499999999970896</v>
      </c>
      <c r="H91" s="705">
        <f>G91</f>
        <v>7.4499999999970896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203</v>
      </c>
      <c r="B92" s="1226"/>
      <c r="C92" s="1226"/>
      <c r="D92" s="472"/>
      <c r="E92" s="472"/>
      <c r="F92" s="472" t="s">
        <v>266</v>
      </c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484">
        <f>'16'!F93</f>
        <v>248943</v>
      </c>
      <c r="F93" s="478">
        <v>249044</v>
      </c>
      <c r="G93" s="473">
        <f t="shared" ref="G93:G94" si="7">F93-E93</f>
        <v>101</v>
      </c>
      <c r="H93" s="460">
        <f>G93+'16'!H93</f>
        <v>1692</v>
      </c>
      <c r="I93" s="480"/>
      <c r="J93" s="552">
        <f>H93/DAY(B2)</f>
        <v>99.529411764705884</v>
      </c>
      <c r="K93" s="429"/>
      <c r="L93" s="377"/>
      <c r="N93" s="718"/>
      <c r="O93" s="725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484">
        <f>'16'!F94</f>
        <v>191265</v>
      </c>
      <c r="F94" s="478">
        <v>191455</v>
      </c>
      <c r="G94" s="473">
        <f t="shared" si="7"/>
        <v>190</v>
      </c>
      <c r="H94" s="460">
        <f>G94+'16'!H94</f>
        <v>2001</v>
      </c>
      <c r="I94" s="480"/>
      <c r="J94" s="552">
        <f>H94/DAY(B2)</f>
        <v>117.70588235294117</v>
      </c>
      <c r="K94" s="380"/>
      <c r="L94" s="377"/>
      <c r="N94" s="718"/>
      <c r="O94" s="725"/>
      <c r="P94" s="382"/>
    </row>
    <row r="95" spans="1:16">
      <c r="A95" s="1594" t="s">
        <v>206</v>
      </c>
      <c r="B95" s="1595"/>
      <c r="C95" s="1596"/>
      <c r="D95" s="523"/>
      <c r="E95" s="484">
        <f>'16'!F95</f>
        <v>0</v>
      </c>
      <c r="F95" s="478"/>
      <c r="G95" s="473">
        <f>G93+G94</f>
        <v>291</v>
      </c>
      <c r="H95" s="460">
        <f>G95+'16'!H95</f>
        <v>3507</v>
      </c>
      <c r="I95" s="480"/>
      <c r="J95" s="552">
        <f>H95/DAY(B2)</f>
        <v>206.29411764705881</v>
      </c>
      <c r="K95" s="380"/>
      <c r="L95" s="377"/>
      <c r="N95" s="718"/>
      <c r="O95" s="725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484">
        <f>'16'!F96</f>
        <v>417455</v>
      </c>
      <c r="F96" s="478">
        <v>417544</v>
      </c>
      <c r="G96" s="473">
        <f t="shared" ref="G96:G101" si="8">F96-E96</f>
        <v>89</v>
      </c>
      <c r="H96" s="460">
        <f>G96+'16'!H96</f>
        <v>1545</v>
      </c>
      <c r="I96" s="480"/>
      <c r="J96" s="552">
        <f>H96/DAY(B2)</f>
        <v>90.882352941176464</v>
      </c>
      <c r="K96" s="380"/>
      <c r="L96" s="377"/>
      <c r="N96" s="718"/>
      <c r="O96" s="725"/>
      <c r="P96" s="382"/>
    </row>
    <row r="97" spans="1:16" ht="27.75">
      <c r="A97" s="1220" t="s">
        <v>208</v>
      </c>
      <c r="B97" s="1221"/>
      <c r="C97" s="1221"/>
      <c r="D97" s="523" t="s">
        <v>142</v>
      </c>
      <c r="E97" s="484">
        <f>'16'!F97</f>
        <v>103511</v>
      </c>
      <c r="F97" s="478">
        <v>103541</v>
      </c>
      <c r="G97" s="473">
        <f t="shared" si="8"/>
        <v>30</v>
      </c>
      <c r="H97" s="460">
        <f>G97+'16'!H97</f>
        <v>378</v>
      </c>
      <c r="I97" s="480"/>
      <c r="J97" s="552">
        <f>H97/DAY(B2)</f>
        <v>22.235294117647058</v>
      </c>
      <c r="K97" s="427"/>
      <c r="L97" s="377"/>
      <c r="N97" s="718"/>
      <c r="O97" s="725"/>
      <c r="P97" s="382"/>
    </row>
    <row r="98" spans="1:16" ht="27.75">
      <c r="A98" s="1220" t="s">
        <v>209</v>
      </c>
      <c r="B98" s="1221"/>
      <c r="C98" s="1221"/>
      <c r="D98" s="523" t="s">
        <v>142</v>
      </c>
      <c r="E98" s="484">
        <f>'16'!F98</f>
        <v>99060</v>
      </c>
      <c r="F98" s="478">
        <v>99090</v>
      </c>
      <c r="G98" s="473">
        <f t="shared" si="8"/>
        <v>30</v>
      </c>
      <c r="H98" s="460">
        <f>G98+'16'!H98</f>
        <v>433</v>
      </c>
      <c r="I98" s="480"/>
      <c r="J98" s="552">
        <f>H98/DAY(B2)</f>
        <v>25.470588235294116</v>
      </c>
      <c r="K98" s="432"/>
      <c r="L98" s="377"/>
      <c r="N98" s="718"/>
      <c r="O98" s="725"/>
      <c r="P98" s="382"/>
    </row>
    <row r="99" spans="1:16" ht="27.75">
      <c r="A99" s="1220" t="s">
        <v>210</v>
      </c>
      <c r="B99" s="1221"/>
      <c r="C99" s="1221"/>
      <c r="D99" s="523" t="s">
        <v>142</v>
      </c>
      <c r="E99" s="484">
        <f>'16'!F99</f>
        <v>150885</v>
      </c>
      <c r="F99" s="478">
        <v>150908</v>
      </c>
      <c r="G99" s="473">
        <f t="shared" si="8"/>
        <v>23</v>
      </c>
      <c r="H99" s="460">
        <f>G99+'16'!H99</f>
        <v>503</v>
      </c>
      <c r="I99" s="480"/>
      <c r="J99" s="552">
        <f>H99/DAY(B2)</f>
        <v>29.588235294117649</v>
      </c>
      <c r="K99" s="380"/>
      <c r="L99" s="377"/>
      <c r="N99" s="720"/>
      <c r="O99" s="725"/>
      <c r="P99" s="382"/>
    </row>
    <row r="100" spans="1:16" ht="27.75">
      <c r="A100" s="1220" t="s">
        <v>211</v>
      </c>
      <c r="B100" s="1221"/>
      <c r="C100" s="1221"/>
      <c r="D100" s="523" t="s">
        <v>142</v>
      </c>
      <c r="E100" s="484">
        <f>'16'!F100</f>
        <v>7966</v>
      </c>
      <c r="F100" s="478">
        <v>7981</v>
      </c>
      <c r="G100" s="473">
        <f t="shared" si="8"/>
        <v>15</v>
      </c>
      <c r="H100" s="460">
        <f>G100+'16'!H100</f>
        <v>184</v>
      </c>
      <c r="I100" s="480"/>
      <c r="J100" s="552">
        <f>H100/DAY(B2)</f>
        <v>10.823529411764707</v>
      </c>
      <c r="K100" s="380"/>
      <c r="L100" s="377"/>
      <c r="N100" s="718"/>
      <c r="O100" s="725"/>
      <c r="P100" s="382"/>
    </row>
    <row r="101" spans="1:16" ht="27.75">
      <c r="A101" s="1220" t="s">
        <v>212</v>
      </c>
      <c r="B101" s="1221"/>
      <c r="C101" s="1221"/>
      <c r="D101" s="523" t="s">
        <v>142</v>
      </c>
      <c r="E101" s="484">
        <f>'16'!F101</f>
        <v>5841</v>
      </c>
      <c r="F101" s="478">
        <v>5848</v>
      </c>
      <c r="G101" s="473">
        <f t="shared" si="8"/>
        <v>7</v>
      </c>
      <c r="H101" s="460">
        <f>G101+'16'!H101</f>
        <v>174</v>
      </c>
      <c r="I101" s="480"/>
      <c r="J101" s="552">
        <f>H101/DAY(B2)</f>
        <v>10.235294117647058</v>
      </c>
      <c r="K101" s="380"/>
      <c r="L101" s="377"/>
      <c r="N101" s="718"/>
      <c r="O101" s="725"/>
      <c r="P101" s="382"/>
    </row>
    <row r="102" spans="1:16">
      <c r="A102" s="1594" t="s">
        <v>214</v>
      </c>
      <c r="B102" s="1595"/>
      <c r="C102" s="1596"/>
      <c r="D102" s="524"/>
      <c r="E102" s="484"/>
      <c r="F102" s="524"/>
      <c r="G102" s="525">
        <f>SUM(G96:G101)</f>
        <v>194</v>
      </c>
      <c r="H102" s="460">
        <f>G102+'16'!H102</f>
        <v>3217</v>
      </c>
      <c r="I102" s="526"/>
      <c r="J102" s="552">
        <f>H102/DAY(B2)</f>
        <v>189.23529411764707</v>
      </c>
      <c r="K102" s="380"/>
      <c r="L102" s="377"/>
      <c r="N102" s="718"/>
      <c r="O102" s="725"/>
      <c r="P102" s="382"/>
    </row>
    <row r="103" spans="1:16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4" t="s">
        <v>217</v>
      </c>
      <c r="B105" s="1555"/>
      <c r="C105" s="1219"/>
      <c r="D105" s="622" t="s">
        <v>142</v>
      </c>
      <c r="E105" s="484">
        <f>'16'!F105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4.0811764705881881</v>
      </c>
      <c r="N105" s="718"/>
      <c r="O105" s="725"/>
      <c r="P105" s="382"/>
    </row>
    <row r="106" spans="1:16" s="442" customFormat="1" ht="27.75">
      <c r="A106" s="1554" t="s">
        <v>76</v>
      </c>
      <c r="B106" s="1555"/>
      <c r="C106" s="1219"/>
      <c r="D106" s="622" t="s">
        <v>142</v>
      </c>
      <c r="E106" s="484">
        <f>'16'!F106</f>
        <v>36321</v>
      </c>
      <c r="F106" s="659">
        <v>36332</v>
      </c>
      <c r="G106" s="532">
        <f t="shared" ref="G106:G107" si="9">F106-E106</f>
        <v>11</v>
      </c>
      <c r="H106" s="533">
        <f>SUM(G106+'1'!G77)</f>
        <v>64</v>
      </c>
      <c r="I106" s="532"/>
      <c r="J106" s="558">
        <f>H106/DAY(B2)</f>
        <v>3.7647058823529411</v>
      </c>
      <c r="N106" s="718"/>
      <c r="O106" s="725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484">
        <f>'16'!F107</f>
        <v>19893</v>
      </c>
      <c r="F107" s="783">
        <v>19897</v>
      </c>
      <c r="G107" s="532">
        <f t="shared" si="9"/>
        <v>4</v>
      </c>
      <c r="H107" s="533">
        <f>SUM(G107+'1'!G78)</f>
        <v>118</v>
      </c>
      <c r="I107" s="532"/>
      <c r="J107" s="558">
        <f>H107/DAY(B2)</f>
        <v>6.9411764705882355</v>
      </c>
      <c r="N107" s="718"/>
      <c r="O107" s="725"/>
      <c r="P107" s="382"/>
    </row>
    <row r="108" spans="1:16" s="442" customFormat="1" ht="27.75">
      <c r="A108" s="1556" t="s">
        <v>200</v>
      </c>
      <c r="B108" s="1557"/>
      <c r="C108" s="1219"/>
      <c r="D108" s="622"/>
      <c r="E108" s="484">
        <f>'16'!F108</f>
        <v>0</v>
      </c>
      <c r="F108" s="659"/>
      <c r="G108" s="532">
        <f>SUM(G105:G107)</f>
        <v>15</v>
      </c>
      <c r="H108" s="533">
        <f>SUM(G108+'1'!G79)</f>
        <v>168</v>
      </c>
      <c r="I108" s="532"/>
      <c r="J108" s="558">
        <f>H108/DAY(B2)</f>
        <v>9.882352941176471</v>
      </c>
      <c r="N108" s="718"/>
      <c r="O108" s="725"/>
      <c r="P108" s="382"/>
    </row>
    <row r="109" spans="1:16" s="442" customFormat="1" ht="27.75">
      <c r="A109" s="1560" t="s">
        <v>78</v>
      </c>
      <c r="B109" s="1561"/>
      <c r="C109" s="1219"/>
      <c r="D109" s="622" t="s">
        <v>142</v>
      </c>
      <c r="E109" s="484">
        <f>'16'!F109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4" t="s">
        <v>218</v>
      </c>
      <c r="B110" s="1555"/>
      <c r="C110" s="1219"/>
      <c r="D110" s="622" t="s">
        <v>142</v>
      </c>
      <c r="E110" s="484">
        <f>'16'!F110</f>
        <v>66039</v>
      </c>
      <c r="F110" s="659">
        <v>66105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11.625882352941998</v>
      </c>
      <c r="N110" s="718"/>
      <c r="O110" s="725"/>
      <c r="P110" s="382"/>
    </row>
    <row r="111" spans="1:16" s="442" customFormat="1" ht="27.75">
      <c r="A111" s="1554" t="s">
        <v>219</v>
      </c>
      <c r="B111" s="1555"/>
      <c r="C111" s="1219"/>
      <c r="D111" s="622" t="s">
        <v>142</v>
      </c>
      <c r="E111" s="484">
        <f>'16'!F111</f>
        <v>33603</v>
      </c>
      <c r="F111" s="659">
        <v>33629</v>
      </c>
      <c r="G111" s="532">
        <f t="shared" ref="G111:G112" si="10">F111-E111</f>
        <v>26</v>
      </c>
      <c r="H111" s="533">
        <f>SUM(G111+'1'!G82)</f>
        <v>50.899999999994179</v>
      </c>
      <c r="I111" s="532"/>
      <c r="J111" s="558">
        <f>H111/DAY(B2)</f>
        <v>2.9941176470584812</v>
      </c>
      <c r="N111" s="718"/>
      <c r="O111" s="725"/>
      <c r="P111" s="382"/>
    </row>
    <row r="112" spans="1:16" s="442" customFormat="1" ht="27.75">
      <c r="A112" s="1554" t="s">
        <v>220</v>
      </c>
      <c r="B112" s="1555"/>
      <c r="C112" s="1219"/>
      <c r="D112" s="622" t="s">
        <v>142</v>
      </c>
      <c r="E112" s="484">
        <f>'16'!F112</f>
        <v>4621.3</v>
      </c>
      <c r="F112" s="659">
        <v>4621.3</v>
      </c>
      <c r="G112" s="532">
        <f t="shared" si="10"/>
        <v>0</v>
      </c>
      <c r="H112" s="533">
        <f>SUM(G112+'1'!G83)</f>
        <v>351</v>
      </c>
      <c r="I112" s="532"/>
      <c r="J112" s="558">
        <f>H112/DAY(B2)</f>
        <v>20.647058823529413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219"/>
      <c r="D113" s="622"/>
      <c r="E113" s="484">
        <f>'16'!F113</f>
        <v>0</v>
      </c>
      <c r="F113" s="659"/>
      <c r="G113" s="532">
        <f>SUM(G110:G112)</f>
        <v>92</v>
      </c>
      <c r="H113" s="533">
        <f>SUM(G113+'1'!G84)</f>
        <v>908</v>
      </c>
      <c r="I113" s="532"/>
      <c r="J113" s="558">
        <f>H113/DAY(B2)</f>
        <v>53.411764705882355</v>
      </c>
      <c r="N113" s="718"/>
      <c r="O113" s="725"/>
      <c r="P113" s="382"/>
    </row>
    <row r="114" spans="1:16" s="442" customFormat="1" ht="27.75">
      <c r="A114" s="1560" t="s">
        <v>221</v>
      </c>
      <c r="B114" s="1561"/>
      <c r="C114" s="1219"/>
      <c r="D114" s="622"/>
      <c r="E114" s="484">
        <f>'16'!F114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484">
        <f>'16'!F115</f>
        <v>12226</v>
      </c>
      <c r="F115" s="659">
        <v>12242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0.94117647058823528</v>
      </c>
      <c r="N115" s="718"/>
      <c r="O115" s="725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484">
        <f>'16'!F116</f>
        <v>8694</v>
      </c>
      <c r="F116" s="659">
        <v>8702</v>
      </c>
      <c r="G116" s="534">
        <f t="shared" ref="G116:G117" si="11">F116-E116</f>
        <v>8</v>
      </c>
      <c r="H116" s="533">
        <f>SUM(G116+'1'!G93)</f>
        <v>97</v>
      </c>
      <c r="I116" s="532"/>
      <c r="J116" s="558">
        <f>H116/DAY(B2)</f>
        <v>5.7058823529411766</v>
      </c>
      <c r="N116" s="718"/>
      <c r="O116" s="725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1"/>
        <v>0</v>
      </c>
      <c r="H117" s="533">
        <f>SUM(G117+'1'!G94)</f>
        <v>97</v>
      </c>
      <c r="I117" s="532"/>
      <c r="J117" s="558">
        <f>H117/DAY(B2)</f>
        <v>5.7058823529411766</v>
      </c>
      <c r="N117" s="718"/>
      <c r="O117" s="725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24</v>
      </c>
      <c r="H118" s="533">
        <f>SUM(G118+'1'!G96)</f>
        <v>110</v>
      </c>
      <c r="I118" s="534"/>
      <c r="J118" s="558">
        <f>H118/DAY(B2)</f>
        <v>6.4705882352941178</v>
      </c>
      <c r="N118" s="718"/>
      <c r="O118" s="725"/>
      <c r="P118" s="382"/>
    </row>
    <row r="119" spans="1:16" s="446" customFormat="1" ht="27.75">
      <c r="A119" s="1550" t="s">
        <v>225</v>
      </c>
      <c r="B119" s="1551"/>
      <c r="C119" s="1217"/>
      <c r="D119" s="624" t="s">
        <v>142</v>
      </c>
      <c r="E119" s="536"/>
      <c r="F119" s="660">
        <f>SUM(G19+G93)</f>
        <v>162</v>
      </c>
      <c r="G119" s="536">
        <f>SUM(G19+G93)</f>
        <v>162</v>
      </c>
      <c r="H119" s="533">
        <f>SUM(G119+'1'!G97)</f>
        <v>179</v>
      </c>
      <c r="I119" s="535"/>
      <c r="J119" s="559">
        <f>H119/DAY(B2)</f>
        <v>10.529411764705882</v>
      </c>
      <c r="N119" s="718"/>
      <c r="O119" s="725"/>
      <c r="P119" s="382"/>
    </row>
    <row r="120" spans="1:16" s="446" customFormat="1" ht="27.75">
      <c r="A120" s="1550" t="s">
        <v>226</v>
      </c>
      <c r="B120" s="1551"/>
      <c r="C120" s="1217"/>
      <c r="D120" s="624" t="s">
        <v>142</v>
      </c>
      <c r="E120" s="536"/>
      <c r="F120" s="660">
        <f>SUM(G96,G97,G98,G100,G101)</f>
        <v>171</v>
      </c>
      <c r="G120" s="536">
        <f>SUM(G96,G97,G98,G100,G101)</f>
        <v>171</v>
      </c>
      <c r="H120" s="533">
        <f>SUM(G120+'1'!G99)</f>
        <v>221</v>
      </c>
      <c r="I120" s="535"/>
      <c r="J120" s="559">
        <f>H120/DAY(B2)</f>
        <v>13</v>
      </c>
      <c r="N120" s="718"/>
      <c r="O120" s="725"/>
      <c r="P120" s="382"/>
    </row>
    <row r="121" spans="1:16" s="446" customFormat="1" ht="27.75">
      <c r="A121" s="1550" t="s">
        <v>227</v>
      </c>
      <c r="B121" s="1551"/>
      <c r="C121" s="1217"/>
      <c r="D121" s="624" t="s">
        <v>142</v>
      </c>
      <c r="E121" s="534"/>
      <c r="F121" s="659">
        <f>SUM(G113)</f>
        <v>92</v>
      </c>
      <c r="G121" s="534">
        <f>SUM(G113)</f>
        <v>92</v>
      </c>
      <c r="H121" s="533">
        <f>SUM(G121+'1'!G101)</f>
        <v>97</v>
      </c>
      <c r="I121" s="535"/>
      <c r="J121" s="559">
        <f>H121/DAY(B2)</f>
        <v>5.7058823529411766</v>
      </c>
      <c r="N121" s="718"/>
      <c r="O121" s="725"/>
      <c r="P121" s="382"/>
    </row>
    <row r="122" spans="1:16" s="442" customFormat="1" ht="27.75">
      <c r="A122" s="1552"/>
      <c r="B122" s="1553"/>
      <c r="C122" s="1218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5"/>
      <c r="P122" s="382"/>
    </row>
    <row r="123" spans="1:16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20" t="s">
        <v>229</v>
      </c>
      <c r="B124" s="1221"/>
      <c r="C124" s="1221"/>
      <c r="D124" s="523" t="s">
        <v>139</v>
      </c>
      <c r="E124" s="478">
        <f>'16'!F124</f>
        <v>843994.51</v>
      </c>
      <c r="F124" s="478">
        <v>844283.53</v>
      </c>
      <c r="G124" s="473">
        <f t="shared" ref="G124:G128" si="12">F124-E124</f>
        <v>289.02000000001863</v>
      </c>
      <c r="H124" s="460">
        <f>G124+'16'!H124</f>
        <v>4613.5300000000279</v>
      </c>
      <c r="I124" s="526"/>
      <c r="J124" s="552">
        <f>H124/DAY(B2)</f>
        <v>271.38411764706046</v>
      </c>
      <c r="K124" s="380"/>
      <c r="L124" s="377"/>
      <c r="N124" s="718"/>
      <c r="O124" s="725"/>
      <c r="P124" s="382"/>
    </row>
    <row r="125" spans="1:16" ht="27.75">
      <c r="A125" s="1220" t="s">
        <v>230</v>
      </c>
      <c r="B125" s="1221"/>
      <c r="C125" s="1221"/>
      <c r="D125" s="523" t="s">
        <v>139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478">
        <f>'16'!F126</f>
        <v>150071.53</v>
      </c>
      <c r="F126" s="478">
        <v>150185.73000000001</v>
      </c>
      <c r="G126" s="473">
        <f t="shared" si="12"/>
        <v>114.20000000001164</v>
      </c>
      <c r="H126" s="460">
        <f>G126+'16'!H126</f>
        <v>1588.7300000000105</v>
      </c>
      <c r="I126" s="526"/>
      <c r="J126" s="552">
        <f>H126/DAY(B2)</f>
        <v>93.454705882353551</v>
      </c>
      <c r="K126" s="380"/>
      <c r="L126" s="377"/>
      <c r="N126" s="718"/>
      <c r="O126" s="725"/>
      <c r="P126" s="382"/>
    </row>
    <row r="127" spans="1:16" ht="27.75">
      <c r="A127" s="609" t="s">
        <v>232</v>
      </c>
      <c r="B127" s="1221"/>
      <c r="C127" s="1221"/>
      <c r="D127" s="523" t="s">
        <v>139</v>
      </c>
      <c r="E127" s="626">
        <f>'16'!F127</f>
        <v>32684.2</v>
      </c>
      <c r="F127" s="626">
        <v>32725.200000000001</v>
      </c>
      <c r="G127" s="473">
        <f t="shared" si="12"/>
        <v>41</v>
      </c>
      <c r="H127" s="460">
        <f>G127+'16'!H127</f>
        <v>654.20000000000073</v>
      </c>
      <c r="I127" s="526"/>
      <c r="J127" s="552">
        <f>H127/DAY(B2)</f>
        <v>38.482352941176515</v>
      </c>
      <c r="K127" s="380"/>
      <c r="L127" s="377"/>
      <c r="N127" s="718"/>
      <c r="O127" s="725"/>
      <c r="P127" s="382"/>
    </row>
    <row r="128" spans="1:16" ht="27.75">
      <c r="A128" s="609" t="s">
        <v>233</v>
      </c>
      <c r="B128" s="1221"/>
      <c r="C128" s="1221"/>
      <c r="D128" s="523" t="s">
        <v>139</v>
      </c>
      <c r="E128" s="626">
        <f>'16'!F128</f>
        <v>9073.4</v>
      </c>
      <c r="F128" s="626">
        <v>9080.1</v>
      </c>
      <c r="G128" s="473">
        <f t="shared" si="12"/>
        <v>6.7000000000007276</v>
      </c>
      <c r="H128" s="460">
        <f>G128+'16'!H128</f>
        <v>68.100000000000364</v>
      </c>
      <c r="I128" s="480"/>
      <c r="J128" s="552">
        <f>H128/DAY(B2)</f>
        <v>4.0058823529411978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234</v>
      </c>
      <c r="B129" s="1221"/>
      <c r="C129" s="1221"/>
      <c r="D129" s="523"/>
      <c r="E129" s="478"/>
      <c r="F129" s="478"/>
      <c r="G129" s="473">
        <f>G15-SUM(G124:G128)</f>
        <v>530.7410000000491</v>
      </c>
      <c r="H129" s="460">
        <f>G129+'16'!H129</f>
        <v>955.47800000007192</v>
      </c>
      <c r="I129" s="480"/>
      <c r="J129" s="552">
        <f>H129/DAY(B2)</f>
        <v>56.204588235298345</v>
      </c>
      <c r="K129" s="364"/>
      <c r="L129" s="292"/>
      <c r="N129" s="718"/>
      <c r="O129" s="725"/>
      <c r="P129" s="382"/>
    </row>
    <row r="130" spans="1:16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20" t="s">
        <v>236</v>
      </c>
      <c r="B131" s="1221"/>
      <c r="C131" s="1221"/>
      <c r="D131" s="523" t="s">
        <v>237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20" t="s">
        <v>238</v>
      </c>
      <c r="B132" s="1221"/>
      <c r="C132" s="1221"/>
      <c r="D132" s="523" t="s">
        <v>237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20" t="s">
        <v>239</v>
      </c>
      <c r="B133" s="1221"/>
      <c r="C133" s="1221"/>
      <c r="D133" s="523" t="s">
        <v>237</v>
      </c>
      <c r="E133" s="541">
        <f>'16'!F133</f>
        <v>40612.1</v>
      </c>
      <c r="F133" s="651">
        <v>40612.1</v>
      </c>
      <c r="G133" s="473">
        <f>F133-E133</f>
        <v>0</v>
      </c>
      <c r="H133" s="460">
        <f>G133+'16'!H133</f>
        <v>159.09999999999854</v>
      </c>
      <c r="I133" s="480"/>
      <c r="J133" s="552">
        <f>H133/DAY(B2)</f>
        <v>9.3588235294116799</v>
      </c>
      <c r="N133" s="718"/>
      <c r="O133" s="725"/>
      <c r="P133" s="382"/>
    </row>
    <row r="134" spans="1:16" ht="27.75">
      <c r="A134" s="1220" t="s">
        <v>240</v>
      </c>
      <c r="B134" s="1221"/>
      <c r="C134" s="1221"/>
      <c r="D134" s="523" t="s">
        <v>237</v>
      </c>
      <c r="E134" s="701">
        <f>'16'!F134</f>
        <v>384.48</v>
      </c>
      <c r="F134" s="626">
        <v>397.13</v>
      </c>
      <c r="G134" s="473">
        <f t="shared" si="13"/>
        <v>12.649999999999977</v>
      </c>
      <c r="H134" s="460">
        <f>G134+'16'!H134</f>
        <v>97.13</v>
      </c>
      <c r="I134" s="480">
        <f>G131+G132+G133+G134</f>
        <v>12.649999999999977</v>
      </c>
      <c r="J134" s="552">
        <f>H134/DAY(B2)</f>
        <v>5.7135294117647053</v>
      </c>
      <c r="N134" s="718"/>
      <c r="O134" s="725"/>
      <c r="P134" s="382"/>
    </row>
    <row r="135" spans="1:16" ht="27.75">
      <c r="A135" s="1220" t="s">
        <v>241</v>
      </c>
      <c r="B135" s="1221"/>
      <c r="C135" s="1221"/>
      <c r="D135" s="523" t="s">
        <v>237</v>
      </c>
      <c r="E135" s="701">
        <f>'16'!F135</f>
        <v>42209</v>
      </c>
      <c r="F135" s="626">
        <v>42233.09</v>
      </c>
      <c r="G135" s="473">
        <f t="shared" si="13"/>
        <v>24.089999999996508</v>
      </c>
      <c r="H135" s="460">
        <f>G135+'16'!H135</f>
        <v>261.08999999999651</v>
      </c>
      <c r="I135" s="480"/>
      <c r="J135" s="552">
        <f>H135/DAY(B2)</f>
        <v>15.358235294117442</v>
      </c>
      <c r="N135" s="718"/>
      <c r="O135" s="725"/>
      <c r="P135" s="382"/>
    </row>
    <row r="136" spans="1:16" ht="27.75">
      <c r="A136" s="1220" t="s">
        <v>242</v>
      </c>
      <c r="B136" s="1221"/>
      <c r="C136" s="1221"/>
      <c r="D136" s="523" t="s">
        <v>237</v>
      </c>
      <c r="E136" s="541">
        <f>'16'!F136</f>
        <v>32874</v>
      </c>
      <c r="F136" s="651">
        <v>32874</v>
      </c>
      <c r="G136" s="473">
        <f t="shared" si="13"/>
        <v>0</v>
      </c>
      <c r="H136" s="460">
        <f>G136+'16'!H136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20" t="s">
        <v>243</v>
      </c>
      <c r="B137" s="1221"/>
      <c r="C137" s="1221"/>
      <c r="D137" s="523" t="s">
        <v>237</v>
      </c>
      <c r="E137" s="541">
        <f>'16'!F137</f>
        <v>23005.79</v>
      </c>
      <c r="F137" s="651">
        <v>23014.9</v>
      </c>
      <c r="G137" s="473">
        <f t="shared" si="13"/>
        <v>9.1100000000005821</v>
      </c>
      <c r="H137" s="460">
        <f>G137+'16'!H137</f>
        <v>123.40999999999985</v>
      </c>
      <c r="I137" s="480">
        <f>G135+G136+G137</f>
        <v>33.19999999999709</v>
      </c>
      <c r="J137" s="552">
        <f>H137/DAY(B2)</f>
        <v>7.2594117647058738</v>
      </c>
      <c r="N137" s="718"/>
      <c r="O137" s="725"/>
      <c r="P137" s="382"/>
    </row>
    <row r="138" spans="1:16" ht="27.75">
      <c r="A138" s="1220" t="s">
        <v>244</v>
      </c>
      <c r="B138" s="1221"/>
      <c r="C138" s="1221"/>
      <c r="D138" s="523" t="s">
        <v>237</v>
      </c>
      <c r="E138" s="541">
        <f>'16'!F138</f>
        <v>25099.16</v>
      </c>
      <c r="F138" s="651">
        <v>25099.16</v>
      </c>
      <c r="G138" s="473">
        <f t="shared" si="13"/>
        <v>0</v>
      </c>
      <c r="H138" s="460">
        <f>G138+'16'!H138</f>
        <v>7.7700000000004366</v>
      </c>
      <c r="I138" s="480"/>
      <c r="J138" s="552">
        <f>H138/DAY(B2)</f>
        <v>0.45705882352943744</v>
      </c>
      <c r="N138" s="718"/>
      <c r="O138" s="725"/>
      <c r="P138" s="382"/>
    </row>
    <row r="139" spans="1:16" ht="27.75">
      <c r="A139" s="1220" t="s">
        <v>245</v>
      </c>
      <c r="B139" s="1221"/>
      <c r="C139" s="1221"/>
      <c r="D139" s="523" t="s">
        <v>237</v>
      </c>
      <c r="E139" s="541">
        <f>'16'!F139</f>
        <v>70516.600000000006</v>
      </c>
      <c r="F139" s="651">
        <v>70516.600000000006</v>
      </c>
      <c r="G139" s="473">
        <f t="shared" si="13"/>
        <v>0</v>
      </c>
      <c r="H139" s="460">
        <f>G139+'16'!H139</f>
        <v>2.9800000000104774</v>
      </c>
      <c r="I139" s="480">
        <f>G138+G139</f>
        <v>0</v>
      </c>
      <c r="J139" s="552">
        <f>H139/DAY(B2)</f>
        <v>0.17529411764767514</v>
      </c>
      <c r="N139" s="718"/>
      <c r="O139" s="725"/>
      <c r="P139" s="382"/>
    </row>
    <row r="140" spans="1:16" ht="27.75">
      <c r="A140" s="1220" t="s">
        <v>246</v>
      </c>
      <c r="B140" s="1221"/>
      <c r="C140" s="1221"/>
      <c r="D140" s="523" t="s">
        <v>237</v>
      </c>
      <c r="E140" s="701">
        <f>'16'!F140</f>
        <v>2247.77</v>
      </c>
      <c r="F140" s="626">
        <v>2247.77</v>
      </c>
      <c r="G140" s="473">
        <f t="shared" si="13"/>
        <v>0</v>
      </c>
      <c r="H140" s="460">
        <f>G140+'16'!H140</f>
        <v>118.59000000000015</v>
      </c>
      <c r="I140" s="542"/>
      <c r="J140" s="552">
        <f>H140/DAY(B2)</f>
        <v>6.9758823529411851</v>
      </c>
      <c r="N140" s="718"/>
      <c r="O140" s="725"/>
      <c r="P140" s="382"/>
    </row>
    <row r="141" spans="1:16" ht="27.75">
      <c r="A141" s="1220" t="s">
        <v>247</v>
      </c>
      <c r="B141" s="1221"/>
      <c r="C141" s="1221"/>
      <c r="D141" s="523" t="s">
        <v>237</v>
      </c>
      <c r="E141" s="484">
        <f>'16'!F141</f>
        <v>4675.7700000000004</v>
      </c>
      <c r="F141" s="478">
        <v>4685.83</v>
      </c>
      <c r="G141" s="473">
        <f t="shared" si="13"/>
        <v>10.059999999999491</v>
      </c>
      <c r="H141" s="460">
        <f>G141+'16'!H141</f>
        <v>48.829999999999927</v>
      </c>
      <c r="I141" s="542"/>
      <c r="J141" s="552">
        <f>H141/DAY(B2)</f>
        <v>2.8723529411764663</v>
      </c>
      <c r="N141" s="718"/>
      <c r="O141" s="725"/>
      <c r="P141" s="382"/>
    </row>
    <row r="142" spans="1:16">
      <c r="A142" s="1565" t="s">
        <v>248</v>
      </c>
      <c r="B142" s="1566"/>
      <c r="C142" s="1226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v>3349</v>
      </c>
      <c r="H143" s="460">
        <f>G143+'16'!H143</f>
        <v>93642.300000000032</v>
      </c>
      <c r="I143" s="480"/>
      <c r="J143" s="552">
        <f>H143/DAY(B2)</f>
        <v>5508.3705882352961</v>
      </c>
      <c r="K143" s="380"/>
      <c r="L143" s="377"/>
      <c r="N143" s="718"/>
      <c r="O143" s="725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0.13515760450197084</v>
      </c>
      <c r="H144" s="460">
        <f>G144+'16'!H144</f>
        <v>4.2964649978983962</v>
      </c>
      <c r="I144" s="544"/>
      <c r="J144" s="552">
        <f>H144/DAY(B2)</f>
        <v>0.2527332351704939</v>
      </c>
      <c r="K144" s="380"/>
      <c r="L144" s="377"/>
      <c r="N144" s="718"/>
      <c r="O144" s="725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8133.399999999936</v>
      </c>
      <c r="H145" s="460">
        <f>G145+'16'!H145</f>
        <v>113655.33999999995</v>
      </c>
      <c r="I145" s="480"/>
      <c r="J145" s="552">
        <f>H145/DAY(B2)</f>
        <v>6685.6082352941148</v>
      </c>
      <c r="K145" s="380"/>
      <c r="L145" s="377"/>
      <c r="N145" s="718"/>
      <c r="O145" s="725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0.32824450894485552</v>
      </c>
      <c r="H146" s="460">
        <f>G146+'16'!H146</f>
        <v>5.1855855535418769</v>
      </c>
      <c r="I146" s="544"/>
      <c r="J146" s="552">
        <f>H146/DAY(B2)</f>
        <v>0.30503444432599275</v>
      </c>
      <c r="K146" s="380"/>
      <c r="L146" s="377"/>
      <c r="N146" s="718"/>
      <c r="O146" s="725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3718.9299999999348</v>
      </c>
      <c r="H147" s="460">
        <f>G147+'16'!H147</f>
        <v>62697.419999999984</v>
      </c>
      <c r="I147" s="545"/>
      <c r="J147" s="552">
        <f>H147/DAY(B2)</f>
        <v>3688.0835294117637</v>
      </c>
      <c r="K147" s="380"/>
      <c r="L147" s="377"/>
      <c r="N147" s="718"/>
      <c r="O147" s="725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0.15008709170215159</v>
      </c>
      <c r="H148" s="460">
        <f>G148+'16'!H148</f>
        <v>2.8699286776510688</v>
      </c>
      <c r="I148" s="545"/>
      <c r="J148" s="552">
        <f>H148/DAY(B2)</f>
        <v>0.16881933397947463</v>
      </c>
      <c r="N148" s="718"/>
      <c r="O148" s="725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1759.9199999999837</v>
      </c>
      <c r="H149" s="460">
        <f>G149+'16'!H149</f>
        <v>27551.559999999939</v>
      </c>
      <c r="I149" s="480"/>
      <c r="J149" s="552">
        <f>H149/DAY(B2)</f>
        <v>1620.6799999999964</v>
      </c>
      <c r="K149" s="381"/>
      <c r="N149" s="718"/>
      <c r="O149" s="725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7.1026148496597885E-2</v>
      </c>
      <c r="H150" s="460">
        <f>G150+'16'!H150</f>
        <v>1.2591066347952757</v>
      </c>
      <c r="I150" s="545"/>
      <c r="J150" s="552">
        <f>H150/DAY(B2)</f>
        <v>7.4065096164427982E-2</v>
      </c>
      <c r="N150" s="718"/>
      <c r="O150" s="725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2432.2599999999438</v>
      </c>
      <c r="H151" s="460">
        <f>G151+'16'!H151</f>
        <v>34782.519999999997</v>
      </c>
      <c r="I151" s="545"/>
      <c r="J151" s="552">
        <f>H151/DAY(B2)</f>
        <v>2046.0305882352939</v>
      </c>
      <c r="N151" s="718"/>
      <c r="O151" s="725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9.8160177702584658E-2</v>
      </c>
      <c r="H152" s="460">
        <f>G152+'16'!H152</f>
        <v>1.5853636958377293</v>
      </c>
      <c r="I152" s="480"/>
      <c r="J152" s="552">
        <f>H152/DAY(B2)</f>
        <v>9.3256687990454668E-2</v>
      </c>
      <c r="N152" s="718"/>
      <c r="O152" s="725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1656.5500000000175</v>
      </c>
      <c r="H153" s="460">
        <f>G153+'16'!H153</f>
        <v>26631.320000000007</v>
      </c>
      <c r="I153" s="480"/>
      <c r="J153" s="552">
        <f>H153/DAY(B2)</f>
        <v>1566.5482352941181</v>
      </c>
      <c r="N153" s="718"/>
      <c r="O153" s="725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6.6854383319719962E-2</v>
      </c>
      <c r="H154" s="460">
        <f>G154+'16'!H154</f>
        <v>1.2182491680400227</v>
      </c>
      <c r="I154" s="568"/>
      <c r="J154" s="569">
        <f>H154/DAY(B2)</f>
        <v>7.1661715767060152E-2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261</v>
      </c>
      <c r="B161" s="795"/>
      <c r="C161" s="795"/>
      <c r="D161" s="620" t="s">
        <v>185</v>
      </c>
      <c r="E161" s="522">
        <f>'16'!F161</f>
        <v>42126.62</v>
      </c>
      <c r="F161" s="803">
        <v>42207.75</v>
      </c>
      <c r="G161" s="473">
        <f t="shared" ref="G161:G164" si="14">F161-E161</f>
        <v>81.129999999997381</v>
      </c>
      <c r="N161" s="718"/>
    </row>
    <row r="162" spans="1:14">
      <c r="A162" s="794" t="s">
        <v>262</v>
      </c>
      <c r="B162" s="795"/>
      <c r="C162" s="795"/>
      <c r="D162" s="620" t="s">
        <v>185</v>
      </c>
      <c r="E162" s="522">
        <f>'16'!F162</f>
        <v>115140.88</v>
      </c>
      <c r="F162" s="803">
        <v>115588.27</v>
      </c>
      <c r="G162" s="473">
        <f t="shared" si="14"/>
        <v>447.38999999999942</v>
      </c>
      <c r="N162" s="718"/>
    </row>
    <row r="163" spans="1:14">
      <c r="A163" s="794" t="s">
        <v>263</v>
      </c>
      <c r="B163" s="795"/>
      <c r="C163" s="795"/>
      <c r="D163" s="620" t="s">
        <v>185</v>
      </c>
      <c r="E163" s="522">
        <f>'16'!F163</f>
        <v>64518.62</v>
      </c>
      <c r="F163" s="783">
        <v>64721.63</v>
      </c>
      <c r="G163" s="473">
        <f t="shared" si="14"/>
        <v>203.00999999999476</v>
      </c>
      <c r="N163" s="718"/>
    </row>
    <row r="164" spans="1:14">
      <c r="A164" s="794" t="s">
        <v>264</v>
      </c>
      <c r="B164" s="795"/>
      <c r="C164" s="795"/>
      <c r="D164" s="620" t="s">
        <v>185</v>
      </c>
      <c r="E164" s="522">
        <f>'16'!F164</f>
        <v>7006.85</v>
      </c>
      <c r="F164" s="803">
        <v>7017.85</v>
      </c>
      <c r="G164" s="473">
        <f t="shared" si="14"/>
        <v>11</v>
      </c>
      <c r="N164" s="718"/>
    </row>
    <row r="165" spans="1:14">
      <c r="A165" s="796" t="s">
        <v>97</v>
      </c>
      <c r="B165" s="797"/>
      <c r="C165" s="797"/>
      <c r="D165" s="620" t="s">
        <v>185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8"/>
    </row>
    <row r="166" spans="1:14">
      <c r="A166" s="796" t="s">
        <v>186</v>
      </c>
      <c r="B166" s="797"/>
      <c r="C166" s="797"/>
      <c r="D166" s="620" t="s">
        <v>185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185</v>
      </c>
      <c r="E167" s="522">
        <f t="shared" si="16"/>
        <v>176328.81</v>
      </c>
      <c r="F167" s="514">
        <f t="shared" si="17"/>
        <v>176694.07</v>
      </c>
      <c r="G167" s="473">
        <f t="shared" si="15"/>
        <v>365.26000000000931</v>
      </c>
      <c r="N167" s="718"/>
    </row>
    <row r="168" spans="1:14" ht="27.75">
      <c r="A168" s="1615" t="s">
        <v>99</v>
      </c>
      <c r="B168" s="1615"/>
      <c r="C168" s="1615"/>
      <c r="D168" s="524" t="s">
        <v>185</v>
      </c>
      <c r="E168" s="522">
        <f t="shared" si="16"/>
        <v>176333.07</v>
      </c>
      <c r="F168" s="514">
        <f>F65</f>
        <v>176719.61</v>
      </c>
      <c r="G168" s="473">
        <f t="shared" si="15"/>
        <v>386.53999999997905</v>
      </c>
      <c r="N168" s="718"/>
    </row>
    <row r="169" spans="1:14" ht="27.75">
      <c r="A169" s="1615" t="s">
        <v>100</v>
      </c>
      <c r="B169" s="1615"/>
      <c r="C169" s="1615"/>
      <c r="D169" s="524" t="s">
        <v>185</v>
      </c>
      <c r="E169" s="522">
        <f t="shared" si="16"/>
        <v>74541.64</v>
      </c>
      <c r="F169" s="514">
        <f t="shared" si="17"/>
        <v>74932.600000000006</v>
      </c>
      <c r="G169" s="473">
        <f t="shared" si="15"/>
        <v>390.9600000000064</v>
      </c>
      <c r="N169" s="718"/>
    </row>
    <row r="170" spans="1:14" ht="27.75">
      <c r="A170" s="1615" t="s">
        <v>101</v>
      </c>
      <c r="B170" s="1615"/>
      <c r="C170" s="1615"/>
      <c r="D170" s="524" t="s">
        <v>185</v>
      </c>
      <c r="E170" s="522">
        <f t="shared" si="16"/>
        <v>272493.05</v>
      </c>
      <c r="F170" s="514">
        <f t="shared" si="17"/>
        <v>272970.90999999997</v>
      </c>
      <c r="G170" s="473">
        <f t="shared" si="15"/>
        <v>477.85999999998603</v>
      </c>
      <c r="N170" s="718"/>
    </row>
    <row r="171" spans="1:14" ht="27.75">
      <c r="A171" s="1615" t="s">
        <v>102</v>
      </c>
      <c r="B171" s="1615"/>
      <c r="C171" s="1615"/>
      <c r="D171" s="524" t="s">
        <v>185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185</v>
      </c>
      <c r="E172" s="522">
        <f t="shared" si="16"/>
        <v>91726.12</v>
      </c>
      <c r="F172" s="514">
        <f t="shared" si="17"/>
        <v>92028.09</v>
      </c>
      <c r="G172" s="473">
        <f t="shared" si="15"/>
        <v>301.97000000000116</v>
      </c>
      <c r="N172" s="718"/>
    </row>
    <row r="173" spans="1:14" ht="18.75" customHeight="1">
      <c r="N173" s="718"/>
    </row>
    <row r="174" spans="1:14">
      <c r="A174" s="1590" t="s">
        <v>348</v>
      </c>
      <c r="B174" s="1553"/>
      <c r="C174" s="785"/>
      <c r="D174" s="523" t="s">
        <v>185</v>
      </c>
      <c r="E174" s="532">
        <f>'16'!F178</f>
        <v>19077.2</v>
      </c>
      <c r="F174" s="532">
        <v>19082.099999999999</v>
      </c>
      <c r="G174" s="473">
        <f t="shared" ref="G174:G176" si="18">F174-E174</f>
        <v>4.8999999999978172</v>
      </c>
      <c r="N174" s="718"/>
    </row>
    <row r="175" spans="1:14">
      <c r="A175" s="1590" t="s">
        <v>348</v>
      </c>
      <c r="B175" s="1553"/>
      <c r="C175" s="785"/>
      <c r="D175" s="523" t="s">
        <v>185</v>
      </c>
      <c r="E175" s="532">
        <f>'16'!F179</f>
        <v>70435.8</v>
      </c>
      <c r="F175" s="532">
        <v>70442</v>
      </c>
      <c r="G175" s="473">
        <f t="shared" si="18"/>
        <v>6.1999999999970896</v>
      </c>
      <c r="N175" s="718"/>
    </row>
    <row r="176" spans="1:14">
      <c r="A176" s="1590" t="s">
        <v>349</v>
      </c>
      <c r="B176" s="1553"/>
      <c r="C176" s="785"/>
      <c r="D176" s="523" t="s">
        <v>185</v>
      </c>
      <c r="E176" s="532">
        <f>'16'!F180</f>
        <v>27712</v>
      </c>
      <c r="F176" s="532">
        <v>27717.200000000001</v>
      </c>
      <c r="G176" s="473">
        <f t="shared" si="18"/>
        <v>5.2000000000007276</v>
      </c>
      <c r="N176" s="718"/>
    </row>
    <row r="177" spans="14:14" ht="18.75" customHeight="1">
      <c r="N177" s="718"/>
    </row>
    <row r="178" spans="14:14" ht="17.2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7.25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7.25" customHeight="1">
      <c r="N184" s="718"/>
    </row>
    <row r="185" spans="14:14" ht="17.25" customHeight="1">
      <c r="N185" s="718"/>
    </row>
    <row r="186" spans="14:14" ht="17.25" customHeight="1">
      <c r="N186" s="718"/>
    </row>
    <row r="187" spans="14:14" ht="17.25" customHeight="1">
      <c r="N187" s="718"/>
    </row>
    <row r="188" spans="14:14" ht="17.25" customHeight="1">
      <c r="N188" s="718"/>
    </row>
    <row r="189" spans="14:14" ht="17.25" customHeight="1">
      <c r="N189" s="718"/>
    </row>
    <row r="190" spans="14:14" ht="17.2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Normal="68" zoomScaleSheetLayoutView="55" workbookViewId="0">
      <selection activeCell="F148" sqref="F14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6" s="281" customFormat="1" ht="27">
      <c r="A2" s="575" t="s">
        <v>357</v>
      </c>
      <c r="B2" s="1031">
        <v>44395</v>
      </c>
      <c r="C2" s="1319" t="s">
        <v>68</v>
      </c>
      <c r="D2" s="611">
        <v>0.54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N2" s="717"/>
      <c r="O2" s="724"/>
    </row>
    <row r="3" spans="1:16" s="281" customFormat="1" ht="27">
      <c r="A3" s="570"/>
      <c r="B3" s="614"/>
      <c r="C3" s="1319" t="s">
        <v>118</v>
      </c>
      <c r="D3" s="612">
        <v>29</v>
      </c>
      <c r="E3" s="1576" t="s">
        <v>119</v>
      </c>
      <c r="F3" s="1577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724"/>
    </row>
    <row r="4" spans="1:16" s="281" customFormat="1" ht="27">
      <c r="A4" s="576"/>
      <c r="B4" s="616"/>
      <c r="C4" s="1319" t="s">
        <v>120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6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129</v>
      </c>
      <c r="B7" s="677"/>
      <c r="C7" s="677"/>
      <c r="D7" s="637" t="s">
        <v>130</v>
      </c>
      <c r="E7" s="633">
        <f>'17'!F7</f>
        <v>294110.21000000002</v>
      </c>
      <c r="F7" s="455">
        <v>319948.33</v>
      </c>
      <c r="G7" s="678">
        <f>F7-E7</f>
        <v>25838.119999999995</v>
      </c>
      <c r="H7" s="679">
        <f>G7+'17'!H7</f>
        <v>397995.33000000007</v>
      </c>
      <c r="I7" s="680">
        <f>'1'!I7</f>
        <v>12000</v>
      </c>
      <c r="J7" s="681">
        <f>H7/DAY(B2)</f>
        <v>22110.851666666669</v>
      </c>
      <c r="K7" s="549"/>
      <c r="L7" s="377"/>
      <c r="N7" s="1518">
        <f>G7-'17'!G7</f>
        <v>1059.6399999999558</v>
      </c>
      <c r="O7" s="725"/>
      <c r="P7" s="728"/>
    </row>
    <row r="8" spans="1:16" ht="27.75" thickBot="1">
      <c r="A8" s="682" t="s">
        <v>131</v>
      </c>
      <c r="B8" s="683"/>
      <c r="C8" s="684"/>
      <c r="D8" s="685" t="s">
        <v>25</v>
      </c>
      <c r="E8" s="633">
        <f>'17'!F8</f>
        <v>300718.13</v>
      </c>
      <c r="F8" s="475">
        <v>326669.21000000002</v>
      </c>
      <c r="G8" s="689">
        <f>F8-E8</f>
        <v>25951.080000000016</v>
      </c>
      <c r="H8" s="679">
        <f>G8+'17'!H8</f>
        <v>399947.21</v>
      </c>
      <c r="I8" s="686">
        <f>'1'!I8</f>
        <v>12000</v>
      </c>
      <c r="J8" s="681">
        <f>H8/DAY(B2)</f>
        <v>22219.289444444446</v>
      </c>
      <c r="K8" s="549"/>
      <c r="L8" s="425"/>
      <c r="M8" s="440"/>
      <c r="N8" s="1518">
        <f>G8-'17'!G8</f>
        <v>1036.3400000000256</v>
      </c>
      <c r="O8" s="725"/>
      <c r="P8" s="382"/>
    </row>
    <row r="9" spans="1:16">
      <c r="A9" s="687" t="s">
        <v>132</v>
      </c>
      <c r="B9" s="688"/>
      <c r="C9" s="688"/>
      <c r="D9" s="637" t="s">
        <v>130</v>
      </c>
      <c r="E9" s="633">
        <f>'17'!F9</f>
        <v>2393068.2999999998</v>
      </c>
      <c r="F9" s="478">
        <v>2418094.1</v>
      </c>
      <c r="G9" s="702">
        <f t="shared" ref="G9:G12" si="0">F9-E9</f>
        <v>25025.800000000279</v>
      </c>
      <c r="H9" s="679">
        <f>G9+'17'!H9</f>
        <v>387092.10000000009</v>
      </c>
      <c r="I9" s="690">
        <f>I7-J7</f>
        <v>-10110.851666666669</v>
      </c>
      <c r="J9" s="681">
        <f>H9/DAY(B2)</f>
        <v>21505.116666666672</v>
      </c>
      <c r="K9" s="428"/>
      <c r="L9" s="377"/>
      <c r="N9" s="1518">
        <f>G9-'17'!G9</f>
        <v>1046.2000000006519</v>
      </c>
      <c r="O9" s="725"/>
      <c r="P9" s="382"/>
    </row>
    <row r="10" spans="1:16">
      <c r="A10" s="676" t="s">
        <v>133</v>
      </c>
      <c r="B10" s="677"/>
      <c r="C10" s="677"/>
      <c r="D10" s="637" t="s">
        <v>130</v>
      </c>
      <c r="E10" s="633">
        <f>'17'!F10</f>
        <v>2606.85</v>
      </c>
      <c r="F10" s="478">
        <v>2606.85</v>
      </c>
      <c r="G10" s="689">
        <f t="shared" si="0"/>
        <v>0</v>
      </c>
      <c r="H10" s="679">
        <f>G10+'17'!H10</f>
        <v>0.29999999999972715</v>
      </c>
      <c r="I10" s="691"/>
      <c r="J10" s="681">
        <f>H10/DAY(B2)</f>
        <v>1.6666666666651508E-2</v>
      </c>
      <c r="K10" s="428"/>
      <c r="L10" s="377"/>
      <c r="N10" s="1518">
        <f>G10-'17'!G10</f>
        <v>-0.29999999999972715</v>
      </c>
      <c r="O10" s="725"/>
      <c r="P10" s="382"/>
    </row>
    <row r="11" spans="1:16">
      <c r="A11" s="676" t="s">
        <v>134</v>
      </c>
      <c r="B11" s="677"/>
      <c r="C11" s="677"/>
      <c r="D11" s="637" t="s">
        <v>130</v>
      </c>
      <c r="E11" s="633">
        <f>'17'!F11</f>
        <v>37000</v>
      </c>
      <c r="F11" s="455">
        <v>37000</v>
      </c>
      <c r="G11" s="689">
        <f t="shared" si="0"/>
        <v>0</v>
      </c>
      <c r="H11" s="679">
        <f>G11+'17'!H11</f>
        <v>0</v>
      </c>
      <c r="I11" s="691"/>
      <c r="J11" s="681">
        <f>H11/DAY(B2)</f>
        <v>0</v>
      </c>
      <c r="K11" s="428"/>
      <c r="L11" s="377"/>
      <c r="N11" s="1518">
        <f>G11-'17'!G11</f>
        <v>0</v>
      </c>
      <c r="O11" s="725"/>
      <c r="P11" s="382"/>
    </row>
    <row r="12" spans="1:16">
      <c r="A12" s="676" t="s">
        <v>135</v>
      </c>
      <c r="B12" s="677"/>
      <c r="C12" s="677"/>
      <c r="D12" s="637" t="s">
        <v>130</v>
      </c>
      <c r="E12" s="633">
        <f>'17'!F12</f>
        <v>40010</v>
      </c>
      <c r="F12" s="478">
        <v>40010</v>
      </c>
      <c r="G12" s="689">
        <f t="shared" si="0"/>
        <v>0</v>
      </c>
      <c r="H12" s="679">
        <f>G12+'17'!H12</f>
        <v>0</v>
      </c>
      <c r="I12" s="691"/>
      <c r="J12" s="681">
        <f>H12/DAY(B2)</f>
        <v>0</v>
      </c>
      <c r="K12" s="428"/>
      <c r="L12" s="377"/>
      <c r="N12" s="1518">
        <f>G12-'17'!G12</f>
        <v>0</v>
      </c>
      <c r="O12" s="725"/>
      <c r="P12" s="382"/>
    </row>
    <row r="13" spans="1:16">
      <c r="A13" s="692" t="s">
        <v>136</v>
      </c>
      <c r="B13" s="693"/>
      <c r="C13" s="693"/>
      <c r="D13" s="637"/>
      <c r="E13" s="633"/>
      <c r="F13" s="455"/>
      <c r="G13" s="694">
        <f>G9+G10+G11+G12</f>
        <v>25025.800000000279</v>
      </c>
      <c r="H13" s="679">
        <f>G13+'17'!H13</f>
        <v>366765.40000000008</v>
      </c>
      <c r="I13" s="695">
        <f>G7-G13</f>
        <v>812.31999999971595</v>
      </c>
      <c r="J13" s="681">
        <f>H13/DAY(B2)</f>
        <v>20375.855555555561</v>
      </c>
      <c r="K13" s="428"/>
      <c r="L13" s="377"/>
      <c r="N13" s="1518">
        <f>G13-'17'!G13</f>
        <v>1045.9000000006527</v>
      </c>
      <c r="O13" s="725"/>
      <c r="P13" s="382"/>
    </row>
    <row r="14" spans="1:16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1215"/>
      <c r="K14" s="429"/>
      <c r="L14" s="377"/>
      <c r="N14" s="718"/>
      <c r="O14" s="725"/>
      <c r="P14" s="382"/>
    </row>
    <row r="15" spans="1:16">
      <c r="A15" s="792" t="s">
        <v>138</v>
      </c>
      <c r="B15" s="793"/>
      <c r="C15" s="793"/>
      <c r="D15" s="524" t="s">
        <v>139</v>
      </c>
      <c r="E15" s="485">
        <f>'17'!F15</f>
        <v>1717936.541</v>
      </c>
      <c r="F15" s="700">
        <v>1718845.42</v>
      </c>
      <c r="G15" s="664">
        <f>(F15-E15)</f>
        <v>908.87899999995716</v>
      </c>
      <c r="H15" s="486">
        <f>G15+'17'!H15</f>
        <v>15162.419999999925</v>
      </c>
      <c r="I15" s="474">
        <f>'1'!I15</f>
        <v>800</v>
      </c>
      <c r="J15" s="553">
        <f>H15/DAY(B2)</f>
        <v>842.35666666666248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-42.356666666662477</v>
      </c>
      <c r="J16" s="553"/>
      <c r="K16" s="428"/>
      <c r="L16" s="377"/>
      <c r="N16" s="718"/>
      <c r="O16" s="725"/>
      <c r="P16" s="382"/>
    </row>
    <row r="17" spans="1:16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10" t="s">
        <v>141</v>
      </c>
      <c r="B18" s="1611"/>
      <c r="C18" s="1612"/>
      <c r="D18" s="637" t="s">
        <v>142</v>
      </c>
      <c r="E18" s="634">
        <f>'17'!F18</f>
        <v>14</v>
      </c>
      <c r="F18" s="478">
        <v>17</v>
      </c>
      <c r="G18" s="694">
        <f>F18*10</f>
        <v>170</v>
      </c>
      <c r="H18" s="679">
        <f>G18+'17'!H18</f>
        <v>2440</v>
      </c>
      <c r="I18" s="680">
        <f>'1'!I18</f>
        <v>65</v>
      </c>
      <c r="J18" s="681">
        <f>H18/DAY(B2)</f>
        <v>135.55555555555554</v>
      </c>
      <c r="K18" s="428"/>
      <c r="L18" s="377"/>
      <c r="N18" s="718"/>
      <c r="O18" s="725"/>
      <c r="P18" s="382"/>
    </row>
    <row r="19" spans="1:16" ht="27.75">
      <c r="A19" s="1610" t="s">
        <v>70</v>
      </c>
      <c r="B19" s="1611"/>
      <c r="C19" s="1612"/>
      <c r="D19" s="637" t="s">
        <v>142</v>
      </c>
      <c r="E19" s="634">
        <f>'17'!F19</f>
        <v>142538</v>
      </c>
      <c r="F19" s="478">
        <v>142547</v>
      </c>
      <c r="G19" s="689">
        <f t="shared" ref="G19" si="1">F19-E19</f>
        <v>9</v>
      </c>
      <c r="H19" s="679">
        <f>G19+'17'!H19</f>
        <v>1052</v>
      </c>
      <c r="I19" s="696"/>
      <c r="J19" s="681">
        <f>H19/DAY(B2)</f>
        <v>58.444444444444443</v>
      </c>
      <c r="K19" s="428"/>
      <c r="L19" s="377"/>
      <c r="N19" s="718"/>
      <c r="O19" s="725"/>
      <c r="P19" s="382"/>
    </row>
    <row r="20" spans="1:16">
      <c r="A20" s="692" t="s">
        <v>143</v>
      </c>
      <c r="B20" s="693"/>
      <c r="C20" s="693"/>
      <c r="D20" s="637"/>
      <c r="E20" s="637"/>
      <c r="F20" s="709"/>
      <c r="G20" s="697">
        <f>G18+G19</f>
        <v>179</v>
      </c>
      <c r="H20" s="679">
        <f>G20+'17'!H20</f>
        <v>3492</v>
      </c>
      <c r="I20" s="698">
        <f>I18-J20</f>
        <v>-129</v>
      </c>
      <c r="J20" s="681">
        <f>H20/DAY(B2)</f>
        <v>194</v>
      </c>
      <c r="K20" s="428"/>
      <c r="L20" s="377"/>
      <c r="N20" s="718"/>
      <c r="O20" s="725"/>
      <c r="P20" s="382"/>
    </row>
    <row r="21" spans="1:16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317" t="s">
        <v>145</v>
      </c>
      <c r="B22" s="589"/>
      <c r="C22" s="589"/>
      <c r="D22" s="523" t="s">
        <v>146</v>
      </c>
      <c r="E22" s="634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317" t="s">
        <v>147</v>
      </c>
      <c r="B23" s="589"/>
      <c r="C23" s="589"/>
      <c r="D23" s="523" t="s">
        <v>146</v>
      </c>
      <c r="E23" s="634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148</v>
      </c>
      <c r="B24" s="591"/>
      <c r="C24" s="591"/>
      <c r="D24" s="511" t="s">
        <v>146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25951.080000000016</v>
      </c>
      <c r="F27" s="501">
        <v>9</v>
      </c>
      <c r="G27" s="502">
        <f>E27*F27</f>
        <v>233559.72000000015</v>
      </c>
      <c r="H27" s="460">
        <f>G27+'17'!H27</f>
        <v>3599524.89</v>
      </c>
      <c r="I27" s="503"/>
      <c r="J27" s="552">
        <f>H27/DAY(B2)</f>
        <v>199973.60500000001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152</v>
      </c>
      <c r="B28" s="593"/>
      <c r="C28" s="594"/>
      <c r="D28" s="619" t="s">
        <v>153</v>
      </c>
      <c r="E28" s="699">
        <f>G15</f>
        <v>908.87899999995716</v>
      </c>
      <c r="F28" s="501">
        <v>52</v>
      </c>
      <c r="G28" s="502">
        <f>E28*F28</f>
        <v>47261.707999997772</v>
      </c>
      <c r="H28" s="460">
        <f>G28+'17'!H28</f>
        <v>788445.83999999613</v>
      </c>
      <c r="I28" s="505"/>
      <c r="J28" s="552">
        <f>H28/DAY(B2)</f>
        <v>43802.546666666451</v>
      </c>
      <c r="K28" s="373"/>
      <c r="L28" s="443"/>
      <c r="N28" s="718"/>
      <c r="O28" s="725"/>
      <c r="P28" s="382"/>
    </row>
    <row r="29" spans="1:16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156</v>
      </c>
      <c r="B30" s="593"/>
      <c r="C30" s="594"/>
      <c r="D30" s="619" t="s">
        <v>157</v>
      </c>
      <c r="E30" s="699">
        <f>G19</f>
        <v>9</v>
      </c>
      <c r="F30" s="501">
        <v>146</v>
      </c>
      <c r="G30" s="502">
        <f>E30*F30</f>
        <v>1314</v>
      </c>
      <c r="H30" s="460">
        <f>G30+'17'!H30</f>
        <v>153008</v>
      </c>
      <c r="I30" s="505"/>
      <c r="J30" s="552">
        <f>H30/DAY(B2)</f>
        <v>8500.4444444444453</v>
      </c>
      <c r="K30" s="373"/>
      <c r="L30" s="443"/>
      <c r="N30" s="718"/>
      <c r="O30" s="725"/>
      <c r="P30" s="382"/>
    </row>
    <row r="31" spans="1:16" s="442" customFormat="1" ht="27.75">
      <c r="A31" s="592" t="s">
        <v>158</v>
      </c>
      <c r="B31" s="593"/>
      <c r="C31" s="594"/>
      <c r="D31" s="619" t="s">
        <v>142</v>
      </c>
      <c r="E31" s="699">
        <f>G18</f>
        <v>170</v>
      </c>
      <c r="F31" s="501">
        <v>80</v>
      </c>
      <c r="G31" s="502">
        <f>E31*F31</f>
        <v>13600</v>
      </c>
      <c r="H31" s="460">
        <f>G31+'17'!H31</f>
        <v>189600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295735.42799999792</v>
      </c>
      <c r="H32" s="460">
        <f>G32+'17'!H32</f>
        <v>4730578.7299999958</v>
      </c>
      <c r="I32" s="509"/>
      <c r="J32" s="552">
        <f>H32/DAY(B2)</f>
        <v>262809.92944444419</v>
      </c>
      <c r="K32" s="373"/>
      <c r="L32" s="443"/>
      <c r="N32" s="718"/>
      <c r="O32" s="725"/>
      <c r="P32" s="382"/>
    </row>
    <row r="33" spans="1:16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718"/>
      <c r="O33" s="725"/>
      <c r="P33" s="382"/>
    </row>
    <row r="34" spans="1:16">
      <c r="A34" s="598" t="s">
        <v>161</v>
      </c>
      <c r="B34" s="1322"/>
      <c r="C34" s="132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162</v>
      </c>
      <c r="B35" s="579"/>
      <c r="C35" s="579"/>
      <c r="D35" s="523" t="s">
        <v>130</v>
      </c>
      <c r="E35" s="510">
        <f>'17'!F35</f>
        <v>1058597.3</v>
      </c>
      <c r="F35" s="510">
        <v>1058597.3</v>
      </c>
      <c r="G35" s="473">
        <f>F35-E35</f>
        <v>0</v>
      </c>
      <c r="H35" s="460">
        <f>G35+'17'!H35</f>
        <v>29883.300000000047</v>
      </c>
      <c r="I35" s="455"/>
      <c r="J35" s="552">
        <f>H35/DAY(B2)</f>
        <v>1660.1833333333359</v>
      </c>
      <c r="K35" s="428"/>
      <c r="L35" s="377"/>
      <c r="N35" s="1518">
        <f>G35-'17'!G35</f>
        <v>0</v>
      </c>
      <c r="O35" s="726"/>
      <c r="P35" s="382"/>
    </row>
    <row r="36" spans="1:16">
      <c r="A36" s="578" t="s">
        <v>163</v>
      </c>
      <c r="B36" s="579"/>
      <c r="C36" s="579"/>
      <c r="D36" s="523" t="s">
        <v>130</v>
      </c>
      <c r="E36" s="510">
        <f>'17'!F36</f>
        <v>35090.65</v>
      </c>
      <c r="F36" s="510">
        <v>36282.28</v>
      </c>
      <c r="G36" s="473">
        <f t="shared" ref="G36:G46" si="3">F36-E36</f>
        <v>1191.6299999999974</v>
      </c>
      <c r="H36" s="460">
        <f>G36+'17'!H36</f>
        <v>15821.279999999999</v>
      </c>
      <c r="I36" s="455"/>
      <c r="J36" s="552">
        <f>H36/DAY(B2)</f>
        <v>878.95999999999992</v>
      </c>
      <c r="K36" s="428"/>
      <c r="L36" s="377"/>
      <c r="N36" s="1518">
        <f>G36-'17'!G36</f>
        <v>59.809999999997672</v>
      </c>
      <c r="O36" s="726"/>
      <c r="P36" s="382"/>
    </row>
    <row r="37" spans="1:16">
      <c r="A37" s="578" t="s">
        <v>164</v>
      </c>
      <c r="B37" s="579"/>
      <c r="C37" s="579"/>
      <c r="D37" s="523" t="s">
        <v>130</v>
      </c>
      <c r="E37" s="510">
        <f>'17'!F37</f>
        <v>203201.45</v>
      </c>
      <c r="F37" s="510">
        <v>205047.97</v>
      </c>
      <c r="G37" s="473">
        <f>F37-E37</f>
        <v>1846.5199999999895</v>
      </c>
      <c r="H37" s="460">
        <f>G37+'17'!H37</f>
        <v>28477.97</v>
      </c>
      <c r="I37" s="455"/>
      <c r="J37" s="552">
        <f>H37/DAY(B2)</f>
        <v>1582.1094444444445</v>
      </c>
      <c r="K37" s="428"/>
      <c r="L37" s="377"/>
      <c r="N37" s="1518">
        <f>G37-'17'!G37</f>
        <v>189.96999999997206</v>
      </c>
      <c r="O37" s="726"/>
      <c r="P37" s="382"/>
    </row>
    <row r="38" spans="1:16">
      <c r="A38" s="578" t="s">
        <v>165</v>
      </c>
      <c r="B38" s="579"/>
      <c r="C38" s="579"/>
      <c r="D38" s="523" t="s">
        <v>130</v>
      </c>
      <c r="E38" s="510">
        <f>'17'!F38</f>
        <v>226010.49</v>
      </c>
      <c r="F38" s="469">
        <v>227851.47</v>
      </c>
      <c r="G38" s="473">
        <f t="shared" si="3"/>
        <v>1840.9800000000105</v>
      </c>
      <c r="H38" s="460">
        <f>G38+'17'!H38</f>
        <v>29392.47</v>
      </c>
      <c r="I38" s="455"/>
      <c r="J38" s="552">
        <f>H38/DAY(B2)</f>
        <v>1632.915</v>
      </c>
      <c r="K38" s="428"/>
      <c r="L38" s="377"/>
      <c r="N38" s="1518">
        <f>G38-'17'!G38</f>
        <v>81.060000000026776</v>
      </c>
      <c r="O38" s="725"/>
      <c r="P38" s="382"/>
    </row>
    <row r="39" spans="1:16">
      <c r="A39" s="578" t="s">
        <v>166</v>
      </c>
      <c r="B39" s="579"/>
      <c r="C39" s="579"/>
      <c r="D39" s="523" t="s">
        <v>130</v>
      </c>
      <c r="E39" s="510">
        <f>'17'!F39</f>
        <v>467561.43</v>
      </c>
      <c r="F39" s="510">
        <v>471312.67</v>
      </c>
      <c r="G39" s="473">
        <f>F39-E39</f>
        <v>3751.2399999999907</v>
      </c>
      <c r="H39" s="460">
        <f>G39+'17'!H39</f>
        <v>66448.669999999984</v>
      </c>
      <c r="I39" s="455"/>
      <c r="J39" s="552">
        <f>H39/DAY(B2)</f>
        <v>3691.592777777777</v>
      </c>
      <c r="K39" s="428"/>
      <c r="L39" s="377"/>
      <c r="N39" s="1518">
        <f>G39-'17'!G39</f>
        <v>32.710000000020955</v>
      </c>
      <c r="O39" s="726"/>
      <c r="P39" s="382"/>
    </row>
    <row r="40" spans="1:16">
      <c r="A40" s="599" t="s">
        <v>167</v>
      </c>
      <c r="B40" s="600"/>
      <c r="C40" s="600"/>
      <c r="D40" s="523" t="s">
        <v>130</v>
      </c>
      <c r="E40" s="510">
        <f>'17'!F40</f>
        <v>13572.19</v>
      </c>
      <c r="F40" s="510">
        <v>14254.8</v>
      </c>
      <c r="G40" s="473">
        <f t="shared" si="3"/>
        <v>682.60999999999876</v>
      </c>
      <c r="H40" s="460">
        <f>G40+'17'!H40</f>
        <v>7141.7999999999993</v>
      </c>
      <c r="I40" s="455"/>
      <c r="J40" s="552">
        <f>H40/DAY(B2)</f>
        <v>396.76666666666665</v>
      </c>
      <c r="K40" s="429"/>
      <c r="L40" s="377"/>
      <c r="N40" s="1518">
        <f>G40-'17'!G40</f>
        <v>263.15999999999804</v>
      </c>
      <c r="O40" s="725"/>
      <c r="P40" s="382"/>
    </row>
    <row r="41" spans="1:16">
      <c r="A41" s="578" t="s">
        <v>168</v>
      </c>
      <c r="B41" s="579"/>
      <c r="C41" s="579"/>
      <c r="D41" s="523" t="s">
        <v>130</v>
      </c>
      <c r="E41" s="510">
        <f>'17'!F41</f>
        <v>365502.35</v>
      </c>
      <c r="F41" s="510">
        <v>365502.35</v>
      </c>
      <c r="G41" s="473">
        <f t="shared" si="3"/>
        <v>0</v>
      </c>
      <c r="H41" s="460">
        <f>G41+'17'!H41</f>
        <v>35860.349999999977</v>
      </c>
      <c r="I41" s="455"/>
      <c r="J41" s="552">
        <f>H41/DAY(B2)</f>
        <v>1992.2416666666654</v>
      </c>
      <c r="K41" s="428"/>
      <c r="L41" s="377"/>
      <c r="N41" s="1518">
        <f>G41-'17'!G41</f>
        <v>0</v>
      </c>
      <c r="O41" s="727"/>
      <c r="P41" s="721"/>
    </row>
    <row r="42" spans="1:16">
      <c r="A42" s="578" t="s">
        <v>169</v>
      </c>
      <c r="B42" s="579"/>
      <c r="C42" s="579"/>
      <c r="D42" s="523" t="s">
        <v>130</v>
      </c>
      <c r="E42" s="510">
        <f>'17'!F42</f>
        <v>79273.179999999993</v>
      </c>
      <c r="F42" s="510">
        <v>82013.91</v>
      </c>
      <c r="G42" s="473">
        <f t="shared" si="3"/>
        <v>2740.7300000000105</v>
      </c>
      <c r="H42" s="460">
        <f>G42+'17'!H42</f>
        <v>22815.020000000004</v>
      </c>
      <c r="I42" s="455"/>
      <c r="J42" s="552">
        <f>H42/DAY(B2)</f>
        <v>1267.5011111111114</v>
      </c>
      <c r="K42" s="428"/>
      <c r="L42" s="377"/>
      <c r="N42" s="1518">
        <f>G42-'17'!G42</f>
        <v>9.3300000000162981</v>
      </c>
      <c r="O42" s="725"/>
      <c r="P42" s="382"/>
    </row>
    <row r="43" spans="1:16">
      <c r="A43" s="578" t="s">
        <v>170</v>
      </c>
      <c r="B43" s="579"/>
      <c r="C43" s="579"/>
      <c r="D43" s="523" t="s">
        <v>130</v>
      </c>
      <c r="E43" s="510">
        <f>'17'!F43</f>
        <v>1166088.8999999999</v>
      </c>
      <c r="F43" s="510">
        <v>1169234.1000000001</v>
      </c>
      <c r="G43" s="473">
        <f t="shared" si="3"/>
        <v>3145.2000000001863</v>
      </c>
      <c r="H43" s="460">
        <f>G43+'17'!H43</f>
        <v>48782.100000000093</v>
      </c>
      <c r="I43" s="455"/>
      <c r="J43" s="552">
        <f>H43/DAY(B2)</f>
        <v>2710.1166666666718</v>
      </c>
      <c r="K43" s="428"/>
      <c r="L43" s="377"/>
      <c r="N43" s="1518">
        <f>G43-'17'!G43</f>
        <v>47.800000000279397</v>
      </c>
      <c r="O43" s="726"/>
      <c r="P43" s="382"/>
    </row>
    <row r="44" spans="1:16">
      <c r="A44" s="578" t="s">
        <v>171</v>
      </c>
      <c r="B44" s="579"/>
      <c r="C44" s="579"/>
      <c r="D44" s="523" t="s">
        <v>130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1518">
        <f>G44-'17'!G44</f>
        <v>0</v>
      </c>
      <c r="O44" s="725"/>
      <c r="P44" s="382"/>
    </row>
    <row r="45" spans="1:16">
      <c r="A45" s="578" t="s">
        <v>172</v>
      </c>
      <c r="B45" s="579"/>
      <c r="C45" s="579"/>
      <c r="D45" s="523" t="s">
        <v>130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1518">
        <f>G45-'17'!G45</f>
        <v>0</v>
      </c>
      <c r="O45" s="725"/>
      <c r="P45" s="382"/>
    </row>
    <row r="46" spans="1:16">
      <c r="A46" s="578" t="s">
        <v>173</v>
      </c>
      <c r="B46" s="579"/>
      <c r="C46" s="579"/>
      <c r="D46" s="523" t="s">
        <v>130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1518">
        <f>G46-'17'!G46</f>
        <v>-5.0000000000011369E-2</v>
      </c>
      <c r="O46" s="725"/>
      <c r="P46" s="382"/>
    </row>
    <row r="47" spans="1:16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15198.860000000184</v>
      </c>
      <c r="H47" s="460">
        <f>G47+'17'!H47</f>
        <v>285424.40000000008</v>
      </c>
      <c r="I47" s="455"/>
      <c r="J47" s="552">
        <f>H47/DAY(B2)</f>
        <v>15856.911111111116</v>
      </c>
      <c r="K47" s="428"/>
      <c r="L47" s="377"/>
      <c r="N47" s="1518">
        <f>G47-'17'!G47</f>
        <v>683.79000000031192</v>
      </c>
      <c r="O47" s="725"/>
      <c r="P47" s="382"/>
    </row>
    <row r="48" spans="1:16">
      <c r="A48" s="598" t="s">
        <v>175</v>
      </c>
      <c r="B48" s="1322"/>
      <c r="C48" s="1322"/>
      <c r="D48" s="472"/>
      <c r="E48" s="471"/>
      <c r="F48" s="471"/>
      <c r="G48" s="472"/>
      <c r="H48" s="472"/>
      <c r="I48" s="472"/>
      <c r="J48" s="551"/>
      <c r="K48" s="428"/>
      <c r="L48" s="377"/>
      <c r="N48" s="1518">
        <f>G48-'17'!G48</f>
        <v>0</v>
      </c>
      <c r="O48" s="725"/>
      <c r="P48" s="382"/>
    </row>
    <row r="49" spans="1:16">
      <c r="A49" s="578" t="s">
        <v>162</v>
      </c>
      <c r="B49" s="601"/>
      <c r="C49" s="601"/>
      <c r="D49" s="523" t="s">
        <v>130</v>
      </c>
      <c r="E49" s="510">
        <f>'17'!F49</f>
        <v>281872.59000000003</v>
      </c>
      <c r="F49" s="510">
        <v>285357.39799999999</v>
      </c>
      <c r="G49" s="473">
        <f t="shared" ref="G49:G58" si="4">F49-E49</f>
        <v>3484.8079999999609</v>
      </c>
      <c r="H49" s="460">
        <f>G49+'17'!H49</f>
        <v>24593.397999999986</v>
      </c>
      <c r="I49" s="455"/>
      <c r="J49" s="552">
        <f>H49/DAY(B2)</f>
        <v>1366.2998888888881</v>
      </c>
      <c r="K49" s="428">
        <f>E49+247</f>
        <v>282119.59000000003</v>
      </c>
      <c r="L49" s="377"/>
      <c r="N49" s="1518">
        <f>G49-'17'!G49</f>
        <v>214.38799999991897</v>
      </c>
      <c r="O49" s="725"/>
      <c r="P49" s="382"/>
    </row>
    <row r="50" spans="1:16">
      <c r="A50" s="578" t="s">
        <v>176</v>
      </c>
      <c r="B50" s="601"/>
      <c r="C50" s="601"/>
      <c r="D50" s="523" t="s">
        <v>130</v>
      </c>
      <c r="E50" s="510">
        <f>'17'!F50</f>
        <v>554815.87</v>
      </c>
      <c r="F50" s="510">
        <v>556528.06999999995</v>
      </c>
      <c r="G50" s="473">
        <f t="shared" si="4"/>
        <v>1712.1999999999534</v>
      </c>
      <c r="H50" s="460">
        <f>G50+'17'!H50</f>
        <v>20772.069999999949</v>
      </c>
      <c r="I50" s="455"/>
      <c r="J50" s="552">
        <f>H50/DAY(B2)</f>
        <v>1154.003888888886</v>
      </c>
      <c r="K50" s="428"/>
      <c r="L50" s="377"/>
      <c r="N50" s="1518">
        <f>G50-'17'!G50</f>
        <v>411.76000000000931</v>
      </c>
      <c r="O50" s="726"/>
      <c r="P50" s="382"/>
    </row>
    <row r="51" spans="1:16">
      <c r="A51" s="578" t="s">
        <v>164</v>
      </c>
      <c r="B51" s="601"/>
      <c r="C51" s="601"/>
      <c r="D51" s="523" t="s">
        <v>130</v>
      </c>
      <c r="E51" s="510">
        <f>'17'!F51</f>
        <v>144639.87</v>
      </c>
      <c r="F51" s="510">
        <v>144639.87</v>
      </c>
      <c r="G51" s="473">
        <f t="shared" si="4"/>
        <v>0</v>
      </c>
      <c r="H51" s="460">
        <f>G51+'17'!H51</f>
        <v>-0.13000000000465661</v>
      </c>
      <c r="I51" s="455"/>
      <c r="J51" s="552">
        <f>H51/DAY(B2)</f>
        <v>-7.2222222224809229E-3</v>
      </c>
      <c r="K51" s="428"/>
      <c r="L51" s="377"/>
      <c r="N51" s="1518">
        <f>G51-'17'!G51</f>
        <v>0</v>
      </c>
      <c r="O51" s="725"/>
      <c r="P51" s="382"/>
    </row>
    <row r="52" spans="1:16">
      <c r="A52" s="578" t="s">
        <v>177</v>
      </c>
      <c r="B52" s="601"/>
      <c r="C52" s="601"/>
      <c r="D52" s="523" t="s">
        <v>130</v>
      </c>
      <c r="E52" s="510">
        <f>'17'!F52</f>
        <v>539606.06999999995</v>
      </c>
      <c r="F52" s="510">
        <v>539606.06999999995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1518">
        <f>G52-'17'!G52</f>
        <v>0</v>
      </c>
      <c r="O52" s="725"/>
      <c r="P52" s="382"/>
    </row>
    <row r="53" spans="1:16">
      <c r="A53" s="578" t="s">
        <v>166</v>
      </c>
      <c r="B53" s="601"/>
      <c r="C53" s="601"/>
      <c r="D53" s="523" t="s">
        <v>130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-0.73999999999068677</v>
      </c>
      <c r="I53" s="455"/>
      <c r="J53" s="552">
        <f>H53/DAY(B2)</f>
        <v>-4.1111111110593707E-2</v>
      </c>
      <c r="K53" s="428"/>
      <c r="L53" s="377"/>
      <c r="N53" s="1518">
        <f>G53-'17'!G53</f>
        <v>-0.79999999993015081</v>
      </c>
      <c r="O53" s="725"/>
      <c r="P53" s="382"/>
    </row>
    <row r="54" spans="1:16">
      <c r="A54" s="578" t="s">
        <v>178</v>
      </c>
      <c r="B54" s="601"/>
      <c r="C54" s="601"/>
      <c r="D54" s="523" t="s">
        <v>130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0.3500000000003638</v>
      </c>
      <c r="I54" s="455"/>
      <c r="J54" s="552">
        <f>H54/DAY(B2)</f>
        <v>1.9444444444464654E-2</v>
      </c>
      <c r="K54" s="428"/>
      <c r="L54" s="377"/>
      <c r="N54" s="1518">
        <f>G54-'17'!G54</f>
        <v>7.999999999992724E-2</v>
      </c>
      <c r="O54" s="725"/>
      <c r="P54" s="382"/>
    </row>
    <row r="55" spans="1:16">
      <c r="A55" s="578" t="s">
        <v>179</v>
      </c>
      <c r="B55" s="601"/>
      <c r="C55" s="601"/>
      <c r="D55" s="523" t="s">
        <v>130</v>
      </c>
      <c r="E55" s="510">
        <f>'17'!F55</f>
        <v>175178.35</v>
      </c>
      <c r="F55" s="653">
        <v>180567.19</v>
      </c>
      <c r="G55" s="652">
        <f t="shared" si="4"/>
        <v>5388.8399999999965</v>
      </c>
      <c r="H55" s="705">
        <f>G55+'17'!H55</f>
        <v>57357.19</v>
      </c>
      <c r="I55" s="706"/>
      <c r="J55" s="707">
        <f>H55/DAY(B2)</f>
        <v>3186.5105555555556</v>
      </c>
      <c r="K55" s="428"/>
      <c r="L55" s="377"/>
      <c r="N55" s="1518">
        <f>G55-'17'!G55</f>
        <v>-2.7200000000011642</v>
      </c>
      <c r="O55" s="725"/>
      <c r="P55" s="382"/>
    </row>
    <row r="56" spans="1:16">
      <c r="A56" s="578" t="s">
        <v>180</v>
      </c>
      <c r="B56" s="601"/>
      <c r="C56" s="601"/>
      <c r="D56" s="523" t="s">
        <v>181</v>
      </c>
      <c r="E56" s="510">
        <f>'17'!F56</f>
        <v>649210.35</v>
      </c>
      <c r="F56" s="653">
        <v>649210.35</v>
      </c>
      <c r="G56" s="473">
        <f t="shared" si="4"/>
        <v>0</v>
      </c>
      <c r="H56" s="460">
        <f>G56+'17'!H56</f>
        <v>168.34999999997672</v>
      </c>
      <c r="I56" s="455"/>
      <c r="J56" s="552">
        <f>H56/DAY(B2)</f>
        <v>9.3527777777764847</v>
      </c>
      <c r="K56" s="427"/>
      <c r="L56" s="377"/>
      <c r="N56" s="1518">
        <f>G56-'17'!G56</f>
        <v>-10.439999999944121</v>
      </c>
      <c r="O56" s="727"/>
      <c r="P56" s="382"/>
    </row>
    <row r="57" spans="1:16">
      <c r="A57" s="578" t="s">
        <v>170</v>
      </c>
      <c r="B57" s="601"/>
      <c r="C57" s="601"/>
      <c r="D57" s="523" t="s">
        <v>130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1518">
        <f>G57-'17'!G57</f>
        <v>0</v>
      </c>
      <c r="O57" s="725"/>
      <c r="P57" s="382"/>
    </row>
    <row r="58" spans="1:16">
      <c r="A58" s="578" t="s">
        <v>182</v>
      </c>
      <c r="B58" s="601"/>
      <c r="C58" s="601"/>
      <c r="D58" s="523" t="s">
        <v>130</v>
      </c>
      <c r="E58" s="510">
        <f>'17'!F58</f>
        <v>57008.56</v>
      </c>
      <c r="F58" s="653">
        <v>57200.13</v>
      </c>
      <c r="G58" s="473">
        <f t="shared" si="4"/>
        <v>191.56999999999971</v>
      </c>
      <c r="H58" s="460">
        <f>G58+'17'!H58</f>
        <v>3020.1299999999974</v>
      </c>
      <c r="I58" s="455"/>
      <c r="J58" s="552">
        <f>H58/DAY(B2)</f>
        <v>167.78499999999985</v>
      </c>
      <c r="K58" s="428"/>
      <c r="L58" s="377"/>
      <c r="N58" s="1518">
        <f>G58-'17'!G58</f>
        <v>-0.79999999999563443</v>
      </c>
      <c r="O58" s="725"/>
      <c r="P58" s="382"/>
    </row>
    <row r="59" spans="1:16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10777.097999999945</v>
      </c>
      <c r="H59" s="460">
        <f>G59+'17'!H59</f>
        <v>105911.01799999985</v>
      </c>
      <c r="I59" s="455">
        <f>G7-G60</f>
        <v>-137.83800000013434</v>
      </c>
      <c r="J59" s="552">
        <f>H59/DAY(B2)</f>
        <v>5883.9454444444364</v>
      </c>
      <c r="K59" s="428"/>
      <c r="L59" s="377"/>
      <c r="N59" s="1518">
        <f>G59-'17'!G59</f>
        <v>611.46800000005715</v>
      </c>
      <c r="O59" s="725"/>
      <c r="P59" s="382"/>
    </row>
    <row r="60" spans="1:16">
      <c r="A60" s="578"/>
      <c r="B60" s="579"/>
      <c r="C60" s="579"/>
      <c r="D60" s="511" t="s">
        <v>183</v>
      </c>
      <c r="E60" s="511"/>
      <c r="F60" s="511"/>
      <c r="G60" s="481">
        <f>G47+G59</f>
        <v>25975.95800000013</v>
      </c>
      <c r="H60" s="460">
        <f>G60+'17'!H60</f>
        <v>398238.74800000002</v>
      </c>
      <c r="I60" s="455">
        <f>G13-G60</f>
        <v>-950.15799999985029</v>
      </c>
      <c r="J60" s="552">
        <f>H60/DAY(B2)</f>
        <v>22124.374888888891</v>
      </c>
      <c r="K60" s="428"/>
      <c r="L60" s="377"/>
      <c r="N60" s="1518">
        <f>G60-'17'!G60</f>
        <v>1295.2580000003691</v>
      </c>
      <c r="O60" s="725"/>
      <c r="P60" s="382"/>
    </row>
    <row r="61" spans="1:16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185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8"/>
      <c r="O62" s="725"/>
      <c r="P62" s="382"/>
    </row>
    <row r="63" spans="1:16">
      <c r="A63" s="603" t="s">
        <v>186</v>
      </c>
      <c r="B63" s="604"/>
      <c r="C63" s="604"/>
      <c r="D63" s="511" t="s">
        <v>185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3" t="s">
        <v>98</v>
      </c>
      <c r="B64" s="1544"/>
      <c r="C64" s="1545"/>
      <c r="D64" s="523" t="s">
        <v>185</v>
      </c>
      <c r="E64" s="514">
        <f>'17'!F64</f>
        <v>176694.07</v>
      </c>
      <c r="F64" s="626">
        <v>177066.15</v>
      </c>
      <c r="G64" s="773">
        <f t="shared" si="5"/>
        <v>372.07999999998719</v>
      </c>
      <c r="H64" s="460">
        <f>G64+'17'!H64</f>
        <v>7044.1499999999942</v>
      </c>
      <c r="I64" s="480"/>
      <c r="J64" s="552">
        <f>H64/DAY(B2)</f>
        <v>391.34166666666636</v>
      </c>
      <c r="K64" s="428"/>
      <c r="L64" s="377"/>
      <c r="N64" s="718"/>
      <c r="O64" s="725"/>
      <c r="P64" s="382"/>
    </row>
    <row r="65" spans="1:16" ht="27.75">
      <c r="A65" s="1543" t="s">
        <v>99</v>
      </c>
      <c r="B65" s="1544"/>
      <c r="C65" s="1545"/>
      <c r="D65" s="523" t="s">
        <v>185</v>
      </c>
      <c r="E65" s="514">
        <f>'17'!F65</f>
        <v>176719.61</v>
      </c>
      <c r="F65" s="651">
        <v>177128.03</v>
      </c>
      <c r="G65" s="473">
        <f t="shared" si="5"/>
        <v>408.42000000001281</v>
      </c>
      <c r="H65" s="460">
        <f>G65+'17'!H65</f>
        <v>6826.0299999999988</v>
      </c>
      <c r="I65" s="489"/>
      <c r="J65" s="552">
        <f>H65/DAY(B2)</f>
        <v>379.22388888888884</v>
      </c>
      <c r="K65" s="428"/>
      <c r="L65" s="377"/>
      <c r="N65" s="718"/>
      <c r="O65" s="726"/>
      <c r="P65" s="382"/>
    </row>
    <row r="66" spans="1:16" ht="27.75">
      <c r="A66" s="1543" t="s">
        <v>100</v>
      </c>
      <c r="B66" s="1544"/>
      <c r="C66" s="1545"/>
      <c r="D66" s="523" t="s">
        <v>185</v>
      </c>
      <c r="E66" s="514">
        <f>'17'!F66</f>
        <v>74932.600000000006</v>
      </c>
      <c r="F66" s="478">
        <v>75359.899999999994</v>
      </c>
      <c r="G66" s="473">
        <f t="shared" si="5"/>
        <v>427.29999999998836</v>
      </c>
      <c r="H66" s="460">
        <f>G66+'17'!H66</f>
        <v>7389.8999999999942</v>
      </c>
      <c r="I66" s="480"/>
      <c r="J66" s="552">
        <f>H66/DAY(B2)</f>
        <v>410.54999999999967</v>
      </c>
      <c r="K66" s="428"/>
      <c r="L66" s="377"/>
      <c r="N66" s="718"/>
      <c r="O66" s="725"/>
      <c r="P66" s="382"/>
    </row>
    <row r="67" spans="1:16" ht="27.75">
      <c r="A67" s="1543" t="s">
        <v>101</v>
      </c>
      <c r="B67" s="1544"/>
      <c r="C67" s="1545"/>
      <c r="D67" s="523" t="s">
        <v>185</v>
      </c>
      <c r="E67" s="514">
        <f>'17'!F67</f>
        <v>272970.90999999997</v>
      </c>
      <c r="F67" s="478">
        <v>273443.11</v>
      </c>
      <c r="G67" s="473">
        <f t="shared" si="5"/>
        <v>472.20000000001164</v>
      </c>
      <c r="H67" s="460">
        <f>G67+'17'!H67</f>
        <v>8484.109999999986</v>
      </c>
      <c r="I67" s="489"/>
      <c r="J67" s="552">
        <f>H67/DAY(B2)</f>
        <v>471.33944444444364</v>
      </c>
      <c r="K67" s="429"/>
      <c r="L67" s="377"/>
      <c r="N67" s="718"/>
      <c r="O67" s="725"/>
      <c r="P67" s="382"/>
    </row>
    <row r="68" spans="1:16" ht="27.75">
      <c r="A68" s="1543" t="s">
        <v>102</v>
      </c>
      <c r="B68" s="1544"/>
      <c r="C68" s="1545"/>
      <c r="D68" s="523" t="s">
        <v>185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3" t="s">
        <v>103</v>
      </c>
      <c r="B69" s="1544"/>
      <c r="C69" s="1545"/>
      <c r="D69" s="523" t="s">
        <v>185</v>
      </c>
      <c r="E69" s="514">
        <f>'17'!F69</f>
        <v>92028.09</v>
      </c>
      <c r="F69" s="478">
        <v>92335.38</v>
      </c>
      <c r="G69" s="473">
        <f t="shared" si="5"/>
        <v>307.29000000000815</v>
      </c>
      <c r="H69" s="460">
        <f>G69+'17'!H69</f>
        <v>4820.3800000000047</v>
      </c>
      <c r="I69" s="516"/>
      <c r="J69" s="552">
        <f>H69/DAY(B2)</f>
        <v>267.79888888888917</v>
      </c>
      <c r="K69" s="431"/>
      <c r="L69" s="377"/>
      <c r="N69" s="718"/>
      <c r="O69" s="725"/>
      <c r="P69" s="382"/>
    </row>
    <row r="70" spans="1:16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718"/>
      <c r="O71" s="725"/>
      <c r="P71" s="382"/>
    </row>
    <row r="72" spans="1:16" ht="27.75">
      <c r="A72" s="1543" t="s">
        <v>189</v>
      </c>
      <c r="B72" s="1544"/>
      <c r="C72" s="1545"/>
      <c r="D72" s="523" t="s">
        <v>185</v>
      </c>
      <c r="E72" s="519">
        <f>'17'!F72</f>
        <v>856430</v>
      </c>
      <c r="F72" s="654">
        <v>856445</v>
      </c>
      <c r="G72" s="473">
        <f t="shared" ref="G72:G84" si="6">F72-E72</f>
        <v>15</v>
      </c>
      <c r="H72" s="460">
        <f>G72+'17'!H72</f>
        <v>210</v>
      </c>
      <c r="I72" s="480"/>
      <c r="J72" s="552">
        <f>H72/DAY(B2)</f>
        <v>11.666666666666666</v>
      </c>
      <c r="K72" s="431"/>
      <c r="L72" s="377"/>
      <c r="N72" s="718"/>
      <c r="O72" s="725"/>
      <c r="P72" s="382"/>
    </row>
    <row r="73" spans="1:16" ht="27.75">
      <c r="A73" s="1543" t="s">
        <v>190</v>
      </c>
      <c r="B73" s="1544"/>
      <c r="C73" s="1545"/>
      <c r="D73" s="523" t="s">
        <v>185</v>
      </c>
      <c r="E73" s="519">
        <f>'17'!F73</f>
        <v>885995</v>
      </c>
      <c r="F73" s="655">
        <v>885996</v>
      </c>
      <c r="G73" s="652">
        <f t="shared" si="6"/>
        <v>1</v>
      </c>
      <c r="H73" s="460">
        <f>G73+'17'!H73</f>
        <v>162</v>
      </c>
      <c r="I73" s="480"/>
      <c r="J73" s="552">
        <f>H73/DAY(B2)</f>
        <v>9</v>
      </c>
      <c r="K73" s="430"/>
      <c r="L73" s="377"/>
      <c r="N73" s="718"/>
      <c r="O73" s="725"/>
      <c r="P73" s="382"/>
    </row>
    <row r="74" spans="1:16" ht="27.75">
      <c r="A74" s="1543" t="s">
        <v>191</v>
      </c>
      <c r="B74" s="1544"/>
      <c r="C74" s="1545"/>
      <c r="D74" s="523" t="s">
        <v>185</v>
      </c>
      <c r="E74" s="519">
        <f>'17'!F74</f>
        <v>88715.6</v>
      </c>
      <c r="F74" s="655">
        <v>88716.1</v>
      </c>
      <c r="G74" s="473">
        <f t="shared" si="6"/>
        <v>0.5</v>
      </c>
      <c r="H74" s="460">
        <f>G74+'17'!H74</f>
        <v>54.100000000005821</v>
      </c>
      <c r="I74" s="480"/>
      <c r="J74" s="552">
        <f>H74/DAY(B2)</f>
        <v>3.0055555555558788</v>
      </c>
      <c r="K74" s="431"/>
      <c r="L74" s="377"/>
      <c r="N74" s="718"/>
      <c r="O74" s="725"/>
      <c r="P74" s="382"/>
    </row>
    <row r="75" spans="1:16" ht="27.75">
      <c r="A75" s="1546" t="s">
        <v>192</v>
      </c>
      <c r="B75" s="1547"/>
      <c r="C75" s="1548"/>
      <c r="D75" s="523" t="s">
        <v>185</v>
      </c>
      <c r="E75" s="519">
        <f>'17'!F75</f>
        <v>18704.3</v>
      </c>
      <c r="F75" s="655">
        <v>18876.75</v>
      </c>
      <c r="G75" s="473">
        <f t="shared" si="6"/>
        <v>172.45000000000073</v>
      </c>
      <c r="H75" s="460">
        <f>G75+'17'!H75</f>
        <v>2805.75</v>
      </c>
      <c r="I75" s="480"/>
      <c r="J75" s="552">
        <f>H75/DAY(B2)</f>
        <v>155.875</v>
      </c>
      <c r="K75" s="430"/>
      <c r="L75" s="377"/>
      <c r="N75" s="718"/>
      <c r="O75" s="725"/>
      <c r="P75" s="382"/>
    </row>
    <row r="76" spans="1:16" ht="27.75">
      <c r="A76" s="1546" t="s">
        <v>193</v>
      </c>
      <c r="B76" s="1547"/>
      <c r="C76" s="1548"/>
      <c r="D76" s="523" t="s">
        <v>185</v>
      </c>
      <c r="E76" s="519">
        <f>'17'!F76</f>
        <v>10453.129999999999</v>
      </c>
      <c r="F76" s="655">
        <v>10516.28</v>
      </c>
      <c r="G76" s="473">
        <f t="shared" si="6"/>
        <v>63.150000000001455</v>
      </c>
      <c r="H76" s="460">
        <f>G76+'17'!H76</f>
        <v>2297.2800000000007</v>
      </c>
      <c r="I76" s="505"/>
      <c r="J76" s="552">
        <f>H76/DAY(B2)</f>
        <v>127.62666666666671</v>
      </c>
      <c r="K76" s="430"/>
      <c r="L76" s="377"/>
      <c r="N76" s="718"/>
      <c r="O76" s="725"/>
      <c r="P76" s="382"/>
    </row>
    <row r="77" spans="1:16" ht="27.75">
      <c r="A77" s="1543" t="s">
        <v>194</v>
      </c>
      <c r="B77" s="1544"/>
      <c r="C77" s="1545"/>
      <c r="D77" s="523" t="s">
        <v>185</v>
      </c>
      <c r="E77" s="519">
        <f>'17'!F77</f>
        <v>705415</v>
      </c>
      <c r="F77" s="655">
        <v>705501</v>
      </c>
      <c r="G77" s="652">
        <f t="shared" si="6"/>
        <v>86</v>
      </c>
      <c r="H77" s="460">
        <f>G77+'17'!H77</f>
        <v>1127</v>
      </c>
      <c r="I77" s="505"/>
      <c r="J77" s="552">
        <f>H77/DAY(B2)</f>
        <v>62.611111111111114</v>
      </c>
      <c r="K77" s="430"/>
      <c r="L77" s="377"/>
      <c r="N77" s="718"/>
      <c r="O77" s="725"/>
      <c r="P77" s="382"/>
    </row>
    <row r="78" spans="1:16" ht="27.75">
      <c r="A78" s="1320" t="s">
        <v>195</v>
      </c>
      <c r="B78" s="1313"/>
      <c r="C78" s="1313"/>
      <c r="D78" s="523" t="s">
        <v>185</v>
      </c>
      <c r="E78" s="519">
        <f>'17'!F78</f>
        <v>677096</v>
      </c>
      <c r="F78" s="656">
        <v>677200</v>
      </c>
      <c r="G78" s="473">
        <f t="shared" si="6"/>
        <v>104</v>
      </c>
      <c r="H78" s="460">
        <f>G78+'17'!H78</f>
        <v>1786</v>
      </c>
      <c r="I78" s="505"/>
      <c r="J78" s="552">
        <f>H78/DAY(B2)</f>
        <v>99.222222222222229</v>
      </c>
      <c r="K78" s="430"/>
      <c r="L78" s="377"/>
      <c r="N78" s="718"/>
      <c r="O78" s="725"/>
      <c r="P78" s="382"/>
    </row>
    <row r="79" spans="1:16" ht="27.75">
      <c r="A79" s="1546" t="s">
        <v>91</v>
      </c>
      <c r="B79" s="1547"/>
      <c r="C79" s="1548"/>
      <c r="D79" s="524" t="s">
        <v>185</v>
      </c>
      <c r="E79" s="519">
        <f>'17'!F79</f>
        <v>838112</v>
      </c>
      <c r="F79" s="656">
        <v>838269</v>
      </c>
      <c r="G79" s="473">
        <f t="shared" si="6"/>
        <v>157</v>
      </c>
      <c r="H79" s="460">
        <f>G79+'17'!H79</f>
        <v>2115</v>
      </c>
      <c r="I79" s="505"/>
      <c r="J79" s="552">
        <f>H79/DAY(B2)</f>
        <v>117.5</v>
      </c>
      <c r="K79" s="430"/>
      <c r="L79" s="377"/>
      <c r="N79" s="718"/>
      <c r="O79" s="725"/>
      <c r="P79" s="382"/>
    </row>
    <row r="80" spans="1:16" ht="27.75">
      <c r="A80" s="1546" t="s">
        <v>196</v>
      </c>
      <c r="B80" s="1547"/>
      <c r="C80" s="1548"/>
      <c r="D80" s="524" t="s">
        <v>185</v>
      </c>
      <c r="E80" s="519">
        <f>'17'!F80</f>
        <v>546263.31999999995</v>
      </c>
      <c r="F80" s="655">
        <v>546767</v>
      </c>
      <c r="G80" s="473">
        <f t="shared" si="6"/>
        <v>503.68000000005122</v>
      </c>
      <c r="H80" s="460">
        <f>G80+'17'!H80</f>
        <v>4376</v>
      </c>
      <c r="I80" s="505"/>
      <c r="J80" s="552">
        <f>H80/DAY(B2)</f>
        <v>243.11111111111111</v>
      </c>
      <c r="K80" s="430"/>
      <c r="L80" s="377"/>
      <c r="N80" s="718"/>
      <c r="O80" s="725"/>
      <c r="P80" s="382"/>
    </row>
    <row r="81" spans="1:16" ht="27.75">
      <c r="A81" s="1546" t="s">
        <v>197</v>
      </c>
      <c r="B81" s="1547"/>
      <c r="C81" s="1548"/>
      <c r="D81" s="524" t="s">
        <v>185</v>
      </c>
      <c r="E81" s="519">
        <f>'17'!F81</f>
        <v>646228.28</v>
      </c>
      <c r="F81" s="655">
        <v>646454.52</v>
      </c>
      <c r="G81" s="473">
        <f t="shared" si="6"/>
        <v>226.23999999999069</v>
      </c>
      <c r="H81" s="460">
        <f>G81+'17'!H81</f>
        <v>3469.5200000000186</v>
      </c>
      <c r="I81" s="505"/>
      <c r="J81" s="552">
        <f>H81/DAY(B2)</f>
        <v>192.75111111111215</v>
      </c>
      <c r="K81" s="430"/>
      <c r="L81" s="377"/>
      <c r="N81" s="718"/>
      <c r="O81" s="725"/>
      <c r="P81" s="382"/>
    </row>
    <row r="82" spans="1:16" s="775" customFormat="1" ht="27.75">
      <c r="A82" s="1619" t="s">
        <v>92</v>
      </c>
      <c r="B82" s="1620"/>
      <c r="C82" s="1621"/>
      <c r="D82" s="626" t="s">
        <v>130</v>
      </c>
      <c r="E82" s="519">
        <f>'17'!F82</f>
        <v>109042.25</v>
      </c>
      <c r="F82" s="626">
        <v>109064.85</v>
      </c>
      <c r="G82" s="773">
        <f t="shared" si="6"/>
        <v>22.600000000005821</v>
      </c>
      <c r="H82" s="479">
        <f>G82+'17'!H82</f>
        <v>383.85000000000582</v>
      </c>
      <c r="I82" s="479"/>
      <c r="J82" s="774">
        <f>H82/DAY(B2)</f>
        <v>21.325000000000323</v>
      </c>
      <c r="K82" s="1213"/>
      <c r="L82" s="1214"/>
      <c r="N82" s="722"/>
      <c r="O82" s="726"/>
      <c r="P82" s="721"/>
    </row>
    <row r="83" spans="1:16" ht="27.75">
      <c r="A83" s="1546" t="s">
        <v>198</v>
      </c>
      <c r="B83" s="1547"/>
      <c r="C83" s="1548"/>
      <c r="D83" s="620" t="s">
        <v>130</v>
      </c>
      <c r="E83" s="519">
        <f>'17'!F83</f>
        <v>31589</v>
      </c>
      <c r="F83" s="511">
        <v>31818</v>
      </c>
      <c r="G83" s="473">
        <f t="shared" si="6"/>
        <v>229</v>
      </c>
      <c r="H83" s="460">
        <f>G83+'17'!H83</f>
        <v>4267</v>
      </c>
      <c r="I83" s="481"/>
      <c r="J83" s="552">
        <f>H83/DAY(B2)</f>
        <v>237.05555555555554</v>
      </c>
      <c r="K83" s="429"/>
      <c r="L83" s="377"/>
      <c r="N83" s="718"/>
      <c r="O83" s="725"/>
      <c r="P83" s="382"/>
    </row>
    <row r="84" spans="1:16">
      <c r="A84" s="1321" t="s">
        <v>199</v>
      </c>
      <c r="B84" s="571"/>
      <c r="C84" s="571"/>
      <c r="D84" s="478" t="s">
        <v>130</v>
      </c>
      <c r="E84" s="519">
        <f>'17'!F84</f>
        <v>536537</v>
      </c>
      <c r="F84" s="627">
        <v>537360</v>
      </c>
      <c r="G84" s="473">
        <f t="shared" si="6"/>
        <v>823</v>
      </c>
      <c r="H84" s="460">
        <f>G84+'17'!H84</f>
        <v>14280</v>
      </c>
      <c r="I84" s="481"/>
      <c r="J84" s="552">
        <f>H84/DAY(B2)</f>
        <v>793.33333333333337</v>
      </c>
      <c r="K84" s="380"/>
      <c r="L84" s="377"/>
      <c r="N84" s="718"/>
      <c r="O84" s="725"/>
      <c r="P84" s="382"/>
    </row>
    <row r="85" spans="1:16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2403.6200000000499</v>
      </c>
      <c r="H85" s="460">
        <f>G85+'17'!H85</f>
        <v>40207.500000000029</v>
      </c>
      <c r="I85" s="481"/>
      <c r="J85" s="552">
        <f>H85/DAY(B2)</f>
        <v>2233.7500000000018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181</v>
      </c>
      <c r="E86" s="627">
        <f>'17'!F86</f>
        <v>462229.84</v>
      </c>
      <c r="F86" s="647">
        <v>462238</v>
      </c>
      <c r="G86" s="705">
        <f t="shared" ref="G86:G91" si="7">F86-E86</f>
        <v>8.1599999999743886</v>
      </c>
      <c r="H86" s="705">
        <f t="shared" ref="H86:H88" si="8">G86</f>
        <v>8.1599999999743886</v>
      </c>
      <c r="I86" s="652"/>
      <c r="J86" s="707">
        <f>H86/DAY(B2)</f>
        <v>0.4533333333319105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181</v>
      </c>
      <c r="E87" s="627">
        <f>'17'!F87</f>
        <v>82543</v>
      </c>
      <c r="F87" s="647">
        <v>82552.600000000006</v>
      </c>
      <c r="G87" s="705">
        <f t="shared" si="7"/>
        <v>9.6000000000058208</v>
      </c>
      <c r="H87" s="705">
        <f t="shared" si="8"/>
        <v>9.6000000000058208</v>
      </c>
      <c r="I87" s="652"/>
      <c r="J87" s="707">
        <f>H87/DAY(B2)</f>
        <v>0.53333333333365673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181</v>
      </c>
      <c r="E88" s="627">
        <f>'17'!F88</f>
        <v>157245.72</v>
      </c>
      <c r="F88" s="647">
        <v>157321</v>
      </c>
      <c r="G88" s="705">
        <f t="shared" si="7"/>
        <v>75.279999999998836</v>
      </c>
      <c r="H88" s="705">
        <f t="shared" si="8"/>
        <v>75.279999999998836</v>
      </c>
      <c r="I88" s="652"/>
      <c r="J88" s="707">
        <f>H88/DAY(B2)</f>
        <v>4.1822222222221574</v>
      </c>
      <c r="K88" s="733"/>
      <c r="L88" s="734"/>
      <c r="O88" s="713"/>
    </row>
    <row r="89" spans="1:16" s="735" customFormat="1">
      <c r="A89" s="730" t="s">
        <v>202</v>
      </c>
      <c r="B89" s="731"/>
      <c r="C89" s="731"/>
      <c r="D89" s="732" t="s">
        <v>181</v>
      </c>
      <c r="E89" s="627">
        <f>'17'!F89</f>
        <v>66560.800000000003</v>
      </c>
      <c r="F89" s="647">
        <v>66579</v>
      </c>
      <c r="G89" s="705">
        <f t="shared" si="7"/>
        <v>18.19999999999709</v>
      </c>
      <c r="H89" s="705">
        <f>G89</f>
        <v>18.19999999999709</v>
      </c>
      <c r="I89" s="652"/>
      <c r="J89" s="707">
        <f>H89/DAY(B2)</f>
        <v>1.0111111111109494</v>
      </c>
      <c r="K89" s="733"/>
      <c r="L89" s="734"/>
      <c r="N89" s="777"/>
      <c r="O89" s="382"/>
    </row>
    <row r="90" spans="1:16" s="735" customFormat="1">
      <c r="A90" s="730" t="s">
        <v>202</v>
      </c>
      <c r="B90" s="731"/>
      <c r="C90" s="731"/>
      <c r="D90" s="732" t="s">
        <v>181</v>
      </c>
      <c r="E90" s="627">
        <f>'17'!F90</f>
        <v>3407</v>
      </c>
      <c r="F90" s="647">
        <v>3408</v>
      </c>
      <c r="G90" s="705">
        <f t="shared" si="7"/>
        <v>1</v>
      </c>
      <c r="H90" s="705">
        <f>G90</f>
        <v>1</v>
      </c>
      <c r="I90" s="652"/>
      <c r="J90" s="707">
        <f>H90/DAY(B2)</f>
        <v>5.5555555555555552E-2</v>
      </c>
      <c r="K90" s="733"/>
      <c r="L90" s="734"/>
      <c r="N90" s="777"/>
      <c r="O90" s="382"/>
    </row>
    <row r="91" spans="1:16" s="735" customFormat="1">
      <c r="A91" s="730" t="s">
        <v>346</v>
      </c>
      <c r="B91" s="731"/>
      <c r="C91" s="731"/>
      <c r="D91" s="732" t="s">
        <v>130</v>
      </c>
      <c r="E91" s="627">
        <f>'17'!F91</f>
        <v>28391.759999999998</v>
      </c>
      <c r="F91" s="647">
        <v>28393.63</v>
      </c>
      <c r="G91" s="705">
        <f t="shared" si="7"/>
        <v>1.8700000000026193</v>
      </c>
      <c r="H91" s="705">
        <f>G91</f>
        <v>1.8700000000026193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203</v>
      </c>
      <c r="B92" s="1323"/>
      <c r="C92" s="132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2" t="s">
        <v>204</v>
      </c>
      <c r="B93" s="1563"/>
      <c r="C93" s="1564"/>
      <c r="D93" s="523" t="s">
        <v>142</v>
      </c>
      <c r="E93" s="484">
        <f>'17'!F93</f>
        <v>249044</v>
      </c>
      <c r="F93" s="478">
        <v>249207</v>
      </c>
      <c r="G93" s="473">
        <f t="shared" ref="G93:G94" si="9">F93-E93</f>
        <v>163</v>
      </c>
      <c r="H93" s="460">
        <f>G93+'17'!H93</f>
        <v>1855</v>
      </c>
      <c r="I93" s="480"/>
      <c r="J93" s="552">
        <f>H93/DAY(B2)</f>
        <v>103.05555555555556</v>
      </c>
      <c r="K93" s="429"/>
      <c r="L93" s="377"/>
      <c r="N93" s="718"/>
      <c r="O93" s="725"/>
      <c r="P93" s="382"/>
    </row>
    <row r="94" spans="1:16" ht="27.75">
      <c r="A94" s="1562" t="s">
        <v>205</v>
      </c>
      <c r="B94" s="1563"/>
      <c r="C94" s="1564"/>
      <c r="D94" s="523" t="s">
        <v>142</v>
      </c>
      <c r="E94" s="484">
        <f>'17'!F94</f>
        <v>191455</v>
      </c>
      <c r="F94" s="478">
        <v>191615</v>
      </c>
      <c r="G94" s="473">
        <f t="shared" si="9"/>
        <v>160</v>
      </c>
      <c r="H94" s="460">
        <f>G94+'17'!H94</f>
        <v>2161</v>
      </c>
      <c r="I94" s="480"/>
      <c r="J94" s="552">
        <f>H94/DAY(B2)</f>
        <v>120.05555555555556</v>
      </c>
      <c r="K94" s="380"/>
      <c r="L94" s="377"/>
      <c r="N94" s="718"/>
      <c r="O94" s="725"/>
      <c r="P94" s="382"/>
    </row>
    <row r="95" spans="1:16">
      <c r="A95" s="1594" t="s">
        <v>206</v>
      </c>
      <c r="B95" s="1595"/>
      <c r="C95" s="1596"/>
      <c r="D95" s="523"/>
      <c r="E95" s="484">
        <f>'17'!F95</f>
        <v>0</v>
      </c>
      <c r="F95" s="478"/>
      <c r="G95" s="473">
        <f>G93+G94</f>
        <v>323</v>
      </c>
      <c r="H95" s="460">
        <f>G95+'17'!H95</f>
        <v>3830</v>
      </c>
      <c r="I95" s="480"/>
      <c r="J95" s="552">
        <f>H95/DAY(B2)</f>
        <v>212.77777777777777</v>
      </c>
      <c r="K95" s="380"/>
      <c r="L95" s="377"/>
      <c r="N95" s="718"/>
      <c r="O95" s="725"/>
      <c r="P95" s="382"/>
    </row>
    <row r="96" spans="1:16" ht="27.75">
      <c r="A96" s="1562" t="s">
        <v>207</v>
      </c>
      <c r="B96" s="1563"/>
      <c r="C96" s="1564"/>
      <c r="D96" s="523" t="s">
        <v>142</v>
      </c>
      <c r="E96" s="484">
        <f>'17'!F96</f>
        <v>417544</v>
      </c>
      <c r="F96" s="478">
        <v>417634</v>
      </c>
      <c r="G96" s="473">
        <f t="shared" ref="G96:G101" si="10">F96-E96</f>
        <v>90</v>
      </c>
      <c r="H96" s="460">
        <f>G96+'17'!H96</f>
        <v>1635</v>
      </c>
      <c r="I96" s="480"/>
      <c r="J96" s="552">
        <f>H96/DAY(B2)</f>
        <v>90.833333333333329</v>
      </c>
      <c r="K96" s="380"/>
      <c r="L96" s="377"/>
      <c r="N96" s="718"/>
      <c r="O96" s="725"/>
      <c r="P96" s="382"/>
    </row>
    <row r="97" spans="1:16" ht="27.75">
      <c r="A97" s="1317" t="s">
        <v>208</v>
      </c>
      <c r="B97" s="1318"/>
      <c r="C97" s="1318"/>
      <c r="D97" s="523" t="s">
        <v>142</v>
      </c>
      <c r="E97" s="484">
        <f>'17'!F97</f>
        <v>103541</v>
      </c>
      <c r="F97" s="478">
        <v>103571</v>
      </c>
      <c r="G97" s="473">
        <f t="shared" si="10"/>
        <v>30</v>
      </c>
      <c r="H97" s="460">
        <f>G97+'17'!H97</f>
        <v>408</v>
      </c>
      <c r="I97" s="480"/>
      <c r="J97" s="552">
        <f>H97/DAY(B2)</f>
        <v>22.666666666666668</v>
      </c>
      <c r="K97" s="427"/>
      <c r="L97" s="377"/>
      <c r="N97" s="718"/>
      <c r="O97" s="725"/>
      <c r="P97" s="382"/>
    </row>
    <row r="98" spans="1:16" ht="27.75">
      <c r="A98" s="1317" t="s">
        <v>209</v>
      </c>
      <c r="B98" s="1318"/>
      <c r="C98" s="1318"/>
      <c r="D98" s="523" t="s">
        <v>142</v>
      </c>
      <c r="E98" s="484">
        <f>'17'!F98</f>
        <v>99090</v>
      </c>
      <c r="F98" s="478">
        <v>99119</v>
      </c>
      <c r="G98" s="473">
        <f t="shared" si="10"/>
        <v>29</v>
      </c>
      <c r="H98" s="460">
        <f>G98+'17'!H98</f>
        <v>462</v>
      </c>
      <c r="I98" s="480"/>
      <c r="J98" s="552">
        <f>H98/DAY(B2)</f>
        <v>25.666666666666668</v>
      </c>
      <c r="K98" s="432"/>
      <c r="L98" s="377"/>
      <c r="N98" s="718"/>
      <c r="O98" s="725"/>
      <c r="P98" s="382"/>
    </row>
    <row r="99" spans="1:16" ht="27.75">
      <c r="A99" s="1317" t="s">
        <v>210</v>
      </c>
      <c r="B99" s="1318"/>
      <c r="C99" s="1318"/>
      <c r="D99" s="523" t="s">
        <v>142</v>
      </c>
      <c r="E99" s="484">
        <f>'17'!F99</f>
        <v>150908</v>
      </c>
      <c r="F99" s="478">
        <v>150935</v>
      </c>
      <c r="G99" s="473">
        <f t="shared" si="10"/>
        <v>27</v>
      </c>
      <c r="H99" s="460">
        <f>G99+'17'!H99</f>
        <v>530</v>
      </c>
      <c r="I99" s="480"/>
      <c r="J99" s="552">
        <f>H99/DAY(B2)</f>
        <v>29.444444444444443</v>
      </c>
      <c r="K99" s="380"/>
      <c r="L99" s="377"/>
      <c r="N99" s="720"/>
      <c r="O99" s="725"/>
      <c r="P99" s="382"/>
    </row>
    <row r="100" spans="1:16" ht="27.75">
      <c r="A100" s="1317" t="s">
        <v>211</v>
      </c>
      <c r="B100" s="1318"/>
      <c r="C100" s="1318"/>
      <c r="D100" s="523" t="s">
        <v>142</v>
      </c>
      <c r="E100" s="484">
        <f>'17'!F100</f>
        <v>7981</v>
      </c>
      <c r="F100" s="478">
        <v>7997</v>
      </c>
      <c r="G100" s="473">
        <f t="shared" si="10"/>
        <v>16</v>
      </c>
      <c r="H100" s="460">
        <f>G100+'17'!H100</f>
        <v>200</v>
      </c>
      <c r="I100" s="480"/>
      <c r="J100" s="552">
        <f>H100/DAY(B2)</f>
        <v>11.111111111111111</v>
      </c>
      <c r="K100" s="380"/>
      <c r="L100" s="377"/>
      <c r="N100" s="718"/>
      <c r="O100" s="725"/>
      <c r="P100" s="382"/>
    </row>
    <row r="101" spans="1:16" ht="27.75">
      <c r="A101" s="1317" t="s">
        <v>212</v>
      </c>
      <c r="B101" s="1318"/>
      <c r="C101" s="1318"/>
      <c r="D101" s="523" t="s">
        <v>142</v>
      </c>
      <c r="E101" s="484">
        <f>'17'!F101</f>
        <v>5848</v>
      </c>
      <c r="F101" s="478">
        <v>5859</v>
      </c>
      <c r="G101" s="473">
        <f t="shared" si="10"/>
        <v>11</v>
      </c>
      <c r="H101" s="460">
        <f>G101+'17'!H101</f>
        <v>185</v>
      </c>
      <c r="I101" s="480"/>
      <c r="J101" s="552">
        <f>H101/DAY(B2)</f>
        <v>10.277777777777779</v>
      </c>
      <c r="K101" s="380"/>
      <c r="L101" s="377"/>
      <c r="N101" s="718"/>
      <c r="O101" s="725"/>
      <c r="P101" s="382"/>
    </row>
    <row r="102" spans="1:16">
      <c r="A102" s="1594" t="s">
        <v>214</v>
      </c>
      <c r="B102" s="1595"/>
      <c r="C102" s="1596"/>
      <c r="D102" s="524"/>
      <c r="E102" s="484"/>
      <c r="F102" s="524"/>
      <c r="G102" s="525">
        <f>SUM(G96:G101)</f>
        <v>203</v>
      </c>
      <c r="H102" s="460">
        <f>G102+'17'!H102</f>
        <v>3420</v>
      </c>
      <c r="I102" s="526"/>
      <c r="J102" s="552">
        <f>H102/DAY(B2)</f>
        <v>190</v>
      </c>
      <c r="K102" s="380"/>
      <c r="L102" s="377"/>
      <c r="N102" s="718"/>
      <c r="O102" s="725"/>
      <c r="P102" s="382"/>
    </row>
    <row r="103" spans="1:16" s="442" customFormat="1" ht="27">
      <c r="A103" s="607" t="s">
        <v>215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7" t="s">
        <v>216</v>
      </c>
      <c r="B104" s="159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4" t="s">
        <v>217</v>
      </c>
      <c r="B105" s="1555"/>
      <c r="C105" s="1316"/>
      <c r="D105" s="622" t="s">
        <v>142</v>
      </c>
      <c r="E105" s="484">
        <f>'17'!F105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3.8544444444443999</v>
      </c>
      <c r="N105" s="718"/>
      <c r="O105" s="725"/>
      <c r="P105" s="382"/>
    </row>
    <row r="106" spans="1:16" s="442" customFormat="1" ht="27.75">
      <c r="A106" s="1554" t="s">
        <v>76</v>
      </c>
      <c r="B106" s="1555"/>
      <c r="C106" s="1316"/>
      <c r="D106" s="622" t="s">
        <v>142</v>
      </c>
      <c r="E106" s="484">
        <f>'17'!F106</f>
        <v>36332</v>
      </c>
      <c r="F106" s="659">
        <v>36342</v>
      </c>
      <c r="G106" s="532">
        <f t="shared" ref="G106:G107" si="11">F106-E106</f>
        <v>10</v>
      </c>
      <c r="H106" s="533">
        <f>SUM(G106+'1'!G77)</f>
        <v>63</v>
      </c>
      <c r="I106" s="532"/>
      <c r="J106" s="558">
        <f>H106/DAY(B2)</f>
        <v>3.5</v>
      </c>
      <c r="N106" s="718"/>
      <c r="O106" s="725"/>
      <c r="P106" s="382"/>
    </row>
    <row r="107" spans="1:16" s="442" customFormat="1" ht="27.75">
      <c r="A107" s="1554" t="s">
        <v>77</v>
      </c>
      <c r="B107" s="1599"/>
      <c r="C107" s="1555"/>
      <c r="D107" s="622" t="s">
        <v>142</v>
      </c>
      <c r="E107" s="484">
        <f>'17'!F107</f>
        <v>19897</v>
      </c>
      <c r="F107" s="659">
        <v>19902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6.6111111111111107</v>
      </c>
      <c r="N107" s="718"/>
      <c r="O107" s="725"/>
      <c r="P107" s="382"/>
    </row>
    <row r="108" spans="1:16" s="442" customFormat="1" ht="27.75">
      <c r="A108" s="1556" t="s">
        <v>200</v>
      </c>
      <c r="B108" s="1557"/>
      <c r="C108" s="1316"/>
      <c r="D108" s="622"/>
      <c r="E108" s="484">
        <f>'17'!F108</f>
        <v>0</v>
      </c>
      <c r="F108" s="659"/>
      <c r="G108" s="532">
        <f>SUM(G105:G107)</f>
        <v>15</v>
      </c>
      <c r="H108" s="533">
        <f>SUM(G108+'1'!G79)</f>
        <v>168</v>
      </c>
      <c r="I108" s="532"/>
      <c r="J108" s="558">
        <f>H108/DAY(B2)</f>
        <v>9.3333333333333339</v>
      </c>
      <c r="N108" s="718"/>
      <c r="O108" s="725"/>
      <c r="P108" s="382"/>
    </row>
    <row r="109" spans="1:16" s="442" customFormat="1" ht="27.75">
      <c r="A109" s="1560" t="s">
        <v>78</v>
      </c>
      <c r="B109" s="1561"/>
      <c r="C109" s="1316"/>
      <c r="D109" s="622" t="s">
        <v>142</v>
      </c>
      <c r="E109" s="484">
        <f>'17'!F109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4" t="s">
        <v>218</v>
      </c>
      <c r="B110" s="1555"/>
      <c r="C110" s="1316"/>
      <c r="D110" s="622" t="s">
        <v>142</v>
      </c>
      <c r="E110" s="484">
        <f>'17'!F110</f>
        <v>66105</v>
      </c>
      <c r="F110" s="659">
        <v>66170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10.924444444445221</v>
      </c>
      <c r="N110" s="718"/>
      <c r="O110" s="725"/>
      <c r="P110" s="382"/>
    </row>
    <row r="111" spans="1:16" s="442" customFormat="1" ht="27.75">
      <c r="A111" s="1554" t="s">
        <v>219</v>
      </c>
      <c r="B111" s="1555"/>
      <c r="C111" s="1316"/>
      <c r="D111" s="622" t="s">
        <v>142</v>
      </c>
      <c r="E111" s="484">
        <f>'17'!F111</f>
        <v>33629</v>
      </c>
      <c r="F111" s="659">
        <v>33641</v>
      </c>
      <c r="G111" s="532">
        <f t="shared" ref="G111:G112" si="12">F111-E111</f>
        <v>12</v>
      </c>
      <c r="H111" s="533">
        <f>SUM(G111+'1'!G82)</f>
        <v>36.899999999994179</v>
      </c>
      <c r="I111" s="532"/>
      <c r="J111" s="558">
        <f>H111/DAY(B2)</f>
        <v>2.0499999999996765</v>
      </c>
      <c r="N111" s="718"/>
      <c r="O111" s="725"/>
      <c r="P111" s="382"/>
    </row>
    <row r="112" spans="1:16" s="442" customFormat="1" ht="27.75">
      <c r="A112" s="1554" t="s">
        <v>220</v>
      </c>
      <c r="B112" s="1555"/>
      <c r="C112" s="1316"/>
      <c r="D112" s="622" t="s">
        <v>142</v>
      </c>
      <c r="E112" s="484">
        <f>'17'!F112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19.5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316"/>
      <c r="D113" s="622"/>
      <c r="E113" s="484">
        <f>'17'!F113</f>
        <v>0</v>
      </c>
      <c r="F113" s="659"/>
      <c r="G113" s="532">
        <f>SUM(G110:G112)</f>
        <v>77</v>
      </c>
      <c r="H113" s="533">
        <f>SUM(G113+'1'!G84)</f>
        <v>893</v>
      </c>
      <c r="I113" s="532"/>
      <c r="J113" s="558">
        <f>H113/DAY(B2)</f>
        <v>49.611111111111114</v>
      </c>
      <c r="N113" s="718"/>
      <c r="O113" s="725"/>
      <c r="P113" s="382"/>
    </row>
    <row r="114" spans="1:16" s="442" customFormat="1" ht="27.75">
      <c r="A114" s="1560" t="s">
        <v>221</v>
      </c>
      <c r="B114" s="1561"/>
      <c r="C114" s="1316"/>
      <c r="D114" s="622"/>
      <c r="E114" s="484">
        <f>'17'!F114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4" t="s">
        <v>222</v>
      </c>
      <c r="B115" s="1555"/>
      <c r="C115" s="574"/>
      <c r="D115" s="622" t="s">
        <v>142</v>
      </c>
      <c r="E115" s="484">
        <f>'17'!F115</f>
        <v>12242</v>
      </c>
      <c r="F115" s="659">
        <v>12261</v>
      </c>
      <c r="G115" s="534">
        <f>F115-E115</f>
        <v>19</v>
      </c>
      <c r="H115" s="533">
        <f>SUM(G115+'1'!G92)</f>
        <v>19</v>
      </c>
      <c r="I115" s="532"/>
      <c r="J115" s="558">
        <f>H115/DAY(B2)</f>
        <v>1.0555555555555556</v>
      </c>
      <c r="N115" s="718"/>
      <c r="O115" s="725"/>
      <c r="P115" s="382"/>
    </row>
    <row r="116" spans="1:16" s="442" customFormat="1" ht="27.75">
      <c r="A116" s="1554" t="s">
        <v>223</v>
      </c>
      <c r="B116" s="1555"/>
      <c r="C116" s="574"/>
      <c r="D116" s="622" t="s">
        <v>142</v>
      </c>
      <c r="E116" s="484">
        <f>'17'!F116</f>
        <v>8702</v>
      </c>
      <c r="F116" s="659">
        <v>8711</v>
      </c>
      <c r="G116" s="534">
        <f t="shared" ref="G116:G117" si="13">F116-E116</f>
        <v>9</v>
      </c>
      <c r="H116" s="533">
        <f>SUM(G116+'1'!G93)</f>
        <v>98</v>
      </c>
      <c r="I116" s="532"/>
      <c r="J116" s="558">
        <f>H116/DAY(B2)</f>
        <v>5.4444444444444446</v>
      </c>
      <c r="N116" s="718"/>
      <c r="O116" s="725"/>
      <c r="P116" s="382"/>
    </row>
    <row r="117" spans="1:16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5.3888888888888893</v>
      </c>
      <c r="N117" s="718"/>
      <c r="O117" s="725"/>
      <c r="P117" s="382"/>
    </row>
    <row r="118" spans="1:16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28</v>
      </c>
      <c r="H118" s="533">
        <f>SUM(G118+'1'!G96)</f>
        <v>114</v>
      </c>
      <c r="I118" s="534"/>
      <c r="J118" s="558">
        <f>H118/DAY(B2)</f>
        <v>6.333333333333333</v>
      </c>
      <c r="N118" s="718"/>
      <c r="O118" s="725"/>
      <c r="P118" s="382"/>
    </row>
    <row r="119" spans="1:16" s="446" customFormat="1" ht="27.75">
      <c r="A119" s="1550" t="s">
        <v>225</v>
      </c>
      <c r="B119" s="1551"/>
      <c r="C119" s="1314"/>
      <c r="D119" s="624" t="s">
        <v>142</v>
      </c>
      <c r="E119" s="536"/>
      <c r="F119" s="660">
        <f>SUM(G19+G93)</f>
        <v>172</v>
      </c>
      <c r="G119" s="536">
        <f>SUM(G19+G93)</f>
        <v>172</v>
      </c>
      <c r="H119" s="533">
        <f>SUM(G119+'1'!G97)</f>
        <v>189</v>
      </c>
      <c r="I119" s="535"/>
      <c r="J119" s="559">
        <f>H119/DAY(B2)</f>
        <v>10.5</v>
      </c>
      <c r="N119" s="718"/>
      <c r="O119" s="725"/>
      <c r="P119" s="382"/>
    </row>
    <row r="120" spans="1:16" s="446" customFormat="1" ht="27.75">
      <c r="A120" s="1550" t="s">
        <v>226</v>
      </c>
      <c r="B120" s="1551"/>
      <c r="C120" s="1314"/>
      <c r="D120" s="624" t="s">
        <v>142</v>
      </c>
      <c r="E120" s="536"/>
      <c r="F120" s="660">
        <f>SUM(G96,G97,G98,G100,G101)</f>
        <v>176</v>
      </c>
      <c r="G120" s="536">
        <f>SUM(G96,G97,G98,G100,G101)</f>
        <v>176</v>
      </c>
      <c r="H120" s="533">
        <f>SUM(G120+'1'!G99)</f>
        <v>226</v>
      </c>
      <c r="I120" s="535"/>
      <c r="J120" s="559">
        <f>H120/DAY(B2)</f>
        <v>12.555555555555555</v>
      </c>
      <c r="N120" s="718"/>
      <c r="O120" s="725"/>
      <c r="P120" s="382"/>
    </row>
    <row r="121" spans="1:16" s="446" customFormat="1" ht="27.75">
      <c r="A121" s="1550" t="s">
        <v>227</v>
      </c>
      <c r="B121" s="1551"/>
      <c r="C121" s="1314"/>
      <c r="D121" s="624" t="s">
        <v>142</v>
      </c>
      <c r="E121" s="534"/>
      <c r="F121" s="659">
        <f>SUM(G113)</f>
        <v>77</v>
      </c>
      <c r="G121" s="534">
        <f>SUM(G113)</f>
        <v>77</v>
      </c>
      <c r="H121" s="533">
        <f>SUM(G121+'1'!G101)</f>
        <v>82</v>
      </c>
      <c r="I121" s="535"/>
      <c r="J121" s="559">
        <f>H121/DAY(B2)</f>
        <v>4.5555555555555554</v>
      </c>
      <c r="N121" s="718"/>
      <c r="O121" s="725"/>
      <c r="P121" s="382"/>
    </row>
    <row r="122" spans="1:16" s="442" customFormat="1" ht="27.75">
      <c r="A122" s="1552"/>
      <c r="B122" s="1553"/>
      <c r="C122" s="1315"/>
      <c r="D122" s="560"/>
      <c r="E122" s="560"/>
      <c r="F122" s="661" t="s">
        <v>213</v>
      </c>
      <c r="G122" s="560"/>
      <c r="H122" s="561"/>
      <c r="I122" s="560"/>
      <c r="J122" s="562"/>
      <c r="N122" s="718"/>
      <c r="O122" s="725"/>
      <c r="P122" s="382"/>
    </row>
    <row r="123" spans="1:16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317" t="s">
        <v>229</v>
      </c>
      <c r="B124" s="1318"/>
      <c r="C124" s="1318"/>
      <c r="D124" s="523" t="s">
        <v>139</v>
      </c>
      <c r="E124" s="478">
        <f>'17'!F124</f>
        <v>844283.53</v>
      </c>
      <c r="F124" s="478">
        <v>844579.27</v>
      </c>
      <c r="G124" s="473">
        <f t="shared" ref="G124:G128" si="14">F124-E124</f>
        <v>295.73999999999069</v>
      </c>
      <c r="H124" s="460">
        <f>G124+'17'!H124</f>
        <v>4909.2700000000186</v>
      </c>
      <c r="I124" s="526"/>
      <c r="J124" s="552">
        <f>H124/DAY(B2)</f>
        <v>272.73722222222324</v>
      </c>
      <c r="K124" s="380"/>
      <c r="L124" s="377"/>
      <c r="N124" s="718"/>
      <c r="O124" s="725"/>
      <c r="P124" s="382"/>
    </row>
    <row r="125" spans="1:16" ht="27.75">
      <c r="A125" s="1317" t="s">
        <v>230</v>
      </c>
      <c r="B125" s="1318"/>
      <c r="C125" s="1318"/>
      <c r="D125" s="523" t="s">
        <v>139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3" t="s">
        <v>231</v>
      </c>
      <c r="B126" s="1544"/>
      <c r="C126" s="1545"/>
      <c r="D126" s="523" t="s">
        <v>139</v>
      </c>
      <c r="E126" s="478">
        <f>'17'!F126</f>
        <v>150185.73000000001</v>
      </c>
      <c r="F126" s="478">
        <v>150293.53</v>
      </c>
      <c r="G126" s="473">
        <f t="shared" si="14"/>
        <v>107.79999999998836</v>
      </c>
      <c r="H126" s="460">
        <f>G126+'17'!H126</f>
        <v>1696.5299999999988</v>
      </c>
      <c r="I126" s="526"/>
      <c r="J126" s="552">
        <f>H126/DAY(B2)</f>
        <v>94.251666666666608</v>
      </c>
      <c r="K126" s="380"/>
      <c r="L126" s="377"/>
      <c r="N126" s="718"/>
      <c r="O126" s="725"/>
      <c r="P126" s="382"/>
    </row>
    <row r="127" spans="1:16" ht="27.75">
      <c r="A127" s="609" t="s">
        <v>232</v>
      </c>
      <c r="B127" s="1318"/>
      <c r="C127" s="1318"/>
      <c r="D127" s="523" t="s">
        <v>139</v>
      </c>
      <c r="E127" s="478">
        <f>'17'!F127</f>
        <v>32725.200000000001</v>
      </c>
      <c r="F127" s="626">
        <v>32770.300000000003</v>
      </c>
      <c r="G127" s="473">
        <f t="shared" si="14"/>
        <v>45.100000000002183</v>
      </c>
      <c r="H127" s="460">
        <f>G127+'17'!H127</f>
        <v>699.30000000000291</v>
      </c>
      <c r="I127" s="526"/>
      <c r="J127" s="552">
        <f>H127/DAY(B2)</f>
        <v>38.850000000000165</v>
      </c>
      <c r="K127" s="380"/>
      <c r="L127" s="377"/>
      <c r="N127" s="718"/>
      <c r="O127" s="725"/>
      <c r="P127" s="382"/>
    </row>
    <row r="128" spans="1:16" ht="27.75">
      <c r="A128" s="609" t="s">
        <v>233</v>
      </c>
      <c r="B128" s="1318"/>
      <c r="C128" s="1318"/>
      <c r="D128" s="523" t="s">
        <v>139</v>
      </c>
      <c r="E128" s="478">
        <f>'17'!F128</f>
        <v>9080.1</v>
      </c>
      <c r="F128" s="626">
        <v>9085</v>
      </c>
      <c r="G128" s="473">
        <f t="shared" si="14"/>
        <v>4.8999999999996362</v>
      </c>
      <c r="H128" s="460">
        <f>G128+'17'!H128</f>
        <v>73</v>
      </c>
      <c r="I128" s="480"/>
      <c r="J128" s="552">
        <f>H128/DAY(B2)</f>
        <v>4.0555555555555554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234</v>
      </c>
      <c r="B129" s="1318"/>
      <c r="C129" s="1318"/>
      <c r="D129" s="523"/>
      <c r="E129" s="478"/>
      <c r="F129" s="478"/>
      <c r="G129" s="473">
        <f>G15-SUM(G124:G128)</f>
        <v>455.33899999997629</v>
      </c>
      <c r="H129" s="460">
        <f>G129+'17'!H129</f>
        <v>1410.8170000000482</v>
      </c>
      <c r="I129" s="480"/>
      <c r="J129" s="552">
        <f>H129/DAY(B2)</f>
        <v>78.378722222224894</v>
      </c>
      <c r="K129" s="364"/>
      <c r="L129" s="292"/>
      <c r="N129" s="718"/>
      <c r="O129" s="725"/>
      <c r="P129" s="382"/>
    </row>
    <row r="130" spans="1:16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317" t="s">
        <v>236</v>
      </c>
      <c r="B131" s="1318"/>
      <c r="C131" s="1318"/>
      <c r="D131" s="523" t="s">
        <v>237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317" t="s">
        <v>238</v>
      </c>
      <c r="B132" s="1318"/>
      <c r="C132" s="1318"/>
      <c r="D132" s="523" t="s">
        <v>237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317" t="s">
        <v>239</v>
      </c>
      <c r="B133" s="1318"/>
      <c r="C133" s="1318"/>
      <c r="D133" s="523" t="s">
        <v>237</v>
      </c>
      <c r="E133" s="484">
        <f>'17'!F133</f>
        <v>40612.1</v>
      </c>
      <c r="F133" s="651">
        <v>40612.1</v>
      </c>
      <c r="G133" s="473">
        <f t="shared" si="15"/>
        <v>0</v>
      </c>
      <c r="H133" s="460">
        <f>G133+'17'!H133</f>
        <v>159.09999999999854</v>
      </c>
      <c r="I133" s="480"/>
      <c r="J133" s="552">
        <f>H133/DAY(B2)</f>
        <v>8.8388888888888086</v>
      </c>
      <c r="N133" s="718"/>
      <c r="O133" s="725"/>
      <c r="P133" s="382"/>
    </row>
    <row r="134" spans="1:16" ht="27.75">
      <c r="A134" s="1317" t="s">
        <v>240</v>
      </c>
      <c r="B134" s="1318"/>
      <c r="C134" s="1318"/>
      <c r="D134" s="523" t="s">
        <v>237</v>
      </c>
      <c r="E134" s="484">
        <f>'17'!F134</f>
        <v>397.13</v>
      </c>
      <c r="F134" s="626">
        <v>410.18</v>
      </c>
      <c r="G134" s="473">
        <f t="shared" si="15"/>
        <v>13.050000000000011</v>
      </c>
      <c r="H134" s="460">
        <f>G134+'17'!H134</f>
        <v>110.18</v>
      </c>
      <c r="I134" s="480">
        <f>G131+G132+G133+G134</f>
        <v>13.050000000000011</v>
      </c>
      <c r="J134" s="552">
        <f>H134/DAY(B2)</f>
        <v>6.1211111111111114</v>
      </c>
      <c r="N134" s="718"/>
      <c r="O134" s="725"/>
      <c r="P134" s="382"/>
    </row>
    <row r="135" spans="1:16" ht="27.75">
      <c r="A135" s="1317" t="s">
        <v>241</v>
      </c>
      <c r="B135" s="1318"/>
      <c r="C135" s="1318"/>
      <c r="D135" s="523" t="s">
        <v>237</v>
      </c>
      <c r="E135" s="484">
        <f>'17'!F135</f>
        <v>42233.09</v>
      </c>
      <c r="F135" s="626">
        <v>42257</v>
      </c>
      <c r="G135" s="473">
        <f t="shared" si="15"/>
        <v>23.910000000003492</v>
      </c>
      <c r="H135" s="460">
        <f>G135+'17'!H135</f>
        <v>285</v>
      </c>
      <c r="I135" s="480"/>
      <c r="J135" s="552">
        <f>H135/DAY(B2)</f>
        <v>15.833333333333334</v>
      </c>
      <c r="N135" s="718"/>
      <c r="O135" s="725"/>
      <c r="P135" s="382"/>
    </row>
    <row r="136" spans="1:16" ht="27.75">
      <c r="A136" s="1317" t="s">
        <v>242</v>
      </c>
      <c r="B136" s="1318"/>
      <c r="C136" s="1318"/>
      <c r="D136" s="523" t="s">
        <v>237</v>
      </c>
      <c r="E136" s="484">
        <f>'17'!F136</f>
        <v>32874</v>
      </c>
      <c r="F136" s="651">
        <v>32874</v>
      </c>
      <c r="G136" s="473">
        <f t="shared" si="15"/>
        <v>0</v>
      </c>
      <c r="H136" s="460">
        <f>G136+'17'!H136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317" t="s">
        <v>243</v>
      </c>
      <c r="B137" s="1318"/>
      <c r="C137" s="1318"/>
      <c r="D137" s="523" t="s">
        <v>237</v>
      </c>
      <c r="E137" s="484">
        <f>'17'!F137</f>
        <v>23014.9</v>
      </c>
      <c r="F137" s="651">
        <v>23023.439999999999</v>
      </c>
      <c r="G137" s="473">
        <f t="shared" si="15"/>
        <v>8.5399999999972351</v>
      </c>
      <c r="H137" s="460">
        <f>G137+'17'!H137</f>
        <v>131.94999999999709</v>
      </c>
      <c r="I137" s="480">
        <f>G135+G136+G137</f>
        <v>32.450000000000728</v>
      </c>
      <c r="J137" s="552">
        <f>H137/DAY(B2)</f>
        <v>7.3305555555553941</v>
      </c>
      <c r="N137" s="718"/>
      <c r="O137" s="725"/>
      <c r="P137" s="382"/>
    </row>
    <row r="138" spans="1:16" ht="27.75">
      <c r="A138" s="1317" t="s">
        <v>244</v>
      </c>
      <c r="B138" s="1318"/>
      <c r="C138" s="1318"/>
      <c r="D138" s="523" t="s">
        <v>237</v>
      </c>
      <c r="E138" s="484">
        <f>'17'!F138</f>
        <v>25099.16</v>
      </c>
      <c r="F138" s="651">
        <v>25099.16</v>
      </c>
      <c r="G138" s="473">
        <f t="shared" si="15"/>
        <v>0</v>
      </c>
      <c r="H138" s="460">
        <f>G138+'17'!H138</f>
        <v>7.7700000000004366</v>
      </c>
      <c r="I138" s="480"/>
      <c r="J138" s="552">
        <f>H138/DAY(B2)</f>
        <v>0.4316666666666909</v>
      </c>
      <c r="N138" s="718"/>
      <c r="O138" s="725"/>
      <c r="P138" s="382"/>
    </row>
    <row r="139" spans="1:16" ht="27.75">
      <c r="A139" s="1317" t="s">
        <v>245</v>
      </c>
      <c r="B139" s="1318"/>
      <c r="C139" s="1318"/>
      <c r="D139" s="523" t="s">
        <v>237</v>
      </c>
      <c r="E139" s="484">
        <f>'17'!F139</f>
        <v>70516.600000000006</v>
      </c>
      <c r="F139" s="651">
        <v>70516.600000000006</v>
      </c>
      <c r="G139" s="473">
        <f t="shared" si="15"/>
        <v>0</v>
      </c>
      <c r="H139" s="460">
        <f>G139+'17'!H139</f>
        <v>2.9800000000104774</v>
      </c>
      <c r="I139" s="480">
        <f>G138+G139</f>
        <v>0</v>
      </c>
      <c r="J139" s="552">
        <f>H139/DAY(B2)</f>
        <v>0.16555555555613763</v>
      </c>
      <c r="N139" s="718"/>
      <c r="O139" s="725"/>
      <c r="P139" s="382"/>
    </row>
    <row r="140" spans="1:16" ht="27.75">
      <c r="A140" s="1317" t="s">
        <v>246</v>
      </c>
      <c r="B140" s="1318"/>
      <c r="C140" s="1318"/>
      <c r="D140" s="523" t="s">
        <v>237</v>
      </c>
      <c r="E140" s="484">
        <f>'17'!F140</f>
        <v>2247.77</v>
      </c>
      <c r="F140" s="626">
        <v>2247.77</v>
      </c>
      <c r="G140" s="473">
        <f t="shared" si="15"/>
        <v>0</v>
      </c>
      <c r="H140" s="460">
        <f>G140+'17'!H140</f>
        <v>118.59000000000015</v>
      </c>
      <c r="I140" s="542"/>
      <c r="J140" s="552">
        <f>H140/DAY(B2)</f>
        <v>6.5883333333333418</v>
      </c>
      <c r="N140" s="718"/>
      <c r="O140" s="725"/>
      <c r="P140" s="382"/>
    </row>
    <row r="141" spans="1:16" ht="27.75">
      <c r="A141" s="1317" t="s">
        <v>247</v>
      </c>
      <c r="B141" s="1318"/>
      <c r="C141" s="1318"/>
      <c r="D141" s="523" t="s">
        <v>237</v>
      </c>
      <c r="E141" s="484">
        <f>'17'!F141</f>
        <v>4685.83</v>
      </c>
      <c r="F141" s="478">
        <v>4696.12</v>
      </c>
      <c r="G141" s="473">
        <f t="shared" si="15"/>
        <v>10.289999999999964</v>
      </c>
      <c r="H141" s="460">
        <f>G141+'17'!H141</f>
        <v>59.119999999999891</v>
      </c>
      <c r="I141" s="542"/>
      <c r="J141" s="552">
        <f>H141/DAY(B2)</f>
        <v>3.2844444444444383</v>
      </c>
      <c r="N141" s="718"/>
      <c r="O141" s="725"/>
      <c r="P141" s="382"/>
    </row>
    <row r="142" spans="1:16">
      <c r="A142" s="1565" t="s">
        <v>248</v>
      </c>
      <c r="B142" s="1566"/>
      <c r="C142" s="132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6630.0080000001471</v>
      </c>
      <c r="H143" s="460">
        <f>G143+'17'!H143</f>
        <v>100272.30800000018</v>
      </c>
      <c r="I143" s="480"/>
      <c r="J143" s="552">
        <f>H143/DAY(B2)</f>
        <v>5570.6837777777873</v>
      </c>
      <c r="K143" s="380"/>
      <c r="L143" s="377"/>
      <c r="N143" s="718"/>
      <c r="O143" s="725"/>
      <c r="P143" s="382"/>
    </row>
    <row r="144" spans="1:16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0.25659792585529245</v>
      </c>
      <c r="H144" s="460">
        <f>G144+'17'!H144</f>
        <v>4.5530629237536884</v>
      </c>
      <c r="I144" s="544"/>
      <c r="J144" s="552">
        <f>H144/DAY(B2)</f>
        <v>0.25294794020853822</v>
      </c>
      <c r="K144" s="380"/>
      <c r="L144" s="377"/>
      <c r="N144" s="718"/>
      <c r="O144" s="725"/>
      <c r="P144" s="382"/>
    </row>
    <row r="145" spans="1:16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8129.570000000007</v>
      </c>
      <c r="H145" s="460">
        <f>G145+'17'!H145</f>
        <v>121784.90999999996</v>
      </c>
      <c r="I145" s="480"/>
      <c r="J145" s="552">
        <f>H145/DAY(B2)</f>
        <v>6765.8283333333311</v>
      </c>
      <c r="K145" s="380"/>
      <c r="L145" s="377"/>
      <c r="N145" s="718"/>
      <c r="O145" s="725"/>
      <c r="P145" s="382"/>
    </row>
    <row r="146" spans="1:16" ht="27.75">
      <c r="A146" s="1562" t="s">
        <v>252</v>
      </c>
      <c r="B146" s="1563"/>
      <c r="C146" s="1564"/>
      <c r="D146" s="523" t="s">
        <v>24</v>
      </c>
      <c r="E146" s="455"/>
      <c r="F146" s="455" t="s">
        <v>271</v>
      </c>
      <c r="G146" s="543">
        <f>G145/G7</f>
        <v>0.31463473348680199</v>
      </c>
      <c r="H146" s="460">
        <f>G146+'17'!H146</f>
        <v>5.5002202870286787</v>
      </c>
      <c r="I146" s="544"/>
      <c r="J146" s="552">
        <f>H146/DAY(B2)</f>
        <v>0.30556779372381548</v>
      </c>
      <c r="K146" s="380"/>
      <c r="L146" s="377"/>
      <c r="N146" s="718"/>
      <c r="O146" s="725"/>
      <c r="P146" s="382"/>
    </row>
    <row r="147" spans="1:16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3750.8400000000256</v>
      </c>
      <c r="H147" s="460">
        <f>G147+'17'!H147</f>
        <v>66448.260000000009</v>
      </c>
      <c r="I147" s="545"/>
      <c r="J147" s="552">
        <f>H147/DAY(B2)</f>
        <v>3691.5700000000006</v>
      </c>
      <c r="K147" s="380"/>
      <c r="L147" s="377"/>
      <c r="N147" s="718"/>
      <c r="O147" s="725"/>
      <c r="P147" s="382"/>
    </row>
    <row r="148" spans="1:16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0.14516690842832319</v>
      </c>
      <c r="H148" s="460">
        <f>G148+'17'!H148</f>
        <v>3.0150955860793922</v>
      </c>
      <c r="I148" s="545"/>
      <c r="J148" s="552">
        <f>H148/DAY(B2)</f>
        <v>0.16750531033774402</v>
      </c>
      <c r="N148" s="718"/>
      <c r="O148" s="725"/>
      <c r="P148" s="382"/>
    </row>
    <row r="149" spans="1:16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1840.9800000000105</v>
      </c>
      <c r="H149" s="460">
        <f>G149+'17'!H149</f>
        <v>29392.53999999995</v>
      </c>
      <c r="I149" s="480"/>
      <c r="J149" s="552">
        <f>H149/DAY(B2)</f>
        <v>1632.9188888888862</v>
      </c>
      <c r="K149" s="381"/>
      <c r="N149" s="718"/>
      <c r="O149" s="725"/>
      <c r="P149" s="382"/>
    </row>
    <row r="150" spans="1:16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7.1250539899962176E-2</v>
      </c>
      <c r="H150" s="460">
        <f>G150+'17'!H150</f>
        <v>1.3303571746952378</v>
      </c>
      <c r="I150" s="545"/>
      <c r="J150" s="552">
        <f>H150/DAY(B2)</f>
        <v>7.390873192751321E-2</v>
      </c>
      <c r="N150" s="718"/>
      <c r="O150" s="725"/>
      <c r="P150" s="382"/>
    </row>
    <row r="151" spans="1:16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2903.8299999999508</v>
      </c>
      <c r="H151" s="460">
        <f>G151+'17'!H151</f>
        <v>37686.349999999948</v>
      </c>
      <c r="I151" s="545"/>
      <c r="J151" s="552">
        <f>H151/DAY(B2)</f>
        <v>2093.6861111111084</v>
      </c>
      <c r="N151" s="718"/>
      <c r="O151" s="725"/>
      <c r="P151" s="382"/>
    </row>
    <row r="152" spans="1:16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0.11238549863534775</v>
      </c>
      <c r="H152" s="460">
        <f>G152+'17'!H152</f>
        <v>1.6977491944730772</v>
      </c>
      <c r="I152" s="480"/>
      <c r="J152" s="552">
        <f>H152/DAY(B2)</f>
        <v>9.4319399692948724E-2</v>
      </c>
      <c r="N152" s="718"/>
      <c r="O152" s="725"/>
      <c r="P152" s="382"/>
    </row>
    <row r="153" spans="1:16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1846.5199999999895</v>
      </c>
      <c r="H153" s="460">
        <f>G153+'17'!H153</f>
        <v>28477.839999999997</v>
      </c>
      <c r="I153" s="480"/>
      <c r="J153" s="552">
        <f>H153/DAY(B2)</f>
        <v>1582.1022222222221</v>
      </c>
      <c r="N153" s="718"/>
      <c r="O153" s="725"/>
      <c r="P153" s="382"/>
    </row>
    <row r="154" spans="1:16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7.1464951784417363E-2</v>
      </c>
      <c r="H154" s="460">
        <f>G154+'17'!H154</f>
        <v>1.2897141198244402</v>
      </c>
      <c r="I154" s="568"/>
      <c r="J154" s="569">
        <f>H154/DAY(B2)</f>
        <v>7.1650784434691125E-2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261</v>
      </c>
      <c r="B161" s="795"/>
      <c r="C161" s="795"/>
      <c r="D161" s="620" t="s">
        <v>185</v>
      </c>
      <c r="E161" s="522">
        <f>'17'!F161</f>
        <v>42207.75</v>
      </c>
      <c r="F161" s="803">
        <v>42290.03</v>
      </c>
      <c r="G161" s="473">
        <f t="shared" ref="G161:G166" si="16">F161-E161</f>
        <v>82.279999999998836</v>
      </c>
      <c r="N161" s="718"/>
    </row>
    <row r="162" spans="1:14">
      <c r="A162" s="794" t="s">
        <v>262</v>
      </c>
      <c r="B162" s="795"/>
      <c r="C162" s="795"/>
      <c r="D162" s="620" t="s">
        <v>185</v>
      </c>
      <c r="E162" s="522">
        <f>'17'!F162</f>
        <v>115588.27</v>
      </c>
      <c r="F162" s="803">
        <v>116042.66</v>
      </c>
      <c r="G162" s="473">
        <f t="shared" si="16"/>
        <v>454.38999999999942</v>
      </c>
      <c r="N162" s="718"/>
    </row>
    <row r="163" spans="1:14">
      <c r="A163" s="794" t="s">
        <v>263</v>
      </c>
      <c r="B163" s="795"/>
      <c r="C163" s="795"/>
      <c r="D163" s="620" t="s">
        <v>185</v>
      </c>
      <c r="E163" s="522">
        <f>'17'!F163</f>
        <v>64721.63</v>
      </c>
      <c r="F163" s="783">
        <v>64923.45</v>
      </c>
      <c r="G163" s="473">
        <f t="shared" si="16"/>
        <v>201.81999999999971</v>
      </c>
      <c r="N163" s="718"/>
    </row>
    <row r="164" spans="1:14">
      <c r="A164" s="794" t="s">
        <v>264</v>
      </c>
      <c r="B164" s="795"/>
      <c r="C164" s="795"/>
      <c r="D164" s="620" t="s">
        <v>185</v>
      </c>
      <c r="E164" s="522">
        <f>'17'!F164</f>
        <v>7017.85</v>
      </c>
      <c r="F164" s="803">
        <v>7027.41</v>
      </c>
      <c r="G164" s="473">
        <f t="shared" si="16"/>
        <v>9.5599999999994907</v>
      </c>
      <c r="N164" s="718"/>
    </row>
    <row r="165" spans="1:14">
      <c r="A165" s="796" t="s">
        <v>97</v>
      </c>
      <c r="B165" s="797"/>
      <c r="C165" s="797"/>
      <c r="D165" s="620" t="s">
        <v>185</v>
      </c>
      <c r="E165" s="522">
        <f>'17'!F165</f>
        <v>20419</v>
      </c>
      <c r="F165" s="514">
        <v>20419</v>
      </c>
      <c r="G165" s="473">
        <f t="shared" si="16"/>
        <v>0</v>
      </c>
      <c r="N165" s="718"/>
    </row>
    <row r="166" spans="1:14">
      <c r="A166" s="796" t="s">
        <v>186</v>
      </c>
      <c r="B166" s="797"/>
      <c r="C166" s="797"/>
      <c r="D166" s="620" t="s">
        <v>185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185</v>
      </c>
      <c r="E167" s="522">
        <f>'17'!F167</f>
        <v>176694.07</v>
      </c>
      <c r="F167" s="514">
        <f t="shared" ref="F167:F172" si="17">F64</f>
        <v>177066.15</v>
      </c>
      <c r="G167" s="473">
        <f>F64-E64</f>
        <v>372.07999999998719</v>
      </c>
      <c r="N167" s="718"/>
    </row>
    <row r="168" spans="1:14" ht="27.75">
      <c r="A168" s="1615" t="s">
        <v>99</v>
      </c>
      <c r="B168" s="1615"/>
      <c r="C168" s="1615"/>
      <c r="D168" s="524" t="s">
        <v>185</v>
      </c>
      <c r="E168" s="522">
        <f>'17'!F168</f>
        <v>176719.61</v>
      </c>
      <c r="F168" s="514">
        <f t="shared" si="17"/>
        <v>177128.03</v>
      </c>
      <c r="G168" s="473">
        <f t="shared" ref="G168:G172" si="18">F65-E65</f>
        <v>408.42000000001281</v>
      </c>
      <c r="N168" s="718"/>
    </row>
    <row r="169" spans="1:14" ht="27.75">
      <c r="A169" s="1615" t="s">
        <v>100</v>
      </c>
      <c r="B169" s="1615"/>
      <c r="C169" s="1615"/>
      <c r="D169" s="524" t="s">
        <v>185</v>
      </c>
      <c r="E169" s="522">
        <f>'17'!F169</f>
        <v>74932.600000000006</v>
      </c>
      <c r="F169" s="514">
        <f t="shared" si="17"/>
        <v>75359.899999999994</v>
      </c>
      <c r="G169" s="473">
        <f t="shared" si="18"/>
        <v>427.29999999998836</v>
      </c>
      <c r="N169" s="718"/>
    </row>
    <row r="170" spans="1:14" ht="27.75">
      <c r="A170" s="1615" t="s">
        <v>101</v>
      </c>
      <c r="B170" s="1615"/>
      <c r="C170" s="1615"/>
      <c r="D170" s="524" t="s">
        <v>185</v>
      </c>
      <c r="E170" s="522">
        <f>'17'!F170</f>
        <v>272970.90999999997</v>
      </c>
      <c r="F170" s="514">
        <f t="shared" si="17"/>
        <v>273443.11</v>
      </c>
      <c r="G170" s="473">
        <f t="shared" si="18"/>
        <v>472.20000000001164</v>
      </c>
      <c r="N170" s="718"/>
    </row>
    <row r="171" spans="1:14" ht="27.75">
      <c r="A171" s="1615" t="s">
        <v>102</v>
      </c>
      <c r="B171" s="1615"/>
      <c r="C171" s="1615"/>
      <c r="D171" s="524" t="s">
        <v>185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185</v>
      </c>
      <c r="E172" s="522">
        <f>'17'!F172</f>
        <v>92028.09</v>
      </c>
      <c r="F172" s="514">
        <f t="shared" si="17"/>
        <v>92335.38</v>
      </c>
      <c r="G172" s="473">
        <f t="shared" si="18"/>
        <v>307.29000000000815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2735.3400000000056</v>
      </c>
      <c r="N173" s="718"/>
    </row>
    <row r="174" spans="1:14">
      <c r="N174" s="718"/>
    </row>
    <row r="175" spans="1:14">
      <c r="A175" s="1590" t="s">
        <v>348</v>
      </c>
      <c r="B175" s="1553"/>
      <c r="C175" s="785"/>
      <c r="D175" s="523" t="s">
        <v>185</v>
      </c>
      <c r="E175" s="532">
        <f>'17'!F174</f>
        <v>19082.099999999999</v>
      </c>
      <c r="F175" s="532">
        <v>19087</v>
      </c>
      <c r="G175" s="473">
        <f>F175-E175</f>
        <v>4.9000000000014552</v>
      </c>
      <c r="N175" s="718"/>
    </row>
    <row r="176" spans="1:14">
      <c r="A176" s="1590" t="s">
        <v>348</v>
      </c>
      <c r="B176" s="1553"/>
      <c r="C176" s="785"/>
      <c r="D176" s="523" t="s">
        <v>185</v>
      </c>
      <c r="E176" s="532">
        <f>'17'!F175</f>
        <v>70442</v>
      </c>
      <c r="F176" s="532">
        <v>70449.100000000006</v>
      </c>
      <c r="G176" s="473">
        <f t="shared" ref="G176:G177" si="19">F176-E176</f>
        <v>7.1000000000058208</v>
      </c>
      <c r="N176" s="718"/>
    </row>
    <row r="177" spans="1:14">
      <c r="A177" s="1590" t="s">
        <v>349</v>
      </c>
      <c r="B177" s="1553"/>
      <c r="C177" s="785"/>
      <c r="D177" s="523" t="s">
        <v>185</v>
      </c>
      <c r="E177" s="532">
        <f>'17'!F176</f>
        <v>27717.200000000001</v>
      </c>
      <c r="F177" s="532">
        <v>27724</v>
      </c>
      <c r="G177" s="473">
        <f t="shared" si="19"/>
        <v>6.7999999999992724</v>
      </c>
      <c r="N177" s="718"/>
    </row>
    <row r="178" spans="1:14" ht="18.75" customHeight="1">
      <c r="N178" s="718"/>
    </row>
    <row r="179" spans="1:14" ht="23.25" customHeight="1">
      <c r="N179" s="718"/>
    </row>
    <row r="180" spans="1:14" ht="23.25" customHeight="1"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42" zoomScale="55" zoomScaleNormal="40" zoomScaleSheetLayoutView="55" zoomScalePageLayoutView="60" workbookViewId="0">
      <selection activeCell="E167" sqref="E16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374</v>
      </c>
      <c r="B2" s="1031">
        <v>44396</v>
      </c>
      <c r="C2" s="1139" t="s">
        <v>68</v>
      </c>
      <c r="D2" s="611">
        <v>0.62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139" t="s">
        <v>118</v>
      </c>
      <c r="D3" s="612">
        <v>27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39" t="s">
        <v>120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129</v>
      </c>
      <c r="B7" s="579"/>
      <c r="C7" s="579"/>
      <c r="D7" s="523" t="s">
        <v>130</v>
      </c>
      <c r="E7" s="455">
        <f>'18'!F7</f>
        <v>319948.33</v>
      </c>
      <c r="F7" s="455">
        <v>341574</v>
      </c>
      <c r="G7" s="473">
        <f>F7-E7</f>
        <v>21625.669999999984</v>
      </c>
      <c r="H7" s="460">
        <f>G7+'18'!H7</f>
        <v>419621.00000000006</v>
      </c>
      <c r="I7" s="474">
        <f>'1'!I7</f>
        <v>12000</v>
      </c>
      <c r="J7" s="552">
        <f>H7/DAY(B2)</f>
        <v>22085.315789473687</v>
      </c>
      <c r="K7" s="549"/>
      <c r="L7" s="377"/>
      <c r="N7" s="382"/>
      <c r="O7" s="382"/>
    </row>
    <row r="8" spans="1:15" ht="27.75" thickBot="1">
      <c r="A8" s="580" t="s">
        <v>131</v>
      </c>
      <c r="B8" s="581"/>
      <c r="C8" s="582"/>
      <c r="D8" s="617" t="s">
        <v>25</v>
      </c>
      <c r="E8" s="475">
        <f>'18'!F8</f>
        <v>326669.21000000002</v>
      </c>
      <c r="F8" s="475">
        <v>348387</v>
      </c>
      <c r="G8" s="476">
        <f>F8-E8</f>
        <v>21717.789999999979</v>
      </c>
      <c r="H8" s="460">
        <f>G8+'18'!H8</f>
        <v>421665</v>
      </c>
      <c r="I8" s="477">
        <f>'1'!I8</f>
        <v>12000</v>
      </c>
      <c r="J8" s="552">
        <f>H8/DAY(B2)</f>
        <v>22192.894736842107</v>
      </c>
      <c r="K8" s="549"/>
      <c r="L8" s="425"/>
      <c r="M8" s="440"/>
      <c r="N8" s="382"/>
      <c r="O8" s="382"/>
    </row>
    <row r="9" spans="1:15">
      <c r="A9" s="583" t="s">
        <v>132</v>
      </c>
      <c r="B9" s="584"/>
      <c r="C9" s="584"/>
      <c r="D9" s="523" t="s">
        <v>130</v>
      </c>
      <c r="E9" s="478">
        <f>'18'!F9</f>
        <v>2418094.1</v>
      </c>
      <c r="F9" s="478">
        <v>2439016</v>
      </c>
      <c r="G9" s="473">
        <f t="shared" ref="G9:G12" si="0">F9-E9</f>
        <v>20921.899999999907</v>
      </c>
      <c r="H9" s="460">
        <f>G9+'18'!H9</f>
        <v>408014</v>
      </c>
      <c r="I9" s="479">
        <f>I8-J8</f>
        <v>-10192.894736842107</v>
      </c>
      <c r="J9" s="552">
        <f>H9/DAY(B2)</f>
        <v>21474.42105263158</v>
      </c>
      <c r="K9" s="428"/>
      <c r="L9" s="377"/>
      <c r="N9" s="382"/>
      <c r="O9" s="382"/>
    </row>
    <row r="10" spans="1:15">
      <c r="A10" s="578" t="s">
        <v>133</v>
      </c>
      <c r="B10" s="579"/>
      <c r="C10" s="579"/>
      <c r="D10" s="523" t="s">
        <v>130</v>
      </c>
      <c r="E10" s="478">
        <f>'18'!F10</f>
        <v>2606.85</v>
      </c>
      <c r="F10" s="478">
        <v>2606.85</v>
      </c>
      <c r="G10" s="473">
        <v>0</v>
      </c>
      <c r="H10" s="460">
        <f>G10+'18'!H10</f>
        <v>0.29999999999972715</v>
      </c>
      <c r="I10" s="480"/>
      <c r="J10" s="552">
        <f>H10/DAY(B2)</f>
        <v>1.5789473684196167E-2</v>
      </c>
      <c r="K10" s="428"/>
      <c r="L10" s="377"/>
      <c r="N10" s="382"/>
      <c r="O10" s="382"/>
    </row>
    <row r="11" spans="1:15">
      <c r="A11" s="578" t="s">
        <v>134</v>
      </c>
      <c r="B11" s="579"/>
      <c r="C11" s="579"/>
      <c r="D11" s="523" t="s">
        <v>130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135</v>
      </c>
      <c r="B12" s="579"/>
      <c r="C12" s="579"/>
      <c r="D12" s="523" t="s">
        <v>130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136</v>
      </c>
      <c r="B13" s="586"/>
      <c r="C13" s="586"/>
      <c r="D13" s="523"/>
      <c r="E13" s="455"/>
      <c r="F13" s="455"/>
      <c r="G13" s="481">
        <f>G9+G10+G11+G12</f>
        <v>20921.899999999907</v>
      </c>
      <c r="H13" s="460">
        <f>G13+'18'!H13</f>
        <v>387687.3</v>
      </c>
      <c r="I13" s="482">
        <f>G7-G13</f>
        <v>703.77000000007683</v>
      </c>
      <c r="J13" s="552">
        <f>H13/DAY(B2)</f>
        <v>20404.594736842104</v>
      </c>
      <c r="K13" s="428"/>
      <c r="L13" s="377"/>
      <c r="N13" s="382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37" t="s">
        <v>138</v>
      </c>
      <c r="B15" s="589"/>
      <c r="C15" s="589"/>
      <c r="D15" s="523" t="s">
        <v>139</v>
      </c>
      <c r="E15" s="484">
        <f>'18'!F15</f>
        <v>1718845.42</v>
      </c>
      <c r="F15" s="700">
        <v>1719726</v>
      </c>
      <c r="G15" s="779">
        <f>(F15-E15)</f>
        <v>880.58000000007451</v>
      </c>
      <c r="H15" s="460">
        <f>G15+'18'!H15</f>
        <v>16043</v>
      </c>
      <c r="I15" s="474">
        <v>800</v>
      </c>
      <c r="J15" s="552">
        <f>H15/DAY(B2)</f>
        <v>844.36842105263156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-44.368421052631561</v>
      </c>
      <c r="J16" s="553"/>
      <c r="K16" s="428"/>
      <c r="L16" s="377"/>
      <c r="N16" s="382"/>
      <c r="O16" s="382"/>
    </row>
    <row r="17" spans="1:15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84">
        <f>'18'!F18</f>
        <v>17</v>
      </c>
      <c r="F18" s="484">
        <v>20</v>
      </c>
      <c r="G18" s="481">
        <f>F18*10</f>
        <v>200</v>
      </c>
      <c r="H18" s="460">
        <f>G18+'18'!H18</f>
        <v>2640</v>
      </c>
      <c r="I18" s="474">
        <f>'1'!I18</f>
        <v>65</v>
      </c>
      <c r="J18" s="552">
        <f>H18/DAY(B2)</f>
        <v>138.94736842105263</v>
      </c>
      <c r="K18" s="428"/>
      <c r="L18" s="377"/>
      <c r="N18" s="382"/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84">
        <f>'18'!F19</f>
        <v>142547</v>
      </c>
      <c r="F19" s="484">
        <v>142604</v>
      </c>
      <c r="G19" s="473">
        <f t="shared" ref="G19" si="1">F19-E19</f>
        <v>57</v>
      </c>
      <c r="H19" s="460">
        <f>G19+'18'!H19</f>
        <v>1109</v>
      </c>
      <c r="I19" s="489"/>
      <c r="J19" s="552">
        <f>H19/DAY(B2)</f>
        <v>58.368421052631582</v>
      </c>
      <c r="K19" s="428"/>
      <c r="L19" s="377"/>
      <c r="N19" s="382"/>
      <c r="O19" s="382"/>
    </row>
    <row r="20" spans="1:15">
      <c r="A20" s="585" t="s">
        <v>143</v>
      </c>
      <c r="B20" s="586"/>
      <c r="C20" s="586"/>
      <c r="D20" s="490"/>
      <c r="E20" s="490"/>
      <c r="F20" s="490"/>
      <c r="G20" s="491">
        <f>G18+G19</f>
        <v>257</v>
      </c>
      <c r="H20" s="460">
        <f>G20+'18'!H20</f>
        <v>3749</v>
      </c>
      <c r="I20" s="492">
        <f>I18-J20</f>
        <v>-132.31578947368422</v>
      </c>
      <c r="J20" s="552">
        <f>H20/DAY(B2)</f>
        <v>197.31578947368422</v>
      </c>
      <c r="K20" s="428"/>
      <c r="L20" s="377"/>
      <c r="N20" s="382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7" t="s">
        <v>145</v>
      </c>
      <c r="B22" s="589"/>
      <c r="C22" s="589"/>
      <c r="D22" s="523" t="s">
        <v>146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7" t="s">
        <v>147</v>
      </c>
      <c r="B23" s="589"/>
      <c r="C23" s="589"/>
      <c r="D23" s="523" t="s">
        <v>146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148</v>
      </c>
      <c r="B24" s="591"/>
      <c r="C24" s="591"/>
      <c r="D24" s="511" t="s">
        <v>146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21718</v>
      </c>
      <c r="F27" s="501">
        <v>9</v>
      </c>
      <c r="G27" s="502">
        <f>E27*F27</f>
        <v>195462</v>
      </c>
      <c r="H27" s="460">
        <f>G27+'18'!H27</f>
        <v>3794986.89</v>
      </c>
      <c r="I27" s="503"/>
      <c r="J27" s="552">
        <f>H27/DAY(B2)</f>
        <v>199736.15210526317</v>
      </c>
      <c r="K27" s="373"/>
      <c r="L27" s="443"/>
      <c r="N27" s="444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1">
        <f>G15</f>
        <v>880.58000000007451</v>
      </c>
      <c r="F28" s="501">
        <v>52</v>
      </c>
      <c r="G28" s="502">
        <f>E28*F28</f>
        <v>45790.160000003874</v>
      </c>
      <c r="H28" s="460">
        <f>G28+'18'!H28</f>
        <v>834236</v>
      </c>
      <c r="I28" s="505"/>
      <c r="J28" s="552">
        <f>H28/DAY(B2)</f>
        <v>43907.15789473684</v>
      </c>
      <c r="K28" s="373"/>
      <c r="L28" s="443"/>
      <c r="N28" s="444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1">
        <f>G19</f>
        <v>57</v>
      </c>
      <c r="F30" s="501">
        <v>146</v>
      </c>
      <c r="G30" s="502">
        <f>E30*F30</f>
        <v>8322</v>
      </c>
      <c r="H30" s="460">
        <f>G30+'18'!H30</f>
        <v>161330</v>
      </c>
      <c r="I30" s="505"/>
      <c r="J30" s="552">
        <f>H30/DAY(B2)</f>
        <v>8491.0526315789466</v>
      </c>
      <c r="K30" s="373"/>
      <c r="L30" s="443"/>
      <c r="N30" s="444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1">
        <f>G18</f>
        <v>200</v>
      </c>
      <c r="F31" s="501">
        <v>80</v>
      </c>
      <c r="G31" s="502">
        <f>E31*F31</f>
        <v>16000</v>
      </c>
      <c r="H31" s="460">
        <f>G31+'18'!H31</f>
        <v>205600</v>
      </c>
      <c r="I31" s="505"/>
      <c r="J31" s="552">
        <f>H31/DAY(B2)</f>
        <v>10821.052631578947</v>
      </c>
      <c r="K31" s="373"/>
      <c r="L31" s="443"/>
      <c r="N31" s="444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508">
        <f>G27+G28+G29+G30+G31</f>
        <v>265574.16000000387</v>
      </c>
      <c r="H32" s="460">
        <f>G32+'18'!H32</f>
        <v>4996152.8899999997</v>
      </c>
      <c r="I32" s="509"/>
      <c r="J32" s="552">
        <f>H32/DAY(B2)</f>
        <v>262955.41526315786</v>
      </c>
      <c r="K32" s="373"/>
      <c r="L32" s="443"/>
      <c r="N32" s="444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  <c r="O33" s="382"/>
    </row>
    <row r="34" spans="1:15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162</v>
      </c>
      <c r="B35" s="579"/>
      <c r="C35" s="579"/>
      <c r="D35" s="523" t="s">
        <v>130</v>
      </c>
      <c r="E35" s="510">
        <f>'18'!F35</f>
        <v>1058597.3</v>
      </c>
      <c r="F35" s="510">
        <v>1058597</v>
      </c>
      <c r="G35" s="473">
        <f t="shared" ref="G35:G44" si="3">F35-E35</f>
        <v>-0.30000000004656613</v>
      </c>
      <c r="H35" s="460">
        <f>G35+'18'!H35</f>
        <v>29883</v>
      </c>
      <c r="I35" s="455"/>
      <c r="J35" s="552">
        <f>H35/DAY(B2)</f>
        <v>1572.7894736842106</v>
      </c>
      <c r="K35" s="428"/>
      <c r="L35" s="377"/>
      <c r="N35" s="382"/>
      <c r="O35" s="628"/>
    </row>
    <row r="36" spans="1:15">
      <c r="A36" s="578" t="s">
        <v>163</v>
      </c>
      <c r="B36" s="579"/>
      <c r="C36" s="579"/>
      <c r="D36" s="523" t="s">
        <v>130</v>
      </c>
      <c r="E36" s="510">
        <f>'18'!F36</f>
        <v>36282.28</v>
      </c>
      <c r="F36" s="510">
        <v>37098</v>
      </c>
      <c r="G36" s="473">
        <f t="shared" si="3"/>
        <v>815.72000000000116</v>
      </c>
      <c r="H36" s="460">
        <f>G36+'18'!H36</f>
        <v>16637</v>
      </c>
      <c r="I36" s="455"/>
      <c r="J36" s="552">
        <f>H36/DAY(B2)</f>
        <v>875.63157894736844</v>
      </c>
      <c r="K36" s="428"/>
      <c r="L36" s="377"/>
      <c r="N36" s="382"/>
      <c r="O36" s="628"/>
    </row>
    <row r="37" spans="1:15">
      <c r="A37" s="578" t="s">
        <v>164</v>
      </c>
      <c r="B37" s="579"/>
      <c r="C37" s="579"/>
      <c r="D37" s="523" t="s">
        <v>130</v>
      </c>
      <c r="E37" s="510">
        <f>'18'!F37</f>
        <v>205047.97</v>
      </c>
      <c r="F37" s="469">
        <v>206639</v>
      </c>
      <c r="G37" s="473">
        <f t="shared" si="3"/>
        <v>1591.0299999999988</v>
      </c>
      <c r="H37" s="460">
        <f>G37+'18'!H37</f>
        <v>30069</v>
      </c>
      <c r="I37" s="455"/>
      <c r="J37" s="552">
        <f>H37/DAY(B2)</f>
        <v>1582.578947368421</v>
      </c>
      <c r="K37" s="428"/>
      <c r="L37" s="377"/>
      <c r="N37" s="382"/>
      <c r="O37" s="382"/>
    </row>
    <row r="38" spans="1:15">
      <c r="A38" s="578" t="s">
        <v>165</v>
      </c>
      <c r="B38" s="579"/>
      <c r="C38" s="579"/>
      <c r="D38" s="523" t="s">
        <v>130</v>
      </c>
      <c r="E38" s="510">
        <f>'18'!F38</f>
        <v>227851.47</v>
      </c>
      <c r="F38" s="510">
        <v>229458</v>
      </c>
      <c r="G38" s="473">
        <f t="shared" si="3"/>
        <v>1606.5299999999988</v>
      </c>
      <c r="H38" s="460">
        <f>G38+'18'!H38</f>
        <v>30999</v>
      </c>
      <c r="I38" s="455"/>
      <c r="J38" s="552">
        <f>H38/DAY(B2)</f>
        <v>1631.5263157894738</v>
      </c>
      <c r="K38" s="428"/>
      <c r="L38" s="377"/>
      <c r="N38" s="382"/>
      <c r="O38" s="382"/>
    </row>
    <row r="39" spans="1:15">
      <c r="A39" s="578" t="s">
        <v>166</v>
      </c>
      <c r="B39" s="579"/>
      <c r="C39" s="579"/>
      <c r="D39" s="523" t="s">
        <v>130</v>
      </c>
      <c r="E39" s="510">
        <f>'18'!F39</f>
        <v>471312.67</v>
      </c>
      <c r="F39" s="510">
        <v>475083</v>
      </c>
      <c r="G39" s="473">
        <f t="shared" si="3"/>
        <v>3770.3300000000163</v>
      </c>
      <c r="H39" s="460">
        <f>G39+'18'!H39</f>
        <v>70219</v>
      </c>
      <c r="I39" s="455"/>
      <c r="J39" s="552">
        <f>H39/DAY(B2)</f>
        <v>3695.7368421052633</v>
      </c>
      <c r="K39" s="428"/>
      <c r="L39" s="377"/>
      <c r="N39" s="382"/>
      <c r="O39" s="382"/>
    </row>
    <row r="40" spans="1:15">
      <c r="A40" s="599" t="s">
        <v>167</v>
      </c>
      <c r="B40" s="600"/>
      <c r="C40" s="600"/>
      <c r="D40" s="523" t="s">
        <v>130</v>
      </c>
      <c r="E40" s="510">
        <f>'18'!F40</f>
        <v>14254.8</v>
      </c>
      <c r="F40" s="510">
        <v>14614</v>
      </c>
      <c r="G40" s="473">
        <f t="shared" si="3"/>
        <v>359.20000000000073</v>
      </c>
      <c r="H40" s="460">
        <f>G40+'18'!H40</f>
        <v>7501</v>
      </c>
      <c r="I40" s="455"/>
      <c r="J40" s="552">
        <f>H40/DAY(B2)</f>
        <v>394.78947368421052</v>
      </c>
      <c r="K40" s="429"/>
      <c r="L40" s="377"/>
      <c r="N40" s="382"/>
      <c r="O40" s="382"/>
    </row>
    <row r="41" spans="1:15">
      <c r="A41" s="578" t="s">
        <v>168</v>
      </c>
      <c r="B41" s="579"/>
      <c r="C41" s="579"/>
      <c r="D41" s="523" t="s">
        <v>130</v>
      </c>
      <c r="E41" s="510">
        <f>'18'!F41</f>
        <v>365502.35</v>
      </c>
      <c r="F41" s="510">
        <v>365502</v>
      </c>
      <c r="G41" s="473">
        <f t="shared" si="3"/>
        <v>-0.34999999997671694</v>
      </c>
      <c r="H41" s="460">
        <f>G41+'18'!H41</f>
        <v>35860</v>
      </c>
      <c r="I41" s="455"/>
      <c r="J41" s="552">
        <f>H41/DAY(B2)</f>
        <v>1887.3684210526317</v>
      </c>
      <c r="K41" s="428"/>
      <c r="L41" s="377"/>
      <c r="N41" s="382"/>
      <c r="O41" s="721"/>
    </row>
    <row r="42" spans="1:15">
      <c r="A42" s="578" t="s">
        <v>169</v>
      </c>
      <c r="B42" s="579"/>
      <c r="C42" s="579"/>
      <c r="D42" s="523" t="s">
        <v>130</v>
      </c>
      <c r="E42" s="510">
        <f>'18'!F42</f>
        <v>82013.91</v>
      </c>
      <c r="F42" s="510">
        <v>82838</v>
      </c>
      <c r="G42" s="473">
        <f t="shared" si="3"/>
        <v>824.08999999999651</v>
      </c>
      <c r="H42" s="460">
        <f>G42+'18'!H42</f>
        <v>23639.11</v>
      </c>
      <c r="I42" s="455"/>
      <c r="J42" s="552">
        <f>H42/DAY(B2)</f>
        <v>1244.1636842105263</v>
      </c>
      <c r="K42" s="428"/>
      <c r="L42" s="377"/>
      <c r="N42" s="382"/>
      <c r="O42" s="382"/>
    </row>
    <row r="43" spans="1:15">
      <c r="A43" s="578" t="s">
        <v>170</v>
      </c>
      <c r="B43" s="579"/>
      <c r="C43" s="579"/>
      <c r="D43" s="523" t="s">
        <v>130</v>
      </c>
      <c r="E43" s="510">
        <f>'18'!F43</f>
        <v>1169234.1000000001</v>
      </c>
      <c r="F43" s="510">
        <v>1171784</v>
      </c>
      <c r="G43" s="473">
        <f t="shared" si="3"/>
        <v>2549.8999999999069</v>
      </c>
      <c r="H43" s="460">
        <f>G43+'18'!H43</f>
        <v>51332</v>
      </c>
      <c r="I43" s="455"/>
      <c r="J43" s="552">
        <f>H43/DAY(B2)</f>
        <v>2701.6842105263158</v>
      </c>
      <c r="K43" s="428"/>
      <c r="L43" s="377"/>
      <c r="N43" s="382"/>
      <c r="O43" s="382"/>
    </row>
    <row r="44" spans="1:15">
      <c r="A44" s="578" t="s">
        <v>171</v>
      </c>
      <c r="B44" s="579"/>
      <c r="C44" s="579"/>
      <c r="D44" s="523" t="s">
        <v>130</v>
      </c>
      <c r="E44" s="510">
        <f>'18'!F44</f>
        <v>0</v>
      </c>
      <c r="F44" s="1491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172</v>
      </c>
      <c r="B45" s="579"/>
      <c r="C45" s="579"/>
      <c r="D45" s="523" t="s">
        <v>130</v>
      </c>
      <c r="E45" s="510">
        <f>'18'!F45</f>
        <v>614</v>
      </c>
      <c r="F45" s="510">
        <v>614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173</v>
      </c>
      <c r="B46" s="579"/>
      <c r="C46" s="579"/>
      <c r="D46" s="523" t="s">
        <v>130</v>
      </c>
      <c r="E46" s="510">
        <f>'18'!F46</f>
        <v>187.44</v>
      </c>
      <c r="F46" s="510">
        <v>187</v>
      </c>
      <c r="G46" s="473">
        <f t="shared" si="4"/>
        <v>-0.43999999999999773</v>
      </c>
      <c r="H46" s="460">
        <f>G46+'18'!H46</f>
        <v>-0.49000000000000909</v>
      </c>
      <c r="I46" s="455"/>
      <c r="J46" s="552">
        <f>H46/DAY(B2)</f>
        <v>-2.5789473684211004E-2</v>
      </c>
      <c r="K46" s="428"/>
      <c r="L46" s="377"/>
      <c r="N46" s="382"/>
      <c r="O46" s="382"/>
    </row>
    <row r="47" spans="1:15">
      <c r="A47" s="585" t="s">
        <v>174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11515.709999999895</v>
      </c>
      <c r="H47" s="460">
        <f>G47+'18'!H47</f>
        <v>296940.11</v>
      </c>
      <c r="I47" s="455"/>
      <c r="J47" s="552">
        <f>H47/DAY(B2)</f>
        <v>15628.426842105262</v>
      </c>
      <c r="K47" s="428"/>
      <c r="L47" s="377"/>
      <c r="N47" s="382"/>
      <c r="O47" s="382"/>
    </row>
    <row r="48" spans="1:15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162</v>
      </c>
      <c r="B49" s="601"/>
      <c r="C49" s="601"/>
      <c r="D49" s="523" t="s">
        <v>130</v>
      </c>
      <c r="E49" s="510">
        <f>'18'!F49</f>
        <v>285357.39799999999</v>
      </c>
      <c r="F49" s="510">
        <v>288610</v>
      </c>
      <c r="G49" s="473">
        <f t="shared" ref="G49:G58" si="5">F49-E49</f>
        <v>3252.6020000000135</v>
      </c>
      <c r="H49" s="460">
        <f>G49+'18'!H49</f>
        <v>27846</v>
      </c>
      <c r="I49" s="455"/>
      <c r="J49" s="552">
        <f>H49/DAY(B2)</f>
        <v>1465.578947368421</v>
      </c>
      <c r="K49" s="428"/>
      <c r="L49" s="377"/>
      <c r="N49" s="382"/>
      <c r="O49" s="382"/>
    </row>
    <row r="50" spans="1:15">
      <c r="A50" s="578" t="s">
        <v>176</v>
      </c>
      <c r="B50" s="601"/>
      <c r="C50" s="601"/>
      <c r="D50" s="523" t="s">
        <v>130</v>
      </c>
      <c r="E50" s="510">
        <f>'18'!F50</f>
        <v>556528.06999999995</v>
      </c>
      <c r="F50" s="510">
        <v>557622</v>
      </c>
      <c r="G50" s="473">
        <f t="shared" si="5"/>
        <v>1093.9300000000512</v>
      </c>
      <c r="H50" s="460">
        <f>G50+'18'!H50</f>
        <v>21866</v>
      </c>
      <c r="I50" s="455"/>
      <c r="J50" s="552">
        <f>H50/DAY(B2)</f>
        <v>1150.8421052631579</v>
      </c>
      <c r="K50" s="428"/>
      <c r="L50" s="377"/>
      <c r="N50" s="382"/>
      <c r="O50" s="382"/>
    </row>
    <row r="51" spans="1:15">
      <c r="A51" s="578" t="s">
        <v>164</v>
      </c>
      <c r="B51" s="601"/>
      <c r="C51" s="601"/>
      <c r="D51" s="523" t="s">
        <v>130</v>
      </c>
      <c r="E51" s="510">
        <f>'18'!F51</f>
        <v>144639.87</v>
      </c>
      <c r="F51" s="510">
        <v>144640</v>
      </c>
      <c r="G51" s="473">
        <f t="shared" si="5"/>
        <v>0.13000000000465661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177</v>
      </c>
      <c r="B52" s="601"/>
      <c r="C52" s="601"/>
      <c r="D52" s="523" t="s">
        <v>130</v>
      </c>
      <c r="E52" s="510">
        <f>'18'!F52</f>
        <v>539606.06999999995</v>
      </c>
      <c r="F52" s="510">
        <v>539606</v>
      </c>
      <c r="G52" s="473">
        <f t="shared" si="5"/>
        <v>-6.9999999948777258E-2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1"/>
    </row>
    <row r="53" spans="1:15">
      <c r="A53" s="578" t="s">
        <v>166</v>
      </c>
      <c r="B53" s="601"/>
      <c r="C53" s="601"/>
      <c r="D53" s="523" t="s">
        <v>130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-0.73999999999068677</v>
      </c>
      <c r="I53" s="455"/>
      <c r="J53" s="552">
        <f>H53/DAY(B2)</f>
        <v>-3.8947368420562463E-2</v>
      </c>
      <c r="K53" s="428"/>
      <c r="L53" s="377"/>
      <c r="N53" s="382"/>
      <c r="O53" s="382"/>
    </row>
    <row r="54" spans="1:15">
      <c r="A54" s="578" t="s">
        <v>178</v>
      </c>
      <c r="B54" s="601"/>
      <c r="C54" s="601"/>
      <c r="D54" s="523" t="s">
        <v>130</v>
      </c>
      <c r="E54" s="510">
        <f>'18'!F54</f>
        <v>14967.35</v>
      </c>
      <c r="F54" s="510">
        <v>14967</v>
      </c>
      <c r="G54" s="473">
        <f t="shared" si="5"/>
        <v>-0.3500000000003638</v>
      </c>
      <c r="H54" s="460">
        <f>G54+'18'!H54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179</v>
      </c>
      <c r="B55" s="601"/>
      <c r="C55" s="601"/>
      <c r="D55" s="523" t="s">
        <v>130</v>
      </c>
      <c r="E55" s="510">
        <f>'18'!F55</f>
        <v>180567.19</v>
      </c>
      <c r="F55" s="510">
        <v>186190</v>
      </c>
      <c r="G55" s="473">
        <f t="shared" si="5"/>
        <v>5622.8099999999977</v>
      </c>
      <c r="H55" s="460">
        <f>G55+'18'!H55</f>
        <v>62980</v>
      </c>
      <c r="I55" s="455"/>
      <c r="J55" s="552">
        <f>H55/DAY(B2)</f>
        <v>3314.7368421052633</v>
      </c>
      <c r="K55" s="428"/>
      <c r="L55" s="377"/>
      <c r="N55" s="382"/>
      <c r="O55" s="382"/>
    </row>
    <row r="56" spans="1:15">
      <c r="A56" s="578" t="s">
        <v>180</v>
      </c>
      <c r="B56" s="601"/>
      <c r="C56" s="601"/>
      <c r="D56" s="523" t="s">
        <v>181</v>
      </c>
      <c r="E56" s="510">
        <f>'18'!F56</f>
        <v>649210.35</v>
      </c>
      <c r="F56" s="510">
        <v>649210</v>
      </c>
      <c r="G56" s="473">
        <f t="shared" si="5"/>
        <v>-0.34999999997671694</v>
      </c>
      <c r="H56" s="460">
        <f>G56+'18'!H56</f>
        <v>168</v>
      </c>
      <c r="I56" s="455"/>
      <c r="J56" s="552">
        <f>H56/DAY(B2)</f>
        <v>8.8421052631578956</v>
      </c>
      <c r="K56" s="427"/>
      <c r="L56" s="377"/>
      <c r="N56" s="382"/>
      <c r="O56" s="382"/>
    </row>
    <row r="57" spans="1:15">
      <c r="A57" s="578" t="s">
        <v>170</v>
      </c>
      <c r="B57" s="601"/>
      <c r="C57" s="601"/>
      <c r="D57" s="523" t="s">
        <v>130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182</v>
      </c>
      <c r="B58" s="601"/>
      <c r="C58" s="601"/>
      <c r="D58" s="523" t="s">
        <v>130</v>
      </c>
      <c r="E58" s="510">
        <f>'18'!F58</f>
        <v>57200.13</v>
      </c>
      <c r="F58" s="510">
        <v>57418</v>
      </c>
      <c r="G58" s="473">
        <f t="shared" si="5"/>
        <v>217.87000000000262</v>
      </c>
      <c r="H58" s="460">
        <f>G58+'18'!H58</f>
        <v>3238</v>
      </c>
      <c r="I58" s="455"/>
      <c r="J58" s="552">
        <f>H58/DAY(B2)</f>
        <v>170.42105263157896</v>
      </c>
      <c r="K58" s="428"/>
      <c r="L58" s="377"/>
      <c r="N58" s="382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10186.242000000144</v>
      </c>
      <c r="H59" s="460">
        <f>G59+'18'!H59</f>
        <v>116097.26</v>
      </c>
      <c r="I59" s="455">
        <f>G7-G60</f>
        <v>-76.282000000057451</v>
      </c>
      <c r="J59" s="552">
        <f>H59/DAY(B2)</f>
        <v>6110.3821052631574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481">
        <f>G47+G59</f>
        <v>21701.952000000041</v>
      </c>
      <c r="H60" s="460">
        <f>G60+'18'!H60</f>
        <v>419940.70000000007</v>
      </c>
      <c r="I60" s="455">
        <f>G13-G60</f>
        <v>-780.05200000013429</v>
      </c>
      <c r="J60" s="552">
        <f>H60/DAY(B2)</f>
        <v>22102.142105263163</v>
      </c>
      <c r="K60" s="428"/>
      <c r="L60" s="377"/>
      <c r="N60" s="382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186</v>
      </c>
      <c r="B63" s="604"/>
      <c r="C63" s="604"/>
      <c r="D63" s="511" t="s">
        <v>185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514">
        <f>'18'!F64</f>
        <v>177066.15</v>
      </c>
      <c r="F64" s="484">
        <v>177441</v>
      </c>
      <c r="G64" s="473">
        <f t="shared" si="6"/>
        <v>374.85000000000582</v>
      </c>
      <c r="H64" s="460">
        <f>G64+'18'!H64</f>
        <v>7419</v>
      </c>
      <c r="I64" s="480"/>
      <c r="J64" s="552">
        <f>H64/DAY(B2)</f>
        <v>390.4736842105263</v>
      </c>
      <c r="K64" s="428"/>
      <c r="L64" s="377"/>
      <c r="N64" s="382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514">
        <f>'18'!F65</f>
        <v>177128.03</v>
      </c>
      <c r="F65" s="484">
        <v>177524</v>
      </c>
      <c r="G65" s="473">
        <f t="shared" si="6"/>
        <v>395.97000000000116</v>
      </c>
      <c r="H65" s="460">
        <f>G65+'18'!H65</f>
        <v>7222</v>
      </c>
      <c r="I65" s="489"/>
      <c r="J65" s="552">
        <f>H65/DAY(B2)</f>
        <v>380.10526315789474</v>
      </c>
      <c r="K65" s="428"/>
      <c r="L65" s="377"/>
      <c r="N65" s="382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514">
        <f>'18'!F66</f>
        <v>75359.899999999994</v>
      </c>
      <c r="F66" s="484">
        <v>75789</v>
      </c>
      <c r="G66" s="473">
        <f t="shared" si="6"/>
        <v>429.10000000000582</v>
      </c>
      <c r="H66" s="460">
        <f>G66+'18'!H66</f>
        <v>7819</v>
      </c>
      <c r="I66" s="480"/>
      <c r="J66" s="552">
        <f>H66/DAY(B2)</f>
        <v>411.5263157894737</v>
      </c>
      <c r="K66" s="428"/>
      <c r="L66" s="377"/>
      <c r="N66" s="382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514">
        <f>'18'!F67</f>
        <v>273443.11</v>
      </c>
      <c r="F67" s="484">
        <v>273925</v>
      </c>
      <c r="G67" s="473">
        <f t="shared" si="6"/>
        <v>481.89000000001397</v>
      </c>
      <c r="H67" s="460">
        <f>G67+'18'!H67</f>
        <v>8966</v>
      </c>
      <c r="I67" s="489"/>
      <c r="J67" s="552">
        <f>H67/DAY(B2)</f>
        <v>471.89473684210526</v>
      </c>
      <c r="K67" s="429"/>
      <c r="L67" s="377"/>
      <c r="N67" s="382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51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514">
        <f>'18'!F69</f>
        <v>92335.38</v>
      </c>
      <c r="F69" s="484">
        <v>92641</v>
      </c>
      <c r="G69" s="473">
        <f t="shared" si="6"/>
        <v>305.61999999999534</v>
      </c>
      <c r="H69" s="460">
        <f>G69+'18'!H69</f>
        <v>5126</v>
      </c>
      <c r="I69" s="516"/>
      <c r="J69" s="552">
        <f>H69/DAY(B2)</f>
        <v>269.78947368421052</v>
      </c>
      <c r="K69" s="431"/>
      <c r="L69" s="377"/>
      <c r="N69" s="382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519">
        <f>'18'!F72</f>
        <v>856445</v>
      </c>
      <c r="F72" s="519">
        <v>856459</v>
      </c>
      <c r="G72" s="473">
        <f t="shared" ref="G72:G84" si="7">F72-E72</f>
        <v>14</v>
      </c>
      <c r="H72" s="460">
        <f>G72+'18'!H72</f>
        <v>224</v>
      </c>
      <c r="I72" s="480"/>
      <c r="J72" s="552">
        <f>H72/DAY(B2)</f>
        <v>11.789473684210526</v>
      </c>
      <c r="K72" s="431"/>
      <c r="L72" s="377"/>
      <c r="N72" s="382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519">
        <f>'18'!F73</f>
        <v>885996</v>
      </c>
      <c r="F73" s="520">
        <v>885998</v>
      </c>
      <c r="G73" s="473">
        <f t="shared" si="7"/>
        <v>2</v>
      </c>
      <c r="H73" s="460">
        <f>G73+'18'!H73</f>
        <v>164</v>
      </c>
      <c r="I73" s="480"/>
      <c r="J73" s="552">
        <f>H73/DAY(B2)</f>
        <v>8.6315789473684212</v>
      </c>
      <c r="K73" s="430"/>
      <c r="L73" s="377"/>
      <c r="N73" s="382"/>
      <c r="O73" s="382"/>
    </row>
    <row r="74" spans="1:15" ht="27.75">
      <c r="A74" s="1625" t="s">
        <v>191</v>
      </c>
      <c r="B74" s="1626"/>
      <c r="C74" s="1627"/>
      <c r="D74" s="523" t="s">
        <v>185</v>
      </c>
      <c r="E74" s="519">
        <f>'18'!F74</f>
        <v>88716.1</v>
      </c>
      <c r="F74" s="521">
        <v>88716</v>
      </c>
      <c r="G74" s="473">
        <f t="shared" si="7"/>
        <v>-0.10000000000582077</v>
      </c>
      <c r="H74" s="460">
        <f>G74+'18'!H74</f>
        <v>54</v>
      </c>
      <c r="I74" s="480"/>
      <c r="J74" s="552">
        <f>H74/DAY(B2)</f>
        <v>2.8421052631578947</v>
      </c>
      <c r="K74" s="431"/>
      <c r="L74" s="377"/>
      <c r="N74" s="382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519">
        <f>'18'!F75</f>
        <v>18876.75</v>
      </c>
      <c r="F75" s="521">
        <v>19025</v>
      </c>
      <c r="G75" s="473">
        <f t="shared" si="7"/>
        <v>148.25</v>
      </c>
      <c r="H75" s="460">
        <f>G75+'18'!H75</f>
        <v>2954</v>
      </c>
      <c r="I75" s="480"/>
      <c r="J75" s="552">
        <f>H75/DAY(B2)</f>
        <v>155.47368421052633</v>
      </c>
      <c r="K75" s="430"/>
      <c r="L75" s="377"/>
      <c r="N75" s="382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519">
        <f>'18'!F76</f>
        <v>10516.28</v>
      </c>
      <c r="F76" s="520">
        <v>10577</v>
      </c>
      <c r="G76" s="473">
        <f t="shared" si="7"/>
        <v>60.719999999999345</v>
      </c>
      <c r="H76" s="460">
        <f>G76+'18'!H76</f>
        <v>2358</v>
      </c>
      <c r="I76" s="505"/>
      <c r="J76" s="552">
        <f>H76/DAY(B2)</f>
        <v>124.10526315789474</v>
      </c>
      <c r="K76" s="430"/>
      <c r="L76" s="377"/>
      <c r="N76" s="382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519">
        <f>'18'!F77</f>
        <v>705501</v>
      </c>
      <c r="F77" s="521">
        <v>705569</v>
      </c>
      <c r="G77" s="473">
        <f t="shared" si="7"/>
        <v>68</v>
      </c>
      <c r="H77" s="460">
        <f>G77+'18'!H77</f>
        <v>1195</v>
      </c>
      <c r="I77" s="505"/>
      <c r="J77" s="552">
        <f>H77/DAY(B2)</f>
        <v>62.89473684210526</v>
      </c>
      <c r="K77" s="430"/>
      <c r="L77" s="377"/>
      <c r="N77" s="382"/>
      <c r="O77" s="382"/>
    </row>
    <row r="78" spans="1:15" ht="27.75">
      <c r="A78" s="1140" t="s">
        <v>195</v>
      </c>
      <c r="B78" s="1113"/>
      <c r="C78" s="1113"/>
      <c r="D78" s="523" t="s">
        <v>185</v>
      </c>
      <c r="E78" s="519">
        <f>'18'!F78</f>
        <v>677200</v>
      </c>
      <c r="F78" s="521">
        <v>677282</v>
      </c>
      <c r="G78" s="473">
        <f t="shared" si="7"/>
        <v>82</v>
      </c>
      <c r="H78" s="460">
        <f>G78+'18'!H78</f>
        <v>1868</v>
      </c>
      <c r="I78" s="505"/>
      <c r="J78" s="552">
        <f>H78/DAY(B2)</f>
        <v>98.315789473684205</v>
      </c>
      <c r="K78" s="430"/>
      <c r="L78" s="377"/>
      <c r="N78" s="382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519">
        <f>'18'!F79</f>
        <v>838269</v>
      </c>
      <c r="F79" s="521">
        <v>838424</v>
      </c>
      <c r="G79" s="473">
        <f t="shared" si="7"/>
        <v>155</v>
      </c>
      <c r="H79" s="460">
        <f>G79+'18'!H79</f>
        <v>2270</v>
      </c>
      <c r="I79" s="505"/>
      <c r="J79" s="552">
        <f>H79/DAY(B2)</f>
        <v>119.47368421052632</v>
      </c>
      <c r="K79" s="430"/>
      <c r="L79" s="377"/>
      <c r="N79" s="382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519">
        <f>'18'!F80</f>
        <v>546767</v>
      </c>
      <c r="F80" s="520">
        <v>547168</v>
      </c>
      <c r="G80" s="473">
        <f t="shared" si="7"/>
        <v>401</v>
      </c>
      <c r="H80" s="460">
        <f>G80+'18'!H80</f>
        <v>4777</v>
      </c>
      <c r="I80" s="505"/>
      <c r="J80" s="552">
        <f>H80/DAY(B2)</f>
        <v>251.42105263157896</v>
      </c>
      <c r="K80" s="430"/>
      <c r="L80" s="377"/>
      <c r="N80" s="382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519">
        <f>'18'!F81</f>
        <v>646454.52</v>
      </c>
      <c r="F81" s="520">
        <v>646674</v>
      </c>
      <c r="G81" s="473">
        <f t="shared" si="7"/>
        <v>219.47999999998137</v>
      </c>
      <c r="H81" s="460">
        <f>G81+'18'!H81</f>
        <v>3689</v>
      </c>
      <c r="I81" s="505"/>
      <c r="J81" s="552">
        <f>H81/DAY(B2)</f>
        <v>194.15789473684211</v>
      </c>
      <c r="K81" s="430"/>
      <c r="L81" s="377"/>
      <c r="N81" s="382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519">
        <f>'18'!F82</f>
        <v>109064.85</v>
      </c>
      <c r="F82" s="522">
        <v>109089</v>
      </c>
      <c r="G82" s="473">
        <f t="shared" si="7"/>
        <v>24.149999999994179</v>
      </c>
      <c r="H82" s="460">
        <f>G82+'18'!H82</f>
        <v>408</v>
      </c>
      <c r="I82" s="486"/>
      <c r="J82" s="552">
        <f>H82/DAY(B2)</f>
        <v>21.473684210526315</v>
      </c>
      <c r="K82" s="430"/>
      <c r="L82" s="377"/>
      <c r="N82" s="382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519">
        <f>'18'!F83</f>
        <v>31818</v>
      </c>
      <c r="F83" s="511">
        <v>32090</v>
      </c>
      <c r="G83" s="473">
        <f t="shared" si="7"/>
        <v>272</v>
      </c>
      <c r="H83" s="460">
        <f>G83+'18'!H83</f>
        <v>4539</v>
      </c>
      <c r="I83" s="481"/>
      <c r="J83" s="552">
        <f>H83/DAY(B2)</f>
        <v>238.89473684210526</v>
      </c>
      <c r="K83" s="429"/>
      <c r="L83" s="377"/>
      <c r="N83" s="382"/>
      <c r="O83" s="721"/>
    </row>
    <row r="84" spans="1:15">
      <c r="A84" s="1141" t="s">
        <v>199</v>
      </c>
      <c r="B84" s="571"/>
      <c r="C84" s="571"/>
      <c r="D84" s="478" t="s">
        <v>130</v>
      </c>
      <c r="E84" s="519">
        <f>'18'!F84</f>
        <v>537360</v>
      </c>
      <c r="F84" s="627">
        <v>538136</v>
      </c>
      <c r="G84" s="473">
        <f t="shared" si="7"/>
        <v>776</v>
      </c>
      <c r="H84" s="460">
        <f>G84+'18'!H84</f>
        <v>15056</v>
      </c>
      <c r="I84" s="481"/>
      <c r="J84" s="552">
        <f>H84/DAY(B2)</f>
        <v>792.42105263157896</v>
      </c>
      <c r="K84" s="380"/>
      <c r="L84" s="377"/>
      <c r="N84" s="382"/>
      <c r="O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2222.4999999999691</v>
      </c>
      <c r="H85" s="460">
        <f>G85+'18'!H85</f>
        <v>42430</v>
      </c>
      <c r="I85" s="481"/>
      <c r="J85" s="552">
        <f>H85/DAY(B2)</f>
        <v>2233.1578947368421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181</v>
      </c>
      <c r="E86" s="647">
        <f>'18'!F86</f>
        <v>462238</v>
      </c>
      <c r="F86" s="647">
        <v>462255</v>
      </c>
      <c r="G86" s="705">
        <f t="shared" ref="G86:G91" si="8">F86-E86</f>
        <v>17</v>
      </c>
      <c r="H86" s="460">
        <f>G86+'18'!H86</f>
        <v>25.159999999974389</v>
      </c>
      <c r="I86" s="652"/>
      <c r="J86" s="707">
        <f>H86/DAY(B2)</f>
        <v>1.3242105263144415</v>
      </c>
      <c r="K86" s="733">
        <v>424609</v>
      </c>
      <c r="L86" s="734">
        <f>K86-F86</f>
        <v>-37646</v>
      </c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181</v>
      </c>
      <c r="E87" s="647">
        <f>'18'!F87</f>
        <v>82552.600000000006</v>
      </c>
      <c r="F87" s="647">
        <v>82583</v>
      </c>
      <c r="G87" s="705">
        <f t="shared" si="8"/>
        <v>30.399999999994179</v>
      </c>
      <c r="H87" s="460">
        <f>G87+'18'!H87</f>
        <v>40</v>
      </c>
      <c r="I87" s="652"/>
      <c r="J87" s="707">
        <f>H87/DAY(B2)</f>
        <v>2.1052631578947367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181</v>
      </c>
      <c r="E88" s="647">
        <f>'18'!F88</f>
        <v>157321</v>
      </c>
      <c r="F88" s="647">
        <v>157447</v>
      </c>
      <c r="G88" s="705">
        <f t="shared" si="8"/>
        <v>126</v>
      </c>
      <c r="H88" s="460">
        <f>G88+'18'!H88</f>
        <v>201.27999999999884</v>
      </c>
      <c r="I88" s="652"/>
      <c r="J88" s="707">
        <f>H88/DAY(B2)</f>
        <v>10.593684210526254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181</v>
      </c>
      <c r="E89" s="647">
        <f>'18'!F89</f>
        <v>66579</v>
      </c>
      <c r="F89" s="647">
        <v>66620</v>
      </c>
      <c r="G89" s="705">
        <f t="shared" si="8"/>
        <v>41</v>
      </c>
      <c r="H89" s="460">
        <f>G89+'18'!H89</f>
        <v>59.19999999999709</v>
      </c>
      <c r="I89" s="652"/>
      <c r="J89" s="707">
        <f>H89/DAY(B2)</f>
        <v>3.1157894736840572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47">
        <f>'18'!F90</f>
        <v>3408</v>
      </c>
      <c r="F90" s="647">
        <v>3411</v>
      </c>
      <c r="G90" s="705">
        <f t="shared" si="8"/>
        <v>3</v>
      </c>
      <c r="H90" s="705">
        <f>G90</f>
        <v>3</v>
      </c>
      <c r="I90" s="652"/>
      <c r="J90" s="707">
        <f>H90/DAY(B2)</f>
        <v>0.15789473684210525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 t="s">
        <v>130</v>
      </c>
      <c r="E91" s="647">
        <f>'18'!F91</f>
        <v>28393.63</v>
      </c>
      <c r="F91" s="647">
        <v>28403</v>
      </c>
      <c r="G91" s="705">
        <f t="shared" si="8"/>
        <v>9.3699999999989814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647">
        <f>'18'!F93</f>
        <v>249207</v>
      </c>
      <c r="F93" s="484">
        <v>249307</v>
      </c>
      <c r="G93" s="473">
        <f t="shared" ref="G93:G94" si="9">F93-E93</f>
        <v>100</v>
      </c>
      <c r="H93" s="460">
        <f>G93+'18'!H93</f>
        <v>1955</v>
      </c>
      <c r="I93" s="480"/>
      <c r="J93" s="552">
        <f>H93/DAY(B2)</f>
        <v>102.89473684210526</v>
      </c>
      <c r="K93" s="429"/>
      <c r="L93" s="377"/>
      <c r="N93" s="382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'18'!F94</f>
        <v>191615</v>
      </c>
      <c r="F94" s="484">
        <v>191769</v>
      </c>
      <c r="G94" s="473">
        <f t="shared" si="9"/>
        <v>154</v>
      </c>
      <c r="H94" s="460">
        <f>G94+'18'!H94</f>
        <v>2315</v>
      </c>
      <c r="I94" s="480"/>
      <c r="J94" s="552">
        <f>H94/DAY(B2)</f>
        <v>121.84210526315789</v>
      </c>
      <c r="K94" s="380"/>
      <c r="L94" s="377"/>
      <c r="N94" s="382"/>
      <c r="O94" s="382"/>
    </row>
    <row r="95" spans="1:15">
      <c r="A95" s="1594" t="s">
        <v>206</v>
      </c>
      <c r="B95" s="1595"/>
      <c r="C95" s="1596"/>
      <c r="D95" s="523"/>
      <c r="E95" s="484">
        <f>'18'!F95</f>
        <v>0</v>
      </c>
      <c r="F95" s="484"/>
      <c r="G95" s="473">
        <f>G93+G94</f>
        <v>254</v>
      </c>
      <c r="H95" s="460">
        <f>G95+'18'!H95</f>
        <v>4084</v>
      </c>
      <c r="I95" s="480"/>
      <c r="J95" s="552">
        <f>H95/DAY(B2)</f>
        <v>214.94736842105263</v>
      </c>
      <c r="K95" s="380"/>
      <c r="L95" s="377"/>
      <c r="N95" s="382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'18'!F96</f>
        <v>417634</v>
      </c>
      <c r="F96" s="484">
        <v>417710</v>
      </c>
      <c r="G96" s="473">
        <f t="shared" ref="G96:G101" si="10">F96-E96</f>
        <v>76</v>
      </c>
      <c r="H96" s="460">
        <f>G96+'18'!H96</f>
        <v>1711</v>
      </c>
      <c r="I96" s="480"/>
      <c r="J96" s="552">
        <f>H96/DAY(B2)</f>
        <v>90.05263157894737</v>
      </c>
      <c r="K96" s="380"/>
      <c r="L96" s="377"/>
      <c r="N96" s="382"/>
      <c r="O96" s="382"/>
    </row>
    <row r="97" spans="1:15" ht="27.75">
      <c r="A97" s="1137" t="s">
        <v>208</v>
      </c>
      <c r="B97" s="1138"/>
      <c r="C97" s="1138"/>
      <c r="D97" s="523" t="s">
        <v>142</v>
      </c>
      <c r="E97" s="484">
        <f>'18'!F97</f>
        <v>103571</v>
      </c>
      <c r="F97" s="484">
        <v>103589</v>
      </c>
      <c r="G97" s="473">
        <f t="shared" si="10"/>
        <v>18</v>
      </c>
      <c r="H97" s="460">
        <f>G97+'18'!H97</f>
        <v>426</v>
      </c>
      <c r="I97" s="480"/>
      <c r="J97" s="552">
        <f>H97/DAY(B2)</f>
        <v>22.421052631578949</v>
      </c>
      <c r="K97" s="427"/>
      <c r="L97" s="377"/>
      <c r="N97" s="382"/>
      <c r="O97" s="382"/>
    </row>
    <row r="98" spans="1:15" ht="27.75">
      <c r="A98" s="1137" t="s">
        <v>209</v>
      </c>
      <c r="B98" s="1138"/>
      <c r="C98" s="1138"/>
      <c r="D98" s="523" t="s">
        <v>142</v>
      </c>
      <c r="E98" s="484">
        <f>'18'!F98</f>
        <v>99119</v>
      </c>
      <c r="F98" s="484">
        <v>99142</v>
      </c>
      <c r="G98" s="473">
        <f t="shared" si="10"/>
        <v>23</v>
      </c>
      <c r="H98" s="460">
        <f>G98+'18'!H98</f>
        <v>485</v>
      </c>
      <c r="I98" s="480"/>
      <c r="J98" s="552">
        <f>H98/DAY(B2)</f>
        <v>25.526315789473685</v>
      </c>
      <c r="K98" s="432"/>
      <c r="L98" s="377"/>
      <c r="N98" s="382"/>
      <c r="O98" s="382"/>
    </row>
    <row r="99" spans="1:15" ht="27.75">
      <c r="A99" s="1137" t="s">
        <v>210</v>
      </c>
      <c r="B99" s="1138"/>
      <c r="C99" s="1138"/>
      <c r="D99" s="523" t="s">
        <v>142</v>
      </c>
      <c r="E99" s="484">
        <f>'18'!F99</f>
        <v>150935</v>
      </c>
      <c r="F99" s="484">
        <v>150970</v>
      </c>
      <c r="G99" s="473">
        <f t="shared" si="10"/>
        <v>35</v>
      </c>
      <c r="H99" s="460">
        <f>G99+'18'!H99</f>
        <v>565</v>
      </c>
      <c r="I99" s="480"/>
      <c r="J99" s="552">
        <f>H99/DAY(B2)</f>
        <v>29.736842105263158</v>
      </c>
      <c r="K99" s="380"/>
      <c r="L99" s="377"/>
      <c r="N99" s="382"/>
      <c r="O99" s="382"/>
    </row>
    <row r="100" spans="1:15" ht="27.75">
      <c r="A100" s="1137" t="s">
        <v>211</v>
      </c>
      <c r="B100" s="1138"/>
      <c r="C100" s="1138"/>
      <c r="D100" s="523" t="s">
        <v>142</v>
      </c>
      <c r="E100" s="484">
        <f>'18'!F100</f>
        <v>7997</v>
      </c>
      <c r="F100" s="484">
        <v>8006</v>
      </c>
      <c r="G100" s="473">
        <f t="shared" si="10"/>
        <v>9</v>
      </c>
      <c r="H100" s="460">
        <f>G100+'18'!H100</f>
        <v>209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7" t="s">
        <v>212</v>
      </c>
      <c r="B101" s="1138"/>
      <c r="C101" s="1138"/>
      <c r="D101" s="523" t="s">
        <v>142</v>
      </c>
      <c r="E101" s="484">
        <f>'18'!F101</f>
        <v>5859</v>
      </c>
      <c r="F101" s="484">
        <v>5865</v>
      </c>
      <c r="G101" s="473">
        <f t="shared" si="10"/>
        <v>6</v>
      </c>
      <c r="H101" s="460">
        <f>G101+'18'!H101</f>
        <v>191</v>
      </c>
      <c r="I101" s="480"/>
      <c r="J101" s="552">
        <f>H101/DAY(B2)</f>
        <v>10.052631578947368</v>
      </c>
      <c r="K101" s="380"/>
      <c r="L101" s="377"/>
      <c r="N101" s="382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525">
        <f>SUM(G96:G101)</f>
        <v>167</v>
      </c>
      <c r="H102" s="460">
        <f>G102+'18'!H102</f>
        <v>3587</v>
      </c>
      <c r="I102" s="526"/>
      <c r="J102" s="552">
        <f>H102/DAY(B2)</f>
        <v>188.78947368421052</v>
      </c>
      <c r="K102" s="380"/>
      <c r="L102" s="377"/>
      <c r="N102" s="382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4" t="s">
        <v>217</v>
      </c>
      <c r="B105" s="1555"/>
      <c r="C105" s="1135"/>
      <c r="D105" s="622" t="s">
        <v>142</v>
      </c>
      <c r="E105" s="532">
        <f>'18'!F105</f>
        <v>7767</v>
      </c>
      <c r="F105" s="532">
        <v>7767</v>
      </c>
      <c r="G105" s="532">
        <f>F105-E105</f>
        <v>0</v>
      </c>
      <c r="H105" s="460">
        <f>G105+'18'!H105</f>
        <v>69.3799999999992</v>
      </c>
      <c r="I105" s="532"/>
      <c r="J105" s="558">
        <f>H105/DAY(B2)</f>
        <v>3.6515789473683791</v>
      </c>
      <c r="N105" s="444"/>
      <c r="O105" s="382"/>
    </row>
    <row r="106" spans="1:15" s="442" customFormat="1" ht="27.75">
      <c r="A106" s="1554" t="s">
        <v>76</v>
      </c>
      <c r="B106" s="1555"/>
      <c r="C106" s="1135"/>
      <c r="D106" s="622" t="s">
        <v>142</v>
      </c>
      <c r="E106" s="534">
        <f>'18'!F106</f>
        <v>36342</v>
      </c>
      <c r="F106" s="534">
        <v>36352</v>
      </c>
      <c r="G106" s="532">
        <f t="shared" ref="G106" si="11">F106-E106</f>
        <v>10</v>
      </c>
      <c r="H106" s="460">
        <f>G106+'18'!H106</f>
        <v>73</v>
      </c>
      <c r="I106" s="532"/>
      <c r="J106" s="558">
        <f>H106/DAY(B2)</f>
        <v>3.8421052631578947</v>
      </c>
      <c r="N106" s="444"/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532">
        <f>'18'!F107</f>
        <v>19902</v>
      </c>
      <c r="F107" s="532">
        <v>19908</v>
      </c>
      <c r="G107" s="532">
        <f>F107-E107</f>
        <v>6</v>
      </c>
      <c r="H107" s="460">
        <f>G107+'18'!H107</f>
        <v>125</v>
      </c>
      <c r="I107" s="532"/>
      <c r="J107" s="558">
        <f>H107/DAY(B2)</f>
        <v>6.5789473684210522</v>
      </c>
      <c r="N107" s="444"/>
      <c r="O107" s="382"/>
    </row>
    <row r="108" spans="1:15" s="442" customFormat="1" ht="27.75">
      <c r="A108" s="1556" t="s">
        <v>200</v>
      </c>
      <c r="B108" s="1557"/>
      <c r="C108" s="1135"/>
      <c r="D108" s="622"/>
      <c r="E108" s="532">
        <f>'18'!F108</f>
        <v>0</v>
      </c>
      <c r="F108" s="532"/>
      <c r="G108" s="532">
        <f>SUM(G105:G107)</f>
        <v>16</v>
      </c>
      <c r="H108" s="460">
        <f>G108+'18'!H108</f>
        <v>184</v>
      </c>
      <c r="I108" s="532"/>
      <c r="J108" s="558">
        <f>H108/DAY(B2)</f>
        <v>9.6842105263157894</v>
      </c>
      <c r="N108" s="444"/>
      <c r="O108" s="382"/>
    </row>
    <row r="109" spans="1:15" s="442" customFormat="1" ht="27.75">
      <c r="A109" s="1560" t="s">
        <v>78</v>
      </c>
      <c r="B109" s="1561"/>
      <c r="C109" s="1135"/>
      <c r="D109" s="622" t="s">
        <v>142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54" t="s">
        <v>218</v>
      </c>
      <c r="B110" s="1555"/>
      <c r="C110" s="1135"/>
      <c r="D110" s="622" t="s">
        <v>142</v>
      </c>
      <c r="E110" s="532">
        <f>'18'!F110</f>
        <v>66170</v>
      </c>
      <c r="F110" s="532">
        <v>66236</v>
      </c>
      <c r="G110" s="532">
        <f>F110-E110</f>
        <v>66</v>
      </c>
      <c r="H110" s="460">
        <f>G110+'18'!H110</f>
        <v>262.64000000001397</v>
      </c>
      <c r="I110" s="532"/>
      <c r="J110" s="558">
        <f>H110/DAY(B2)</f>
        <v>13.823157894737577</v>
      </c>
      <c r="N110" s="444"/>
      <c r="O110" s="382"/>
    </row>
    <row r="111" spans="1:15" s="442" customFormat="1" ht="27.75">
      <c r="A111" s="1554" t="s">
        <v>219</v>
      </c>
      <c r="B111" s="1555"/>
      <c r="C111" s="1135"/>
      <c r="D111" s="622" t="s">
        <v>142</v>
      </c>
      <c r="E111" s="532">
        <f>'18'!F111</f>
        <v>33641</v>
      </c>
      <c r="F111" s="532">
        <v>33681</v>
      </c>
      <c r="G111" s="532">
        <f t="shared" ref="G111:G112" si="12">F111-E111</f>
        <v>40</v>
      </c>
      <c r="H111" s="460">
        <f>G111+'18'!H111</f>
        <v>76.899999999994179</v>
      </c>
      <c r="I111" s="532"/>
      <c r="J111" s="558">
        <f>H111/DAY(B2)</f>
        <v>4.0473684210523251</v>
      </c>
      <c r="N111" s="444"/>
      <c r="O111" s="382"/>
    </row>
    <row r="112" spans="1:15" s="442" customFormat="1" ht="27.75">
      <c r="A112" s="1554" t="s">
        <v>220</v>
      </c>
      <c r="B112" s="1555"/>
      <c r="C112" s="1135"/>
      <c r="D112" s="622" t="s">
        <v>142</v>
      </c>
      <c r="E112" s="532">
        <v>4622</v>
      </c>
      <c r="F112" s="532">
        <v>4622</v>
      </c>
      <c r="G112" s="532">
        <f t="shared" si="12"/>
        <v>0</v>
      </c>
      <c r="H112" s="460">
        <f>G112+'18'!H112</f>
        <v>351</v>
      </c>
      <c r="I112" s="532"/>
      <c r="J112" s="558">
        <f>H112/DAY(B2)</f>
        <v>18.473684210526315</v>
      </c>
      <c r="N112" s="444"/>
      <c r="O112" s="382"/>
    </row>
    <row r="113" spans="1:15" s="442" customFormat="1" ht="27.75">
      <c r="A113" s="1558" t="s">
        <v>109</v>
      </c>
      <c r="B113" s="1559"/>
      <c r="C113" s="1135"/>
      <c r="D113" s="622"/>
      <c r="E113" s="532">
        <f>'18'!F113</f>
        <v>0</v>
      </c>
      <c r="F113" s="532"/>
      <c r="G113" s="532">
        <f>SUM(G110:G112)</f>
        <v>106</v>
      </c>
      <c r="H113" s="460">
        <f>G113+'18'!H113</f>
        <v>999</v>
      </c>
      <c r="I113" s="532"/>
      <c r="J113" s="558">
        <f>H113/DAY(B2)</f>
        <v>52.578947368421055</v>
      </c>
      <c r="N113" s="444"/>
      <c r="O113" s="382"/>
    </row>
    <row r="114" spans="1:15" s="442" customFormat="1" ht="27.75">
      <c r="A114" s="1560" t="s">
        <v>221</v>
      </c>
      <c r="B114" s="1561"/>
      <c r="C114" s="1135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534">
        <f>'18'!F115</f>
        <v>12261</v>
      </c>
      <c r="F115" s="534">
        <v>12272</v>
      </c>
      <c r="G115" s="534">
        <f>F115-E115</f>
        <v>11</v>
      </c>
      <c r="H115" s="460">
        <f>G115+'18'!H115</f>
        <v>30</v>
      </c>
      <c r="I115" s="532"/>
      <c r="J115" s="558">
        <f>H115/DAY(B2)</f>
        <v>1.5789473684210527</v>
      </c>
      <c r="N115" s="444"/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534">
        <f>'18'!F116</f>
        <v>8711</v>
      </c>
      <c r="F116" s="534">
        <v>8717</v>
      </c>
      <c r="G116" s="534">
        <f t="shared" ref="G116:G117" si="13">F116-E116</f>
        <v>6</v>
      </c>
      <c r="H116" s="460">
        <f>G116+'18'!H116</f>
        <v>104</v>
      </c>
      <c r="I116" s="532"/>
      <c r="J116" s="558">
        <f>H116/DAY(B2)</f>
        <v>5.4736842105263159</v>
      </c>
      <c r="N116" s="444"/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534">
        <f t="shared" si="13"/>
        <v>0</v>
      </c>
      <c r="H117" s="460">
        <f>G117+'18'!H117</f>
        <v>97</v>
      </c>
      <c r="I117" s="532"/>
      <c r="J117" s="558">
        <f>H117/DAY(B2)</f>
        <v>5.1052631578947372</v>
      </c>
      <c r="N117" s="444"/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534"/>
      <c r="G118" s="534">
        <f>SUM(G115:G117)</f>
        <v>17</v>
      </c>
      <c r="H118" s="460">
        <f>G118+'18'!H118</f>
        <v>131</v>
      </c>
      <c r="I118" s="534"/>
      <c r="J118" s="558">
        <f>H118/DAY(B2)</f>
        <v>6.8947368421052628</v>
      </c>
      <c r="N118" s="447"/>
      <c r="O118" s="382"/>
    </row>
    <row r="119" spans="1:15" s="446" customFormat="1" ht="27.75">
      <c r="A119" s="1550" t="s">
        <v>225</v>
      </c>
      <c r="B119" s="1551"/>
      <c r="C119" s="1134"/>
      <c r="D119" s="624" t="s">
        <v>142</v>
      </c>
      <c r="E119" s="536"/>
      <c r="F119" s="536">
        <f>SUM(G19+G93)</f>
        <v>157</v>
      </c>
      <c r="G119" s="536">
        <f>SUM(G19+G93)</f>
        <v>157</v>
      </c>
      <c r="H119" s="460">
        <f>G119+'18'!H119</f>
        <v>346</v>
      </c>
      <c r="I119" s="535"/>
      <c r="J119" s="559">
        <f>H119/DAY(B2)</f>
        <v>18.210526315789473</v>
      </c>
      <c r="N119" s="778"/>
      <c r="O119" s="382"/>
    </row>
    <row r="120" spans="1:15" s="446" customFormat="1" ht="27.75">
      <c r="A120" s="1550" t="s">
        <v>226</v>
      </c>
      <c r="B120" s="1551"/>
      <c r="C120" s="1134"/>
      <c r="D120" s="624" t="s">
        <v>142</v>
      </c>
      <c r="E120" s="536"/>
      <c r="F120" s="536">
        <f>SUM(G96,G97,G98,G100,G101)</f>
        <v>132</v>
      </c>
      <c r="G120" s="536">
        <f>SUM(G96,G97,G98,G100,G101)</f>
        <v>132</v>
      </c>
      <c r="H120" s="460">
        <f>G120+'18'!H120</f>
        <v>358</v>
      </c>
      <c r="I120" s="535"/>
      <c r="J120" s="559">
        <f>H120/DAY(B2)</f>
        <v>18.842105263157894</v>
      </c>
      <c r="N120" s="778"/>
      <c r="O120" s="382"/>
    </row>
    <row r="121" spans="1:15" s="446" customFormat="1" ht="27.75">
      <c r="A121" s="1550" t="s">
        <v>227</v>
      </c>
      <c r="B121" s="1551"/>
      <c r="C121" s="1134"/>
      <c r="D121" s="624" t="s">
        <v>142</v>
      </c>
      <c r="E121" s="534"/>
      <c r="F121" s="534">
        <f>SUM(G113)</f>
        <v>106</v>
      </c>
      <c r="G121" s="534">
        <f>SUM(G113)</f>
        <v>106</v>
      </c>
      <c r="H121" s="460">
        <f>G121+'18'!H121</f>
        <v>188</v>
      </c>
      <c r="I121" s="535"/>
      <c r="J121" s="559">
        <f>H121/DAY(B2)</f>
        <v>9.8947368421052637</v>
      </c>
      <c r="N121" s="778"/>
      <c r="O121" s="382"/>
    </row>
    <row r="122" spans="1:15" s="442" customFormat="1" ht="27.75">
      <c r="A122" s="1552"/>
      <c r="B122" s="1553"/>
      <c r="C122" s="1135"/>
      <c r="D122" s="560"/>
      <c r="E122" s="560"/>
      <c r="F122" s="560" t="s">
        <v>213</v>
      </c>
      <c r="G122" s="560"/>
      <c r="H122" s="561"/>
      <c r="I122" s="560"/>
      <c r="J122" s="562"/>
      <c r="N122" s="444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37" t="s">
        <v>229</v>
      </c>
      <c r="B124" s="1138"/>
      <c r="C124" s="1138"/>
      <c r="D124" s="523" t="s">
        <v>139</v>
      </c>
      <c r="E124" s="478">
        <f>'18'!F124</f>
        <v>844579.27</v>
      </c>
      <c r="F124" s="478">
        <v>844847</v>
      </c>
      <c r="G124" s="473">
        <f t="shared" ref="G124:G128" si="14">F124-E124</f>
        <v>267.72999999998137</v>
      </c>
      <c r="H124" s="460">
        <f>G124+'18'!H124</f>
        <v>5177</v>
      </c>
      <c r="I124" s="526"/>
      <c r="J124" s="552">
        <f>H124/DAY(B2)</f>
        <v>272.4736842105263</v>
      </c>
      <c r="K124" s="380"/>
      <c r="L124" s="377"/>
      <c r="N124" s="382"/>
      <c r="O124" s="382"/>
    </row>
    <row r="125" spans="1:15" ht="27.75">
      <c r="A125" s="1137" t="s">
        <v>230</v>
      </c>
      <c r="B125" s="1138"/>
      <c r="C125" s="1138"/>
      <c r="D125" s="523" t="s">
        <v>139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78">
        <f>'18'!F126</f>
        <v>150293.53</v>
      </c>
      <c r="F126" s="478">
        <v>150362</v>
      </c>
      <c r="G126" s="473">
        <f t="shared" si="14"/>
        <v>68.470000000001164</v>
      </c>
      <c r="H126" s="460">
        <f>G126+'18'!H126</f>
        <v>1765</v>
      </c>
      <c r="I126" s="526"/>
      <c r="J126" s="552">
        <f>H126/DAY(B2)</f>
        <v>92.89473684210526</v>
      </c>
      <c r="K126" s="380"/>
      <c r="L126" s="377"/>
      <c r="N126" s="382"/>
      <c r="O126" s="382"/>
    </row>
    <row r="127" spans="1:15" ht="27.75">
      <c r="A127" s="609" t="s">
        <v>232</v>
      </c>
      <c r="B127" s="1138"/>
      <c r="C127" s="1138"/>
      <c r="D127" s="523" t="s">
        <v>139</v>
      </c>
      <c r="E127" s="626">
        <f>'18'!F127</f>
        <v>32770.300000000003</v>
      </c>
      <c r="F127" s="626">
        <v>32802</v>
      </c>
      <c r="G127" s="473">
        <f t="shared" si="14"/>
        <v>31.69999999999709</v>
      </c>
      <c r="H127" s="460">
        <f>G127+'18'!H127</f>
        <v>731</v>
      </c>
      <c r="I127" s="526"/>
      <c r="J127" s="552">
        <f>H127/DAY(B2)</f>
        <v>38.473684210526315</v>
      </c>
      <c r="K127" s="380"/>
      <c r="L127" s="377"/>
      <c r="N127" s="382"/>
      <c r="O127" s="382"/>
    </row>
    <row r="128" spans="1:15" ht="27.75">
      <c r="A128" s="609" t="s">
        <v>233</v>
      </c>
      <c r="B128" s="1138"/>
      <c r="C128" s="1138"/>
      <c r="D128" s="523" t="s">
        <v>139</v>
      </c>
      <c r="E128" s="626">
        <f>'18'!F128</f>
        <v>9085</v>
      </c>
      <c r="F128" s="626">
        <v>9085</v>
      </c>
      <c r="G128" s="473">
        <f t="shared" si="14"/>
        <v>0</v>
      </c>
      <c r="H128" s="460">
        <f>G128+'18'!H128</f>
        <v>73</v>
      </c>
      <c r="I128" s="480"/>
      <c r="J128" s="552">
        <f>H128/DAY(B2)</f>
        <v>3.8421052631578947</v>
      </c>
      <c r="K128" s="380"/>
      <c r="L128" s="377"/>
      <c r="N128" s="382"/>
      <c r="O128" s="382"/>
    </row>
    <row r="129" spans="1:15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512.68000000009488</v>
      </c>
      <c r="H129" s="460">
        <f>G129+'18'!H129</f>
        <v>1923.4970000001431</v>
      </c>
      <c r="I129" s="480"/>
      <c r="J129" s="552">
        <f>H129/DAY(B2)</f>
        <v>101.23668421053385</v>
      </c>
      <c r="K129" s="364"/>
      <c r="L129" s="292"/>
      <c r="N129" s="365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37" t="s">
        <v>236</v>
      </c>
      <c r="B131" s="1138"/>
      <c r="C131" s="1138"/>
      <c r="D131" s="523" t="s">
        <v>237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7" t="s">
        <v>238</v>
      </c>
      <c r="B132" s="1138"/>
      <c r="C132" s="1138"/>
      <c r="D132" s="523" t="s">
        <v>237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7" t="s">
        <v>239</v>
      </c>
      <c r="B133" s="1138"/>
      <c r="C133" s="1138"/>
      <c r="D133" s="523" t="s">
        <v>237</v>
      </c>
      <c r="E133" s="484">
        <f>'18'!F133</f>
        <v>40612.1</v>
      </c>
      <c r="F133" s="541">
        <v>40612</v>
      </c>
      <c r="G133" s="473">
        <f t="shared" si="15"/>
        <v>-9.9999999998544808E-2</v>
      </c>
      <c r="H133" s="460">
        <f>G133+'18'!H133</f>
        <v>159</v>
      </c>
      <c r="I133" s="480"/>
      <c r="J133" s="552">
        <f>H133/DAY(B2)</f>
        <v>8.3684210526315788</v>
      </c>
      <c r="N133" s="382"/>
      <c r="O133" s="382"/>
    </row>
    <row r="134" spans="1:15" s="441" customFormat="1" ht="27.75">
      <c r="A134" s="1068" t="s">
        <v>240</v>
      </c>
      <c r="B134" s="1069"/>
      <c r="C134" s="1069"/>
      <c r="D134" s="627" t="s">
        <v>237</v>
      </c>
      <c r="E134" s="484">
        <f>'18'!F134</f>
        <v>410.18</v>
      </c>
      <c r="F134" s="541">
        <v>414.42</v>
      </c>
      <c r="G134" s="652">
        <f t="shared" si="15"/>
        <v>4.2400000000000091</v>
      </c>
      <c r="H134" s="705">
        <f>G134+'18'!H134</f>
        <v>114.42000000000002</v>
      </c>
      <c r="I134" s="1070">
        <f>G131+G132+G133+G134</f>
        <v>4.1400000000014643</v>
      </c>
      <c r="J134" s="707">
        <f>H134/DAY(B2)</f>
        <v>6.0221052631578953</v>
      </c>
      <c r="N134" s="713"/>
      <c r="O134" s="713"/>
    </row>
    <row r="135" spans="1:15" ht="27.75">
      <c r="A135" s="1137" t="s">
        <v>241</v>
      </c>
      <c r="B135" s="1138"/>
      <c r="C135" s="1138"/>
      <c r="D135" s="523" t="s">
        <v>237</v>
      </c>
      <c r="E135" s="484">
        <f>'18'!F135</f>
        <v>42257</v>
      </c>
      <c r="F135" s="701">
        <v>42281</v>
      </c>
      <c r="G135" s="473">
        <f t="shared" si="15"/>
        <v>24</v>
      </c>
      <c r="H135" s="460">
        <f>G135+'18'!H135</f>
        <v>309</v>
      </c>
      <c r="I135" s="480"/>
      <c r="J135" s="552">
        <f>H135/DAY(B2)</f>
        <v>16.263157894736842</v>
      </c>
      <c r="N135" s="382"/>
      <c r="O135" s="382"/>
    </row>
    <row r="136" spans="1:15" ht="27.75">
      <c r="A136" s="1137" t="s">
        <v>242</v>
      </c>
      <c r="B136" s="1138"/>
      <c r="C136" s="1138"/>
      <c r="D136" s="523" t="s">
        <v>237</v>
      </c>
      <c r="E136" s="484">
        <f>'18'!F136</f>
        <v>32874</v>
      </c>
      <c r="F136" s="541">
        <v>32874</v>
      </c>
      <c r="G136" s="473">
        <f t="shared" si="15"/>
        <v>0</v>
      </c>
      <c r="H136" s="460">
        <f>G136+'18'!H136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7" t="s">
        <v>243</v>
      </c>
      <c r="B137" s="1138"/>
      <c r="C137" s="1138"/>
      <c r="D137" s="523" t="s">
        <v>237</v>
      </c>
      <c r="E137" s="484">
        <f>'18'!F137</f>
        <v>23023.439999999999</v>
      </c>
      <c r="F137" s="541">
        <v>23033</v>
      </c>
      <c r="G137" s="473">
        <f t="shared" si="15"/>
        <v>9.5600000000013097</v>
      </c>
      <c r="H137" s="460">
        <f>G137+'18'!H137</f>
        <v>141.5099999999984</v>
      </c>
      <c r="I137" s="480">
        <f>G135+G136+G137</f>
        <v>33.56000000000131</v>
      </c>
      <c r="J137" s="552">
        <f>H137/DAY(B2)</f>
        <v>7.447894736842021</v>
      </c>
      <c r="N137" s="382"/>
      <c r="O137" s="382"/>
    </row>
    <row r="138" spans="1:15" ht="27.75">
      <c r="A138" s="1137" t="s">
        <v>244</v>
      </c>
      <c r="B138" s="1138"/>
      <c r="C138" s="1138"/>
      <c r="D138" s="523" t="s">
        <v>237</v>
      </c>
      <c r="E138" s="484">
        <f>'18'!F138</f>
        <v>25099.16</v>
      </c>
      <c r="F138" s="541">
        <v>25099</v>
      </c>
      <c r="G138" s="473">
        <f t="shared" si="15"/>
        <v>-0.15999999999985448</v>
      </c>
      <c r="H138" s="460">
        <f>G138+'18'!H138</f>
        <v>7.6100000000005821</v>
      </c>
      <c r="I138" s="480"/>
      <c r="J138" s="552">
        <f>H138/DAY(B2)</f>
        <v>0.40052631578950432</v>
      </c>
      <c r="N138" s="382"/>
      <c r="O138" s="382"/>
    </row>
    <row r="139" spans="1:15" ht="27.75">
      <c r="A139" s="1137" t="s">
        <v>245</v>
      </c>
      <c r="B139" s="1138"/>
      <c r="C139" s="1138"/>
      <c r="D139" s="523" t="s">
        <v>237</v>
      </c>
      <c r="E139" s="484">
        <f>'18'!F139</f>
        <v>70516.600000000006</v>
      </c>
      <c r="F139" s="541">
        <v>70516.600000000006</v>
      </c>
      <c r="G139" s="473">
        <f t="shared" si="15"/>
        <v>0</v>
      </c>
      <c r="H139" s="460">
        <f>G139+'18'!H139</f>
        <v>2.9800000000104774</v>
      </c>
      <c r="I139" s="480">
        <f>G138+G139</f>
        <v>-0.15999999999985448</v>
      </c>
      <c r="J139" s="552">
        <f>H139/DAY(B2)</f>
        <v>0.15684210526370934</v>
      </c>
      <c r="N139" s="382"/>
      <c r="O139" s="382"/>
    </row>
    <row r="140" spans="1:15" ht="27.75">
      <c r="A140" s="1137" t="s">
        <v>246</v>
      </c>
      <c r="B140" s="1138"/>
      <c r="C140" s="1138"/>
      <c r="D140" s="523" t="s">
        <v>237</v>
      </c>
      <c r="E140" s="484">
        <f>'18'!F140</f>
        <v>2247.77</v>
      </c>
      <c r="F140" s="484">
        <v>2247.77</v>
      </c>
      <c r="G140" s="473">
        <f t="shared" si="15"/>
        <v>0</v>
      </c>
      <c r="H140" s="460">
        <f>G140+'18'!H140</f>
        <v>118.59000000000015</v>
      </c>
      <c r="I140" s="542"/>
      <c r="J140" s="552">
        <f>H140/DAY(B2)</f>
        <v>6.2415789473684287</v>
      </c>
      <c r="N140" s="382"/>
      <c r="O140" s="382"/>
    </row>
    <row r="141" spans="1:15" ht="27.75">
      <c r="A141" s="1137" t="s">
        <v>247</v>
      </c>
      <c r="B141" s="1138"/>
      <c r="C141" s="1138"/>
      <c r="D141" s="523" t="s">
        <v>237</v>
      </c>
      <c r="E141" s="484">
        <f>'18'!F141</f>
        <v>4696.12</v>
      </c>
      <c r="F141" s="484">
        <v>4705.5200000000004</v>
      </c>
      <c r="G141" s="473">
        <f t="shared" si="15"/>
        <v>9.4000000000005457</v>
      </c>
      <c r="H141" s="460">
        <f>G141+'18'!H141</f>
        <v>68.520000000000437</v>
      </c>
      <c r="I141" s="542"/>
      <c r="J141" s="552">
        <f>H141/DAY(B2)</f>
        <v>3.6063157894737072</v>
      </c>
      <c r="N141" s="382"/>
      <c r="O141" s="382"/>
    </row>
    <row r="142" spans="1:15">
      <c r="A142" s="1565" t="s">
        <v>248</v>
      </c>
      <c r="B142" s="1566"/>
      <c r="C142" s="1143"/>
      <c r="D142" s="472"/>
      <c r="E142" s="472"/>
      <c r="F142" s="472" t="s">
        <v>271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5801.8719999998739</v>
      </c>
      <c r="H143" s="460">
        <f>G143+'18'!H143</f>
        <v>106074.18000000005</v>
      </c>
      <c r="I143" s="480"/>
      <c r="J143" s="552">
        <f>H143/DAY(B2)</f>
        <v>5582.8515789473713</v>
      </c>
      <c r="K143" s="380"/>
      <c r="L143" s="377"/>
      <c r="N143" s="382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0.26828634673514756</v>
      </c>
      <c r="H144" s="460">
        <f>G144+'18'!H144</f>
        <v>4.8213492704888363</v>
      </c>
      <c r="I144" s="544"/>
      <c r="J144" s="552">
        <f>H144/DAY(B2)</f>
        <v>0.25375522476257034</v>
      </c>
      <c r="K144" s="380"/>
      <c r="L144" s="377"/>
      <c r="N144" s="382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6446.2000000000407</v>
      </c>
      <c r="H145" s="460">
        <f>G145+'18'!H145</f>
        <v>128231.11</v>
      </c>
      <c r="I145" s="480"/>
      <c r="J145" s="552">
        <f>H145/DAY(B2)</f>
        <v>6749.0057894736847</v>
      </c>
      <c r="K145" s="380"/>
      <c r="L145" s="377"/>
      <c r="N145" s="382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0.29808093807036018</v>
      </c>
      <c r="H146" s="460">
        <f>G146+'18'!H146</f>
        <v>5.7983012250990384</v>
      </c>
      <c r="I146" s="544"/>
      <c r="J146" s="552">
        <f>H146/DAY(B2)</f>
        <v>0.3051737486894231</v>
      </c>
      <c r="K146" s="380"/>
      <c r="L146" s="377"/>
      <c r="N146" s="382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3770.3300000000163</v>
      </c>
      <c r="H147" s="460">
        <f>G147+'18'!H147</f>
        <v>70218.590000000026</v>
      </c>
      <c r="I147" s="545"/>
      <c r="J147" s="552">
        <f>H147/DAY(B2)</f>
        <v>3695.7152631578961</v>
      </c>
      <c r="K147" s="380"/>
      <c r="L147" s="377"/>
      <c r="N147" s="382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0.17434511855586529</v>
      </c>
      <c r="H148" s="460">
        <f>G148+'18'!H148</f>
        <v>3.1894407046352575</v>
      </c>
      <c r="I148" s="545"/>
      <c r="J148" s="552">
        <f>H148/DAY(B2)</f>
        <v>0.16786530024396093</v>
      </c>
      <c r="N148" s="382"/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1606.4600000000501</v>
      </c>
      <c r="H149" s="460">
        <f>G149+'18'!H149</f>
        <v>30999</v>
      </c>
      <c r="I149" s="480"/>
      <c r="J149" s="552">
        <f>H149/DAY(B2)</f>
        <v>1631.5263157894738</v>
      </c>
      <c r="K149" s="381"/>
      <c r="N149" s="382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7.4284866087388338E-2</v>
      </c>
      <c r="H150" s="460">
        <f>G150+'18'!H150</f>
        <v>1.4046420407826261</v>
      </c>
      <c r="I150" s="545"/>
      <c r="J150" s="552">
        <f>H150/DAY(B2)</f>
        <v>7.3928528462243473E-2</v>
      </c>
      <c r="N150" s="382"/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1909.6500000000524</v>
      </c>
      <c r="H151" s="460">
        <f>G151+'18'!H151</f>
        <v>39596</v>
      </c>
      <c r="I151" s="545"/>
      <c r="J151" s="552">
        <f>H151/DAY(B2)</f>
        <v>2084</v>
      </c>
      <c r="N151" s="382"/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8.8304778534031722E-2</v>
      </c>
      <c r="H152" s="460">
        <f>G152+'18'!H152</f>
        <v>1.7860539730071088</v>
      </c>
      <c r="I152" s="480"/>
      <c r="J152" s="552">
        <f>H152/DAY(B2)</f>
        <v>9.4002840684584671E-2</v>
      </c>
      <c r="N152" s="382"/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1591.1600000000035</v>
      </c>
      <c r="H153" s="460">
        <f>G153+'18'!H153</f>
        <v>30069</v>
      </c>
      <c r="I153" s="480"/>
      <c r="J153" s="552">
        <f>H153/DAY(B2)</f>
        <v>1582.578947368421</v>
      </c>
      <c r="N153" s="382"/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7.357737355651893E-2</v>
      </c>
      <c r="H154" s="460">
        <f>G154+'18'!H154</f>
        <v>1.363291493380959</v>
      </c>
      <c r="I154" s="568"/>
      <c r="J154" s="569">
        <f>H154/DAY(B2)</f>
        <v>7.1752183862155733E-2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4" t="s">
        <v>261</v>
      </c>
      <c r="B161" s="785"/>
      <c r="C161" s="785"/>
      <c r="D161" s="511" t="s">
        <v>185</v>
      </c>
      <c r="E161" s="658">
        <f>'18'!F161</f>
        <v>42290.03</v>
      </c>
      <c r="F161" s="658">
        <v>42368</v>
      </c>
      <c r="G161" s="473">
        <f t="shared" ref="G161:G164" si="16">F161-E161</f>
        <v>77.970000000001164</v>
      </c>
    </row>
    <row r="162" spans="1:7">
      <c r="A162" s="784" t="s">
        <v>262</v>
      </c>
      <c r="B162" s="785"/>
      <c r="C162" s="785"/>
      <c r="D162" s="511" t="s">
        <v>185</v>
      </c>
      <c r="E162" s="658">
        <f>'18'!F162</f>
        <v>116042.66</v>
      </c>
      <c r="F162" s="658">
        <v>116498</v>
      </c>
      <c r="G162" s="473">
        <f t="shared" si="16"/>
        <v>455.33999999999651</v>
      </c>
    </row>
    <row r="163" spans="1:7">
      <c r="A163" s="784" t="s">
        <v>263</v>
      </c>
      <c r="B163" s="785"/>
      <c r="C163" s="785"/>
      <c r="D163" s="511" t="s">
        <v>185</v>
      </c>
      <c r="E163" s="658">
        <f>'18'!F163</f>
        <v>64923.45</v>
      </c>
      <c r="F163" s="658">
        <v>65119</v>
      </c>
      <c r="G163" s="473">
        <f t="shared" si="16"/>
        <v>195.55000000000291</v>
      </c>
    </row>
    <row r="164" spans="1:7">
      <c r="A164" s="784" t="s">
        <v>264</v>
      </c>
      <c r="B164" s="785"/>
      <c r="C164" s="785"/>
      <c r="D164" s="511" t="s">
        <v>185</v>
      </c>
      <c r="E164" s="658">
        <f>'18'!F164</f>
        <v>7027.41</v>
      </c>
      <c r="F164" s="658">
        <v>7034</v>
      </c>
      <c r="G164" s="473">
        <f t="shared" si="16"/>
        <v>6.5900000000001455</v>
      </c>
    </row>
    <row r="165" spans="1:7">
      <c r="A165" s="786" t="s">
        <v>97</v>
      </c>
      <c r="B165" s="604"/>
      <c r="C165" s="604"/>
      <c r="D165" s="511" t="s">
        <v>185</v>
      </c>
      <c r="E165" s="658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6" t="s">
        <v>186</v>
      </c>
      <c r="B166" s="604"/>
      <c r="C166" s="604"/>
      <c r="D166" s="511" t="s">
        <v>185</v>
      </c>
      <c r="E166" s="658">
        <f>'18'!F166</f>
        <v>0</v>
      </c>
      <c r="F166" s="514">
        <v>2431</v>
      </c>
      <c r="G166" s="473">
        <f t="shared" si="17"/>
        <v>2431</v>
      </c>
    </row>
    <row r="167" spans="1:7" ht="27.75">
      <c r="A167" s="1549" t="s">
        <v>98</v>
      </c>
      <c r="B167" s="1549"/>
      <c r="C167" s="1549"/>
      <c r="D167" s="523" t="s">
        <v>185</v>
      </c>
      <c r="E167" s="658">
        <f>'18'!F167</f>
        <v>177066.15</v>
      </c>
      <c r="F167" s="514">
        <v>106166</v>
      </c>
      <c r="G167" s="473">
        <f>F64-E64</f>
        <v>374.85000000000582</v>
      </c>
    </row>
    <row r="168" spans="1:7" ht="27.75">
      <c r="A168" s="1549" t="s">
        <v>99</v>
      </c>
      <c r="B168" s="1549"/>
      <c r="C168" s="1549"/>
      <c r="D168" s="523" t="s">
        <v>185</v>
      </c>
      <c r="E168" s="658">
        <f>'18'!F168</f>
        <v>177128.03</v>
      </c>
      <c r="F168" s="514">
        <v>116811.03</v>
      </c>
      <c r="G168" s="473">
        <f t="shared" ref="G168:G172" si="18">F65-E65</f>
        <v>395.97000000000116</v>
      </c>
    </row>
    <row r="169" spans="1:7" ht="27.75">
      <c r="A169" s="1549" t="s">
        <v>100</v>
      </c>
      <c r="B169" s="1549"/>
      <c r="C169" s="1549"/>
      <c r="D169" s="523" t="s">
        <v>185</v>
      </c>
      <c r="E169" s="658">
        <f>'18'!F169</f>
        <v>75359.899999999994</v>
      </c>
      <c r="F169" s="514">
        <v>9380.09</v>
      </c>
      <c r="G169" s="473">
        <f t="shared" si="18"/>
        <v>429.10000000000582</v>
      </c>
    </row>
    <row r="170" spans="1:7" ht="27.75">
      <c r="A170" s="1549" t="s">
        <v>101</v>
      </c>
      <c r="B170" s="1549"/>
      <c r="C170" s="1549"/>
      <c r="D170" s="523" t="s">
        <v>185</v>
      </c>
      <c r="E170" s="658">
        <f>'18'!F170</f>
        <v>273443.11</v>
      </c>
      <c r="F170" s="514">
        <v>180787.83</v>
      </c>
      <c r="G170" s="473">
        <f t="shared" si="18"/>
        <v>481.89000000001397</v>
      </c>
    </row>
    <row r="171" spans="1:7" ht="27.75">
      <c r="A171" s="1549" t="s">
        <v>102</v>
      </c>
      <c r="B171" s="1549"/>
      <c r="C171" s="1549"/>
      <c r="D171" s="523" t="s">
        <v>185</v>
      </c>
      <c r="E171" s="658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658">
        <f>'18'!F172</f>
        <v>92335.38</v>
      </c>
      <c r="F172" s="514">
        <v>52064.98</v>
      </c>
      <c r="G172" s="473">
        <f t="shared" si="18"/>
        <v>305.61999999999534</v>
      </c>
    </row>
    <row r="173" spans="1:7">
      <c r="G173" s="537">
        <f>SUM(G161:G172)</f>
        <v>5153.8800000000228</v>
      </c>
    </row>
    <row r="174" spans="1:7" ht="27.75">
      <c r="A174" s="1549" t="s">
        <v>348</v>
      </c>
      <c r="B174" s="1549"/>
      <c r="C174" s="1549"/>
      <c r="D174" s="523" t="s">
        <v>185</v>
      </c>
      <c r="E174" s="532">
        <v>19087</v>
      </c>
      <c r="F174" s="514">
        <v>19092</v>
      </c>
      <c r="G174" s="473">
        <f t="shared" ref="G174" si="19">F174-E174</f>
        <v>5</v>
      </c>
    </row>
    <row r="175" spans="1:7">
      <c r="A175" s="1590" t="s">
        <v>348</v>
      </c>
      <c r="B175" s="1553"/>
      <c r="C175" s="785"/>
      <c r="D175" s="523" t="s">
        <v>185</v>
      </c>
      <c r="E175" s="532">
        <v>70449.100000000006</v>
      </c>
      <c r="F175" s="1491">
        <v>70456</v>
      </c>
      <c r="G175" s="1491">
        <v>7</v>
      </c>
    </row>
    <row r="176" spans="1:7">
      <c r="A176" s="1590" t="s">
        <v>349</v>
      </c>
      <c r="B176" s="1553"/>
      <c r="C176" s="785"/>
      <c r="D176" s="523" t="s">
        <v>185</v>
      </c>
      <c r="E176" s="532">
        <v>27724</v>
      </c>
      <c r="F176" s="1491">
        <v>27728</v>
      </c>
      <c r="G176" s="1491">
        <v>4</v>
      </c>
    </row>
    <row r="177" ht="18.7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2" zoomScale="55" zoomScaleSheetLayoutView="55" zoomScalePageLayoutView="78" workbookViewId="0">
      <selection activeCell="F77" sqref="F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358</v>
      </c>
      <c r="B2" s="1031">
        <v>44397</v>
      </c>
      <c r="C2" s="1139" t="s">
        <v>68</v>
      </c>
      <c r="D2" s="611">
        <v>0.67</v>
      </c>
      <c r="E2" s="461"/>
      <c r="F2" s="461"/>
      <c r="G2" s="1324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139" t="s">
        <v>118</v>
      </c>
      <c r="D3" s="612">
        <v>27</v>
      </c>
      <c r="E3" s="1576" t="s">
        <v>119</v>
      </c>
      <c r="F3" s="1577"/>
      <c r="G3" s="132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39" t="s">
        <v>120</v>
      </c>
      <c r="D4" s="611">
        <v>0.84</v>
      </c>
      <c r="E4" s="464"/>
      <c r="F4" s="464"/>
      <c r="G4" s="1325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1326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1327"/>
      <c r="H6" s="472"/>
      <c r="I6" s="472"/>
      <c r="J6" s="551"/>
      <c r="K6" s="427"/>
      <c r="L6" s="377"/>
    </row>
    <row r="7" spans="1:15" ht="30" thickBot="1">
      <c r="A7" s="578" t="s">
        <v>129</v>
      </c>
      <c r="B7" s="579"/>
      <c r="C7" s="579"/>
      <c r="D7" s="523" t="s">
        <v>130</v>
      </c>
      <c r="E7" s="455">
        <f>'19'!F7</f>
        <v>341574</v>
      </c>
      <c r="F7" s="455">
        <v>363691.96</v>
      </c>
      <c r="G7" s="1328">
        <f>F7-E7</f>
        <v>22117.960000000021</v>
      </c>
      <c r="H7" s="460">
        <f>G7+'19'!H7</f>
        <v>441738.96000000008</v>
      </c>
      <c r="I7" s="474">
        <f>'1'!I7</f>
        <v>12000</v>
      </c>
      <c r="J7" s="552">
        <f>H7/DAY(B2)</f>
        <v>22086.948000000004</v>
      </c>
      <c r="K7" s="549">
        <v>11998</v>
      </c>
      <c r="L7" s="377">
        <f>G7-K7</f>
        <v>10119.960000000021</v>
      </c>
      <c r="N7" s="382"/>
      <c r="O7" s="382"/>
    </row>
    <row r="8" spans="1:15" ht="27.75" thickBot="1">
      <c r="A8" s="580" t="s">
        <v>131</v>
      </c>
      <c r="B8" s="581"/>
      <c r="C8" s="582"/>
      <c r="D8" s="617" t="s">
        <v>25</v>
      </c>
      <c r="E8" s="475">
        <f>'19'!F8</f>
        <v>348387</v>
      </c>
      <c r="F8" s="475">
        <v>370604.27</v>
      </c>
      <c r="G8" s="1329">
        <f>F8-E8</f>
        <v>22217.270000000019</v>
      </c>
      <c r="H8" s="460">
        <f>G8+'19'!H8</f>
        <v>443882.27</v>
      </c>
      <c r="I8" s="477">
        <f>'1'!I8</f>
        <v>12000</v>
      </c>
      <c r="J8" s="552">
        <f>H8/DAY(B2)</f>
        <v>22194.113499999999</v>
      </c>
      <c r="K8" s="549"/>
      <c r="L8" s="425"/>
      <c r="M8" s="440"/>
      <c r="N8" s="382"/>
      <c r="O8" s="382"/>
    </row>
    <row r="9" spans="1:15">
      <c r="A9" s="583" t="s">
        <v>132</v>
      </c>
      <c r="B9" s="584"/>
      <c r="C9" s="584"/>
      <c r="D9" s="523" t="s">
        <v>130</v>
      </c>
      <c r="E9" s="478">
        <f>'19'!F9</f>
        <v>2439016</v>
      </c>
      <c r="F9" s="478">
        <v>2460433.5</v>
      </c>
      <c r="G9" s="1328">
        <f t="shared" ref="G9:G12" si="0">F9-E9</f>
        <v>21417.5</v>
      </c>
      <c r="H9" s="460">
        <f>G9+'19'!H9</f>
        <v>429431.5</v>
      </c>
      <c r="I9" s="479">
        <f>I8-J8</f>
        <v>-10194.113499999999</v>
      </c>
      <c r="J9" s="552">
        <f>H9/DAY(B2)</f>
        <v>21471.575000000001</v>
      </c>
      <c r="K9" s="428"/>
      <c r="L9" s="377"/>
      <c r="N9" s="382"/>
      <c r="O9" s="382"/>
    </row>
    <row r="10" spans="1:15">
      <c r="A10" s="578" t="s">
        <v>133</v>
      </c>
      <c r="B10" s="579"/>
      <c r="C10" s="579"/>
      <c r="D10" s="523" t="s">
        <v>130</v>
      </c>
      <c r="E10" s="478">
        <v>2606.5500000000002</v>
      </c>
      <c r="F10" s="478">
        <v>2606.5500000000002</v>
      </c>
      <c r="G10" s="1328">
        <f t="shared" si="0"/>
        <v>0</v>
      </c>
      <c r="H10" s="460">
        <f>G10+'19'!H10</f>
        <v>0.29999999999972715</v>
      </c>
      <c r="I10" s="480"/>
      <c r="J10" s="552">
        <f>H10/DAY(B2)</f>
        <v>1.4999999999986358E-2</v>
      </c>
      <c r="K10" s="428"/>
      <c r="L10" s="377"/>
      <c r="N10" s="382"/>
      <c r="O10" s="382"/>
    </row>
    <row r="11" spans="1:15">
      <c r="A11" s="578" t="s">
        <v>134</v>
      </c>
      <c r="B11" s="579"/>
      <c r="C11" s="579"/>
      <c r="D11" s="523" t="s">
        <v>130</v>
      </c>
      <c r="E11" s="478">
        <f>'19'!F11</f>
        <v>37000</v>
      </c>
      <c r="F11" s="455">
        <v>37000</v>
      </c>
      <c r="G11" s="1328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135</v>
      </c>
      <c r="B12" s="579"/>
      <c r="C12" s="579"/>
      <c r="D12" s="523" t="s">
        <v>130</v>
      </c>
      <c r="E12" s="478">
        <f>'19'!F12</f>
        <v>40010</v>
      </c>
      <c r="F12" s="478">
        <v>40010</v>
      </c>
      <c r="G12" s="1328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136</v>
      </c>
      <c r="B13" s="586"/>
      <c r="C13" s="586"/>
      <c r="D13" s="523"/>
      <c r="E13" s="455"/>
      <c r="F13" s="455"/>
      <c r="G13" s="1330">
        <f>G9+G10+G11+G12</f>
        <v>21417.5</v>
      </c>
      <c r="H13" s="460">
        <f>G13+'19'!H13</f>
        <v>409104.8</v>
      </c>
      <c r="I13" s="482">
        <f>G7-G13</f>
        <v>700.46000000002095</v>
      </c>
      <c r="J13" s="552">
        <f>H13/DAY(B2)</f>
        <v>20455.239999999998</v>
      </c>
      <c r="K13" s="428"/>
      <c r="L13" s="377"/>
      <c r="N13" s="382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1331"/>
      <c r="H14" s="472"/>
      <c r="I14" s="472"/>
      <c r="J14" s="551"/>
      <c r="K14" s="429"/>
      <c r="L14" s="377"/>
      <c r="N14" s="382"/>
      <c r="O14" s="382"/>
    </row>
    <row r="15" spans="1:15">
      <c r="A15" s="1137" t="s">
        <v>138</v>
      </c>
      <c r="B15" s="589"/>
      <c r="C15" s="589"/>
      <c r="D15" s="523" t="s">
        <v>139</v>
      </c>
      <c r="E15" s="484">
        <f>'19'!F15</f>
        <v>1719726</v>
      </c>
      <c r="F15" s="700">
        <v>1720191</v>
      </c>
      <c r="G15" s="1332">
        <f>(F15-E15)</f>
        <v>465</v>
      </c>
      <c r="H15" s="460">
        <f>G15+'19'!H15</f>
        <v>16508</v>
      </c>
      <c r="I15" s="474">
        <v>800</v>
      </c>
      <c r="J15" s="552">
        <f>H15/DAY(B2)</f>
        <v>825.4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28"/>
      <c r="H16" s="486"/>
      <c r="I16" s="487">
        <f>I15-J15</f>
        <v>-25.399999999999977</v>
      </c>
      <c r="J16" s="553"/>
      <c r="K16" s="428"/>
      <c r="L16" s="377"/>
      <c r="N16" s="382"/>
      <c r="O16" s="382"/>
    </row>
    <row r="17" spans="1:15">
      <c r="A17" s="1573" t="s">
        <v>140</v>
      </c>
      <c r="B17" s="1574"/>
      <c r="C17" s="1575"/>
      <c r="D17" s="472"/>
      <c r="E17" s="472"/>
      <c r="F17" s="472"/>
      <c r="G17" s="1331"/>
      <c r="H17" s="472"/>
      <c r="I17" s="472"/>
      <c r="J17" s="551"/>
      <c r="K17" s="428"/>
      <c r="L17" s="377"/>
      <c r="N17" s="382"/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84">
        <f>'19'!F18</f>
        <v>20</v>
      </c>
      <c r="F18" s="484">
        <v>8</v>
      </c>
      <c r="G18" s="1330">
        <f>F18*10</f>
        <v>80</v>
      </c>
      <c r="H18" s="460">
        <f>G18+'19'!H18</f>
        <v>2720</v>
      </c>
      <c r="I18" s="474">
        <f>'1'!I18</f>
        <v>65</v>
      </c>
      <c r="J18" s="552">
        <f>H18/DAY(B2)</f>
        <v>136</v>
      </c>
      <c r="K18" s="428"/>
      <c r="L18" s="377"/>
      <c r="N18" s="382"/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84">
        <f>'19'!F19</f>
        <v>142604</v>
      </c>
      <c r="F19" s="484">
        <v>142667</v>
      </c>
      <c r="G19" s="1328">
        <f t="shared" ref="G19" si="1">F19-E19</f>
        <v>63</v>
      </c>
      <c r="H19" s="460">
        <f>G19+'19'!H19</f>
        <v>1172</v>
      </c>
      <c r="I19" s="489"/>
      <c r="J19" s="552">
        <f>H19/DAY(B2)</f>
        <v>58.6</v>
      </c>
      <c r="K19" s="428"/>
      <c r="L19" s="377"/>
      <c r="N19" s="382"/>
      <c r="O19" s="382"/>
    </row>
    <row r="20" spans="1:15">
      <c r="A20" s="585" t="s">
        <v>143</v>
      </c>
      <c r="B20" s="586"/>
      <c r="C20" s="586"/>
      <c r="D20" s="490"/>
      <c r="E20" s="490"/>
      <c r="F20" s="490"/>
      <c r="G20" s="1333">
        <f>G18+G19</f>
        <v>143</v>
      </c>
      <c r="H20" s="460">
        <f>G20+'19'!H20</f>
        <v>3892</v>
      </c>
      <c r="I20" s="492">
        <f>I18-J20</f>
        <v>-129.6</v>
      </c>
      <c r="J20" s="552">
        <f>H20/DAY(B2)</f>
        <v>194.6</v>
      </c>
      <c r="K20" s="428"/>
      <c r="L20" s="377"/>
      <c r="N20" s="382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1331"/>
      <c r="H21" s="472"/>
      <c r="I21" s="472"/>
      <c r="J21" s="551"/>
      <c r="K21" s="428"/>
      <c r="L21" s="377"/>
      <c r="N21" s="382"/>
      <c r="O21" s="382"/>
    </row>
    <row r="22" spans="1:15">
      <c r="A22" s="1137" t="s">
        <v>145</v>
      </c>
      <c r="B22" s="589"/>
      <c r="C22" s="589"/>
      <c r="D22" s="523" t="s">
        <v>146</v>
      </c>
      <c r="E22" s="484">
        <f>'19'!F22</f>
        <v>2970</v>
      </c>
      <c r="F22" s="484">
        <v>2970</v>
      </c>
      <c r="G22" s="1330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7" t="s">
        <v>147</v>
      </c>
      <c r="B23" s="589"/>
      <c r="C23" s="589"/>
      <c r="D23" s="523" t="s">
        <v>146</v>
      </c>
      <c r="E23" s="484">
        <f>'19'!F23</f>
        <v>2000</v>
      </c>
      <c r="F23" s="484">
        <v>2000</v>
      </c>
      <c r="G23" s="1330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148</v>
      </c>
      <c r="B24" s="591"/>
      <c r="C24" s="591"/>
      <c r="D24" s="511" t="s">
        <v>146</v>
      </c>
      <c r="E24" s="484">
        <f>'19'!F24</f>
        <v>4970</v>
      </c>
      <c r="F24" s="332">
        <v>4970</v>
      </c>
      <c r="G24" s="1330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133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133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22217.270000000019</v>
      </c>
      <c r="F27" s="501">
        <v>9</v>
      </c>
      <c r="G27" s="1336">
        <f>E27*F27</f>
        <v>199955.43000000017</v>
      </c>
      <c r="H27" s="460">
        <f>G27+'19'!H27</f>
        <v>3994942.3200000003</v>
      </c>
      <c r="I27" s="503"/>
      <c r="J27" s="552">
        <f>H27/DAY(B2)</f>
        <v>199747.11600000001</v>
      </c>
      <c r="K27" s="373"/>
      <c r="L27" s="443"/>
      <c r="N27" s="444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1">
        <f>G15</f>
        <v>465</v>
      </c>
      <c r="F28" s="501">
        <v>52</v>
      </c>
      <c r="G28" s="1336">
        <f>E28*F28</f>
        <v>24180</v>
      </c>
      <c r="H28" s="460">
        <f>G28+'19'!H28</f>
        <v>858416</v>
      </c>
      <c r="I28" s="505"/>
      <c r="J28" s="552">
        <f>H28/DAY(B2)</f>
        <v>42920.800000000003</v>
      </c>
      <c r="K28" s="373"/>
      <c r="L28" s="443"/>
      <c r="N28" s="444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1">
        <f>G24</f>
        <v>0</v>
      </c>
      <c r="F29" s="501">
        <v>69</v>
      </c>
      <c r="G29" s="1336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1">
        <f>G19</f>
        <v>63</v>
      </c>
      <c r="F30" s="501">
        <v>146</v>
      </c>
      <c r="G30" s="1336">
        <f>E30*F30</f>
        <v>9198</v>
      </c>
      <c r="H30" s="460">
        <f>G30+'19'!H30</f>
        <v>170528</v>
      </c>
      <c r="I30" s="505"/>
      <c r="J30" s="552">
        <f>H30/DAY(B2)</f>
        <v>8526.4</v>
      </c>
      <c r="K30" s="373"/>
      <c r="L30" s="443"/>
      <c r="N30" s="444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1">
        <f>G18</f>
        <v>80</v>
      </c>
      <c r="F31" s="501">
        <v>80</v>
      </c>
      <c r="G31" s="1336">
        <f>E31*F31</f>
        <v>6400</v>
      </c>
      <c r="H31" s="460">
        <f>G31+'19'!H31</f>
        <v>212000</v>
      </c>
      <c r="I31" s="505"/>
      <c r="J31" s="552">
        <f>H31/DAY(B2)</f>
        <v>10600</v>
      </c>
      <c r="K31" s="373"/>
      <c r="L31" s="443"/>
      <c r="N31" s="444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1337">
        <f>G27+G28+G29+G30+G31</f>
        <v>239733.43000000017</v>
      </c>
      <c r="H32" s="460">
        <f>G32+'19'!H32</f>
        <v>5235886.32</v>
      </c>
      <c r="I32" s="509"/>
      <c r="J32" s="552">
        <f>H32/DAY(B2)</f>
        <v>261794.31600000002</v>
      </c>
      <c r="K32" s="373"/>
      <c r="L32" s="443"/>
      <c r="N32" s="444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  <c r="O33" s="382"/>
    </row>
    <row r="34" spans="1:15">
      <c r="A34" s="598" t="s">
        <v>161</v>
      </c>
      <c r="B34" s="1142"/>
      <c r="C34" s="1142"/>
      <c r="D34" s="472"/>
      <c r="E34" s="471"/>
      <c r="F34" s="471"/>
      <c r="G34" s="1338"/>
      <c r="H34" s="472"/>
      <c r="I34" s="472"/>
      <c r="J34" s="551" t="s">
        <v>309</v>
      </c>
      <c r="K34" s="428"/>
      <c r="L34" s="377"/>
      <c r="N34" s="382"/>
      <c r="O34" s="382"/>
    </row>
    <row r="35" spans="1:15">
      <c r="A35" s="578" t="s">
        <v>162</v>
      </c>
      <c r="B35" s="579"/>
      <c r="C35" s="579"/>
      <c r="D35" s="523" t="s">
        <v>130</v>
      </c>
      <c r="E35" s="484">
        <f>'19'!F35</f>
        <v>1058597</v>
      </c>
      <c r="F35" s="510">
        <v>1058597</v>
      </c>
      <c r="G35" s="1328">
        <f t="shared" ref="G35:G46" si="2">F35-E35</f>
        <v>0</v>
      </c>
      <c r="H35" s="460">
        <f>G35+'19'!H35</f>
        <v>29883</v>
      </c>
      <c r="I35" s="455"/>
      <c r="J35" s="552">
        <f>H35/DAY(B2)</f>
        <v>1494.15</v>
      </c>
      <c r="K35" s="428">
        <v>1457.2799999999697</v>
      </c>
      <c r="L35" s="377">
        <f>G35-K35</f>
        <v>-1457.2799999999697</v>
      </c>
      <c r="N35" s="382"/>
      <c r="O35" s="628"/>
    </row>
    <row r="36" spans="1:15">
      <c r="A36" s="578" t="s">
        <v>163</v>
      </c>
      <c r="B36" s="579"/>
      <c r="C36" s="579"/>
      <c r="D36" s="523" t="s">
        <v>130</v>
      </c>
      <c r="E36" s="484">
        <f>'19'!F36</f>
        <v>37098</v>
      </c>
      <c r="F36" s="510">
        <v>38264.519999999997</v>
      </c>
      <c r="G36" s="1328">
        <f t="shared" si="2"/>
        <v>1166.5199999999968</v>
      </c>
      <c r="H36" s="460">
        <f>G36+'19'!H36</f>
        <v>17803.519999999997</v>
      </c>
      <c r="I36" s="455"/>
      <c r="J36" s="552">
        <f>H36/DAY(B2)</f>
        <v>890.17599999999982</v>
      </c>
      <c r="K36" s="428">
        <v>483.92999999999302</v>
      </c>
      <c r="L36" s="377">
        <f t="shared" ref="L36:L60" si="3">G36-K36</f>
        <v>682.59000000000378</v>
      </c>
      <c r="N36" s="382"/>
      <c r="O36" s="628"/>
    </row>
    <row r="37" spans="1:15">
      <c r="A37" s="578" t="s">
        <v>164</v>
      </c>
      <c r="B37" s="579"/>
      <c r="C37" s="579"/>
      <c r="D37" s="523" t="s">
        <v>130</v>
      </c>
      <c r="E37" s="484">
        <f>'19'!F37</f>
        <v>206639</v>
      </c>
      <c r="F37" s="510">
        <v>208225.97</v>
      </c>
      <c r="G37" s="1328">
        <f>F37-E37</f>
        <v>1586.9700000000012</v>
      </c>
      <c r="H37" s="460">
        <f>G37+'19'!H37</f>
        <v>31655.97</v>
      </c>
      <c r="I37" s="455"/>
      <c r="J37" s="552">
        <f>H37/DAY(B2)</f>
        <v>1582.7985000000001</v>
      </c>
      <c r="K37" s="428">
        <v>1173.9200000000128</v>
      </c>
      <c r="L37" s="377">
        <f>G37-K37</f>
        <v>413.04999999998836</v>
      </c>
      <c r="N37" s="382"/>
      <c r="O37" s="382"/>
    </row>
    <row r="38" spans="1:15">
      <c r="A38" s="578" t="s">
        <v>165</v>
      </c>
      <c r="B38" s="579"/>
      <c r="C38" s="579"/>
      <c r="D38" s="523" t="s">
        <v>130</v>
      </c>
      <c r="E38" s="484">
        <f>'19'!F38</f>
        <v>229458</v>
      </c>
      <c r="F38" s="469">
        <v>230906.93</v>
      </c>
      <c r="G38" s="1328">
        <f t="shared" si="2"/>
        <v>1448.929999999993</v>
      </c>
      <c r="H38" s="460">
        <f>G38+'19'!H38</f>
        <v>32447.929999999993</v>
      </c>
      <c r="I38" s="455"/>
      <c r="J38" s="552">
        <f>H38/DAY(B2)</f>
        <v>1622.3964999999996</v>
      </c>
      <c r="K38" s="428">
        <v>0</v>
      </c>
      <c r="L38" s="377">
        <f t="shared" si="3"/>
        <v>1448.929999999993</v>
      </c>
      <c r="N38" s="382"/>
      <c r="O38" s="382"/>
    </row>
    <row r="39" spans="1:15">
      <c r="A39" s="578" t="s">
        <v>166</v>
      </c>
      <c r="B39" s="579"/>
      <c r="C39" s="579"/>
      <c r="D39" s="523" t="s">
        <v>130</v>
      </c>
      <c r="E39" s="484">
        <f>'19'!F39</f>
        <v>475083</v>
      </c>
      <c r="F39" s="510">
        <v>478850.43</v>
      </c>
      <c r="G39" s="1328">
        <f t="shared" si="2"/>
        <v>3767.429999999993</v>
      </c>
      <c r="H39" s="460">
        <f>G39+'19'!H39</f>
        <v>73986.429999999993</v>
      </c>
      <c r="I39" s="455"/>
      <c r="J39" s="552">
        <f>H39/DAY(B2)</f>
        <v>3699.3214999999996</v>
      </c>
      <c r="K39" s="428">
        <v>1987.0400000000373</v>
      </c>
      <c r="L39" s="377">
        <f t="shared" si="3"/>
        <v>1780.3899999999558</v>
      </c>
      <c r="N39" s="382"/>
      <c r="O39" s="382"/>
    </row>
    <row r="40" spans="1:15">
      <c r="A40" s="599" t="s">
        <v>167</v>
      </c>
      <c r="B40" s="600"/>
      <c r="C40" s="600"/>
      <c r="D40" s="523" t="s">
        <v>130</v>
      </c>
      <c r="E40" s="484">
        <f>'19'!F40</f>
        <v>14614</v>
      </c>
      <c r="F40" s="510">
        <v>15145.89</v>
      </c>
      <c r="G40" s="1328">
        <f t="shared" si="2"/>
        <v>531.88999999999942</v>
      </c>
      <c r="H40" s="460">
        <f>G40+'19'!H40</f>
        <v>8032.8899999999994</v>
      </c>
      <c r="I40" s="455"/>
      <c r="J40" s="552">
        <f>H40/DAY(B2)</f>
        <v>401.64449999999999</v>
      </c>
      <c r="K40" s="429">
        <v>0</v>
      </c>
      <c r="L40" s="377">
        <f t="shared" si="3"/>
        <v>531.88999999999942</v>
      </c>
      <c r="N40" s="382"/>
      <c r="O40" s="382"/>
    </row>
    <row r="41" spans="1:15">
      <c r="A41" s="578" t="s">
        <v>168</v>
      </c>
      <c r="B41" s="579"/>
      <c r="C41" s="579"/>
      <c r="D41" s="523" t="s">
        <v>130</v>
      </c>
      <c r="E41" s="484">
        <f>'19'!F41</f>
        <v>365502</v>
      </c>
      <c r="F41" s="510">
        <v>365502.35</v>
      </c>
      <c r="G41" s="1328">
        <f t="shared" si="2"/>
        <v>0.34999999997671694</v>
      </c>
      <c r="H41" s="460">
        <f>G41+'19'!H41</f>
        <v>35860.349999999977</v>
      </c>
      <c r="I41" s="455"/>
      <c r="J41" s="552">
        <f>H41/DAY(B2)</f>
        <v>1793.0174999999988</v>
      </c>
      <c r="K41" s="428">
        <v>0</v>
      </c>
      <c r="L41" s="377">
        <f t="shared" si="3"/>
        <v>0.34999999997671694</v>
      </c>
      <c r="N41" s="382"/>
      <c r="O41" s="721"/>
    </row>
    <row r="42" spans="1:15">
      <c r="A42" s="578" t="s">
        <v>169</v>
      </c>
      <c r="B42" s="579"/>
      <c r="C42" s="579"/>
      <c r="D42" s="523" t="s">
        <v>130</v>
      </c>
      <c r="E42" s="484">
        <f>'19'!F42</f>
        <v>82838</v>
      </c>
      <c r="F42" s="510">
        <v>85160.57</v>
      </c>
      <c r="G42" s="1328">
        <f t="shared" si="2"/>
        <v>2322.570000000007</v>
      </c>
      <c r="H42" s="460">
        <f>G42+'19'!H42</f>
        <v>25961.680000000008</v>
      </c>
      <c r="I42" s="455"/>
      <c r="J42" s="552">
        <f>H42/DAY(B2)</f>
        <v>1298.0840000000003</v>
      </c>
      <c r="K42" s="428">
        <v>3246.4500000000007</v>
      </c>
      <c r="L42" s="377">
        <f t="shared" si="3"/>
        <v>-923.87999999999374</v>
      </c>
      <c r="N42" s="382"/>
      <c r="O42" s="382"/>
    </row>
    <row r="43" spans="1:15">
      <c r="A43" s="578" t="s">
        <v>170</v>
      </c>
      <c r="B43" s="579"/>
      <c r="C43" s="579"/>
      <c r="D43" s="523" t="s">
        <v>130</v>
      </c>
      <c r="E43" s="484">
        <f>'19'!F43</f>
        <v>1171784</v>
      </c>
      <c r="F43" s="510">
        <v>1174494.7</v>
      </c>
      <c r="G43" s="1328">
        <f t="shared" si="2"/>
        <v>2710.6999999999534</v>
      </c>
      <c r="H43" s="460">
        <f>G43+'19'!H43</f>
        <v>54042.699999999953</v>
      </c>
      <c r="I43" s="455"/>
      <c r="J43" s="552">
        <f>H43/DAY(B2)</f>
        <v>2702.1349999999975</v>
      </c>
      <c r="K43" s="428">
        <v>1559.2000000000116</v>
      </c>
      <c r="L43" s="377">
        <f t="shared" si="3"/>
        <v>1151.4999999999418</v>
      </c>
      <c r="N43" s="382"/>
      <c r="O43" s="382"/>
    </row>
    <row r="44" spans="1:15">
      <c r="A44" s="578" t="s">
        <v>171</v>
      </c>
      <c r="B44" s="579"/>
      <c r="C44" s="579"/>
      <c r="D44" s="523" t="s">
        <v>130</v>
      </c>
      <c r="E44" s="484">
        <f>'19'!F44</f>
        <v>0</v>
      </c>
      <c r="F44" s="510">
        <v>0</v>
      </c>
      <c r="G44" s="1328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172</v>
      </c>
      <c r="B45" s="579"/>
      <c r="C45" s="579"/>
      <c r="D45" s="523" t="s">
        <v>130</v>
      </c>
      <c r="E45" s="484">
        <f>'19'!F45</f>
        <v>614</v>
      </c>
      <c r="F45" s="510">
        <v>614</v>
      </c>
      <c r="G45" s="1328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173</v>
      </c>
      <c r="B46" s="579"/>
      <c r="C46" s="579"/>
      <c r="D46" s="523" t="s">
        <v>130</v>
      </c>
      <c r="E46" s="484">
        <f>'19'!F46</f>
        <v>187</v>
      </c>
      <c r="F46" s="510">
        <v>187</v>
      </c>
      <c r="G46" s="1328">
        <f t="shared" si="2"/>
        <v>0</v>
      </c>
      <c r="H46" s="460">
        <f>G46+'19'!H46</f>
        <v>-0.49000000000000909</v>
      </c>
      <c r="I46" s="455"/>
      <c r="J46" s="552">
        <f>H46/DAY(B2)</f>
        <v>-2.4500000000000455E-2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174</v>
      </c>
      <c r="B47" s="586"/>
      <c r="C47" s="586"/>
      <c r="D47" s="470"/>
      <c r="E47" s="511"/>
      <c r="F47" s="511"/>
      <c r="G47" s="1330">
        <f>G35+G36+G37+G38+G39+G40+G41+G42+G43+G44+G45+G46</f>
        <v>13535.359999999921</v>
      </c>
      <c r="H47" s="460">
        <f>G47+'19'!H47</f>
        <v>310475.46999999991</v>
      </c>
      <c r="I47" s="455"/>
      <c r="J47" s="552">
        <f>H47/DAY(B2)</f>
        <v>15523.773499999996</v>
      </c>
      <c r="K47" s="428">
        <v>9907.8200000000252</v>
      </c>
      <c r="L47" s="377">
        <f t="shared" si="3"/>
        <v>3627.5399999998954</v>
      </c>
      <c r="N47" s="382"/>
      <c r="O47" s="382"/>
    </row>
    <row r="48" spans="1:15">
      <c r="A48" s="598" t="s">
        <v>175</v>
      </c>
      <c r="B48" s="1142"/>
      <c r="C48" s="1142"/>
      <c r="D48" s="472"/>
      <c r="E48" s="471"/>
      <c r="F48" s="471"/>
      <c r="G48" s="1338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162</v>
      </c>
      <c r="B49" s="601"/>
      <c r="C49" s="601"/>
      <c r="D49" s="523" t="s">
        <v>130</v>
      </c>
      <c r="E49" s="510">
        <f>'19'!F49</f>
        <v>288610</v>
      </c>
      <c r="F49" s="510">
        <v>291183.21000000002</v>
      </c>
      <c r="G49" s="1328">
        <f t="shared" ref="G49:G58" si="4">F49-E49</f>
        <v>2573.210000000021</v>
      </c>
      <c r="H49" s="460">
        <f>G49+'19'!H49</f>
        <v>30419.210000000021</v>
      </c>
      <c r="I49" s="455"/>
      <c r="J49" s="552">
        <f>H49/DAY(B2)</f>
        <v>1520.960500000001</v>
      </c>
      <c r="K49" s="428">
        <v>0</v>
      </c>
      <c r="L49" s="377">
        <f t="shared" si="3"/>
        <v>2573.210000000021</v>
      </c>
      <c r="N49" s="382"/>
      <c r="O49" s="382"/>
    </row>
    <row r="50" spans="1:15">
      <c r="A50" s="578" t="s">
        <v>176</v>
      </c>
      <c r="B50" s="601"/>
      <c r="C50" s="601"/>
      <c r="D50" s="523" t="s">
        <v>130</v>
      </c>
      <c r="E50" s="510">
        <f>'19'!F50</f>
        <v>557622</v>
      </c>
      <c r="F50" s="510">
        <v>558685.75</v>
      </c>
      <c r="G50" s="1328">
        <f t="shared" si="4"/>
        <v>1063.75</v>
      </c>
      <c r="H50" s="460">
        <f>G50+'19'!H50</f>
        <v>22929.75</v>
      </c>
      <c r="I50" s="455"/>
      <c r="J50" s="552">
        <f>H50/DAY(B2)</f>
        <v>1146.4875</v>
      </c>
      <c r="K50" s="428">
        <v>631.67000000001281</v>
      </c>
      <c r="L50" s="377">
        <f t="shared" si="3"/>
        <v>432.07999999998719</v>
      </c>
      <c r="N50" s="382"/>
      <c r="O50" s="382"/>
    </row>
    <row r="51" spans="1:15">
      <c r="A51" s="578" t="s">
        <v>164</v>
      </c>
      <c r="B51" s="601"/>
      <c r="C51" s="601"/>
      <c r="D51" s="523" t="s">
        <v>130</v>
      </c>
      <c r="E51" s="510">
        <f>'19'!F51</f>
        <v>144640</v>
      </c>
      <c r="F51" s="510">
        <v>144640</v>
      </c>
      <c r="G51" s="1328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177</v>
      </c>
      <c r="B52" s="601"/>
      <c r="C52" s="601"/>
      <c r="D52" s="523" t="s">
        <v>130</v>
      </c>
      <c r="E52" s="510">
        <f>'19'!F52</f>
        <v>539606</v>
      </c>
      <c r="F52" s="510">
        <v>539606</v>
      </c>
      <c r="G52" s="1328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1"/>
    </row>
    <row r="53" spans="1:15">
      <c r="A53" s="578" t="s">
        <v>166</v>
      </c>
      <c r="B53" s="601"/>
      <c r="C53" s="601"/>
      <c r="D53" s="523" t="s">
        <v>130</v>
      </c>
      <c r="E53" s="510">
        <f>'19'!F53</f>
        <v>434231.59</v>
      </c>
      <c r="F53" s="510">
        <v>434231.59</v>
      </c>
      <c r="G53" s="1328">
        <f t="shared" si="4"/>
        <v>0</v>
      </c>
      <c r="H53" s="460">
        <f>G53+'19'!H53</f>
        <v>-0.73999999999068677</v>
      </c>
      <c r="I53" s="455"/>
      <c r="J53" s="552">
        <f>H53/DAY(B2)</f>
        <v>-3.6999999999534336E-2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178</v>
      </c>
      <c r="B54" s="601"/>
      <c r="C54" s="601"/>
      <c r="D54" s="523" t="s">
        <v>130</v>
      </c>
      <c r="E54" s="510">
        <f>'19'!F54</f>
        <v>14967</v>
      </c>
      <c r="F54" s="510">
        <v>14967</v>
      </c>
      <c r="G54" s="1328">
        <f t="shared" si="4"/>
        <v>0</v>
      </c>
      <c r="H54" s="460">
        <f>G54+'19'!H54</f>
        <v>0</v>
      </c>
      <c r="I54" s="455"/>
      <c r="J54" s="552">
        <f>H54/DAY(B2)</f>
        <v>0</v>
      </c>
      <c r="K54" s="428">
        <v>0</v>
      </c>
      <c r="L54" s="377">
        <f t="shared" si="3"/>
        <v>0</v>
      </c>
      <c r="N54" s="382"/>
      <c r="O54" s="382"/>
    </row>
    <row r="55" spans="1:15">
      <c r="A55" s="578" t="s">
        <v>179</v>
      </c>
      <c r="B55" s="601"/>
      <c r="C55" s="601"/>
      <c r="D55" s="523" t="s">
        <v>130</v>
      </c>
      <c r="E55" s="510">
        <f>'19'!F55</f>
        <v>186190</v>
      </c>
      <c r="F55" s="510">
        <v>191040.47</v>
      </c>
      <c r="G55" s="1328">
        <f t="shared" si="4"/>
        <v>4850.4700000000012</v>
      </c>
      <c r="H55" s="460">
        <f>G55+'19'!H55</f>
        <v>67830.47</v>
      </c>
      <c r="I55" s="455"/>
      <c r="J55" s="552">
        <f>H55/DAY(B2)</f>
        <v>3391.5235000000002</v>
      </c>
      <c r="K55" s="428">
        <v>0</v>
      </c>
      <c r="L55" s="377">
        <f t="shared" si="3"/>
        <v>4850.4700000000012</v>
      </c>
      <c r="N55" s="382"/>
      <c r="O55" s="382"/>
    </row>
    <row r="56" spans="1:15">
      <c r="A56" s="578" t="s">
        <v>180</v>
      </c>
      <c r="B56" s="601"/>
      <c r="C56" s="601"/>
      <c r="D56" s="523" t="s">
        <v>181</v>
      </c>
      <c r="E56" s="510">
        <f>'19'!F56</f>
        <v>649210</v>
      </c>
      <c r="F56" s="510">
        <v>649241.15</v>
      </c>
      <c r="G56" s="1328">
        <f t="shared" si="4"/>
        <v>31.150000000023283</v>
      </c>
      <c r="H56" s="460">
        <f>G56+'19'!H56</f>
        <v>199.15000000002328</v>
      </c>
      <c r="I56" s="455"/>
      <c r="J56" s="552">
        <f>H56/DAY(B2)</f>
        <v>9.9575000000011649</v>
      </c>
      <c r="K56" s="427">
        <v>0</v>
      </c>
      <c r="L56" s="377">
        <f t="shared" si="3"/>
        <v>31.150000000023283</v>
      </c>
      <c r="N56" s="382"/>
      <c r="O56" s="382"/>
    </row>
    <row r="57" spans="1:15">
      <c r="A57" s="578" t="s">
        <v>170</v>
      </c>
      <c r="B57" s="601"/>
      <c r="C57" s="601"/>
      <c r="D57" s="523" t="s">
        <v>130</v>
      </c>
      <c r="E57" s="510">
        <f>'19'!F57</f>
        <v>7711</v>
      </c>
      <c r="F57" s="510">
        <v>7711</v>
      </c>
      <c r="G57" s="1328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182</v>
      </c>
      <c r="B58" s="601"/>
      <c r="C58" s="601"/>
      <c r="D58" s="523" t="s">
        <v>130</v>
      </c>
      <c r="E58" s="510">
        <f>'19'!F58</f>
        <v>57418</v>
      </c>
      <c r="F58" s="510">
        <v>57425.74</v>
      </c>
      <c r="G58" s="1328">
        <f t="shared" si="4"/>
        <v>7.7399999999979627</v>
      </c>
      <c r="H58" s="460">
        <f>G58+'19'!H58</f>
        <v>3245.739999999998</v>
      </c>
      <c r="I58" s="455"/>
      <c r="J58" s="552">
        <f>H58/DAY(B2)</f>
        <v>162.28699999999989</v>
      </c>
      <c r="K58" s="428">
        <v>0</v>
      </c>
      <c r="L58" s="377">
        <f t="shared" si="3"/>
        <v>7.7399999999979627</v>
      </c>
      <c r="N58" s="382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1330">
        <f>G49+G50+G51+G52+G53+G54+G55+G56+G57+G58</f>
        <v>8526.3200000000434</v>
      </c>
      <c r="H59" s="460">
        <f>G59+'19'!H59</f>
        <v>124623.58000000005</v>
      </c>
      <c r="I59" s="455">
        <f>G7-G60</f>
        <v>56.280000000057044</v>
      </c>
      <c r="J59" s="552">
        <f>H59/DAY(B2)</f>
        <v>6231.1790000000019</v>
      </c>
      <c r="K59" s="428">
        <v>1795.6800000000312</v>
      </c>
      <c r="L59" s="377">
        <f t="shared" si="3"/>
        <v>6730.6400000000122</v>
      </c>
      <c r="N59" s="382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1330">
        <f>G47+G59</f>
        <v>22061.679999999964</v>
      </c>
      <c r="H60" s="460">
        <f>G60+'19'!H60</f>
        <v>442002.38</v>
      </c>
      <c r="I60" s="455">
        <f>G13-G60</f>
        <v>-644.17999999996391</v>
      </c>
      <c r="J60" s="552">
        <f>H60/DAY(B2)</f>
        <v>22100.118999999999</v>
      </c>
      <c r="K60" s="428">
        <v>11703.500000000056</v>
      </c>
      <c r="L60" s="377">
        <f t="shared" si="3"/>
        <v>10358.179999999908</v>
      </c>
      <c r="N60" s="382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1339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f>'19'!F62</f>
        <v>20419.2</v>
      </c>
      <c r="F62" s="514">
        <v>20419.2</v>
      </c>
      <c r="G62" s="1328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186</v>
      </c>
      <c r="B63" s="604"/>
      <c r="C63" s="604"/>
      <c r="D63" s="511" t="s">
        <v>185</v>
      </c>
      <c r="E63" s="514">
        <f>'19'!F63</f>
        <v>0</v>
      </c>
      <c r="F63" s="514">
        <v>0</v>
      </c>
      <c r="G63" s="1328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84">
        <f>'19'!F64</f>
        <v>177441</v>
      </c>
      <c r="F64" s="484">
        <v>177804.47</v>
      </c>
      <c r="G64" s="1328">
        <f t="shared" si="5"/>
        <v>363.47000000000116</v>
      </c>
      <c r="H64" s="460">
        <f>G64+'19'!H64</f>
        <v>7782.4700000000012</v>
      </c>
      <c r="I64" s="480"/>
      <c r="J64" s="552">
        <f>H64/DAY(B2)</f>
        <v>389.12350000000004</v>
      </c>
      <c r="K64" s="428"/>
      <c r="L64" s="377"/>
      <c r="N64" s="382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84">
        <f>'19'!F65</f>
        <v>177524</v>
      </c>
      <c r="F65" s="484">
        <v>177910.09</v>
      </c>
      <c r="G65" s="1328">
        <f t="shared" si="5"/>
        <v>386.08999999999651</v>
      </c>
      <c r="H65" s="460">
        <f>G65+'19'!H65</f>
        <v>7608.0899999999965</v>
      </c>
      <c r="I65" s="489"/>
      <c r="J65" s="552">
        <f>H65/DAY(B2)</f>
        <v>380.40449999999981</v>
      </c>
      <c r="K65" s="428"/>
      <c r="L65" s="377"/>
      <c r="N65" s="382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84">
        <f>'19'!F66</f>
        <v>75789</v>
      </c>
      <c r="F66" s="484">
        <v>76217.929999999993</v>
      </c>
      <c r="G66" s="1328">
        <f t="shared" si="5"/>
        <v>428.92999999999302</v>
      </c>
      <c r="H66" s="460">
        <f>G66+'19'!H66</f>
        <v>8247.929999999993</v>
      </c>
      <c r="I66" s="480"/>
      <c r="J66" s="552">
        <f>H66/DAY(B2)</f>
        <v>412.39649999999966</v>
      </c>
      <c r="K66" s="428"/>
      <c r="L66" s="377"/>
      <c r="N66" s="382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84">
        <f>'19'!F67</f>
        <v>273925</v>
      </c>
      <c r="F67" s="484">
        <v>274426.67</v>
      </c>
      <c r="G67" s="1328">
        <f t="shared" si="5"/>
        <v>501.6699999999837</v>
      </c>
      <c r="H67" s="460">
        <f>G67+'19'!H67</f>
        <v>9467.6699999999837</v>
      </c>
      <c r="I67" s="489"/>
      <c r="J67" s="552">
        <f>H67/DAY(B2)</f>
        <v>473.38349999999917</v>
      </c>
      <c r="K67" s="429"/>
      <c r="L67" s="377"/>
      <c r="N67" s="382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84">
        <f>'19'!F68</f>
        <v>85321</v>
      </c>
      <c r="F68" s="484">
        <v>85321</v>
      </c>
      <c r="G68" s="1328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84">
        <f>'19'!F69</f>
        <v>92641</v>
      </c>
      <c r="F69" s="484">
        <v>92936.63</v>
      </c>
      <c r="G69" s="1328">
        <f t="shared" si="5"/>
        <v>295.63000000000466</v>
      </c>
      <c r="H69" s="460">
        <f>G69+'19'!H69</f>
        <v>5421.6300000000047</v>
      </c>
      <c r="I69" s="516"/>
      <c r="J69" s="552">
        <f>H69/DAY(B2)</f>
        <v>271.08150000000023</v>
      </c>
      <c r="K69" s="431"/>
      <c r="L69" s="377"/>
      <c r="N69" s="382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1340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519">
        <f>'19'!F72</f>
        <v>856459</v>
      </c>
      <c r="F72" s="519">
        <v>856472</v>
      </c>
      <c r="G72" s="1328">
        <f t="shared" ref="G72:G84" si="6">F72-E72</f>
        <v>13</v>
      </c>
      <c r="H72" s="460">
        <f>G72+'19'!H72</f>
        <v>237</v>
      </c>
      <c r="I72" s="480"/>
      <c r="J72" s="552">
        <f>H72/DAY(B2)</f>
        <v>11.85</v>
      </c>
      <c r="K72" s="431"/>
      <c r="L72" s="377"/>
      <c r="N72" s="382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519">
        <f>'19'!F73</f>
        <v>885998</v>
      </c>
      <c r="F73" s="520">
        <v>886000</v>
      </c>
      <c r="G73" s="1328">
        <f t="shared" si="6"/>
        <v>2</v>
      </c>
      <c r="H73" s="460">
        <f>G73+'19'!H73</f>
        <v>166</v>
      </c>
      <c r="I73" s="480"/>
      <c r="J73" s="552">
        <f>H73/DAY(B2)</f>
        <v>8.3000000000000007</v>
      </c>
      <c r="K73" s="430"/>
      <c r="L73" s="377"/>
      <c r="N73" s="382"/>
      <c r="O73" s="382"/>
    </row>
    <row r="74" spans="1:15" ht="27.75">
      <c r="A74" s="1625" t="s">
        <v>191</v>
      </c>
      <c r="B74" s="1626"/>
      <c r="C74" s="1627"/>
      <c r="D74" s="523" t="s">
        <v>185</v>
      </c>
      <c r="E74" s="519">
        <f>'19'!F74</f>
        <v>88716</v>
      </c>
      <c r="F74" s="521">
        <v>88719.3</v>
      </c>
      <c r="G74" s="1328">
        <f t="shared" si="6"/>
        <v>3.3000000000029104</v>
      </c>
      <c r="H74" s="460">
        <f>G74+'19'!H74</f>
        <v>57.30000000000291</v>
      </c>
      <c r="I74" s="480"/>
      <c r="J74" s="552">
        <f>H74/DAY(B2)</f>
        <v>2.8650000000001454</v>
      </c>
      <c r="K74" s="431"/>
      <c r="L74" s="377"/>
      <c r="N74" s="382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519">
        <f>'19'!F75</f>
        <v>19025</v>
      </c>
      <c r="F75" s="521">
        <v>19191.63</v>
      </c>
      <c r="G75" s="1328">
        <f t="shared" si="6"/>
        <v>166.63000000000102</v>
      </c>
      <c r="H75" s="460">
        <f>G75+'19'!H75</f>
        <v>3120.630000000001</v>
      </c>
      <c r="I75" s="480"/>
      <c r="J75" s="552">
        <f>H75/DAY(B2)</f>
        <v>156.03150000000005</v>
      </c>
      <c r="K75" s="430"/>
      <c r="L75" s="377"/>
      <c r="N75" s="382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519">
        <f>'19'!F76</f>
        <v>10577</v>
      </c>
      <c r="F76" s="654">
        <v>10640.9</v>
      </c>
      <c r="G76" s="1328">
        <f>F76-E76</f>
        <v>63.899999999999636</v>
      </c>
      <c r="H76" s="460">
        <f>G76+'19'!H76</f>
        <v>2421.8999999999996</v>
      </c>
      <c r="I76" s="505"/>
      <c r="J76" s="552">
        <f>H76/DAY(B2)</f>
        <v>121.09499999999998</v>
      </c>
      <c r="K76" s="430"/>
      <c r="L76" s="377"/>
      <c r="N76" s="382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519">
        <f>'19'!F77</f>
        <v>705569</v>
      </c>
      <c r="F77" s="521">
        <v>705626</v>
      </c>
      <c r="G77" s="1328">
        <f t="shared" si="6"/>
        <v>57</v>
      </c>
      <c r="H77" s="460">
        <f>G77+'19'!H77</f>
        <v>1252</v>
      </c>
      <c r="I77" s="505"/>
      <c r="J77" s="552">
        <f>H77/DAY(B2)</f>
        <v>62.6</v>
      </c>
      <c r="K77" s="430"/>
      <c r="L77" s="377"/>
      <c r="N77" s="382"/>
      <c r="O77" s="382"/>
    </row>
    <row r="78" spans="1:15" ht="27.75">
      <c r="A78" s="1140" t="s">
        <v>195</v>
      </c>
      <c r="B78" s="1113"/>
      <c r="C78" s="1113"/>
      <c r="D78" s="523" t="s">
        <v>185</v>
      </c>
      <c r="E78" s="521">
        <f>'19'!F78</f>
        <v>677282</v>
      </c>
      <c r="F78" s="521">
        <v>677372</v>
      </c>
      <c r="G78" s="1328">
        <f t="shared" si="6"/>
        <v>90</v>
      </c>
      <c r="H78" s="460">
        <f>G78+'19'!H78</f>
        <v>1958</v>
      </c>
      <c r="I78" s="505"/>
      <c r="J78" s="552">
        <f>H78/DAY(B2)</f>
        <v>97.9</v>
      </c>
      <c r="K78" s="430"/>
      <c r="L78" s="377"/>
      <c r="N78" s="382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521">
        <f>'19'!F79</f>
        <v>838424</v>
      </c>
      <c r="F79" s="521">
        <v>838574</v>
      </c>
      <c r="G79" s="1328">
        <f t="shared" si="6"/>
        <v>150</v>
      </c>
      <c r="H79" s="460">
        <f>G79+'19'!H79</f>
        <v>2420</v>
      </c>
      <c r="I79" s="505"/>
      <c r="J79" s="552">
        <f>H79/DAY(B2)</f>
        <v>121</v>
      </c>
      <c r="K79" s="430"/>
      <c r="L79" s="377"/>
      <c r="N79" s="382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520">
        <f>'19'!F80</f>
        <v>547168</v>
      </c>
      <c r="F80" s="520">
        <v>547596.28</v>
      </c>
      <c r="G80" s="1328">
        <f t="shared" si="6"/>
        <v>428.28000000002794</v>
      </c>
      <c r="H80" s="460">
        <f>G80+'19'!H80</f>
        <v>5205.2800000000279</v>
      </c>
      <c r="I80" s="505"/>
      <c r="J80" s="552">
        <f>H80/DAY(B2)</f>
        <v>260.26400000000137</v>
      </c>
      <c r="K80" s="430"/>
      <c r="L80" s="377"/>
      <c r="N80" s="382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520">
        <f>'19'!F81</f>
        <v>646674</v>
      </c>
      <c r="F81" s="520">
        <v>646912.04</v>
      </c>
      <c r="G81" s="1328">
        <f t="shared" si="6"/>
        <v>238.04000000003725</v>
      </c>
      <c r="H81" s="460">
        <f>G81+'19'!H81</f>
        <v>3927.0400000000373</v>
      </c>
      <c r="I81" s="505"/>
      <c r="J81" s="552">
        <f>H81/DAY(B2)</f>
        <v>196.35200000000185</v>
      </c>
      <c r="K81" s="430"/>
      <c r="L81" s="377"/>
      <c r="N81" s="382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522">
        <f>'19'!F82</f>
        <v>109089</v>
      </c>
      <c r="F82" s="522">
        <v>109102.07</v>
      </c>
      <c r="G82" s="1328">
        <f t="shared" si="6"/>
        <v>13.070000000006985</v>
      </c>
      <c r="H82" s="460">
        <f>G82+'19'!H82</f>
        <v>421.07000000000698</v>
      </c>
      <c r="I82" s="486"/>
      <c r="J82" s="552">
        <f>H82/DAY(B2)</f>
        <v>21.053500000000348</v>
      </c>
      <c r="K82" s="430"/>
      <c r="L82" s="377"/>
      <c r="N82" s="382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522">
        <f>'19'!F83</f>
        <v>32090</v>
      </c>
      <c r="F83" s="511">
        <v>32328</v>
      </c>
      <c r="G83" s="1328">
        <f t="shared" si="6"/>
        <v>238</v>
      </c>
      <c r="H83" s="460">
        <f>G83+'19'!H83</f>
        <v>4777</v>
      </c>
      <c r="I83" s="481"/>
      <c r="J83" s="552">
        <f>H83/DAY(B2)</f>
        <v>238.85</v>
      </c>
      <c r="K83" s="429"/>
      <c r="L83" s="377"/>
      <c r="N83" s="382"/>
      <c r="O83" s="721"/>
    </row>
    <row r="84" spans="1:15">
      <c r="A84" s="1141" t="s">
        <v>199</v>
      </c>
      <c r="B84" s="571"/>
      <c r="C84" s="571"/>
      <c r="D84" s="478" t="s">
        <v>130</v>
      </c>
      <c r="E84" s="522">
        <f>'19'!F84</f>
        <v>538136</v>
      </c>
      <c r="F84" s="627">
        <v>538863</v>
      </c>
      <c r="G84" s="1328">
        <f t="shared" si="6"/>
        <v>727</v>
      </c>
      <c r="H84" s="460">
        <f>G84+'19'!H84</f>
        <v>15783</v>
      </c>
      <c r="I84" s="481"/>
      <c r="J84" s="552">
        <f>H84/DAY(B2)</f>
        <v>789.15</v>
      </c>
      <c r="K84" s="380"/>
      <c r="L84" s="377"/>
      <c r="N84" s="382"/>
      <c r="O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1341">
        <f xml:space="preserve"> SUM(G72:G84)</f>
        <v>2190.2200000000757</v>
      </c>
      <c r="H85" s="460">
        <f>G85+'19'!H85</f>
        <v>44620.220000000074</v>
      </c>
      <c r="I85" s="481"/>
      <c r="J85" s="552">
        <f>H85/DAY(B2)</f>
        <v>2231.0110000000036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181</v>
      </c>
      <c r="E86" s="647">
        <f>'19'!F86</f>
        <v>462255</v>
      </c>
      <c r="F86" s="647">
        <v>462278.36</v>
      </c>
      <c r="G86" s="1342">
        <f>F86-E86</f>
        <v>23.35999999998603</v>
      </c>
      <c r="H86" s="460">
        <f>G86+'19'!H86</f>
        <v>48.519999999960419</v>
      </c>
      <c r="I86" s="652"/>
      <c r="J86" s="707">
        <f>H86/DAY(B2)</f>
        <v>2.4259999999980209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181</v>
      </c>
      <c r="E87" s="647">
        <f>'19'!F87</f>
        <v>82583</v>
      </c>
      <c r="F87" s="647">
        <v>82621</v>
      </c>
      <c r="G87" s="1342">
        <f t="shared" ref="G87:G91" si="7">F87-E87</f>
        <v>38</v>
      </c>
      <c r="H87" s="460">
        <f>G87+'19'!H87</f>
        <v>78</v>
      </c>
      <c r="I87" s="652"/>
      <c r="J87" s="707">
        <f>H87/DAY(B2)</f>
        <v>3.9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181</v>
      </c>
      <c r="E88" s="647">
        <f>'19'!F88</f>
        <v>157447</v>
      </c>
      <c r="F88" s="647">
        <v>157615.46</v>
      </c>
      <c r="G88" s="1342">
        <f t="shared" si="7"/>
        <v>168.45999999999185</v>
      </c>
      <c r="H88" s="460">
        <f>G88+'19'!H88</f>
        <v>369.73999999999069</v>
      </c>
      <c r="I88" s="652"/>
      <c r="J88" s="707">
        <f>H88/DAY(B2)</f>
        <v>18.486999999999533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181</v>
      </c>
      <c r="E89" s="647">
        <f>'19'!F89</f>
        <v>66620</v>
      </c>
      <c r="F89" s="647">
        <v>66650</v>
      </c>
      <c r="G89" s="1342">
        <f t="shared" si="7"/>
        <v>30</v>
      </c>
      <c r="H89" s="460">
        <f>G89+'19'!H89</f>
        <v>89.19999999999709</v>
      </c>
      <c r="I89" s="652"/>
      <c r="J89" s="707">
        <f>H89/DAY(B2)</f>
        <v>4.4599999999998543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47">
        <f>'19'!F90</f>
        <v>3411</v>
      </c>
      <c r="F90" s="647">
        <v>3413</v>
      </c>
      <c r="G90" s="1342">
        <f t="shared" si="7"/>
        <v>2</v>
      </c>
      <c r="H90" s="460">
        <f>G90+'19'!H90</f>
        <v>5</v>
      </c>
      <c r="I90" s="652"/>
      <c r="J90" s="707">
        <f>H90/DAY(B2)</f>
        <v>0.25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47">
        <f>'19'!F91</f>
        <v>28403</v>
      </c>
      <c r="F91" s="647">
        <v>28413.5</v>
      </c>
      <c r="G91" s="705">
        <f t="shared" si="7"/>
        <v>10.5</v>
      </c>
      <c r="H91" s="460">
        <f>G91+'19'!H91</f>
        <v>10.5</v>
      </c>
      <c r="I91" s="652"/>
      <c r="J91" s="707">
        <f>H91/DAY(B2)</f>
        <v>0.52500000000000002</v>
      </c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1331"/>
      <c r="H92" s="472"/>
      <c r="I92" s="472"/>
      <c r="J92" s="551"/>
      <c r="K92" s="380"/>
      <c r="L92" s="378"/>
      <c r="N92" s="776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'19'!F93</f>
        <v>249307</v>
      </c>
      <c r="F93" s="484">
        <v>249342</v>
      </c>
      <c r="G93" s="1328">
        <f t="shared" ref="G93:G94" si="8">F93-E93</f>
        <v>35</v>
      </c>
      <c r="H93" s="460">
        <f>G93+'19'!H93</f>
        <v>1990</v>
      </c>
      <c r="I93" s="480"/>
      <c r="J93" s="552">
        <f>H93/DAY(B2)</f>
        <v>99.5</v>
      </c>
      <c r="K93" s="429"/>
      <c r="L93" s="377"/>
      <c r="N93" s="382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'19'!F94</f>
        <v>191769</v>
      </c>
      <c r="F94" s="484">
        <v>191920</v>
      </c>
      <c r="G94" s="1328">
        <f t="shared" si="8"/>
        <v>151</v>
      </c>
      <c r="H94" s="460">
        <f>G94+'19'!H94</f>
        <v>2466</v>
      </c>
      <c r="I94" s="480"/>
      <c r="J94" s="552">
        <f>H94/DAY(B2)</f>
        <v>123.3</v>
      </c>
      <c r="K94" s="380"/>
      <c r="L94" s="377"/>
      <c r="N94" s="382"/>
      <c r="O94" s="382"/>
    </row>
    <row r="95" spans="1:15">
      <c r="A95" s="1594" t="s">
        <v>206</v>
      </c>
      <c r="B95" s="1595"/>
      <c r="C95" s="1596"/>
      <c r="D95" s="523"/>
      <c r="E95" s="484">
        <f>'19'!F95</f>
        <v>0</v>
      </c>
      <c r="F95" s="484"/>
      <c r="G95" s="1328">
        <f>G93+G94</f>
        <v>186</v>
      </c>
      <c r="H95" s="460">
        <f>G95+'19'!H95</f>
        <v>4270</v>
      </c>
      <c r="I95" s="480"/>
      <c r="J95" s="552">
        <f>H95/DAY(B2)</f>
        <v>213.5</v>
      </c>
      <c r="K95" s="380"/>
      <c r="L95" s="377"/>
      <c r="N95" s="382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'19'!F96</f>
        <v>417710</v>
      </c>
      <c r="F96" s="484">
        <v>417761</v>
      </c>
      <c r="G96" s="1328">
        <f t="shared" ref="G96:G101" si="9">F96-E96</f>
        <v>51</v>
      </c>
      <c r="H96" s="460">
        <f>G96+'19'!H96</f>
        <v>1762</v>
      </c>
      <c r="I96" s="480"/>
      <c r="J96" s="552">
        <f>H96/DAY(B2)</f>
        <v>88.1</v>
      </c>
      <c r="K96" s="380"/>
      <c r="L96" s="377"/>
      <c r="N96" s="382"/>
      <c r="O96" s="382"/>
    </row>
    <row r="97" spans="1:15" ht="27.75">
      <c r="A97" s="1137" t="s">
        <v>208</v>
      </c>
      <c r="B97" s="1138"/>
      <c r="C97" s="1138"/>
      <c r="D97" s="523" t="s">
        <v>142</v>
      </c>
      <c r="E97" s="484">
        <f>'19'!F97</f>
        <v>103589</v>
      </c>
      <c r="F97" s="484">
        <v>103604</v>
      </c>
      <c r="G97" s="1328">
        <f t="shared" si="9"/>
        <v>15</v>
      </c>
      <c r="H97" s="460">
        <f>G97+'19'!H97</f>
        <v>441</v>
      </c>
      <c r="I97" s="480"/>
      <c r="J97" s="552">
        <f>H97/DAY(B2)</f>
        <v>22.05</v>
      </c>
      <c r="K97" s="427"/>
      <c r="L97" s="377"/>
      <c r="N97" s="382"/>
      <c r="O97" s="382"/>
    </row>
    <row r="98" spans="1:15" ht="27.75">
      <c r="A98" s="1137" t="s">
        <v>209</v>
      </c>
      <c r="B98" s="1138"/>
      <c r="C98" s="1138"/>
      <c r="D98" s="523" t="s">
        <v>142</v>
      </c>
      <c r="E98" s="484">
        <f>'19'!F98</f>
        <v>99142</v>
      </c>
      <c r="F98" s="484">
        <v>99159</v>
      </c>
      <c r="G98" s="1328">
        <f t="shared" si="9"/>
        <v>17</v>
      </c>
      <c r="H98" s="460">
        <f>G98+'19'!H98</f>
        <v>502</v>
      </c>
      <c r="I98" s="480"/>
      <c r="J98" s="552">
        <f>H98/DAY(B2)</f>
        <v>25.1</v>
      </c>
      <c r="K98" s="432"/>
      <c r="L98" s="377"/>
      <c r="N98" s="382"/>
      <c r="O98" s="382"/>
    </row>
    <row r="99" spans="1:15" ht="27.75">
      <c r="A99" s="1137" t="s">
        <v>210</v>
      </c>
      <c r="B99" s="1138"/>
      <c r="C99" s="1138"/>
      <c r="D99" s="523" t="s">
        <v>142</v>
      </c>
      <c r="E99" s="484">
        <f>'19'!F99</f>
        <v>150970</v>
      </c>
      <c r="F99" s="484">
        <v>150980</v>
      </c>
      <c r="G99" s="1328">
        <f t="shared" si="9"/>
        <v>10</v>
      </c>
      <c r="H99" s="460">
        <f>G99+'19'!H99</f>
        <v>575</v>
      </c>
      <c r="I99" s="480"/>
      <c r="J99" s="552">
        <f>H99/DAY(B2)</f>
        <v>28.75</v>
      </c>
      <c r="K99" s="380"/>
      <c r="L99" s="377"/>
      <c r="N99" s="382"/>
      <c r="O99" s="382"/>
    </row>
    <row r="100" spans="1:15" ht="27.75">
      <c r="A100" s="1137" t="s">
        <v>211</v>
      </c>
      <c r="B100" s="1138"/>
      <c r="C100" s="1138"/>
      <c r="D100" s="523" t="s">
        <v>142</v>
      </c>
      <c r="E100" s="484">
        <f>'19'!F100</f>
        <v>8006</v>
      </c>
      <c r="F100" s="484">
        <v>8018</v>
      </c>
      <c r="G100" s="1328">
        <f t="shared" si="9"/>
        <v>12</v>
      </c>
      <c r="H100" s="460">
        <f>G100+'19'!H100</f>
        <v>221</v>
      </c>
      <c r="I100" s="480"/>
      <c r="J100" s="552">
        <f>H100/DAY(B2)</f>
        <v>11.05</v>
      </c>
      <c r="K100" s="380"/>
      <c r="L100" s="377"/>
      <c r="N100" s="382"/>
      <c r="O100" s="382"/>
    </row>
    <row r="101" spans="1:15" ht="27.75">
      <c r="A101" s="1137" t="s">
        <v>212</v>
      </c>
      <c r="B101" s="1138"/>
      <c r="C101" s="1138"/>
      <c r="D101" s="523" t="s">
        <v>142</v>
      </c>
      <c r="E101" s="484">
        <f>'19'!F101</f>
        <v>5865</v>
      </c>
      <c r="F101" s="484">
        <v>5871</v>
      </c>
      <c r="G101" s="1328">
        <f t="shared" si="9"/>
        <v>6</v>
      </c>
      <c r="H101" s="460">
        <f>G101+'19'!H101</f>
        <v>197</v>
      </c>
      <c r="I101" s="480"/>
      <c r="J101" s="552">
        <f>H101/DAY(B2)</f>
        <v>9.85</v>
      </c>
      <c r="K101" s="380"/>
      <c r="L101" s="377"/>
      <c r="N101" s="382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1343">
        <f>SUM(G96:G101)</f>
        <v>111</v>
      </c>
      <c r="H102" s="460">
        <f>G102+'19'!H102</f>
        <v>3698</v>
      </c>
      <c r="I102" s="526"/>
      <c r="J102" s="552">
        <f>H102/DAY(B2)</f>
        <v>184.9</v>
      </c>
      <c r="K102" s="380"/>
      <c r="L102" s="377"/>
      <c r="N102" s="382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528"/>
      <c r="G103" s="1344"/>
      <c r="H103" s="530"/>
      <c r="I103" s="531"/>
      <c r="J103" s="557"/>
      <c r="N103" s="444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532"/>
      <c r="G104" s="1345"/>
      <c r="H104" s="533"/>
      <c r="I104" s="532"/>
      <c r="J104" s="558"/>
      <c r="N104" s="444"/>
      <c r="O104" s="382"/>
    </row>
    <row r="105" spans="1:15" s="442" customFormat="1" ht="27.75">
      <c r="A105" s="1554" t="s">
        <v>217</v>
      </c>
      <c r="B105" s="1555"/>
      <c r="C105" s="1135"/>
      <c r="D105" s="622" t="s">
        <v>142</v>
      </c>
      <c r="E105" s="532">
        <v>7637</v>
      </c>
      <c r="F105" s="532">
        <v>7637</v>
      </c>
      <c r="G105" s="1345">
        <f>F105-E105</f>
        <v>0</v>
      </c>
      <c r="H105" s="460">
        <f>G105+'19'!H105</f>
        <v>69.3799999999992</v>
      </c>
      <c r="I105" s="532"/>
      <c r="J105" s="558">
        <f>H105/DAY(B2)</f>
        <v>3.4689999999999599</v>
      </c>
      <c r="N105" s="444"/>
      <c r="O105" s="382"/>
    </row>
    <row r="106" spans="1:15" s="442" customFormat="1" ht="27.75">
      <c r="A106" s="1554" t="s">
        <v>76</v>
      </c>
      <c r="B106" s="1555"/>
      <c r="C106" s="1135"/>
      <c r="D106" s="622" t="s">
        <v>142</v>
      </c>
      <c r="E106" s="534">
        <f>'19'!F106</f>
        <v>36352</v>
      </c>
      <c r="F106" s="534">
        <v>36352</v>
      </c>
      <c r="G106" s="1345">
        <f t="shared" ref="G106:G107" si="10">F106-E106</f>
        <v>0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532">
        <f>'19'!F107</f>
        <v>19908</v>
      </c>
      <c r="F107" s="532">
        <v>19908</v>
      </c>
      <c r="G107" s="1345">
        <f t="shared" si="10"/>
        <v>0</v>
      </c>
      <c r="H107" s="460">
        <f>G107+'19'!H107</f>
        <v>125</v>
      </c>
      <c r="I107" s="532"/>
      <c r="J107" s="558">
        <f>H107/DAY(B2)</f>
        <v>6.25</v>
      </c>
      <c r="N107" s="444"/>
      <c r="O107" s="382"/>
    </row>
    <row r="108" spans="1:15" s="442" customFormat="1" ht="27.75">
      <c r="A108" s="1556" t="s">
        <v>200</v>
      </c>
      <c r="B108" s="1557"/>
      <c r="C108" s="1135"/>
      <c r="D108" s="622"/>
      <c r="E108" s="532">
        <f>'19'!F108</f>
        <v>0</v>
      </c>
      <c r="F108" s="532"/>
      <c r="G108" s="1345">
        <f>SUM(G105:G107)</f>
        <v>0</v>
      </c>
      <c r="H108" s="460">
        <f>G108+'19'!H108</f>
        <v>184</v>
      </c>
      <c r="I108" s="532"/>
      <c r="J108" s="558">
        <f>H108/DAY(B2)</f>
        <v>9.1999999999999993</v>
      </c>
      <c r="N108" s="444"/>
      <c r="O108" s="382"/>
    </row>
    <row r="109" spans="1:15" s="442" customFormat="1" ht="27.75">
      <c r="A109" s="1560" t="s">
        <v>78</v>
      </c>
      <c r="B109" s="1561"/>
      <c r="C109" s="1135"/>
      <c r="D109" s="622" t="s">
        <v>142</v>
      </c>
      <c r="E109" s="532">
        <f>'19'!F109</f>
        <v>0</v>
      </c>
      <c r="F109" s="532"/>
      <c r="G109" s="1345"/>
      <c r="H109" s="460"/>
      <c r="I109" s="532"/>
      <c r="J109" s="558"/>
      <c r="N109" s="444"/>
      <c r="O109" s="382"/>
    </row>
    <row r="110" spans="1:15" s="442" customFormat="1" ht="27.75">
      <c r="A110" s="1554" t="s">
        <v>218</v>
      </c>
      <c r="B110" s="1555"/>
      <c r="C110" s="1135"/>
      <c r="D110" s="622" t="s">
        <v>142</v>
      </c>
      <c r="E110" s="532">
        <f>'19'!F110</f>
        <v>66236</v>
      </c>
      <c r="F110" s="532">
        <v>66302</v>
      </c>
      <c r="G110" s="1345">
        <f>F110-E110</f>
        <v>66</v>
      </c>
      <c r="H110" s="460">
        <f>G110+'19'!H110</f>
        <v>328.64000000001397</v>
      </c>
      <c r="I110" s="532"/>
      <c r="J110" s="558">
        <f>H110/DAY(B2)</f>
        <v>16.432000000000698</v>
      </c>
      <c r="N110" s="444"/>
      <c r="O110" s="382"/>
    </row>
    <row r="111" spans="1:15" s="442" customFormat="1" ht="27.75">
      <c r="A111" s="1554" t="s">
        <v>219</v>
      </c>
      <c r="B111" s="1555"/>
      <c r="C111" s="1135"/>
      <c r="D111" s="622" t="s">
        <v>142</v>
      </c>
      <c r="E111" s="532">
        <f>'19'!F111</f>
        <v>33681</v>
      </c>
      <c r="F111" s="532">
        <v>33714</v>
      </c>
      <c r="G111" s="1345">
        <f t="shared" ref="G111:G112" si="11">F111-E111</f>
        <v>33</v>
      </c>
      <c r="H111" s="460">
        <f>G111+'19'!H111</f>
        <v>109.89999999999418</v>
      </c>
      <c r="I111" s="532"/>
      <c r="J111" s="558">
        <f>H111/DAY(B2)</f>
        <v>5.4949999999997088</v>
      </c>
      <c r="N111" s="444"/>
      <c r="O111" s="382"/>
    </row>
    <row r="112" spans="1:15" s="442" customFormat="1" ht="27.75">
      <c r="A112" s="1554" t="s">
        <v>220</v>
      </c>
      <c r="B112" s="1555"/>
      <c r="C112" s="1135"/>
      <c r="D112" s="622" t="s">
        <v>142</v>
      </c>
      <c r="E112" s="532">
        <f>'19'!F112</f>
        <v>4622</v>
      </c>
      <c r="F112" s="532">
        <v>4622</v>
      </c>
      <c r="G112" s="1345">
        <f t="shared" si="11"/>
        <v>0</v>
      </c>
      <c r="H112" s="460">
        <f>G112+'19'!H112</f>
        <v>351</v>
      </c>
      <c r="I112" s="532"/>
      <c r="J112" s="558">
        <f>H112/DAY(B2)</f>
        <v>17.55</v>
      </c>
      <c r="N112" s="444"/>
      <c r="O112" s="382"/>
    </row>
    <row r="113" spans="1:15" s="442" customFormat="1" ht="27.75">
      <c r="A113" s="1558" t="s">
        <v>109</v>
      </c>
      <c r="B113" s="1559"/>
      <c r="C113" s="1135"/>
      <c r="D113" s="622"/>
      <c r="E113" s="532">
        <f>'19'!F113</f>
        <v>0</v>
      </c>
      <c r="F113" s="532"/>
      <c r="G113" s="1345">
        <f>SUM(G110:G112)</f>
        <v>99</v>
      </c>
      <c r="H113" s="460">
        <f>G113+'19'!H113</f>
        <v>1098</v>
      </c>
      <c r="I113" s="532"/>
      <c r="J113" s="558">
        <f>H113/DAY(B2)</f>
        <v>54.9</v>
      </c>
      <c r="N113" s="444"/>
      <c r="O113" s="382"/>
    </row>
    <row r="114" spans="1:15" s="442" customFormat="1" ht="27.75">
      <c r="A114" s="1560" t="s">
        <v>221</v>
      </c>
      <c r="B114" s="1561"/>
      <c r="C114" s="1135"/>
      <c r="D114" s="622"/>
      <c r="E114" s="532">
        <f>'19'!F114</f>
        <v>0</v>
      </c>
      <c r="F114" s="532"/>
      <c r="G114" s="134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534">
        <f>'19'!F115</f>
        <v>12272</v>
      </c>
      <c r="F115" s="534">
        <v>12287</v>
      </c>
      <c r="G115" s="1346">
        <f>F115-E115</f>
        <v>15</v>
      </c>
      <c r="H115" s="460">
        <f>G115+'19'!H115</f>
        <v>45</v>
      </c>
      <c r="I115" s="532"/>
      <c r="J115" s="558">
        <f>H115/DAY(B2)</f>
        <v>2.25</v>
      </c>
      <c r="N115" s="444"/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534">
        <f>'19'!F116</f>
        <v>8717</v>
      </c>
      <c r="F116" s="534">
        <v>8721</v>
      </c>
      <c r="G116" s="1346">
        <f t="shared" ref="G116:G117" si="12">F116-E116</f>
        <v>4</v>
      </c>
      <c r="H116" s="460">
        <f>G116+'19'!H116</f>
        <v>108</v>
      </c>
      <c r="I116" s="532"/>
      <c r="J116" s="558">
        <f>H116/DAY(B2)</f>
        <v>5.4</v>
      </c>
      <c r="N116" s="444"/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1346">
        <f t="shared" si="12"/>
        <v>0</v>
      </c>
      <c r="H117" s="460">
        <f>G117+'19'!H117</f>
        <v>97</v>
      </c>
      <c r="I117" s="532"/>
      <c r="J117" s="558">
        <f>H117/DAY(B2)</f>
        <v>4.8499999999999996</v>
      </c>
      <c r="N117" s="444"/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534"/>
      <c r="G118" s="1346">
        <f>SUM(G115:G117)</f>
        <v>19</v>
      </c>
      <c r="H118" s="460">
        <f>G118+'19'!H118</f>
        <v>150</v>
      </c>
      <c r="I118" s="534"/>
      <c r="J118" s="558">
        <f>H118/DAY(B2)</f>
        <v>7.5</v>
      </c>
      <c r="N118" s="447"/>
      <c r="O118" s="382"/>
    </row>
    <row r="119" spans="1:15" s="446" customFormat="1" ht="27.75">
      <c r="A119" s="1550" t="s">
        <v>225</v>
      </c>
      <c r="B119" s="1551"/>
      <c r="C119" s="1134"/>
      <c r="D119" s="624" t="s">
        <v>142</v>
      </c>
      <c r="E119" s="536"/>
      <c r="F119" s="536">
        <f>SUM(G19+G93)</f>
        <v>98</v>
      </c>
      <c r="G119" s="1346">
        <f>SUM(G19+G93)</f>
        <v>98</v>
      </c>
      <c r="H119" s="460">
        <f>G119+'19'!H119</f>
        <v>444</v>
      </c>
      <c r="I119" s="535"/>
      <c r="J119" s="559">
        <f>H119/DAY(B2)</f>
        <v>22.2</v>
      </c>
      <c r="N119" s="778"/>
      <c r="O119" s="382"/>
    </row>
    <row r="120" spans="1:15" s="446" customFormat="1" ht="27.75">
      <c r="A120" s="1550" t="s">
        <v>226</v>
      </c>
      <c r="B120" s="1551"/>
      <c r="C120" s="1134"/>
      <c r="D120" s="624" t="s">
        <v>142</v>
      </c>
      <c r="E120" s="536"/>
      <c r="F120" s="536">
        <f>SUM(G96,G97,G98,G100,G101)</f>
        <v>101</v>
      </c>
      <c r="G120" s="1346">
        <f>SUM(G96,G97,G98,G100,G101)</f>
        <v>101</v>
      </c>
      <c r="H120" s="460">
        <f>G120+'19'!H120</f>
        <v>459</v>
      </c>
      <c r="I120" s="535"/>
      <c r="J120" s="559">
        <f>H120/DAY(B2)</f>
        <v>22.95</v>
      </c>
      <c r="N120" s="778"/>
      <c r="O120" s="382"/>
    </row>
    <row r="121" spans="1:15" s="446" customFormat="1" ht="27.75">
      <c r="A121" s="1550" t="s">
        <v>227</v>
      </c>
      <c r="B121" s="1551"/>
      <c r="C121" s="1134"/>
      <c r="D121" s="624" t="s">
        <v>142</v>
      </c>
      <c r="E121" s="534"/>
      <c r="F121" s="534">
        <f>SUM(G113)</f>
        <v>99</v>
      </c>
      <c r="G121" s="1346">
        <f>SUM(G113)</f>
        <v>99</v>
      </c>
      <c r="H121" s="460">
        <f>G121+'19'!H121</f>
        <v>287</v>
      </c>
      <c r="I121" s="535"/>
      <c r="J121" s="559">
        <f>H121/DAY(B2)</f>
        <v>14.35</v>
      </c>
      <c r="N121" s="778"/>
      <c r="O121" s="382"/>
    </row>
    <row r="122" spans="1:15" s="442" customFormat="1" ht="27.75">
      <c r="A122" s="1552"/>
      <c r="B122" s="1553"/>
      <c r="C122" s="1135"/>
      <c r="D122" s="560"/>
      <c r="E122" s="560"/>
      <c r="F122" s="560" t="s">
        <v>213</v>
      </c>
      <c r="G122" s="1347"/>
      <c r="H122" s="561"/>
      <c r="I122" s="560"/>
      <c r="J122" s="562"/>
      <c r="N122" s="444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1331"/>
      <c r="H123" s="483"/>
      <c r="I123" s="483"/>
      <c r="J123" s="563"/>
      <c r="K123" s="380"/>
      <c r="L123" s="377"/>
      <c r="N123" s="382"/>
      <c r="O123" s="382"/>
    </row>
    <row r="124" spans="1:15" ht="27.75">
      <c r="A124" s="1137" t="s">
        <v>229</v>
      </c>
      <c r="B124" s="1138"/>
      <c r="C124" s="1138"/>
      <c r="D124" s="523" t="s">
        <v>139</v>
      </c>
      <c r="E124" s="478">
        <f>'19'!F124</f>
        <v>844847</v>
      </c>
      <c r="F124" s="478">
        <v>845107.45</v>
      </c>
      <c r="G124" s="1328">
        <f t="shared" ref="G124:G128" si="13">F124-E124</f>
        <v>260.44999999995343</v>
      </c>
      <c r="H124" s="460">
        <f>G124+'19'!H124</f>
        <v>5437.4499999999534</v>
      </c>
      <c r="I124" s="526"/>
      <c r="J124" s="552">
        <f>H124/DAY(B2)</f>
        <v>271.87249999999767</v>
      </c>
      <c r="K124" s="380"/>
      <c r="L124" s="377"/>
      <c r="N124" s="382"/>
      <c r="O124" s="382"/>
    </row>
    <row r="125" spans="1:15" ht="27.75">
      <c r="A125" s="1137" t="s">
        <v>230</v>
      </c>
      <c r="B125" s="1138"/>
      <c r="C125" s="1138"/>
      <c r="D125" s="523" t="s">
        <v>139</v>
      </c>
      <c r="E125" s="626">
        <f>'19'!F125</f>
        <v>73583.399999999994</v>
      </c>
      <c r="F125" s="626">
        <v>73583.399999999994</v>
      </c>
      <c r="G125" s="1328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78">
        <f>'19'!F126</f>
        <v>150362</v>
      </c>
      <c r="F126" s="478">
        <v>150443.23000000001</v>
      </c>
      <c r="G126" s="1328">
        <f t="shared" si="13"/>
        <v>81.230000000010477</v>
      </c>
      <c r="H126" s="460">
        <f>G126+'19'!H126</f>
        <v>1846.2300000000105</v>
      </c>
      <c r="I126" s="526"/>
      <c r="J126" s="552">
        <f>H126/DAY(B2)</f>
        <v>92.311500000000521</v>
      </c>
      <c r="K126" s="380"/>
      <c r="L126" s="377"/>
      <c r="N126" s="382"/>
      <c r="O126" s="382"/>
    </row>
    <row r="127" spans="1:15" ht="27.75">
      <c r="A127" s="609" t="s">
        <v>232</v>
      </c>
      <c r="B127" s="1138"/>
      <c r="C127" s="1138"/>
      <c r="D127" s="523" t="s">
        <v>139</v>
      </c>
      <c r="E127" s="626">
        <f>'19'!F127</f>
        <v>32802</v>
      </c>
      <c r="F127" s="626">
        <v>32839</v>
      </c>
      <c r="G127" s="1328">
        <f t="shared" si="13"/>
        <v>37</v>
      </c>
      <c r="H127" s="460">
        <f>G127+'19'!H127</f>
        <v>768</v>
      </c>
      <c r="I127" s="526"/>
      <c r="J127" s="552">
        <f>H127/DAY(B2)</f>
        <v>38.4</v>
      </c>
      <c r="K127" s="380"/>
      <c r="L127" s="377"/>
      <c r="N127" s="382"/>
      <c r="O127" s="382"/>
    </row>
    <row r="128" spans="1:15" ht="27.75">
      <c r="A128" s="609" t="s">
        <v>233</v>
      </c>
      <c r="B128" s="1138"/>
      <c r="C128" s="1138"/>
      <c r="D128" s="523" t="s">
        <v>139</v>
      </c>
      <c r="E128" s="626">
        <f>'19'!F128</f>
        <v>9085</v>
      </c>
      <c r="F128" s="626">
        <v>9086.7000000000007</v>
      </c>
      <c r="G128" s="1328">
        <f t="shared" si="13"/>
        <v>1.7000000000007276</v>
      </c>
      <c r="H128" s="460">
        <f>G128+'19'!H128</f>
        <v>74.700000000000728</v>
      </c>
      <c r="I128" s="480"/>
      <c r="J128" s="552">
        <f>H128/DAY(B2)</f>
        <v>3.7350000000000363</v>
      </c>
      <c r="K128" s="380"/>
      <c r="L128" s="377"/>
      <c r="N128" s="382"/>
      <c r="O128" s="382"/>
    </row>
    <row r="129" spans="1:15" s="281" customFormat="1" ht="27.75">
      <c r="A129" s="609" t="s">
        <v>234</v>
      </c>
      <c r="B129" s="1138"/>
      <c r="C129" s="1138"/>
      <c r="D129" s="523"/>
      <c r="E129" s="478"/>
      <c r="F129" s="478"/>
      <c r="G129" s="1328">
        <f>G15-SUM(G124:G128)</f>
        <v>84.620000000035361</v>
      </c>
      <c r="H129" s="460">
        <f>G129+'19'!H129</f>
        <v>2008.1170000001785</v>
      </c>
      <c r="I129" s="480"/>
      <c r="J129" s="552">
        <f>H129/DAY(B2)</f>
        <v>100.40585000000893</v>
      </c>
      <c r="K129" s="364"/>
      <c r="L129" s="292"/>
      <c r="N129" s="365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1348"/>
      <c r="H130" s="540"/>
      <c r="I130" s="540"/>
      <c r="J130" s="564"/>
      <c r="N130" s="382"/>
      <c r="O130" s="382"/>
    </row>
    <row r="131" spans="1:15" ht="27.75">
      <c r="A131" s="1137" t="s">
        <v>236</v>
      </c>
      <c r="B131" s="1138"/>
      <c r="C131" s="1138"/>
      <c r="D131" s="523" t="s">
        <v>237</v>
      </c>
      <c r="E131" s="484">
        <f>'19'!F131</f>
        <v>0</v>
      </c>
      <c r="F131" s="484">
        <v>0</v>
      </c>
      <c r="G131" s="1328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7" t="s">
        <v>238</v>
      </c>
      <c r="B132" s="1138"/>
      <c r="C132" s="1138"/>
      <c r="D132" s="523" t="s">
        <v>237</v>
      </c>
      <c r="E132" s="484">
        <f>'19'!F132</f>
        <v>0</v>
      </c>
      <c r="F132" s="484">
        <v>0</v>
      </c>
      <c r="G132" s="1328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7" t="s">
        <v>239</v>
      </c>
      <c r="B133" s="1138"/>
      <c r="C133" s="1138"/>
      <c r="D133" s="523" t="s">
        <v>237</v>
      </c>
      <c r="E133" s="484">
        <f>'19'!F133</f>
        <v>40612</v>
      </c>
      <c r="F133" s="635">
        <v>40612.1</v>
      </c>
      <c r="G133" s="1462">
        <f t="shared" si="14"/>
        <v>9.9999999998544808E-2</v>
      </c>
      <c r="H133" s="460">
        <f>G133+'19'!H133</f>
        <v>159.09999999999854</v>
      </c>
      <c r="I133" s="480"/>
      <c r="J133" s="552">
        <f>H133/DAY(B2)</f>
        <v>7.9549999999999272</v>
      </c>
      <c r="N133" s="382">
        <f>G133-24</f>
        <v>-23.900000000001455</v>
      </c>
      <c r="O133" s="382"/>
    </row>
    <row r="134" spans="1:15" s="441" customFormat="1" ht="27.75">
      <c r="A134" s="1068" t="s">
        <v>240</v>
      </c>
      <c r="B134" s="1069"/>
      <c r="C134" s="1069"/>
      <c r="D134" s="627" t="s">
        <v>237</v>
      </c>
      <c r="E134" s="484">
        <f>'19'!F134</f>
        <v>414.42</v>
      </c>
      <c r="F134" s="635">
        <v>427.01</v>
      </c>
      <c r="G134" s="1463">
        <f t="shared" si="14"/>
        <v>12.589999999999975</v>
      </c>
      <c r="H134" s="705">
        <f>G134+'19'!H134</f>
        <v>127.00999999999999</v>
      </c>
      <c r="I134" s="1070">
        <f>G131+G132+G133+G134</f>
        <v>12.68999999999852</v>
      </c>
      <c r="J134" s="707">
        <f>H134/DAY(B2)</f>
        <v>6.3504999999999994</v>
      </c>
      <c r="N134" s="713"/>
      <c r="O134" s="713"/>
    </row>
    <row r="135" spans="1:15" ht="27.75">
      <c r="A135" s="1137" t="s">
        <v>241</v>
      </c>
      <c r="B135" s="1138"/>
      <c r="C135" s="1138"/>
      <c r="D135" s="523" t="s">
        <v>237</v>
      </c>
      <c r="E135" s="484">
        <f>'19'!F135</f>
        <v>42281</v>
      </c>
      <c r="F135" s="635">
        <v>42304.14</v>
      </c>
      <c r="G135" s="1462">
        <f t="shared" si="14"/>
        <v>23.139999999999418</v>
      </c>
      <c r="H135" s="460">
        <f>G135+'19'!H135</f>
        <v>332.13999999999942</v>
      </c>
      <c r="I135" s="480"/>
      <c r="J135" s="552">
        <f>H135/DAY(B2)</f>
        <v>16.606999999999971</v>
      </c>
      <c r="N135" s="382"/>
      <c r="O135" s="382"/>
    </row>
    <row r="136" spans="1:15" ht="27.75">
      <c r="A136" s="1137" t="s">
        <v>242</v>
      </c>
      <c r="B136" s="1138"/>
      <c r="C136" s="1138"/>
      <c r="D136" s="523" t="s">
        <v>237</v>
      </c>
      <c r="E136" s="484">
        <f>'19'!F136</f>
        <v>32874</v>
      </c>
      <c r="F136" s="541">
        <v>32874</v>
      </c>
      <c r="G136" s="1328">
        <f t="shared" si="14"/>
        <v>0</v>
      </c>
      <c r="H136" s="460">
        <f>G136+'19'!H136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7" t="s">
        <v>243</v>
      </c>
      <c r="B137" s="1138"/>
      <c r="C137" s="1138"/>
      <c r="D137" s="523" t="s">
        <v>237</v>
      </c>
      <c r="E137" s="484">
        <f>'19'!F137</f>
        <v>23033</v>
      </c>
      <c r="F137" s="541">
        <v>23033.279999999999</v>
      </c>
      <c r="G137" s="1328">
        <f t="shared" si="14"/>
        <v>0.27999999999883585</v>
      </c>
      <c r="H137" s="460">
        <f>G137+'19'!H137</f>
        <v>141.78999999999724</v>
      </c>
      <c r="I137" s="480">
        <f>G135+G136+G137</f>
        <v>23.419999999998254</v>
      </c>
      <c r="J137" s="552">
        <f>H137/DAY(B2)</f>
        <v>7.0894999999998616</v>
      </c>
      <c r="N137" s="382"/>
      <c r="O137" s="382"/>
    </row>
    <row r="138" spans="1:15" ht="27.75">
      <c r="A138" s="1137" t="s">
        <v>244</v>
      </c>
      <c r="B138" s="1138"/>
      <c r="C138" s="1138"/>
      <c r="D138" s="523" t="s">
        <v>237</v>
      </c>
      <c r="E138" s="484">
        <f>'19'!F138</f>
        <v>25099</v>
      </c>
      <c r="F138" s="541">
        <v>25099.16</v>
      </c>
      <c r="G138" s="1328">
        <f t="shared" si="14"/>
        <v>0.15999999999985448</v>
      </c>
      <c r="H138" s="460">
        <f>G138+'19'!H138</f>
        <v>7.7700000000004366</v>
      </c>
      <c r="I138" s="480"/>
      <c r="J138" s="552">
        <f>H138/DAY(B2)</f>
        <v>0.38850000000002183</v>
      </c>
      <c r="N138" s="382"/>
      <c r="O138" s="382"/>
    </row>
    <row r="139" spans="1:15" ht="27.75">
      <c r="A139" s="1137" t="s">
        <v>245</v>
      </c>
      <c r="B139" s="1138"/>
      <c r="C139" s="1138"/>
      <c r="D139" s="523" t="s">
        <v>237</v>
      </c>
      <c r="E139" s="484">
        <f>'19'!F139</f>
        <v>70516.600000000006</v>
      </c>
      <c r="F139" s="541">
        <v>70516.600000000006</v>
      </c>
      <c r="G139" s="1328">
        <f t="shared" si="14"/>
        <v>0</v>
      </c>
      <c r="H139" s="460">
        <f>G139+'19'!H139</f>
        <v>2.9800000000104774</v>
      </c>
      <c r="I139" s="480">
        <f>G138+G139</f>
        <v>0.15999999999985448</v>
      </c>
      <c r="J139" s="552">
        <f>H139/DAY(B2)</f>
        <v>0.14900000000052388</v>
      </c>
      <c r="N139" s="382"/>
      <c r="O139" s="382"/>
    </row>
    <row r="140" spans="1:15" ht="27.75">
      <c r="A140" s="1137" t="s">
        <v>246</v>
      </c>
      <c r="B140" s="1138"/>
      <c r="C140" s="1138"/>
      <c r="D140" s="523" t="s">
        <v>237</v>
      </c>
      <c r="E140" s="484">
        <f>'19'!F140</f>
        <v>2247.77</v>
      </c>
      <c r="F140" s="484">
        <v>2247.77</v>
      </c>
      <c r="G140" s="1328">
        <f t="shared" si="14"/>
        <v>0</v>
      </c>
      <c r="H140" s="460">
        <f>G140+'19'!H140</f>
        <v>118.59000000000015</v>
      </c>
      <c r="I140" s="542"/>
      <c r="J140" s="552">
        <f>H140/DAY(B2)</f>
        <v>5.9295000000000071</v>
      </c>
      <c r="N140" s="382"/>
      <c r="O140" s="382"/>
    </row>
    <row r="141" spans="1:15" ht="27.75">
      <c r="A141" s="1137" t="s">
        <v>247</v>
      </c>
      <c r="B141" s="1138"/>
      <c r="C141" s="1138"/>
      <c r="D141" s="523" t="s">
        <v>237</v>
      </c>
      <c r="E141" s="484">
        <f>'19'!F141</f>
        <v>4705.5200000000004</v>
      </c>
      <c r="F141" s="484">
        <v>4714.67</v>
      </c>
      <c r="G141" s="1328">
        <f t="shared" si="14"/>
        <v>9.1499999999996362</v>
      </c>
      <c r="H141" s="460">
        <f>G141+'19'!H141</f>
        <v>77.670000000000073</v>
      </c>
      <c r="I141" s="542"/>
      <c r="J141" s="552">
        <f>H141/DAY(B2)</f>
        <v>3.8835000000000037</v>
      </c>
      <c r="N141" s="382"/>
      <c r="O141" s="382"/>
    </row>
    <row r="142" spans="1:15">
      <c r="A142" s="1565" t="s">
        <v>248</v>
      </c>
      <c r="B142" s="1566"/>
      <c r="C142" s="1143"/>
      <c r="D142" s="472"/>
      <c r="E142" s="472"/>
      <c r="F142" s="472"/>
      <c r="G142" s="1331"/>
      <c r="H142" s="483"/>
      <c r="I142" s="483"/>
      <c r="J142" s="563"/>
      <c r="K142" s="380"/>
      <c r="L142" s="377"/>
      <c r="N142" s="382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1341">
        <f>G35+G43+G49+G57</f>
        <v>5283.9099999999744</v>
      </c>
      <c r="H143" s="460">
        <f>G143+'19'!H143</f>
        <v>111358.09000000003</v>
      </c>
      <c r="I143" s="480"/>
      <c r="J143" s="552">
        <f>H143/DAY(B2)</f>
        <v>5567.9045000000015</v>
      </c>
      <c r="K143" s="380"/>
      <c r="L143" s="377"/>
      <c r="N143" s="382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1350">
        <f>G143/G7</f>
        <v>0.23889680603455152</v>
      </c>
      <c r="H144" s="460">
        <f>G144+'19'!H144</f>
        <v>5.0602460765233879</v>
      </c>
      <c r="I144" s="544"/>
      <c r="J144" s="552">
        <f>H144/DAY(B2)</f>
        <v>0.2530123038261694</v>
      </c>
      <c r="K144" s="380"/>
      <c r="L144" s="377"/>
      <c r="N144" s="382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1341">
        <f>G41+G42+G55+G56</f>
        <v>7204.5400000000081</v>
      </c>
      <c r="H145" s="460">
        <f>G145+'19'!H145</f>
        <v>135435.65000000002</v>
      </c>
      <c r="I145" s="480"/>
      <c r="J145" s="552">
        <f>H145/DAY(B2)</f>
        <v>6771.7825000000012</v>
      </c>
      <c r="K145" s="380"/>
      <c r="L145" s="377"/>
      <c r="N145" s="382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1350">
        <f>G145/G7</f>
        <v>0.32573257208169293</v>
      </c>
      <c r="H146" s="460">
        <f>G146+'19'!H146</f>
        <v>6.124033797180731</v>
      </c>
      <c r="I146" s="544"/>
      <c r="J146" s="552">
        <f>H146/DAY(B2)</f>
        <v>0.30620168985903656</v>
      </c>
      <c r="K146" s="380"/>
      <c r="L146" s="377"/>
      <c r="N146" s="382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1341">
        <f>G39+G53</f>
        <v>3767.429999999993</v>
      </c>
      <c r="H147" s="460">
        <f>G147+'19'!H147</f>
        <v>73986.020000000019</v>
      </c>
      <c r="I147" s="545"/>
      <c r="J147" s="552">
        <f>H147/DAY(B2)</f>
        <v>3699.3010000000008</v>
      </c>
      <c r="K147" s="380"/>
      <c r="L147" s="377"/>
      <c r="N147" s="382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1350">
        <f>G147/G7</f>
        <v>0.17033352081294972</v>
      </c>
      <c r="H148" s="460">
        <f>G148+'19'!H148</f>
        <v>3.3597742254482075</v>
      </c>
      <c r="I148" s="545"/>
      <c r="J148" s="552">
        <f>H148/DAY(B2)</f>
        <v>0.16798871127241038</v>
      </c>
      <c r="N148" s="382"/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1341">
        <f>G38+G52</f>
        <v>1448.929999999993</v>
      </c>
      <c r="H149" s="460">
        <f>G149+'19'!H149</f>
        <v>32447.929999999993</v>
      </c>
      <c r="I149" s="480"/>
      <c r="J149" s="552">
        <f>H149/DAY(B2)</f>
        <v>1622.3964999999996</v>
      </c>
      <c r="K149" s="381"/>
      <c r="N149" s="382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1350">
        <f>G149/G7</f>
        <v>6.5509206093147448E-2</v>
      </c>
      <c r="H150" s="460">
        <f>G150+'19'!H150</f>
        <v>1.4701512468757736</v>
      </c>
      <c r="I150" s="545"/>
      <c r="J150" s="552">
        <f>H150/DAY(B2)</f>
        <v>7.3507562343788677E-2</v>
      </c>
      <c r="N150" s="382"/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1341">
        <f>G36+G50</f>
        <v>2230.2699999999968</v>
      </c>
      <c r="H151" s="460">
        <f>G151+'19'!H151</f>
        <v>41826.269999999997</v>
      </c>
      <c r="I151" s="545"/>
      <c r="J151" s="552">
        <f>H151/DAY(B2)</f>
        <v>2091.3134999999997</v>
      </c>
      <c r="N151" s="382"/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1350">
        <f>G151/G7</f>
        <v>0.10083524882041539</v>
      </c>
      <c r="H152" s="460">
        <f>G152+'19'!H152</f>
        <v>1.8868892218275242</v>
      </c>
      <c r="I152" s="480"/>
      <c r="J152" s="552">
        <f>H152/DAY(B2)</f>
        <v>9.4344461091376203E-2</v>
      </c>
      <c r="N152" s="382"/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1341">
        <f>G37+G51</f>
        <v>1586.9700000000012</v>
      </c>
      <c r="H153" s="460">
        <f>G153+'19'!H153</f>
        <v>31655.97</v>
      </c>
      <c r="I153" s="480"/>
      <c r="J153" s="552">
        <f>H153/DAY(B2)</f>
        <v>1582.7985000000001</v>
      </c>
      <c r="L153" s="376" t="s">
        <v>272</v>
      </c>
      <c r="M153" s="376">
        <v>0.5</v>
      </c>
      <c r="N153" s="382">
        <v>50</v>
      </c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1351">
        <f>G153/G7</f>
        <v>7.1750288001244222E-2</v>
      </c>
      <c r="H154" s="460">
        <f>G154+'19'!H154</f>
        <v>1.4350417813822032</v>
      </c>
      <c r="I154" s="568"/>
      <c r="J154" s="569">
        <f>H154/DAY(B2)</f>
        <v>7.1752089069110153E-2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2"/>
      <c r="H155" s="547"/>
      <c r="I155" s="546"/>
      <c r="J155" s="548"/>
      <c r="O155" s="382"/>
    </row>
    <row r="161" spans="1:12">
      <c r="A161" s="784" t="s">
        <v>261</v>
      </c>
      <c r="B161" s="785"/>
      <c r="C161" s="785"/>
      <c r="D161" s="511" t="s">
        <v>185</v>
      </c>
      <c r="E161" s="658">
        <f>'19'!F161</f>
        <v>42368</v>
      </c>
      <c r="F161" s="658">
        <v>42448.7</v>
      </c>
      <c r="G161" s="1328">
        <f t="shared" ref="G161:G164" si="15">F161-E161</f>
        <v>80.69999999999709</v>
      </c>
      <c r="K161" s="376">
        <v>70.399999999999636</v>
      </c>
      <c r="L161" s="376">
        <f t="shared" ref="L161:L172" si="16">G161-K161</f>
        <v>10.299999999997453</v>
      </c>
    </row>
    <row r="162" spans="1:12">
      <c r="A162" s="784" t="s">
        <v>262</v>
      </c>
      <c r="B162" s="785"/>
      <c r="C162" s="785"/>
      <c r="D162" s="511" t="s">
        <v>185</v>
      </c>
      <c r="E162" s="658">
        <f>'19'!F162</f>
        <v>116498</v>
      </c>
      <c r="F162" s="658">
        <v>116939.93</v>
      </c>
      <c r="G162" s="1328">
        <f t="shared" si="15"/>
        <v>441.92999999999302</v>
      </c>
      <c r="K162" s="376">
        <v>124.25999999999999</v>
      </c>
      <c r="L162" s="376">
        <f t="shared" si="16"/>
        <v>317.66999999999302</v>
      </c>
    </row>
    <row r="163" spans="1:12">
      <c r="A163" s="784" t="s">
        <v>263</v>
      </c>
      <c r="B163" s="785"/>
      <c r="C163" s="785"/>
      <c r="D163" s="511" t="s">
        <v>185</v>
      </c>
      <c r="E163" s="658">
        <f>'19'!F163</f>
        <v>65119</v>
      </c>
      <c r="F163" s="658">
        <v>65320.79</v>
      </c>
      <c r="G163" s="1328">
        <f t="shared" si="15"/>
        <v>201.79000000000087</v>
      </c>
      <c r="K163" s="376">
        <v>138.98000000000002</v>
      </c>
      <c r="L163" s="376">
        <f t="shared" si="16"/>
        <v>62.810000000000855</v>
      </c>
    </row>
    <row r="164" spans="1:12">
      <c r="A164" s="784" t="s">
        <v>264</v>
      </c>
      <c r="B164" s="785"/>
      <c r="C164" s="785"/>
      <c r="D164" s="511" t="s">
        <v>185</v>
      </c>
      <c r="E164" s="658">
        <f>'19'!F164</f>
        <v>7034</v>
      </c>
      <c r="F164" s="658">
        <v>7041.24</v>
      </c>
      <c r="G164" s="1328">
        <f t="shared" si="15"/>
        <v>7.2399999999997817</v>
      </c>
      <c r="K164" s="376">
        <v>45.830000000000041</v>
      </c>
      <c r="L164" s="376">
        <f t="shared" si="16"/>
        <v>-38.590000000000259</v>
      </c>
    </row>
    <row r="165" spans="1:12">
      <c r="A165" s="786" t="s">
        <v>97</v>
      </c>
      <c r="B165" s="604"/>
      <c r="C165" s="604"/>
      <c r="D165" s="511" t="s">
        <v>185</v>
      </c>
      <c r="E165" s="514">
        <f>E62</f>
        <v>20419.2</v>
      </c>
      <c r="F165" s="514">
        <f>F62</f>
        <v>20419.2</v>
      </c>
      <c r="G165" s="1328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6" t="s">
        <v>186</v>
      </c>
      <c r="B166" s="604"/>
      <c r="C166" s="604"/>
      <c r="D166" s="511" t="s">
        <v>185</v>
      </c>
      <c r="E166" s="514">
        <f t="shared" ref="E166:E172" si="18">E63</f>
        <v>0</v>
      </c>
      <c r="F166" s="514">
        <f t="shared" ref="F166:F172" si="19">F63</f>
        <v>0</v>
      </c>
      <c r="G166" s="1328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49" t="s">
        <v>98</v>
      </c>
      <c r="B167" s="1549"/>
      <c r="C167" s="1549"/>
      <c r="D167" s="523" t="s">
        <v>185</v>
      </c>
      <c r="E167" s="514">
        <f t="shared" si="18"/>
        <v>177441</v>
      </c>
      <c r="F167" s="514">
        <f t="shared" si="19"/>
        <v>177804.47</v>
      </c>
      <c r="G167" s="1328">
        <f t="shared" si="17"/>
        <v>363.47000000000116</v>
      </c>
      <c r="K167" s="376">
        <v>193.55000000000291</v>
      </c>
      <c r="L167" s="376">
        <f t="shared" si="16"/>
        <v>169.91999999999825</v>
      </c>
    </row>
    <row r="168" spans="1:12" ht="27.75">
      <c r="A168" s="1549" t="s">
        <v>99</v>
      </c>
      <c r="B168" s="1549"/>
      <c r="C168" s="1549"/>
      <c r="D168" s="523" t="s">
        <v>185</v>
      </c>
      <c r="E168" s="514">
        <f t="shared" si="18"/>
        <v>177524</v>
      </c>
      <c r="F168" s="514">
        <f t="shared" si="19"/>
        <v>177910.09</v>
      </c>
      <c r="G168" s="1328">
        <f t="shared" si="17"/>
        <v>386.08999999999651</v>
      </c>
      <c r="K168" s="376">
        <v>168.39999999999418</v>
      </c>
      <c r="L168" s="376">
        <f t="shared" si="16"/>
        <v>217.69000000000233</v>
      </c>
    </row>
    <row r="169" spans="1:12" ht="27.75">
      <c r="A169" s="1549" t="s">
        <v>100</v>
      </c>
      <c r="B169" s="1549"/>
      <c r="C169" s="1549"/>
      <c r="D169" s="523" t="s">
        <v>185</v>
      </c>
      <c r="E169" s="514">
        <f t="shared" si="18"/>
        <v>75789</v>
      </c>
      <c r="F169" s="514">
        <f t="shared" si="19"/>
        <v>76217.929999999993</v>
      </c>
      <c r="G169" s="1328">
        <f t="shared" si="17"/>
        <v>428.92999999999302</v>
      </c>
      <c r="K169" s="376">
        <v>221.18999999999505</v>
      </c>
      <c r="L169" s="376">
        <f t="shared" si="16"/>
        <v>207.73999999999796</v>
      </c>
    </row>
    <row r="170" spans="1:12" ht="27.75">
      <c r="A170" s="1549" t="s">
        <v>101</v>
      </c>
      <c r="B170" s="1549"/>
      <c r="C170" s="1549"/>
      <c r="D170" s="523" t="s">
        <v>185</v>
      </c>
      <c r="E170" s="514">
        <f t="shared" si="18"/>
        <v>273925</v>
      </c>
      <c r="F170" s="514">
        <f t="shared" si="19"/>
        <v>274426.67</v>
      </c>
      <c r="G170" s="1328">
        <f t="shared" si="17"/>
        <v>501.6699999999837</v>
      </c>
      <c r="K170" s="376">
        <v>337.19000000000233</v>
      </c>
      <c r="L170" s="376">
        <f t="shared" si="16"/>
        <v>164.47999999998137</v>
      </c>
    </row>
    <row r="171" spans="1:12" ht="27.75">
      <c r="A171" s="1549" t="s">
        <v>102</v>
      </c>
      <c r="B171" s="1549"/>
      <c r="C171" s="1549"/>
      <c r="D171" s="523" t="s">
        <v>185</v>
      </c>
      <c r="E171" s="514">
        <f t="shared" si="18"/>
        <v>85321</v>
      </c>
      <c r="F171" s="514">
        <f t="shared" si="19"/>
        <v>85321</v>
      </c>
      <c r="G171" s="1328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49" t="s">
        <v>103</v>
      </c>
      <c r="B172" s="1549"/>
      <c r="C172" s="1549"/>
      <c r="D172" s="523" t="s">
        <v>185</v>
      </c>
      <c r="E172" s="514">
        <f t="shared" si="18"/>
        <v>92641</v>
      </c>
      <c r="F172" s="514">
        <f t="shared" si="19"/>
        <v>92936.63</v>
      </c>
      <c r="G172" s="1328">
        <f t="shared" si="17"/>
        <v>295.63000000000466</v>
      </c>
      <c r="K172" s="376">
        <v>11.799999999999272</v>
      </c>
      <c r="L172" s="376">
        <f t="shared" si="16"/>
        <v>283.83000000000538</v>
      </c>
    </row>
    <row r="173" spans="1:12" ht="24.75" customHeight="1">
      <c r="G173" s="1461">
        <f>SUM(G161:G172)</f>
        <v>2707.4499999999698</v>
      </c>
      <c r="L173" s="376">
        <f>SUM(L161:L172)</f>
        <v>1280.9399999999764</v>
      </c>
    </row>
    <row r="174" spans="1:12" ht="24.75" customHeight="1">
      <c r="A174" s="1549" t="s">
        <v>348</v>
      </c>
      <c r="B174" s="1549"/>
      <c r="C174" s="1549"/>
      <c r="D174" s="523" t="s">
        <v>185</v>
      </c>
      <c r="E174" s="658">
        <f>'19'!F174</f>
        <v>19092</v>
      </c>
      <c r="F174" s="514">
        <v>19098</v>
      </c>
      <c r="G174" s="473">
        <f t="shared" ref="G174:G176" si="20">F174-E174</f>
        <v>6</v>
      </c>
    </row>
    <row r="175" spans="1:12" ht="24.75" customHeight="1">
      <c r="A175" s="1590" t="s">
        <v>348</v>
      </c>
      <c r="B175" s="1553"/>
      <c r="C175" s="785"/>
      <c r="D175" s="523" t="s">
        <v>185</v>
      </c>
      <c r="E175" s="658">
        <f>'19'!F175</f>
        <v>70456</v>
      </c>
      <c r="F175" s="1491">
        <v>70463</v>
      </c>
      <c r="G175" s="473">
        <f t="shared" si="20"/>
        <v>7</v>
      </c>
    </row>
    <row r="176" spans="1:12" ht="24.75" customHeight="1">
      <c r="A176" s="1590" t="s">
        <v>349</v>
      </c>
      <c r="B176" s="1553"/>
      <c r="C176" s="785"/>
      <c r="D176" s="523" t="s">
        <v>185</v>
      </c>
      <c r="E176" s="658">
        <f>'19'!F176</f>
        <v>27728</v>
      </c>
      <c r="F176" s="1491">
        <v>27733.7</v>
      </c>
      <c r="G176" s="473">
        <f t="shared" si="20"/>
        <v>5.7000000000007276</v>
      </c>
    </row>
    <row r="177" spans="1:15" ht="24.75" customHeight="1"/>
    <row r="178" spans="1:15">
      <c r="A178" s="1590"/>
      <c r="B178" s="1553"/>
      <c r="C178" s="785"/>
      <c r="D178" s="523"/>
      <c r="E178" s="532"/>
      <c r="F178" s="532"/>
      <c r="G178" s="473"/>
      <c r="N178" s="718"/>
      <c r="O178" s="723"/>
    </row>
    <row r="179" spans="1:15">
      <c r="A179" s="1590"/>
      <c r="B179" s="1553"/>
      <c r="C179" s="785"/>
      <c r="D179" s="523"/>
      <c r="E179" s="532"/>
      <c r="F179" s="532"/>
      <c r="G179" s="473"/>
      <c r="N179" s="718"/>
      <c r="O179" s="723"/>
    </row>
    <row r="180" spans="1:15">
      <c r="A180" s="1590"/>
      <c r="B180" s="1553"/>
      <c r="C180" s="785"/>
      <c r="D180" s="523"/>
      <c r="E180" s="532"/>
      <c r="F180" s="532"/>
      <c r="G180" s="473"/>
      <c r="N180" s="718"/>
      <c r="O180" s="723"/>
    </row>
    <row r="305" spans="6:6">
      <c r="F305" s="537" t="s">
        <v>266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  <row r="1691" spans="6:6">
      <c r="F1691" s="537">
        <v>0</v>
      </c>
    </row>
    <row r="1692" spans="6:6">
      <c r="F1692" s="537">
        <v>0</v>
      </c>
    </row>
    <row r="1693" spans="6:6">
      <c r="F1693" s="537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45" zoomScale="55" zoomScaleNormal="60" zoomScaleSheetLayoutView="55" zoomScalePageLayoutView="20" workbookViewId="0">
      <selection activeCell="F177" sqref="F1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213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359</v>
      </c>
      <c r="B2" s="1031">
        <v>44398</v>
      </c>
      <c r="C2" s="1139" t="s">
        <v>68</v>
      </c>
      <c r="D2" s="611">
        <v>0.66</v>
      </c>
      <c r="E2" s="461"/>
      <c r="F2" s="461"/>
      <c r="G2" s="1324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139" t="s">
        <v>118</v>
      </c>
      <c r="D3" s="612">
        <v>28</v>
      </c>
      <c r="E3" s="1576" t="s">
        <v>119</v>
      </c>
      <c r="F3" s="1577"/>
      <c r="G3" s="132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39" t="s">
        <v>120</v>
      </c>
      <c r="D4" s="611">
        <v>0.84</v>
      </c>
      <c r="E4" s="464"/>
      <c r="F4" s="464"/>
      <c r="G4" s="1325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1326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1327"/>
      <c r="H6" s="472"/>
      <c r="I6" s="472"/>
      <c r="J6" s="551"/>
      <c r="K6" s="427"/>
      <c r="L6" s="377"/>
    </row>
    <row r="7" spans="1:15" ht="30" thickBot="1">
      <c r="A7" s="578" t="s">
        <v>129</v>
      </c>
      <c r="B7" s="579"/>
      <c r="C7" s="579"/>
      <c r="D7" s="523" t="s">
        <v>130</v>
      </c>
      <c r="E7" s="455">
        <f>'20'!F7</f>
        <v>363691.96</v>
      </c>
      <c r="F7" s="455">
        <v>384810.67</v>
      </c>
      <c r="G7" s="1328">
        <f>F7-E7</f>
        <v>21118.709999999963</v>
      </c>
      <c r="H7" s="460">
        <f>G7+'20'!H7</f>
        <v>462857.67000000004</v>
      </c>
      <c r="I7" s="474">
        <f>'1'!I7</f>
        <v>12000</v>
      </c>
      <c r="J7" s="552">
        <f>H7/DAY(B2)</f>
        <v>22040.841428571432</v>
      </c>
      <c r="K7" s="549">
        <v>12199</v>
      </c>
      <c r="L7" s="377">
        <f>G7-K7</f>
        <v>8919.7099999999627</v>
      </c>
      <c r="N7" s="382"/>
      <c r="O7" s="382"/>
    </row>
    <row r="8" spans="1:15" ht="27.75" thickBot="1">
      <c r="A8" s="580" t="s">
        <v>131</v>
      </c>
      <c r="B8" s="581"/>
      <c r="C8" s="582"/>
      <c r="D8" s="617" t="s">
        <v>25</v>
      </c>
      <c r="E8" s="475">
        <f>'20'!F8</f>
        <v>370604.27</v>
      </c>
      <c r="F8" s="475">
        <v>391826.83</v>
      </c>
      <c r="G8" s="1329">
        <f>F8-E8</f>
        <v>21222.559999999998</v>
      </c>
      <c r="H8" s="460">
        <f>G8+'20'!H8</f>
        <v>465104.83</v>
      </c>
      <c r="I8" s="477">
        <f>'1'!I8</f>
        <v>12000</v>
      </c>
      <c r="J8" s="552">
        <f>H8/DAY(B2)</f>
        <v>22147.849047619049</v>
      </c>
      <c r="K8" s="549">
        <v>12262</v>
      </c>
      <c r="L8" s="425">
        <f>G8-K8</f>
        <v>8960.5599999999977</v>
      </c>
      <c r="M8" s="440"/>
      <c r="N8" s="382"/>
      <c r="O8" s="382"/>
    </row>
    <row r="9" spans="1:15">
      <c r="A9" s="583" t="s">
        <v>132</v>
      </c>
      <c r="B9" s="584"/>
      <c r="C9" s="584"/>
      <c r="D9" s="523" t="s">
        <v>130</v>
      </c>
      <c r="E9" s="478">
        <f>'20'!F9</f>
        <v>2460433.5</v>
      </c>
      <c r="F9" s="478">
        <v>2480880.9</v>
      </c>
      <c r="G9" s="1328">
        <f t="shared" ref="G9:G12" si="0">F9-E9</f>
        <v>20447.399999999907</v>
      </c>
      <c r="H9" s="460">
        <f>G9+'20'!H9</f>
        <v>449878.89999999991</v>
      </c>
      <c r="I9" s="479">
        <f>I8-J8</f>
        <v>-10147.849047619049</v>
      </c>
      <c r="J9" s="552">
        <f>H9/DAY(B2)</f>
        <v>21422.804761904757</v>
      </c>
      <c r="K9" s="428"/>
      <c r="L9" s="377"/>
      <c r="N9" s="382"/>
      <c r="O9" s="382"/>
    </row>
    <row r="10" spans="1:15">
      <c r="A10" s="578" t="s">
        <v>133</v>
      </c>
      <c r="B10" s="579"/>
      <c r="C10" s="579"/>
      <c r="D10" s="523" t="s">
        <v>130</v>
      </c>
      <c r="E10" s="478">
        <f>'20'!F10</f>
        <v>2606.5500000000002</v>
      </c>
      <c r="F10" s="478">
        <v>2606.5500000000002</v>
      </c>
      <c r="G10" s="1328">
        <f t="shared" si="0"/>
        <v>0</v>
      </c>
      <c r="H10" s="460">
        <f>G10+'20'!H10</f>
        <v>0.29999999999972715</v>
      </c>
      <c r="I10" s="480"/>
      <c r="J10" s="552">
        <f>H10/DAY(B2)</f>
        <v>1.4285714285701292E-2</v>
      </c>
      <c r="K10" s="428"/>
      <c r="L10" s="377"/>
      <c r="N10" s="382"/>
      <c r="O10" s="382"/>
    </row>
    <row r="11" spans="1:15">
      <c r="A11" s="578" t="s">
        <v>134</v>
      </c>
      <c r="B11" s="579"/>
      <c r="C11" s="579"/>
      <c r="D11" s="523" t="s">
        <v>130</v>
      </c>
      <c r="E11" s="478">
        <f>'20'!F11</f>
        <v>37000</v>
      </c>
      <c r="F11" s="455">
        <v>37000</v>
      </c>
      <c r="G11" s="1328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135</v>
      </c>
      <c r="B12" s="579"/>
      <c r="C12" s="579"/>
      <c r="D12" s="523" t="s">
        <v>130</v>
      </c>
      <c r="E12" s="478">
        <f>'20'!F12</f>
        <v>40010</v>
      </c>
      <c r="F12" s="478">
        <v>40010</v>
      </c>
      <c r="G12" s="1328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136</v>
      </c>
      <c r="B13" s="586"/>
      <c r="C13" s="586"/>
      <c r="D13" s="523"/>
      <c r="E13" s="455"/>
      <c r="F13" s="455"/>
      <c r="G13" s="1330">
        <f>G9+G10+G11+G12</f>
        <v>20447.399999999907</v>
      </c>
      <c r="H13" s="460">
        <f>G13+'20'!H13</f>
        <v>429552.1999999999</v>
      </c>
      <c r="I13" s="482">
        <f>G7-G13</f>
        <v>671.31000000005588</v>
      </c>
      <c r="J13" s="552">
        <f>H13/DAY(B2)</f>
        <v>20454.866666666661</v>
      </c>
      <c r="K13" s="428"/>
      <c r="L13" s="377"/>
      <c r="N13" s="382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1331"/>
      <c r="H14" s="472"/>
      <c r="I14" s="472"/>
      <c r="J14" s="551"/>
      <c r="K14" s="429"/>
      <c r="L14" s="377"/>
      <c r="N14" s="382"/>
      <c r="O14" s="382"/>
    </row>
    <row r="15" spans="1:15">
      <c r="A15" s="1137" t="s">
        <v>138</v>
      </c>
      <c r="B15" s="589"/>
      <c r="C15" s="589"/>
      <c r="D15" s="523" t="s">
        <v>139</v>
      </c>
      <c r="E15" s="484">
        <f>'20'!F15</f>
        <v>1720191</v>
      </c>
      <c r="F15" s="700">
        <v>1721117.72</v>
      </c>
      <c r="G15" s="1332">
        <f>(F15-E15)</f>
        <v>926.71999999997206</v>
      </c>
      <c r="H15" s="460">
        <f>G15+'20'!H15</f>
        <v>17434.719999999972</v>
      </c>
      <c r="I15" s="474">
        <v>800</v>
      </c>
      <c r="J15" s="552">
        <f>H15/DAY(B2)</f>
        <v>830.22476190476061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28"/>
      <c r="H16" s="486"/>
      <c r="I16" s="487">
        <f>I15-J15</f>
        <v>-30.224761904760612</v>
      </c>
      <c r="J16" s="553"/>
      <c r="K16" s="428"/>
      <c r="L16" s="377"/>
      <c r="N16" s="382"/>
      <c r="O16" s="382"/>
    </row>
    <row r="17" spans="1:15">
      <c r="A17" s="1573" t="s">
        <v>140</v>
      </c>
      <c r="B17" s="1574"/>
      <c r="C17" s="1575"/>
      <c r="D17" s="472"/>
      <c r="E17" s="472"/>
      <c r="F17" s="472"/>
      <c r="G17" s="1331"/>
      <c r="H17" s="472"/>
      <c r="I17" s="472"/>
      <c r="J17" s="551"/>
      <c r="K17" s="428"/>
      <c r="L17" s="377"/>
      <c r="N17" s="382"/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84">
        <f>'20'!F18</f>
        <v>8</v>
      </c>
      <c r="F18" s="484">
        <v>10</v>
      </c>
      <c r="G18" s="1330">
        <f>F18*10</f>
        <v>100</v>
      </c>
      <c r="H18" s="460">
        <f>G18+'20'!H18</f>
        <v>2820</v>
      </c>
      <c r="I18" s="474">
        <f>'1'!I18</f>
        <v>65</v>
      </c>
      <c r="J18" s="552">
        <f>H18/DAY(B2)</f>
        <v>134.28571428571428</v>
      </c>
      <c r="K18" s="428"/>
      <c r="L18" s="377"/>
      <c r="N18" s="382"/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84">
        <f>'20'!F19</f>
        <v>142667</v>
      </c>
      <c r="F19" s="484">
        <v>142742</v>
      </c>
      <c r="G19" s="1328">
        <f t="shared" ref="G19" si="1">F19-E19</f>
        <v>75</v>
      </c>
      <c r="H19" s="460">
        <f>G19+'20'!H19</f>
        <v>1247</v>
      </c>
      <c r="I19" s="489"/>
      <c r="J19" s="552">
        <f>H19/DAY(B2)</f>
        <v>59.38095238095238</v>
      </c>
      <c r="K19" s="428"/>
      <c r="L19" s="377"/>
      <c r="N19" s="382"/>
      <c r="O19" s="382"/>
    </row>
    <row r="20" spans="1:15">
      <c r="A20" s="585" t="s">
        <v>143</v>
      </c>
      <c r="B20" s="586"/>
      <c r="C20" s="586"/>
      <c r="D20" s="490"/>
      <c r="E20" s="490"/>
      <c r="F20" s="490"/>
      <c r="G20" s="1333">
        <f>G18+G19</f>
        <v>175</v>
      </c>
      <c r="H20" s="460">
        <f>G20+'20'!H20</f>
        <v>4067</v>
      </c>
      <c r="I20" s="492">
        <f>I18-J20</f>
        <v>-128.66666666666666</v>
      </c>
      <c r="J20" s="552">
        <f>H20/DAY(B2)</f>
        <v>193.66666666666666</v>
      </c>
      <c r="K20" s="428"/>
      <c r="L20" s="377"/>
      <c r="N20" s="382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1331"/>
      <c r="H21" s="472"/>
      <c r="I21" s="472"/>
      <c r="J21" s="551"/>
      <c r="K21" s="428"/>
      <c r="L21" s="377"/>
      <c r="N21" s="382"/>
      <c r="O21" s="382"/>
    </row>
    <row r="22" spans="1:15">
      <c r="A22" s="1137" t="s">
        <v>145</v>
      </c>
      <c r="B22" s="589"/>
      <c r="C22" s="589"/>
      <c r="D22" s="523" t="s">
        <v>146</v>
      </c>
      <c r="E22" s="484">
        <f>'20'!F22</f>
        <v>2970</v>
      </c>
      <c r="F22" s="484">
        <v>2970</v>
      </c>
      <c r="G22" s="1330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7" t="s">
        <v>147</v>
      </c>
      <c r="B23" s="589"/>
      <c r="C23" s="589"/>
      <c r="D23" s="523" t="s">
        <v>146</v>
      </c>
      <c r="E23" s="484">
        <f>'20'!F23</f>
        <v>2000</v>
      </c>
      <c r="F23" s="484">
        <v>2000</v>
      </c>
      <c r="G23" s="1330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148</v>
      </c>
      <c r="B24" s="591"/>
      <c r="C24" s="591"/>
      <c r="D24" s="511" t="s">
        <v>146</v>
      </c>
      <c r="E24" s="493">
        <f>'20'!F24</f>
        <v>4970</v>
      </c>
      <c r="F24" s="493">
        <v>4970</v>
      </c>
      <c r="G24" s="1330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133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133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21222.559999999998</v>
      </c>
      <c r="F27" s="501">
        <v>9</v>
      </c>
      <c r="G27" s="1336">
        <f>E27*F27</f>
        <v>191003.03999999998</v>
      </c>
      <c r="H27" s="460">
        <f>G27+'20'!H27</f>
        <v>4185945.3600000003</v>
      </c>
      <c r="I27" s="503"/>
      <c r="J27" s="552">
        <f>H27/DAY(B2)</f>
        <v>199330.73142857145</v>
      </c>
      <c r="K27" s="373"/>
      <c r="L27" s="443"/>
      <c r="N27" s="444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1">
        <f>G15</f>
        <v>926.71999999997206</v>
      </c>
      <c r="F28" s="501">
        <v>52</v>
      </c>
      <c r="G28" s="1336">
        <f t="shared" ref="G28:G30" si="3">E28*F28</f>
        <v>48189.439999998547</v>
      </c>
      <c r="H28" s="460">
        <f>G28+'20'!H28</f>
        <v>906605.43999999855</v>
      </c>
      <c r="I28" s="505"/>
      <c r="J28" s="552">
        <f>H28/DAY(B2)</f>
        <v>43171.687619047552</v>
      </c>
      <c r="K28" s="373"/>
      <c r="L28" s="443"/>
      <c r="N28" s="444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1">
        <f>G24</f>
        <v>0</v>
      </c>
      <c r="F29" s="501">
        <v>69</v>
      </c>
      <c r="G29" s="1336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1">
        <f>G19</f>
        <v>75</v>
      </c>
      <c r="F30" s="501">
        <v>146</v>
      </c>
      <c r="G30" s="1336">
        <f t="shared" si="3"/>
        <v>10950</v>
      </c>
      <c r="H30" s="460">
        <f>G30+'20'!H30</f>
        <v>181478</v>
      </c>
      <c r="I30" s="505"/>
      <c r="J30" s="552">
        <f>H30/DAY(B2)</f>
        <v>8641.8095238095229</v>
      </c>
      <c r="K30" s="373"/>
      <c r="L30" s="443"/>
      <c r="N30" s="444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1">
        <f>G18</f>
        <v>100</v>
      </c>
      <c r="F31" s="501">
        <v>80</v>
      </c>
      <c r="G31" s="1336">
        <f>E31*F31</f>
        <v>8000</v>
      </c>
      <c r="H31" s="460">
        <f>G31+'20'!H31</f>
        <v>220000</v>
      </c>
      <c r="I31" s="505"/>
      <c r="J31" s="552">
        <f>H31/DAY(B2)</f>
        <v>10476.190476190477</v>
      </c>
      <c r="K31" s="373"/>
      <c r="L31" s="443"/>
      <c r="N31" s="444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1337">
        <f>G27+G28+G29+G30+G31</f>
        <v>258142.47999999853</v>
      </c>
      <c r="H32" s="460">
        <f>G32+'20'!H32</f>
        <v>5494028.7999999989</v>
      </c>
      <c r="I32" s="509"/>
      <c r="J32" s="552">
        <f>H32/DAY(B2)</f>
        <v>261620.41904761898</v>
      </c>
      <c r="K32" s="373"/>
      <c r="L32" s="443"/>
      <c r="N32" s="444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  <c r="O33" s="382"/>
    </row>
    <row r="34" spans="1:15">
      <c r="A34" s="598" t="s">
        <v>161</v>
      </c>
      <c r="B34" s="1142"/>
      <c r="C34" s="1142"/>
      <c r="D34" s="472"/>
      <c r="E34" s="471"/>
      <c r="F34" s="471"/>
      <c r="G34" s="133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162</v>
      </c>
      <c r="B35" s="579"/>
      <c r="C35" s="579"/>
      <c r="D35" s="523" t="s">
        <v>130</v>
      </c>
      <c r="E35" s="510">
        <f>'20'!F35</f>
        <v>1058597</v>
      </c>
      <c r="F35" s="510">
        <v>1058597</v>
      </c>
      <c r="G35" s="1328">
        <f t="shared" ref="G35:G46" si="4">F35-E35</f>
        <v>0</v>
      </c>
      <c r="H35" s="460">
        <f>G35+'20'!H35</f>
        <v>29883</v>
      </c>
      <c r="I35" s="455"/>
      <c r="J35" s="552">
        <f>H35/DAY(B2)</f>
        <v>1423</v>
      </c>
      <c r="K35" s="428">
        <v>1520.2800000000279</v>
      </c>
      <c r="L35" s="377">
        <f t="shared" ref="L35:L60" si="5">G35-K35</f>
        <v>-1520.2800000000279</v>
      </c>
      <c r="N35" s="382"/>
      <c r="O35" s="628"/>
    </row>
    <row r="36" spans="1:15">
      <c r="A36" s="578" t="s">
        <v>163</v>
      </c>
      <c r="B36" s="579"/>
      <c r="C36" s="579"/>
      <c r="D36" s="523" t="s">
        <v>130</v>
      </c>
      <c r="E36" s="510">
        <f>'20'!F36</f>
        <v>38264.519999999997</v>
      </c>
      <c r="F36" s="510">
        <v>39023.919999999998</v>
      </c>
      <c r="G36" s="1328">
        <f t="shared" si="4"/>
        <v>759.40000000000146</v>
      </c>
      <c r="H36" s="460">
        <f>G36+'20'!H36</f>
        <v>18562.919999999998</v>
      </c>
      <c r="I36" s="455"/>
      <c r="J36" s="552">
        <f>H36/DAY(B2)</f>
        <v>883.94857142857131</v>
      </c>
      <c r="K36" s="428">
        <v>485.22000000000116</v>
      </c>
      <c r="L36" s="377">
        <f t="shared" si="5"/>
        <v>274.18000000000029</v>
      </c>
      <c r="N36" s="382"/>
      <c r="O36" s="628"/>
    </row>
    <row r="37" spans="1:15">
      <c r="A37" s="578" t="s">
        <v>164</v>
      </c>
      <c r="B37" s="579"/>
      <c r="C37" s="579"/>
      <c r="D37" s="523" t="s">
        <v>130</v>
      </c>
      <c r="E37" s="510">
        <f>'20'!F37</f>
        <v>208225.97</v>
      </c>
      <c r="F37" s="510">
        <v>209828.89</v>
      </c>
      <c r="G37" s="1328">
        <f t="shared" si="4"/>
        <v>1602.9200000000128</v>
      </c>
      <c r="H37" s="460">
        <f>G37+'20'!H37</f>
        <v>33258.890000000014</v>
      </c>
      <c r="I37" s="455"/>
      <c r="J37" s="552">
        <f>H37/DAY(B2)</f>
        <v>1583.7566666666673</v>
      </c>
      <c r="K37" s="428">
        <v>1194.8999999999942</v>
      </c>
      <c r="L37" s="377">
        <f t="shared" si="5"/>
        <v>408.02000000001863</v>
      </c>
      <c r="N37" s="382"/>
      <c r="O37" s="382"/>
    </row>
    <row r="38" spans="1:15">
      <c r="A38" s="578" t="s">
        <v>165</v>
      </c>
      <c r="B38" s="579"/>
      <c r="C38" s="579"/>
      <c r="D38" s="523" t="s">
        <v>130</v>
      </c>
      <c r="E38" s="469">
        <f>'20'!F38</f>
        <v>230906.93</v>
      </c>
      <c r="F38" s="469">
        <v>232484.91</v>
      </c>
      <c r="G38" s="1328">
        <f t="shared" si="4"/>
        <v>1577.9800000000105</v>
      </c>
      <c r="H38" s="460">
        <f>G38+'20'!H38</f>
        <v>34025.910000000003</v>
      </c>
      <c r="I38" s="455"/>
      <c r="J38" s="552">
        <f>H38/DAY(B2)</f>
        <v>1620.2814285714287</v>
      </c>
      <c r="K38" s="428">
        <v>0</v>
      </c>
      <c r="L38" s="377">
        <f t="shared" si="5"/>
        <v>1577.9800000000105</v>
      </c>
      <c r="N38" s="382"/>
      <c r="O38" s="382"/>
    </row>
    <row r="39" spans="1:15">
      <c r="A39" s="578" t="s">
        <v>166</v>
      </c>
      <c r="B39" s="579"/>
      <c r="C39" s="579"/>
      <c r="D39" s="523" t="s">
        <v>130</v>
      </c>
      <c r="E39" s="510">
        <f>'20'!F39</f>
        <v>478850.43</v>
      </c>
      <c r="F39" s="510">
        <v>482591.95</v>
      </c>
      <c r="G39" s="1328">
        <f t="shared" si="4"/>
        <v>3741.5200000000186</v>
      </c>
      <c r="H39" s="460">
        <f>G39+'20'!H39</f>
        <v>77727.950000000012</v>
      </c>
      <c r="I39" s="455"/>
      <c r="J39" s="552">
        <f>H39/DAY(B2)</f>
        <v>3701.330952380953</v>
      </c>
      <c r="K39" s="428">
        <v>2147.359999999986</v>
      </c>
      <c r="L39" s="377">
        <f t="shared" si="5"/>
        <v>1594.1600000000326</v>
      </c>
      <c r="N39" s="382"/>
      <c r="O39" s="382"/>
    </row>
    <row r="40" spans="1:15">
      <c r="A40" s="599" t="s">
        <v>167</v>
      </c>
      <c r="B40" s="600"/>
      <c r="C40" s="600"/>
      <c r="D40" s="523" t="s">
        <v>130</v>
      </c>
      <c r="E40" s="510">
        <f>'20'!F40</f>
        <v>15145.89</v>
      </c>
      <c r="F40" s="510">
        <v>15413.4</v>
      </c>
      <c r="G40" s="1328">
        <f t="shared" si="4"/>
        <v>267.51000000000022</v>
      </c>
      <c r="H40" s="460">
        <f>G40+'20'!H40</f>
        <v>8300.4</v>
      </c>
      <c r="I40" s="455"/>
      <c r="J40" s="552">
        <f>H40/DAY(B2)</f>
        <v>395.25714285714287</v>
      </c>
      <c r="K40" s="429">
        <v>0</v>
      </c>
      <c r="L40" s="377">
        <f t="shared" si="5"/>
        <v>267.51000000000022</v>
      </c>
      <c r="N40" s="382"/>
      <c r="O40" s="382"/>
    </row>
    <row r="41" spans="1:15">
      <c r="A41" s="578" t="s">
        <v>168</v>
      </c>
      <c r="B41" s="579"/>
      <c r="C41" s="579"/>
      <c r="D41" s="523" t="s">
        <v>130</v>
      </c>
      <c r="E41" s="510">
        <f>'20'!F41</f>
        <v>365502.35</v>
      </c>
      <c r="F41" s="510">
        <v>365502.35</v>
      </c>
      <c r="G41" s="1328">
        <f t="shared" si="4"/>
        <v>0</v>
      </c>
      <c r="H41" s="460">
        <f>G41+'20'!H41</f>
        <v>35860.349999999977</v>
      </c>
      <c r="I41" s="455"/>
      <c r="J41" s="552">
        <f>H41/DAY(B2)</f>
        <v>1707.6357142857132</v>
      </c>
      <c r="K41" s="428">
        <v>0</v>
      </c>
      <c r="L41" s="377">
        <f t="shared" si="5"/>
        <v>0</v>
      </c>
      <c r="N41" s="382"/>
      <c r="O41" s="721"/>
    </row>
    <row r="42" spans="1:15">
      <c r="A42" s="578" t="s">
        <v>169</v>
      </c>
      <c r="B42" s="579"/>
      <c r="C42" s="579"/>
      <c r="D42" s="523" t="s">
        <v>130</v>
      </c>
      <c r="E42" s="510">
        <f>'20'!F42</f>
        <v>85160.57</v>
      </c>
      <c r="F42" s="510">
        <v>89172.1</v>
      </c>
      <c r="G42" s="1328">
        <f t="shared" si="4"/>
        <v>4011.5299999999988</v>
      </c>
      <c r="H42" s="460">
        <f>G42+'20'!H42</f>
        <v>29973.210000000006</v>
      </c>
      <c r="I42" s="455"/>
      <c r="J42" s="552">
        <f>H42/DAY(B2)</f>
        <v>1427.2957142857147</v>
      </c>
      <c r="K42" s="428">
        <v>3228.5699999999997</v>
      </c>
      <c r="L42" s="377">
        <f t="shared" si="5"/>
        <v>782.95999999999913</v>
      </c>
      <c r="N42" s="382"/>
      <c r="O42" s="382"/>
    </row>
    <row r="43" spans="1:15">
      <c r="A43" s="578" t="s">
        <v>170</v>
      </c>
      <c r="B43" s="579"/>
      <c r="C43" s="579"/>
      <c r="D43" s="523" t="s">
        <v>130</v>
      </c>
      <c r="E43" s="510">
        <f>'20'!F43</f>
        <v>1174494.7</v>
      </c>
      <c r="F43" s="510">
        <v>1177047.3</v>
      </c>
      <c r="G43" s="1328">
        <f t="shared" si="4"/>
        <v>2552.6000000000931</v>
      </c>
      <c r="H43" s="460">
        <f>G43+'20'!H43</f>
        <v>56595.300000000047</v>
      </c>
      <c r="I43" s="455"/>
      <c r="J43" s="552">
        <f>H43/DAY(B2)</f>
        <v>2695.0142857142878</v>
      </c>
      <c r="K43" s="428">
        <v>1595.679999999993</v>
      </c>
      <c r="L43" s="377">
        <f t="shared" si="5"/>
        <v>956.92000000010012</v>
      </c>
      <c r="N43" s="382"/>
      <c r="O43" s="382"/>
    </row>
    <row r="44" spans="1:15">
      <c r="A44" s="578" t="s">
        <v>171</v>
      </c>
      <c r="B44" s="579"/>
      <c r="C44" s="579"/>
      <c r="D44" s="523" t="s">
        <v>130</v>
      </c>
      <c r="E44" s="510">
        <f>'20'!F44</f>
        <v>0</v>
      </c>
      <c r="F44" s="510">
        <v>0</v>
      </c>
      <c r="G44" s="1328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172</v>
      </c>
      <c r="B45" s="579"/>
      <c r="C45" s="579"/>
      <c r="D45" s="523" t="s">
        <v>130</v>
      </c>
      <c r="E45" s="510">
        <f>'20'!F45</f>
        <v>614</v>
      </c>
      <c r="F45" s="510">
        <v>614</v>
      </c>
      <c r="G45" s="1328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173</v>
      </c>
      <c r="B46" s="579"/>
      <c r="C46" s="579"/>
      <c r="D46" s="523" t="s">
        <v>130</v>
      </c>
      <c r="E46" s="510">
        <f>'20'!F46</f>
        <v>187</v>
      </c>
      <c r="F46" s="510">
        <v>187</v>
      </c>
      <c r="G46" s="1328">
        <f t="shared" si="4"/>
        <v>0</v>
      </c>
      <c r="H46" s="460">
        <f>G46+'20'!H46</f>
        <v>-0.49000000000000909</v>
      </c>
      <c r="I46" s="455"/>
      <c r="J46" s="552">
        <f>H46/DAY(B2)</f>
        <v>-2.3333333333333768E-2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174</v>
      </c>
      <c r="B47" s="586"/>
      <c r="C47" s="586"/>
      <c r="D47" s="470"/>
      <c r="E47" s="511"/>
      <c r="F47" s="511"/>
      <c r="G47" s="1330">
        <f>G35+G36+G37+G38+G39+G40+G41+G42+G43+G44+G45+G46</f>
        <v>14513.460000000136</v>
      </c>
      <c r="H47" s="460">
        <f>G47+'20'!H47</f>
        <v>324988.93000000005</v>
      </c>
      <c r="I47" s="455"/>
      <c r="J47" s="552">
        <f>H47/DAY(B2)</f>
        <v>15475.663333333336</v>
      </c>
      <c r="K47" s="428">
        <v>10172.060000000001</v>
      </c>
      <c r="L47" s="377">
        <f t="shared" si="5"/>
        <v>4341.4000000001342</v>
      </c>
      <c r="N47" s="382"/>
      <c r="O47" s="382"/>
    </row>
    <row r="48" spans="1:15">
      <c r="A48" s="598" t="s">
        <v>175</v>
      </c>
      <c r="B48" s="1142"/>
      <c r="C48" s="1142"/>
      <c r="D48" s="472"/>
      <c r="E48" s="471"/>
      <c r="F48" s="471"/>
      <c r="G48" s="1338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162</v>
      </c>
      <c r="B49" s="601"/>
      <c r="C49" s="601"/>
      <c r="D49" s="523" t="s">
        <v>130</v>
      </c>
      <c r="E49" s="510">
        <f>'20'!F49</f>
        <v>291183.21000000002</v>
      </c>
      <c r="F49" s="510">
        <v>294020.75</v>
      </c>
      <c r="G49" s="1328">
        <f t="shared" ref="G49:G58" si="6">F49-E49</f>
        <v>2837.539999999979</v>
      </c>
      <c r="H49" s="460">
        <f>G49+'20'!H49</f>
        <v>33256.75</v>
      </c>
      <c r="I49" s="455"/>
      <c r="J49" s="552">
        <f>H49/DAY(B2)</f>
        <v>1583.6547619047619</v>
      </c>
      <c r="K49" s="428">
        <v>0</v>
      </c>
      <c r="L49" s="377">
        <f t="shared" si="5"/>
        <v>2837.539999999979</v>
      </c>
      <c r="N49" s="382"/>
      <c r="O49" s="382"/>
    </row>
    <row r="50" spans="1:15">
      <c r="A50" s="578" t="s">
        <v>176</v>
      </c>
      <c r="B50" s="601"/>
      <c r="C50" s="601"/>
      <c r="D50" s="523" t="s">
        <v>130</v>
      </c>
      <c r="E50" s="510">
        <f>'20'!F50</f>
        <v>558685.75</v>
      </c>
      <c r="F50" s="510">
        <v>559700.67000000004</v>
      </c>
      <c r="G50" s="1328">
        <f>F50-E50</f>
        <v>1014.9200000000419</v>
      </c>
      <c r="H50" s="460">
        <f>G50+'20'!H50</f>
        <v>23944.670000000042</v>
      </c>
      <c r="I50" s="455"/>
      <c r="J50" s="552">
        <f>H50/DAY(B2)</f>
        <v>1140.222380952383</v>
      </c>
      <c r="K50" s="428">
        <v>700.86999999999534</v>
      </c>
      <c r="L50" s="377">
        <f t="shared" si="5"/>
        <v>314.05000000004657</v>
      </c>
      <c r="N50" s="382"/>
      <c r="O50" s="382"/>
    </row>
    <row r="51" spans="1:15">
      <c r="A51" s="578" t="s">
        <v>164</v>
      </c>
      <c r="B51" s="601"/>
      <c r="C51" s="601"/>
      <c r="D51" s="523" t="s">
        <v>130</v>
      </c>
      <c r="E51" s="510">
        <f>'20'!F51</f>
        <v>144640</v>
      </c>
      <c r="F51" s="510">
        <v>144640</v>
      </c>
      <c r="G51" s="1328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177</v>
      </c>
      <c r="B52" s="601"/>
      <c r="C52" s="601"/>
      <c r="D52" s="523" t="s">
        <v>130</v>
      </c>
      <c r="E52" s="510">
        <f>'20'!F52</f>
        <v>539606</v>
      </c>
      <c r="F52" s="510">
        <v>539606.06999999995</v>
      </c>
      <c r="G52" s="1328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1"/>
    </row>
    <row r="53" spans="1:15">
      <c r="A53" s="578" t="s">
        <v>166</v>
      </c>
      <c r="B53" s="601"/>
      <c r="C53" s="601"/>
      <c r="D53" s="523" t="s">
        <v>130</v>
      </c>
      <c r="E53" s="510">
        <f>'20'!F53</f>
        <v>434231.59</v>
      </c>
      <c r="F53" s="510">
        <v>434231.59</v>
      </c>
      <c r="G53" s="1328">
        <f t="shared" si="6"/>
        <v>0</v>
      </c>
      <c r="H53" s="460">
        <f>G53+'20'!H53</f>
        <v>-0.73999999999068677</v>
      </c>
      <c r="I53" s="455"/>
      <c r="J53" s="552">
        <f>H53/DAY(B2)</f>
        <v>-3.523809523765175E-2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178</v>
      </c>
      <c r="B54" s="601"/>
      <c r="C54" s="601"/>
      <c r="D54" s="523" t="s">
        <v>130</v>
      </c>
      <c r="E54" s="510">
        <f>'20'!F54</f>
        <v>14967</v>
      </c>
      <c r="F54" s="510">
        <v>14967</v>
      </c>
      <c r="G54" s="1328">
        <f t="shared" si="6"/>
        <v>0</v>
      </c>
      <c r="H54" s="460">
        <f>G54+'20'!H54</f>
        <v>0</v>
      </c>
      <c r="I54" s="455"/>
      <c r="J54" s="552">
        <f>H54/DAY(B2)</f>
        <v>0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179</v>
      </c>
      <c r="B55" s="601"/>
      <c r="C55" s="601"/>
      <c r="D55" s="523" t="s">
        <v>130</v>
      </c>
      <c r="E55" s="510">
        <f>'20'!F55</f>
        <v>191040.47</v>
      </c>
      <c r="F55" s="510">
        <v>193307.01</v>
      </c>
      <c r="G55" s="1328">
        <f t="shared" si="6"/>
        <v>2266.5400000000081</v>
      </c>
      <c r="H55" s="460">
        <f>G55+'20'!H55</f>
        <v>70097.010000000009</v>
      </c>
      <c r="I55" s="455"/>
      <c r="J55" s="552">
        <f>H55/DAY(B2)</f>
        <v>3337.9528571428577</v>
      </c>
      <c r="K55" s="428">
        <v>0</v>
      </c>
      <c r="L55" s="377">
        <f t="shared" si="5"/>
        <v>2266.5400000000081</v>
      </c>
      <c r="N55" s="382"/>
      <c r="O55" s="382"/>
    </row>
    <row r="56" spans="1:15" s="441" customFormat="1">
      <c r="A56" s="1100" t="s">
        <v>180</v>
      </c>
      <c r="B56" s="1101"/>
      <c r="C56" s="1101"/>
      <c r="D56" s="627" t="s">
        <v>181</v>
      </c>
      <c r="E56" s="653">
        <f>'20'!F56</f>
        <v>649241.15</v>
      </c>
      <c r="F56" s="653">
        <v>649252.18999999994</v>
      </c>
      <c r="G56" s="1349">
        <f t="shared" si="6"/>
        <v>11.039999999920838</v>
      </c>
      <c r="H56" s="705">
        <f>G56+'20'!H56</f>
        <v>210.18999999994412</v>
      </c>
      <c r="I56" s="706"/>
      <c r="J56" s="707">
        <f>H56/DAY(B2)</f>
        <v>10.009047619044958</v>
      </c>
      <c r="K56" s="1354">
        <v>0</v>
      </c>
      <c r="L56" s="1103">
        <f t="shared" si="5"/>
        <v>11.039999999920838</v>
      </c>
      <c r="N56" s="713"/>
      <c r="O56" s="713"/>
    </row>
    <row r="57" spans="1:15">
      <c r="A57" s="578" t="s">
        <v>170</v>
      </c>
      <c r="B57" s="601"/>
      <c r="C57" s="601"/>
      <c r="D57" s="523" t="s">
        <v>130</v>
      </c>
      <c r="E57" s="510">
        <f>'20'!F57</f>
        <v>7711</v>
      </c>
      <c r="F57" s="510">
        <v>7711</v>
      </c>
      <c r="G57" s="1328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182</v>
      </c>
      <c r="B58" s="601"/>
      <c r="C58" s="601"/>
      <c r="D58" s="523" t="s">
        <v>130</v>
      </c>
      <c r="E58" s="510">
        <f>'20'!F58</f>
        <v>57425.74</v>
      </c>
      <c r="F58" s="510">
        <v>57648.63</v>
      </c>
      <c r="G58" s="1328">
        <f t="shared" si="6"/>
        <v>222.88999999999942</v>
      </c>
      <c r="H58" s="460">
        <f>G58+'20'!H58</f>
        <v>3468.6299999999974</v>
      </c>
      <c r="I58" s="455"/>
      <c r="J58" s="552">
        <f>H58/DAY(B2)</f>
        <v>165.17285714285703</v>
      </c>
      <c r="K58" s="428">
        <v>0</v>
      </c>
      <c r="L58" s="377">
        <f t="shared" si="5"/>
        <v>222.88999999999942</v>
      </c>
      <c r="N58" s="382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1330">
        <f>G49+G50+G51+G52+G53+G54+G55+G56+G57+G58</f>
        <v>6352.9999999998981</v>
      </c>
      <c r="H59" s="460">
        <f>G59+'20'!H59</f>
        <v>130976.57999999994</v>
      </c>
      <c r="I59" s="455">
        <f>G7-G60</f>
        <v>252.24999999992724</v>
      </c>
      <c r="J59" s="552">
        <f>H59/DAY(B2)</f>
        <v>6236.9799999999977</v>
      </c>
      <c r="K59" s="428">
        <v>1794.4499999999771</v>
      </c>
      <c r="L59" s="377">
        <f t="shared" si="5"/>
        <v>4558.5499999999211</v>
      </c>
      <c r="N59" s="382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1330">
        <f>G47+G59</f>
        <v>20866.460000000036</v>
      </c>
      <c r="H60" s="460">
        <f>G60+'20'!H60</f>
        <v>462868.84</v>
      </c>
      <c r="I60" s="455">
        <f>G13-G60</f>
        <v>-419.06000000012864</v>
      </c>
      <c r="J60" s="552">
        <f>H60/DAY(B2)</f>
        <v>22041.373333333333</v>
      </c>
      <c r="K60" s="428">
        <v>11966.509999999978</v>
      </c>
      <c r="L60" s="377">
        <f t="shared" si="5"/>
        <v>8899.9500000000571</v>
      </c>
      <c r="N60" s="382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1339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f>'20'!F62</f>
        <v>20419.2</v>
      </c>
      <c r="F62" s="514">
        <v>20419.2</v>
      </c>
      <c r="G62" s="1328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186</v>
      </c>
      <c r="B63" s="604"/>
      <c r="C63" s="604"/>
      <c r="D63" s="511" t="s">
        <v>185</v>
      </c>
      <c r="E63" s="514">
        <f>'20'!F63</f>
        <v>0</v>
      </c>
      <c r="F63" s="514">
        <v>0</v>
      </c>
      <c r="G63" s="1328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84">
        <f>'20'!F64</f>
        <v>177804.47</v>
      </c>
      <c r="F64" s="484">
        <v>178152.49</v>
      </c>
      <c r="G64" s="1328">
        <f t="shared" si="7"/>
        <v>348.01999999998952</v>
      </c>
      <c r="H64" s="460">
        <f>G64+'20'!H64</f>
        <v>8130.4899999999907</v>
      </c>
      <c r="I64" s="480"/>
      <c r="J64" s="552">
        <f>H64/DAY(B2)</f>
        <v>387.16619047619002</v>
      </c>
      <c r="K64" s="428"/>
      <c r="L64" s="377"/>
      <c r="N64" s="382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84">
        <f>'20'!F65</f>
        <v>177910.09</v>
      </c>
      <c r="F65" s="484">
        <v>178292.59</v>
      </c>
      <c r="G65" s="1328">
        <f t="shared" si="7"/>
        <v>382.5</v>
      </c>
      <c r="H65" s="460">
        <f>G65+'20'!H65</f>
        <v>7990.5899999999965</v>
      </c>
      <c r="I65" s="489"/>
      <c r="J65" s="552">
        <f>H65/DAY(B2)</f>
        <v>380.50428571428557</v>
      </c>
      <c r="K65" s="428"/>
      <c r="L65" s="377"/>
      <c r="N65" s="382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84">
        <f>'20'!F66</f>
        <v>76217.929999999993</v>
      </c>
      <c r="F66" s="484">
        <v>76625.75</v>
      </c>
      <c r="G66" s="1328">
        <f t="shared" si="7"/>
        <v>407.82000000000698</v>
      </c>
      <c r="H66" s="460">
        <f>G66+'20'!H66</f>
        <v>8655.75</v>
      </c>
      <c r="I66" s="480"/>
      <c r="J66" s="552">
        <f>H66/DAY(B2)</f>
        <v>412.17857142857144</v>
      </c>
      <c r="K66" s="428"/>
      <c r="L66" s="377"/>
      <c r="N66" s="382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84">
        <f>'20'!F67</f>
        <v>274426.67</v>
      </c>
      <c r="F67" s="484">
        <v>274928.11</v>
      </c>
      <c r="G67" s="1328">
        <f t="shared" si="7"/>
        <v>501.44000000000233</v>
      </c>
      <c r="H67" s="460">
        <f>G67+'20'!H67</f>
        <v>9969.109999999986</v>
      </c>
      <c r="I67" s="489"/>
      <c r="J67" s="552">
        <f>H67/DAY(B2)</f>
        <v>474.71952380952314</v>
      </c>
      <c r="K67" s="429"/>
      <c r="L67" s="377"/>
      <c r="N67" s="382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84">
        <f>'20'!F68</f>
        <v>85321</v>
      </c>
      <c r="F68" s="484">
        <v>85321</v>
      </c>
      <c r="G68" s="1328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84">
        <f>'20'!F69</f>
        <v>92936.63</v>
      </c>
      <c r="F69" s="484">
        <v>93221.18</v>
      </c>
      <c r="G69" s="1328">
        <f t="shared" si="7"/>
        <v>284.54999999998836</v>
      </c>
      <c r="H69" s="460">
        <f>G69+'20'!H69</f>
        <v>5706.179999999993</v>
      </c>
      <c r="I69" s="516"/>
      <c r="J69" s="552">
        <f>H69/DAY(B2)</f>
        <v>271.72285714285681</v>
      </c>
      <c r="K69" s="431"/>
      <c r="L69" s="377"/>
      <c r="N69" s="382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1340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519">
        <f>'20'!F72</f>
        <v>856472</v>
      </c>
      <c r="F72" s="519">
        <v>856485</v>
      </c>
      <c r="G72" s="1328">
        <f t="shared" ref="G72:G84" si="8">F72-E72</f>
        <v>13</v>
      </c>
      <c r="H72" s="460">
        <f>G72+'20'!H72</f>
        <v>250</v>
      </c>
      <c r="I72" s="480"/>
      <c r="J72" s="552">
        <f>H72/DAY(B2)</f>
        <v>11.904761904761905</v>
      </c>
      <c r="K72" s="431"/>
      <c r="L72" s="377"/>
      <c r="N72" s="382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520">
        <f>'20'!F73</f>
        <v>886000</v>
      </c>
      <c r="F73" s="520">
        <v>886001</v>
      </c>
      <c r="G73" s="1328">
        <f t="shared" si="8"/>
        <v>1</v>
      </c>
      <c r="H73" s="460">
        <f>G73+'20'!H73</f>
        <v>167</v>
      </c>
      <c r="I73" s="480"/>
      <c r="J73" s="552">
        <f>H73/DAY(B2)</f>
        <v>7.9523809523809526</v>
      </c>
      <c r="K73" s="430"/>
      <c r="L73" s="377"/>
      <c r="N73" s="382"/>
      <c r="O73" s="382"/>
    </row>
    <row r="74" spans="1:15" ht="27.75">
      <c r="A74" s="1625" t="s">
        <v>191</v>
      </c>
      <c r="B74" s="1626"/>
      <c r="C74" s="1627"/>
      <c r="D74" s="523" t="s">
        <v>185</v>
      </c>
      <c r="E74" s="521">
        <f>'20'!F74</f>
        <v>88719.3</v>
      </c>
      <c r="F74" s="521">
        <v>88720.6</v>
      </c>
      <c r="G74" s="1328">
        <f t="shared" si="8"/>
        <v>1.3000000000029104</v>
      </c>
      <c r="H74" s="460">
        <f>G74+'20'!H74</f>
        <v>58.600000000005821</v>
      </c>
      <c r="I74" s="480"/>
      <c r="J74" s="552">
        <f>H74/DAY(B2)</f>
        <v>2.7904761904764674</v>
      </c>
      <c r="K74" s="431"/>
      <c r="L74" s="377"/>
      <c r="N74" s="382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521">
        <f>'20'!F75</f>
        <v>19191.63</v>
      </c>
      <c r="F75" s="521">
        <v>19344.88</v>
      </c>
      <c r="G75" s="1328">
        <f t="shared" si="8"/>
        <v>153.25</v>
      </c>
      <c r="H75" s="460">
        <f>G75+'20'!H75</f>
        <v>3273.880000000001</v>
      </c>
      <c r="I75" s="480"/>
      <c r="J75" s="552">
        <f>H75/DAY(B2)</f>
        <v>155.89904761904768</v>
      </c>
      <c r="K75" s="430"/>
      <c r="L75" s="377"/>
      <c r="N75" s="382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520">
        <f>'20'!F76</f>
        <v>10640.9</v>
      </c>
      <c r="F76" s="646">
        <v>10710.35</v>
      </c>
      <c r="G76" s="1328">
        <f t="shared" si="8"/>
        <v>69.450000000000728</v>
      </c>
      <c r="H76" s="460">
        <f>G76+'20'!H76</f>
        <v>2491.3500000000004</v>
      </c>
      <c r="I76" s="505"/>
      <c r="J76" s="552">
        <f>H76/DAY(B2)</f>
        <v>118.6357142857143</v>
      </c>
      <c r="K76" s="430"/>
      <c r="L76" s="377"/>
      <c r="N76" s="382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521">
        <f>'20'!F77</f>
        <v>705626</v>
      </c>
      <c r="F77" s="521">
        <v>705719</v>
      </c>
      <c r="G77" s="1328">
        <f t="shared" si="8"/>
        <v>93</v>
      </c>
      <c r="H77" s="460">
        <f>G77+'20'!H77</f>
        <v>1345</v>
      </c>
      <c r="I77" s="505"/>
      <c r="J77" s="552">
        <f>H77/DAY(B2)</f>
        <v>64.047619047619051</v>
      </c>
      <c r="K77" s="430"/>
      <c r="L77" s="377"/>
      <c r="N77" s="382"/>
      <c r="O77" s="382"/>
    </row>
    <row r="78" spans="1:15" ht="27.75">
      <c r="A78" s="1140" t="s">
        <v>195</v>
      </c>
      <c r="B78" s="1113"/>
      <c r="C78" s="1113"/>
      <c r="D78" s="523" t="s">
        <v>185</v>
      </c>
      <c r="E78" s="521">
        <f>'20'!F78</f>
        <v>677372</v>
      </c>
      <c r="F78" s="521">
        <v>677498</v>
      </c>
      <c r="G78" s="1328">
        <f t="shared" si="8"/>
        <v>126</v>
      </c>
      <c r="H78" s="460">
        <f>G78+'20'!H78</f>
        <v>2084</v>
      </c>
      <c r="I78" s="505"/>
      <c r="J78" s="552">
        <f>H78/DAY(B2)</f>
        <v>99.238095238095241</v>
      </c>
      <c r="K78" s="430"/>
      <c r="L78" s="377"/>
      <c r="N78" s="382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521">
        <f>'20'!F79</f>
        <v>838574</v>
      </c>
      <c r="F79" s="521">
        <v>838729</v>
      </c>
      <c r="G79" s="1328">
        <f t="shared" si="8"/>
        <v>155</v>
      </c>
      <c r="H79" s="460">
        <f>G79+'20'!H79</f>
        <v>2575</v>
      </c>
      <c r="I79" s="505"/>
      <c r="J79" s="552">
        <f>H79/DAY(B2)</f>
        <v>122.61904761904762</v>
      </c>
      <c r="K79" s="430"/>
      <c r="L79" s="377"/>
      <c r="N79" s="382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520">
        <f>'20'!F80</f>
        <v>547596.28</v>
      </c>
      <c r="F80" s="520">
        <v>548018</v>
      </c>
      <c r="G80" s="1328">
        <f t="shared" si="8"/>
        <v>421.71999999997206</v>
      </c>
      <c r="H80" s="460">
        <f>G80+'20'!H80</f>
        <v>5627</v>
      </c>
      <c r="I80" s="505"/>
      <c r="J80" s="552">
        <f>H80/DAY(B2)</f>
        <v>267.95238095238096</v>
      </c>
      <c r="K80" s="430"/>
      <c r="L80" s="377"/>
      <c r="N80" s="382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520">
        <f>'20'!F81</f>
        <v>646912.04</v>
      </c>
      <c r="F81" s="520">
        <v>647097</v>
      </c>
      <c r="G81" s="1328">
        <f t="shared" si="8"/>
        <v>184.95999999996275</v>
      </c>
      <c r="H81" s="460">
        <f>G81+'20'!H81</f>
        <v>4112</v>
      </c>
      <c r="I81" s="505"/>
      <c r="J81" s="552">
        <f>H81/DAY(B2)</f>
        <v>195.8095238095238</v>
      </c>
      <c r="K81" s="430"/>
      <c r="L81" s="377"/>
      <c r="N81" s="382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522">
        <f>'20'!F82</f>
        <v>109102.07</v>
      </c>
      <c r="F82" s="522">
        <v>109128.52</v>
      </c>
      <c r="G82" s="1328">
        <f t="shared" si="8"/>
        <v>26.44999999999709</v>
      </c>
      <c r="H82" s="460">
        <f>G82+'20'!H82</f>
        <v>447.52000000000407</v>
      </c>
      <c r="I82" s="486"/>
      <c r="J82" s="552">
        <f>H82/DAY(B2)</f>
        <v>21.310476190476386</v>
      </c>
      <c r="K82" s="430"/>
      <c r="L82" s="377"/>
      <c r="N82" s="382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511">
        <f>'20'!F83</f>
        <v>32328</v>
      </c>
      <c r="F83" s="511">
        <v>32534</v>
      </c>
      <c r="G83" s="1328">
        <f t="shared" si="8"/>
        <v>206</v>
      </c>
      <c r="H83" s="460">
        <f>G83+'20'!H83</f>
        <v>4983</v>
      </c>
      <c r="I83" s="481"/>
      <c r="J83" s="552">
        <f>H83/DAY(B2)</f>
        <v>237.28571428571428</v>
      </c>
      <c r="K83" s="429"/>
      <c r="L83" s="377"/>
      <c r="N83" s="382"/>
      <c r="O83" s="721"/>
    </row>
    <row r="84" spans="1:15">
      <c r="A84" s="1141" t="s">
        <v>199</v>
      </c>
      <c r="B84" s="571"/>
      <c r="C84" s="571"/>
      <c r="D84" s="478" t="s">
        <v>130</v>
      </c>
      <c r="E84" s="627">
        <f>'20'!F84</f>
        <v>538863</v>
      </c>
      <c r="F84" s="627">
        <v>539560</v>
      </c>
      <c r="G84" s="1328">
        <f t="shared" si="8"/>
        <v>697</v>
      </c>
      <c r="H84" s="460">
        <f>G84+'20'!H84</f>
        <v>16480</v>
      </c>
      <c r="I84" s="481"/>
      <c r="J84" s="552">
        <f>H84/DAY(B2)</f>
        <v>784.76190476190482</v>
      </c>
      <c r="K84" s="380"/>
      <c r="L84" s="377"/>
      <c r="N84" s="382"/>
      <c r="O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1341">
        <f xml:space="preserve"> SUM(G72:G84)</f>
        <v>2148.1299999999355</v>
      </c>
      <c r="H85" s="460">
        <f>G85+'20'!H85</f>
        <v>46768.350000000006</v>
      </c>
      <c r="I85" s="481"/>
      <c r="J85" s="552">
        <f>H85/DAY(B2)</f>
        <v>2227.0642857142861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181</v>
      </c>
      <c r="E86" s="647">
        <f>'20'!F86</f>
        <v>462278.36</v>
      </c>
      <c r="F86" s="647">
        <v>462300.52</v>
      </c>
      <c r="G86" s="1342">
        <f t="shared" ref="G86:G91" si="9">F86-E86</f>
        <v>22.160000000032596</v>
      </c>
      <c r="H86" s="460">
        <f>G86+'20'!H86</f>
        <v>70.679999999993015</v>
      </c>
      <c r="I86" s="652"/>
      <c r="J86" s="707">
        <f>H86/DAY(B2)</f>
        <v>3.365714285713953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181</v>
      </c>
      <c r="E87" s="647">
        <f>'20'!F87</f>
        <v>82621</v>
      </c>
      <c r="F87" s="647">
        <v>82655.8</v>
      </c>
      <c r="G87" s="1342">
        <f t="shared" si="9"/>
        <v>34.80000000000291</v>
      </c>
      <c r="H87" s="460">
        <f>G87+'20'!H87</f>
        <v>112.80000000000291</v>
      </c>
      <c r="I87" s="652"/>
      <c r="J87" s="707">
        <f>H87/DAY(B2)</f>
        <v>5.3714285714287104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181</v>
      </c>
      <c r="E88" s="647">
        <f>'20'!F88</f>
        <v>157615.46</v>
      </c>
      <c r="F88" s="647">
        <v>157718.82999999999</v>
      </c>
      <c r="G88" s="1342">
        <f t="shared" si="9"/>
        <v>103.36999999999534</v>
      </c>
      <c r="H88" s="460">
        <f>G88+'20'!H88</f>
        <v>473.10999999998603</v>
      </c>
      <c r="I88" s="652"/>
      <c r="J88" s="707">
        <f>H88/DAY(B2)</f>
        <v>22.529047619046953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181</v>
      </c>
      <c r="E89" s="647">
        <f>'20'!F89</f>
        <v>66650</v>
      </c>
      <c r="F89" s="647">
        <v>66668.5</v>
      </c>
      <c r="G89" s="1342">
        <f t="shared" si="9"/>
        <v>18.5</v>
      </c>
      <c r="H89" s="460">
        <f>G89+'20'!H89</f>
        <v>107.69999999999709</v>
      </c>
      <c r="I89" s="652"/>
      <c r="J89" s="707">
        <f>H89/DAY(B2)</f>
        <v>5.1285714285712896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47">
        <f>'20'!F90</f>
        <v>3413</v>
      </c>
      <c r="F90" s="647">
        <v>3416</v>
      </c>
      <c r="G90" s="1342">
        <f t="shared" si="9"/>
        <v>3</v>
      </c>
      <c r="H90" s="460">
        <f>G90+'20'!H90</f>
        <v>8</v>
      </c>
      <c r="I90" s="652"/>
      <c r="J90" s="707">
        <f>H90/DAY(B2)</f>
        <v>0.38095238095238093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47">
        <f>'20'!F91</f>
        <v>28413.5</v>
      </c>
      <c r="F91" s="647">
        <v>28422.5</v>
      </c>
      <c r="G91" s="705">
        <f t="shared" si="9"/>
        <v>9</v>
      </c>
      <c r="H91" s="460">
        <f>G91+'20'!H91</f>
        <v>19.5</v>
      </c>
      <c r="I91" s="652"/>
      <c r="J91" s="707">
        <f>H91/DAY(B2)</f>
        <v>0.9285714285714286</v>
      </c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1331"/>
      <c r="H92" s="472"/>
      <c r="I92" s="472"/>
      <c r="J92" s="551"/>
      <c r="K92" s="380"/>
      <c r="L92" s="378"/>
      <c r="N92" s="776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'20'!F93</f>
        <v>249342</v>
      </c>
      <c r="F93" s="484">
        <v>249421</v>
      </c>
      <c r="G93" s="1328">
        <f t="shared" ref="G93:G94" si="10">F93-E93</f>
        <v>79</v>
      </c>
      <c r="H93" s="460">
        <f>G93+'20'!H93</f>
        <v>2069</v>
      </c>
      <c r="I93" s="480"/>
      <c r="J93" s="552">
        <f>H93/DAY(B2)</f>
        <v>98.523809523809518</v>
      </c>
      <c r="K93" s="429"/>
      <c r="L93" s="377"/>
      <c r="N93" s="382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'20'!F94</f>
        <v>191920</v>
      </c>
      <c r="F94" s="484">
        <v>192038</v>
      </c>
      <c r="G94" s="1328">
        <f t="shared" si="10"/>
        <v>118</v>
      </c>
      <c r="H94" s="460">
        <f>G94+'20'!H94</f>
        <v>2584</v>
      </c>
      <c r="I94" s="480"/>
      <c r="J94" s="552">
        <f>H94/DAY(B2)</f>
        <v>123.04761904761905</v>
      </c>
      <c r="K94" s="380"/>
      <c r="L94" s="377"/>
      <c r="N94" s="382"/>
      <c r="O94" s="382"/>
    </row>
    <row r="95" spans="1:15">
      <c r="A95" s="1594" t="s">
        <v>206</v>
      </c>
      <c r="B95" s="1595"/>
      <c r="C95" s="1596"/>
      <c r="D95" s="523"/>
      <c r="E95" s="484">
        <v>0</v>
      </c>
      <c r="F95" s="484">
        <v>0</v>
      </c>
      <c r="G95" s="1328">
        <f>G93+G94</f>
        <v>197</v>
      </c>
      <c r="H95" s="460">
        <f>G95+'20'!H95</f>
        <v>4467</v>
      </c>
      <c r="I95" s="480"/>
      <c r="J95" s="552">
        <f>H95/DAY(B2)</f>
        <v>212.71428571428572</v>
      </c>
      <c r="K95" s="380"/>
      <c r="L95" s="377"/>
      <c r="N95" s="382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'20'!F96</f>
        <v>417761</v>
      </c>
      <c r="F96" s="484">
        <v>417840</v>
      </c>
      <c r="G96" s="1328">
        <f t="shared" ref="G96:G101" si="11">F96-E96</f>
        <v>79</v>
      </c>
      <c r="H96" s="460">
        <f>G96+'20'!H96</f>
        <v>1841</v>
      </c>
      <c r="I96" s="480"/>
      <c r="J96" s="552">
        <f>H96/DAY(B2)</f>
        <v>87.666666666666671</v>
      </c>
      <c r="K96" s="380"/>
      <c r="L96" s="377"/>
      <c r="N96" s="382"/>
      <c r="O96" s="382"/>
    </row>
    <row r="97" spans="1:15" ht="27.75">
      <c r="A97" s="1137" t="s">
        <v>208</v>
      </c>
      <c r="B97" s="1138"/>
      <c r="C97" s="1138"/>
      <c r="D97" s="523" t="s">
        <v>142</v>
      </c>
      <c r="E97" s="484">
        <f>'20'!F97</f>
        <v>103604</v>
      </c>
      <c r="F97" s="484">
        <v>103622</v>
      </c>
      <c r="G97" s="1328">
        <f t="shared" si="11"/>
        <v>18</v>
      </c>
      <c r="H97" s="460">
        <f>G97+'20'!H97</f>
        <v>459</v>
      </c>
      <c r="I97" s="480"/>
      <c r="J97" s="552">
        <f>H97/DAY(B2)</f>
        <v>21.857142857142858</v>
      </c>
      <c r="K97" s="427"/>
      <c r="L97" s="377"/>
      <c r="N97" s="382"/>
      <c r="O97" s="382"/>
    </row>
    <row r="98" spans="1:15" ht="27.75">
      <c r="A98" s="1137" t="s">
        <v>209</v>
      </c>
      <c r="B98" s="1138"/>
      <c r="C98" s="1138"/>
      <c r="D98" s="523" t="s">
        <v>142</v>
      </c>
      <c r="E98" s="484">
        <f>'20'!F98</f>
        <v>99159</v>
      </c>
      <c r="F98" s="484">
        <v>99182</v>
      </c>
      <c r="G98" s="1328">
        <f t="shared" si="11"/>
        <v>23</v>
      </c>
      <c r="H98" s="460">
        <f>G98+'20'!H98</f>
        <v>525</v>
      </c>
      <c r="I98" s="480"/>
      <c r="J98" s="552">
        <f>H98/DAY(B2)</f>
        <v>25</v>
      </c>
      <c r="K98" s="432"/>
      <c r="L98" s="377"/>
      <c r="N98" s="382"/>
      <c r="O98" s="382"/>
    </row>
    <row r="99" spans="1:15" ht="27.75">
      <c r="A99" s="1137" t="s">
        <v>210</v>
      </c>
      <c r="B99" s="1138"/>
      <c r="C99" s="1138"/>
      <c r="D99" s="523" t="s">
        <v>142</v>
      </c>
      <c r="E99" s="484">
        <f>'20'!F99</f>
        <v>150980</v>
      </c>
      <c r="F99" s="484">
        <v>150998</v>
      </c>
      <c r="G99" s="1328">
        <f t="shared" si="11"/>
        <v>18</v>
      </c>
      <c r="H99" s="460">
        <f>G99+'20'!H99</f>
        <v>593</v>
      </c>
      <c r="I99" s="480"/>
      <c r="J99" s="552">
        <f>H99/DAY(B2)</f>
        <v>28.238095238095237</v>
      </c>
      <c r="K99" s="380"/>
      <c r="L99" s="377"/>
      <c r="N99" s="382"/>
      <c r="O99" s="382"/>
    </row>
    <row r="100" spans="1:15" ht="27.75">
      <c r="A100" s="1137" t="s">
        <v>211</v>
      </c>
      <c r="B100" s="1138"/>
      <c r="C100" s="1138"/>
      <c r="D100" s="523" t="s">
        <v>142</v>
      </c>
      <c r="E100" s="484">
        <f>'20'!F100</f>
        <v>8018</v>
      </c>
      <c r="F100" s="484">
        <v>8033</v>
      </c>
      <c r="G100" s="1328">
        <f t="shared" si="11"/>
        <v>15</v>
      </c>
      <c r="H100" s="460">
        <f>G100+'20'!H100</f>
        <v>236</v>
      </c>
      <c r="I100" s="480"/>
      <c r="J100" s="552">
        <f>H100/DAY(B2)</f>
        <v>11.238095238095237</v>
      </c>
      <c r="K100" s="380"/>
      <c r="L100" s="377"/>
      <c r="N100" s="382"/>
      <c r="O100" s="382"/>
    </row>
    <row r="101" spans="1:15" ht="27.75">
      <c r="A101" s="1137" t="s">
        <v>212</v>
      </c>
      <c r="B101" s="1138"/>
      <c r="C101" s="1138"/>
      <c r="D101" s="523" t="s">
        <v>142</v>
      </c>
      <c r="E101" s="484">
        <f>'20'!F101</f>
        <v>5871</v>
      </c>
      <c r="F101" s="484">
        <v>5885</v>
      </c>
      <c r="G101" s="1328">
        <f t="shared" si="11"/>
        <v>14</v>
      </c>
      <c r="H101" s="460">
        <f>G101+'20'!H101</f>
        <v>211</v>
      </c>
      <c r="I101" s="480"/>
      <c r="J101" s="552">
        <f>H101/DAY(B2)</f>
        <v>10.047619047619047</v>
      </c>
      <c r="K101" s="380"/>
      <c r="L101" s="377"/>
      <c r="N101" s="382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1343">
        <f>SUM(G96:G101)</f>
        <v>167</v>
      </c>
      <c r="H102" s="460">
        <f>G102+'20'!H102</f>
        <v>3865</v>
      </c>
      <c r="I102" s="526"/>
      <c r="J102" s="552">
        <f>H102/DAY(B2)</f>
        <v>184.04761904761904</v>
      </c>
      <c r="K102" s="380"/>
      <c r="L102" s="377"/>
      <c r="N102" s="382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528"/>
      <c r="G103" s="1344"/>
      <c r="H103" s="530"/>
      <c r="I103" s="531"/>
      <c r="J103" s="557"/>
      <c r="N103" s="444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532"/>
      <c r="G104" s="1345"/>
      <c r="H104" s="533"/>
      <c r="I104" s="532"/>
      <c r="J104" s="558"/>
      <c r="N104" s="444"/>
      <c r="O104" s="382"/>
    </row>
    <row r="105" spans="1:15" s="442" customFormat="1" ht="27.75">
      <c r="A105" s="1554" t="s">
        <v>217</v>
      </c>
      <c r="B105" s="1555"/>
      <c r="C105" s="1135"/>
      <c r="D105" s="622" t="s">
        <v>142</v>
      </c>
      <c r="E105" s="532">
        <f>'20'!F105</f>
        <v>7637</v>
      </c>
      <c r="F105" s="532">
        <v>7637</v>
      </c>
      <c r="G105" s="1345">
        <f>F105-E105</f>
        <v>0</v>
      </c>
      <c r="H105" s="460">
        <f>G105+'20'!H105</f>
        <v>69.3799999999992</v>
      </c>
      <c r="I105" s="532"/>
      <c r="J105" s="558">
        <f>H105/DAY(B2)</f>
        <v>3.3038095238094858</v>
      </c>
      <c r="N105" s="444"/>
      <c r="O105" s="382"/>
    </row>
    <row r="106" spans="1:15" s="442" customFormat="1" ht="27.75">
      <c r="A106" s="1554" t="s">
        <v>76</v>
      </c>
      <c r="B106" s="1555"/>
      <c r="C106" s="1135"/>
      <c r="D106" s="622" t="s">
        <v>142</v>
      </c>
      <c r="E106" s="534">
        <f>'20'!F106</f>
        <v>36352</v>
      </c>
      <c r="F106" s="534">
        <v>36364</v>
      </c>
      <c r="G106" s="1345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532">
        <f>'20'!F107</f>
        <v>19908</v>
      </c>
      <c r="F107" s="532">
        <v>19914</v>
      </c>
      <c r="G107" s="1345">
        <f t="shared" si="12"/>
        <v>6</v>
      </c>
      <c r="H107" s="460">
        <f>G107+'20'!H107</f>
        <v>131</v>
      </c>
      <c r="I107" s="532"/>
      <c r="J107" s="558">
        <f>H107/DAY(B2)</f>
        <v>6.2380952380952381</v>
      </c>
      <c r="N107" s="444"/>
      <c r="O107" s="382"/>
    </row>
    <row r="108" spans="1:15" s="442" customFormat="1" ht="27.75">
      <c r="A108" s="1556" t="s">
        <v>200</v>
      </c>
      <c r="B108" s="1557"/>
      <c r="C108" s="1135"/>
      <c r="D108" s="622"/>
      <c r="E108" s="532">
        <f>'20'!F108</f>
        <v>0</v>
      </c>
      <c r="F108" s="532"/>
      <c r="G108" s="1345">
        <f>SUM(G105:G107)</f>
        <v>18</v>
      </c>
      <c r="H108" s="460">
        <f>G108+'20'!H108</f>
        <v>202</v>
      </c>
      <c r="I108" s="532"/>
      <c r="J108" s="558">
        <f>H108/DAY(B2)</f>
        <v>9.6190476190476186</v>
      </c>
      <c r="N108" s="444"/>
      <c r="O108" s="382"/>
    </row>
    <row r="109" spans="1:15" s="442" customFormat="1" ht="27.75">
      <c r="A109" s="1560" t="s">
        <v>78</v>
      </c>
      <c r="B109" s="1561"/>
      <c r="C109" s="1135"/>
      <c r="D109" s="622" t="s">
        <v>142</v>
      </c>
      <c r="E109" s="532">
        <f>'20'!F109</f>
        <v>0</v>
      </c>
      <c r="F109" s="532"/>
      <c r="G109" s="1345"/>
      <c r="H109" s="460"/>
      <c r="I109" s="532"/>
      <c r="J109" s="558"/>
      <c r="N109" s="444"/>
      <c r="O109" s="382"/>
    </row>
    <row r="110" spans="1:15" s="442" customFormat="1" ht="27.75">
      <c r="A110" s="1554" t="s">
        <v>218</v>
      </c>
      <c r="B110" s="1555"/>
      <c r="C110" s="1135"/>
      <c r="D110" s="622" t="s">
        <v>142</v>
      </c>
      <c r="E110" s="532">
        <f>'20'!F110</f>
        <v>66302</v>
      </c>
      <c r="F110" s="532">
        <v>66368</v>
      </c>
      <c r="G110" s="1345">
        <f>F110-E110</f>
        <v>66</v>
      </c>
      <c r="H110" s="460">
        <f>G110+'20'!H110</f>
        <v>394.64000000001397</v>
      </c>
      <c r="I110" s="532"/>
      <c r="J110" s="558">
        <f>H110/DAY(B2)</f>
        <v>18.792380952381617</v>
      </c>
      <c r="N110" s="444"/>
      <c r="O110" s="382"/>
    </row>
    <row r="111" spans="1:15" s="442" customFormat="1" ht="27.75">
      <c r="A111" s="1554" t="s">
        <v>219</v>
      </c>
      <c r="B111" s="1555"/>
      <c r="C111" s="1135"/>
      <c r="D111" s="622" t="s">
        <v>142</v>
      </c>
      <c r="E111" s="532">
        <f>'20'!F111</f>
        <v>33714</v>
      </c>
      <c r="F111" s="532">
        <v>33718</v>
      </c>
      <c r="G111" s="1345">
        <f t="shared" ref="G111:G112" si="13">F111-E111</f>
        <v>4</v>
      </c>
      <c r="H111" s="460">
        <f>G111+'20'!H111</f>
        <v>113.89999999999418</v>
      </c>
      <c r="I111" s="532"/>
      <c r="J111" s="558">
        <f>H111/DAY(B2)</f>
        <v>5.423809523809247</v>
      </c>
      <c r="N111" s="444"/>
      <c r="O111" s="382"/>
    </row>
    <row r="112" spans="1:15" s="442" customFormat="1" ht="27.75">
      <c r="A112" s="1554" t="s">
        <v>220</v>
      </c>
      <c r="B112" s="1555"/>
      <c r="C112" s="1135"/>
      <c r="D112" s="622" t="s">
        <v>142</v>
      </c>
      <c r="E112" s="532">
        <f>'20'!F112</f>
        <v>4622</v>
      </c>
      <c r="F112" s="532">
        <v>4622</v>
      </c>
      <c r="G112" s="1345">
        <f t="shared" si="13"/>
        <v>0</v>
      </c>
      <c r="H112" s="460">
        <f>G112+'20'!H112</f>
        <v>351</v>
      </c>
      <c r="I112" s="532"/>
      <c r="J112" s="558">
        <f>H112/DAY(B2)</f>
        <v>16.714285714285715</v>
      </c>
      <c r="N112" s="444"/>
      <c r="O112" s="382"/>
    </row>
    <row r="113" spans="1:15" s="442" customFormat="1" ht="27.75">
      <c r="A113" s="1558" t="s">
        <v>109</v>
      </c>
      <c r="B113" s="1559"/>
      <c r="C113" s="1135"/>
      <c r="D113" s="622"/>
      <c r="E113" s="532">
        <f>'20'!F113</f>
        <v>0</v>
      </c>
      <c r="F113" s="532"/>
      <c r="G113" s="1345">
        <f>SUM(G110:G112)</f>
        <v>70</v>
      </c>
      <c r="H113" s="460">
        <f>G113+'20'!H113</f>
        <v>1168</v>
      </c>
      <c r="I113" s="532"/>
      <c r="J113" s="558">
        <f>H113/DAY(B2)</f>
        <v>55.61904761904762</v>
      </c>
      <c r="N113" s="444"/>
      <c r="O113" s="382"/>
    </row>
    <row r="114" spans="1:15" s="442" customFormat="1" ht="27.75">
      <c r="A114" s="1560" t="s">
        <v>221</v>
      </c>
      <c r="B114" s="1561"/>
      <c r="C114" s="1135"/>
      <c r="D114" s="622"/>
      <c r="E114" s="532">
        <f>'20'!F114</f>
        <v>0</v>
      </c>
      <c r="F114" s="532"/>
      <c r="G114" s="134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534">
        <f>'20'!F115</f>
        <v>12287</v>
      </c>
      <c r="F115" s="534">
        <v>12306</v>
      </c>
      <c r="G115" s="1346">
        <f>F115-E115</f>
        <v>19</v>
      </c>
      <c r="H115" s="460">
        <f>G115+'20'!H115</f>
        <v>64</v>
      </c>
      <c r="I115" s="532"/>
      <c r="J115" s="558">
        <f>H115/DAY(B2)</f>
        <v>3.0476190476190474</v>
      </c>
      <c r="N115" s="444"/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534">
        <f>'20'!F116</f>
        <v>8721</v>
      </c>
      <c r="F116" s="534">
        <v>8732</v>
      </c>
      <c r="G116" s="1346">
        <f t="shared" ref="G116:G117" si="14">F116-E116</f>
        <v>11</v>
      </c>
      <c r="H116" s="460">
        <f>G116+'20'!H116</f>
        <v>119</v>
      </c>
      <c r="I116" s="532"/>
      <c r="J116" s="558">
        <f>H116/DAY(B2)</f>
        <v>5.666666666666667</v>
      </c>
      <c r="N116" s="444"/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1346">
        <f t="shared" si="14"/>
        <v>0</v>
      </c>
      <c r="H117" s="460">
        <f>G117+'20'!H117</f>
        <v>97</v>
      </c>
      <c r="I117" s="532"/>
      <c r="J117" s="558">
        <f>H117/DAY(B2)</f>
        <v>4.6190476190476186</v>
      </c>
      <c r="N117" s="444"/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534"/>
      <c r="G118" s="1346">
        <f>SUM(G115:G117)</f>
        <v>30</v>
      </c>
      <c r="H118" s="460">
        <f>G118+'20'!H118</f>
        <v>180</v>
      </c>
      <c r="I118" s="534"/>
      <c r="J118" s="558">
        <f>H118/DAY(B2)</f>
        <v>8.5714285714285712</v>
      </c>
      <c r="N118" s="447"/>
      <c r="O118" s="382"/>
    </row>
    <row r="119" spans="1:15" s="446" customFormat="1" ht="27.75">
      <c r="A119" s="1550" t="s">
        <v>225</v>
      </c>
      <c r="B119" s="1551"/>
      <c r="C119" s="1134"/>
      <c r="D119" s="624" t="s">
        <v>142</v>
      </c>
      <c r="E119" s="536"/>
      <c r="F119" s="536">
        <f>SUM(G19+G93)</f>
        <v>154</v>
      </c>
      <c r="G119" s="1346">
        <f>SUM(G19+G93)</f>
        <v>154</v>
      </c>
      <c r="H119" s="460">
        <f>G119+'20'!H119</f>
        <v>598</v>
      </c>
      <c r="I119" s="535"/>
      <c r="J119" s="559">
        <f>H119/DAY(B2)</f>
        <v>28.476190476190474</v>
      </c>
      <c r="N119" s="778"/>
      <c r="O119" s="382"/>
    </row>
    <row r="120" spans="1:15" s="446" customFormat="1" ht="27.75">
      <c r="A120" s="1550" t="s">
        <v>226</v>
      </c>
      <c r="B120" s="1551"/>
      <c r="C120" s="1134"/>
      <c r="D120" s="624" t="s">
        <v>142</v>
      </c>
      <c r="E120" s="536"/>
      <c r="F120" s="536">
        <f>SUM(G96,G97,G98,G100,G101)</f>
        <v>149</v>
      </c>
      <c r="G120" s="1346">
        <f>SUM(G96,G97,G98,G100,G101)</f>
        <v>149</v>
      </c>
      <c r="H120" s="460">
        <f>G120+'20'!H120</f>
        <v>608</v>
      </c>
      <c r="I120" s="535"/>
      <c r="J120" s="559">
        <f>H120/DAY(B2)</f>
        <v>28.952380952380953</v>
      </c>
      <c r="N120" s="778"/>
      <c r="O120" s="382"/>
    </row>
    <row r="121" spans="1:15" s="446" customFormat="1" ht="27.75">
      <c r="A121" s="1550" t="s">
        <v>227</v>
      </c>
      <c r="B121" s="1551"/>
      <c r="C121" s="1134"/>
      <c r="D121" s="624" t="s">
        <v>142</v>
      </c>
      <c r="E121" s="534"/>
      <c r="F121" s="534">
        <f>SUM(G113)</f>
        <v>70</v>
      </c>
      <c r="G121" s="1346">
        <f>SUM(G113)</f>
        <v>70</v>
      </c>
      <c r="H121" s="460">
        <f>G121+'20'!H121</f>
        <v>357</v>
      </c>
      <c r="I121" s="535"/>
      <c r="J121" s="559">
        <f>H121/DAY(B2)</f>
        <v>17</v>
      </c>
      <c r="N121" s="778"/>
      <c r="O121" s="382"/>
    </row>
    <row r="122" spans="1:15" s="442" customFormat="1" ht="27.75">
      <c r="A122" s="1552"/>
      <c r="B122" s="1553"/>
      <c r="C122" s="1135"/>
      <c r="D122" s="560"/>
      <c r="E122" s="560"/>
      <c r="F122" s="560" t="s">
        <v>213</v>
      </c>
      <c r="G122" s="1347"/>
      <c r="H122" s="561">
        <v>0</v>
      </c>
      <c r="I122" s="560"/>
      <c r="J122" s="562"/>
      <c r="N122" s="444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1331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37" t="s">
        <v>229</v>
      </c>
      <c r="B124" s="1138"/>
      <c r="C124" s="1138"/>
      <c r="D124" s="523" t="s">
        <v>139</v>
      </c>
      <c r="E124" s="478">
        <f>'20'!F124</f>
        <v>845107.45</v>
      </c>
      <c r="F124" s="478">
        <v>845376.68</v>
      </c>
      <c r="G124" s="1328">
        <f t="shared" ref="G124:G128" si="15">F124-E124</f>
        <v>269.23000000009779</v>
      </c>
      <c r="H124" s="460">
        <f>G124+'20'!H124</f>
        <v>5706.6800000000512</v>
      </c>
      <c r="I124" s="526"/>
      <c r="J124" s="552">
        <f>H124/DAY(B2)</f>
        <v>271.74666666666911</v>
      </c>
      <c r="K124" s="380"/>
      <c r="L124" s="377"/>
      <c r="N124" s="382"/>
      <c r="O124" s="382"/>
    </row>
    <row r="125" spans="1:15" ht="27.75">
      <c r="A125" s="1137" t="s">
        <v>230</v>
      </c>
      <c r="B125" s="1138"/>
      <c r="C125" s="1138"/>
      <c r="D125" s="523" t="s">
        <v>139</v>
      </c>
      <c r="E125" s="626">
        <f>'20'!F125</f>
        <v>73583.399999999994</v>
      </c>
      <c r="F125" s="626">
        <v>73583.399999999994</v>
      </c>
      <c r="G125" s="1328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78">
        <f>'20'!F126</f>
        <v>150443.23000000001</v>
      </c>
      <c r="F126" s="478">
        <v>150528.29999999999</v>
      </c>
      <c r="G126" s="1328">
        <f t="shared" si="15"/>
        <v>85.069999999977881</v>
      </c>
      <c r="H126" s="460">
        <f>G126+'20'!H126</f>
        <v>1931.2999999999884</v>
      </c>
      <c r="I126" s="526"/>
      <c r="J126" s="552">
        <f>H126/DAY(B2)</f>
        <v>91.966666666666114</v>
      </c>
      <c r="K126" s="380"/>
      <c r="L126" s="377"/>
      <c r="N126" s="382"/>
      <c r="O126" s="382"/>
    </row>
    <row r="127" spans="1:15" ht="27.75">
      <c r="A127" s="609" t="s">
        <v>232</v>
      </c>
      <c r="B127" s="1138"/>
      <c r="C127" s="1138"/>
      <c r="D127" s="523" t="s">
        <v>139</v>
      </c>
      <c r="E127" s="626">
        <f>'20'!F127</f>
        <v>32839</v>
      </c>
      <c r="F127" s="626">
        <v>32878.6</v>
      </c>
      <c r="G127" s="1328">
        <f t="shared" si="15"/>
        <v>39.599999999998545</v>
      </c>
      <c r="H127" s="460">
        <f>G127+'20'!H127</f>
        <v>807.59999999999854</v>
      </c>
      <c r="I127" s="526"/>
      <c r="J127" s="552">
        <f>H127/DAY(B2)</f>
        <v>38.457142857142784</v>
      </c>
      <c r="K127" s="380"/>
      <c r="L127" s="377"/>
      <c r="N127" s="382"/>
      <c r="O127" s="382"/>
    </row>
    <row r="128" spans="1:15" ht="27.75">
      <c r="A128" s="609" t="s">
        <v>233</v>
      </c>
      <c r="B128" s="1138"/>
      <c r="C128" s="1138"/>
      <c r="D128" s="523" t="s">
        <v>139</v>
      </c>
      <c r="E128" s="626">
        <f>'20'!F128</f>
        <v>9086.7000000000007</v>
      </c>
      <c r="F128" s="626">
        <v>9088</v>
      </c>
      <c r="G128" s="1328">
        <f t="shared" si="15"/>
        <v>1.2999999999992724</v>
      </c>
      <c r="H128" s="460">
        <f>G128+'20'!H128</f>
        <v>76</v>
      </c>
      <c r="I128" s="480"/>
      <c r="J128" s="552">
        <f>H128/DAY(B2)</f>
        <v>3.6190476190476191</v>
      </c>
      <c r="K128" s="380"/>
      <c r="L128" s="377"/>
      <c r="N128" s="382"/>
      <c r="O128" s="382"/>
    </row>
    <row r="129" spans="1:15" s="281" customFormat="1" ht="27.75">
      <c r="A129" s="609" t="s">
        <v>234</v>
      </c>
      <c r="B129" s="1138"/>
      <c r="C129" s="1138"/>
      <c r="D129" s="523"/>
      <c r="E129" s="478"/>
      <c r="F129" s="478"/>
      <c r="G129" s="1328">
        <f>G15-SUM(G124:G128)</f>
        <v>531.51999999989857</v>
      </c>
      <c r="H129" s="460">
        <f>G129+'20'!H129</f>
        <v>2539.637000000077</v>
      </c>
      <c r="I129" s="480"/>
      <c r="J129" s="552">
        <f>H129/DAY(B2)</f>
        <v>120.93509523809891</v>
      </c>
      <c r="K129" s="364"/>
      <c r="L129" s="292"/>
      <c r="N129" s="365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1348"/>
      <c r="H130" s="540"/>
      <c r="I130" s="540"/>
      <c r="J130" s="564"/>
      <c r="N130" s="382"/>
      <c r="O130" s="382"/>
    </row>
    <row r="131" spans="1:15" ht="27.75">
      <c r="A131" s="1137" t="s">
        <v>236</v>
      </c>
      <c r="B131" s="1138"/>
      <c r="C131" s="1138"/>
      <c r="D131" s="523" t="s">
        <v>237</v>
      </c>
      <c r="E131" s="484">
        <f>'20'!F131</f>
        <v>0</v>
      </c>
      <c r="F131" s="484">
        <v>0</v>
      </c>
      <c r="G131" s="1328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7" t="s">
        <v>238</v>
      </c>
      <c r="B132" s="1138"/>
      <c r="C132" s="1138"/>
      <c r="D132" s="523" t="s">
        <v>237</v>
      </c>
      <c r="E132" s="484">
        <f>'20'!F132</f>
        <v>0</v>
      </c>
      <c r="F132" s="484">
        <v>0</v>
      </c>
      <c r="G132" s="1328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7" t="s">
        <v>239</v>
      </c>
      <c r="B133" s="1138"/>
      <c r="C133" s="1138"/>
      <c r="D133" s="523" t="s">
        <v>237</v>
      </c>
      <c r="E133" s="541">
        <f>'20'!F133</f>
        <v>40612.1</v>
      </c>
      <c r="F133" s="541">
        <v>40612.1</v>
      </c>
      <c r="G133" s="1328">
        <f t="shared" si="16"/>
        <v>0</v>
      </c>
      <c r="H133" s="460">
        <f>G133+'20'!H133</f>
        <v>159.09999999999854</v>
      </c>
      <c r="I133" s="480"/>
      <c r="J133" s="552">
        <f>H133/DAY(B2)</f>
        <v>7.5761904761904066</v>
      </c>
      <c r="N133" s="382"/>
      <c r="O133" s="382"/>
    </row>
    <row r="134" spans="1:15" s="441" customFormat="1" ht="27.75">
      <c r="A134" s="1068" t="s">
        <v>240</v>
      </c>
      <c r="B134" s="1069"/>
      <c r="C134" s="1069"/>
      <c r="D134" s="627" t="s">
        <v>237</v>
      </c>
      <c r="E134" s="541">
        <f>'20'!F134</f>
        <v>427.01</v>
      </c>
      <c r="F134" s="541">
        <v>445.19</v>
      </c>
      <c r="G134" s="1349">
        <f t="shared" si="16"/>
        <v>18.180000000000007</v>
      </c>
      <c r="H134" s="705">
        <f>G134+'20'!H134</f>
        <v>145.19</v>
      </c>
      <c r="I134" s="1070">
        <f>G131+G132+G133+G134</f>
        <v>18.180000000000007</v>
      </c>
      <c r="J134" s="707">
        <f>H134/DAY(B2)</f>
        <v>6.9138095238095234</v>
      </c>
      <c r="N134" s="713"/>
      <c r="O134" s="713"/>
    </row>
    <row r="135" spans="1:15" ht="27.75">
      <c r="A135" s="1137" t="s">
        <v>241</v>
      </c>
      <c r="B135" s="1138"/>
      <c r="C135" s="1138"/>
      <c r="D135" s="523" t="s">
        <v>237</v>
      </c>
      <c r="E135" s="541">
        <f>'20'!F135</f>
        <v>42304.14</v>
      </c>
      <c r="F135" s="541">
        <v>42313.53</v>
      </c>
      <c r="G135" s="1328">
        <f t="shared" si="16"/>
        <v>9.3899999999994179</v>
      </c>
      <c r="H135" s="460">
        <f>G135+'20'!H135</f>
        <v>341.52999999999884</v>
      </c>
      <c r="I135" s="480"/>
      <c r="J135" s="552">
        <f>H135/DAY(B2)</f>
        <v>16.263333333333279</v>
      </c>
      <c r="N135" s="382"/>
      <c r="O135" s="382"/>
    </row>
    <row r="136" spans="1:15" ht="27.75">
      <c r="A136" s="1137" t="s">
        <v>242</v>
      </c>
      <c r="B136" s="1138"/>
      <c r="C136" s="1138"/>
      <c r="D136" s="523" t="s">
        <v>237</v>
      </c>
      <c r="E136" s="541">
        <f>'20'!F136</f>
        <v>32874</v>
      </c>
      <c r="F136" s="541">
        <v>32874</v>
      </c>
      <c r="G136" s="1328">
        <f t="shared" si="16"/>
        <v>0</v>
      </c>
      <c r="H136" s="460">
        <f>G136+'20'!H136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7" t="s">
        <v>243</v>
      </c>
      <c r="B137" s="1138"/>
      <c r="C137" s="1138"/>
      <c r="D137" s="523" t="s">
        <v>237</v>
      </c>
      <c r="E137" s="541">
        <f>'20'!F137</f>
        <v>23033.279999999999</v>
      </c>
      <c r="F137" s="541">
        <v>23043.35</v>
      </c>
      <c r="G137" s="1328">
        <f t="shared" si="16"/>
        <v>10.069999999999709</v>
      </c>
      <c r="H137" s="460">
        <f>G137+'20'!H137</f>
        <v>151.85999999999694</v>
      </c>
      <c r="I137" s="480">
        <f>G135+G136+G137</f>
        <v>19.459999999999127</v>
      </c>
      <c r="J137" s="552">
        <f>H137/DAY(B2)</f>
        <v>7.2314285714284257</v>
      </c>
      <c r="N137" s="382"/>
      <c r="O137" s="382"/>
    </row>
    <row r="138" spans="1:15" ht="27.75">
      <c r="A138" s="1137" t="s">
        <v>244</v>
      </c>
      <c r="B138" s="1138"/>
      <c r="C138" s="1138"/>
      <c r="D138" s="523" t="s">
        <v>237</v>
      </c>
      <c r="E138" s="541">
        <f>'20'!F138</f>
        <v>25099.16</v>
      </c>
      <c r="F138" s="541">
        <v>25099.16</v>
      </c>
      <c r="G138" s="1328">
        <f t="shared" si="16"/>
        <v>0</v>
      </c>
      <c r="H138" s="460">
        <f>G138+'20'!H138</f>
        <v>7.7700000000004366</v>
      </c>
      <c r="I138" s="480"/>
      <c r="J138" s="552">
        <f>H138/DAY(B2)</f>
        <v>0.37000000000002081</v>
      </c>
      <c r="N138" s="382"/>
      <c r="O138" s="382"/>
    </row>
    <row r="139" spans="1:15" ht="27.75">
      <c r="A139" s="1137" t="s">
        <v>245</v>
      </c>
      <c r="B139" s="1138"/>
      <c r="C139" s="1138"/>
      <c r="D139" s="523" t="s">
        <v>237</v>
      </c>
      <c r="E139" s="541">
        <f>'20'!F139</f>
        <v>70516.600000000006</v>
      </c>
      <c r="F139" s="541">
        <v>70516.600000000006</v>
      </c>
      <c r="G139" s="1328">
        <f t="shared" si="16"/>
        <v>0</v>
      </c>
      <c r="H139" s="460">
        <f>G139+'20'!H139</f>
        <v>2.9800000000104774</v>
      </c>
      <c r="I139" s="480">
        <f>G138+G139</f>
        <v>0</v>
      </c>
      <c r="J139" s="552">
        <f>H139/DAY(B2)</f>
        <v>0.14190476190526083</v>
      </c>
      <c r="N139" s="382"/>
      <c r="O139" s="382"/>
    </row>
    <row r="140" spans="1:15" ht="27.75">
      <c r="A140" s="1137" t="s">
        <v>246</v>
      </c>
      <c r="B140" s="1138"/>
      <c r="C140" s="1138"/>
      <c r="D140" s="523" t="s">
        <v>237</v>
      </c>
      <c r="E140" s="484">
        <f>'20'!F140</f>
        <v>2247.77</v>
      </c>
      <c r="F140" s="484">
        <v>2247.77</v>
      </c>
      <c r="G140" s="1328">
        <f t="shared" si="16"/>
        <v>0</v>
      </c>
      <c r="H140" s="460">
        <f>G140+'20'!H140</f>
        <v>118.59000000000015</v>
      </c>
      <c r="I140" s="542"/>
      <c r="J140" s="552">
        <f>H140/DAY(B2)</f>
        <v>5.6471428571428639</v>
      </c>
      <c r="N140" s="382"/>
      <c r="O140" s="382"/>
    </row>
    <row r="141" spans="1:15" ht="27.75">
      <c r="A141" s="1137" t="s">
        <v>247</v>
      </c>
      <c r="B141" s="1138"/>
      <c r="C141" s="1138"/>
      <c r="D141" s="523" t="s">
        <v>237</v>
      </c>
      <c r="E141" s="484">
        <f>'20'!F141</f>
        <v>4714.67</v>
      </c>
      <c r="F141" s="484">
        <v>4724.13</v>
      </c>
      <c r="G141" s="1328">
        <f t="shared" si="16"/>
        <v>9.4600000000000364</v>
      </c>
      <c r="H141" s="460">
        <f>G141+'20'!H141</f>
        <v>87.130000000000109</v>
      </c>
      <c r="I141" s="542"/>
      <c r="J141" s="552">
        <f>H141/DAY(B2)</f>
        <v>4.1490476190476242</v>
      </c>
      <c r="N141" s="382"/>
      <c r="O141" s="382"/>
    </row>
    <row r="142" spans="1:15">
      <c r="A142" s="1565" t="s">
        <v>248</v>
      </c>
      <c r="B142" s="1566"/>
      <c r="C142" s="1143"/>
      <c r="D142" s="472"/>
      <c r="E142" s="472"/>
      <c r="F142" s="472"/>
      <c r="G142" s="1331"/>
      <c r="H142" s="483"/>
      <c r="I142" s="483"/>
      <c r="J142" s="563"/>
      <c r="K142" s="380"/>
      <c r="L142" s="377"/>
      <c r="N142" s="382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1341">
        <f>G35+G43+G49+G57</f>
        <v>5390.1400000000722</v>
      </c>
      <c r="H143" s="460">
        <f>G143+'20'!H143</f>
        <v>116748.2300000001</v>
      </c>
      <c r="I143" s="480"/>
      <c r="J143" s="552">
        <f>H143/DAY(B2)</f>
        <v>5559.4395238095285</v>
      </c>
      <c r="K143" s="380"/>
      <c r="L143" s="377"/>
      <c r="N143" s="382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1350">
        <f>G143/G7</f>
        <v>0.25523055148728696</v>
      </c>
      <c r="H144" s="460">
        <f>G144+'20'!H144</f>
        <v>5.3154766280106749</v>
      </c>
      <c r="I144" s="544"/>
      <c r="J144" s="552">
        <f>H144/DAY(B2)</f>
        <v>0.25311793466717497</v>
      </c>
      <c r="K144" s="380"/>
      <c r="L144" s="377"/>
      <c r="N144" s="382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1341">
        <f>G41+G42+G55+G56</f>
        <v>6289.1099999999278</v>
      </c>
      <c r="H145" s="460">
        <f>G145+'20'!H145</f>
        <v>141724.75999999995</v>
      </c>
      <c r="I145" s="480"/>
      <c r="J145" s="552">
        <f>H145/DAY(B2)</f>
        <v>6748.7980952380931</v>
      </c>
      <c r="K145" s="380"/>
      <c r="L145" s="377"/>
      <c r="N145" s="382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1350">
        <f>G145/G7</f>
        <v>0.29779801891308411</v>
      </c>
      <c r="H146" s="460">
        <f>G146+'20'!H146</f>
        <v>6.4218318160938148</v>
      </c>
      <c r="I146" s="544"/>
      <c r="J146" s="552">
        <f>H146/DAY(B2)</f>
        <v>0.30580151505208641</v>
      </c>
      <c r="K146" s="380"/>
      <c r="L146" s="377"/>
      <c r="N146" s="382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1341">
        <f>G39+G53</f>
        <v>3741.5200000000186</v>
      </c>
      <c r="H147" s="460">
        <f>G147+'20'!H147</f>
        <v>77727.540000000037</v>
      </c>
      <c r="I147" s="545"/>
      <c r="J147" s="552">
        <f>H147/DAY(B2)</f>
        <v>3701.3114285714305</v>
      </c>
      <c r="K147" s="380"/>
      <c r="L147" s="377"/>
      <c r="N147" s="382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1350">
        <f>G147/G7</f>
        <v>0.17716612425664377</v>
      </c>
      <c r="H148" s="460">
        <f>G148+'20'!H148</f>
        <v>3.5369403497048513</v>
      </c>
      <c r="I148" s="545"/>
      <c r="J148" s="552">
        <f>H148/DAY(B2)</f>
        <v>0.16842573093832625</v>
      </c>
      <c r="N148" s="382"/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1341">
        <f>G38+G52</f>
        <v>1578.0499999999593</v>
      </c>
      <c r="H149" s="460">
        <f>G149+'20'!H149</f>
        <v>34025.979999999952</v>
      </c>
      <c r="I149" s="480"/>
      <c r="J149" s="552">
        <f>H149/DAY(B2)</f>
        <v>1620.2847619047595</v>
      </c>
      <c r="K149" s="381"/>
      <c r="N149" s="382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1350">
        <f>G149/G7</f>
        <v>7.472284055228573E-2</v>
      </c>
      <c r="H150" s="460">
        <f>G150+'20'!H150</f>
        <v>1.5448740874280593</v>
      </c>
      <c r="I150" s="545"/>
      <c r="J150" s="552">
        <f>H150/DAY(B2)</f>
        <v>7.3565432734669492E-2</v>
      </c>
      <c r="N150" s="382"/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1341">
        <f>G36+G50</f>
        <v>1774.3200000000434</v>
      </c>
      <c r="H151" s="460">
        <f>G151+'20'!H151</f>
        <v>43600.59000000004</v>
      </c>
      <c r="I151" s="545"/>
      <c r="J151" s="552">
        <f>H151/DAY(B2)</f>
        <v>2076.2185714285733</v>
      </c>
      <c r="N151" s="382"/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1350">
        <f>G151/G7</f>
        <v>8.401649532571101E-2</v>
      </c>
      <c r="H152" s="460">
        <f>G152+'20'!H152</f>
        <v>1.9709057171532351</v>
      </c>
      <c r="I152" s="480"/>
      <c r="J152" s="552">
        <f>H152/DAY(B2)</f>
        <v>9.3852653197773098E-2</v>
      </c>
      <c r="N152" s="382"/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1341">
        <f>G37+G51</f>
        <v>1602.9200000000128</v>
      </c>
      <c r="H153" s="460">
        <f>G153+'20'!H153</f>
        <v>33258.890000000014</v>
      </c>
      <c r="I153" s="480"/>
      <c r="J153" s="552">
        <f>H153/DAY(B2)</f>
        <v>1583.7566666666673</v>
      </c>
      <c r="N153" s="382"/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1351">
        <f>G153/G7</f>
        <v>7.5900469299498674E-2</v>
      </c>
      <c r="H154" s="460">
        <f>G154+'20'!H154</f>
        <v>1.5109422506817018</v>
      </c>
      <c r="I154" s="568"/>
      <c r="J154" s="569">
        <f>H154/DAY(B2)</f>
        <v>7.1949630984842944E-2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2"/>
      <c r="H155" s="547"/>
      <c r="I155" s="546"/>
      <c r="J155" s="548"/>
      <c r="O155" s="382"/>
    </row>
    <row r="161" spans="1:12">
      <c r="A161" s="784" t="s">
        <v>261</v>
      </c>
      <c r="B161" s="785"/>
      <c r="C161" s="785"/>
      <c r="D161" s="511" t="s">
        <v>185</v>
      </c>
      <c r="E161" s="658">
        <f>'20'!F161</f>
        <v>42448.7</v>
      </c>
      <c r="F161" s="658">
        <v>42528.83</v>
      </c>
      <c r="G161" s="1328">
        <f t="shared" ref="G161:G164" si="17">F161-E161</f>
        <v>80.130000000004657</v>
      </c>
      <c r="K161" s="376">
        <v>68.829999999999927</v>
      </c>
      <c r="L161" s="376">
        <f t="shared" ref="L161:L172" si="18">G161-K161</f>
        <v>11.300000000004729</v>
      </c>
    </row>
    <row r="162" spans="1:12">
      <c r="A162" s="784" t="s">
        <v>262</v>
      </c>
      <c r="B162" s="785"/>
      <c r="C162" s="785"/>
      <c r="D162" s="511" t="s">
        <v>185</v>
      </c>
      <c r="E162" s="658">
        <f>'20'!F162</f>
        <v>116939.93</v>
      </c>
      <c r="F162" s="658">
        <v>117387.67</v>
      </c>
      <c r="G162" s="1328">
        <f t="shared" si="17"/>
        <v>447.74000000000524</v>
      </c>
      <c r="K162" s="376">
        <v>122.46000000000004</v>
      </c>
      <c r="L162" s="376">
        <f t="shared" si="18"/>
        <v>325.2800000000052</v>
      </c>
    </row>
    <row r="163" spans="1:12">
      <c r="A163" s="784" t="s">
        <v>263</v>
      </c>
      <c r="B163" s="785"/>
      <c r="C163" s="785"/>
      <c r="D163" s="511" t="s">
        <v>185</v>
      </c>
      <c r="E163" s="658">
        <f>'20'!F163</f>
        <v>65320.79</v>
      </c>
      <c r="F163" s="658">
        <v>65520.22</v>
      </c>
      <c r="G163" s="1328">
        <f t="shared" si="17"/>
        <v>199.43000000000029</v>
      </c>
      <c r="K163" s="376">
        <v>139.42000000000007</v>
      </c>
      <c r="L163" s="376">
        <f t="shared" si="18"/>
        <v>60.010000000000218</v>
      </c>
    </row>
    <row r="164" spans="1:12">
      <c r="A164" s="784" t="s">
        <v>264</v>
      </c>
      <c r="B164" s="785"/>
      <c r="C164" s="785"/>
      <c r="D164" s="511" t="s">
        <v>185</v>
      </c>
      <c r="E164" s="658">
        <f>'20'!F164</f>
        <v>7041.24</v>
      </c>
      <c r="F164" s="658">
        <v>7048.78</v>
      </c>
      <c r="G164" s="1328">
        <f t="shared" si="17"/>
        <v>7.5399999999999636</v>
      </c>
      <c r="K164" s="376">
        <v>49.659999999999968</v>
      </c>
      <c r="L164" s="376">
        <f t="shared" si="18"/>
        <v>-42.120000000000005</v>
      </c>
    </row>
    <row r="165" spans="1:12">
      <c r="A165" s="786" t="s">
        <v>97</v>
      </c>
      <c r="B165" s="604"/>
      <c r="C165" s="604"/>
      <c r="D165" s="511" t="s">
        <v>185</v>
      </c>
      <c r="E165" s="514">
        <f>E62</f>
        <v>20419.2</v>
      </c>
      <c r="F165" s="514">
        <f>F62</f>
        <v>20419.2</v>
      </c>
      <c r="G165" s="1328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6" t="s">
        <v>186</v>
      </c>
      <c r="B166" s="604"/>
      <c r="C166" s="604"/>
      <c r="D166" s="511" t="s">
        <v>185</v>
      </c>
      <c r="E166" s="514">
        <f t="shared" ref="E166:E172" si="20">E63</f>
        <v>0</v>
      </c>
      <c r="F166" s="514">
        <f t="shared" ref="F166:F172" si="21">F63</f>
        <v>0</v>
      </c>
      <c r="G166" s="1328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49" t="s">
        <v>98</v>
      </c>
      <c r="B167" s="1549"/>
      <c r="C167" s="1549"/>
      <c r="D167" s="523" t="s">
        <v>185</v>
      </c>
      <c r="E167" s="514">
        <f t="shared" si="20"/>
        <v>177804.47</v>
      </c>
      <c r="F167" s="514">
        <f t="shared" si="21"/>
        <v>178152.49</v>
      </c>
      <c r="G167" s="1328">
        <f t="shared" si="19"/>
        <v>348.01999999998952</v>
      </c>
      <c r="K167" s="376">
        <v>201.76000000000204</v>
      </c>
      <c r="L167" s="376">
        <f t="shared" si="18"/>
        <v>146.25999999998749</v>
      </c>
    </row>
    <row r="168" spans="1:12" ht="27.75">
      <c r="A168" s="1549" t="s">
        <v>99</v>
      </c>
      <c r="B168" s="1549"/>
      <c r="C168" s="1549"/>
      <c r="D168" s="523" t="s">
        <v>185</v>
      </c>
      <c r="E168" s="514">
        <f t="shared" si="20"/>
        <v>177910.09</v>
      </c>
      <c r="F168" s="514">
        <f t="shared" si="21"/>
        <v>178292.59</v>
      </c>
      <c r="G168" s="1328">
        <f t="shared" si="19"/>
        <v>382.5</v>
      </c>
      <c r="K168" s="376">
        <v>191.63000000000466</v>
      </c>
      <c r="L168" s="376">
        <f t="shared" si="18"/>
        <v>190.86999999999534</v>
      </c>
    </row>
    <row r="169" spans="1:12" ht="27.75">
      <c r="A169" s="1549" t="s">
        <v>100</v>
      </c>
      <c r="B169" s="1549"/>
      <c r="C169" s="1549"/>
      <c r="D169" s="523" t="s">
        <v>185</v>
      </c>
      <c r="E169" s="514">
        <f t="shared" si="20"/>
        <v>76217.929999999993</v>
      </c>
      <c r="F169" s="514">
        <f t="shared" si="21"/>
        <v>76625.75</v>
      </c>
      <c r="G169" s="1328">
        <f t="shared" si="19"/>
        <v>407.82000000000698</v>
      </c>
      <c r="K169" s="376">
        <v>231.68000000000029</v>
      </c>
      <c r="L169" s="376">
        <f t="shared" si="18"/>
        <v>176.14000000000669</v>
      </c>
    </row>
    <row r="170" spans="1:12" ht="27.75">
      <c r="A170" s="1549" t="s">
        <v>101</v>
      </c>
      <c r="B170" s="1549"/>
      <c r="C170" s="1549"/>
      <c r="D170" s="523" t="s">
        <v>185</v>
      </c>
      <c r="E170" s="514">
        <f t="shared" si="20"/>
        <v>274426.67</v>
      </c>
      <c r="F170" s="514">
        <f t="shared" si="21"/>
        <v>274928.11</v>
      </c>
      <c r="G170" s="1328">
        <f t="shared" si="19"/>
        <v>501.44000000000233</v>
      </c>
      <c r="K170" s="376">
        <v>344.30000000000291</v>
      </c>
      <c r="L170" s="376">
        <f t="shared" si="18"/>
        <v>157.13999999999942</v>
      </c>
    </row>
    <row r="171" spans="1:12" ht="27.75">
      <c r="A171" s="1549" t="s">
        <v>102</v>
      </c>
      <c r="B171" s="1549"/>
      <c r="C171" s="1549"/>
      <c r="D171" s="523" t="s">
        <v>185</v>
      </c>
      <c r="E171" s="514">
        <f t="shared" si="20"/>
        <v>85321</v>
      </c>
      <c r="F171" s="514">
        <f t="shared" si="21"/>
        <v>85321</v>
      </c>
      <c r="G171" s="1328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49" t="s">
        <v>103</v>
      </c>
      <c r="B172" s="1549"/>
      <c r="C172" s="1549"/>
      <c r="D172" s="523" t="s">
        <v>185</v>
      </c>
      <c r="E172" s="514">
        <f t="shared" si="20"/>
        <v>92936.63</v>
      </c>
      <c r="F172" s="514">
        <f t="shared" si="21"/>
        <v>93221.18</v>
      </c>
      <c r="G172" s="1328">
        <f t="shared" si="19"/>
        <v>284.54999999998836</v>
      </c>
      <c r="K172" s="376">
        <v>57.709999999999127</v>
      </c>
      <c r="L172" s="376">
        <f t="shared" si="18"/>
        <v>226.83999999998923</v>
      </c>
    </row>
    <row r="173" spans="1:12">
      <c r="G173" s="1353">
        <f>SUM(G161:G172)</f>
        <v>2659.1699999999973</v>
      </c>
    </row>
    <row r="174" spans="1:12" ht="27.75">
      <c r="A174" s="1549" t="s">
        <v>348</v>
      </c>
      <c r="B174" s="1549"/>
      <c r="C174" s="1549"/>
      <c r="D174" s="523" t="s">
        <v>185</v>
      </c>
      <c r="E174" s="658">
        <f>'20'!F174</f>
        <v>19098</v>
      </c>
      <c r="F174" s="514">
        <v>19101.8</v>
      </c>
      <c r="G174" s="1328">
        <f t="shared" ref="G174:G176" si="22">F174-E174</f>
        <v>3.7999999999992724</v>
      </c>
    </row>
    <row r="175" spans="1:12">
      <c r="A175" s="1590" t="s">
        <v>348</v>
      </c>
      <c r="B175" s="1553"/>
      <c r="C175" s="785"/>
      <c r="D175" s="523" t="s">
        <v>185</v>
      </c>
      <c r="E175" s="658">
        <f>'20'!F175</f>
        <v>70463</v>
      </c>
      <c r="F175" s="1491">
        <v>70468.899999999994</v>
      </c>
      <c r="G175" s="1328">
        <f t="shared" si="22"/>
        <v>5.8999999999941792</v>
      </c>
    </row>
    <row r="176" spans="1:12">
      <c r="A176" s="1590" t="s">
        <v>349</v>
      </c>
      <c r="B176" s="1553"/>
      <c r="C176" s="785"/>
      <c r="D176" s="523" t="s">
        <v>185</v>
      </c>
      <c r="E176" s="658">
        <f>'20'!F176</f>
        <v>27733.7</v>
      </c>
      <c r="F176" s="1491">
        <v>27739.200000000001</v>
      </c>
      <c r="G176" s="1328">
        <f t="shared" si="22"/>
        <v>5.5</v>
      </c>
    </row>
    <row r="177" spans="1:15" ht="18.75" customHeight="1"/>
    <row r="178" spans="1:15">
      <c r="A178" s="1590" t="s">
        <v>348</v>
      </c>
      <c r="B178" s="1553"/>
      <c r="C178" s="785"/>
      <c r="D178" s="523" t="s">
        <v>185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</row>
    <row r="179" spans="1:15">
      <c r="A179" s="1590" t="s">
        <v>348</v>
      </c>
      <c r="B179" s="1553"/>
      <c r="C179" s="785"/>
      <c r="D179" s="523" t="s">
        <v>185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</row>
    <row r="180" spans="1:15">
      <c r="A180" s="1590" t="s">
        <v>349</v>
      </c>
      <c r="B180" s="1553"/>
      <c r="C180" s="785"/>
      <c r="D180" s="523" t="s">
        <v>185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</row>
    <row r="181" spans="1:15" ht="21" customHeight="1">
      <c r="F181" s="537" t="s">
        <v>274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zoomScale="55" zoomScaleNormal="71" zoomScaleSheetLayoutView="55" workbookViewId="0">
      <selection activeCell="D3" sqref="D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360</v>
      </c>
      <c r="B2" s="1031">
        <v>44399</v>
      </c>
      <c r="C2" s="1360" t="s">
        <v>68</v>
      </c>
      <c r="D2" s="611">
        <v>0.8</v>
      </c>
      <c r="E2" s="461"/>
      <c r="F2" s="461"/>
      <c r="G2" s="1324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360" t="s">
        <v>118</v>
      </c>
      <c r="D3" s="612">
        <v>27</v>
      </c>
      <c r="E3" s="1576" t="s">
        <v>119</v>
      </c>
      <c r="F3" s="1577"/>
      <c r="G3" s="132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0" t="s">
        <v>120</v>
      </c>
      <c r="D4" s="611">
        <v>0.84</v>
      </c>
      <c r="E4" s="464"/>
      <c r="F4" s="464"/>
      <c r="G4" s="1325"/>
      <c r="H4" s="464"/>
      <c r="I4" s="465"/>
      <c r="J4" s="615"/>
      <c r="K4" s="372"/>
      <c r="L4" s="292"/>
    </row>
    <row r="5" spans="1:15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1326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>
      <c r="A6" s="1570" t="s">
        <v>128</v>
      </c>
      <c r="B6" s="1571"/>
      <c r="C6" s="1572"/>
      <c r="D6" s="471"/>
      <c r="E6" s="471"/>
      <c r="F6" s="471"/>
      <c r="G6" s="1327"/>
      <c r="H6" s="472"/>
      <c r="I6" s="472"/>
      <c r="J6" s="551"/>
      <c r="K6" s="427"/>
      <c r="L6" s="377"/>
    </row>
    <row r="7" spans="1:15" ht="30" thickBot="1">
      <c r="A7" s="578" t="s">
        <v>129</v>
      </c>
      <c r="B7" s="579"/>
      <c r="C7" s="579"/>
      <c r="D7" s="523" t="s">
        <v>130</v>
      </c>
      <c r="E7" s="455">
        <f>'21'!F7</f>
        <v>384810.67</v>
      </c>
      <c r="F7" s="455">
        <v>406420.43</v>
      </c>
      <c r="G7" s="1328">
        <f>F7-E7</f>
        <v>21609.760000000009</v>
      </c>
      <c r="H7" s="460">
        <f>G7+'21'!H7</f>
        <v>484467.43000000005</v>
      </c>
      <c r="I7" s="474">
        <f>'1'!I7</f>
        <v>12000</v>
      </c>
      <c r="J7" s="552">
        <f>H7/DAY(B2)</f>
        <v>22021.246818181822</v>
      </c>
      <c r="K7" s="549"/>
      <c r="L7" s="377"/>
      <c r="N7" s="382"/>
      <c r="O7" s="382"/>
    </row>
    <row r="8" spans="1:15" ht="27.75" thickBot="1">
      <c r="A8" s="580" t="s">
        <v>131</v>
      </c>
      <c r="B8" s="581"/>
      <c r="C8" s="582"/>
      <c r="D8" s="617" t="s">
        <v>25</v>
      </c>
      <c r="E8" s="475">
        <f>'21'!F8</f>
        <v>391826.83</v>
      </c>
      <c r="F8" s="475">
        <v>413507.95</v>
      </c>
      <c r="G8" s="1329">
        <f>F8-E8</f>
        <v>21681.119999999995</v>
      </c>
      <c r="H8" s="460">
        <f>G8+'21'!H8</f>
        <v>486785.95</v>
      </c>
      <c r="I8" s="477">
        <f>'1'!I8</f>
        <v>12000</v>
      </c>
      <c r="J8" s="552">
        <f>H8/DAY(B2)</f>
        <v>22126.63409090909</v>
      </c>
      <c r="K8" s="549"/>
      <c r="L8" s="425"/>
      <c r="M8" s="440"/>
      <c r="N8" s="382"/>
      <c r="O8" s="382"/>
    </row>
    <row r="9" spans="1:15">
      <c r="A9" s="583" t="s">
        <v>132</v>
      </c>
      <c r="B9" s="584"/>
      <c r="C9" s="584"/>
      <c r="D9" s="523" t="s">
        <v>130</v>
      </c>
      <c r="E9" s="478">
        <f>'21'!F9</f>
        <v>2480880.9</v>
      </c>
      <c r="F9" s="478">
        <v>2501803.5</v>
      </c>
      <c r="G9" s="1328">
        <f t="shared" ref="G9:G12" si="0">F9-E9</f>
        <v>20922.600000000093</v>
      </c>
      <c r="H9" s="460">
        <f>G9+'21'!H9</f>
        <v>470801.5</v>
      </c>
      <c r="I9" s="479">
        <f>I8-J8</f>
        <v>-10126.63409090909</v>
      </c>
      <c r="J9" s="552">
        <f>H9/DAY(B2)</f>
        <v>21400.06818181818</v>
      </c>
      <c r="K9" s="428"/>
      <c r="L9" s="377"/>
      <c r="N9" s="382"/>
      <c r="O9" s="382"/>
    </row>
    <row r="10" spans="1:15">
      <c r="A10" s="578" t="s">
        <v>133</v>
      </c>
      <c r="B10" s="579"/>
      <c r="C10" s="579"/>
      <c r="D10" s="523" t="s">
        <v>130</v>
      </c>
      <c r="E10" s="478">
        <f>'21'!F10</f>
        <v>2606.5500000000002</v>
      </c>
      <c r="F10" s="478">
        <v>2606.5500000000002</v>
      </c>
      <c r="G10" s="1328">
        <f t="shared" si="0"/>
        <v>0</v>
      </c>
      <c r="H10" s="460">
        <f>G10+'21'!H10</f>
        <v>0.29999999999972715</v>
      </c>
      <c r="I10" s="480"/>
      <c r="J10" s="552">
        <f>H10/DAY(B2)</f>
        <v>1.3636363636351234E-2</v>
      </c>
      <c r="K10" s="428"/>
      <c r="L10" s="377"/>
      <c r="N10" s="382"/>
      <c r="O10" s="382"/>
    </row>
    <row r="11" spans="1:15">
      <c r="A11" s="578" t="s">
        <v>134</v>
      </c>
      <c r="B11" s="579"/>
      <c r="C11" s="579"/>
      <c r="D11" s="523" t="s">
        <v>130</v>
      </c>
      <c r="E11" s="478">
        <f>'21'!F11</f>
        <v>37000</v>
      </c>
      <c r="F11" s="455">
        <v>37000</v>
      </c>
      <c r="G11" s="1328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135</v>
      </c>
      <c r="B12" s="579"/>
      <c r="C12" s="579"/>
      <c r="D12" s="523" t="s">
        <v>130</v>
      </c>
      <c r="E12" s="478">
        <f>'21'!F12</f>
        <v>40010</v>
      </c>
      <c r="F12" s="478">
        <v>40010</v>
      </c>
      <c r="G12" s="1328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136</v>
      </c>
      <c r="B13" s="586"/>
      <c r="C13" s="586"/>
      <c r="D13" s="523"/>
      <c r="E13" s="455"/>
      <c r="F13" s="455"/>
      <c r="G13" s="1330">
        <f>G9+G10+G11+G12</f>
        <v>20922.600000000093</v>
      </c>
      <c r="H13" s="460">
        <f>G13+'21'!H13</f>
        <v>450474.8</v>
      </c>
      <c r="I13" s="482">
        <f>G7-G13</f>
        <v>687.15999999991618</v>
      </c>
      <c r="J13" s="552">
        <f>H13/DAY(B2)</f>
        <v>20476.127272727274</v>
      </c>
      <c r="K13" s="428"/>
      <c r="L13" s="377"/>
      <c r="N13" s="382"/>
      <c r="O13" s="382"/>
    </row>
    <row r="14" spans="1:15">
      <c r="A14" s="1573" t="s">
        <v>137</v>
      </c>
      <c r="B14" s="1574"/>
      <c r="C14" s="1575"/>
      <c r="D14" s="472"/>
      <c r="E14" s="472"/>
      <c r="F14" s="472"/>
      <c r="G14" s="1331"/>
      <c r="H14" s="472"/>
      <c r="I14" s="472"/>
      <c r="J14" s="551"/>
      <c r="K14" s="429"/>
      <c r="L14" s="377"/>
      <c r="N14" s="382"/>
      <c r="O14" s="382"/>
    </row>
    <row r="15" spans="1:15">
      <c r="A15" s="1358" t="s">
        <v>138</v>
      </c>
      <c r="B15" s="589"/>
      <c r="C15" s="589"/>
      <c r="D15" s="523" t="s">
        <v>139</v>
      </c>
      <c r="E15" s="484">
        <f>'21'!F15</f>
        <v>1721117.72</v>
      </c>
      <c r="F15" s="700">
        <v>1721848.04</v>
      </c>
      <c r="G15" s="1332">
        <f>(F15-E15)</f>
        <v>730.32000000006519</v>
      </c>
      <c r="H15" s="460">
        <f>G15+'21'!H15</f>
        <v>18165.040000000037</v>
      </c>
      <c r="I15" s="474">
        <v>800</v>
      </c>
      <c r="J15" s="552">
        <f>H15/DAY(B2)</f>
        <v>825.68363636363802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28"/>
      <c r="H16" s="486"/>
      <c r="I16" s="487">
        <f>I15-J15</f>
        <v>-25.683636363638016</v>
      </c>
      <c r="J16" s="553"/>
      <c r="K16" s="428"/>
      <c r="L16" s="377"/>
      <c r="N16" s="382"/>
      <c r="O16" s="382"/>
    </row>
    <row r="17" spans="1:15">
      <c r="A17" s="1573" t="s">
        <v>140</v>
      </c>
      <c r="B17" s="1574"/>
      <c r="C17" s="1575"/>
      <c r="D17" s="472"/>
      <c r="E17" s="472"/>
      <c r="F17" s="472"/>
      <c r="G17" s="1331"/>
      <c r="H17" s="472"/>
      <c r="I17" s="472"/>
      <c r="J17" s="551"/>
      <c r="K17" s="428"/>
      <c r="L17" s="377"/>
      <c r="N17" s="382"/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84">
        <f>'21'!F18</f>
        <v>10</v>
      </c>
      <c r="F18" s="484">
        <v>12</v>
      </c>
      <c r="G18" s="1330">
        <f>F18*10</f>
        <v>120</v>
      </c>
      <c r="H18" s="460">
        <f>G18+'21'!H18</f>
        <v>2940</v>
      </c>
      <c r="I18" s="474">
        <f>'1'!I18</f>
        <v>65</v>
      </c>
      <c r="J18" s="552">
        <f>H18/DAY(B2)</f>
        <v>133.63636363636363</v>
      </c>
      <c r="K18" s="428"/>
      <c r="L18" s="377"/>
      <c r="N18" s="382"/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84">
        <f>'21'!F19</f>
        <v>142742</v>
      </c>
      <c r="F19" s="484">
        <v>142809</v>
      </c>
      <c r="G19" s="1328">
        <f t="shared" ref="G19" si="1">F19-E19</f>
        <v>67</v>
      </c>
      <c r="H19" s="460">
        <f>G19+'21'!H19</f>
        <v>1314</v>
      </c>
      <c r="I19" s="489"/>
      <c r="J19" s="552">
        <f>H19/DAY(B2)</f>
        <v>59.727272727272727</v>
      </c>
      <c r="K19" s="428"/>
      <c r="L19" s="377"/>
      <c r="N19" s="382"/>
      <c r="O19" s="382"/>
    </row>
    <row r="20" spans="1:15">
      <c r="A20" s="585" t="s">
        <v>143</v>
      </c>
      <c r="B20" s="586"/>
      <c r="C20" s="586"/>
      <c r="D20" s="490"/>
      <c r="E20" s="490"/>
      <c r="F20" s="490"/>
      <c r="G20" s="1333">
        <f>G18+G19</f>
        <v>187</v>
      </c>
      <c r="H20" s="460">
        <f>G20+'21'!H20</f>
        <v>4254</v>
      </c>
      <c r="I20" s="492">
        <f>I18-J20</f>
        <v>-128.36363636363637</v>
      </c>
      <c r="J20" s="552">
        <f>H20/DAY(B2)</f>
        <v>193.36363636363637</v>
      </c>
      <c r="K20" s="428"/>
      <c r="L20" s="377"/>
      <c r="N20" s="382"/>
      <c r="O20" s="382"/>
    </row>
    <row r="21" spans="1:15">
      <c r="A21" s="1573" t="s">
        <v>144</v>
      </c>
      <c r="B21" s="1574"/>
      <c r="C21" s="1575"/>
      <c r="D21" s="472"/>
      <c r="E21" s="472"/>
      <c r="F21" s="472"/>
      <c r="G21" s="1331"/>
      <c r="H21" s="472"/>
      <c r="I21" s="472"/>
      <c r="J21" s="551"/>
      <c r="K21" s="428"/>
      <c r="L21" s="377"/>
      <c r="N21" s="382"/>
      <c r="O21" s="382"/>
    </row>
    <row r="22" spans="1:15">
      <c r="A22" s="1358" t="s">
        <v>145</v>
      </c>
      <c r="B22" s="589"/>
      <c r="C22" s="589"/>
      <c r="D22" s="523" t="s">
        <v>146</v>
      </c>
      <c r="E22" s="484">
        <f>'21'!F22</f>
        <v>2970</v>
      </c>
      <c r="F22" s="484">
        <v>2970</v>
      </c>
      <c r="G22" s="1330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58" t="s">
        <v>147</v>
      </c>
      <c r="B23" s="589"/>
      <c r="C23" s="589"/>
      <c r="D23" s="523" t="s">
        <v>146</v>
      </c>
      <c r="E23" s="484">
        <f>'21'!F23</f>
        <v>2000</v>
      </c>
      <c r="F23" s="484">
        <v>2000</v>
      </c>
      <c r="G23" s="1330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148</v>
      </c>
      <c r="B24" s="591"/>
      <c r="C24" s="591"/>
      <c r="D24" s="511" t="s">
        <v>146</v>
      </c>
      <c r="E24" s="493">
        <f>'21'!F24</f>
        <v>4970</v>
      </c>
      <c r="F24" s="493">
        <v>4970</v>
      </c>
      <c r="G24" s="1330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133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133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21681.119999999995</v>
      </c>
      <c r="F27" s="501">
        <v>9</v>
      </c>
      <c r="G27" s="1336">
        <f>E27*F27</f>
        <v>195130.07999999996</v>
      </c>
      <c r="H27" s="460">
        <f>G27+'21'!H27</f>
        <v>4381075.4400000004</v>
      </c>
      <c r="I27" s="503"/>
      <c r="J27" s="552">
        <f>H27/DAY(B2)</f>
        <v>199139.79272727275</v>
      </c>
      <c r="K27" s="373"/>
      <c r="L27" s="443"/>
      <c r="N27" s="444"/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1">
        <f>G15</f>
        <v>730.32000000006519</v>
      </c>
      <c r="F28" s="501">
        <v>52</v>
      </c>
      <c r="G28" s="1336">
        <f>E28*F28</f>
        <v>37976.64000000339</v>
      </c>
      <c r="H28" s="460">
        <f>G28+'21'!H28</f>
        <v>944582.08000000194</v>
      </c>
      <c r="I28" s="505"/>
      <c r="J28" s="552">
        <f>H28/DAY(B2)</f>
        <v>42935.549090909182</v>
      </c>
      <c r="K28" s="373"/>
      <c r="L28" s="443"/>
      <c r="N28" s="444"/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1">
        <f>G24</f>
        <v>0</v>
      </c>
      <c r="F29" s="501">
        <v>69</v>
      </c>
      <c r="G29" s="1336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1">
        <f>G19</f>
        <v>67</v>
      </c>
      <c r="F30" s="501">
        <v>146</v>
      </c>
      <c r="G30" s="1336">
        <f>E30*F30</f>
        <v>9782</v>
      </c>
      <c r="H30" s="460">
        <f>G30+'21'!H30</f>
        <v>191260</v>
      </c>
      <c r="I30" s="505"/>
      <c r="J30" s="552">
        <f>H30/DAY(B2)</f>
        <v>8693.636363636364</v>
      </c>
      <c r="K30" s="373"/>
      <c r="L30" s="443"/>
      <c r="N30" s="444"/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1">
        <f>G18</f>
        <v>120</v>
      </c>
      <c r="F31" s="501">
        <v>80</v>
      </c>
      <c r="G31" s="1336">
        <f>E31*F31</f>
        <v>9600</v>
      </c>
      <c r="H31" s="460">
        <f>G31+'21'!H31</f>
        <v>229600</v>
      </c>
      <c r="I31" s="505"/>
      <c r="J31" s="552">
        <f>H31/DAY(B2)</f>
        <v>10436.363636363636</v>
      </c>
      <c r="K31" s="373"/>
      <c r="L31" s="443"/>
      <c r="N31" s="444"/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1337">
        <f>G27+G28+G29+G30+G31</f>
        <v>252488.72000000335</v>
      </c>
      <c r="H32" s="460">
        <f>G32+'21'!H32</f>
        <v>5746517.5200000023</v>
      </c>
      <c r="I32" s="509"/>
      <c r="J32" s="552">
        <f>H32/DAY(B2)</f>
        <v>261205.34181818191</v>
      </c>
      <c r="K32" s="373"/>
      <c r="L32" s="443"/>
      <c r="N32" s="444"/>
      <c r="O32" s="382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  <c r="O33" s="382"/>
    </row>
    <row r="34" spans="1:15">
      <c r="A34" s="598" t="s">
        <v>161</v>
      </c>
      <c r="B34" s="1363"/>
      <c r="C34" s="1363"/>
      <c r="D34" s="472"/>
      <c r="E34" s="471"/>
      <c r="F34" s="471"/>
      <c r="G34" s="133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162</v>
      </c>
      <c r="B35" s="579"/>
      <c r="C35" s="579"/>
      <c r="D35" s="523" t="s">
        <v>130</v>
      </c>
      <c r="E35" s="510">
        <f>'21'!F35</f>
        <v>1058597</v>
      </c>
      <c r="F35" s="510">
        <v>1058597</v>
      </c>
      <c r="G35" s="1328">
        <f t="shared" ref="G35:G46" si="2">F35-E35</f>
        <v>0</v>
      </c>
      <c r="H35" s="460">
        <f>G35+'21'!H35</f>
        <v>29883</v>
      </c>
      <c r="I35" s="455"/>
      <c r="J35" s="552">
        <f>H35/DAY(B2)</f>
        <v>1358.3181818181818</v>
      </c>
      <c r="K35" s="428"/>
      <c r="L35" s="377"/>
      <c r="N35" s="382"/>
      <c r="O35" s="628"/>
    </row>
    <row r="36" spans="1:15">
      <c r="A36" s="578" t="s">
        <v>163</v>
      </c>
      <c r="B36" s="579"/>
      <c r="C36" s="579"/>
      <c r="D36" s="523" t="s">
        <v>130</v>
      </c>
      <c r="E36" s="510">
        <f>'21'!F36</f>
        <v>39023.919999999998</v>
      </c>
      <c r="F36" s="510">
        <v>39677.78</v>
      </c>
      <c r="G36" s="1328">
        <f t="shared" si="2"/>
        <v>653.86000000000058</v>
      </c>
      <c r="H36" s="460">
        <f>G36+'21'!H36</f>
        <v>19216.78</v>
      </c>
      <c r="I36" s="455"/>
      <c r="J36" s="552">
        <f>H36/DAY(B2)</f>
        <v>873.4899999999999</v>
      </c>
      <c r="K36" s="428"/>
      <c r="L36" s="377"/>
      <c r="N36" s="382"/>
      <c r="O36" s="628"/>
    </row>
    <row r="37" spans="1:15">
      <c r="A37" s="578" t="s">
        <v>164</v>
      </c>
      <c r="B37" s="579"/>
      <c r="C37" s="579"/>
      <c r="D37" s="523" t="s">
        <v>130</v>
      </c>
      <c r="E37" s="510">
        <f>'21'!F37</f>
        <v>209828.89</v>
      </c>
      <c r="F37" s="510">
        <v>211447.87</v>
      </c>
      <c r="G37" s="1328">
        <f t="shared" si="2"/>
        <v>1618.9799999999814</v>
      </c>
      <c r="H37" s="460">
        <f>G37+'21'!H37</f>
        <v>34877.869999999995</v>
      </c>
      <c r="I37" s="455"/>
      <c r="J37" s="552">
        <f>H37/DAY(B2)</f>
        <v>1585.3577272727271</v>
      </c>
      <c r="K37" s="428"/>
      <c r="L37" s="377"/>
      <c r="N37" s="382"/>
      <c r="O37" s="382"/>
    </row>
    <row r="38" spans="1:15">
      <c r="A38" s="578" t="s">
        <v>165</v>
      </c>
      <c r="B38" s="579"/>
      <c r="C38" s="579"/>
      <c r="D38" s="523" t="s">
        <v>130</v>
      </c>
      <c r="E38" s="469">
        <f>'21'!F38</f>
        <v>232484.91</v>
      </c>
      <c r="F38" s="469">
        <v>233975.71</v>
      </c>
      <c r="G38" s="1328">
        <f t="shared" si="2"/>
        <v>1490.7999999999884</v>
      </c>
      <c r="H38" s="460">
        <f>G38+'21'!H38</f>
        <v>35516.709999999992</v>
      </c>
      <c r="I38" s="455"/>
      <c r="J38" s="552">
        <f>H38/DAY(B2)</f>
        <v>1614.3959090909086</v>
      </c>
      <c r="K38" s="428"/>
      <c r="L38" s="377"/>
      <c r="N38" s="382"/>
      <c r="O38" s="382"/>
    </row>
    <row r="39" spans="1:15">
      <c r="A39" s="578" t="s">
        <v>166</v>
      </c>
      <c r="B39" s="579"/>
      <c r="C39" s="579"/>
      <c r="D39" s="523" t="s">
        <v>130</v>
      </c>
      <c r="E39" s="510">
        <f>'21'!F39</f>
        <v>482591.95</v>
      </c>
      <c r="F39" s="510">
        <v>486351.03</v>
      </c>
      <c r="G39" s="1328">
        <f t="shared" si="2"/>
        <v>3759.0800000000163</v>
      </c>
      <c r="H39" s="460">
        <f>G39+'21'!H39</f>
        <v>81487.030000000028</v>
      </c>
      <c r="I39" s="455"/>
      <c r="J39" s="552">
        <f>H39/DAY(B2)</f>
        <v>3703.9559090909102</v>
      </c>
      <c r="K39" s="428"/>
      <c r="L39" s="377"/>
      <c r="N39" s="382"/>
      <c r="O39" s="382"/>
    </row>
    <row r="40" spans="1:15">
      <c r="A40" s="599" t="s">
        <v>167</v>
      </c>
      <c r="B40" s="600"/>
      <c r="C40" s="600"/>
      <c r="D40" s="523" t="s">
        <v>130</v>
      </c>
      <c r="E40" s="510">
        <f>'21'!F40</f>
        <v>15413.4</v>
      </c>
      <c r="F40" s="510">
        <v>15858.73</v>
      </c>
      <c r="G40" s="1328">
        <f t="shared" si="2"/>
        <v>445.32999999999993</v>
      </c>
      <c r="H40" s="460">
        <f>G40+'21'!H40</f>
        <v>8745.73</v>
      </c>
      <c r="I40" s="455"/>
      <c r="J40" s="552">
        <f>H40/DAY(B2)</f>
        <v>397.53318181818179</v>
      </c>
      <c r="K40" s="429"/>
      <c r="L40" s="377"/>
      <c r="N40" s="382"/>
      <c r="O40" s="382"/>
    </row>
    <row r="41" spans="1:15">
      <c r="A41" s="578" t="s">
        <v>168</v>
      </c>
      <c r="B41" s="579"/>
      <c r="C41" s="579"/>
      <c r="D41" s="523" t="s">
        <v>130</v>
      </c>
      <c r="E41" s="510">
        <f>'21'!F41</f>
        <v>365502.35</v>
      </c>
      <c r="F41" s="510">
        <v>366839.55</v>
      </c>
      <c r="G41" s="1328">
        <f t="shared" si="2"/>
        <v>1337.2000000000116</v>
      </c>
      <c r="H41" s="460">
        <f>G41+'21'!H41</f>
        <v>37197.549999999988</v>
      </c>
      <c r="I41" s="455"/>
      <c r="J41" s="552">
        <f>H41/DAY(B2)</f>
        <v>1690.7977272727267</v>
      </c>
      <c r="K41" s="428"/>
      <c r="L41" s="377"/>
      <c r="N41" s="382"/>
      <c r="O41" s="721"/>
    </row>
    <row r="42" spans="1:15">
      <c r="A42" s="578" t="s">
        <v>169</v>
      </c>
      <c r="B42" s="579"/>
      <c r="C42" s="579"/>
      <c r="D42" s="523" t="s">
        <v>130</v>
      </c>
      <c r="E42" s="510">
        <f>'21'!F42</f>
        <v>89172.1</v>
      </c>
      <c r="F42" s="510">
        <v>89172.1</v>
      </c>
      <c r="G42" s="1328">
        <f t="shared" si="2"/>
        <v>0</v>
      </c>
      <c r="H42" s="460">
        <f>G42+'21'!H42</f>
        <v>29973.210000000006</v>
      </c>
      <c r="I42" s="455"/>
      <c r="J42" s="552">
        <f>H42/DAY(B2)</f>
        <v>1362.4186363636366</v>
      </c>
      <c r="K42" s="428"/>
      <c r="L42" s="377"/>
      <c r="N42" s="382"/>
      <c r="O42" s="382"/>
    </row>
    <row r="43" spans="1:15">
      <c r="A43" s="578" t="s">
        <v>170</v>
      </c>
      <c r="B43" s="579"/>
      <c r="C43" s="579"/>
      <c r="D43" s="523" t="s">
        <v>130</v>
      </c>
      <c r="E43" s="510">
        <f>'21'!F43</f>
        <v>1177047.3</v>
      </c>
      <c r="F43" s="510">
        <v>1179688.8999999999</v>
      </c>
      <c r="G43" s="1328">
        <f>F43-E43</f>
        <v>2641.5999999998603</v>
      </c>
      <c r="H43" s="460">
        <f>G43+'21'!H43</f>
        <v>59236.899999999907</v>
      </c>
      <c r="I43" s="455"/>
      <c r="J43" s="552">
        <f>H43/DAY(B2)</f>
        <v>2692.5863636363592</v>
      </c>
      <c r="K43" s="428"/>
      <c r="L43" s="377"/>
      <c r="N43" s="382"/>
      <c r="O43" s="382"/>
    </row>
    <row r="44" spans="1:15">
      <c r="A44" s="578" t="s">
        <v>171</v>
      </c>
      <c r="B44" s="579"/>
      <c r="C44" s="579"/>
      <c r="D44" s="523" t="s">
        <v>130</v>
      </c>
      <c r="E44" s="510">
        <f>'21'!F44</f>
        <v>0</v>
      </c>
      <c r="F44" s="510">
        <v>0</v>
      </c>
      <c r="G44" s="1328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172</v>
      </c>
      <c r="B45" s="579"/>
      <c r="C45" s="579"/>
      <c r="D45" s="523" t="s">
        <v>130</v>
      </c>
      <c r="E45" s="510">
        <f>'21'!F45</f>
        <v>614</v>
      </c>
      <c r="F45" s="510">
        <v>614</v>
      </c>
      <c r="G45" s="1328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173</v>
      </c>
      <c r="B46" s="579"/>
      <c r="C46" s="579"/>
      <c r="D46" s="523" t="s">
        <v>130</v>
      </c>
      <c r="E46" s="510">
        <f>'21'!F46</f>
        <v>187</v>
      </c>
      <c r="F46" s="510">
        <v>187</v>
      </c>
      <c r="G46" s="1328">
        <f t="shared" si="2"/>
        <v>0</v>
      </c>
      <c r="H46" s="460">
        <f>G46+'21'!H46</f>
        <v>-0.49000000000000909</v>
      </c>
      <c r="I46" s="455"/>
      <c r="J46" s="552">
        <f>H46/DAY(B2)</f>
        <v>-2.2272727272727687E-2</v>
      </c>
      <c r="K46" s="428"/>
      <c r="L46" s="377"/>
      <c r="N46" s="382"/>
      <c r="O46" s="382"/>
    </row>
    <row r="47" spans="1:15">
      <c r="A47" s="585" t="s">
        <v>174</v>
      </c>
      <c r="B47" s="586"/>
      <c r="C47" s="586"/>
      <c r="D47" s="470"/>
      <c r="E47" s="511"/>
      <c r="F47" s="511"/>
      <c r="G47" s="1330">
        <f>G35+G36+G37+G38+G39+G40+G41+G42+G43+G44+G45+G46</f>
        <v>11946.849999999858</v>
      </c>
      <c r="H47" s="460">
        <f>G47+'21'!H47</f>
        <v>336935.77999999991</v>
      </c>
      <c r="I47" s="455"/>
      <c r="J47" s="552">
        <f>H47/DAY(B2)</f>
        <v>15315.262727272724</v>
      </c>
      <c r="K47" s="428"/>
      <c r="L47" s="377"/>
      <c r="N47" s="382"/>
      <c r="O47" s="382"/>
    </row>
    <row r="48" spans="1:15">
      <c r="A48" s="598" t="s">
        <v>175</v>
      </c>
      <c r="B48" s="1363"/>
      <c r="C48" s="1363"/>
      <c r="D48" s="472"/>
      <c r="E48" s="471"/>
      <c r="F48" s="471"/>
      <c r="G48" s="1338"/>
      <c r="H48" s="472"/>
      <c r="I48" s="472"/>
      <c r="J48" s="551"/>
      <c r="K48" s="428"/>
      <c r="L48" s="377"/>
      <c r="N48" s="382"/>
      <c r="O48" s="382"/>
    </row>
    <row r="49" spans="1:15">
      <c r="A49" s="578" t="s">
        <v>162</v>
      </c>
      <c r="B49" s="601"/>
      <c r="C49" s="601"/>
      <c r="D49" s="523" t="s">
        <v>130</v>
      </c>
      <c r="E49" s="510">
        <f>'21'!F49</f>
        <v>294020.75</v>
      </c>
      <c r="F49" s="510">
        <v>296946.51</v>
      </c>
      <c r="G49" s="1328">
        <f t="shared" ref="G49:G58" si="3">F49-E49</f>
        <v>2925.7600000000093</v>
      </c>
      <c r="H49" s="460">
        <f>G49+'21'!H49</f>
        <v>36182.510000000009</v>
      </c>
      <c r="I49" s="455"/>
      <c r="J49" s="552">
        <f>H49/DAY(B2)</f>
        <v>1644.6595454545459</v>
      </c>
      <c r="K49" s="428"/>
      <c r="L49" s="377"/>
      <c r="N49" s="382"/>
      <c r="O49" s="382"/>
    </row>
    <row r="50" spans="1:15">
      <c r="A50" s="578" t="s">
        <v>176</v>
      </c>
      <c r="B50" s="601"/>
      <c r="C50" s="601"/>
      <c r="D50" s="523" t="s">
        <v>130</v>
      </c>
      <c r="E50" s="510">
        <f>'21'!F50</f>
        <v>559700.67000000004</v>
      </c>
      <c r="F50" s="510">
        <v>560780.18999999994</v>
      </c>
      <c r="G50" s="1328">
        <f t="shared" si="3"/>
        <v>1079.5199999999022</v>
      </c>
      <c r="H50" s="460">
        <f>G50+'21'!H50</f>
        <v>25024.189999999944</v>
      </c>
      <c r="I50" s="455"/>
      <c r="J50" s="552">
        <f>H50/DAY(B2)</f>
        <v>1137.4631818181792</v>
      </c>
      <c r="K50" s="428"/>
      <c r="L50" s="377"/>
      <c r="N50" s="382"/>
      <c r="O50" s="382"/>
    </row>
    <row r="51" spans="1:15">
      <c r="A51" s="578" t="s">
        <v>164</v>
      </c>
      <c r="B51" s="601"/>
      <c r="C51" s="601"/>
      <c r="D51" s="523" t="s">
        <v>130</v>
      </c>
      <c r="E51" s="510">
        <f>'21'!F51</f>
        <v>144640</v>
      </c>
      <c r="F51" s="510">
        <v>144640</v>
      </c>
      <c r="G51" s="1328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177</v>
      </c>
      <c r="B52" s="601"/>
      <c r="C52" s="601"/>
      <c r="D52" s="523" t="s">
        <v>130</v>
      </c>
      <c r="E52" s="510">
        <f>'21'!F52</f>
        <v>539606.06999999995</v>
      </c>
      <c r="F52" s="510">
        <v>539606.06999999995</v>
      </c>
      <c r="G52" s="1328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166</v>
      </c>
      <c r="B53" s="601"/>
      <c r="C53" s="601"/>
      <c r="D53" s="523" t="s">
        <v>130</v>
      </c>
      <c r="E53" s="510">
        <f>'21'!F53</f>
        <v>434231.59</v>
      </c>
      <c r="F53" s="510">
        <v>434231.59</v>
      </c>
      <c r="G53" s="1328">
        <f t="shared" si="3"/>
        <v>0</v>
      </c>
      <c r="H53" s="460">
        <f>G53+'21'!H53</f>
        <v>-0.73999999999068677</v>
      </c>
      <c r="I53" s="455"/>
      <c r="J53" s="552">
        <f>H53/DAY(B2)</f>
        <v>-3.363636363594031E-2</v>
      </c>
      <c r="K53" s="428"/>
      <c r="L53" s="377"/>
      <c r="N53" s="382"/>
      <c r="O53" s="382"/>
    </row>
    <row r="54" spans="1:15">
      <c r="A54" s="578" t="s">
        <v>178</v>
      </c>
      <c r="B54" s="601"/>
      <c r="C54" s="601"/>
      <c r="D54" s="523" t="s">
        <v>130</v>
      </c>
      <c r="E54" s="510">
        <f>'21'!F54</f>
        <v>14967</v>
      </c>
      <c r="F54" s="510">
        <v>14967.39</v>
      </c>
      <c r="G54" s="1328">
        <f t="shared" si="3"/>
        <v>0.38999999999941792</v>
      </c>
      <c r="H54" s="460">
        <f>G54+'21'!H54</f>
        <v>0.38999999999941792</v>
      </c>
      <c r="I54" s="455"/>
      <c r="J54" s="552">
        <f>H54/DAY(B2)</f>
        <v>1.7727272727246269E-2</v>
      </c>
      <c r="K54" s="428"/>
      <c r="L54" s="377"/>
      <c r="N54" s="382"/>
      <c r="O54" s="382"/>
    </row>
    <row r="55" spans="1:15">
      <c r="A55" s="578" t="s">
        <v>179</v>
      </c>
      <c r="B55" s="601"/>
      <c r="C55" s="601"/>
      <c r="D55" s="523" t="s">
        <v>130</v>
      </c>
      <c r="E55" s="510">
        <f>'21'!F55</f>
        <v>193307.01</v>
      </c>
      <c r="F55" s="510">
        <v>198850.87</v>
      </c>
      <c r="G55" s="1328">
        <f t="shared" si="3"/>
        <v>5543.859999999986</v>
      </c>
      <c r="H55" s="460">
        <f>G55+'21'!H55</f>
        <v>75640.87</v>
      </c>
      <c r="I55" s="455"/>
      <c r="J55" s="552">
        <f>H55/DAY(B2)</f>
        <v>3438.2213636363635</v>
      </c>
      <c r="K55" s="428"/>
      <c r="L55" s="377"/>
      <c r="N55" s="382"/>
      <c r="O55" s="382"/>
    </row>
    <row r="56" spans="1:15" s="441" customFormat="1">
      <c r="A56" s="1100" t="s">
        <v>180</v>
      </c>
      <c r="B56" s="1101"/>
      <c r="C56" s="1101"/>
      <c r="D56" s="627" t="s">
        <v>181</v>
      </c>
      <c r="E56" s="653">
        <f>'21'!F56</f>
        <v>649252.18999999994</v>
      </c>
      <c r="F56" s="653">
        <v>649262.82999999996</v>
      </c>
      <c r="G56" s="1349">
        <f t="shared" si="3"/>
        <v>10.64000000001397</v>
      </c>
      <c r="H56" s="705">
        <f>G56+'21'!H56</f>
        <v>220.82999999995809</v>
      </c>
      <c r="I56" s="706"/>
      <c r="J56" s="707">
        <f>H56/DAY(B2)</f>
        <v>10.037727272725368</v>
      </c>
      <c r="K56" s="1354"/>
      <c r="L56" s="1103"/>
      <c r="N56" s="713"/>
      <c r="O56" s="713"/>
    </row>
    <row r="57" spans="1:15">
      <c r="A57" s="578" t="s">
        <v>170</v>
      </c>
      <c r="B57" s="601"/>
      <c r="C57" s="601"/>
      <c r="D57" s="523" t="s">
        <v>130</v>
      </c>
      <c r="E57" s="510">
        <f>'21'!F57</f>
        <v>7711</v>
      </c>
      <c r="F57" s="510">
        <v>7711</v>
      </c>
      <c r="G57" s="1328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182</v>
      </c>
      <c r="B58" s="601"/>
      <c r="C58" s="601"/>
      <c r="D58" s="523" t="s">
        <v>130</v>
      </c>
      <c r="E58" s="510">
        <f>'21'!F58</f>
        <v>57648.63</v>
      </c>
      <c r="F58" s="510">
        <v>57838.13</v>
      </c>
      <c r="G58" s="1328">
        <f t="shared" si="3"/>
        <v>189.5</v>
      </c>
      <c r="H58" s="460">
        <f>G58+'21'!H58</f>
        <v>3658.1299999999974</v>
      </c>
      <c r="I58" s="455"/>
      <c r="J58" s="552">
        <f>H58/DAY(B2)</f>
        <v>166.27863636363625</v>
      </c>
      <c r="K58" s="428"/>
      <c r="L58" s="377"/>
      <c r="N58" s="382"/>
      <c r="O58" s="382"/>
    </row>
    <row r="59" spans="1:15">
      <c r="A59" s="585" t="s">
        <v>174</v>
      </c>
      <c r="B59" s="586"/>
      <c r="C59" s="586"/>
      <c r="D59" s="511"/>
      <c r="E59" s="511"/>
      <c r="F59" s="511"/>
      <c r="G59" s="1330">
        <f>G49+G50+G51+G52+G53+G54+G55+G56+G57+G58</f>
        <v>9749.6699999999109</v>
      </c>
      <c r="H59" s="460">
        <f>G59+'21'!H59</f>
        <v>140726.24999999985</v>
      </c>
      <c r="I59" s="455">
        <f>G7-G60</f>
        <v>-86.759999999761931</v>
      </c>
      <c r="J59" s="552">
        <f>H59/DAY(B2)</f>
        <v>6396.6477272727207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183</v>
      </c>
      <c r="E60" s="511"/>
      <c r="F60" s="511"/>
      <c r="G60" s="1330">
        <f>G47+G59</f>
        <v>21696.519999999771</v>
      </c>
      <c r="H60" s="460">
        <f>G60+'21'!H60</f>
        <v>484565.35999999981</v>
      </c>
      <c r="I60" s="455">
        <f>G13-G60</f>
        <v>-773.91999999967811</v>
      </c>
      <c r="J60" s="552">
        <f>H47/DAY(B2)</f>
        <v>15315.262727272724</v>
      </c>
      <c r="K60" s="428"/>
      <c r="L60" s="377"/>
      <c r="N60" s="382"/>
      <c r="O60" s="382"/>
    </row>
    <row r="61" spans="1:15">
      <c r="A61" s="602" t="s">
        <v>184</v>
      </c>
      <c r="B61" s="453"/>
      <c r="C61" s="453"/>
      <c r="D61" s="513"/>
      <c r="E61" s="512"/>
      <c r="F61" s="512"/>
      <c r="G61" s="1339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185</v>
      </c>
      <c r="E62" s="514">
        <f>'21'!F62</f>
        <v>20419.2</v>
      </c>
      <c r="F62" s="514">
        <v>20419.2</v>
      </c>
      <c r="G62" s="1328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186</v>
      </c>
      <c r="B63" s="604"/>
      <c r="C63" s="604"/>
      <c r="D63" s="511" t="s">
        <v>185</v>
      </c>
      <c r="E63" s="514">
        <f>'21'!F63</f>
        <v>0</v>
      </c>
      <c r="F63" s="514">
        <v>0</v>
      </c>
      <c r="G63" s="1328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84">
        <f>'21'!F64</f>
        <v>178152.49</v>
      </c>
      <c r="F64" s="484">
        <v>178527.35</v>
      </c>
      <c r="G64" s="1328">
        <f t="shared" si="4"/>
        <v>374.86000000001513</v>
      </c>
      <c r="H64" s="460">
        <f>G64+'21'!H64</f>
        <v>8505.3500000000058</v>
      </c>
      <c r="I64" s="480"/>
      <c r="J64" s="552">
        <f>H64/DAY(B2)</f>
        <v>386.60681818181843</v>
      </c>
      <c r="K64" s="428"/>
      <c r="L64" s="377"/>
      <c r="N64" s="382"/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84">
        <f>'21'!F65</f>
        <v>178292.59</v>
      </c>
      <c r="F65" s="484">
        <v>178694.59</v>
      </c>
      <c r="G65" s="1328">
        <f t="shared" si="4"/>
        <v>402</v>
      </c>
      <c r="H65" s="460">
        <f>G65+'21'!H65</f>
        <v>8392.5899999999965</v>
      </c>
      <c r="I65" s="489"/>
      <c r="J65" s="552">
        <f>H65/DAY(B2)</f>
        <v>381.48136363636348</v>
      </c>
      <c r="K65" s="428"/>
      <c r="L65" s="377"/>
      <c r="N65" s="382"/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84">
        <f>'21'!F66</f>
        <v>76625.75</v>
      </c>
      <c r="F66" s="484">
        <v>77018.289999999994</v>
      </c>
      <c r="G66" s="1328">
        <f t="shared" si="4"/>
        <v>392.5399999999936</v>
      </c>
      <c r="H66" s="460">
        <f>G66+'21'!H66</f>
        <v>9048.2899999999936</v>
      </c>
      <c r="I66" s="480"/>
      <c r="J66" s="552">
        <f>H66/DAY(B2)</f>
        <v>411.28590909090877</v>
      </c>
      <c r="K66" s="428"/>
      <c r="L66" s="377"/>
      <c r="N66" s="382"/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84">
        <f>'21'!F67</f>
        <v>274928.11</v>
      </c>
      <c r="F67" s="484">
        <v>275417.73</v>
      </c>
      <c r="G67" s="1328">
        <f t="shared" si="4"/>
        <v>489.61999999999534</v>
      </c>
      <c r="H67" s="460">
        <f>G67+'21'!H67</f>
        <v>10458.729999999981</v>
      </c>
      <c r="I67" s="489"/>
      <c r="J67" s="552">
        <f>H67/DAY(B2)</f>
        <v>475.39681818181731</v>
      </c>
      <c r="K67" s="429"/>
      <c r="L67" s="377"/>
      <c r="N67" s="382"/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84">
        <f>'21'!F68</f>
        <v>85321</v>
      </c>
      <c r="F68" s="484">
        <v>85321</v>
      </c>
      <c r="G68" s="1328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84">
        <f>'21'!F69</f>
        <v>93221.18</v>
      </c>
      <c r="F69" s="484">
        <v>93521.99</v>
      </c>
      <c r="G69" s="1328">
        <f t="shared" si="4"/>
        <v>300.81000000001222</v>
      </c>
      <c r="H69" s="460">
        <f>G69+'21'!H69</f>
        <v>6006.9900000000052</v>
      </c>
      <c r="I69" s="516"/>
      <c r="J69" s="552">
        <f>H69/DAY(B2)</f>
        <v>273.04500000000024</v>
      </c>
      <c r="K69" s="431"/>
      <c r="L69" s="377"/>
      <c r="N69" s="382"/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1340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519">
        <f>'21'!F72</f>
        <v>856485</v>
      </c>
      <c r="F72" s="519">
        <v>856496</v>
      </c>
      <c r="G72" s="1328">
        <f t="shared" ref="G72:G84" si="5">F72-E72</f>
        <v>11</v>
      </c>
      <c r="H72" s="460">
        <f>G72+'21'!H72</f>
        <v>261</v>
      </c>
      <c r="I72" s="480"/>
      <c r="J72" s="552">
        <f>H72/DAY(B2)</f>
        <v>11.863636363636363</v>
      </c>
      <c r="K72" s="431"/>
      <c r="L72" s="377"/>
      <c r="N72" s="382"/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520">
        <f>'21'!F73</f>
        <v>886001</v>
      </c>
      <c r="F73" s="520">
        <v>886002</v>
      </c>
      <c r="G73" s="1328">
        <f t="shared" si="5"/>
        <v>1</v>
      </c>
      <c r="H73" s="460">
        <f>G73+'21'!H73</f>
        <v>168</v>
      </c>
      <c r="I73" s="480"/>
      <c r="J73" s="552">
        <f>H73/DAY(B2)</f>
        <v>7.6363636363636367</v>
      </c>
      <c r="K73" s="430"/>
      <c r="L73" s="377"/>
      <c r="N73" s="382"/>
      <c r="O73" s="382"/>
    </row>
    <row r="74" spans="1:15" ht="27.75">
      <c r="A74" s="1625" t="s">
        <v>191</v>
      </c>
      <c r="B74" s="1626"/>
      <c r="C74" s="1627"/>
      <c r="D74" s="523" t="s">
        <v>185</v>
      </c>
      <c r="E74" s="521">
        <f>'21'!F74</f>
        <v>88720.6</v>
      </c>
      <c r="F74" s="521">
        <v>88722</v>
      </c>
      <c r="G74" s="1328">
        <f t="shared" si="5"/>
        <v>1.3999999999941792</v>
      </c>
      <c r="H74" s="460">
        <f>G74+'21'!H74</f>
        <v>60</v>
      </c>
      <c r="I74" s="480"/>
      <c r="J74" s="552">
        <f>H74/DAY(B2)</f>
        <v>2.7272727272727271</v>
      </c>
      <c r="K74" s="431"/>
      <c r="L74" s="377"/>
      <c r="N74" s="382"/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521">
        <f>'21'!F75</f>
        <v>19344.88</v>
      </c>
      <c r="F75" s="521">
        <v>19494.830000000002</v>
      </c>
      <c r="G75" s="1328">
        <f t="shared" si="5"/>
        <v>149.95000000000073</v>
      </c>
      <c r="H75" s="460">
        <f>G75+'21'!H75</f>
        <v>3423.8300000000017</v>
      </c>
      <c r="I75" s="480"/>
      <c r="J75" s="552">
        <f>H75/DAY(B2)</f>
        <v>155.62863636363645</v>
      </c>
      <c r="K75" s="430"/>
      <c r="L75" s="377"/>
      <c r="N75" s="382"/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520">
        <f>'21'!F76</f>
        <v>10710.35</v>
      </c>
      <c r="F76" s="646">
        <v>10775.95</v>
      </c>
      <c r="G76" s="1328">
        <f t="shared" si="5"/>
        <v>65.600000000000364</v>
      </c>
      <c r="H76" s="460">
        <f>G76+'21'!H76</f>
        <v>2556.9500000000007</v>
      </c>
      <c r="I76" s="505"/>
      <c r="J76" s="552">
        <f>H76/DAY(B2)</f>
        <v>116.22500000000004</v>
      </c>
      <c r="K76" s="430"/>
      <c r="L76" s="377"/>
      <c r="N76" s="382"/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521">
        <f>'21'!F77</f>
        <v>705719</v>
      </c>
      <c r="F77" s="521">
        <v>705784</v>
      </c>
      <c r="G77" s="1328">
        <f t="shared" si="5"/>
        <v>65</v>
      </c>
      <c r="H77" s="460">
        <f>G77+'21'!H77</f>
        <v>1410</v>
      </c>
      <c r="I77" s="505"/>
      <c r="J77" s="552">
        <f>H77/DAY(B2)</f>
        <v>64.090909090909093</v>
      </c>
      <c r="K77" s="430"/>
      <c r="L77" s="377"/>
      <c r="N77" s="382"/>
      <c r="O77" s="382"/>
    </row>
    <row r="78" spans="1:15" ht="27.75">
      <c r="A78" s="1361" t="s">
        <v>195</v>
      </c>
      <c r="B78" s="1355"/>
      <c r="C78" s="1355"/>
      <c r="D78" s="523" t="s">
        <v>185</v>
      </c>
      <c r="E78" s="521">
        <f>'21'!F78</f>
        <v>677498</v>
      </c>
      <c r="F78" s="521">
        <v>677598</v>
      </c>
      <c r="G78" s="1328">
        <f t="shared" si="5"/>
        <v>100</v>
      </c>
      <c r="H78" s="460">
        <f>G78+'21'!H78</f>
        <v>2184</v>
      </c>
      <c r="I78" s="505"/>
      <c r="J78" s="552">
        <f>H78/DAY(B2)</f>
        <v>99.272727272727266</v>
      </c>
      <c r="K78" s="430"/>
      <c r="L78" s="377"/>
      <c r="N78" s="382"/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521">
        <f>'21'!F79</f>
        <v>838729</v>
      </c>
      <c r="F79" s="521">
        <v>838874</v>
      </c>
      <c r="G79" s="1328">
        <f t="shared" si="5"/>
        <v>145</v>
      </c>
      <c r="H79" s="460">
        <f>G79+'21'!H79</f>
        <v>2720</v>
      </c>
      <c r="I79" s="505"/>
      <c r="J79" s="552">
        <f>H79/DAY(B2)</f>
        <v>123.63636363636364</v>
      </c>
      <c r="K79" s="430"/>
      <c r="L79" s="377"/>
      <c r="N79" s="382"/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520">
        <f>'21'!F80</f>
        <v>548018</v>
      </c>
      <c r="F80" s="520">
        <v>548404</v>
      </c>
      <c r="G80" s="1328">
        <f t="shared" si="5"/>
        <v>386</v>
      </c>
      <c r="H80" s="460">
        <f>G80+'21'!H80</f>
        <v>6013</v>
      </c>
      <c r="I80" s="505"/>
      <c r="J80" s="552">
        <f>H80/DAY(B2)</f>
        <v>273.31818181818181</v>
      </c>
      <c r="K80" s="430"/>
      <c r="L80" s="377"/>
      <c r="N80" s="382"/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520">
        <f>'21'!F81</f>
        <v>647097</v>
      </c>
      <c r="F81" s="520">
        <v>647283</v>
      </c>
      <c r="G81" s="1328">
        <f t="shared" si="5"/>
        <v>186</v>
      </c>
      <c r="H81" s="460">
        <f>G81+'21'!H81</f>
        <v>4298</v>
      </c>
      <c r="I81" s="505"/>
      <c r="J81" s="552">
        <f>H81/DAY(B2)</f>
        <v>195.36363636363637</v>
      </c>
      <c r="K81" s="430"/>
      <c r="L81" s="377"/>
      <c r="N81" s="382"/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522">
        <f>'21'!F82</f>
        <v>109128.52</v>
      </c>
      <c r="F82" s="522">
        <v>109141.22</v>
      </c>
      <c r="G82" s="1328">
        <f t="shared" si="5"/>
        <v>12.69999999999709</v>
      </c>
      <c r="H82" s="460">
        <f>G82+'21'!H82</f>
        <v>460.22000000000116</v>
      </c>
      <c r="I82" s="486"/>
      <c r="J82" s="552">
        <f>H82/DAY(B2)</f>
        <v>20.919090909090961</v>
      </c>
      <c r="K82" s="430"/>
      <c r="L82" s="377"/>
      <c r="N82" s="382"/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511">
        <f>'21'!F83</f>
        <v>32534</v>
      </c>
      <c r="F83" s="511">
        <v>32722</v>
      </c>
      <c r="G83" s="1328">
        <f t="shared" si="5"/>
        <v>188</v>
      </c>
      <c r="H83" s="460">
        <f>G83+'21'!H83</f>
        <v>5171</v>
      </c>
      <c r="I83" s="481"/>
      <c r="J83" s="552">
        <f>H83/DAY(B2)</f>
        <v>235.04545454545453</v>
      </c>
      <c r="K83" s="429"/>
      <c r="L83" s="377"/>
      <c r="N83" s="382"/>
      <c r="O83" s="721"/>
    </row>
    <row r="84" spans="1:15">
      <c r="A84" s="1362" t="s">
        <v>199</v>
      </c>
      <c r="B84" s="571"/>
      <c r="C84" s="571"/>
      <c r="D84" s="478" t="s">
        <v>130</v>
      </c>
      <c r="E84" s="627">
        <f>'21'!F84</f>
        <v>539560</v>
      </c>
      <c r="F84" s="627">
        <v>540260</v>
      </c>
      <c r="G84" s="1328">
        <f t="shared" si="5"/>
        <v>700</v>
      </c>
      <c r="H84" s="460">
        <f>G84+'21'!H84</f>
        <v>17180</v>
      </c>
      <c r="I84" s="481"/>
      <c r="J84" s="552">
        <f>H84/DAY(B2)</f>
        <v>780.90909090909088</v>
      </c>
      <c r="K84" s="380"/>
      <c r="L84" s="377"/>
      <c r="N84" s="382"/>
      <c r="O84" s="382"/>
    </row>
    <row r="85" spans="1:15" s="379" customFormat="1">
      <c r="A85" s="605" t="s">
        <v>200</v>
      </c>
      <c r="B85" s="572"/>
      <c r="C85" s="572"/>
      <c r="D85" s="489"/>
      <c r="E85" s="523"/>
      <c r="F85" s="523"/>
      <c r="G85" s="1341">
        <f xml:space="preserve"> SUM(G72:G84)</f>
        <v>2011.6499999999924</v>
      </c>
      <c r="H85" s="460">
        <f>G85+'21'!H85</f>
        <v>48780</v>
      </c>
      <c r="I85" s="481"/>
      <c r="J85" s="552">
        <f>H85/DAY(B2)</f>
        <v>2217.2727272727275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181</v>
      </c>
      <c r="E86" s="647">
        <f>'21'!F86</f>
        <v>462300.52</v>
      </c>
      <c r="F86" s="647">
        <v>462323</v>
      </c>
      <c r="G86" s="1342">
        <f t="shared" ref="G86:G88" si="6">F86-E86</f>
        <v>22.479999999981374</v>
      </c>
      <c r="H86" s="460">
        <f>G86+'21'!H86</f>
        <v>93.159999999974389</v>
      </c>
      <c r="I86" s="652"/>
      <c r="J86" s="707">
        <f>H86/DAY(B2)</f>
        <v>4.23454545454429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181</v>
      </c>
      <c r="E87" s="647">
        <f>'21'!F87</f>
        <v>82655.8</v>
      </c>
      <c r="F87" s="647">
        <v>82685.899999999994</v>
      </c>
      <c r="G87" s="1342">
        <f t="shared" si="6"/>
        <v>30.099999999991269</v>
      </c>
      <c r="H87" s="460">
        <f>G87+'21'!H87</f>
        <v>142.89999999999418</v>
      </c>
      <c r="I87" s="652"/>
      <c r="J87" s="707">
        <f>H87/DAY(B2)</f>
        <v>6.4954545454542805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181</v>
      </c>
      <c r="E88" s="647">
        <f>'21'!F88</f>
        <v>157718.82999999999</v>
      </c>
      <c r="F88" s="647">
        <v>157848.71</v>
      </c>
      <c r="G88" s="1342">
        <f t="shared" si="6"/>
        <v>129.88000000000466</v>
      </c>
      <c r="H88" s="460">
        <f>G88+'21'!H88</f>
        <v>602.98999999999069</v>
      </c>
      <c r="I88" s="652"/>
      <c r="J88" s="707">
        <f>H88/DAY(B2)</f>
        <v>27.408636363635939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181</v>
      </c>
      <c r="E89" s="647">
        <f>'21'!F89</f>
        <v>66668.5</v>
      </c>
      <c r="F89" s="647">
        <v>66712.7</v>
      </c>
      <c r="G89" s="1342">
        <f t="shared" ref="G89:G91" si="7">F89-E89</f>
        <v>44.19999999999709</v>
      </c>
      <c r="H89" s="460">
        <f>G89+'21'!H89</f>
        <v>151.89999999999418</v>
      </c>
      <c r="I89" s="652"/>
      <c r="J89" s="707">
        <f>H89/DAY(B2)</f>
        <v>6.9045454545451896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47">
        <f>'21'!F90</f>
        <v>3416</v>
      </c>
      <c r="F90" s="647">
        <v>3420.3</v>
      </c>
      <c r="G90" s="1342">
        <f t="shared" si="7"/>
        <v>4.3000000000001819</v>
      </c>
      <c r="H90" s="460">
        <f>G90+'21'!H90</f>
        <v>12.300000000000182</v>
      </c>
      <c r="I90" s="652"/>
      <c r="J90" s="707">
        <f>H90/DAY(B2)</f>
        <v>0.55909090909091741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/>
      <c r="E91" s="647">
        <f>'21'!F91</f>
        <v>28422.5</v>
      </c>
      <c r="F91" s="647">
        <v>28434.34</v>
      </c>
      <c r="G91" s="705">
        <f t="shared" si="7"/>
        <v>11.840000000000146</v>
      </c>
      <c r="H91" s="460">
        <f>G91+'21'!H91</f>
        <v>31.340000000000146</v>
      </c>
      <c r="I91" s="652"/>
      <c r="J91" s="707">
        <f>H91/DAY(B2)</f>
        <v>1.4245454545454612</v>
      </c>
      <c r="K91" s="733"/>
      <c r="L91" s="734"/>
      <c r="N91" s="777"/>
      <c r="O91" s="382"/>
    </row>
    <row r="92" spans="1:15" s="379" customFormat="1">
      <c r="A92" s="606" t="s">
        <v>203</v>
      </c>
      <c r="B92" s="1364"/>
      <c r="C92" s="1364"/>
      <c r="D92" s="472"/>
      <c r="E92" s="472"/>
      <c r="F92" s="472"/>
      <c r="G92" s="1331"/>
      <c r="H92" s="472"/>
      <c r="I92" s="472"/>
      <c r="J92" s="551"/>
      <c r="K92" s="380"/>
      <c r="L92" s="378"/>
      <c r="N92" s="776"/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'21'!F93</f>
        <v>249421</v>
      </c>
      <c r="F93" s="484">
        <v>249502</v>
      </c>
      <c r="G93" s="1328">
        <f t="shared" ref="G93:G94" si="8">F93-E93</f>
        <v>81</v>
      </c>
      <c r="H93" s="460">
        <f>G93+'21'!H93</f>
        <v>2150</v>
      </c>
      <c r="I93" s="480"/>
      <c r="J93" s="552">
        <f>H93/DAY(B2)</f>
        <v>97.727272727272734</v>
      </c>
      <c r="K93" s="429"/>
      <c r="L93" s="377"/>
      <c r="N93" s="382"/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'21'!F94</f>
        <v>192038</v>
      </c>
      <c r="F94" s="484">
        <v>192068</v>
      </c>
      <c r="G94" s="1328">
        <f t="shared" si="8"/>
        <v>30</v>
      </c>
      <c r="H94" s="460">
        <f>G94+'21'!H94</f>
        <v>2614</v>
      </c>
      <c r="I94" s="480"/>
      <c r="J94" s="552">
        <f>H94/DAY(B2)</f>
        <v>118.81818181818181</v>
      </c>
      <c r="K94" s="380"/>
      <c r="L94" s="377"/>
      <c r="N94" s="382"/>
      <c r="O94" s="382"/>
    </row>
    <row r="95" spans="1:15">
      <c r="A95" s="1594" t="s">
        <v>206</v>
      </c>
      <c r="B95" s="1595"/>
      <c r="C95" s="1596"/>
      <c r="D95" s="523"/>
      <c r="E95" s="484">
        <f>'21'!F95</f>
        <v>0</v>
      </c>
      <c r="F95" s="484"/>
      <c r="G95" s="1328">
        <f>G93+G94</f>
        <v>111</v>
      </c>
      <c r="H95" s="460">
        <f>G95+'21'!H95</f>
        <v>4578</v>
      </c>
      <c r="I95" s="480"/>
      <c r="J95" s="552">
        <f>H95/DAY(B2)</f>
        <v>208.09090909090909</v>
      </c>
      <c r="K95" s="380"/>
      <c r="L95" s="377"/>
      <c r="N95" s="382"/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'21'!F96</f>
        <v>417840</v>
      </c>
      <c r="F96" s="484">
        <v>417913</v>
      </c>
      <c r="G96" s="1328">
        <f t="shared" ref="G96:G101" si="9">F96-E96</f>
        <v>73</v>
      </c>
      <c r="H96" s="460">
        <f>G96+'21'!H96</f>
        <v>1914</v>
      </c>
      <c r="I96" s="480"/>
      <c r="J96" s="552">
        <f>H96/DAY(B2)</f>
        <v>87</v>
      </c>
      <c r="K96" s="380"/>
      <c r="L96" s="377"/>
      <c r="N96" s="382"/>
      <c r="O96" s="382"/>
    </row>
    <row r="97" spans="1:15" ht="27.75">
      <c r="A97" s="1358" t="s">
        <v>208</v>
      </c>
      <c r="B97" s="1359"/>
      <c r="C97" s="1359"/>
      <c r="D97" s="523" t="s">
        <v>142</v>
      </c>
      <c r="E97" s="484">
        <f>'21'!F97</f>
        <v>103622</v>
      </c>
      <c r="F97" s="484">
        <v>103644</v>
      </c>
      <c r="G97" s="1328">
        <f t="shared" si="9"/>
        <v>22</v>
      </c>
      <c r="H97" s="460">
        <f>G97+'21'!H97</f>
        <v>481</v>
      </c>
      <c r="I97" s="480"/>
      <c r="J97" s="552">
        <f>H97/DAY(B2)</f>
        <v>21.863636363636363</v>
      </c>
      <c r="K97" s="427"/>
      <c r="L97" s="377"/>
      <c r="N97" s="382"/>
      <c r="O97" s="382"/>
    </row>
    <row r="98" spans="1:15" ht="27.75">
      <c r="A98" s="1358" t="s">
        <v>209</v>
      </c>
      <c r="B98" s="1359"/>
      <c r="C98" s="1359"/>
      <c r="D98" s="523" t="s">
        <v>142</v>
      </c>
      <c r="E98" s="484">
        <f>'21'!F98</f>
        <v>99182</v>
      </c>
      <c r="F98" s="484">
        <v>99202</v>
      </c>
      <c r="G98" s="1328">
        <f t="shared" si="9"/>
        <v>20</v>
      </c>
      <c r="H98" s="460">
        <f>G98+'21'!H98</f>
        <v>545</v>
      </c>
      <c r="I98" s="480"/>
      <c r="J98" s="552">
        <f>H98/DAY(B2)</f>
        <v>24.772727272727273</v>
      </c>
      <c r="K98" s="432"/>
      <c r="L98" s="377"/>
      <c r="N98" s="382"/>
      <c r="O98" s="382"/>
    </row>
    <row r="99" spans="1:15" ht="27.75">
      <c r="A99" s="1358" t="s">
        <v>210</v>
      </c>
      <c r="B99" s="1359"/>
      <c r="C99" s="1359"/>
      <c r="D99" s="523" t="s">
        <v>142</v>
      </c>
      <c r="E99" s="484">
        <f>'21'!F99</f>
        <v>150998</v>
      </c>
      <c r="F99" s="484">
        <v>151012</v>
      </c>
      <c r="G99" s="1328">
        <f t="shared" si="9"/>
        <v>14</v>
      </c>
      <c r="H99" s="460">
        <f>G99+'21'!H99</f>
        <v>607</v>
      </c>
      <c r="I99" s="480"/>
      <c r="J99" s="552">
        <f>H99/DAY(B2)</f>
        <v>27.59090909090909</v>
      </c>
      <c r="K99" s="380"/>
      <c r="L99" s="377"/>
      <c r="N99" s="382"/>
      <c r="O99" s="382"/>
    </row>
    <row r="100" spans="1:15" ht="27.75">
      <c r="A100" s="1358" t="s">
        <v>211</v>
      </c>
      <c r="B100" s="1359"/>
      <c r="C100" s="1359"/>
      <c r="D100" s="523" t="s">
        <v>142</v>
      </c>
      <c r="E100" s="484">
        <f>'21'!F100</f>
        <v>8033</v>
      </c>
      <c r="F100" s="484">
        <v>8053</v>
      </c>
      <c r="G100" s="1328">
        <f t="shared" si="9"/>
        <v>20</v>
      </c>
      <c r="H100" s="460">
        <f>G100+'21'!H100</f>
        <v>256</v>
      </c>
      <c r="I100" s="480"/>
      <c r="J100" s="552">
        <f>H100/DAY(B2)</f>
        <v>11.636363636363637</v>
      </c>
      <c r="K100" s="380"/>
      <c r="L100" s="377"/>
      <c r="N100" s="382"/>
      <c r="O100" s="382"/>
    </row>
    <row r="101" spans="1:15" ht="27.75">
      <c r="A101" s="1358" t="s">
        <v>212</v>
      </c>
      <c r="B101" s="1359"/>
      <c r="C101" s="1359"/>
      <c r="D101" s="523" t="s">
        <v>142</v>
      </c>
      <c r="E101" s="484">
        <f>'21'!F101</f>
        <v>5885</v>
      </c>
      <c r="F101" s="484">
        <v>5898</v>
      </c>
      <c r="G101" s="1328">
        <f t="shared" si="9"/>
        <v>13</v>
      </c>
      <c r="H101" s="460">
        <f>G101+'21'!H101</f>
        <v>224</v>
      </c>
      <c r="I101" s="480"/>
      <c r="J101" s="552">
        <f>H101/DAY(B2)</f>
        <v>10.181818181818182</v>
      </c>
      <c r="K101" s="380"/>
      <c r="L101" s="377"/>
      <c r="N101" s="382"/>
      <c r="O101" s="382"/>
    </row>
    <row r="102" spans="1:15">
      <c r="A102" s="1594" t="s">
        <v>214</v>
      </c>
      <c r="B102" s="1595"/>
      <c r="C102" s="1596"/>
      <c r="D102" s="524"/>
      <c r="E102" s="524"/>
      <c r="F102" s="524"/>
      <c r="G102" s="1343">
        <f>SUM(G96:G101)</f>
        <v>162</v>
      </c>
      <c r="H102" s="460">
        <f>G102+'21'!H102</f>
        <v>4027</v>
      </c>
      <c r="I102" s="526"/>
      <c r="J102" s="552">
        <f>H102/DAY(B2)</f>
        <v>183.04545454545453</v>
      </c>
      <c r="K102" s="380"/>
      <c r="L102" s="377"/>
      <c r="N102" s="382"/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528"/>
      <c r="G103" s="1344"/>
      <c r="H103" s="530"/>
      <c r="I103" s="531"/>
      <c r="J103" s="557"/>
      <c r="N103" s="444"/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532"/>
      <c r="G104" s="1345"/>
      <c r="H104" s="533"/>
      <c r="I104" s="532"/>
      <c r="J104" s="558"/>
      <c r="N104" s="444"/>
      <c r="O104" s="382"/>
    </row>
    <row r="105" spans="1:15" s="442" customFormat="1" ht="27.75">
      <c r="A105" s="1554" t="s">
        <v>217</v>
      </c>
      <c r="B105" s="1555"/>
      <c r="C105" s="1357"/>
      <c r="D105" s="622" t="s">
        <v>142</v>
      </c>
      <c r="E105" s="532">
        <f>'21'!F105</f>
        <v>7637</v>
      </c>
      <c r="F105" s="532">
        <v>7637</v>
      </c>
      <c r="G105" s="1345">
        <f>F105-E105</f>
        <v>0</v>
      </c>
      <c r="H105" s="460">
        <f>SUM(G105+'1'!G76)</f>
        <v>69.3799999999992</v>
      </c>
      <c r="I105" s="532"/>
      <c r="J105" s="558">
        <f>H105/DAY(B2)</f>
        <v>3.1536363636363274</v>
      </c>
      <c r="N105" s="444"/>
      <c r="O105" s="382"/>
    </row>
    <row r="106" spans="1:15" s="442" customFormat="1" ht="27.75">
      <c r="A106" s="1554" t="s">
        <v>76</v>
      </c>
      <c r="B106" s="1555"/>
      <c r="C106" s="1357"/>
      <c r="D106" s="622" t="s">
        <v>142</v>
      </c>
      <c r="E106" s="534">
        <f>'21'!F106</f>
        <v>36364</v>
      </c>
      <c r="F106" s="534">
        <v>36374</v>
      </c>
      <c r="G106" s="1345">
        <f t="shared" ref="G106:G107" si="10">F106-E106</f>
        <v>10</v>
      </c>
      <c r="H106" s="460">
        <f>SUM(G106+'1'!G77)</f>
        <v>63</v>
      </c>
      <c r="I106" s="532"/>
      <c r="J106" s="558">
        <f>H106/DAY(B2)</f>
        <v>2.8636363636363638</v>
      </c>
      <c r="N106" s="444"/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532">
        <f>'21'!F107</f>
        <v>19914</v>
      </c>
      <c r="F107" s="532">
        <v>19919</v>
      </c>
      <c r="G107" s="1345">
        <f t="shared" si="10"/>
        <v>5</v>
      </c>
      <c r="H107" s="460">
        <f>SUM(G107+'1'!G78)</f>
        <v>119</v>
      </c>
      <c r="I107" s="532"/>
      <c r="J107" s="558">
        <f>H107/DAY(B2)</f>
        <v>5.4090909090909092</v>
      </c>
      <c r="N107" s="444"/>
      <c r="O107" s="382"/>
    </row>
    <row r="108" spans="1:15" s="442" customFormat="1" ht="27.75">
      <c r="A108" s="1556" t="s">
        <v>200</v>
      </c>
      <c r="B108" s="1557"/>
      <c r="C108" s="1357"/>
      <c r="D108" s="622"/>
      <c r="E108" s="532">
        <f>'21'!F108</f>
        <v>0</v>
      </c>
      <c r="F108" s="532"/>
      <c r="G108" s="1345">
        <f>SUM(G105:G107)</f>
        <v>15</v>
      </c>
      <c r="H108" s="460">
        <f>SUM(G108+'1'!G79)</f>
        <v>168</v>
      </c>
      <c r="I108" s="532"/>
      <c r="J108" s="558">
        <f>H108/DAY(B2)</f>
        <v>7.6363636363636367</v>
      </c>
      <c r="N108" s="444"/>
      <c r="O108" s="382"/>
    </row>
    <row r="109" spans="1:15" s="442" customFormat="1" ht="27.75">
      <c r="A109" s="1560" t="s">
        <v>78</v>
      </c>
      <c r="B109" s="1561"/>
      <c r="C109" s="1357"/>
      <c r="D109" s="622" t="s">
        <v>142</v>
      </c>
      <c r="E109" s="532">
        <f>'21'!F109</f>
        <v>0</v>
      </c>
      <c r="F109" s="532"/>
      <c r="G109" s="1345"/>
      <c r="H109" s="460"/>
      <c r="I109" s="532"/>
      <c r="J109" s="558"/>
      <c r="N109" s="444"/>
      <c r="O109" s="382"/>
    </row>
    <row r="110" spans="1:15" s="442" customFormat="1" ht="27.75">
      <c r="A110" s="1554" t="s">
        <v>218</v>
      </c>
      <c r="B110" s="1555"/>
      <c r="C110" s="1357"/>
      <c r="D110" s="622" t="s">
        <v>142</v>
      </c>
      <c r="E110" s="532">
        <f>'21'!F110</f>
        <v>66368</v>
      </c>
      <c r="F110" s="532">
        <v>66436</v>
      </c>
      <c r="G110" s="1345">
        <f>F110-E110</f>
        <v>68</v>
      </c>
      <c r="H110" s="460">
        <f>SUM(G110+'1'!G81)</f>
        <v>199.64000000001397</v>
      </c>
      <c r="I110" s="532"/>
      <c r="J110" s="558">
        <f>H110/DAY(B2)</f>
        <v>9.0745454545460902</v>
      </c>
      <c r="N110" s="444"/>
      <c r="O110" s="382"/>
    </row>
    <row r="111" spans="1:15" s="442" customFormat="1" ht="27.75">
      <c r="A111" s="1554" t="s">
        <v>219</v>
      </c>
      <c r="B111" s="1555"/>
      <c r="C111" s="1357"/>
      <c r="D111" s="622" t="s">
        <v>142</v>
      </c>
      <c r="E111" s="532">
        <f>'21'!F111</f>
        <v>33718</v>
      </c>
      <c r="F111" s="532">
        <v>33733</v>
      </c>
      <c r="G111" s="1345">
        <f t="shared" ref="G111:G112" si="11">F111-E111</f>
        <v>15</v>
      </c>
      <c r="H111" s="460">
        <f>SUM(G111+'1'!G82)</f>
        <v>39.899999999994179</v>
      </c>
      <c r="I111" s="532"/>
      <c r="J111" s="558">
        <f>H111/DAY(B2)</f>
        <v>1.813636363636099</v>
      </c>
      <c r="N111" s="444"/>
      <c r="O111" s="382"/>
    </row>
    <row r="112" spans="1:15" s="442" customFormat="1" ht="27.75">
      <c r="A112" s="1554" t="s">
        <v>220</v>
      </c>
      <c r="B112" s="1555"/>
      <c r="C112" s="1357"/>
      <c r="D112" s="622" t="s">
        <v>142</v>
      </c>
      <c r="E112" s="532">
        <f>'21'!F112</f>
        <v>4622</v>
      </c>
      <c r="F112" s="532">
        <v>4622</v>
      </c>
      <c r="G112" s="1345">
        <f t="shared" si="11"/>
        <v>0</v>
      </c>
      <c r="H112" s="460">
        <f>SUM(G112+'1'!G83)</f>
        <v>351</v>
      </c>
      <c r="I112" s="532"/>
      <c r="J112" s="558">
        <f>H112/DAY(B2)</f>
        <v>15.954545454545455</v>
      </c>
      <c r="N112" s="444"/>
      <c r="O112" s="382"/>
    </row>
    <row r="113" spans="1:15" s="442" customFormat="1" ht="27.75">
      <c r="A113" s="1558" t="s">
        <v>109</v>
      </c>
      <c r="B113" s="1559"/>
      <c r="C113" s="1357"/>
      <c r="D113" s="622"/>
      <c r="E113" s="532">
        <f>'21'!F113</f>
        <v>0</v>
      </c>
      <c r="F113" s="532"/>
      <c r="G113" s="1345">
        <f>SUM(G110:G112)</f>
        <v>83</v>
      </c>
      <c r="H113" s="460">
        <f>SUM(G113+'1'!G84)</f>
        <v>899</v>
      </c>
      <c r="I113" s="532"/>
      <c r="J113" s="558">
        <f>H113/DAY(B2)</f>
        <v>40.863636363636367</v>
      </c>
      <c r="N113" s="444"/>
      <c r="O113" s="382"/>
    </row>
    <row r="114" spans="1:15" s="442" customFormat="1" ht="27.75">
      <c r="A114" s="1560" t="s">
        <v>221</v>
      </c>
      <c r="B114" s="1561"/>
      <c r="C114" s="1357"/>
      <c r="D114" s="622"/>
      <c r="E114" s="532">
        <f>'21'!F114</f>
        <v>0</v>
      </c>
      <c r="F114" s="532"/>
      <c r="G114" s="134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534">
        <f>'21'!F115</f>
        <v>12306</v>
      </c>
      <c r="F115" s="534">
        <v>12329</v>
      </c>
      <c r="G115" s="1346">
        <f>F115-E115</f>
        <v>23</v>
      </c>
      <c r="H115" s="460">
        <f>SUM(G115+'1'!G92)</f>
        <v>23</v>
      </c>
      <c r="I115" s="532"/>
      <c r="J115" s="558">
        <f>H115/DAY(B2)</f>
        <v>1.0454545454545454</v>
      </c>
      <c r="N115" s="444"/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534">
        <f>'21'!F116</f>
        <v>8732</v>
      </c>
      <c r="F116" s="534">
        <v>8743</v>
      </c>
      <c r="G116" s="1346">
        <f t="shared" ref="G116:G117" si="12">F116-E116</f>
        <v>11</v>
      </c>
      <c r="H116" s="460">
        <f>SUM(G116+'1'!G93)</f>
        <v>100</v>
      </c>
      <c r="I116" s="532"/>
      <c r="J116" s="558">
        <f>H116/DAY(B2)</f>
        <v>4.5454545454545459</v>
      </c>
      <c r="N116" s="444"/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1346">
        <f t="shared" si="12"/>
        <v>0</v>
      </c>
      <c r="H117" s="460">
        <f>SUM(G117+'1'!G94)</f>
        <v>97</v>
      </c>
      <c r="I117" s="532"/>
      <c r="J117" s="558">
        <f>H117/DAY(B2)</f>
        <v>4.4090909090909092</v>
      </c>
      <c r="N117" s="444"/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534"/>
      <c r="G118" s="1346">
        <f>SUM(G115:G117)</f>
        <v>34</v>
      </c>
      <c r="H118" s="460">
        <f>SUM(G118+'1'!G96)</f>
        <v>120</v>
      </c>
      <c r="I118" s="534"/>
      <c r="J118" s="558">
        <f>H118/DAY(B2)</f>
        <v>5.4545454545454541</v>
      </c>
      <c r="N118" s="447"/>
      <c r="O118" s="382"/>
    </row>
    <row r="119" spans="1:15" s="446" customFormat="1" ht="27.75">
      <c r="A119" s="1550" t="s">
        <v>225</v>
      </c>
      <c r="B119" s="1551"/>
      <c r="C119" s="1356"/>
      <c r="D119" s="624" t="s">
        <v>142</v>
      </c>
      <c r="E119" s="536"/>
      <c r="F119" s="536">
        <f>SUM(G19+G93)</f>
        <v>148</v>
      </c>
      <c r="G119" s="1346">
        <f>SUM(G19+G93)</f>
        <v>148</v>
      </c>
      <c r="H119" s="460">
        <f>SUM(G119+'1'!G97)</f>
        <v>165</v>
      </c>
      <c r="I119" s="535"/>
      <c r="J119" s="559">
        <f>H119/DAY(B2)</f>
        <v>7.5</v>
      </c>
      <c r="N119" s="778"/>
      <c r="O119" s="382"/>
    </row>
    <row r="120" spans="1:15" s="446" customFormat="1" ht="27.75">
      <c r="A120" s="1550" t="s">
        <v>226</v>
      </c>
      <c r="B120" s="1551"/>
      <c r="C120" s="1356"/>
      <c r="D120" s="624" t="s">
        <v>142</v>
      </c>
      <c r="E120" s="536"/>
      <c r="F120" s="536">
        <f>SUM(G96,G97,G98,G100,G101)</f>
        <v>148</v>
      </c>
      <c r="G120" s="1346">
        <f>SUM(G96,G97,G98,G100,G101)</f>
        <v>148</v>
      </c>
      <c r="H120" s="460">
        <f>SUM(G120+'1'!G99)</f>
        <v>198</v>
      </c>
      <c r="I120" s="535"/>
      <c r="J120" s="559">
        <f>H120/DAY(B2)</f>
        <v>9</v>
      </c>
      <c r="N120" s="778"/>
      <c r="O120" s="382"/>
    </row>
    <row r="121" spans="1:15" s="446" customFormat="1" ht="27.75">
      <c r="A121" s="1550" t="s">
        <v>227</v>
      </c>
      <c r="B121" s="1551"/>
      <c r="C121" s="1356"/>
      <c r="D121" s="624" t="s">
        <v>142</v>
      </c>
      <c r="E121" s="534"/>
      <c r="F121" s="534">
        <f>SUM(G113)</f>
        <v>83</v>
      </c>
      <c r="G121" s="1346">
        <f>SUM(G113)</f>
        <v>83</v>
      </c>
      <c r="H121" s="460">
        <f>SUM(G121+'1'!G101)</f>
        <v>88</v>
      </c>
      <c r="I121" s="535"/>
      <c r="J121" s="559">
        <f>H121/DAY(B2)</f>
        <v>4</v>
      </c>
      <c r="N121" s="778"/>
      <c r="O121" s="382"/>
    </row>
    <row r="122" spans="1:15" s="442" customFormat="1" ht="27.75">
      <c r="A122" s="1552"/>
      <c r="B122" s="1553"/>
      <c r="C122" s="1357"/>
      <c r="D122" s="560"/>
      <c r="E122" s="560"/>
      <c r="F122" s="560" t="s">
        <v>213</v>
      </c>
      <c r="G122" s="1347"/>
      <c r="H122" s="561"/>
      <c r="I122" s="560"/>
      <c r="J122" s="562"/>
      <c r="N122" s="444"/>
      <c r="O122" s="382"/>
    </row>
    <row r="123" spans="1:15">
      <c r="A123" s="1591" t="s">
        <v>228</v>
      </c>
      <c r="B123" s="1592"/>
      <c r="C123" s="1593"/>
      <c r="D123" s="472"/>
      <c r="E123" s="472"/>
      <c r="F123" s="472"/>
      <c r="G123" s="1331"/>
      <c r="H123" s="483"/>
      <c r="I123" s="483"/>
      <c r="J123" s="563"/>
      <c r="K123" s="380"/>
      <c r="L123" s="377"/>
      <c r="N123" s="382"/>
      <c r="O123" s="382"/>
    </row>
    <row r="124" spans="1:15" ht="27.75">
      <c r="A124" s="1358" t="s">
        <v>229</v>
      </c>
      <c r="B124" s="1359"/>
      <c r="C124" s="1359"/>
      <c r="D124" s="523" t="s">
        <v>139</v>
      </c>
      <c r="E124" s="478">
        <f>'21'!F124</f>
        <v>845376.68</v>
      </c>
      <c r="F124" s="478">
        <v>845641.68</v>
      </c>
      <c r="G124" s="1328">
        <f t="shared" ref="G124:G128" si="13">F124-E124</f>
        <v>265</v>
      </c>
      <c r="H124" s="460">
        <f>G124+'21'!H124</f>
        <v>5971.6800000000512</v>
      </c>
      <c r="I124" s="526"/>
      <c r="J124" s="552">
        <f>H124/DAY(B2)</f>
        <v>271.44000000000233</v>
      </c>
      <c r="K124" s="380"/>
      <c r="L124" s="377"/>
      <c r="N124" s="382"/>
      <c r="O124" s="382"/>
    </row>
    <row r="125" spans="1:15" ht="27.75">
      <c r="A125" s="1358" t="s">
        <v>230</v>
      </c>
      <c r="B125" s="1359"/>
      <c r="C125" s="1359"/>
      <c r="D125" s="523" t="s">
        <v>139</v>
      </c>
      <c r="E125" s="626">
        <f>'21'!F125</f>
        <v>73583.399999999994</v>
      </c>
      <c r="F125" s="626">
        <v>73583.399999999994</v>
      </c>
      <c r="G125" s="1328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78">
        <f>'21'!F126</f>
        <v>150528.29999999999</v>
      </c>
      <c r="F126" s="478">
        <v>150610.39000000001</v>
      </c>
      <c r="G126" s="1328">
        <f t="shared" si="13"/>
        <v>82.090000000025611</v>
      </c>
      <c r="H126" s="460">
        <f>G126+'21'!H126</f>
        <v>2013.390000000014</v>
      </c>
      <c r="I126" s="526"/>
      <c r="J126" s="552">
        <f>H126/DAY(B2)</f>
        <v>91.51772727272791</v>
      </c>
      <c r="K126" s="380"/>
      <c r="L126" s="377"/>
      <c r="N126" s="382"/>
      <c r="O126" s="382"/>
    </row>
    <row r="127" spans="1:15" ht="27.75">
      <c r="A127" s="609" t="s">
        <v>232</v>
      </c>
      <c r="B127" s="1359"/>
      <c r="C127" s="1359"/>
      <c r="D127" s="523" t="s">
        <v>139</v>
      </c>
      <c r="E127" s="626">
        <f>'21'!F127</f>
        <v>32878.6</v>
      </c>
      <c r="F127" s="626">
        <v>32923.300000000003</v>
      </c>
      <c r="G127" s="1328">
        <f t="shared" si="13"/>
        <v>44.700000000004366</v>
      </c>
      <c r="H127" s="460">
        <f>G127+'21'!H127</f>
        <v>852.30000000000291</v>
      </c>
      <c r="I127" s="526"/>
      <c r="J127" s="552">
        <f>H127/DAY(B2)</f>
        <v>38.74090909090922</v>
      </c>
      <c r="K127" s="380"/>
      <c r="L127" s="377"/>
      <c r="N127" s="382"/>
      <c r="O127" s="382"/>
    </row>
    <row r="128" spans="1:15" ht="27.75">
      <c r="A128" s="609" t="s">
        <v>233</v>
      </c>
      <c r="B128" s="1359"/>
      <c r="C128" s="1359"/>
      <c r="D128" s="523" t="s">
        <v>139</v>
      </c>
      <c r="E128" s="626">
        <f>'21'!F128</f>
        <v>9088</v>
      </c>
      <c r="F128" s="626">
        <v>9089</v>
      </c>
      <c r="G128" s="1328">
        <f t="shared" si="13"/>
        <v>1</v>
      </c>
      <c r="H128" s="460">
        <f>G128+'21'!H128</f>
        <v>77</v>
      </c>
      <c r="I128" s="480"/>
      <c r="J128" s="552">
        <f>H128/DAY(B2)</f>
        <v>3.5</v>
      </c>
      <c r="K128" s="380"/>
      <c r="L128" s="377"/>
      <c r="N128" s="382"/>
      <c r="O128" s="382"/>
    </row>
    <row r="129" spans="1:15" s="281" customFormat="1" ht="27.75">
      <c r="A129" s="609" t="s">
        <v>234</v>
      </c>
      <c r="B129" s="1359"/>
      <c r="C129" s="1359"/>
      <c r="D129" s="523"/>
      <c r="E129" s="478"/>
      <c r="F129" s="478"/>
      <c r="G129" s="1328">
        <f>G15-SUM(G124:G128)</f>
        <v>337.53000000003522</v>
      </c>
      <c r="H129" s="460">
        <f>G129+'21'!H129</f>
        <v>2877.1670000001122</v>
      </c>
      <c r="I129" s="480"/>
      <c r="J129" s="552">
        <f>H129/DAY(B2)</f>
        <v>130.78031818182328</v>
      </c>
      <c r="K129" s="364"/>
      <c r="L129" s="292"/>
      <c r="N129" s="365"/>
      <c r="O129" s="382"/>
    </row>
    <row r="130" spans="1:15">
      <c r="A130" s="610" t="s">
        <v>235</v>
      </c>
      <c r="B130" s="458"/>
      <c r="C130" s="458"/>
      <c r="D130" s="471"/>
      <c r="E130" s="471"/>
      <c r="F130" s="471"/>
      <c r="G130" s="1348"/>
      <c r="H130" s="540"/>
      <c r="I130" s="540"/>
      <c r="J130" s="564"/>
      <c r="N130" s="382"/>
      <c r="O130" s="382"/>
    </row>
    <row r="131" spans="1:15" ht="27.75">
      <c r="A131" s="1358" t="s">
        <v>236</v>
      </c>
      <c r="B131" s="1359"/>
      <c r="C131" s="1359"/>
      <c r="D131" s="523" t="s">
        <v>237</v>
      </c>
      <c r="E131" s="484">
        <f>'21'!F131</f>
        <v>0</v>
      </c>
      <c r="F131" s="484">
        <v>0</v>
      </c>
      <c r="G131" s="1328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58" t="s">
        <v>238</v>
      </c>
      <c r="B132" s="1359"/>
      <c r="C132" s="1359"/>
      <c r="D132" s="523" t="s">
        <v>237</v>
      </c>
      <c r="E132" s="484">
        <f>'21'!F132</f>
        <v>0</v>
      </c>
      <c r="F132" s="484">
        <v>0</v>
      </c>
      <c r="G132" s="1328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58" t="s">
        <v>239</v>
      </c>
      <c r="B133" s="1359"/>
      <c r="C133" s="1359"/>
      <c r="D133" s="523" t="s">
        <v>237</v>
      </c>
      <c r="E133" s="541">
        <f>'21'!F133</f>
        <v>40612.1</v>
      </c>
      <c r="F133" s="541">
        <v>40619.050000000003</v>
      </c>
      <c r="G133" s="1328">
        <f t="shared" si="14"/>
        <v>6.9500000000043656</v>
      </c>
      <c r="H133" s="460">
        <f>G133+'21'!H133</f>
        <v>166.05000000000291</v>
      </c>
      <c r="I133" s="480"/>
      <c r="J133" s="552">
        <f>H133/DAY(B2)</f>
        <v>7.5477272727274052</v>
      </c>
      <c r="N133" s="382"/>
      <c r="O133" s="382"/>
    </row>
    <row r="134" spans="1:15" s="441" customFormat="1" ht="27.75">
      <c r="A134" s="1068" t="s">
        <v>240</v>
      </c>
      <c r="B134" s="1069"/>
      <c r="C134" s="1069"/>
      <c r="D134" s="627" t="s">
        <v>237</v>
      </c>
      <c r="E134" s="541">
        <f>'21'!F134</f>
        <v>445.19</v>
      </c>
      <c r="F134" s="541">
        <v>445.19</v>
      </c>
      <c r="G134" s="1349">
        <f t="shared" si="14"/>
        <v>0</v>
      </c>
      <c r="H134" s="705">
        <f>G134+'21'!H134</f>
        <v>145.19</v>
      </c>
      <c r="I134" s="1070">
        <f>G131+G132+G133+G134</f>
        <v>6.9500000000043656</v>
      </c>
      <c r="J134" s="707">
        <f>H134/DAY(B2)</f>
        <v>6.5995454545454546</v>
      </c>
      <c r="N134" s="713"/>
      <c r="O134" s="713"/>
    </row>
    <row r="135" spans="1:15" ht="27.75">
      <c r="A135" s="1358" t="s">
        <v>241</v>
      </c>
      <c r="B135" s="1359"/>
      <c r="C135" s="1359"/>
      <c r="D135" s="523" t="s">
        <v>237</v>
      </c>
      <c r="E135" s="541">
        <f>'21'!F135</f>
        <v>42313.53</v>
      </c>
      <c r="F135" s="541">
        <v>42338.01</v>
      </c>
      <c r="G135" s="1328">
        <f t="shared" si="14"/>
        <v>24.480000000003201</v>
      </c>
      <c r="H135" s="460">
        <f>G135+'21'!H135</f>
        <v>366.01000000000204</v>
      </c>
      <c r="I135" s="480"/>
      <c r="J135" s="552">
        <f>H135/DAY(B2)</f>
        <v>16.636818181818274</v>
      </c>
      <c r="N135" s="382"/>
      <c r="O135" s="382"/>
    </row>
    <row r="136" spans="1:15" ht="27.75">
      <c r="A136" s="1358" t="s">
        <v>242</v>
      </c>
      <c r="B136" s="1359"/>
      <c r="C136" s="1359"/>
      <c r="D136" s="523" t="s">
        <v>237</v>
      </c>
      <c r="E136" s="541">
        <f>'21'!F136</f>
        <v>32874</v>
      </c>
      <c r="F136" s="541">
        <v>32874.050000000003</v>
      </c>
      <c r="G136" s="1328">
        <f t="shared" si="14"/>
        <v>5.0000000002910383E-2</v>
      </c>
      <c r="H136" s="460">
        <f>G136+'21'!H136</f>
        <v>5.0000000002910383E-2</v>
      </c>
      <c r="I136" s="480"/>
      <c r="J136" s="552">
        <f>H136/DAY(B2)</f>
        <v>2.2727272728595631E-3</v>
      </c>
      <c r="N136" s="382"/>
      <c r="O136" s="382"/>
    </row>
    <row r="137" spans="1:15" ht="27.75">
      <c r="A137" s="1358" t="s">
        <v>243</v>
      </c>
      <c r="B137" s="1359"/>
      <c r="C137" s="1359"/>
      <c r="D137" s="523" t="s">
        <v>237</v>
      </c>
      <c r="E137" s="541">
        <f>'21'!F137</f>
        <v>23043.35</v>
      </c>
      <c r="F137" s="541">
        <v>23049.05</v>
      </c>
      <c r="G137" s="1328">
        <f t="shared" si="14"/>
        <v>5.7000000000007276</v>
      </c>
      <c r="H137" s="460">
        <f>G137+'21'!H137</f>
        <v>157.55999999999767</v>
      </c>
      <c r="I137" s="480">
        <f>G135+G136+G137</f>
        <v>30.230000000006839</v>
      </c>
      <c r="J137" s="552">
        <f>H137/DAY(B2)</f>
        <v>7.1618181818180764</v>
      </c>
      <c r="N137" s="382"/>
      <c r="O137" s="382"/>
    </row>
    <row r="138" spans="1:15" ht="27.75">
      <c r="A138" s="1358" t="s">
        <v>244</v>
      </c>
      <c r="B138" s="1359"/>
      <c r="C138" s="1359"/>
      <c r="D138" s="523" t="s">
        <v>237</v>
      </c>
      <c r="E138" s="541">
        <f>'21'!F138</f>
        <v>25099.16</v>
      </c>
      <c r="F138" s="541">
        <v>25099.16</v>
      </c>
      <c r="G138" s="1328">
        <f t="shared" si="14"/>
        <v>0</v>
      </c>
      <c r="H138" s="460">
        <f>G138+'21'!H138</f>
        <v>7.7700000000004366</v>
      </c>
      <c r="I138" s="480"/>
      <c r="J138" s="552">
        <f>H138/DAY(B2)</f>
        <v>0.35318181818183803</v>
      </c>
      <c r="N138" s="382"/>
      <c r="O138" s="382"/>
    </row>
    <row r="139" spans="1:15" ht="27.75">
      <c r="A139" s="1358" t="s">
        <v>245</v>
      </c>
      <c r="B139" s="1359"/>
      <c r="C139" s="1359"/>
      <c r="D139" s="523" t="s">
        <v>237</v>
      </c>
      <c r="E139" s="541">
        <f>'21'!F139</f>
        <v>70516.600000000006</v>
      </c>
      <c r="F139" s="541">
        <v>70516.600000000006</v>
      </c>
      <c r="G139" s="1328">
        <f t="shared" si="14"/>
        <v>0</v>
      </c>
      <c r="H139" s="460">
        <f>G139+'21'!H139</f>
        <v>2.9800000000104774</v>
      </c>
      <c r="I139" s="480">
        <f>G138+G139</f>
        <v>0</v>
      </c>
      <c r="J139" s="552">
        <f>H139/DAY(B2)</f>
        <v>0.1354545454550217</v>
      </c>
      <c r="N139" s="382"/>
      <c r="O139" s="382"/>
    </row>
    <row r="140" spans="1:15" ht="27.75">
      <c r="A140" s="1358" t="s">
        <v>246</v>
      </c>
      <c r="B140" s="1359"/>
      <c r="C140" s="1359"/>
      <c r="D140" s="523" t="s">
        <v>237</v>
      </c>
      <c r="E140" s="484">
        <f>'21'!F140</f>
        <v>2247.77</v>
      </c>
      <c r="F140" s="484">
        <v>2247.77</v>
      </c>
      <c r="G140" s="1328">
        <f t="shared" si="14"/>
        <v>0</v>
      </c>
      <c r="H140" s="460">
        <f>G140+'21'!H140</f>
        <v>118.59000000000015</v>
      </c>
      <c r="I140" s="542"/>
      <c r="J140" s="552">
        <f>H140/DAY(B2)</f>
        <v>5.3904545454545518</v>
      </c>
      <c r="N140" s="382"/>
      <c r="O140" s="382"/>
    </row>
    <row r="141" spans="1:15" ht="27.75">
      <c r="A141" s="1358" t="s">
        <v>247</v>
      </c>
      <c r="B141" s="1359"/>
      <c r="C141" s="1359"/>
      <c r="D141" s="523" t="s">
        <v>237</v>
      </c>
      <c r="E141" s="484">
        <f>'21'!F141</f>
        <v>4724.13</v>
      </c>
      <c r="F141" s="484">
        <v>4733.3100000000004</v>
      </c>
      <c r="G141" s="1328">
        <f t="shared" si="14"/>
        <v>9.180000000000291</v>
      </c>
      <c r="H141" s="460">
        <f>G141+'21'!H141</f>
        <v>96.3100000000004</v>
      </c>
      <c r="I141" s="542"/>
      <c r="J141" s="552">
        <f>H141/DAY(B2)</f>
        <v>4.3777272727272907</v>
      </c>
      <c r="N141" s="382"/>
      <c r="O141" s="382"/>
    </row>
    <row r="142" spans="1:15">
      <c r="A142" s="1565" t="s">
        <v>248</v>
      </c>
      <c r="B142" s="1566"/>
      <c r="C142" s="1364"/>
      <c r="D142" s="472"/>
      <c r="E142" s="472"/>
      <c r="F142" s="472"/>
      <c r="G142" s="1331"/>
      <c r="H142" s="483"/>
      <c r="I142" s="483"/>
      <c r="J142" s="563"/>
      <c r="K142" s="380"/>
      <c r="L142" s="377"/>
      <c r="N142" s="382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1341">
        <f>G35+G43+G49+G57</f>
        <v>5567.3599999998696</v>
      </c>
      <c r="H143" s="460">
        <f>G143+'21'!H143</f>
        <v>122315.58999999997</v>
      </c>
      <c r="I143" s="480"/>
      <c r="J143" s="552">
        <f>H143/DAY(B2)</f>
        <v>5559.7995454545444</v>
      </c>
      <c r="K143" s="380"/>
      <c r="L143" s="377"/>
      <c r="N143" s="382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1350">
        <f>G143/G7</f>
        <v>0.25763173677078632</v>
      </c>
      <c r="H144" s="460">
        <f>G144+'21'!H144</f>
        <v>5.5731083647814614</v>
      </c>
      <c r="I144" s="544"/>
      <c r="J144" s="552">
        <f>H144/DAY(B2)</f>
        <v>0.25332310749006642</v>
      </c>
      <c r="K144" s="380"/>
      <c r="L144" s="377"/>
      <c r="N144" s="382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1341">
        <f>G41+G42+G55+G56</f>
        <v>6891.7000000000116</v>
      </c>
      <c r="H145" s="460">
        <f>G145+'21'!H145</f>
        <v>148616.45999999996</v>
      </c>
      <c r="I145" s="480"/>
      <c r="J145" s="552">
        <f>H145/DAY(B2)</f>
        <v>6755.2936363636345</v>
      </c>
      <c r="K145" s="380"/>
      <c r="L145" s="377"/>
      <c r="N145" s="382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1350">
        <f>G145/G7</f>
        <v>0.31891608236278463</v>
      </c>
      <c r="H146" s="460">
        <f>G146+'21'!H146</f>
        <v>6.7407478984565996</v>
      </c>
      <c r="I146" s="544"/>
      <c r="J146" s="552">
        <f>H146/DAY(B2)</f>
        <v>0.30639763174802725</v>
      </c>
      <c r="K146" s="380"/>
      <c r="L146" s="377"/>
      <c r="N146" s="382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1341">
        <f>G39+G53</f>
        <v>3759.0800000000163</v>
      </c>
      <c r="H147" s="460">
        <f>G147+'21'!H147</f>
        <v>81486.620000000054</v>
      </c>
      <c r="I147" s="545"/>
      <c r="J147" s="552">
        <f>H147/DAY(B2)</f>
        <v>3703.9372727272753</v>
      </c>
      <c r="K147" s="380"/>
      <c r="L147" s="377"/>
      <c r="N147" s="382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1350">
        <f>G147/G7</f>
        <v>0.17395288055027056</v>
      </c>
      <c r="H148" s="460">
        <f>G148+'21'!H148</f>
        <v>3.7108932302551216</v>
      </c>
      <c r="I148" s="545"/>
      <c r="J148" s="552">
        <f>H148/DAY(B2)</f>
        <v>0.16867696501159643</v>
      </c>
      <c r="N148" s="382"/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1341">
        <f>G38+G52</f>
        <v>1490.7999999999884</v>
      </c>
      <c r="H149" s="460">
        <f>G149+'21'!H149</f>
        <v>35516.779999999941</v>
      </c>
      <c r="I149" s="480"/>
      <c r="J149" s="552">
        <f>H149/DAY(B2)</f>
        <v>1614.3990909090883</v>
      </c>
      <c r="K149" s="381"/>
      <c r="N149" s="382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1350">
        <f>G149/G7</f>
        <v>6.8987346458266444E-2</v>
      </c>
      <c r="H150" s="460">
        <f>G150+'21'!H150</f>
        <v>1.6138614338863257</v>
      </c>
      <c r="I150" s="545"/>
      <c r="J150" s="552">
        <f>H150/DAY(B2)</f>
        <v>7.3357337903923903E-2</v>
      </c>
      <c r="N150" s="382"/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1341">
        <f>G36+G50</f>
        <v>1733.3799999999028</v>
      </c>
      <c r="H151" s="460">
        <f>G151+'21'!H151</f>
        <v>45333.969999999943</v>
      </c>
      <c r="I151" s="545"/>
      <c r="J151" s="552">
        <f>H151/DAY(B2)</f>
        <v>2060.6349999999975</v>
      </c>
      <c r="N151" s="382"/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1350">
        <f>G151/G7</f>
        <v>8.0212829758400925E-2</v>
      </c>
      <c r="H152" s="460">
        <f>G152+'21'!H152</f>
        <v>2.0511185469116362</v>
      </c>
      <c r="I152" s="480"/>
      <c r="J152" s="552">
        <f>H152/DAY(B2)</f>
        <v>9.3232661223256186E-2</v>
      </c>
      <c r="N152" s="382"/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1341">
        <f>G37+G51</f>
        <v>1618.9799999999814</v>
      </c>
      <c r="H153" s="460">
        <f>G153+'21'!H153</f>
        <v>34877.869999999995</v>
      </c>
      <c r="I153" s="480"/>
      <c r="J153" s="552">
        <f>H153/DAY(B2)</f>
        <v>1585.3577272727271</v>
      </c>
      <c r="N153" s="382"/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1351">
        <f>G153/G7</f>
        <v>7.4918925522540772E-2</v>
      </c>
      <c r="H154" s="460">
        <f>G154+'21'!H154</f>
        <v>1.5858611762042427</v>
      </c>
      <c r="I154" s="568"/>
      <c r="J154" s="569">
        <f>H154/DAY(B2)</f>
        <v>7.2084598918374668E-2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2"/>
      <c r="H155" s="547"/>
      <c r="I155" s="546"/>
      <c r="J155" s="548"/>
      <c r="O155" s="382"/>
    </row>
    <row r="161" spans="1:8">
      <c r="A161" s="784" t="s">
        <v>261</v>
      </c>
      <c r="B161" s="785"/>
      <c r="C161" s="785"/>
      <c r="D161" s="511" t="s">
        <v>185</v>
      </c>
      <c r="E161" s="658">
        <f>'21'!F161</f>
        <v>42528.83</v>
      </c>
      <c r="F161" s="658">
        <v>42611.06</v>
      </c>
      <c r="G161" s="1328">
        <f t="shared" ref="G161:G164" si="15">F161-E161</f>
        <v>82.229999999995925</v>
      </c>
      <c r="H161" s="538">
        <v>68.809999999999491</v>
      </c>
    </row>
    <row r="162" spans="1:8">
      <c r="A162" s="784" t="s">
        <v>262</v>
      </c>
      <c r="B162" s="785"/>
      <c r="C162" s="785"/>
      <c r="D162" s="511" t="s">
        <v>185</v>
      </c>
      <c r="E162" s="658">
        <f>'21'!F162</f>
        <v>117387.67</v>
      </c>
      <c r="F162" s="658">
        <v>117877.67</v>
      </c>
      <c r="G162" s="1328">
        <f t="shared" si="15"/>
        <v>490</v>
      </c>
      <c r="H162" s="538">
        <v>128.56999999999994</v>
      </c>
    </row>
    <row r="163" spans="1:8">
      <c r="A163" s="784" t="s">
        <v>263</v>
      </c>
      <c r="B163" s="785"/>
      <c r="C163" s="785"/>
      <c r="D163" s="511" t="s">
        <v>185</v>
      </c>
      <c r="E163" s="658">
        <f>'21'!F163</f>
        <v>65520.22</v>
      </c>
      <c r="F163" s="658">
        <v>65721.05</v>
      </c>
      <c r="G163" s="1328">
        <f t="shared" si="15"/>
        <v>200.83000000000175</v>
      </c>
      <c r="H163" s="538">
        <v>141.49</v>
      </c>
    </row>
    <row r="164" spans="1:8">
      <c r="A164" s="784" t="s">
        <v>264</v>
      </c>
      <c r="B164" s="785"/>
      <c r="C164" s="785"/>
      <c r="D164" s="511" t="s">
        <v>185</v>
      </c>
      <c r="E164" s="658">
        <f>'21'!F164</f>
        <v>7048.78</v>
      </c>
      <c r="F164" s="658">
        <v>7060.95</v>
      </c>
      <c r="G164" s="1328">
        <f t="shared" si="15"/>
        <v>12.170000000000073</v>
      </c>
      <c r="H164" s="538">
        <v>45.430000000000007</v>
      </c>
    </row>
    <row r="165" spans="1:8">
      <c r="A165" s="786" t="s">
        <v>97</v>
      </c>
      <c r="B165" s="604"/>
      <c r="C165" s="604"/>
      <c r="D165" s="511" t="s">
        <v>185</v>
      </c>
      <c r="E165" s="514">
        <f>E62</f>
        <v>20419.2</v>
      </c>
      <c r="F165" s="514">
        <v>20419</v>
      </c>
      <c r="G165" s="1328">
        <v>0</v>
      </c>
      <c r="H165" s="538">
        <v>0</v>
      </c>
    </row>
    <row r="166" spans="1:8">
      <c r="A166" s="786" t="s">
        <v>186</v>
      </c>
      <c r="B166" s="604"/>
      <c r="C166" s="604"/>
      <c r="D166" s="511" t="s">
        <v>185</v>
      </c>
      <c r="E166" s="514">
        <f t="shared" ref="E166:E172" si="16">E63</f>
        <v>0</v>
      </c>
      <c r="F166" s="514">
        <f t="shared" ref="F166:F172" si="17">F63</f>
        <v>0</v>
      </c>
      <c r="G166" s="1328">
        <f t="shared" ref="G166:G172" si="18">F166-E166</f>
        <v>0</v>
      </c>
      <c r="H166" s="538">
        <v>0</v>
      </c>
    </row>
    <row r="167" spans="1:8" ht="27.75">
      <c r="A167" s="1549" t="s">
        <v>98</v>
      </c>
      <c r="B167" s="1549"/>
      <c r="C167" s="1549"/>
      <c r="D167" s="523" t="s">
        <v>185</v>
      </c>
      <c r="E167" s="514">
        <f t="shared" si="16"/>
        <v>178152.49</v>
      </c>
      <c r="F167" s="514">
        <f t="shared" si="17"/>
        <v>178527.35</v>
      </c>
      <c r="G167" s="1328">
        <f t="shared" si="18"/>
        <v>374.86000000001513</v>
      </c>
      <c r="H167" s="538">
        <v>178.5199999999968</v>
      </c>
    </row>
    <row r="168" spans="1:8" ht="27.75">
      <c r="A168" s="1549" t="s">
        <v>99</v>
      </c>
      <c r="B168" s="1549"/>
      <c r="C168" s="1549"/>
      <c r="D168" s="523" t="s">
        <v>185</v>
      </c>
      <c r="E168" s="514">
        <f t="shared" si="16"/>
        <v>178292.59</v>
      </c>
      <c r="F168" s="514">
        <f t="shared" si="17"/>
        <v>178694.59</v>
      </c>
      <c r="G168" s="1328">
        <f t="shared" si="18"/>
        <v>402</v>
      </c>
      <c r="H168" s="538">
        <v>198.38999999999942</v>
      </c>
    </row>
    <row r="169" spans="1:8" ht="27.75">
      <c r="A169" s="1549" t="s">
        <v>100</v>
      </c>
      <c r="B169" s="1549"/>
      <c r="C169" s="1549"/>
      <c r="D169" s="523" t="s">
        <v>185</v>
      </c>
      <c r="E169" s="514">
        <f t="shared" si="16"/>
        <v>76625.75</v>
      </c>
      <c r="F169" s="514">
        <f t="shared" si="17"/>
        <v>77018.289999999994</v>
      </c>
      <c r="G169" s="1328">
        <f t="shared" si="18"/>
        <v>392.5399999999936</v>
      </c>
      <c r="H169" s="538">
        <v>226.35000000000582</v>
      </c>
    </row>
    <row r="170" spans="1:8" ht="27.75">
      <c r="A170" s="1549" t="s">
        <v>101</v>
      </c>
      <c r="B170" s="1549"/>
      <c r="C170" s="1549"/>
      <c r="D170" s="523" t="s">
        <v>185</v>
      </c>
      <c r="E170" s="514">
        <f t="shared" si="16"/>
        <v>274928.11</v>
      </c>
      <c r="F170" s="514">
        <f t="shared" si="17"/>
        <v>275417.73</v>
      </c>
      <c r="G170" s="1328">
        <f t="shared" si="18"/>
        <v>489.61999999999534</v>
      </c>
      <c r="H170" s="538">
        <v>312.47000000000116</v>
      </c>
    </row>
    <row r="171" spans="1:8" ht="27.75">
      <c r="A171" s="1549" t="s">
        <v>102</v>
      </c>
      <c r="B171" s="1549"/>
      <c r="C171" s="1549"/>
      <c r="D171" s="523" t="s">
        <v>185</v>
      </c>
      <c r="E171" s="514">
        <f t="shared" si="16"/>
        <v>85321</v>
      </c>
      <c r="F171" s="514">
        <f t="shared" si="17"/>
        <v>85321</v>
      </c>
      <c r="G171" s="1328">
        <f t="shared" si="18"/>
        <v>0</v>
      </c>
      <c r="H171" s="538">
        <v>142.1200000000008</v>
      </c>
    </row>
    <row r="172" spans="1:8" ht="27.75">
      <c r="A172" s="1549" t="s">
        <v>103</v>
      </c>
      <c r="B172" s="1549"/>
      <c r="C172" s="1549"/>
      <c r="D172" s="523" t="s">
        <v>185</v>
      </c>
      <c r="E172" s="514">
        <f t="shared" si="16"/>
        <v>93221.18</v>
      </c>
      <c r="F172" s="514">
        <f t="shared" si="17"/>
        <v>93521.99</v>
      </c>
      <c r="G172" s="1328">
        <f t="shared" si="18"/>
        <v>300.81000000001222</v>
      </c>
      <c r="H172" s="538">
        <v>12.869999999998981</v>
      </c>
    </row>
    <row r="173" spans="1:8" ht="27.75" customHeight="1">
      <c r="G173" s="1353">
        <f>SUM(G161:G172)</f>
        <v>2745.060000000014</v>
      </c>
    </row>
    <row r="174" spans="1:8" ht="27.75">
      <c r="A174" s="1549" t="s">
        <v>348</v>
      </c>
      <c r="B174" s="1549"/>
      <c r="C174" s="1549"/>
      <c r="D174" s="523" t="s">
        <v>185</v>
      </c>
      <c r="E174" s="658">
        <f>'21'!F174</f>
        <v>19101.8</v>
      </c>
      <c r="F174" s="514">
        <v>19105.900000000001</v>
      </c>
      <c r="G174" s="1328">
        <f t="shared" ref="G174:G176" si="19">F174-E174</f>
        <v>4.1000000000021828</v>
      </c>
    </row>
    <row r="175" spans="1:8">
      <c r="A175" s="1590" t="s">
        <v>348</v>
      </c>
      <c r="B175" s="1553"/>
      <c r="C175" s="785"/>
      <c r="D175" s="523" t="s">
        <v>185</v>
      </c>
      <c r="E175" s="658">
        <f>'21'!F175</f>
        <v>70468.899999999994</v>
      </c>
      <c r="F175" s="514">
        <v>70475.399999999994</v>
      </c>
      <c r="G175" s="1328">
        <f t="shared" si="19"/>
        <v>6.5</v>
      </c>
    </row>
    <row r="176" spans="1:8">
      <c r="A176" s="1590" t="s">
        <v>349</v>
      </c>
      <c r="B176" s="1553"/>
      <c r="C176" s="785"/>
      <c r="D176" s="523" t="s">
        <v>185</v>
      </c>
      <c r="E176" s="658">
        <f>'21'!F176</f>
        <v>27739.200000000001</v>
      </c>
      <c r="F176" s="514">
        <v>27745</v>
      </c>
      <c r="G176" s="1328">
        <f t="shared" si="19"/>
        <v>5.7999999999992724</v>
      </c>
    </row>
    <row r="177" spans="1:15">
      <c r="A177" s="1590"/>
      <c r="B177" s="1553"/>
      <c r="D177" s="523"/>
      <c r="E177" s="658"/>
      <c r="F177" s="1491"/>
      <c r="G177" s="1328"/>
    </row>
    <row r="178" spans="1:15">
      <c r="A178" s="1590"/>
      <c r="B178" s="1553"/>
      <c r="C178" s="785"/>
      <c r="D178" s="523"/>
      <c r="E178" s="532"/>
      <c r="F178" s="532"/>
      <c r="G178" s="473"/>
      <c r="N178" s="718"/>
      <c r="O178" s="723"/>
    </row>
    <row r="179" spans="1:15">
      <c r="A179" s="1590"/>
      <c r="B179" s="1553"/>
      <c r="C179" s="785"/>
      <c r="D179" s="523"/>
      <c r="E179" s="532"/>
      <c r="F179" s="532"/>
      <c r="G179" s="473"/>
      <c r="N179" s="718"/>
      <c r="O179" s="723"/>
    </row>
    <row r="180" spans="1:15">
      <c r="A180" s="1590"/>
      <c r="B180" s="1553"/>
      <c r="C180" s="785"/>
      <c r="D180" s="523"/>
      <c r="E180" s="532"/>
      <c r="F180" s="532"/>
      <c r="G180" s="473"/>
      <c r="N180" s="718"/>
      <c r="O180" s="723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54" zoomScale="70" zoomScaleNormal="80" zoomScaleSheetLayoutView="70" workbookViewId="0">
      <selection activeCell="F187" sqref="F187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5.88671875" style="1003" customWidth="1"/>
    <col min="4" max="4" width="13.6640625" style="1003" customWidth="1"/>
    <col min="5" max="5" width="32.109375" style="1003" customWidth="1"/>
    <col min="6" max="6" width="30" style="1003" customWidth="1"/>
    <col min="7" max="7" width="20.33203125" style="1003" customWidth="1"/>
    <col min="8" max="8" width="39.21875" style="1004" customWidth="1"/>
    <col min="9" max="9" width="11.21875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71" t="s">
        <v>115</v>
      </c>
      <c r="B1" s="1672"/>
      <c r="C1" s="1672"/>
      <c r="D1" s="1672"/>
      <c r="E1" s="1672"/>
      <c r="F1" s="1672"/>
      <c r="G1" s="1672"/>
      <c r="H1" s="1672"/>
      <c r="I1" s="1672"/>
      <c r="J1" s="1673"/>
      <c r="K1" s="805">
        <v>10002.799999999999</v>
      </c>
    </row>
    <row r="2" spans="1:15">
      <c r="A2" s="806" t="s">
        <v>361</v>
      </c>
      <c r="B2" s="1075">
        <v>44400</v>
      </c>
      <c r="C2" s="807" t="s">
        <v>68</v>
      </c>
      <c r="D2" s="808">
        <v>0.85</v>
      </c>
      <c r="E2" s="809"/>
      <c r="F2" s="809"/>
      <c r="G2" s="809" t="s">
        <v>116</v>
      </c>
      <c r="H2" s="809" t="s">
        <v>6</v>
      </c>
      <c r="I2" s="809" t="s">
        <v>8</v>
      </c>
      <c r="J2" s="810" t="s">
        <v>117</v>
      </c>
    </row>
    <row r="3" spans="1:15">
      <c r="A3" s="811"/>
      <c r="B3" s="812"/>
      <c r="C3" s="807" t="s">
        <v>118</v>
      </c>
      <c r="D3" s="813">
        <v>30</v>
      </c>
      <c r="E3" s="1680" t="s">
        <v>119</v>
      </c>
      <c r="F3" s="1681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120</v>
      </c>
      <c r="D4" s="808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121</v>
      </c>
      <c r="B5" s="825"/>
      <c r="C5" s="825"/>
      <c r="D5" s="825" t="s">
        <v>122</v>
      </c>
      <c r="E5" s="826" t="s">
        <v>123</v>
      </c>
      <c r="F5" s="826" t="s">
        <v>110</v>
      </c>
      <c r="G5" s="827" t="s">
        <v>124</v>
      </c>
      <c r="H5" s="828" t="s">
        <v>125</v>
      </c>
      <c r="I5" s="829" t="s">
        <v>126</v>
      </c>
      <c r="J5" s="830" t="s">
        <v>127</v>
      </c>
      <c r="K5" s="831"/>
      <c r="L5" s="818"/>
    </row>
    <row r="6" spans="1:15">
      <c r="A6" s="1674" t="s">
        <v>128</v>
      </c>
      <c r="B6" s="1675"/>
      <c r="C6" s="1676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1" thickBot="1">
      <c r="A7" s="836" t="s">
        <v>129</v>
      </c>
      <c r="B7" s="837"/>
      <c r="C7" s="837"/>
      <c r="D7" s="838" t="s">
        <v>130</v>
      </c>
      <c r="E7" s="839">
        <f>'22'!F7</f>
        <v>406420.43</v>
      </c>
      <c r="F7" s="839">
        <v>428989.33</v>
      </c>
      <c r="G7" s="840">
        <f>F7-E7</f>
        <v>22568.900000000023</v>
      </c>
      <c r="H7" s="841">
        <f>G7+'22'!H7</f>
        <v>507036.33000000007</v>
      </c>
      <c r="I7" s="842">
        <f>'1'!I7</f>
        <v>12000</v>
      </c>
      <c r="J7" s="843">
        <f>H7/DAY(B2)</f>
        <v>22045.057826086959</v>
      </c>
      <c r="K7" s="844"/>
      <c r="L7" s="818"/>
      <c r="O7" s="845"/>
    </row>
    <row r="8" spans="1:15" ht="21" thickBot="1">
      <c r="A8" s="846" t="s">
        <v>131</v>
      </c>
      <c r="B8" s="847"/>
      <c r="C8" s="848"/>
      <c r="D8" s="849" t="s">
        <v>25</v>
      </c>
      <c r="E8" s="839">
        <f>'22'!F8</f>
        <v>413507.95</v>
      </c>
      <c r="F8" s="1519">
        <v>436167.91</v>
      </c>
      <c r="G8" s="850">
        <f>F8-E8</f>
        <v>22659.959999999963</v>
      </c>
      <c r="H8" s="841">
        <f>G8+'22'!H8</f>
        <v>509445.91</v>
      </c>
      <c r="I8" s="851">
        <f>'1'!I8</f>
        <v>12000</v>
      </c>
      <c r="J8" s="843">
        <f>H8/DAY(B2)</f>
        <v>22149.822173913042</v>
      </c>
      <c r="K8" s="844"/>
      <c r="L8" s="852"/>
      <c r="M8" s="853"/>
      <c r="O8" s="845"/>
    </row>
    <row r="9" spans="1:15">
      <c r="A9" s="854" t="s">
        <v>132</v>
      </c>
      <c r="B9" s="855"/>
      <c r="C9" s="855"/>
      <c r="D9" s="838" t="s">
        <v>130</v>
      </c>
      <c r="E9" s="839">
        <f>'22'!F9</f>
        <v>2501803.5</v>
      </c>
      <c r="F9" s="856">
        <v>2523663.5</v>
      </c>
      <c r="G9" s="840">
        <f t="shared" ref="G9:G12" si="0">F9-E9</f>
        <v>21860</v>
      </c>
      <c r="H9" s="841">
        <f>G9+'22'!H9</f>
        <v>492661.5</v>
      </c>
      <c r="I9" s="857">
        <f>I8-J8</f>
        <v>-10149.822173913042</v>
      </c>
      <c r="J9" s="843">
        <f>H9/DAY(B2)</f>
        <v>21420.065217391304</v>
      </c>
      <c r="K9" s="858"/>
      <c r="L9" s="818"/>
      <c r="O9" s="845"/>
    </row>
    <row r="10" spans="1:15">
      <c r="A10" s="836" t="s">
        <v>133</v>
      </c>
      <c r="B10" s="837"/>
      <c r="C10" s="837"/>
      <c r="D10" s="838" t="s">
        <v>130</v>
      </c>
      <c r="E10" s="839">
        <f>'22'!F10</f>
        <v>2606.5500000000002</v>
      </c>
      <c r="F10" s="856">
        <v>2606.5500000000002</v>
      </c>
      <c r="G10" s="840">
        <f t="shared" si="0"/>
        <v>0</v>
      </c>
      <c r="H10" s="841">
        <f>G10+'22'!H10</f>
        <v>0.29999999999972715</v>
      </c>
      <c r="I10" s="859"/>
      <c r="J10" s="843">
        <f>H10/DAY(B2)</f>
        <v>1.3043478260857702E-2</v>
      </c>
      <c r="K10" s="858"/>
      <c r="L10" s="818"/>
      <c r="O10" s="845"/>
    </row>
    <row r="11" spans="1:15">
      <c r="A11" s="836" t="s">
        <v>134</v>
      </c>
      <c r="B11" s="837"/>
      <c r="C11" s="837"/>
      <c r="D11" s="838" t="s">
        <v>130</v>
      </c>
      <c r="E11" s="839">
        <f>'22'!F11</f>
        <v>37000</v>
      </c>
      <c r="F11" s="839">
        <v>37000</v>
      </c>
      <c r="G11" s="840">
        <f t="shared" si="0"/>
        <v>0</v>
      </c>
      <c r="H11" s="841">
        <f>G11+'22'!H11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135</v>
      </c>
      <c r="B12" s="837"/>
      <c r="C12" s="837"/>
      <c r="D12" s="838" t="s">
        <v>130</v>
      </c>
      <c r="E12" s="839">
        <f>'22'!F12</f>
        <v>40010</v>
      </c>
      <c r="F12" s="856">
        <v>40010</v>
      </c>
      <c r="G12" s="840">
        <f t="shared" si="0"/>
        <v>0</v>
      </c>
      <c r="H12" s="841">
        <f>G12+'22'!H12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136</v>
      </c>
      <c r="B13" s="861"/>
      <c r="C13" s="861"/>
      <c r="D13" s="838"/>
      <c r="E13" s="839"/>
      <c r="F13" s="839"/>
      <c r="G13" s="862">
        <f>G9+G10+G11+G12</f>
        <v>21860</v>
      </c>
      <c r="H13" s="841">
        <f>G13+'22'!H13</f>
        <v>472334.8</v>
      </c>
      <c r="I13" s="863">
        <f>G7-G13</f>
        <v>708.90000000002328</v>
      </c>
      <c r="J13" s="843">
        <f>H13/DAY(B2)</f>
        <v>20536.295652173914</v>
      </c>
      <c r="K13" s="858"/>
      <c r="L13" s="818"/>
      <c r="O13" s="845"/>
    </row>
    <row r="14" spans="1:15">
      <c r="A14" s="1677" t="s">
        <v>137</v>
      </c>
      <c r="B14" s="1678"/>
      <c r="C14" s="1679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>
      <c r="A15" s="866" t="s">
        <v>138</v>
      </c>
      <c r="B15" s="867"/>
      <c r="C15" s="867"/>
      <c r="D15" s="838" t="s">
        <v>139</v>
      </c>
      <c r="E15" s="839">
        <f>'22'!F15</f>
        <v>1721848.04</v>
      </c>
      <c r="F15" s="1520">
        <v>1722719.35</v>
      </c>
      <c r="G15" s="1015">
        <f>(F15-E15)</f>
        <v>871.31000000005588</v>
      </c>
      <c r="H15" s="841">
        <f>G15+'22'!H15</f>
        <v>19036.350000000093</v>
      </c>
      <c r="I15" s="842">
        <f>'1'!I15</f>
        <v>800</v>
      </c>
      <c r="J15" s="843">
        <f>H15/DAY(B2)</f>
        <v>827.6673913043519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-27.667391304351895</v>
      </c>
      <c r="J16" s="875"/>
      <c r="K16" s="858"/>
      <c r="L16" s="818"/>
      <c r="O16" s="845"/>
    </row>
    <row r="17" spans="1:15">
      <c r="A17" s="1677" t="s">
        <v>140</v>
      </c>
      <c r="B17" s="1678"/>
      <c r="C17" s="1679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>
      <c r="A18" s="1653" t="s">
        <v>141</v>
      </c>
      <c r="B18" s="1654"/>
      <c r="C18" s="1655"/>
      <c r="D18" s="838" t="s">
        <v>142</v>
      </c>
      <c r="E18" s="839">
        <f>'22'!F18</f>
        <v>12</v>
      </c>
      <c r="F18" s="868">
        <v>10</v>
      </c>
      <c r="G18" s="862">
        <f>F18*10</f>
        <v>100</v>
      </c>
      <c r="H18" s="841">
        <f>G18+'22'!H18</f>
        <v>3040</v>
      </c>
      <c r="I18" s="842">
        <f>'1'!I18</f>
        <v>65</v>
      </c>
      <c r="J18" s="843">
        <f>H18/DAY(B2)</f>
        <v>132.17391304347825</v>
      </c>
      <c r="K18" s="858"/>
      <c r="L18" s="818"/>
      <c r="O18" s="845"/>
    </row>
    <row r="19" spans="1:15">
      <c r="A19" s="1653" t="s">
        <v>70</v>
      </c>
      <c r="B19" s="1654"/>
      <c r="C19" s="1655"/>
      <c r="D19" s="838" t="s">
        <v>142</v>
      </c>
      <c r="E19" s="839">
        <f>'22'!F19</f>
        <v>142809</v>
      </c>
      <c r="F19" s="868">
        <v>142879</v>
      </c>
      <c r="G19" s="840">
        <f t="shared" ref="G19" si="1">F19-E19</f>
        <v>70</v>
      </c>
      <c r="H19" s="841">
        <f>G19+'22'!H19</f>
        <v>1384</v>
      </c>
      <c r="I19" s="842">
        <f>'1'!I19</f>
        <v>0</v>
      </c>
      <c r="J19" s="843">
        <f>H19/DAY(B2)</f>
        <v>60.173913043478258</v>
      </c>
      <c r="K19" s="858"/>
      <c r="L19" s="818"/>
      <c r="N19" s="1006">
        <v>126171</v>
      </c>
      <c r="O19" s="845"/>
    </row>
    <row r="20" spans="1:15">
      <c r="A20" s="860" t="s">
        <v>143</v>
      </c>
      <c r="B20" s="861"/>
      <c r="C20" s="861"/>
      <c r="D20" s="878"/>
      <c r="E20" s="878"/>
      <c r="F20" s="878"/>
      <c r="G20" s="879">
        <f>G18+G19</f>
        <v>170</v>
      </c>
      <c r="H20" s="841">
        <f>G20+'22'!H20</f>
        <v>4424</v>
      </c>
      <c r="I20" s="880">
        <f>I18-J20</f>
        <v>-127.34782608695653</v>
      </c>
      <c r="J20" s="843">
        <f>H20/DAY(B2)</f>
        <v>192.34782608695653</v>
      </c>
      <c r="K20" s="858"/>
      <c r="L20" s="818"/>
      <c r="N20" s="1006">
        <f>N19-F19</f>
        <v>-16708</v>
      </c>
      <c r="O20" s="845"/>
    </row>
    <row r="21" spans="1:15">
      <c r="A21" s="1677" t="s">
        <v>144</v>
      </c>
      <c r="B21" s="1678"/>
      <c r="C21" s="1679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145</v>
      </c>
      <c r="B22" s="867"/>
      <c r="C22" s="867"/>
      <c r="D22" s="838" t="s">
        <v>146</v>
      </c>
      <c r="E22" s="868">
        <v>2970</v>
      </c>
      <c r="F22" s="868">
        <v>2970</v>
      </c>
      <c r="G22" s="862">
        <f t="shared" ref="G22" si="2">(F22-E22)</f>
        <v>0</v>
      </c>
      <c r="H22" s="841">
        <f>G22+'22'!H22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147</v>
      </c>
      <c r="B23" s="867"/>
      <c r="C23" s="867"/>
      <c r="D23" s="838" t="s">
        <v>146</v>
      </c>
      <c r="E23" s="868">
        <v>2000</v>
      </c>
      <c r="F23" s="868">
        <v>2000</v>
      </c>
      <c r="G23" s="862">
        <v>0</v>
      </c>
      <c r="H23" s="841">
        <f>G23+'22'!H23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148</v>
      </c>
      <c r="B24" s="882"/>
      <c r="C24" s="882"/>
      <c r="D24" s="825" t="s">
        <v>146</v>
      </c>
      <c r="E24" s="868">
        <v>4970</v>
      </c>
      <c r="F24" s="883">
        <v>4970</v>
      </c>
      <c r="G24" s="862">
        <v>0</v>
      </c>
      <c r="H24" s="841">
        <f>G24+'22'!H24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4" t="s">
        <v>149</v>
      </c>
      <c r="B25" s="1675"/>
      <c r="C25" s="1676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150</v>
      </c>
      <c r="B26" s="891"/>
      <c r="C26" s="892"/>
      <c r="D26" s="893" t="s">
        <v>151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>
      <c r="A27" s="890" t="s">
        <v>6</v>
      </c>
      <c r="B27" s="891"/>
      <c r="C27" s="892"/>
      <c r="D27" s="897" t="s">
        <v>25</v>
      </c>
      <c r="E27" s="898">
        <f>G8</f>
        <v>22659.959999999963</v>
      </c>
      <c r="F27" s="899">
        <v>9</v>
      </c>
      <c r="G27" s="900">
        <f>E27*F27</f>
        <v>203939.63999999966</v>
      </c>
      <c r="H27" s="841">
        <f>G27+'22'!H27</f>
        <v>4585015.08</v>
      </c>
      <c r="I27" s="901"/>
      <c r="J27" s="843">
        <f>H27/DAY(B2)</f>
        <v>199348.48173913042</v>
      </c>
      <c r="K27" s="858"/>
      <c r="L27" s="888"/>
      <c r="N27" s="1007"/>
      <c r="O27" s="845"/>
    </row>
    <row r="28" spans="1:15" s="889" customFormat="1">
      <c r="A28" s="890" t="s">
        <v>152</v>
      </c>
      <c r="B28" s="891"/>
      <c r="C28" s="892"/>
      <c r="D28" s="897" t="s">
        <v>153</v>
      </c>
      <c r="E28" s="898">
        <f>G15</f>
        <v>871.31000000005588</v>
      </c>
      <c r="F28" s="899">
        <v>52</v>
      </c>
      <c r="G28" s="900">
        <f>E28*F28</f>
        <v>45308.120000002906</v>
      </c>
      <c r="H28" s="841">
        <f>G28+'22'!H28</f>
        <v>989890.20000000484</v>
      </c>
      <c r="I28" s="902"/>
      <c r="J28" s="843">
        <f>H28/DAY(B2)</f>
        <v>43038.7043478263</v>
      </c>
      <c r="K28" s="858"/>
      <c r="L28" s="888"/>
      <c r="N28" s="1007"/>
      <c r="O28" s="845"/>
    </row>
    <row r="29" spans="1:15" s="889" customFormat="1">
      <c r="A29" s="890" t="s">
        <v>154</v>
      </c>
      <c r="B29" s="891"/>
      <c r="C29" s="892"/>
      <c r="D29" s="897" t="s">
        <v>155</v>
      </c>
      <c r="E29" s="898">
        <f>G24</f>
        <v>0</v>
      </c>
      <c r="F29" s="899">
        <v>69</v>
      </c>
      <c r="G29" s="900">
        <f>E29*F29</f>
        <v>0</v>
      </c>
      <c r="H29" s="841">
        <f>G29+'22'!H29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156</v>
      </c>
      <c r="B30" s="891"/>
      <c r="C30" s="892"/>
      <c r="D30" s="897" t="s">
        <v>157</v>
      </c>
      <c r="E30" s="898">
        <f>G19</f>
        <v>70</v>
      </c>
      <c r="F30" s="899">
        <v>146</v>
      </c>
      <c r="G30" s="900">
        <f>E30*F30</f>
        <v>10220</v>
      </c>
      <c r="H30" s="841">
        <f>G30+'22'!H30</f>
        <v>201480</v>
      </c>
      <c r="I30" s="902"/>
      <c r="J30" s="843">
        <f>H30/DAY(B2)</f>
        <v>8760</v>
      </c>
      <c r="K30" s="858"/>
      <c r="L30" s="888"/>
      <c r="N30" s="1007"/>
      <c r="O30" s="845"/>
    </row>
    <row r="31" spans="1:15" s="889" customFormat="1">
      <c r="A31" s="890" t="s">
        <v>158</v>
      </c>
      <c r="B31" s="891"/>
      <c r="C31" s="892"/>
      <c r="D31" s="897" t="s">
        <v>142</v>
      </c>
      <c r="E31" s="898">
        <f>G18</f>
        <v>100</v>
      </c>
      <c r="F31" s="899">
        <v>80</v>
      </c>
      <c r="G31" s="900">
        <f>E31*F31</f>
        <v>8000</v>
      </c>
      <c r="H31" s="841">
        <f>G31+'22'!H31</f>
        <v>237600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159</v>
      </c>
      <c r="B32" s="904"/>
      <c r="C32" s="905"/>
      <c r="D32" s="906"/>
      <c r="E32" s="906"/>
      <c r="F32" s="906"/>
      <c r="G32" s="907">
        <f>G27+G28+G29+G30+G31</f>
        <v>267467.76000000257</v>
      </c>
      <c r="H32" s="841">
        <f>G32+'22'!H32</f>
        <v>6013985.2800000049</v>
      </c>
      <c r="I32" s="908"/>
      <c r="J32" s="843">
        <f>H32/DAY(B2)</f>
        <v>261477.62086956543</v>
      </c>
      <c r="K32" s="858"/>
      <c r="L32" s="888"/>
      <c r="N32" s="1007"/>
      <c r="O32" s="845"/>
    </row>
    <row r="33" spans="1:15" ht="18.75">
      <c r="A33" s="1682" t="s">
        <v>160</v>
      </c>
      <c r="B33" s="1683"/>
      <c r="C33" s="1683"/>
      <c r="D33" s="1683"/>
      <c r="E33" s="1683"/>
      <c r="F33" s="1683"/>
      <c r="G33" s="1683"/>
      <c r="H33" s="1683"/>
      <c r="I33" s="1683"/>
      <c r="J33" s="1684"/>
      <c r="K33" s="858"/>
      <c r="L33" s="818"/>
      <c r="O33" s="845"/>
    </row>
    <row r="34" spans="1:15">
      <c r="A34" s="909" t="s">
        <v>161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162</v>
      </c>
      <c r="B35" s="837"/>
      <c r="C35" s="837"/>
      <c r="D35" s="838" t="s">
        <v>130</v>
      </c>
      <c r="E35" s="839">
        <f>'22'!F35</f>
        <v>1058597</v>
      </c>
      <c r="F35" s="911">
        <v>1058597</v>
      </c>
      <c r="G35" s="840">
        <f t="shared" ref="G35:G46" si="3">F35-E35</f>
        <v>0</v>
      </c>
      <c r="H35" s="841">
        <f>G35+'22'!H35</f>
        <v>29883</v>
      </c>
      <c r="I35" s="839"/>
      <c r="J35" s="843">
        <f>H35/DAY(B2)</f>
        <v>1299.2608695652175</v>
      </c>
      <c r="K35" s="858"/>
      <c r="L35" s="818"/>
      <c r="O35" s="845"/>
    </row>
    <row r="36" spans="1:15">
      <c r="A36" s="836" t="s">
        <v>163</v>
      </c>
      <c r="B36" s="837"/>
      <c r="C36" s="837"/>
      <c r="D36" s="838" t="s">
        <v>130</v>
      </c>
      <c r="E36" s="839">
        <f>'22'!F36</f>
        <v>39677.78</v>
      </c>
      <c r="F36" s="911">
        <v>40361.839999999997</v>
      </c>
      <c r="G36" s="840">
        <f t="shared" si="3"/>
        <v>684.05999999999767</v>
      </c>
      <c r="H36" s="841">
        <f>G36+'22'!H36</f>
        <v>19900.839999999997</v>
      </c>
      <c r="I36" s="839"/>
      <c r="J36" s="843">
        <f>H36/DAY(B2)</f>
        <v>865.25391304347806</v>
      </c>
      <c r="K36" s="858"/>
      <c r="L36" s="818"/>
      <c r="O36" s="845"/>
    </row>
    <row r="37" spans="1:15">
      <c r="A37" s="836" t="s">
        <v>164</v>
      </c>
      <c r="B37" s="837"/>
      <c r="C37" s="837"/>
      <c r="D37" s="838" t="s">
        <v>130</v>
      </c>
      <c r="E37" s="839">
        <f>'22'!F37</f>
        <v>211447.87</v>
      </c>
      <c r="F37" s="911">
        <v>213050.03</v>
      </c>
      <c r="G37" s="840">
        <f t="shared" si="3"/>
        <v>1602.1600000000035</v>
      </c>
      <c r="H37" s="841">
        <f>G37+'22'!H37</f>
        <v>36480.03</v>
      </c>
      <c r="I37" s="839"/>
      <c r="J37" s="843">
        <f>H37/DAY(B2)</f>
        <v>1586.0882608695651</v>
      </c>
      <c r="K37" s="858"/>
      <c r="L37" s="818"/>
      <c r="O37" s="845"/>
    </row>
    <row r="38" spans="1:15">
      <c r="A38" s="836" t="s">
        <v>165</v>
      </c>
      <c r="B38" s="837"/>
      <c r="C38" s="837"/>
      <c r="D38" s="838" t="s">
        <v>130</v>
      </c>
      <c r="E38" s="839">
        <f>'22'!F38</f>
        <v>233975.71</v>
      </c>
      <c r="F38" s="828">
        <v>235554.57</v>
      </c>
      <c r="G38" s="840">
        <f t="shared" si="3"/>
        <v>1578.8600000000151</v>
      </c>
      <c r="H38" s="841">
        <f>G38+'22'!H38</f>
        <v>37095.570000000007</v>
      </c>
      <c r="I38" s="839"/>
      <c r="J38" s="843">
        <f>H38/DAY(B2)</f>
        <v>1612.8508695652176</v>
      </c>
      <c r="K38" s="858"/>
      <c r="L38" s="818"/>
      <c r="O38" s="845"/>
    </row>
    <row r="39" spans="1:15">
      <c r="A39" s="836" t="s">
        <v>166</v>
      </c>
      <c r="B39" s="837"/>
      <c r="C39" s="837"/>
      <c r="D39" s="838" t="s">
        <v>130</v>
      </c>
      <c r="E39" s="839">
        <f>'22'!F39</f>
        <v>486351.03</v>
      </c>
      <c r="F39" s="911">
        <v>490138.99</v>
      </c>
      <c r="G39" s="840">
        <f t="shared" si="3"/>
        <v>3787.9599999999627</v>
      </c>
      <c r="H39" s="841">
        <f>G39+'22'!H39</f>
        <v>85274.989999999991</v>
      </c>
      <c r="I39" s="839"/>
      <c r="J39" s="843">
        <f>H39/DAY(B2)</f>
        <v>3707.6082608695647</v>
      </c>
      <c r="K39" s="858"/>
      <c r="L39" s="818"/>
      <c r="O39" s="845"/>
    </row>
    <row r="40" spans="1:15">
      <c r="A40" s="912" t="s">
        <v>167</v>
      </c>
      <c r="B40" s="913"/>
      <c r="C40" s="913"/>
      <c r="D40" s="838" t="s">
        <v>130</v>
      </c>
      <c r="E40" s="839">
        <f>'22'!F40</f>
        <v>15858.73</v>
      </c>
      <c r="F40" s="911">
        <v>16445.48</v>
      </c>
      <c r="G40" s="840">
        <f t="shared" si="3"/>
        <v>586.75</v>
      </c>
      <c r="H40" s="841">
        <f>G40+'22'!H40</f>
        <v>9332.48</v>
      </c>
      <c r="I40" s="839"/>
      <c r="J40" s="843">
        <f>H40/DAY(B2)</f>
        <v>405.76</v>
      </c>
      <c r="K40" s="865"/>
      <c r="L40" s="818"/>
      <c r="O40" s="845"/>
    </row>
    <row r="41" spans="1:15">
      <c r="A41" s="836" t="s">
        <v>168</v>
      </c>
      <c r="B41" s="837"/>
      <c r="C41" s="837"/>
      <c r="D41" s="838" t="s">
        <v>130</v>
      </c>
      <c r="E41" s="839">
        <f>'22'!F41</f>
        <v>366839.55</v>
      </c>
      <c r="F41" s="911">
        <v>366839.55</v>
      </c>
      <c r="G41" s="840">
        <f t="shared" si="3"/>
        <v>0</v>
      </c>
      <c r="H41" s="841">
        <f>G41+'22'!H41</f>
        <v>37197.549999999988</v>
      </c>
      <c r="I41" s="839"/>
      <c r="J41" s="843">
        <f>H41/DAY(B2)</f>
        <v>1617.2847826086952</v>
      </c>
      <c r="K41" s="858"/>
      <c r="L41" s="818"/>
      <c r="O41" s="845"/>
    </row>
    <row r="42" spans="1:15">
      <c r="A42" s="836" t="s">
        <v>169</v>
      </c>
      <c r="B42" s="837"/>
      <c r="C42" s="837"/>
      <c r="D42" s="838" t="s">
        <v>130</v>
      </c>
      <c r="E42" s="839">
        <f>'22'!F42</f>
        <v>89172.1</v>
      </c>
      <c r="F42" s="911">
        <v>91097.09</v>
      </c>
      <c r="G42" s="840">
        <f t="shared" si="3"/>
        <v>1924.9899999999907</v>
      </c>
      <c r="H42" s="841">
        <f>G42+'22'!H42</f>
        <v>31898.199999999997</v>
      </c>
      <c r="I42" s="839"/>
      <c r="J42" s="843">
        <f>H42/DAY(B2)</f>
        <v>1386.8782608695651</v>
      </c>
      <c r="K42" s="858"/>
      <c r="L42" s="818"/>
      <c r="O42" s="845"/>
    </row>
    <row r="43" spans="1:15">
      <c r="A43" s="836" t="s">
        <v>170</v>
      </c>
      <c r="B43" s="837"/>
      <c r="C43" s="837"/>
      <c r="D43" s="838" t="s">
        <v>130</v>
      </c>
      <c r="E43" s="839">
        <f>'22'!F43</f>
        <v>1179688.8999999999</v>
      </c>
      <c r="F43" s="911">
        <v>1182388.1000000001</v>
      </c>
      <c r="G43" s="840">
        <f t="shared" si="3"/>
        <v>2699.2000000001863</v>
      </c>
      <c r="H43" s="841">
        <f>G43+'22'!H43</f>
        <v>61936.100000000093</v>
      </c>
      <c r="I43" s="839"/>
      <c r="J43" s="843">
        <f>H43/DAY(B2)</f>
        <v>2692.8739130434824</v>
      </c>
      <c r="K43" s="858"/>
      <c r="L43" s="818"/>
      <c r="O43" s="845"/>
    </row>
    <row r="44" spans="1:15">
      <c r="A44" s="836" t="s">
        <v>171</v>
      </c>
      <c r="B44" s="837"/>
      <c r="C44" s="837"/>
      <c r="D44" s="838" t="s">
        <v>130</v>
      </c>
      <c r="E44" s="839">
        <f>'22'!F44</f>
        <v>0</v>
      </c>
      <c r="F44" s="911">
        <v>0</v>
      </c>
      <c r="G44" s="840">
        <f t="shared" si="3"/>
        <v>0</v>
      </c>
      <c r="H44" s="841">
        <f>G44+'22'!H44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172</v>
      </c>
      <c r="B45" s="837"/>
      <c r="C45" s="837"/>
      <c r="D45" s="838" t="s">
        <v>130</v>
      </c>
      <c r="E45" s="839">
        <f>'22'!F45</f>
        <v>614</v>
      </c>
      <c r="F45" s="911">
        <v>614</v>
      </c>
      <c r="G45" s="840">
        <f t="shared" si="3"/>
        <v>0</v>
      </c>
      <c r="H45" s="841">
        <f>G45+'22'!H45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173</v>
      </c>
      <c r="B46" s="837"/>
      <c r="C46" s="837"/>
      <c r="D46" s="838" t="s">
        <v>130</v>
      </c>
      <c r="E46" s="839">
        <f>'22'!F46</f>
        <v>187</v>
      </c>
      <c r="F46" s="911">
        <v>187</v>
      </c>
      <c r="G46" s="840">
        <f t="shared" si="3"/>
        <v>0</v>
      </c>
      <c r="H46" s="841">
        <f>G46+'22'!H46</f>
        <v>-0.49000000000000909</v>
      </c>
      <c r="I46" s="839"/>
      <c r="J46" s="843">
        <f>H46/DAY(B2)</f>
        <v>-2.1304347826087353E-2</v>
      </c>
      <c r="K46" s="858"/>
      <c r="L46" s="818"/>
      <c r="O46" s="845"/>
    </row>
    <row r="47" spans="1:15">
      <c r="A47" s="860" t="s">
        <v>174</v>
      </c>
      <c r="B47" s="861"/>
      <c r="C47" s="861"/>
      <c r="D47" s="829"/>
      <c r="E47" s="825"/>
      <c r="F47" s="825"/>
      <c r="G47" s="862">
        <f>G35+G36+G37+G38+G39+G40+G41+G42+G43+G44+G45+G46</f>
        <v>12863.980000000156</v>
      </c>
      <c r="H47" s="841">
        <f>G47+'22'!H47</f>
        <v>349799.76000000007</v>
      </c>
      <c r="I47" s="839"/>
      <c r="J47" s="843">
        <f>H47/DAY(B2)</f>
        <v>15208.685217391307</v>
      </c>
      <c r="K47" s="858"/>
      <c r="L47" s="818"/>
      <c r="N47" s="1008"/>
      <c r="O47" s="845"/>
    </row>
    <row r="48" spans="1:15">
      <c r="A48" s="909" t="s">
        <v>175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162</v>
      </c>
      <c r="B49" s="914"/>
      <c r="C49" s="914"/>
      <c r="D49" s="838" t="s">
        <v>130</v>
      </c>
      <c r="E49" s="839">
        <f>'22'!F49</f>
        <v>296946.51</v>
      </c>
      <c r="F49" s="911">
        <v>299994.09000000003</v>
      </c>
      <c r="G49" s="840">
        <f t="shared" ref="G49:G58" si="4">F49-E49</f>
        <v>3047.5800000000163</v>
      </c>
      <c r="H49" s="841">
        <f>G49+'22'!H49</f>
        <v>39230.090000000026</v>
      </c>
      <c r="I49" s="839"/>
      <c r="J49" s="843">
        <f>H49/DAY(B2)</f>
        <v>1705.6560869565228</v>
      </c>
      <c r="K49" s="858"/>
      <c r="L49" s="818"/>
      <c r="O49" s="845"/>
    </row>
    <row r="50" spans="1:15">
      <c r="A50" s="836" t="s">
        <v>176</v>
      </c>
      <c r="B50" s="914"/>
      <c r="C50" s="914"/>
      <c r="D50" s="838" t="s">
        <v>130</v>
      </c>
      <c r="E50" s="839">
        <f>'22'!F50</f>
        <v>560780.18999999994</v>
      </c>
      <c r="F50" s="1450">
        <v>561776.94999999995</v>
      </c>
      <c r="G50" s="840">
        <f t="shared" si="4"/>
        <v>996.76000000000931</v>
      </c>
      <c r="H50" s="841">
        <f>G50+'22'!H50</f>
        <v>26020.949999999953</v>
      </c>
      <c r="I50" s="839"/>
      <c r="J50" s="843">
        <f>H50/DAY(B2)</f>
        <v>1131.345652173911</v>
      </c>
      <c r="K50" s="858"/>
      <c r="L50" s="818"/>
      <c r="O50" s="845"/>
    </row>
    <row r="51" spans="1:15">
      <c r="A51" s="836" t="s">
        <v>164</v>
      </c>
      <c r="B51" s="914"/>
      <c r="C51" s="914"/>
      <c r="D51" s="838" t="s">
        <v>130</v>
      </c>
      <c r="E51" s="839">
        <f>'22'!F51</f>
        <v>144640</v>
      </c>
      <c r="F51" s="911">
        <v>144640</v>
      </c>
      <c r="G51" s="840">
        <f t="shared" si="4"/>
        <v>0</v>
      </c>
      <c r="H51" s="841">
        <f>G51+'22'!H51</f>
        <v>0</v>
      </c>
      <c r="I51" s="839"/>
      <c r="J51" s="843">
        <f>H51/DAY(B2)</f>
        <v>0</v>
      </c>
      <c r="K51" s="858"/>
      <c r="L51" s="818"/>
      <c r="O51" s="845"/>
    </row>
    <row r="52" spans="1:15">
      <c r="A52" s="836" t="s">
        <v>177</v>
      </c>
      <c r="B52" s="914"/>
      <c r="C52" s="914"/>
      <c r="D52" s="838" t="s">
        <v>130</v>
      </c>
      <c r="E52" s="839">
        <f>'22'!F52</f>
        <v>539606.06999999995</v>
      </c>
      <c r="F52" s="911">
        <v>539606.06999999995</v>
      </c>
      <c r="G52" s="840">
        <f t="shared" si="4"/>
        <v>0</v>
      </c>
      <c r="H52" s="841">
        <f>G52+'22'!H52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166</v>
      </c>
      <c r="B53" s="914"/>
      <c r="C53" s="914"/>
      <c r="D53" s="838" t="s">
        <v>130</v>
      </c>
      <c r="E53" s="839">
        <f>'22'!F53</f>
        <v>434231.59</v>
      </c>
      <c r="F53" s="911">
        <v>434231.59</v>
      </c>
      <c r="G53" s="840">
        <f t="shared" si="4"/>
        <v>0</v>
      </c>
      <c r="H53" s="841">
        <f>G53+'22'!H53</f>
        <v>-0.73999999999068677</v>
      </c>
      <c r="I53" s="839"/>
      <c r="J53" s="843">
        <f>H53/DAY(B2)</f>
        <v>-3.2173913043073335E-2</v>
      </c>
      <c r="K53" s="858"/>
      <c r="L53" s="818"/>
      <c r="O53" s="845"/>
    </row>
    <row r="54" spans="1:15">
      <c r="A54" s="836" t="s">
        <v>178</v>
      </c>
      <c r="B54" s="914"/>
      <c r="C54" s="914"/>
      <c r="D54" s="838" t="s">
        <v>130</v>
      </c>
      <c r="E54" s="839">
        <f>'22'!F54</f>
        <v>14967.39</v>
      </c>
      <c r="F54" s="911">
        <v>14967.39</v>
      </c>
      <c r="G54" s="840">
        <f t="shared" si="4"/>
        <v>0</v>
      </c>
      <c r="H54" s="841">
        <f>G54+'22'!H54</f>
        <v>0.38999999999941792</v>
      </c>
      <c r="I54" s="839"/>
      <c r="J54" s="843">
        <f>H54/DAY(B2)</f>
        <v>1.6956521739105127E-2</v>
      </c>
      <c r="K54" s="858"/>
      <c r="L54" s="818"/>
      <c r="O54" s="845"/>
    </row>
    <row r="55" spans="1:15">
      <c r="A55" s="836" t="s">
        <v>179</v>
      </c>
      <c r="B55" s="914"/>
      <c r="C55" s="914"/>
      <c r="D55" s="838" t="s">
        <v>130</v>
      </c>
      <c r="E55" s="839">
        <f>'22'!F55</f>
        <v>198850.87</v>
      </c>
      <c r="F55" s="911">
        <v>204436.49</v>
      </c>
      <c r="G55" s="840">
        <f t="shared" si="4"/>
        <v>5585.6199999999953</v>
      </c>
      <c r="H55" s="841">
        <f>G55+'22'!H55</f>
        <v>81226.489999999991</v>
      </c>
      <c r="I55" s="839"/>
      <c r="J55" s="843">
        <f>H55/DAY(B2)</f>
        <v>3531.5865217391301</v>
      </c>
      <c r="K55" s="858"/>
      <c r="L55" s="818"/>
      <c r="O55" s="845"/>
    </row>
    <row r="56" spans="1:15">
      <c r="A56" s="836" t="s">
        <v>180</v>
      </c>
      <c r="B56" s="914"/>
      <c r="C56" s="914"/>
      <c r="D56" s="838" t="s">
        <v>181</v>
      </c>
      <c r="E56" s="839">
        <f>'22'!F56</f>
        <v>649262.82999999996</v>
      </c>
      <c r="F56" s="911">
        <v>649273.27</v>
      </c>
      <c r="G56" s="840">
        <f t="shared" si="4"/>
        <v>10.440000000060536</v>
      </c>
      <c r="H56" s="841">
        <f>G56+'22'!H56</f>
        <v>231.27000000001863</v>
      </c>
      <c r="I56" s="839"/>
      <c r="J56" s="843">
        <f>H56/DAY(B2)</f>
        <v>10.055217391305158</v>
      </c>
      <c r="K56" s="835"/>
      <c r="L56" s="818"/>
      <c r="O56" s="845"/>
    </row>
    <row r="57" spans="1:15">
      <c r="A57" s="836" t="s">
        <v>170</v>
      </c>
      <c r="B57" s="914"/>
      <c r="C57" s="914"/>
      <c r="D57" s="838" t="s">
        <v>130</v>
      </c>
      <c r="E57" s="839">
        <f>'22'!F57</f>
        <v>7711</v>
      </c>
      <c r="F57" s="911">
        <v>7711</v>
      </c>
      <c r="G57" s="840">
        <f t="shared" si="4"/>
        <v>0</v>
      </c>
      <c r="H57" s="841">
        <f>G57+'22'!H57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182</v>
      </c>
      <c r="B58" s="914"/>
      <c r="C58" s="914"/>
      <c r="D58" s="838" t="s">
        <v>130</v>
      </c>
      <c r="E58" s="839">
        <f>'22'!F58</f>
        <v>57838.13</v>
      </c>
      <c r="F58" s="911">
        <v>58048.11</v>
      </c>
      <c r="G58" s="840">
        <f t="shared" si="4"/>
        <v>209.9800000000032</v>
      </c>
      <c r="H58" s="841">
        <f>G58+'22'!H58</f>
        <v>3868.1100000000006</v>
      </c>
      <c r="I58" s="839"/>
      <c r="J58" s="843">
        <f>H58/DAY(B2)</f>
        <v>168.17869565217393</v>
      </c>
      <c r="K58" s="858"/>
      <c r="L58" s="818"/>
      <c r="O58" s="845"/>
    </row>
    <row r="59" spans="1:15">
      <c r="A59" s="860" t="s">
        <v>174</v>
      </c>
      <c r="B59" s="861"/>
      <c r="C59" s="861"/>
      <c r="D59" s="825"/>
      <c r="E59" s="825"/>
      <c r="F59" s="825"/>
      <c r="G59" s="862">
        <f>G49+G50+G51+G52+G53+G54+G55+G56+G57+G58</f>
        <v>9850.3800000000847</v>
      </c>
      <c r="H59" s="841">
        <f>G59+'22'!H59</f>
        <v>150576.62999999995</v>
      </c>
      <c r="I59" s="839">
        <f>G7-G60</f>
        <v>-145.46000000021741</v>
      </c>
      <c r="J59" s="843">
        <f>H59/DAY(B2)</f>
        <v>6546.8099999999977</v>
      </c>
      <c r="K59" s="858"/>
      <c r="L59" s="818"/>
      <c r="O59" s="845"/>
    </row>
    <row r="60" spans="1:15">
      <c r="A60" s="836"/>
      <c r="B60" s="837"/>
      <c r="C60" s="837"/>
      <c r="D60" s="825" t="s">
        <v>183</v>
      </c>
      <c r="E60" s="825"/>
      <c r="F60" s="825"/>
      <c r="G60" s="862">
        <f>G47+G59</f>
        <v>22714.360000000241</v>
      </c>
      <c r="H60" s="841">
        <f>G60+'22'!H60</f>
        <v>507279.72000000003</v>
      </c>
      <c r="I60" s="839">
        <f>G13-G60</f>
        <v>-854.36000000024069</v>
      </c>
      <c r="J60" s="843">
        <f>H60/DAY(B2)</f>
        <v>22055.640000000003</v>
      </c>
      <c r="K60" s="858"/>
      <c r="L60" s="818"/>
      <c r="O60" s="845"/>
    </row>
    <row r="61" spans="1:15">
      <c r="A61" s="915" t="s">
        <v>184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185</v>
      </c>
      <c r="E62" s="839">
        <f>'22'!F62</f>
        <v>20419.2</v>
      </c>
      <c r="F62" s="921">
        <v>20419</v>
      </c>
      <c r="G62" s="840">
        <f t="shared" ref="G62:G69" si="5">F62-E62</f>
        <v>-0.2000000000007276</v>
      </c>
      <c r="H62" s="841">
        <f>G62+'22'!H62</f>
        <v>1.9999999967694748E-3</v>
      </c>
      <c r="I62" s="922"/>
      <c r="J62" s="843">
        <f>H62/DAY(B2)</f>
        <v>8.6956521598672822E-5</v>
      </c>
      <c r="K62" s="858"/>
      <c r="L62" s="818"/>
      <c r="O62" s="845"/>
    </row>
    <row r="63" spans="1:15">
      <c r="A63" s="919" t="s">
        <v>186</v>
      </c>
      <c r="B63" s="920"/>
      <c r="C63" s="920"/>
      <c r="D63" s="825" t="s">
        <v>185</v>
      </c>
      <c r="E63" s="839">
        <f>'22'!F63</f>
        <v>0</v>
      </c>
      <c r="F63" s="921">
        <v>0</v>
      </c>
      <c r="G63" s="840">
        <f t="shared" si="5"/>
        <v>0</v>
      </c>
      <c r="H63" s="841">
        <f>G63+'22'!H63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9" t="s">
        <v>98</v>
      </c>
      <c r="B64" s="1660"/>
      <c r="C64" s="1661"/>
      <c r="D64" s="838" t="s">
        <v>185</v>
      </c>
      <c r="E64" s="839">
        <f>'22'!F64</f>
        <v>178527.35</v>
      </c>
      <c r="F64" s="868">
        <v>178897.63</v>
      </c>
      <c r="G64" s="840">
        <f t="shared" si="5"/>
        <v>370.27999999999884</v>
      </c>
      <c r="H64" s="841">
        <f>G64+'22'!H64</f>
        <v>8875.6300000000047</v>
      </c>
      <c r="I64" s="859"/>
      <c r="J64" s="843">
        <f>H64/DAY(B2)</f>
        <v>385.89695652173936</v>
      </c>
      <c r="K64" s="858"/>
      <c r="L64" s="818"/>
      <c r="O64" s="845"/>
    </row>
    <row r="65" spans="1:15">
      <c r="A65" s="1659" t="s">
        <v>99</v>
      </c>
      <c r="B65" s="1660"/>
      <c r="C65" s="1661"/>
      <c r="D65" s="838" t="s">
        <v>185</v>
      </c>
      <c r="E65" s="839">
        <f>'22'!F65</f>
        <v>178694.59</v>
      </c>
      <c r="F65" s="868">
        <v>179109.65</v>
      </c>
      <c r="G65" s="840">
        <f t="shared" si="5"/>
        <v>415.05999999999767</v>
      </c>
      <c r="H65" s="841">
        <f>G65+'22'!H65</f>
        <v>8807.6499999999942</v>
      </c>
      <c r="I65" s="877"/>
      <c r="J65" s="843">
        <f>H65/DAY(B2)</f>
        <v>382.94130434782585</v>
      </c>
      <c r="K65" s="858"/>
      <c r="L65" s="818"/>
      <c r="O65" s="845"/>
    </row>
    <row r="66" spans="1:15">
      <c r="A66" s="1659" t="s">
        <v>100</v>
      </c>
      <c r="B66" s="1660"/>
      <c r="C66" s="1661"/>
      <c r="D66" s="838" t="s">
        <v>185</v>
      </c>
      <c r="E66" s="839">
        <f>'22'!F66</f>
        <v>77018.289999999994</v>
      </c>
      <c r="F66" s="868">
        <v>77414.350000000006</v>
      </c>
      <c r="G66" s="840">
        <f t="shared" si="5"/>
        <v>396.06000000001222</v>
      </c>
      <c r="H66" s="841">
        <f>G66+'22'!H66</f>
        <v>9444.3500000000058</v>
      </c>
      <c r="I66" s="859"/>
      <c r="J66" s="843">
        <f>H66/DAY(B2)</f>
        <v>410.62391304347852</v>
      </c>
      <c r="K66" s="858"/>
      <c r="L66" s="818"/>
      <c r="O66" s="845"/>
    </row>
    <row r="67" spans="1:15">
      <c r="A67" s="1659" t="s">
        <v>101</v>
      </c>
      <c r="B67" s="1660"/>
      <c r="C67" s="1661"/>
      <c r="D67" s="838" t="s">
        <v>185</v>
      </c>
      <c r="E67" s="839">
        <f>'22'!F67</f>
        <v>275417.73</v>
      </c>
      <c r="F67" s="868">
        <v>275930.27</v>
      </c>
      <c r="G67" s="840">
        <f t="shared" si="5"/>
        <v>512.54000000003725</v>
      </c>
      <c r="H67" s="841">
        <f>G67+'22'!H67</f>
        <v>10971.270000000019</v>
      </c>
      <c r="I67" s="877"/>
      <c r="J67" s="843">
        <f>H67/DAY(B2)</f>
        <v>477.01173913043561</v>
      </c>
      <c r="K67" s="865"/>
      <c r="L67" s="818"/>
      <c r="O67" s="845"/>
    </row>
    <row r="68" spans="1:15">
      <c r="A68" s="1659" t="s">
        <v>102</v>
      </c>
      <c r="B68" s="1660"/>
      <c r="C68" s="1661"/>
      <c r="D68" s="838" t="s">
        <v>185</v>
      </c>
      <c r="E68" s="839">
        <f>'22'!F68</f>
        <v>85321</v>
      </c>
      <c r="F68" s="868">
        <v>85321</v>
      </c>
      <c r="G68" s="840">
        <f t="shared" si="5"/>
        <v>0</v>
      </c>
      <c r="H68" s="841">
        <f>G68+'22'!H68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9" t="s">
        <v>103</v>
      </c>
      <c r="B69" s="1660"/>
      <c r="C69" s="1661"/>
      <c r="D69" s="838" t="s">
        <v>185</v>
      </c>
      <c r="E69" s="839">
        <f>'22'!F69</f>
        <v>93521.99</v>
      </c>
      <c r="F69" s="868">
        <v>93836.67</v>
      </c>
      <c r="G69" s="840">
        <f t="shared" si="5"/>
        <v>314.67999999999302</v>
      </c>
      <c r="H69" s="841">
        <f>G69+'22'!H69</f>
        <v>6321.6699999999983</v>
      </c>
      <c r="I69" s="923"/>
      <c r="J69" s="843">
        <f>H69/DAY(B2)</f>
        <v>274.85521739130428</v>
      </c>
      <c r="K69" s="925"/>
      <c r="L69" s="818"/>
      <c r="O69" s="845"/>
    </row>
    <row r="70" spans="1:15">
      <c r="A70" s="1668" t="s">
        <v>187</v>
      </c>
      <c r="B70" s="1669"/>
      <c r="C70" s="1670"/>
      <c r="D70" s="838" t="s">
        <v>185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5" t="s">
        <v>188</v>
      </c>
      <c r="B71" s="1666"/>
      <c r="C71" s="1666"/>
      <c r="D71" s="1666"/>
      <c r="E71" s="1666"/>
      <c r="F71" s="1666"/>
      <c r="G71" s="1666"/>
      <c r="H71" s="1666"/>
      <c r="I71" s="1666"/>
      <c r="J71" s="1667"/>
      <c r="K71" s="924"/>
      <c r="L71" s="818"/>
      <c r="O71" s="845"/>
    </row>
    <row r="72" spans="1:15">
      <c r="A72" s="1659" t="s">
        <v>189</v>
      </c>
      <c r="B72" s="1660"/>
      <c r="C72" s="1661"/>
      <c r="D72" s="838" t="s">
        <v>185</v>
      </c>
      <c r="E72" s="839">
        <f>'22'!F72</f>
        <v>856496</v>
      </c>
      <c r="F72" s="929">
        <v>856508</v>
      </c>
      <c r="G72" s="840">
        <f t="shared" ref="G72:G84" si="6">F72-E72</f>
        <v>12</v>
      </c>
      <c r="H72" s="841">
        <f>G72+'22'!H72</f>
        <v>273</v>
      </c>
      <c r="I72" s="859"/>
      <c r="J72" s="843">
        <f>H72/DAY(B2)</f>
        <v>11.869565217391305</v>
      </c>
      <c r="K72" s="925"/>
      <c r="L72" s="818"/>
      <c r="O72" s="845"/>
    </row>
    <row r="73" spans="1:15">
      <c r="A73" s="1659" t="s">
        <v>190</v>
      </c>
      <c r="B73" s="1660"/>
      <c r="C73" s="1661"/>
      <c r="D73" s="838" t="s">
        <v>185</v>
      </c>
      <c r="E73" s="839">
        <f>'22'!F73</f>
        <v>886002</v>
      </c>
      <c r="F73" s="930">
        <v>886004</v>
      </c>
      <c r="G73" s="840">
        <f t="shared" si="6"/>
        <v>2</v>
      </c>
      <c r="H73" s="841">
        <f>G73+'22'!H73</f>
        <v>170</v>
      </c>
      <c r="I73" s="859"/>
      <c r="J73" s="843">
        <f>H73/DAY(B2)</f>
        <v>7.3913043478260869</v>
      </c>
      <c r="K73" s="924"/>
      <c r="L73" s="818"/>
      <c r="O73" s="845"/>
    </row>
    <row r="74" spans="1:15">
      <c r="A74" s="1659" t="s">
        <v>191</v>
      </c>
      <c r="B74" s="1660"/>
      <c r="C74" s="1661"/>
      <c r="D74" s="838" t="s">
        <v>185</v>
      </c>
      <c r="E74" s="839">
        <f>'22'!F74</f>
        <v>88722</v>
      </c>
      <c r="F74" s="931">
        <v>88723</v>
      </c>
      <c r="G74" s="840">
        <f t="shared" si="6"/>
        <v>1</v>
      </c>
      <c r="H74" s="841">
        <f>G74+'22'!H74</f>
        <v>61</v>
      </c>
      <c r="I74" s="859"/>
      <c r="J74" s="843">
        <f>H74/DAY(B2)</f>
        <v>2.652173913043478</v>
      </c>
      <c r="K74" s="925"/>
      <c r="L74" s="818"/>
      <c r="O74" s="845"/>
    </row>
    <row r="75" spans="1:15">
      <c r="A75" s="1662" t="s">
        <v>192</v>
      </c>
      <c r="B75" s="1663"/>
      <c r="C75" s="1664"/>
      <c r="D75" s="838" t="s">
        <v>185</v>
      </c>
      <c r="E75" s="839">
        <f>'22'!F75</f>
        <v>19494.830000000002</v>
      </c>
      <c r="F75" s="931">
        <v>19643.29</v>
      </c>
      <c r="G75" s="840">
        <f t="shared" si="6"/>
        <v>148.45999999999913</v>
      </c>
      <c r="H75" s="841">
        <f>G75+'22'!H75</f>
        <v>3572.2900000000009</v>
      </c>
      <c r="I75" s="859"/>
      <c r="J75" s="843">
        <f>H75/DAY(B2)</f>
        <v>155.31695652173917</v>
      </c>
      <c r="K75" s="924"/>
      <c r="L75" s="818"/>
      <c r="O75" s="845"/>
    </row>
    <row r="76" spans="1:15">
      <c r="A76" s="1662" t="s">
        <v>193</v>
      </c>
      <c r="B76" s="1663"/>
      <c r="C76" s="1664"/>
      <c r="D76" s="838" t="s">
        <v>185</v>
      </c>
      <c r="E76" s="839">
        <f>'22'!F76</f>
        <v>10775.95</v>
      </c>
      <c r="F76" s="930">
        <v>10844.8</v>
      </c>
      <c r="G76" s="840">
        <f t="shared" si="6"/>
        <v>68.849999999998545</v>
      </c>
      <c r="H76" s="841">
        <f>G76+'22'!H76</f>
        <v>2625.7999999999993</v>
      </c>
      <c r="I76" s="902"/>
      <c r="J76" s="843">
        <f>H76/DAY(B2)</f>
        <v>114.16521739130431</v>
      </c>
      <c r="K76" s="924"/>
      <c r="L76" s="818"/>
      <c r="O76" s="845"/>
    </row>
    <row r="77" spans="1:15">
      <c r="A77" s="1659" t="s">
        <v>194</v>
      </c>
      <c r="B77" s="1660"/>
      <c r="C77" s="1661"/>
      <c r="D77" s="838" t="s">
        <v>185</v>
      </c>
      <c r="E77" s="839">
        <f>'22'!F77</f>
        <v>705784</v>
      </c>
      <c r="F77" s="930">
        <v>705836</v>
      </c>
      <c r="G77" s="840">
        <f t="shared" si="6"/>
        <v>52</v>
      </c>
      <c r="H77" s="841">
        <f>G77+'22'!H77</f>
        <v>1462</v>
      </c>
      <c r="I77" s="902"/>
      <c r="J77" s="843">
        <f>H77/DAY(B2)</f>
        <v>63.565217391304351</v>
      </c>
      <c r="K77" s="924"/>
      <c r="L77" s="818"/>
      <c r="O77" s="845"/>
    </row>
    <row r="78" spans="1:15">
      <c r="A78" s="932" t="s">
        <v>195</v>
      </c>
      <c r="B78" s="1133"/>
      <c r="C78" s="1133"/>
      <c r="D78" s="838" t="s">
        <v>185</v>
      </c>
      <c r="E78" s="839">
        <f>'22'!F78</f>
        <v>677598</v>
      </c>
      <c r="F78" s="931">
        <v>677704</v>
      </c>
      <c r="G78" s="840">
        <f t="shared" si="6"/>
        <v>106</v>
      </c>
      <c r="H78" s="841">
        <f>G78+'22'!H78</f>
        <v>2290</v>
      </c>
      <c r="I78" s="902"/>
      <c r="J78" s="843">
        <f>H78/DAY(B2)</f>
        <v>99.565217391304344</v>
      </c>
      <c r="K78" s="924"/>
      <c r="L78" s="818"/>
      <c r="O78" s="845"/>
    </row>
    <row r="79" spans="1:15">
      <c r="A79" s="1662" t="s">
        <v>91</v>
      </c>
      <c r="B79" s="1663"/>
      <c r="C79" s="1664"/>
      <c r="D79" s="871" t="s">
        <v>185</v>
      </c>
      <c r="E79" s="839">
        <f>'22'!F79</f>
        <v>838874</v>
      </c>
      <c r="F79" s="1228">
        <v>839023</v>
      </c>
      <c r="G79" s="840">
        <f t="shared" si="6"/>
        <v>149</v>
      </c>
      <c r="H79" s="841">
        <f>G79+'22'!H79</f>
        <v>2869</v>
      </c>
      <c r="I79" s="902"/>
      <c r="J79" s="843">
        <f>H79/DAY(B2)</f>
        <v>124.73913043478261</v>
      </c>
      <c r="K79" s="924"/>
      <c r="L79" s="818"/>
      <c r="O79" s="845"/>
    </row>
    <row r="80" spans="1:15">
      <c r="A80" s="1662" t="s">
        <v>196</v>
      </c>
      <c r="B80" s="1663"/>
      <c r="C80" s="1664"/>
      <c r="D80" s="871" t="s">
        <v>185</v>
      </c>
      <c r="E80" s="839">
        <f>'22'!F80</f>
        <v>548404</v>
      </c>
      <c r="F80" s="930">
        <v>548762.52</v>
      </c>
      <c r="G80" s="840">
        <f t="shared" si="6"/>
        <v>358.52000000001863</v>
      </c>
      <c r="H80" s="841">
        <f>G80+'22'!H80</f>
        <v>6371.5200000000186</v>
      </c>
      <c r="I80" s="902"/>
      <c r="J80" s="843">
        <f>H80/DAY(B2)</f>
        <v>277.02260869565299</v>
      </c>
      <c r="K80" s="924"/>
      <c r="L80" s="818"/>
      <c r="O80" s="845"/>
    </row>
    <row r="81" spans="1:15">
      <c r="A81" s="1662" t="s">
        <v>197</v>
      </c>
      <c r="B81" s="1663"/>
      <c r="C81" s="1664"/>
      <c r="D81" s="871" t="s">
        <v>185</v>
      </c>
      <c r="E81" s="839">
        <f>'22'!F81</f>
        <v>647283</v>
      </c>
      <c r="F81" s="930">
        <v>647469.16</v>
      </c>
      <c r="G81" s="840">
        <f t="shared" si="6"/>
        <v>186.1600000000326</v>
      </c>
      <c r="H81" s="841">
        <f>G81+'22'!H81</f>
        <v>4484.1600000000326</v>
      </c>
      <c r="I81" s="902"/>
      <c r="J81" s="843">
        <f>H81/DAY(B2)</f>
        <v>194.96347826087097</v>
      </c>
      <c r="K81" s="924"/>
      <c r="L81" s="818"/>
      <c r="O81" s="845"/>
    </row>
    <row r="82" spans="1:15">
      <c r="A82" s="1662" t="s">
        <v>92</v>
      </c>
      <c r="B82" s="1663"/>
      <c r="C82" s="1664"/>
      <c r="D82" s="872" t="s">
        <v>130</v>
      </c>
      <c r="E82" s="839">
        <f>'22'!F82</f>
        <v>109141.22</v>
      </c>
      <c r="F82" s="933">
        <v>109168.38</v>
      </c>
      <c r="G82" s="840">
        <f t="shared" si="6"/>
        <v>27.160000000003492</v>
      </c>
      <c r="H82" s="841">
        <f>G82+'22'!H82</f>
        <v>487.38000000000466</v>
      </c>
      <c r="I82" s="873"/>
      <c r="J82" s="843">
        <f>H82/DAY(B2)</f>
        <v>21.190434782608897</v>
      </c>
      <c r="K82" s="924"/>
      <c r="L82" s="818"/>
      <c r="O82" s="845"/>
    </row>
    <row r="83" spans="1:15">
      <c r="A83" s="1662" t="s">
        <v>198</v>
      </c>
      <c r="B83" s="1663"/>
      <c r="C83" s="1664"/>
      <c r="D83" s="934" t="s">
        <v>130</v>
      </c>
      <c r="E83" s="839">
        <f>'22'!F83</f>
        <v>32722</v>
      </c>
      <c r="F83" s="1269">
        <v>32963</v>
      </c>
      <c r="G83" s="840">
        <f t="shared" si="6"/>
        <v>241</v>
      </c>
      <c r="H83" s="841">
        <f>G83+'22'!H83</f>
        <v>5412</v>
      </c>
      <c r="I83" s="862"/>
      <c r="J83" s="843">
        <f>H83/DAY(B2)</f>
        <v>235.30434782608697</v>
      </c>
      <c r="K83" s="865"/>
      <c r="L83" s="818"/>
      <c r="O83" s="845"/>
    </row>
    <row r="84" spans="1:15">
      <c r="A84" s="935" t="s">
        <v>199</v>
      </c>
      <c r="B84" s="936"/>
      <c r="C84" s="936"/>
      <c r="D84" s="856" t="s">
        <v>130</v>
      </c>
      <c r="E84" s="839">
        <f>'22'!F84</f>
        <v>540260</v>
      </c>
      <c r="F84" s="937">
        <v>540969</v>
      </c>
      <c r="G84" s="840">
        <f t="shared" si="6"/>
        <v>709</v>
      </c>
      <c r="H84" s="841">
        <f>G84+'22'!H84</f>
        <v>17889</v>
      </c>
      <c r="I84" s="862"/>
      <c r="J84" s="843">
        <f>H84/DAY(B2)</f>
        <v>777.78260869565213</v>
      </c>
      <c r="K84" s="938"/>
      <c r="L84" s="818"/>
      <c r="O84" s="845"/>
    </row>
    <row r="85" spans="1:15" s="942" customFormat="1">
      <c r="A85" s="939" t="s">
        <v>200</v>
      </c>
      <c r="B85" s="940"/>
      <c r="C85" s="940"/>
      <c r="D85" s="877"/>
      <c r="E85" s="839"/>
      <c r="F85" s="838"/>
      <c r="G85" s="841">
        <f xml:space="preserve"> SUM(G72:G84)</f>
        <v>2061.1500000000524</v>
      </c>
      <c r="H85" s="841">
        <f>G85+'22'!H85</f>
        <v>50841.150000000052</v>
      </c>
      <c r="I85" s="862"/>
      <c r="J85" s="843">
        <f>H85/DAY(B2)</f>
        <v>2210.484782608698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181</v>
      </c>
      <c r="E86" s="839">
        <f>'22'!F86</f>
        <v>462323</v>
      </c>
      <c r="F86" s="946">
        <v>462335</v>
      </c>
      <c r="G86" s="947">
        <f t="shared" ref="G86:G88" si="7">F86-E86</f>
        <v>12</v>
      </c>
      <c r="H86" s="841">
        <f>G86+'22'!H86</f>
        <v>105.15999999997439</v>
      </c>
      <c r="I86" s="948"/>
      <c r="J86" s="949">
        <f>H86/DAY(B2)</f>
        <v>4.5721739130423646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181</v>
      </c>
      <c r="E87" s="839">
        <f>'22'!F87</f>
        <v>82685.899999999994</v>
      </c>
      <c r="F87" s="946">
        <v>82718.7</v>
      </c>
      <c r="G87" s="947">
        <f t="shared" si="7"/>
        <v>32.80000000000291</v>
      </c>
      <c r="H87" s="841">
        <f>G87+'22'!H87</f>
        <v>175.69999999999709</v>
      </c>
      <c r="I87" s="948"/>
      <c r="J87" s="949">
        <f>H87/DAY(B2)</f>
        <v>7.6391304347824818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181</v>
      </c>
      <c r="E88" s="839">
        <f>'22'!F88</f>
        <v>157848.71</v>
      </c>
      <c r="F88" s="946">
        <v>157979.79999999999</v>
      </c>
      <c r="G88" s="947">
        <f t="shared" si="7"/>
        <v>131.08999999999651</v>
      </c>
      <c r="H88" s="841">
        <f>G88+'22'!H88</f>
        <v>734.07999999998719</v>
      </c>
      <c r="I88" s="948"/>
      <c r="J88" s="949">
        <f>H88/DAY(B2)</f>
        <v>31.916521739129877</v>
      </c>
      <c r="K88" s="950"/>
      <c r="L88" s="951"/>
      <c r="N88" s="1010"/>
      <c r="O88" s="845"/>
    </row>
    <row r="89" spans="1:15" s="952" customFormat="1">
      <c r="A89" s="943" t="s">
        <v>202</v>
      </c>
      <c r="B89" s="944"/>
      <c r="C89" s="944"/>
      <c r="D89" s="945" t="s">
        <v>181</v>
      </c>
      <c r="E89" s="839">
        <f>'22'!F89</f>
        <v>66712.7</v>
      </c>
      <c r="F89" s="946">
        <v>66744.800000000003</v>
      </c>
      <c r="G89" s="947">
        <f t="shared" ref="G89:G91" si="8">F89-E89</f>
        <v>32.100000000005821</v>
      </c>
      <c r="H89" s="841">
        <f>G89+'22'!H89</f>
        <v>184</v>
      </c>
      <c r="I89" s="948"/>
      <c r="J89" s="949">
        <f>H89/DAY(B2)</f>
        <v>8</v>
      </c>
      <c r="K89" s="950"/>
      <c r="L89" s="951"/>
      <c r="N89" s="1011"/>
      <c r="O89" s="845"/>
    </row>
    <row r="90" spans="1:15" s="952" customFormat="1">
      <c r="A90" s="943" t="s">
        <v>202</v>
      </c>
      <c r="B90" s="944"/>
      <c r="C90" s="944"/>
      <c r="D90" s="945" t="s">
        <v>181</v>
      </c>
      <c r="E90" s="839">
        <f>'22'!F90</f>
        <v>3420.3</v>
      </c>
      <c r="F90" s="946">
        <v>3425.7</v>
      </c>
      <c r="G90" s="947">
        <f t="shared" si="8"/>
        <v>5.3999999999996362</v>
      </c>
      <c r="H90" s="841">
        <f>G90+'22'!H90</f>
        <v>17.699999999999818</v>
      </c>
      <c r="I90" s="948"/>
      <c r="J90" s="949">
        <f>H90/DAY(B2)</f>
        <v>0.76956521739129646</v>
      </c>
      <c r="K90" s="950"/>
      <c r="L90" s="951"/>
      <c r="N90" s="1011"/>
      <c r="O90" s="845"/>
    </row>
    <row r="91" spans="1:15" s="735" customFormat="1" ht="24.75" customHeight="1">
      <c r="A91" s="943" t="s">
        <v>346</v>
      </c>
      <c r="B91" s="731"/>
      <c r="C91" s="731"/>
      <c r="D91" s="945" t="s">
        <v>181</v>
      </c>
      <c r="E91" s="839">
        <f>'22'!F91</f>
        <v>28434.34</v>
      </c>
      <c r="F91" s="946">
        <v>28443.35</v>
      </c>
      <c r="G91" s="947">
        <f t="shared" si="8"/>
        <v>9.0099999999983993</v>
      </c>
      <c r="H91" s="841">
        <f>G91+'22'!H91</f>
        <v>40.349999999998545</v>
      </c>
      <c r="I91" s="652"/>
      <c r="J91" s="949">
        <f>H91/DAY(B2)</f>
        <v>1.7543478260868932</v>
      </c>
      <c r="K91" s="733"/>
      <c r="L91" s="734"/>
      <c r="N91" s="777"/>
      <c r="O91" s="382"/>
    </row>
    <row r="92" spans="1:15" s="942" customFormat="1">
      <c r="A92" s="953" t="s">
        <v>203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3" t="s">
        <v>204</v>
      </c>
      <c r="B93" s="1654"/>
      <c r="C93" s="1655"/>
      <c r="D93" s="838" t="s">
        <v>142</v>
      </c>
      <c r="E93" s="839">
        <f>'22'!F93</f>
        <v>249502</v>
      </c>
      <c r="F93" s="868">
        <v>249604</v>
      </c>
      <c r="G93" s="840">
        <f t="shared" ref="G93:G94" si="9">F93-E93</f>
        <v>102</v>
      </c>
      <c r="H93" s="841">
        <f>G93+'22'!H93</f>
        <v>2252</v>
      </c>
      <c r="I93" s="859"/>
      <c r="J93" s="843">
        <f>H93/DAY(B2)</f>
        <v>97.913043478260875</v>
      </c>
      <c r="K93" s="865"/>
      <c r="L93" s="818"/>
      <c r="O93" s="845"/>
    </row>
    <row r="94" spans="1:15">
      <c r="A94" s="1653" t="s">
        <v>205</v>
      </c>
      <c r="B94" s="1654"/>
      <c r="C94" s="1655"/>
      <c r="D94" s="838" t="s">
        <v>142</v>
      </c>
      <c r="E94" s="839">
        <f>'22'!F94</f>
        <v>192068</v>
      </c>
      <c r="F94" s="1268">
        <v>192192</v>
      </c>
      <c r="G94" s="840">
        <f t="shared" si="9"/>
        <v>124</v>
      </c>
      <c r="H94" s="841">
        <f>G94+'22'!H94</f>
        <v>2738</v>
      </c>
      <c r="I94" s="859"/>
      <c r="J94" s="843">
        <f>H94/DAY(B2)</f>
        <v>119.04347826086956</v>
      </c>
      <c r="K94" s="938"/>
      <c r="L94" s="818"/>
      <c r="O94" s="845"/>
    </row>
    <row r="95" spans="1:15">
      <c r="A95" s="1645" t="s">
        <v>206</v>
      </c>
      <c r="B95" s="1646"/>
      <c r="C95" s="1647"/>
      <c r="D95" s="838"/>
      <c r="E95" s="839">
        <f>'22'!F95</f>
        <v>0</v>
      </c>
      <c r="F95" s="868"/>
      <c r="G95" s="840">
        <f>G93+G94</f>
        <v>226</v>
      </c>
      <c r="H95" s="841">
        <f>G95+'22'!H95</f>
        <v>4804</v>
      </c>
      <c r="I95" s="859"/>
      <c r="J95" s="843">
        <f>H95/DAY(B2)</f>
        <v>208.86956521739131</v>
      </c>
      <c r="K95" s="938"/>
      <c r="L95" s="818"/>
      <c r="O95" s="845"/>
    </row>
    <row r="96" spans="1:15">
      <c r="A96" s="1653" t="s">
        <v>207</v>
      </c>
      <c r="B96" s="1654"/>
      <c r="C96" s="1655"/>
      <c r="D96" s="838" t="s">
        <v>142</v>
      </c>
      <c r="E96" s="839">
        <f>'22'!F96</f>
        <v>417913</v>
      </c>
      <c r="F96" s="868">
        <v>417980</v>
      </c>
      <c r="G96" s="840">
        <f t="shared" ref="G96:G101" si="10">F96-E96</f>
        <v>67</v>
      </c>
      <c r="H96" s="841">
        <f>G96+'22'!H96</f>
        <v>1981</v>
      </c>
      <c r="I96" s="859"/>
      <c r="J96" s="843">
        <f>H96/DAY(B2)</f>
        <v>86.130434782608702</v>
      </c>
      <c r="K96" s="938"/>
      <c r="L96" s="818"/>
      <c r="O96" s="845"/>
    </row>
    <row r="97" spans="1:15">
      <c r="A97" s="866" t="s">
        <v>208</v>
      </c>
      <c r="B97" s="867"/>
      <c r="C97" s="867"/>
      <c r="D97" s="838" t="s">
        <v>142</v>
      </c>
      <c r="E97" s="839">
        <f>'22'!F97</f>
        <v>103644</v>
      </c>
      <c r="F97" s="868">
        <v>103664</v>
      </c>
      <c r="G97" s="840">
        <f t="shared" si="10"/>
        <v>20</v>
      </c>
      <c r="H97" s="841">
        <f>G97+'22'!H97</f>
        <v>501</v>
      </c>
      <c r="I97" s="859"/>
      <c r="J97" s="843">
        <f>H97/DAY(B2)</f>
        <v>21.782608695652176</v>
      </c>
      <c r="K97" s="835"/>
      <c r="L97" s="818"/>
      <c r="O97" s="845"/>
    </row>
    <row r="98" spans="1:15">
      <c r="A98" s="866" t="s">
        <v>209</v>
      </c>
      <c r="B98" s="867"/>
      <c r="C98" s="867"/>
      <c r="D98" s="838" t="s">
        <v>142</v>
      </c>
      <c r="E98" s="839">
        <f>'22'!F98</f>
        <v>99202</v>
      </c>
      <c r="F98" s="868">
        <v>99223</v>
      </c>
      <c r="G98" s="840">
        <f t="shared" si="10"/>
        <v>21</v>
      </c>
      <c r="H98" s="841">
        <f>G98+'22'!H98</f>
        <v>566</v>
      </c>
      <c r="I98" s="859"/>
      <c r="J98" s="843">
        <f>H98/DAY(B2)</f>
        <v>24.608695652173914</v>
      </c>
      <c r="K98" s="954"/>
      <c r="L98" s="818"/>
      <c r="O98" s="845"/>
    </row>
    <row r="99" spans="1:15">
      <c r="A99" s="866" t="s">
        <v>210</v>
      </c>
      <c r="B99" s="867"/>
      <c r="C99" s="867"/>
      <c r="D99" s="838" t="s">
        <v>142</v>
      </c>
      <c r="E99" s="839">
        <f>'22'!F99</f>
        <v>151012</v>
      </c>
      <c r="F99" s="868">
        <v>151061</v>
      </c>
      <c r="G99" s="840">
        <f t="shared" si="10"/>
        <v>49</v>
      </c>
      <c r="H99" s="841">
        <f>G99+'22'!H99</f>
        <v>656</v>
      </c>
      <c r="I99" s="859"/>
      <c r="J99" s="843">
        <f>H99/DAY(B2)</f>
        <v>28.521739130434781</v>
      </c>
      <c r="K99" s="938"/>
      <c r="L99" s="818"/>
      <c r="O99" s="845"/>
    </row>
    <row r="100" spans="1:15">
      <c r="A100" s="866" t="s">
        <v>211</v>
      </c>
      <c r="B100" s="867"/>
      <c r="C100" s="867"/>
      <c r="D100" s="838" t="s">
        <v>142</v>
      </c>
      <c r="E100" s="839">
        <f>'22'!F100</f>
        <v>8053</v>
      </c>
      <c r="F100" s="868">
        <v>8062</v>
      </c>
      <c r="G100" s="840">
        <f t="shared" si="10"/>
        <v>9</v>
      </c>
      <c r="H100" s="841">
        <f>G100+'22'!H100</f>
        <v>265</v>
      </c>
      <c r="I100" s="859"/>
      <c r="J100" s="843">
        <f>H100/DAY(B2)</f>
        <v>11.521739130434783</v>
      </c>
      <c r="K100" s="938"/>
      <c r="L100" s="818"/>
      <c r="O100" s="845"/>
    </row>
    <row r="101" spans="1:15">
      <c r="A101" s="866" t="s">
        <v>212</v>
      </c>
      <c r="B101" s="867"/>
      <c r="C101" s="867"/>
      <c r="D101" s="838" t="s">
        <v>142</v>
      </c>
      <c r="E101" s="839">
        <f>'22'!F101</f>
        <v>5898</v>
      </c>
      <c r="F101" s="868">
        <v>5905</v>
      </c>
      <c r="G101" s="840">
        <f t="shared" si="10"/>
        <v>7</v>
      </c>
      <c r="H101" s="841">
        <f>G101+'22'!H101</f>
        <v>231</v>
      </c>
      <c r="I101" s="859"/>
      <c r="J101" s="843">
        <f>H101/DAY(B2)</f>
        <v>10.043478260869565</v>
      </c>
      <c r="K101" s="938"/>
      <c r="L101" s="818"/>
      <c r="O101" s="845"/>
    </row>
    <row r="102" spans="1:15">
      <c r="A102" s="1645" t="s">
        <v>214</v>
      </c>
      <c r="B102" s="1646"/>
      <c r="C102" s="1647"/>
      <c r="D102" s="871"/>
      <c r="E102" s="871"/>
      <c r="F102" s="871"/>
      <c r="G102" s="955">
        <f>SUM(G96:G101)</f>
        <v>173</v>
      </c>
      <c r="H102" s="841">
        <f>G102+'22'!H102</f>
        <v>4200</v>
      </c>
      <c r="I102" s="956"/>
      <c r="J102" s="843">
        <f>H102/DAY(B2)</f>
        <v>182.60869565217391</v>
      </c>
      <c r="K102" s="938"/>
      <c r="L102" s="818"/>
      <c r="O102" s="845"/>
    </row>
    <row r="103" spans="1:15" s="889" customFormat="1">
      <c r="A103" s="957" t="s">
        <v>215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42" t="s">
        <v>216</v>
      </c>
      <c r="B104" s="1643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6" t="s">
        <v>217</v>
      </c>
      <c r="B105" s="1637"/>
      <c r="C105" s="971"/>
      <c r="D105" s="967" t="s">
        <v>142</v>
      </c>
      <c r="E105" s="968">
        <f>'22'!F105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3.0165217391304</v>
      </c>
      <c r="N105" s="1007"/>
      <c r="O105" s="845"/>
    </row>
    <row r="106" spans="1:15" s="889" customFormat="1">
      <c r="A106" s="1636" t="s">
        <v>76</v>
      </c>
      <c r="B106" s="1637"/>
      <c r="C106" s="971"/>
      <c r="D106" s="967" t="s">
        <v>142</v>
      </c>
      <c r="E106" s="968">
        <f>'22'!F106</f>
        <v>36374</v>
      </c>
      <c r="F106" s="1270">
        <v>36383</v>
      </c>
      <c r="G106" s="968">
        <f t="shared" ref="G106:G107" si="11">F106-E106</f>
        <v>9</v>
      </c>
      <c r="H106" s="969">
        <f>SUM(G106+'1'!G77)</f>
        <v>62</v>
      </c>
      <c r="I106" s="968"/>
      <c r="J106" s="970">
        <f>H106/DAY(B2)</f>
        <v>2.6956521739130435</v>
      </c>
      <c r="N106" s="1007"/>
      <c r="O106" s="845"/>
    </row>
    <row r="107" spans="1:15" s="889" customFormat="1">
      <c r="A107" s="1636" t="s">
        <v>77</v>
      </c>
      <c r="B107" s="1644"/>
      <c r="C107" s="1637"/>
      <c r="D107" s="967" t="s">
        <v>142</v>
      </c>
      <c r="E107" s="968">
        <f>'22'!F107</f>
        <v>19919</v>
      </c>
      <c r="F107" s="968">
        <v>19924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5.1739130434782608</v>
      </c>
      <c r="N107" s="1007"/>
      <c r="O107" s="845"/>
    </row>
    <row r="108" spans="1:15" s="889" customFormat="1">
      <c r="A108" s="1638" t="s">
        <v>200</v>
      </c>
      <c r="B108" s="1639"/>
      <c r="C108" s="971"/>
      <c r="D108" s="967"/>
      <c r="E108" s="968">
        <f>'22'!F108</f>
        <v>0</v>
      </c>
      <c r="F108" s="968"/>
      <c r="G108" s="968">
        <f>SUM(G105:G107)</f>
        <v>14</v>
      </c>
      <c r="H108" s="969">
        <f>SUM(G108+'1'!G79)</f>
        <v>167</v>
      </c>
      <c r="I108" s="968"/>
      <c r="J108" s="970">
        <f>H108/DAY(B2)</f>
        <v>7.2608695652173916</v>
      </c>
      <c r="N108" s="1007"/>
      <c r="O108" s="845"/>
    </row>
    <row r="109" spans="1:15" s="889" customFormat="1">
      <c r="A109" s="1634" t="s">
        <v>78</v>
      </c>
      <c r="B109" s="1635"/>
      <c r="C109" s="971"/>
      <c r="D109" s="967" t="s">
        <v>142</v>
      </c>
      <c r="E109" s="968">
        <f>'22'!F109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6" t="s">
        <v>218</v>
      </c>
      <c r="B110" s="1637"/>
      <c r="C110" s="971"/>
      <c r="D110" s="967" t="s">
        <v>142</v>
      </c>
      <c r="E110" s="968">
        <f>'22'!F110</f>
        <v>66436</v>
      </c>
      <c r="F110" s="968">
        <v>66507</v>
      </c>
      <c r="G110" s="968">
        <f>F110-E110</f>
        <v>71</v>
      </c>
      <c r="H110" s="969">
        <f>SUM(G110+'1'!G81)</f>
        <v>202.64000000001397</v>
      </c>
      <c r="I110" s="968"/>
      <c r="J110" s="970">
        <f>H110/DAY(B2)</f>
        <v>8.8104347826093026</v>
      </c>
      <c r="N110" s="1007"/>
      <c r="O110" s="845"/>
    </row>
    <row r="111" spans="1:15" s="889" customFormat="1">
      <c r="A111" s="1636" t="s">
        <v>219</v>
      </c>
      <c r="B111" s="1637"/>
      <c r="C111" s="971"/>
      <c r="D111" s="967" t="s">
        <v>142</v>
      </c>
      <c r="E111" s="968">
        <f>'22'!F111</f>
        <v>33733</v>
      </c>
      <c r="F111" s="1270">
        <v>33759</v>
      </c>
      <c r="G111" s="968">
        <f t="shared" ref="G111:G112" si="12">F111-E111</f>
        <v>26</v>
      </c>
      <c r="H111" s="969">
        <f>SUM(G111+'1'!G82)</f>
        <v>50.899999999994179</v>
      </c>
      <c r="I111" s="968"/>
      <c r="J111" s="970">
        <f>H111/DAY(B2)</f>
        <v>2.2130434782606163</v>
      </c>
      <c r="N111" s="1007"/>
      <c r="O111" s="845"/>
    </row>
    <row r="112" spans="1:15" s="889" customFormat="1">
      <c r="A112" s="1636" t="s">
        <v>220</v>
      </c>
      <c r="B112" s="1637"/>
      <c r="C112" s="971"/>
      <c r="D112" s="967" t="s">
        <v>142</v>
      </c>
      <c r="E112" s="968">
        <f>'22'!F112</f>
        <v>4622</v>
      </c>
      <c r="F112" s="1270">
        <v>4622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15.260869565217391</v>
      </c>
      <c r="N112" s="1007"/>
      <c r="O112" s="845"/>
    </row>
    <row r="113" spans="1:15" s="889" customFormat="1">
      <c r="A113" s="1640" t="s">
        <v>109</v>
      </c>
      <c r="B113" s="1641"/>
      <c r="C113" s="971"/>
      <c r="D113" s="967"/>
      <c r="E113" s="968">
        <f>'22'!F113</f>
        <v>0</v>
      </c>
      <c r="F113" s="968"/>
      <c r="G113" s="968">
        <f>SUM(G110:G112)</f>
        <v>97</v>
      </c>
      <c r="H113" s="969">
        <f>SUM(G113+'1'!G84)</f>
        <v>913</v>
      </c>
      <c r="I113" s="968"/>
      <c r="J113" s="970">
        <f>H113/DAY(B2)</f>
        <v>39.695652173913047</v>
      </c>
      <c r="N113" s="1007"/>
      <c r="O113" s="845"/>
    </row>
    <row r="114" spans="1:15" s="889" customFormat="1">
      <c r="A114" s="1634" t="s">
        <v>221</v>
      </c>
      <c r="B114" s="1635"/>
      <c r="C114" s="971"/>
      <c r="D114" s="967"/>
      <c r="E114" s="968">
        <f>'22'!F114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6" t="s">
        <v>222</v>
      </c>
      <c r="B115" s="1637"/>
      <c r="C115" s="973"/>
      <c r="D115" s="967" t="s">
        <v>142</v>
      </c>
      <c r="E115" s="968">
        <f>'22'!F115</f>
        <v>12329</v>
      </c>
      <c r="F115" s="972">
        <v>12341</v>
      </c>
      <c r="G115" s="972">
        <f>F115-E115</f>
        <v>12</v>
      </c>
      <c r="H115" s="969">
        <f>SUM(G115+'1'!G92)</f>
        <v>12</v>
      </c>
      <c r="I115" s="968"/>
      <c r="J115" s="970">
        <f>H115/DAY(B2)</f>
        <v>0.52173913043478259</v>
      </c>
      <c r="N115" s="1007"/>
      <c r="O115" s="845"/>
    </row>
    <row r="116" spans="1:15" s="889" customFormat="1">
      <c r="A116" s="1636" t="s">
        <v>223</v>
      </c>
      <c r="B116" s="1637"/>
      <c r="C116" s="973"/>
      <c r="D116" s="967" t="s">
        <v>142</v>
      </c>
      <c r="E116" s="968">
        <f>'22'!F116</f>
        <v>8743</v>
      </c>
      <c r="F116" s="972">
        <v>8751</v>
      </c>
      <c r="G116" s="972">
        <f t="shared" ref="G116:G117" si="13">F116-E116</f>
        <v>8</v>
      </c>
      <c r="H116" s="969">
        <f>SUM(G116+'1'!G93)</f>
        <v>97</v>
      </c>
      <c r="I116" s="968"/>
      <c r="J116" s="970">
        <f>H116/DAY(B2)</f>
        <v>4.2173913043478262</v>
      </c>
      <c r="N116" s="1007"/>
      <c r="O116" s="845"/>
    </row>
    <row r="117" spans="1:15" s="889" customFormat="1">
      <c r="A117" s="1636" t="s">
        <v>224</v>
      </c>
      <c r="B117" s="1637"/>
      <c r="C117" s="973"/>
      <c r="D117" s="967" t="s">
        <v>142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4.2173913043478262</v>
      </c>
      <c r="N117" s="1007"/>
      <c r="O117" s="845"/>
    </row>
    <row r="118" spans="1:15" s="975" customFormat="1">
      <c r="A118" s="1638" t="s">
        <v>200</v>
      </c>
      <c r="B118" s="1639"/>
      <c r="C118" s="973"/>
      <c r="D118" s="974"/>
      <c r="E118" s="972"/>
      <c r="F118" s="972"/>
      <c r="G118" s="972">
        <f>SUM(G115:G117)</f>
        <v>20</v>
      </c>
      <c r="H118" s="969">
        <f>SUM(G118+'1'!G96)</f>
        <v>106</v>
      </c>
      <c r="I118" s="972"/>
      <c r="J118" s="970">
        <f>H118/DAY(B2)</f>
        <v>4.6086956521739131</v>
      </c>
      <c r="N118" s="1012"/>
      <c r="O118" s="845"/>
    </row>
    <row r="119" spans="1:15" s="768" customFormat="1">
      <c r="A119" s="1631" t="s">
        <v>225</v>
      </c>
      <c r="B119" s="1632"/>
      <c r="C119" s="976"/>
      <c r="D119" s="977" t="s">
        <v>142</v>
      </c>
      <c r="E119" s="978"/>
      <c r="F119" s="979"/>
      <c r="G119" s="979">
        <f>SUM(G19+G93)</f>
        <v>172</v>
      </c>
      <c r="H119" s="969">
        <f>SUM(G119+'1'!G97)</f>
        <v>189</v>
      </c>
      <c r="I119" s="978"/>
      <c r="J119" s="980">
        <f>H119/DAY(B2)</f>
        <v>8.2173913043478262</v>
      </c>
      <c r="N119" s="1013" t="s">
        <v>213</v>
      </c>
      <c r="O119" s="845"/>
    </row>
    <row r="120" spans="1:15" s="768" customFormat="1">
      <c r="A120" s="1631" t="s">
        <v>226</v>
      </c>
      <c r="B120" s="1632"/>
      <c r="C120" s="976"/>
      <c r="D120" s="977" t="s">
        <v>142</v>
      </c>
      <c r="E120" s="978"/>
      <c r="F120" s="979"/>
      <c r="G120" s="979">
        <f>SUM(G96,G97,G98,G100,G101)</f>
        <v>124</v>
      </c>
      <c r="H120" s="969">
        <f>SUM(G120+'1'!G99)</f>
        <v>174</v>
      </c>
      <c r="I120" s="978"/>
      <c r="J120" s="980">
        <f>H120/DAY(B2)</f>
        <v>7.5652173913043477</v>
      </c>
      <c r="N120" s="1013"/>
      <c r="O120" s="845"/>
    </row>
    <row r="121" spans="1:15" s="768" customFormat="1">
      <c r="A121" s="1631" t="s">
        <v>227</v>
      </c>
      <c r="B121" s="1632"/>
      <c r="C121" s="976"/>
      <c r="D121" s="977" t="s">
        <v>142</v>
      </c>
      <c r="E121" s="978"/>
      <c r="F121" s="972"/>
      <c r="G121" s="972">
        <f>SUM(G113)</f>
        <v>97</v>
      </c>
      <c r="H121" s="969">
        <f>SUM(G121+'1'!G101)</f>
        <v>102</v>
      </c>
      <c r="I121" s="978"/>
      <c r="J121" s="980">
        <f>H121/DAY(B2)</f>
        <v>4.4347826086956523</v>
      </c>
      <c r="N121" s="1013"/>
      <c r="O121" s="845"/>
    </row>
    <row r="122" spans="1:15" s="889" customFormat="1">
      <c r="A122" s="1633"/>
      <c r="B122" s="1630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8" t="s">
        <v>228</v>
      </c>
      <c r="B123" s="1649"/>
      <c r="C123" s="1650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229</v>
      </c>
      <c r="B124" s="867"/>
      <c r="C124" s="867"/>
      <c r="D124" s="838" t="s">
        <v>139</v>
      </c>
      <c r="E124" s="839">
        <f>'22'!F124</f>
        <v>845641.68</v>
      </c>
      <c r="F124" s="872">
        <v>845900.72</v>
      </c>
      <c r="G124" s="840">
        <f>F124-E124</f>
        <v>259.03999999992084</v>
      </c>
      <c r="H124" s="841">
        <f>G124+'22'!H124</f>
        <v>6230.7199999999721</v>
      </c>
      <c r="I124" s="956"/>
      <c r="J124" s="843">
        <f>H124/DAY(B2)</f>
        <v>270.90086956521617</v>
      </c>
      <c r="K124" s="938"/>
      <c r="L124" s="818"/>
      <c r="O124" s="845"/>
    </row>
    <row r="125" spans="1:15">
      <c r="A125" s="866" t="s">
        <v>230</v>
      </c>
      <c r="B125" s="867"/>
      <c r="C125" s="867"/>
      <c r="D125" s="838" t="s">
        <v>139</v>
      </c>
      <c r="E125" s="839">
        <f>'22'!F125</f>
        <v>73583.399999999994</v>
      </c>
      <c r="F125" s="872">
        <v>73583.399999999994</v>
      </c>
      <c r="G125" s="840">
        <f t="shared" ref="G125:G128" si="14">F125-E125</f>
        <v>0</v>
      </c>
      <c r="H125" s="841">
        <f>G125+'22'!H125</f>
        <v>0</v>
      </c>
      <c r="I125" s="956"/>
      <c r="J125" s="843">
        <f>H125/DAY(B2)</f>
        <v>0</v>
      </c>
      <c r="K125" s="938"/>
      <c r="L125" s="818"/>
      <c r="O125" s="845"/>
    </row>
    <row r="126" spans="1:15">
      <c r="A126" s="1659" t="s">
        <v>231</v>
      </c>
      <c r="B126" s="1660"/>
      <c r="C126" s="1661"/>
      <c r="D126" s="838" t="s">
        <v>139</v>
      </c>
      <c r="E126" s="839">
        <f>'22'!F126</f>
        <v>150610.39000000001</v>
      </c>
      <c r="F126" s="872">
        <v>150689.21</v>
      </c>
      <c r="G126" s="840">
        <f t="shared" si="14"/>
        <v>78.819999999977881</v>
      </c>
      <c r="H126" s="841">
        <f>G126+'22'!H126</f>
        <v>2092.2099999999919</v>
      </c>
      <c r="I126" s="956"/>
      <c r="J126" s="843">
        <f>H126/DAY(B2)</f>
        <v>90.965652173912687</v>
      </c>
      <c r="K126" s="938"/>
      <c r="L126" s="818"/>
      <c r="O126" s="845"/>
    </row>
    <row r="127" spans="1:15">
      <c r="A127" s="985" t="s">
        <v>232</v>
      </c>
      <c r="B127" s="867"/>
      <c r="C127" s="867"/>
      <c r="D127" s="838" t="s">
        <v>139</v>
      </c>
      <c r="E127" s="839">
        <f>'22'!F127</f>
        <v>32923.300000000003</v>
      </c>
      <c r="F127" s="872">
        <v>32964.699999999997</v>
      </c>
      <c r="G127" s="840">
        <f t="shared" si="14"/>
        <v>41.399999999994179</v>
      </c>
      <c r="H127" s="841">
        <f>G127+'22'!H127</f>
        <v>893.69999999999709</v>
      </c>
      <c r="I127" s="956"/>
      <c r="J127" s="843">
        <f>H127/DAY(B2)</f>
        <v>38.856521739130308</v>
      </c>
      <c r="K127" s="938"/>
      <c r="L127" s="818"/>
      <c r="O127" s="845"/>
    </row>
    <row r="128" spans="1:15">
      <c r="A128" s="985" t="s">
        <v>233</v>
      </c>
      <c r="B128" s="867"/>
      <c r="C128" s="867"/>
      <c r="D128" s="838" t="s">
        <v>139</v>
      </c>
      <c r="E128" s="839">
        <f>'22'!F128</f>
        <v>9089</v>
      </c>
      <c r="F128" s="872">
        <v>9090.9</v>
      </c>
      <c r="G128" s="840">
        <f t="shared" si="14"/>
        <v>1.8999999999996362</v>
      </c>
      <c r="H128" s="841">
        <f>G128+'22'!H128</f>
        <v>78.899999999999636</v>
      </c>
      <c r="I128" s="859"/>
      <c r="J128" s="843">
        <f>H128/DAY(B2)</f>
        <v>3.4304347826086796</v>
      </c>
      <c r="K128" s="938"/>
      <c r="L128" s="818"/>
      <c r="O128" s="845"/>
    </row>
    <row r="129" spans="1:15">
      <c r="A129" s="985" t="s">
        <v>234</v>
      </c>
      <c r="B129" s="867"/>
      <c r="C129" s="867"/>
      <c r="D129" s="838"/>
      <c r="E129" s="839"/>
      <c r="F129" s="856"/>
      <c r="G129" s="840">
        <f>G15-SUM(G124:G128)</f>
        <v>490.15000000016335</v>
      </c>
      <c r="H129" s="841">
        <f>G129+'22'!H129</f>
        <v>3367.3170000002756</v>
      </c>
      <c r="I129" s="859"/>
      <c r="J129" s="843">
        <f>H129/DAY(B2)</f>
        <v>146.40508695653372</v>
      </c>
      <c r="K129" s="938"/>
      <c r="L129" s="818"/>
      <c r="O129" s="845"/>
    </row>
    <row r="130" spans="1:15">
      <c r="A130" s="986" t="s">
        <v>235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236</v>
      </c>
      <c r="B131" s="867"/>
      <c r="C131" s="867"/>
      <c r="D131" s="838" t="s">
        <v>237</v>
      </c>
      <c r="E131" s="839">
        <f>'22'!F131</f>
        <v>0</v>
      </c>
      <c r="F131" s="868">
        <v>0</v>
      </c>
      <c r="G131" s="840">
        <f t="shared" ref="G131:G141" si="15">F131-E131</f>
        <v>0</v>
      </c>
      <c r="H131" s="841">
        <f>G131+'22'!H131</f>
        <v>0</v>
      </c>
      <c r="I131" s="859"/>
      <c r="J131" s="843">
        <f>H131/DAY(B2)</f>
        <v>0</v>
      </c>
      <c r="O131" s="845"/>
    </row>
    <row r="132" spans="1:15">
      <c r="A132" s="866" t="s">
        <v>238</v>
      </c>
      <c r="B132" s="867"/>
      <c r="C132" s="867"/>
      <c r="D132" s="838" t="s">
        <v>237</v>
      </c>
      <c r="E132" s="839">
        <f>'22'!F132</f>
        <v>0</v>
      </c>
      <c r="F132" s="868">
        <v>0</v>
      </c>
      <c r="G132" s="840">
        <f t="shared" si="15"/>
        <v>0</v>
      </c>
      <c r="H132" s="841">
        <f>G132+'22'!H132</f>
        <v>0</v>
      </c>
      <c r="I132" s="859"/>
      <c r="J132" s="843">
        <f>H132/DAY(B2)</f>
        <v>0</v>
      </c>
      <c r="O132" s="845"/>
    </row>
    <row r="133" spans="1:15">
      <c r="A133" s="866" t="s">
        <v>239</v>
      </c>
      <c r="B133" s="867"/>
      <c r="C133" s="867"/>
      <c r="D133" s="838" t="s">
        <v>237</v>
      </c>
      <c r="E133" s="839">
        <f>'22'!F133</f>
        <v>40619.050000000003</v>
      </c>
      <c r="F133" s="989">
        <v>40619.050000000003</v>
      </c>
      <c r="G133" s="840">
        <f t="shared" si="15"/>
        <v>0</v>
      </c>
      <c r="H133" s="841">
        <f>G133+'22'!H133</f>
        <v>166.05000000000291</v>
      </c>
      <c r="I133" s="859"/>
      <c r="J133" s="843">
        <f>H133/DAY(B2)</f>
        <v>7.2195652173914313</v>
      </c>
      <c r="O133" s="845"/>
    </row>
    <row r="134" spans="1:15">
      <c r="A134" s="866" t="s">
        <v>240</v>
      </c>
      <c r="B134" s="867"/>
      <c r="C134" s="867"/>
      <c r="D134" s="838" t="s">
        <v>237</v>
      </c>
      <c r="E134" s="839">
        <f>'22'!F134</f>
        <v>445.19</v>
      </c>
      <c r="F134" s="989">
        <v>454.53</v>
      </c>
      <c r="G134" s="840">
        <f t="shared" si="15"/>
        <v>9.339999999999975</v>
      </c>
      <c r="H134" s="841">
        <f>G134+'22'!H134</f>
        <v>154.52999999999997</v>
      </c>
      <c r="I134" s="859">
        <f>G131+G132+G133+G134</f>
        <v>9.339999999999975</v>
      </c>
      <c r="J134" s="843">
        <f>H134/DAY(B2)</f>
        <v>6.7186956521739116</v>
      </c>
      <c r="O134" s="845"/>
    </row>
    <row r="135" spans="1:15">
      <c r="A135" s="866" t="s">
        <v>241</v>
      </c>
      <c r="B135" s="867"/>
      <c r="C135" s="867"/>
      <c r="D135" s="838" t="s">
        <v>237</v>
      </c>
      <c r="E135" s="839">
        <f>'22'!F135</f>
        <v>42338.01</v>
      </c>
      <c r="F135" s="989">
        <v>42362.11</v>
      </c>
      <c r="G135" s="840">
        <f t="shared" si="15"/>
        <v>24.099999999998545</v>
      </c>
      <c r="H135" s="841">
        <v>24</v>
      </c>
      <c r="I135" s="859"/>
      <c r="J135" s="843">
        <f>H135/DAY(B2)</f>
        <v>1.0434782608695652</v>
      </c>
      <c r="O135" s="845"/>
    </row>
    <row r="136" spans="1:15">
      <c r="A136" s="866" t="s">
        <v>242</v>
      </c>
      <c r="B136" s="867"/>
      <c r="C136" s="867"/>
      <c r="D136" s="838" t="s">
        <v>237</v>
      </c>
      <c r="E136" s="839">
        <f>'22'!F136</f>
        <v>32874.050000000003</v>
      </c>
      <c r="F136" s="989">
        <v>32874.050000000003</v>
      </c>
      <c r="G136" s="840">
        <f t="shared" si="15"/>
        <v>0</v>
      </c>
      <c r="H136" s="841">
        <v>13</v>
      </c>
      <c r="I136" s="859"/>
      <c r="J136" s="843">
        <f>H136/DAY(B2)</f>
        <v>0.56521739130434778</v>
      </c>
      <c r="O136" s="845"/>
    </row>
    <row r="137" spans="1:15">
      <c r="A137" s="866" t="s">
        <v>243</v>
      </c>
      <c r="B137" s="867"/>
      <c r="C137" s="867"/>
      <c r="D137" s="838" t="s">
        <v>237</v>
      </c>
      <c r="E137" s="839">
        <f>'22'!F137</f>
        <v>23049.05</v>
      </c>
      <c r="F137" s="989">
        <v>23058.720000000001</v>
      </c>
      <c r="G137" s="840">
        <f t="shared" si="15"/>
        <v>9.6700000000018917</v>
      </c>
      <c r="H137" s="841">
        <f>G137+'22'!H137</f>
        <v>167.22999999999956</v>
      </c>
      <c r="I137" s="859">
        <f>G135+G136+G137</f>
        <v>33.770000000000437</v>
      </c>
      <c r="J137" s="843">
        <f>H137/DAY(B2)</f>
        <v>7.2708695652173727</v>
      </c>
      <c r="O137" s="845"/>
    </row>
    <row r="138" spans="1:15">
      <c r="A138" s="866" t="s">
        <v>244</v>
      </c>
      <c r="B138" s="867"/>
      <c r="C138" s="867"/>
      <c r="D138" s="838" t="s">
        <v>237</v>
      </c>
      <c r="E138" s="839">
        <f>'22'!F138</f>
        <v>25099.16</v>
      </c>
      <c r="F138" s="989">
        <v>25099.16</v>
      </c>
      <c r="G138" s="840">
        <f t="shared" si="15"/>
        <v>0</v>
      </c>
      <c r="H138" s="841">
        <v>8</v>
      </c>
      <c r="I138" s="859"/>
      <c r="J138" s="843">
        <f>H138/DAY(B2)</f>
        <v>0.34782608695652173</v>
      </c>
      <c r="O138" s="845"/>
    </row>
    <row r="139" spans="1:15">
      <c r="A139" s="866" t="s">
        <v>245</v>
      </c>
      <c r="B139" s="867"/>
      <c r="C139" s="867"/>
      <c r="D139" s="838" t="s">
        <v>237</v>
      </c>
      <c r="E139" s="839">
        <f>'22'!F139</f>
        <v>70516.600000000006</v>
      </c>
      <c r="F139" s="989">
        <v>70516.600000000006</v>
      </c>
      <c r="G139" s="840">
        <f t="shared" si="15"/>
        <v>0</v>
      </c>
      <c r="H139" s="841">
        <v>15</v>
      </c>
      <c r="I139" s="859">
        <f>G138+G139</f>
        <v>0</v>
      </c>
      <c r="J139" s="843">
        <f>H139/DAY(B2)</f>
        <v>0.65217391304347827</v>
      </c>
      <c r="O139" s="845"/>
    </row>
    <row r="140" spans="1:15">
      <c r="A140" s="866" t="s">
        <v>246</v>
      </c>
      <c r="B140" s="867"/>
      <c r="C140" s="867"/>
      <c r="D140" s="838" t="s">
        <v>237</v>
      </c>
      <c r="E140" s="839">
        <f>'22'!F140</f>
        <v>2247.77</v>
      </c>
      <c r="F140" s="868">
        <v>2247.77</v>
      </c>
      <c r="G140" s="840">
        <f t="shared" si="15"/>
        <v>0</v>
      </c>
      <c r="H140" s="841">
        <f>G140+'22'!H140</f>
        <v>118.59000000000015</v>
      </c>
      <c r="I140" s="990"/>
      <c r="J140" s="843">
        <f>H140/DAY(B2)</f>
        <v>5.1560869565217455</v>
      </c>
      <c r="O140" s="845"/>
    </row>
    <row r="141" spans="1:15">
      <c r="A141" s="866" t="s">
        <v>247</v>
      </c>
      <c r="B141" s="867"/>
      <c r="C141" s="867"/>
      <c r="D141" s="838" t="s">
        <v>237</v>
      </c>
      <c r="E141" s="839">
        <f>'22'!F141</f>
        <v>4733.3100000000004</v>
      </c>
      <c r="F141" s="868">
        <v>4742.3500000000004</v>
      </c>
      <c r="G141" s="840">
        <f t="shared" si="15"/>
        <v>9.0399999999999636</v>
      </c>
      <c r="H141" s="841">
        <f>G141+'22'!H141</f>
        <v>105.35000000000036</v>
      </c>
      <c r="I141" s="990"/>
      <c r="J141" s="843">
        <f>H141/DAY(B2)</f>
        <v>4.5804347826087115</v>
      </c>
      <c r="O141" s="845"/>
    </row>
    <row r="142" spans="1:15">
      <c r="A142" s="1651" t="s">
        <v>248</v>
      </c>
      <c r="B142" s="1652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3" t="s">
        <v>249</v>
      </c>
      <c r="B143" s="1654"/>
      <c r="C143" s="1655"/>
      <c r="D143" s="838" t="s">
        <v>130</v>
      </c>
      <c r="E143" s="838"/>
      <c r="F143" s="838"/>
      <c r="G143" s="841">
        <f>G35+G43+G49+G57</f>
        <v>5746.7800000002026</v>
      </c>
      <c r="H143" s="841">
        <f>G143+'22'!H143</f>
        <v>128062.37000000017</v>
      </c>
      <c r="I143" s="859"/>
      <c r="J143" s="843">
        <f>H143/DAY(B2)</f>
        <v>5567.9291304347898</v>
      </c>
      <c r="K143" s="938"/>
      <c r="L143" s="818"/>
      <c r="O143" s="845"/>
    </row>
    <row r="144" spans="1:15">
      <c r="A144" s="1653" t="s">
        <v>250</v>
      </c>
      <c r="B144" s="1654"/>
      <c r="C144" s="1655"/>
      <c r="D144" s="838" t="s">
        <v>24</v>
      </c>
      <c r="E144" s="825"/>
      <c r="F144" s="825"/>
      <c r="G144" s="991">
        <f>G143/G7</f>
        <v>0.25463270252427883</v>
      </c>
      <c r="H144" s="841">
        <f>G144+'22'!H144</f>
        <v>5.8277410673057402</v>
      </c>
      <c r="I144" s="992"/>
      <c r="J144" s="843">
        <f>H144/DAY(B2)</f>
        <v>0.25338004640459738</v>
      </c>
      <c r="K144" s="938"/>
      <c r="L144" s="818"/>
      <c r="O144" s="845"/>
    </row>
    <row r="145" spans="1:15">
      <c r="A145" s="1653" t="s">
        <v>251</v>
      </c>
      <c r="B145" s="1654"/>
      <c r="C145" s="1655"/>
      <c r="D145" s="838" t="s">
        <v>130</v>
      </c>
      <c r="E145" s="839"/>
      <c r="F145" s="839"/>
      <c r="G145" s="841">
        <f>G41+G42+G55+G56</f>
        <v>7521.0500000000466</v>
      </c>
      <c r="H145" s="841">
        <f>G145+'22'!H145</f>
        <v>156137.51</v>
      </c>
      <c r="I145" s="859"/>
      <c r="J145" s="843">
        <f>H145/DAY(B2)</f>
        <v>6788.5873913043479</v>
      </c>
      <c r="K145" s="938"/>
      <c r="L145" s="818"/>
      <c r="O145" s="845"/>
    </row>
    <row r="146" spans="1:15">
      <c r="A146" s="1653" t="s">
        <v>252</v>
      </c>
      <c r="B146" s="1654"/>
      <c r="C146" s="1655"/>
      <c r="D146" s="838" t="s">
        <v>24</v>
      </c>
      <c r="E146" s="839"/>
      <c r="F146" s="839"/>
      <c r="G146" s="991">
        <f>G145/G7</f>
        <v>0.33324840820775664</v>
      </c>
      <c r="H146" s="841">
        <f>G146+'22'!H146</f>
        <v>7.0739963066643563</v>
      </c>
      <c r="I146" s="992"/>
      <c r="J146" s="843">
        <f>H146/DAY(B2)</f>
        <v>0.30756505681149376</v>
      </c>
      <c r="K146" s="938"/>
      <c r="L146" s="818"/>
      <c r="O146" s="845"/>
    </row>
    <row r="147" spans="1:15">
      <c r="A147" s="1653" t="s">
        <v>253</v>
      </c>
      <c r="B147" s="1654"/>
      <c r="C147" s="1655"/>
      <c r="D147" s="838" t="s">
        <v>130</v>
      </c>
      <c r="E147" s="839"/>
      <c r="F147" s="839"/>
      <c r="G147" s="841">
        <f>G39+G53</f>
        <v>3787.9599999999627</v>
      </c>
      <c r="H147" s="841">
        <f>G147+'22'!H147</f>
        <v>85274.580000000016</v>
      </c>
      <c r="I147" s="993"/>
      <c r="J147" s="843">
        <f>H147/DAY(B2)</f>
        <v>3707.5904347826095</v>
      </c>
      <c r="K147" s="938"/>
      <c r="L147" s="818"/>
      <c r="O147" s="845"/>
    </row>
    <row r="148" spans="1:15">
      <c r="A148" s="1653" t="s">
        <v>254</v>
      </c>
      <c r="B148" s="1654"/>
      <c r="C148" s="1655"/>
      <c r="D148" s="838" t="s">
        <v>24</v>
      </c>
      <c r="E148" s="839"/>
      <c r="F148" s="839"/>
      <c r="G148" s="991">
        <f>G147/G7</f>
        <v>0.16783981496661152</v>
      </c>
      <c r="H148" s="841">
        <f>G148+'22'!H148</f>
        <v>3.878733045221733</v>
      </c>
      <c r="I148" s="993"/>
      <c r="J148" s="843">
        <f>H148/DAY(B2)</f>
        <v>0.16864056718355361</v>
      </c>
      <c r="O148" s="845"/>
    </row>
    <row r="149" spans="1:15">
      <c r="A149" s="1653" t="s">
        <v>255</v>
      </c>
      <c r="B149" s="1654"/>
      <c r="C149" s="1655"/>
      <c r="D149" s="838" t="s">
        <v>181</v>
      </c>
      <c r="E149" s="839"/>
      <c r="F149" s="839"/>
      <c r="G149" s="841">
        <f>G38+G52</f>
        <v>1578.8600000000151</v>
      </c>
      <c r="H149" s="841">
        <f>G149+'22'!H149</f>
        <v>37095.639999999956</v>
      </c>
      <c r="I149" s="859"/>
      <c r="J149" s="843">
        <f>H149/DAY(B2)</f>
        <v>1612.8539130434763</v>
      </c>
      <c r="K149" s="994"/>
      <c r="O149" s="845"/>
    </row>
    <row r="150" spans="1:15">
      <c r="A150" s="1653" t="s">
        <v>256</v>
      </c>
      <c r="B150" s="1654"/>
      <c r="C150" s="1655"/>
      <c r="D150" s="838" t="s">
        <v>24</v>
      </c>
      <c r="E150" s="839"/>
      <c r="F150" s="839"/>
      <c r="G150" s="991">
        <f>G149/G7</f>
        <v>6.995733066299259E-2</v>
      </c>
      <c r="H150" s="841">
        <f>G150+'22'!H150</f>
        <v>1.6838187645493183</v>
      </c>
      <c r="I150" s="993"/>
      <c r="J150" s="843">
        <f>H150/DAY(B2)</f>
        <v>7.3209511502144275E-2</v>
      </c>
      <c r="O150" s="845"/>
    </row>
    <row r="151" spans="1:15">
      <c r="A151" s="1653" t="s">
        <v>257</v>
      </c>
      <c r="B151" s="1654"/>
      <c r="C151" s="1655"/>
      <c r="D151" s="838" t="s">
        <v>181</v>
      </c>
      <c r="E151" s="839"/>
      <c r="F151" s="839"/>
      <c r="G151" s="841">
        <f>G36+G50</f>
        <v>1680.820000000007</v>
      </c>
      <c r="H151" s="841">
        <f>G151+'22'!H151</f>
        <v>47014.78999999995</v>
      </c>
      <c r="I151" s="993"/>
      <c r="J151" s="843">
        <f>H151/DAY(B2)</f>
        <v>2044.121304347824</v>
      </c>
      <c r="O151" s="845"/>
    </row>
    <row r="152" spans="1:15">
      <c r="A152" s="1653" t="s">
        <v>258</v>
      </c>
      <c r="B152" s="1654"/>
      <c r="C152" s="1655"/>
      <c r="D152" s="838" t="s">
        <v>24</v>
      </c>
      <c r="E152" s="839"/>
      <c r="F152" s="839"/>
      <c r="G152" s="991">
        <f>G151/G7</f>
        <v>7.4475051952022711E-2</v>
      </c>
      <c r="H152" s="841">
        <f>G152+'22'!H152</f>
        <v>2.125593598863659</v>
      </c>
      <c r="I152" s="859"/>
      <c r="J152" s="843">
        <f>H152/DAY(B2)</f>
        <v>9.2417112994072126E-2</v>
      </c>
      <c r="O152" s="845"/>
    </row>
    <row r="153" spans="1:15">
      <c r="A153" s="1653" t="s">
        <v>259</v>
      </c>
      <c r="B153" s="1654"/>
      <c r="C153" s="1655"/>
      <c r="D153" s="838" t="s">
        <v>181</v>
      </c>
      <c r="E153" s="839"/>
      <c r="F153" s="839"/>
      <c r="G153" s="841">
        <f>G37+G51</f>
        <v>1602.1600000000035</v>
      </c>
      <c r="H153" s="841">
        <f>G153+'22'!H153</f>
        <v>36480.03</v>
      </c>
      <c r="I153" s="859"/>
      <c r="J153" s="843">
        <f>H153/DAY(B2)</f>
        <v>1586.0882608695651</v>
      </c>
      <c r="O153" s="845"/>
    </row>
    <row r="154" spans="1:15" ht="21" thickBot="1">
      <c r="A154" s="1656" t="s">
        <v>260</v>
      </c>
      <c r="B154" s="1657"/>
      <c r="C154" s="1658"/>
      <c r="D154" s="995" t="s">
        <v>24</v>
      </c>
      <c r="E154" s="996"/>
      <c r="F154" s="996"/>
      <c r="G154" s="997">
        <f>G153/G7</f>
        <v>7.0989724798284443E-2</v>
      </c>
      <c r="H154" s="841">
        <f>G154+'22'!H154</f>
        <v>1.6568509010025272</v>
      </c>
      <c r="I154" s="998"/>
      <c r="J154" s="999">
        <f>H154/DAY(B2)</f>
        <v>7.2036995695762052E-2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10">
      <c r="A161" s="990" t="s">
        <v>261</v>
      </c>
      <c r="B161" s="990"/>
      <c r="C161" s="990"/>
      <c r="D161" s="825" t="s">
        <v>185</v>
      </c>
      <c r="E161" s="839">
        <f>'22'!F161</f>
        <v>42611.06</v>
      </c>
      <c r="F161" s="1014">
        <v>42691.89</v>
      </c>
      <c r="G161" s="840">
        <f t="shared" ref="G161:G164" si="16">F161-E161</f>
        <v>80.830000000001746</v>
      </c>
    </row>
    <row r="162" spans="1:10" ht="21.75" customHeight="1">
      <c r="A162" s="990" t="s">
        <v>262</v>
      </c>
      <c r="B162" s="990"/>
      <c r="C162" s="990"/>
      <c r="D162" s="825" t="s">
        <v>185</v>
      </c>
      <c r="E162" s="839">
        <f>'22'!F162</f>
        <v>117877.67</v>
      </c>
      <c r="F162" s="1014">
        <v>118372.16</v>
      </c>
      <c r="G162" s="840">
        <f t="shared" si="16"/>
        <v>494.49000000000524</v>
      </c>
    </row>
    <row r="163" spans="1:10" ht="21.75" customHeight="1">
      <c r="A163" s="990" t="s">
        <v>263</v>
      </c>
      <c r="B163" s="990"/>
      <c r="C163" s="990"/>
      <c r="D163" s="825" t="s">
        <v>185</v>
      </c>
      <c r="E163" s="839">
        <f>'22'!F163</f>
        <v>65721.05</v>
      </c>
      <c r="F163" s="1014">
        <v>65919.34</v>
      </c>
      <c r="G163" s="840">
        <f t="shared" si="16"/>
        <v>198.2899999999936</v>
      </c>
    </row>
    <row r="164" spans="1:10" ht="21.75" customHeight="1">
      <c r="A164" s="990" t="s">
        <v>264</v>
      </c>
      <c r="B164" s="990"/>
      <c r="C164" s="990"/>
      <c r="D164" s="825" t="s">
        <v>185</v>
      </c>
      <c r="E164" s="839">
        <f>'22'!F164</f>
        <v>7060.95</v>
      </c>
      <c r="F164" s="1014">
        <v>7068.86</v>
      </c>
      <c r="G164" s="840">
        <f t="shared" si="16"/>
        <v>7.9099999999998545</v>
      </c>
    </row>
    <row r="165" spans="1:10" ht="21.75" customHeight="1">
      <c r="A165" s="920" t="s">
        <v>97</v>
      </c>
      <c r="B165" s="920"/>
      <c r="C165" s="920"/>
      <c r="D165" s="825" t="s">
        <v>185</v>
      </c>
      <c r="E165" s="921">
        <f>E62</f>
        <v>20419.2</v>
      </c>
      <c r="F165" s="921">
        <f>F62</f>
        <v>20419</v>
      </c>
      <c r="G165" s="840">
        <f t="shared" ref="G165:G172" si="17">F165-E165</f>
        <v>-0.2000000000007276</v>
      </c>
      <c r="J165" s="1071"/>
    </row>
    <row r="166" spans="1:10" ht="21.75" customHeight="1">
      <c r="A166" s="920" t="s">
        <v>186</v>
      </c>
      <c r="B166" s="920"/>
      <c r="C166" s="920"/>
      <c r="D166" s="825" t="s">
        <v>185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10" ht="21.75" customHeight="1">
      <c r="A167" s="1628" t="s">
        <v>98</v>
      </c>
      <c r="B167" s="1628"/>
      <c r="C167" s="1628"/>
      <c r="D167" s="838" t="s">
        <v>185</v>
      </c>
      <c r="E167" s="921">
        <f t="shared" si="18"/>
        <v>178527.35</v>
      </c>
      <c r="F167" s="921">
        <f t="shared" si="19"/>
        <v>178897.63</v>
      </c>
      <c r="G167" s="840">
        <f t="shared" si="17"/>
        <v>370.27999999999884</v>
      </c>
    </row>
    <row r="168" spans="1:10" ht="21.75" customHeight="1">
      <c r="A168" s="1628" t="s">
        <v>99</v>
      </c>
      <c r="B168" s="1628"/>
      <c r="C168" s="1628"/>
      <c r="D168" s="838" t="s">
        <v>185</v>
      </c>
      <c r="E168" s="921">
        <f t="shared" si="18"/>
        <v>178694.59</v>
      </c>
      <c r="F168" s="921">
        <f t="shared" si="19"/>
        <v>179109.65</v>
      </c>
      <c r="G168" s="840">
        <f t="shared" si="17"/>
        <v>415.05999999999767</v>
      </c>
    </row>
    <row r="169" spans="1:10" ht="21.75" customHeight="1">
      <c r="A169" s="1628" t="s">
        <v>100</v>
      </c>
      <c r="B169" s="1628"/>
      <c r="C169" s="1628"/>
      <c r="D169" s="838" t="s">
        <v>185</v>
      </c>
      <c r="E169" s="921">
        <f t="shared" si="18"/>
        <v>77018.289999999994</v>
      </c>
      <c r="F169" s="921">
        <f t="shared" si="19"/>
        <v>77414.350000000006</v>
      </c>
      <c r="G169" s="840">
        <f t="shared" si="17"/>
        <v>396.06000000001222</v>
      </c>
    </row>
    <row r="170" spans="1:10">
      <c r="A170" s="1628" t="s">
        <v>101</v>
      </c>
      <c r="B170" s="1628"/>
      <c r="C170" s="1628"/>
      <c r="D170" s="838" t="s">
        <v>185</v>
      </c>
      <c r="E170" s="921">
        <f t="shared" si="18"/>
        <v>275417.73</v>
      </c>
      <c r="F170" s="921">
        <f t="shared" si="19"/>
        <v>275930.27</v>
      </c>
      <c r="G170" s="840">
        <f t="shared" si="17"/>
        <v>512.54000000003725</v>
      </c>
    </row>
    <row r="171" spans="1:10" ht="24" customHeight="1">
      <c r="A171" s="1628" t="s">
        <v>102</v>
      </c>
      <c r="B171" s="1628"/>
      <c r="C171" s="1628"/>
      <c r="D171" s="838" t="s">
        <v>185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  <c r="J171" s="1072"/>
    </row>
    <row r="172" spans="1:10">
      <c r="A172" s="1628" t="s">
        <v>103</v>
      </c>
      <c r="B172" s="1628"/>
      <c r="C172" s="1628"/>
      <c r="D172" s="838" t="s">
        <v>185</v>
      </c>
      <c r="E172" s="921">
        <f t="shared" si="18"/>
        <v>93521.99</v>
      </c>
      <c r="F172" s="921">
        <f t="shared" si="19"/>
        <v>93836.67</v>
      </c>
      <c r="G172" s="840">
        <f t="shared" si="17"/>
        <v>314.67999999999302</v>
      </c>
    </row>
    <row r="173" spans="1:10">
      <c r="G173" s="1005">
        <f>SUM(G161:G172)</f>
        <v>2789.9400000000387</v>
      </c>
    </row>
    <row r="174" spans="1:10">
      <c r="A174" s="1628" t="s">
        <v>348</v>
      </c>
      <c r="B174" s="1628"/>
      <c r="C174" s="1628"/>
      <c r="D174" s="838" t="s">
        <v>185</v>
      </c>
      <c r="E174" s="839">
        <f>'22'!F174</f>
        <v>19105.900000000001</v>
      </c>
      <c r="F174" s="968">
        <v>19110.3</v>
      </c>
      <c r="G174" s="840">
        <f t="shared" ref="G174:G176" si="20">F174-E174</f>
        <v>4.3999999999978172</v>
      </c>
      <c r="J174" s="1073"/>
    </row>
    <row r="175" spans="1:10">
      <c r="A175" s="1629" t="s">
        <v>348</v>
      </c>
      <c r="B175" s="1630"/>
      <c r="C175" s="990"/>
      <c r="D175" s="838" t="s">
        <v>185</v>
      </c>
      <c r="E175" s="839">
        <f>'22'!F175</f>
        <v>70475.399999999994</v>
      </c>
      <c r="F175" s="968">
        <v>70482.3</v>
      </c>
      <c r="G175" s="840">
        <f t="shared" si="20"/>
        <v>6.9000000000087311</v>
      </c>
    </row>
    <row r="176" spans="1:10">
      <c r="A176" s="1629" t="s">
        <v>349</v>
      </c>
      <c r="B176" s="1630"/>
      <c r="D176" s="838" t="s">
        <v>185</v>
      </c>
      <c r="E176" s="839">
        <f>'22'!F176</f>
        <v>27745</v>
      </c>
      <c r="F176" s="968">
        <v>27750</v>
      </c>
      <c r="G176" s="840">
        <f t="shared" si="20"/>
        <v>5</v>
      </c>
    </row>
    <row r="177" spans="1:15" ht="18.75" customHeight="1">
      <c r="A177" s="1629"/>
      <c r="B177" s="1630"/>
      <c r="D177" s="838"/>
      <c r="E177" s="839"/>
      <c r="F177" s="968"/>
      <c r="G177" s="840"/>
    </row>
    <row r="178" spans="1:15" s="376" customFormat="1" ht="29.25">
      <c r="A178" s="1590"/>
      <c r="B178" s="1553"/>
      <c r="C178" s="785"/>
      <c r="D178" s="523"/>
      <c r="E178" s="532"/>
      <c r="F178" s="532"/>
      <c r="G178" s="473"/>
      <c r="H178" s="538"/>
      <c r="I178" s="537"/>
      <c r="J178" s="539"/>
      <c r="N178" s="718"/>
      <c r="O178" s="723"/>
    </row>
    <row r="179" spans="1:15" s="376" customFormat="1" ht="29.25">
      <c r="A179" s="1590"/>
      <c r="B179" s="1553"/>
      <c r="C179" s="785"/>
      <c r="D179" s="523"/>
      <c r="E179" s="532"/>
      <c r="F179" s="532"/>
      <c r="G179" s="473"/>
      <c r="H179" s="538"/>
      <c r="I179" s="537"/>
      <c r="J179" s="539"/>
      <c r="N179" s="718"/>
      <c r="O179" s="723"/>
    </row>
    <row r="180" spans="1:15" s="376" customFormat="1" ht="29.25">
      <c r="A180" s="1590"/>
      <c r="B180" s="1553"/>
      <c r="C180" s="785"/>
      <c r="D180" s="523"/>
      <c r="E180" s="532"/>
      <c r="F180" s="532"/>
      <c r="G180" s="473"/>
      <c r="H180" s="538"/>
      <c r="I180" s="537"/>
      <c r="J180" s="539"/>
      <c r="N180" s="718"/>
      <c r="O180" s="723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31" zoomScale="68" zoomScaleNormal="44" zoomScaleSheetLayoutView="68" workbookViewId="0">
      <selection activeCell="H187" sqref="H187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7.88671875" style="1003" customWidth="1"/>
    <col min="8" max="8" width="39.21875" style="1004" customWidth="1"/>
    <col min="9" max="9" width="15.77734375" style="1003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71" t="s">
        <v>115</v>
      </c>
      <c r="B1" s="1672"/>
      <c r="C1" s="1672"/>
      <c r="D1" s="1672"/>
      <c r="E1" s="1672"/>
      <c r="F1" s="1672"/>
      <c r="G1" s="1672"/>
      <c r="H1" s="1672"/>
      <c r="I1" s="1672"/>
      <c r="J1" s="1673"/>
    </row>
    <row r="2" spans="1:15">
      <c r="A2" s="806" t="s">
        <v>362</v>
      </c>
      <c r="B2" s="1075">
        <v>44036</v>
      </c>
      <c r="C2" s="807" t="s">
        <v>68</v>
      </c>
      <c r="D2" s="808">
        <v>1</v>
      </c>
      <c r="E2" s="809"/>
      <c r="F2" s="809"/>
      <c r="G2" s="809" t="s">
        <v>116</v>
      </c>
      <c r="H2" s="809" t="s">
        <v>6</v>
      </c>
      <c r="I2" s="809" t="s">
        <v>8</v>
      </c>
      <c r="J2" s="810" t="s">
        <v>117</v>
      </c>
    </row>
    <row r="3" spans="1:15">
      <c r="A3" s="811"/>
      <c r="B3" s="812"/>
      <c r="C3" s="807" t="s">
        <v>118</v>
      </c>
      <c r="D3" s="813">
        <v>28</v>
      </c>
      <c r="E3" s="1680" t="s">
        <v>119</v>
      </c>
      <c r="F3" s="1681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120</v>
      </c>
      <c r="D4" s="808">
        <v>0.8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121</v>
      </c>
      <c r="B5" s="825"/>
      <c r="C5" s="825"/>
      <c r="D5" s="825" t="s">
        <v>122</v>
      </c>
      <c r="E5" s="826" t="s">
        <v>123</v>
      </c>
      <c r="F5" s="826" t="s">
        <v>110</v>
      </c>
      <c r="G5" s="827" t="s">
        <v>124</v>
      </c>
      <c r="H5" s="828" t="s">
        <v>125</v>
      </c>
      <c r="I5" s="829" t="s">
        <v>126</v>
      </c>
      <c r="J5" s="830" t="s">
        <v>127</v>
      </c>
      <c r="K5" s="831"/>
      <c r="L5" s="818"/>
    </row>
    <row r="6" spans="1:15">
      <c r="A6" s="1674" t="s">
        <v>128</v>
      </c>
      <c r="B6" s="1675"/>
      <c r="C6" s="1676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129</v>
      </c>
      <c r="B7" s="837"/>
      <c r="C7" s="837"/>
      <c r="D7" s="838" t="s">
        <v>130</v>
      </c>
      <c r="E7" s="839">
        <f>'23'!F7</f>
        <v>428989.33</v>
      </c>
      <c r="F7" s="455">
        <v>451565</v>
      </c>
      <c r="G7" s="840">
        <f>F7-E7</f>
        <v>22575.669999999984</v>
      </c>
      <c r="H7" s="841">
        <f>G7+'23'!H7</f>
        <v>529612</v>
      </c>
      <c r="I7" s="842">
        <f>'1'!I7</f>
        <v>12000</v>
      </c>
      <c r="J7" s="843">
        <f>H7/DAY(B2)</f>
        <v>22067.166666666668</v>
      </c>
      <c r="K7" s="844"/>
      <c r="L7" s="818"/>
      <c r="O7" s="845"/>
    </row>
    <row r="8" spans="1:15" ht="23.25" thickBot="1">
      <c r="A8" s="846" t="s">
        <v>131</v>
      </c>
      <c r="B8" s="847"/>
      <c r="C8" s="848"/>
      <c r="D8" s="849" t="s">
        <v>25</v>
      </c>
      <c r="E8" s="839">
        <f>'23'!F8</f>
        <v>436167.91</v>
      </c>
      <c r="F8" s="475">
        <v>458812</v>
      </c>
      <c r="G8" s="850">
        <f>F8-E8</f>
        <v>22644.090000000026</v>
      </c>
      <c r="H8" s="841">
        <f>G8+'23'!H8</f>
        <v>532090</v>
      </c>
      <c r="I8" s="851">
        <f>'1'!I8</f>
        <v>12000</v>
      </c>
      <c r="J8" s="843">
        <f>H8/DAY(B2)</f>
        <v>22170.416666666668</v>
      </c>
      <c r="K8" s="844"/>
      <c r="L8" s="852"/>
      <c r="M8" s="853"/>
      <c r="O8" s="845"/>
    </row>
    <row r="9" spans="1:15">
      <c r="A9" s="854" t="s">
        <v>132</v>
      </c>
      <c r="B9" s="855"/>
      <c r="C9" s="855"/>
      <c r="D9" s="838" t="s">
        <v>130</v>
      </c>
      <c r="E9" s="839">
        <f>'23'!F9</f>
        <v>2523663.5</v>
      </c>
      <c r="F9" s="856">
        <v>2545522</v>
      </c>
      <c r="G9" s="840">
        <f t="shared" ref="G9:G12" si="0">F9-E9</f>
        <v>21858.5</v>
      </c>
      <c r="H9" s="841">
        <f>G9+'23'!H9</f>
        <v>514520</v>
      </c>
      <c r="I9" s="857">
        <f>I8-J8</f>
        <v>-10170.416666666668</v>
      </c>
      <c r="J9" s="843">
        <f>H9/DAY(B2)</f>
        <v>21438.333333333332</v>
      </c>
      <c r="K9" s="858"/>
      <c r="L9" s="818"/>
      <c r="O9" s="845"/>
    </row>
    <row r="10" spans="1:15">
      <c r="A10" s="836" t="s">
        <v>133</v>
      </c>
      <c r="B10" s="837"/>
      <c r="C10" s="837"/>
      <c r="D10" s="838" t="s">
        <v>130</v>
      </c>
      <c r="E10" s="839">
        <f>'23'!F10</f>
        <v>2606.5500000000002</v>
      </c>
      <c r="F10" s="856">
        <v>2606.5500000000002</v>
      </c>
      <c r="G10" s="840">
        <f t="shared" si="0"/>
        <v>0</v>
      </c>
      <c r="H10" s="841">
        <f>G10+'23'!H10</f>
        <v>0.29999999999972715</v>
      </c>
      <c r="I10" s="859"/>
      <c r="J10" s="843">
        <f>H10/DAY(B2)</f>
        <v>1.2499999999988631E-2</v>
      </c>
      <c r="K10" s="858"/>
      <c r="L10" s="818"/>
      <c r="M10" s="805" t="s">
        <v>275</v>
      </c>
      <c r="O10" s="845"/>
    </row>
    <row r="11" spans="1:15">
      <c r="A11" s="836" t="s">
        <v>134</v>
      </c>
      <c r="B11" s="837"/>
      <c r="C11" s="837"/>
      <c r="D11" s="838" t="s">
        <v>130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G11+'23'!H11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135</v>
      </c>
      <c r="B12" s="837"/>
      <c r="C12" s="837"/>
      <c r="D12" s="838" t="s">
        <v>130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G12+'23'!H12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136</v>
      </c>
      <c r="B13" s="861"/>
      <c r="C13" s="861"/>
      <c r="D13" s="838"/>
      <c r="E13" s="839"/>
      <c r="F13" s="839"/>
      <c r="G13" s="862">
        <f>G9+G10+G11+G12</f>
        <v>21858.5</v>
      </c>
      <c r="H13" s="841">
        <f>G13+'23'!H13</f>
        <v>494193.3</v>
      </c>
      <c r="I13" s="863">
        <f>G7-G13</f>
        <v>717.1699999999837</v>
      </c>
      <c r="J13" s="843">
        <f>H13/DAY(B2)</f>
        <v>20591.387500000001</v>
      </c>
      <c r="K13" s="858"/>
      <c r="L13" s="818"/>
      <c r="O13" s="845"/>
    </row>
    <row r="14" spans="1:15">
      <c r="A14" s="1677" t="s">
        <v>137</v>
      </c>
      <c r="B14" s="1678"/>
      <c r="C14" s="1679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138</v>
      </c>
      <c r="B15" s="867"/>
      <c r="C15" s="867"/>
      <c r="D15" s="838" t="s">
        <v>139</v>
      </c>
      <c r="E15" s="839">
        <f>'23'!F15</f>
        <v>1722719.35</v>
      </c>
      <c r="F15" s="700">
        <v>1723586</v>
      </c>
      <c r="G15" s="1015">
        <f>(F15-E15)</f>
        <v>866.64999999990687</v>
      </c>
      <c r="H15" s="841">
        <f>G15+'23'!H15</f>
        <v>19903</v>
      </c>
      <c r="I15" s="842">
        <f>'1'!I15</f>
        <v>800</v>
      </c>
      <c r="J15" s="843">
        <f>H15/DAY(B2)</f>
        <v>829.29166666666663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-29.291666666666629</v>
      </c>
      <c r="J16" s="875"/>
      <c r="K16" s="858"/>
      <c r="L16" s="818"/>
      <c r="N16" s="1008"/>
      <c r="O16" s="845"/>
    </row>
    <row r="17" spans="1:15">
      <c r="A17" s="1677" t="s">
        <v>140</v>
      </c>
      <c r="B17" s="1678"/>
      <c r="C17" s="1679"/>
      <c r="D17" s="833"/>
      <c r="E17" s="833"/>
      <c r="F17" s="833"/>
      <c r="G17" s="876"/>
      <c r="H17" s="833">
        <f>G17+'22'!H17</f>
        <v>0</v>
      </c>
      <c r="I17" s="833"/>
      <c r="J17" s="834"/>
      <c r="K17" s="858"/>
      <c r="L17" s="818"/>
      <c r="O17" s="845"/>
    </row>
    <row r="18" spans="1:15">
      <c r="A18" s="1653" t="s">
        <v>141</v>
      </c>
      <c r="B18" s="1654"/>
      <c r="C18" s="1655"/>
      <c r="D18" s="838" t="s">
        <v>142</v>
      </c>
      <c r="E18" s="839">
        <f>'23'!F18</f>
        <v>10</v>
      </c>
      <c r="F18" s="868">
        <v>11</v>
      </c>
      <c r="G18" s="862">
        <f>F18*10</f>
        <v>110</v>
      </c>
      <c r="H18" s="841">
        <f>G18+'23'!H18</f>
        <v>3150</v>
      </c>
      <c r="I18" s="842">
        <f>'1'!I18</f>
        <v>65</v>
      </c>
      <c r="J18" s="843">
        <f>H18/DAY(B2)</f>
        <v>131.25</v>
      </c>
      <c r="K18" s="858"/>
      <c r="L18" s="818"/>
      <c r="O18" s="845"/>
    </row>
    <row r="19" spans="1:15">
      <c r="A19" s="1653" t="s">
        <v>70</v>
      </c>
      <c r="B19" s="1654"/>
      <c r="C19" s="1655"/>
      <c r="D19" s="838" t="s">
        <v>142</v>
      </c>
      <c r="E19" s="839">
        <f>'23'!F19</f>
        <v>142879</v>
      </c>
      <c r="F19" s="868">
        <v>142943</v>
      </c>
      <c r="G19" s="840">
        <f t="shared" ref="G19" si="1">F19-E19</f>
        <v>64</v>
      </c>
      <c r="H19" s="841">
        <f>G19+'23'!H19</f>
        <v>1448</v>
      </c>
      <c r="I19" s="877"/>
      <c r="J19" s="843">
        <f>H19/DAY(B2)</f>
        <v>60.333333333333336</v>
      </c>
      <c r="K19" s="858"/>
      <c r="L19" s="818"/>
      <c r="O19" s="845"/>
    </row>
    <row r="20" spans="1:15">
      <c r="A20" s="860" t="s">
        <v>143</v>
      </c>
      <c r="B20" s="861"/>
      <c r="C20" s="861"/>
      <c r="D20" s="878"/>
      <c r="E20" s="878"/>
      <c r="F20" s="878"/>
      <c r="G20" s="840">
        <f>SUM(G18:G19)</f>
        <v>174</v>
      </c>
      <c r="H20" s="841">
        <f>G20+'23'!H20</f>
        <v>4598</v>
      </c>
      <c r="I20" s="880">
        <f>I18-J20</f>
        <v>-126.58333333333334</v>
      </c>
      <c r="J20" s="843">
        <f>H20/DAY(B2)</f>
        <v>191.58333333333334</v>
      </c>
      <c r="K20" s="858"/>
      <c r="L20" s="818"/>
      <c r="O20" s="845"/>
    </row>
    <row r="21" spans="1:15">
      <c r="A21" s="1677" t="s">
        <v>144</v>
      </c>
      <c r="B21" s="1678"/>
      <c r="C21" s="1679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145</v>
      </c>
      <c r="B22" s="867"/>
      <c r="C22" s="867"/>
      <c r="D22" s="838" t="s">
        <v>146</v>
      </c>
      <c r="E22" s="868">
        <f>'23'!F22</f>
        <v>2970</v>
      </c>
      <c r="F22" s="868">
        <v>2970</v>
      </c>
      <c r="G22" s="862">
        <f t="shared" ref="G22:G23" si="2">(F22-E22)</f>
        <v>0</v>
      </c>
      <c r="H22" s="841">
        <f>G22+'23'!H22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147</v>
      </c>
      <c r="B23" s="867"/>
      <c r="C23" s="867"/>
      <c r="D23" s="838" t="s">
        <v>146</v>
      </c>
      <c r="E23" s="868">
        <f>'23'!F23</f>
        <v>2000</v>
      </c>
      <c r="F23" s="868">
        <v>2000</v>
      </c>
      <c r="G23" s="862">
        <f t="shared" si="2"/>
        <v>0</v>
      </c>
      <c r="H23" s="841">
        <f>G23+'23'!H23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148</v>
      </c>
      <c r="B24" s="882"/>
      <c r="C24" s="882"/>
      <c r="D24" s="825" t="s">
        <v>146</v>
      </c>
      <c r="E24" s="868">
        <f>'23'!F24</f>
        <v>4970</v>
      </c>
      <c r="F24" s="883">
        <v>4970</v>
      </c>
      <c r="G24" s="862">
        <f>SUM(G22:G23)</f>
        <v>0</v>
      </c>
      <c r="H24" s="841">
        <f>G24+'23'!H24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4" t="s">
        <v>149</v>
      </c>
      <c r="B25" s="1675"/>
      <c r="C25" s="1676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150</v>
      </c>
      <c r="B26" s="891"/>
      <c r="C26" s="892"/>
      <c r="D26" s="893" t="s">
        <v>151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22644.090000000026</v>
      </c>
      <c r="F27" s="501">
        <v>9</v>
      </c>
      <c r="G27" s="900">
        <f>E27*F27</f>
        <v>203796.81000000023</v>
      </c>
      <c r="H27" s="841">
        <f>G27+'23'!H27</f>
        <v>4788811.8900000006</v>
      </c>
      <c r="I27" s="901"/>
      <c r="J27" s="843">
        <f>H27/DAY(B2)</f>
        <v>199533.82875000002</v>
      </c>
      <c r="K27" s="858"/>
      <c r="L27" s="888"/>
      <c r="N27" s="1007"/>
      <c r="O27" s="845"/>
    </row>
    <row r="28" spans="1:15" s="889" customFormat="1" ht="22.5">
      <c r="A28" s="890" t="s">
        <v>152</v>
      </c>
      <c r="B28" s="891"/>
      <c r="C28" s="892"/>
      <c r="D28" s="897" t="s">
        <v>153</v>
      </c>
      <c r="E28" s="898">
        <f>G15</f>
        <v>866.64999999990687</v>
      </c>
      <c r="F28" s="501">
        <v>52</v>
      </c>
      <c r="G28" s="900">
        <f t="shared" ref="G28:G31" si="3">E28*F28</f>
        <v>45065.799999995157</v>
      </c>
      <c r="H28" s="841">
        <f>G28+'23'!H28</f>
        <v>1034956</v>
      </c>
      <c r="I28" s="902"/>
      <c r="J28" s="843">
        <f>H28/DAY(B2)</f>
        <v>43123.166666666664</v>
      </c>
      <c r="K28" s="858"/>
      <c r="L28" s="888"/>
      <c r="N28" s="1007"/>
      <c r="O28" s="845"/>
    </row>
    <row r="29" spans="1:15" s="889" customFormat="1">
      <c r="A29" s="890" t="s">
        <v>154</v>
      </c>
      <c r="B29" s="891"/>
      <c r="C29" s="892"/>
      <c r="D29" s="897" t="s">
        <v>155</v>
      </c>
      <c r="E29" s="898">
        <f>G24</f>
        <v>0</v>
      </c>
      <c r="F29" s="899">
        <v>69</v>
      </c>
      <c r="G29" s="900">
        <f t="shared" si="3"/>
        <v>0</v>
      </c>
      <c r="H29" s="841">
        <f>G29+'23'!H29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156</v>
      </c>
      <c r="B30" s="891"/>
      <c r="C30" s="892"/>
      <c r="D30" s="897" t="s">
        <v>157</v>
      </c>
      <c r="E30" s="898">
        <f>G19</f>
        <v>64</v>
      </c>
      <c r="F30" s="899">
        <v>146</v>
      </c>
      <c r="G30" s="900">
        <f t="shared" si="3"/>
        <v>9344</v>
      </c>
      <c r="H30" s="841">
        <f>G30+'23'!H30</f>
        <v>210824</v>
      </c>
      <c r="I30" s="902"/>
      <c r="J30" s="843">
        <f>H30/DAY(B2)</f>
        <v>8784.3333333333339</v>
      </c>
      <c r="K30" s="858"/>
      <c r="L30" s="888"/>
      <c r="N30" s="1007"/>
      <c r="O30" s="845"/>
    </row>
    <row r="31" spans="1:15" s="889" customFormat="1">
      <c r="A31" s="890" t="s">
        <v>158</v>
      </c>
      <c r="B31" s="891"/>
      <c r="C31" s="892"/>
      <c r="D31" s="897" t="s">
        <v>142</v>
      </c>
      <c r="E31" s="898">
        <f>G18</f>
        <v>110</v>
      </c>
      <c r="F31" s="899">
        <v>80</v>
      </c>
      <c r="G31" s="900">
        <f t="shared" si="3"/>
        <v>8800</v>
      </c>
      <c r="H31" s="841">
        <f>G31+'23'!H31</f>
        <v>246400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159</v>
      </c>
      <c r="B32" s="904"/>
      <c r="C32" s="905"/>
      <c r="D32" s="906"/>
      <c r="E32" s="906"/>
      <c r="F32" s="906"/>
      <c r="G32" s="907">
        <f>G27+G28+G29+G30+G31</f>
        <v>267006.60999999539</v>
      </c>
      <c r="H32" s="841">
        <f>G32+'23'!H32</f>
        <v>6280991.8900000006</v>
      </c>
      <c r="I32" s="908"/>
      <c r="J32" s="843">
        <f>H32/DAY(B2)</f>
        <v>261707.9954166667</v>
      </c>
      <c r="K32" s="858"/>
      <c r="L32" s="888"/>
      <c r="N32" s="1007"/>
      <c r="O32" s="845"/>
    </row>
    <row r="33" spans="1:15" ht="18.75">
      <c r="A33" s="1682" t="s">
        <v>160</v>
      </c>
      <c r="B33" s="1683"/>
      <c r="C33" s="1683"/>
      <c r="D33" s="1683"/>
      <c r="E33" s="1683"/>
      <c r="F33" s="1683"/>
      <c r="G33" s="1683"/>
      <c r="H33" s="1683"/>
      <c r="I33" s="1683"/>
      <c r="J33" s="1684"/>
      <c r="K33" s="858"/>
      <c r="L33" s="818"/>
      <c r="O33" s="845"/>
    </row>
    <row r="34" spans="1:15">
      <c r="A34" s="909" t="s">
        <v>161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162</v>
      </c>
      <c r="B35" s="837"/>
      <c r="C35" s="837"/>
      <c r="D35" s="838" t="s">
        <v>130</v>
      </c>
      <c r="E35" s="839">
        <f>'23'!F35</f>
        <v>1058597</v>
      </c>
      <c r="F35" s="911">
        <v>1058597</v>
      </c>
      <c r="G35" s="840">
        <f t="shared" ref="G35:G46" si="4">F35-E35</f>
        <v>0</v>
      </c>
      <c r="H35" s="841">
        <f>G35+'23'!H35</f>
        <v>29883</v>
      </c>
      <c r="I35" s="839"/>
      <c r="J35" s="843">
        <f>H35/DAY(B2)</f>
        <v>1245.125</v>
      </c>
      <c r="K35" s="858"/>
      <c r="L35" s="818"/>
      <c r="O35" s="845"/>
    </row>
    <row r="36" spans="1:15">
      <c r="A36" s="836" t="s">
        <v>163</v>
      </c>
      <c r="B36" s="837"/>
      <c r="C36" s="837"/>
      <c r="D36" s="838" t="s">
        <v>130</v>
      </c>
      <c r="E36" s="839">
        <f>'23'!F36</f>
        <v>40361.839999999997</v>
      </c>
      <c r="F36" s="911">
        <v>41051</v>
      </c>
      <c r="G36" s="840">
        <f t="shared" si="4"/>
        <v>689.16000000000349</v>
      </c>
      <c r="H36" s="841">
        <f>G36+'23'!H36</f>
        <v>20590</v>
      </c>
      <c r="I36" s="839"/>
      <c r="J36" s="843">
        <f>H36/DAY(B2)</f>
        <v>857.91666666666663</v>
      </c>
      <c r="K36" s="858"/>
      <c r="L36" s="818"/>
      <c r="O36" s="845"/>
    </row>
    <row r="37" spans="1:15">
      <c r="A37" s="836" t="s">
        <v>164</v>
      </c>
      <c r="B37" s="837"/>
      <c r="C37" s="837"/>
      <c r="D37" s="838" t="s">
        <v>130</v>
      </c>
      <c r="E37" s="839">
        <f>'23'!F37</f>
        <v>213050.03</v>
      </c>
      <c r="F37" s="911">
        <v>214682</v>
      </c>
      <c r="G37" s="840">
        <f t="shared" si="4"/>
        <v>1631.9700000000012</v>
      </c>
      <c r="H37" s="841">
        <f>G37+'23'!H37</f>
        <v>38112</v>
      </c>
      <c r="I37" s="839"/>
      <c r="J37" s="843">
        <f>H37/DAY(B2)</f>
        <v>1588</v>
      </c>
      <c r="K37" s="858"/>
      <c r="L37" s="818"/>
      <c r="O37" s="845"/>
    </row>
    <row r="38" spans="1:15">
      <c r="A38" s="836" t="s">
        <v>165</v>
      </c>
      <c r="B38" s="837"/>
      <c r="C38" s="837"/>
      <c r="D38" s="838" t="s">
        <v>130</v>
      </c>
      <c r="E38" s="839">
        <f>'23'!F38</f>
        <v>235554.57</v>
      </c>
      <c r="F38" s="828">
        <v>237159</v>
      </c>
      <c r="G38" s="840">
        <f t="shared" si="4"/>
        <v>1604.429999999993</v>
      </c>
      <c r="H38" s="841">
        <f>G38+'23'!H38</f>
        <v>38700</v>
      </c>
      <c r="I38" s="839"/>
      <c r="J38" s="843">
        <f>H38/DAY(B2)</f>
        <v>1612.5</v>
      </c>
      <c r="K38" s="858"/>
      <c r="L38" s="818"/>
      <c r="O38" s="845"/>
    </row>
    <row r="39" spans="1:15">
      <c r="A39" s="836" t="s">
        <v>166</v>
      </c>
      <c r="B39" s="837"/>
      <c r="C39" s="837"/>
      <c r="D39" s="838" t="s">
        <v>130</v>
      </c>
      <c r="E39" s="839">
        <f>'23'!F39</f>
        <v>490138.99</v>
      </c>
      <c r="F39" s="911">
        <v>493956</v>
      </c>
      <c r="G39" s="840">
        <f t="shared" si="4"/>
        <v>3817.0100000000093</v>
      </c>
      <c r="H39" s="841">
        <f>G39+'23'!H39</f>
        <v>89092</v>
      </c>
      <c r="I39" s="839"/>
      <c r="J39" s="843">
        <f>H39/DAY(B2)</f>
        <v>3712.1666666666665</v>
      </c>
      <c r="K39" s="858"/>
      <c r="L39" s="818"/>
      <c r="N39" s="1006">
        <f>20*38.64</f>
        <v>772.8</v>
      </c>
      <c r="O39" s="845"/>
    </row>
    <row r="40" spans="1:15">
      <c r="A40" s="912" t="s">
        <v>167</v>
      </c>
      <c r="B40" s="913"/>
      <c r="C40" s="913"/>
      <c r="D40" s="838" t="s">
        <v>130</v>
      </c>
      <c r="E40" s="839">
        <f>'23'!F40</f>
        <v>16445.48</v>
      </c>
      <c r="F40" s="911">
        <v>16874</v>
      </c>
      <c r="G40" s="840">
        <f t="shared" si="4"/>
        <v>428.52000000000044</v>
      </c>
      <c r="H40" s="841">
        <f>G40+'23'!H40</f>
        <v>9761</v>
      </c>
      <c r="I40" s="839"/>
      <c r="J40" s="843">
        <f>H40/DAY(B2)</f>
        <v>406.70833333333331</v>
      </c>
      <c r="K40" s="865"/>
      <c r="L40" s="818"/>
      <c r="O40" s="845"/>
    </row>
    <row r="41" spans="1:15">
      <c r="A41" s="836" t="s">
        <v>168</v>
      </c>
      <c r="B41" s="837"/>
      <c r="C41" s="837"/>
      <c r="D41" s="838" t="s">
        <v>130</v>
      </c>
      <c r="E41" s="839">
        <f>'23'!F41</f>
        <v>366839.55</v>
      </c>
      <c r="F41" s="911">
        <v>366839.55</v>
      </c>
      <c r="G41" s="840">
        <f t="shared" si="4"/>
        <v>0</v>
      </c>
      <c r="H41" s="841">
        <f>G41+'23'!H41</f>
        <v>37197.549999999988</v>
      </c>
      <c r="I41" s="839"/>
      <c r="J41" s="843">
        <f>H41/DAY(B2)</f>
        <v>1549.8979166666661</v>
      </c>
      <c r="K41" s="858"/>
      <c r="L41" s="818"/>
      <c r="O41" s="845"/>
    </row>
    <row r="42" spans="1:15">
      <c r="A42" s="836" t="s">
        <v>169</v>
      </c>
      <c r="B42" s="837"/>
      <c r="C42" s="837"/>
      <c r="D42" s="838" t="s">
        <v>130</v>
      </c>
      <c r="E42" s="839">
        <f>'23'!F42</f>
        <v>91097.09</v>
      </c>
      <c r="F42" s="911">
        <v>92947</v>
      </c>
      <c r="G42" s="840">
        <f t="shared" si="4"/>
        <v>1849.9100000000035</v>
      </c>
      <c r="H42" s="841">
        <f>G42+'23'!H42</f>
        <v>33748.11</v>
      </c>
      <c r="I42" s="839"/>
      <c r="J42" s="843">
        <f>H42/DAY(B2)</f>
        <v>1406.1712500000001</v>
      </c>
      <c r="K42" s="858"/>
      <c r="L42" s="818"/>
      <c r="O42" s="845"/>
    </row>
    <row r="43" spans="1:15">
      <c r="A43" s="836" t="s">
        <v>170</v>
      </c>
      <c r="B43" s="837"/>
      <c r="C43" s="837"/>
      <c r="D43" s="838" t="s">
        <v>130</v>
      </c>
      <c r="E43" s="839">
        <f>'23'!F43</f>
        <v>1182388.1000000001</v>
      </c>
      <c r="F43" s="911">
        <v>1185173</v>
      </c>
      <c r="G43" s="840">
        <f t="shared" si="4"/>
        <v>2784.8999999999069</v>
      </c>
      <c r="H43" s="841">
        <f>G43+'23'!H43</f>
        <v>64721</v>
      </c>
      <c r="I43" s="839"/>
      <c r="J43" s="843">
        <f>H43/DAY(B2)</f>
        <v>2696.7083333333335</v>
      </c>
      <c r="K43" s="858"/>
      <c r="L43" s="818"/>
      <c r="O43" s="845"/>
    </row>
    <row r="44" spans="1:15">
      <c r="A44" s="836" t="s">
        <v>171</v>
      </c>
      <c r="B44" s="837"/>
      <c r="C44" s="837"/>
      <c r="D44" s="838" t="s">
        <v>130</v>
      </c>
      <c r="E44" s="839">
        <f>'23'!F44</f>
        <v>0</v>
      </c>
      <c r="F44" s="911">
        <v>0</v>
      </c>
      <c r="G44" s="840">
        <f t="shared" si="4"/>
        <v>0</v>
      </c>
      <c r="H44" s="841">
        <f>G44+'23'!H44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172</v>
      </c>
      <c r="B45" s="837"/>
      <c r="C45" s="837"/>
      <c r="D45" s="838" t="s">
        <v>130</v>
      </c>
      <c r="E45" s="839">
        <f>'23'!F45</f>
        <v>614</v>
      </c>
      <c r="F45" s="911">
        <v>614</v>
      </c>
      <c r="G45" s="840">
        <f t="shared" si="4"/>
        <v>0</v>
      </c>
      <c r="H45" s="841">
        <f>G45+'23'!H45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173</v>
      </c>
      <c r="B46" s="837"/>
      <c r="C46" s="837"/>
      <c r="D46" s="838" t="s">
        <v>130</v>
      </c>
      <c r="E46" s="839">
        <f>'23'!F46</f>
        <v>187</v>
      </c>
      <c r="F46" s="911">
        <v>187</v>
      </c>
      <c r="G46" s="840">
        <f t="shared" si="4"/>
        <v>0</v>
      </c>
      <c r="H46" s="841">
        <f>G46+'23'!H46</f>
        <v>-0.49000000000000909</v>
      </c>
      <c r="I46" s="839"/>
      <c r="J46" s="843">
        <f>H46/DAY(B2)</f>
        <v>-2.0416666666667044E-2</v>
      </c>
      <c r="K46" s="858"/>
      <c r="L46" s="818"/>
      <c r="O46" s="845"/>
    </row>
    <row r="47" spans="1:15">
      <c r="A47" s="860" t="s">
        <v>174</v>
      </c>
      <c r="B47" s="861"/>
      <c r="C47" s="861"/>
      <c r="D47" s="829"/>
      <c r="E47" s="825"/>
      <c r="F47" s="825"/>
      <c r="G47" s="862">
        <f>G35+G36+G37+G38+G39+G40+G41+G42+G43+G44+G45+G46</f>
        <v>12805.899999999918</v>
      </c>
      <c r="H47" s="841">
        <f>G47+'23'!H47</f>
        <v>362605.66</v>
      </c>
      <c r="I47" s="839"/>
      <c r="J47" s="843">
        <f>H47/DAY(B2)</f>
        <v>15108.569166666666</v>
      </c>
      <c r="K47" s="858"/>
      <c r="L47" s="818"/>
      <c r="N47" s="1008"/>
      <c r="O47" s="845"/>
    </row>
    <row r="48" spans="1:15">
      <c r="A48" s="909" t="s">
        <v>175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162</v>
      </c>
      <c r="B49" s="914"/>
      <c r="C49" s="914"/>
      <c r="D49" s="838" t="s">
        <v>130</v>
      </c>
      <c r="E49" s="839">
        <f>'23'!F49</f>
        <v>299994.09000000003</v>
      </c>
      <c r="F49" s="911">
        <v>303071</v>
      </c>
      <c r="G49" s="840">
        <f t="shared" ref="G49:G58" si="5">F49-E49</f>
        <v>3076.9099999999744</v>
      </c>
      <c r="H49" s="841">
        <f>G49+'23'!H49</f>
        <v>42307</v>
      </c>
      <c r="I49" s="839"/>
      <c r="J49" s="843">
        <f>H49/DAY(B2)</f>
        <v>1762.7916666666667</v>
      </c>
      <c r="K49" s="858"/>
      <c r="L49" s="818"/>
      <c r="O49" s="845"/>
    </row>
    <row r="50" spans="1:15">
      <c r="A50" s="836" t="s">
        <v>176</v>
      </c>
      <c r="B50" s="914"/>
      <c r="C50" s="914"/>
      <c r="D50" s="838" t="s">
        <v>130</v>
      </c>
      <c r="E50" s="839">
        <f>'23'!F50</f>
        <v>561776.94999999995</v>
      </c>
      <c r="F50" s="911">
        <v>562765</v>
      </c>
      <c r="G50" s="840">
        <f t="shared" si="5"/>
        <v>988.05000000004657</v>
      </c>
      <c r="H50" s="841">
        <f>G50+'23'!H50</f>
        <v>27009</v>
      </c>
      <c r="I50" s="839"/>
      <c r="J50" s="843">
        <f>H50/DAY(B2)</f>
        <v>1125.375</v>
      </c>
      <c r="K50" s="858"/>
      <c r="L50" s="818"/>
      <c r="O50" s="845"/>
    </row>
    <row r="51" spans="1:15">
      <c r="A51" s="836" t="s">
        <v>164</v>
      </c>
      <c r="B51" s="914"/>
      <c r="C51" s="914"/>
      <c r="D51" s="838" t="s">
        <v>130</v>
      </c>
      <c r="E51" s="839">
        <f>'23'!F51</f>
        <v>144640</v>
      </c>
      <c r="F51" s="911">
        <v>144640</v>
      </c>
      <c r="G51" s="840">
        <f t="shared" si="5"/>
        <v>0</v>
      </c>
      <c r="H51" s="841">
        <f>G51+'23'!H51</f>
        <v>0</v>
      </c>
      <c r="I51" s="839"/>
      <c r="J51" s="843">
        <f>H51/DAY(B2)</f>
        <v>0</v>
      </c>
      <c r="K51" s="858"/>
      <c r="L51" s="818"/>
      <c r="O51" s="845"/>
    </row>
    <row r="52" spans="1:15">
      <c r="A52" s="836" t="s">
        <v>177</v>
      </c>
      <c r="B52" s="914"/>
      <c r="C52" s="914"/>
      <c r="D52" s="838" t="s">
        <v>130</v>
      </c>
      <c r="E52" s="839">
        <f>'23'!F52</f>
        <v>539606.06999999995</v>
      </c>
      <c r="F52" s="911">
        <v>539606</v>
      </c>
      <c r="G52" s="840">
        <f t="shared" si="5"/>
        <v>-6.9999999948777258E-2</v>
      </c>
      <c r="H52" s="841">
        <f>G52+'23'!H52</f>
        <v>-6.9999999948777258E-2</v>
      </c>
      <c r="I52" s="839"/>
      <c r="J52" s="843">
        <f>H52/DAY(B2)</f>
        <v>-2.9166666645323858E-3</v>
      </c>
      <c r="K52" s="858"/>
      <c r="L52" s="818"/>
      <c r="O52" s="845"/>
    </row>
    <row r="53" spans="1:15">
      <c r="A53" s="836" t="s">
        <v>166</v>
      </c>
      <c r="B53" s="914"/>
      <c r="C53" s="914"/>
      <c r="D53" s="838" t="s">
        <v>130</v>
      </c>
      <c r="E53" s="839">
        <f>'23'!F53</f>
        <v>434231.59</v>
      </c>
      <c r="F53" s="911">
        <v>434232</v>
      </c>
      <c r="G53" s="840">
        <f t="shared" si="5"/>
        <v>0.40999999997438863</v>
      </c>
      <c r="H53" s="841">
        <f>G53+'23'!H53</f>
        <v>-0.33000000001629815</v>
      </c>
      <c r="I53" s="839"/>
      <c r="J53" s="843">
        <f>H53/DAY(B2)</f>
        <v>-1.3750000000679089E-2</v>
      </c>
      <c r="K53" s="858"/>
      <c r="L53" s="818"/>
      <c r="O53" s="845"/>
    </row>
    <row r="54" spans="1:15">
      <c r="A54" s="836" t="s">
        <v>178</v>
      </c>
      <c r="B54" s="914"/>
      <c r="C54" s="914"/>
      <c r="D54" s="838" t="s">
        <v>130</v>
      </c>
      <c r="E54" s="839">
        <f>'23'!F54</f>
        <v>14967.39</v>
      </c>
      <c r="F54" s="911">
        <v>14967</v>
      </c>
      <c r="G54" s="840">
        <f t="shared" si="5"/>
        <v>-0.38999999999941792</v>
      </c>
      <c r="H54" s="841">
        <f>G54+'23'!H54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179</v>
      </c>
      <c r="B55" s="914"/>
      <c r="C55" s="914"/>
      <c r="D55" s="838" t="s">
        <v>130</v>
      </c>
      <c r="E55" s="839">
        <f>'23'!F55</f>
        <v>204436.49</v>
      </c>
      <c r="F55" s="911">
        <v>209892</v>
      </c>
      <c r="G55" s="840">
        <f t="shared" si="5"/>
        <v>5455.5100000000093</v>
      </c>
      <c r="H55" s="841">
        <f>G55+'23'!H55</f>
        <v>86682</v>
      </c>
      <c r="I55" s="839"/>
      <c r="J55" s="843">
        <f>H55/DAY(B2)</f>
        <v>3611.75</v>
      </c>
      <c r="K55" s="858"/>
      <c r="L55" s="818"/>
      <c r="O55" s="845"/>
    </row>
    <row r="56" spans="1:15">
      <c r="A56" s="836" t="s">
        <v>180</v>
      </c>
      <c r="B56" s="914"/>
      <c r="C56" s="914"/>
      <c r="D56" s="838" t="s">
        <v>181</v>
      </c>
      <c r="E56" s="839">
        <f>'23'!F56</f>
        <v>649273.27</v>
      </c>
      <c r="F56" s="911">
        <v>649273</v>
      </c>
      <c r="G56" s="840">
        <f t="shared" si="5"/>
        <v>-0.27000000001862645</v>
      </c>
      <c r="H56" s="841">
        <f>G56+'23'!H56</f>
        <v>231</v>
      </c>
      <c r="I56" s="839"/>
      <c r="J56" s="843">
        <f>H56/DAY(B2)</f>
        <v>9.625</v>
      </c>
      <c r="K56" s="835"/>
      <c r="L56" s="818"/>
      <c r="O56" s="845"/>
    </row>
    <row r="57" spans="1:15">
      <c r="A57" s="836" t="s">
        <v>170</v>
      </c>
      <c r="B57" s="914"/>
      <c r="C57" s="914"/>
      <c r="D57" s="838" t="s">
        <v>130</v>
      </c>
      <c r="E57" s="839">
        <f>'23'!F57</f>
        <v>7711</v>
      </c>
      <c r="F57" s="911">
        <v>7711</v>
      </c>
      <c r="G57" s="840">
        <f t="shared" si="5"/>
        <v>0</v>
      </c>
      <c r="H57" s="841">
        <f>G57+'23'!H57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182</v>
      </c>
      <c r="B58" s="914"/>
      <c r="C58" s="914"/>
      <c r="D58" s="838" t="s">
        <v>130</v>
      </c>
      <c r="E58" s="839">
        <f>'23'!F58</f>
        <v>58048.11</v>
      </c>
      <c r="F58" s="911">
        <v>58256</v>
      </c>
      <c r="G58" s="840">
        <f t="shared" si="5"/>
        <v>207.88999999999942</v>
      </c>
      <c r="H58" s="841">
        <f>G58+'23'!H58</f>
        <v>4076</v>
      </c>
      <c r="I58" s="839"/>
      <c r="J58" s="843">
        <f>H58/DAY(B2)</f>
        <v>169.83333333333334</v>
      </c>
      <c r="K58" s="858"/>
      <c r="L58" s="818"/>
      <c r="O58" s="845"/>
    </row>
    <row r="59" spans="1:15">
      <c r="A59" s="860" t="s">
        <v>174</v>
      </c>
      <c r="B59" s="861"/>
      <c r="C59" s="861"/>
      <c r="D59" s="825"/>
      <c r="E59" s="825"/>
      <c r="F59" s="825"/>
      <c r="G59" s="862">
        <f>G49+G50+G51+G52+G53+G54+G55+G56+G57+G58</f>
        <v>9728.0400000000373</v>
      </c>
      <c r="H59" s="841">
        <f>G59+'23'!H59</f>
        <v>160304.66999999998</v>
      </c>
      <c r="I59" s="839">
        <f>G7-G60</f>
        <v>41.730000000028667</v>
      </c>
      <c r="J59" s="843">
        <f>H59/DAY(B2)</f>
        <v>6679.361249999999</v>
      </c>
      <c r="K59" s="858"/>
      <c r="L59" s="818"/>
      <c r="O59" s="845"/>
    </row>
    <row r="60" spans="1:15">
      <c r="A60" s="836"/>
      <c r="B60" s="837"/>
      <c r="C60" s="837"/>
      <c r="D60" s="825" t="s">
        <v>183</v>
      </c>
      <c r="E60" s="825"/>
      <c r="F60" s="825"/>
      <c r="G60" s="862">
        <f>G47+G59</f>
        <v>22533.939999999955</v>
      </c>
      <c r="H60" s="841">
        <f>G60+'23'!H60</f>
        <v>529813.66</v>
      </c>
      <c r="I60" s="839">
        <f>G13-G60</f>
        <v>-675.43999999995503</v>
      </c>
      <c r="J60" s="843">
        <f>H60/DAY(B2)</f>
        <v>22075.569166666668</v>
      </c>
      <c r="K60" s="858"/>
      <c r="L60" s="818"/>
      <c r="O60" s="845"/>
    </row>
    <row r="61" spans="1:15">
      <c r="A61" s="915" t="s">
        <v>184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185</v>
      </c>
      <c r="E62" s="839">
        <f>'23'!F62</f>
        <v>20419</v>
      </c>
      <c r="F62" s="921">
        <v>20419</v>
      </c>
      <c r="G62" s="840">
        <f t="shared" ref="G62:G69" si="6">F62-E62</f>
        <v>0</v>
      </c>
      <c r="H62" s="841">
        <f>G62+'23'!H62</f>
        <v>1.9999999967694748E-3</v>
      </c>
      <c r="I62" s="922"/>
      <c r="J62" s="843">
        <f>H62/DAY(B2)</f>
        <v>8.3333333198728113E-5</v>
      </c>
      <c r="K62" s="858"/>
      <c r="L62" s="818"/>
      <c r="O62" s="845"/>
    </row>
    <row r="63" spans="1:15">
      <c r="A63" s="919" t="s">
        <v>186</v>
      </c>
      <c r="B63" s="920"/>
      <c r="C63" s="920"/>
      <c r="D63" s="825" t="s">
        <v>185</v>
      </c>
      <c r="E63" s="839">
        <f>'23'!F63</f>
        <v>0</v>
      </c>
      <c r="F63" s="921">
        <v>0</v>
      </c>
      <c r="G63" s="840">
        <f t="shared" si="6"/>
        <v>0</v>
      </c>
      <c r="H63" s="841">
        <f>G63+'23'!H63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9" t="s">
        <v>98</v>
      </c>
      <c r="B64" s="1660"/>
      <c r="C64" s="1661"/>
      <c r="D64" s="838" t="s">
        <v>185</v>
      </c>
      <c r="E64" s="839">
        <f>'23'!F64</f>
        <v>178897.63</v>
      </c>
      <c r="F64" s="868">
        <v>179237</v>
      </c>
      <c r="G64" s="840">
        <f t="shared" si="6"/>
        <v>339.36999999999534</v>
      </c>
      <c r="H64" s="841">
        <f>G64+'23'!H64</f>
        <v>9215</v>
      </c>
      <c r="I64" s="859"/>
      <c r="J64" s="843">
        <f>H64/DAY(B2)</f>
        <v>383.95833333333331</v>
      </c>
      <c r="K64" s="858"/>
      <c r="L64" s="818"/>
      <c r="O64" s="845"/>
    </row>
    <row r="65" spans="1:15">
      <c r="A65" s="1659" t="s">
        <v>99</v>
      </c>
      <c r="B65" s="1660"/>
      <c r="C65" s="1661"/>
      <c r="D65" s="838" t="s">
        <v>185</v>
      </c>
      <c r="E65" s="839">
        <f>'23'!F65</f>
        <v>179109.65</v>
      </c>
      <c r="F65" s="868">
        <v>179514</v>
      </c>
      <c r="G65" s="840">
        <f t="shared" si="6"/>
        <v>404.35000000000582</v>
      </c>
      <c r="H65" s="841">
        <f>G65+'23'!H65</f>
        <v>9212</v>
      </c>
      <c r="I65" s="877"/>
      <c r="J65" s="843">
        <f>H65/DAY(B2)</f>
        <v>383.83333333333331</v>
      </c>
      <c r="K65" s="858"/>
      <c r="L65" s="818"/>
      <c r="O65" s="845"/>
    </row>
    <row r="66" spans="1:15">
      <c r="A66" s="1659" t="s">
        <v>100</v>
      </c>
      <c r="B66" s="1660"/>
      <c r="C66" s="1661"/>
      <c r="D66" s="838" t="s">
        <v>185</v>
      </c>
      <c r="E66" s="839">
        <f>'23'!F66</f>
        <v>77414.350000000006</v>
      </c>
      <c r="F66" s="868">
        <v>77824</v>
      </c>
      <c r="G66" s="840">
        <f t="shared" si="6"/>
        <v>409.64999999999418</v>
      </c>
      <c r="H66" s="841">
        <f>G66+'23'!H66</f>
        <v>9854</v>
      </c>
      <c r="I66" s="859"/>
      <c r="J66" s="843">
        <f>H66/DAY(B2)</f>
        <v>410.58333333333331</v>
      </c>
      <c r="K66" s="858"/>
      <c r="L66" s="818"/>
      <c r="O66" s="845"/>
    </row>
    <row r="67" spans="1:15">
      <c r="A67" s="1659" t="s">
        <v>101</v>
      </c>
      <c r="B67" s="1660"/>
      <c r="C67" s="1661"/>
      <c r="D67" s="838" t="s">
        <v>185</v>
      </c>
      <c r="E67" s="839">
        <f>'23'!F67</f>
        <v>275930.27</v>
      </c>
      <c r="F67" s="868">
        <v>276482</v>
      </c>
      <c r="G67" s="840">
        <f t="shared" si="6"/>
        <v>551.72999999998137</v>
      </c>
      <c r="H67" s="841">
        <f>G67+'23'!H67</f>
        <v>11523</v>
      </c>
      <c r="I67" s="877"/>
      <c r="J67" s="843">
        <f>H67/DAY(B2)</f>
        <v>480.125</v>
      </c>
      <c r="K67" s="865"/>
      <c r="L67" s="818"/>
      <c r="O67" s="845"/>
    </row>
    <row r="68" spans="1:15">
      <c r="A68" s="1659" t="s">
        <v>102</v>
      </c>
      <c r="B68" s="1660"/>
      <c r="C68" s="1661"/>
      <c r="D68" s="838" t="s">
        <v>185</v>
      </c>
      <c r="E68" s="839">
        <f>'23'!F68</f>
        <v>85321</v>
      </c>
      <c r="F68" s="868">
        <v>85321</v>
      </c>
      <c r="G68" s="840">
        <f t="shared" si="6"/>
        <v>0</v>
      </c>
      <c r="H68" s="841">
        <f>G68+'23'!H68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9" t="s">
        <v>103</v>
      </c>
      <c r="B69" s="1660"/>
      <c r="C69" s="1661"/>
      <c r="D69" s="838" t="s">
        <v>185</v>
      </c>
      <c r="E69" s="839">
        <f>'23'!F69</f>
        <v>93836.67</v>
      </c>
      <c r="F69" s="868">
        <v>94148</v>
      </c>
      <c r="G69" s="840">
        <f t="shared" si="6"/>
        <v>311.33000000000175</v>
      </c>
      <c r="H69" s="841">
        <f>G69+'23'!H69</f>
        <v>6633</v>
      </c>
      <c r="I69" s="923"/>
      <c r="J69" s="843">
        <f>H69/DAY(B2)</f>
        <v>276.375</v>
      </c>
      <c r="K69" s="925"/>
      <c r="L69" s="818"/>
      <c r="O69" s="845"/>
    </row>
    <row r="70" spans="1:15">
      <c r="A70" s="1668" t="s">
        <v>187</v>
      </c>
      <c r="B70" s="1669"/>
      <c r="C70" s="1670"/>
      <c r="D70" s="838" t="s">
        <v>185</v>
      </c>
      <c r="E70" s="926"/>
      <c r="F70" s="927"/>
      <c r="G70" s="927"/>
      <c r="H70" s="841">
        <f>G70+'23'!H70</f>
        <v>0</v>
      </c>
      <c r="I70" s="927"/>
      <c r="J70" s="928"/>
      <c r="K70" s="925"/>
      <c r="L70" s="818"/>
      <c r="O70" s="845"/>
    </row>
    <row r="71" spans="1:15" ht="22.5">
      <c r="A71" s="1665" t="s">
        <v>188</v>
      </c>
      <c r="B71" s="1666"/>
      <c r="C71" s="1666"/>
      <c r="D71" s="1666"/>
      <c r="E71" s="1666"/>
      <c r="F71" s="1666"/>
      <c r="G71" s="1666"/>
      <c r="H71" s="1666"/>
      <c r="I71" s="1666"/>
      <c r="J71" s="1667"/>
      <c r="K71" s="924"/>
      <c r="L71" s="818"/>
      <c r="O71" s="845"/>
    </row>
    <row r="72" spans="1:15">
      <c r="A72" s="1659" t="s">
        <v>189</v>
      </c>
      <c r="B72" s="1660"/>
      <c r="C72" s="1661"/>
      <c r="D72" s="838" t="s">
        <v>185</v>
      </c>
      <c r="E72" s="839">
        <f>'23'!F72</f>
        <v>856508</v>
      </c>
      <c r="F72" s="929">
        <v>856522</v>
      </c>
      <c r="G72" s="840">
        <f t="shared" ref="G72:G91" si="7">F72-E72</f>
        <v>14</v>
      </c>
      <c r="H72" s="841">
        <f>G72+'23'!H72</f>
        <v>287</v>
      </c>
      <c r="I72" s="859"/>
      <c r="J72" s="843">
        <f>H72/DAY(B2)</f>
        <v>11.958333333333334</v>
      </c>
      <c r="K72" s="925"/>
      <c r="L72" s="818"/>
      <c r="O72" s="845"/>
    </row>
    <row r="73" spans="1:15">
      <c r="A73" s="1659" t="s">
        <v>190</v>
      </c>
      <c r="B73" s="1660"/>
      <c r="C73" s="1661"/>
      <c r="D73" s="838" t="s">
        <v>185</v>
      </c>
      <c r="E73" s="839">
        <f>'23'!F73</f>
        <v>886004</v>
      </c>
      <c r="F73" s="930">
        <v>886005</v>
      </c>
      <c r="G73" s="840">
        <f t="shared" si="7"/>
        <v>1</v>
      </c>
      <c r="H73" s="841">
        <f>G73+'23'!H73</f>
        <v>171</v>
      </c>
      <c r="I73" s="859"/>
      <c r="J73" s="843">
        <f>H73/DAY(B2)</f>
        <v>7.125</v>
      </c>
      <c r="K73" s="924"/>
      <c r="L73" s="818"/>
      <c r="O73" s="845"/>
    </row>
    <row r="74" spans="1:15">
      <c r="A74" s="1659" t="s">
        <v>191</v>
      </c>
      <c r="B74" s="1660"/>
      <c r="C74" s="1661"/>
      <c r="D74" s="838" t="s">
        <v>185</v>
      </c>
      <c r="E74" s="839">
        <f>'23'!F74</f>
        <v>88723</v>
      </c>
      <c r="F74" s="931">
        <v>88723</v>
      </c>
      <c r="G74" s="840">
        <f t="shared" si="7"/>
        <v>0</v>
      </c>
      <c r="H74" s="841">
        <f>G74+'23'!H74</f>
        <v>61</v>
      </c>
      <c r="I74" s="859"/>
      <c r="J74" s="843">
        <f>H74/DAY(B2)</f>
        <v>2.5416666666666665</v>
      </c>
      <c r="K74" s="925"/>
      <c r="L74" s="818"/>
      <c r="O74" s="845"/>
    </row>
    <row r="75" spans="1:15">
      <c r="A75" s="1662" t="s">
        <v>192</v>
      </c>
      <c r="B75" s="1663"/>
      <c r="C75" s="1664"/>
      <c r="D75" s="838" t="s">
        <v>185</v>
      </c>
      <c r="E75" s="839">
        <f>'23'!F75</f>
        <v>19643.29</v>
      </c>
      <c r="F75" s="931">
        <v>19819</v>
      </c>
      <c r="G75" s="840">
        <f t="shared" si="7"/>
        <v>175.70999999999913</v>
      </c>
      <c r="H75" s="841">
        <f>G75+'23'!H75</f>
        <v>3748</v>
      </c>
      <c r="I75" s="859"/>
      <c r="J75" s="843">
        <f>H75/DAY(B2)</f>
        <v>156.16666666666666</v>
      </c>
      <c r="K75" s="924"/>
      <c r="L75" s="818"/>
      <c r="O75" s="845"/>
    </row>
    <row r="76" spans="1:15">
      <c r="A76" s="1662" t="s">
        <v>193</v>
      </c>
      <c r="B76" s="1663"/>
      <c r="C76" s="1664"/>
      <c r="D76" s="838" t="s">
        <v>185</v>
      </c>
      <c r="E76" s="839">
        <f>'23'!F76</f>
        <v>10844.8</v>
      </c>
      <c r="F76" s="930">
        <v>10910</v>
      </c>
      <c r="G76" s="840">
        <f t="shared" si="7"/>
        <v>65.200000000000728</v>
      </c>
      <c r="H76" s="841">
        <f>G76+'23'!H76</f>
        <v>2691</v>
      </c>
      <c r="I76" s="902"/>
      <c r="J76" s="843">
        <f>H76/DAY(B2)</f>
        <v>112.125</v>
      </c>
      <c r="K76" s="924"/>
      <c r="L76" s="818"/>
      <c r="O76" s="845"/>
    </row>
    <row r="77" spans="1:15">
      <c r="A77" s="1659" t="s">
        <v>194</v>
      </c>
      <c r="B77" s="1660"/>
      <c r="C77" s="1661"/>
      <c r="D77" s="838" t="s">
        <v>185</v>
      </c>
      <c r="E77" s="839">
        <f>'23'!F77</f>
        <v>705836</v>
      </c>
      <c r="F77" s="930">
        <v>705890</v>
      </c>
      <c r="G77" s="840">
        <f t="shared" si="7"/>
        <v>54</v>
      </c>
      <c r="H77" s="841">
        <f>G77+'23'!H77</f>
        <v>1516</v>
      </c>
      <c r="I77" s="902"/>
      <c r="J77" s="843">
        <f>H77/DAY(B2)</f>
        <v>63.166666666666664</v>
      </c>
      <c r="K77" s="924"/>
      <c r="L77" s="818"/>
      <c r="O77" s="845"/>
    </row>
    <row r="78" spans="1:15">
      <c r="A78" s="932" t="s">
        <v>195</v>
      </c>
      <c r="B78" s="1133"/>
      <c r="C78" s="1133"/>
      <c r="D78" s="838" t="s">
        <v>185</v>
      </c>
      <c r="E78" s="839">
        <f>'23'!F78</f>
        <v>677704</v>
      </c>
      <c r="F78" s="931">
        <v>677877</v>
      </c>
      <c r="G78" s="840">
        <f t="shared" si="7"/>
        <v>173</v>
      </c>
      <c r="H78" s="841">
        <f>G78+'23'!H78</f>
        <v>2463</v>
      </c>
      <c r="I78" s="902"/>
      <c r="J78" s="843">
        <f>H78/DAY(B2)</f>
        <v>102.625</v>
      </c>
      <c r="K78" s="924"/>
      <c r="L78" s="818"/>
      <c r="O78" s="845"/>
    </row>
    <row r="79" spans="1:15">
      <c r="A79" s="1662" t="s">
        <v>91</v>
      </c>
      <c r="B79" s="1663"/>
      <c r="C79" s="1664"/>
      <c r="D79" s="871" t="s">
        <v>185</v>
      </c>
      <c r="E79" s="839">
        <f>'23'!F79</f>
        <v>839023</v>
      </c>
      <c r="F79" s="931">
        <v>839182</v>
      </c>
      <c r="G79" s="840">
        <f t="shared" si="7"/>
        <v>159</v>
      </c>
      <c r="H79" s="841">
        <f>G79+'23'!H79</f>
        <v>3028</v>
      </c>
      <c r="I79" s="902"/>
      <c r="J79" s="843">
        <f>H79/DAY(B2)</f>
        <v>126.16666666666667</v>
      </c>
      <c r="K79" s="924"/>
      <c r="L79" s="818"/>
      <c r="O79" s="845"/>
    </row>
    <row r="80" spans="1:15">
      <c r="A80" s="1662" t="s">
        <v>196</v>
      </c>
      <c r="B80" s="1663"/>
      <c r="C80" s="1664"/>
      <c r="D80" s="871" t="s">
        <v>185</v>
      </c>
      <c r="E80" s="839">
        <f>'23'!F80</f>
        <v>548762.52</v>
      </c>
      <c r="F80" s="929">
        <v>549161</v>
      </c>
      <c r="G80" s="840">
        <f t="shared" si="7"/>
        <v>398.47999999998137</v>
      </c>
      <c r="H80" s="841">
        <f>G80+'23'!H80</f>
        <v>6770</v>
      </c>
      <c r="I80" s="902"/>
      <c r="J80" s="843">
        <f>H80/DAY(B2)</f>
        <v>282.08333333333331</v>
      </c>
      <c r="K80" s="924"/>
      <c r="L80" s="818"/>
      <c r="O80" s="845"/>
    </row>
    <row r="81" spans="1:15">
      <c r="A81" s="1662" t="s">
        <v>197</v>
      </c>
      <c r="B81" s="1663"/>
      <c r="C81" s="1664"/>
      <c r="D81" s="871" t="s">
        <v>185</v>
      </c>
      <c r="E81" s="839">
        <f>'23'!F81</f>
        <v>647469.16</v>
      </c>
      <c r="F81" s="930">
        <v>647656</v>
      </c>
      <c r="G81" s="840">
        <f t="shared" si="7"/>
        <v>186.8399999999674</v>
      </c>
      <c r="H81" s="841">
        <f>G81+'23'!H81</f>
        <v>4671</v>
      </c>
      <c r="I81" s="902"/>
      <c r="J81" s="843">
        <f>H81/DAY(B2)</f>
        <v>194.625</v>
      </c>
      <c r="K81" s="924"/>
      <c r="L81" s="818"/>
      <c r="O81" s="845"/>
    </row>
    <row r="82" spans="1:15">
      <c r="A82" s="1662" t="s">
        <v>92</v>
      </c>
      <c r="B82" s="1663"/>
      <c r="C82" s="1664"/>
      <c r="D82" s="872" t="s">
        <v>130</v>
      </c>
      <c r="E82" s="839">
        <f>'23'!F82</f>
        <v>109168.38</v>
      </c>
      <c r="F82" s="933">
        <v>109189</v>
      </c>
      <c r="G82" s="840">
        <f t="shared" si="7"/>
        <v>20.619999999995343</v>
      </c>
      <c r="H82" s="841">
        <f>G82+'23'!H82</f>
        <v>508</v>
      </c>
      <c r="I82" s="873"/>
      <c r="J82" s="843">
        <f>H82/DAY(B2)</f>
        <v>21.166666666666668</v>
      </c>
      <c r="K82" s="924"/>
      <c r="L82" s="818"/>
      <c r="O82" s="845"/>
    </row>
    <row r="83" spans="1:15">
      <c r="A83" s="1662" t="s">
        <v>198</v>
      </c>
      <c r="B83" s="1663"/>
      <c r="C83" s="1664"/>
      <c r="D83" s="934" t="s">
        <v>130</v>
      </c>
      <c r="E83" s="839">
        <f>'23'!F83</f>
        <v>32963</v>
      </c>
      <c r="F83" s="825">
        <v>33153</v>
      </c>
      <c r="G83" s="840">
        <f>F83-E83</f>
        <v>190</v>
      </c>
      <c r="H83" s="841">
        <f>G83+'23'!H83</f>
        <v>5602</v>
      </c>
      <c r="I83" s="862"/>
      <c r="J83" s="843">
        <f>H83/DAY(B2)</f>
        <v>233.41666666666666</v>
      </c>
      <c r="K83" s="865"/>
      <c r="L83" s="818"/>
      <c r="O83" s="845"/>
    </row>
    <row r="84" spans="1:15">
      <c r="A84" s="935" t="s">
        <v>199</v>
      </c>
      <c r="B84" s="936"/>
      <c r="C84" s="936"/>
      <c r="D84" s="856" t="s">
        <v>130</v>
      </c>
      <c r="E84" s="839">
        <f>'23'!F84</f>
        <v>540969</v>
      </c>
      <c r="F84" s="937">
        <v>541751</v>
      </c>
      <c r="G84" s="840">
        <f t="shared" si="7"/>
        <v>782</v>
      </c>
      <c r="H84" s="841">
        <f>G84+'23'!H84</f>
        <v>18671</v>
      </c>
      <c r="I84" s="862"/>
      <c r="J84" s="843">
        <f>H84/DAY(B2)</f>
        <v>777.95833333333337</v>
      </c>
      <c r="K84" s="938"/>
      <c r="L84" s="818"/>
      <c r="O84" s="845"/>
    </row>
    <row r="85" spans="1:15" s="942" customFormat="1">
      <c r="A85" s="939" t="s">
        <v>200</v>
      </c>
      <c r="B85" s="940"/>
      <c r="C85" s="940"/>
      <c r="D85" s="877"/>
      <c r="E85" s="839">
        <f>'23'!F85</f>
        <v>0</v>
      </c>
      <c r="F85" s="838"/>
      <c r="G85" s="841">
        <f xml:space="preserve"> SUM(G72:G84)</f>
        <v>2219.849999999944</v>
      </c>
      <c r="H85" s="841">
        <f>G85+'23'!H85</f>
        <v>53061</v>
      </c>
      <c r="I85" s="862"/>
      <c r="J85" s="843">
        <f>H85/DAY(B2)</f>
        <v>2210.875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181</v>
      </c>
      <c r="E86" s="839">
        <f>'23'!F86</f>
        <v>462335</v>
      </c>
      <c r="F86" s="946">
        <v>462344</v>
      </c>
      <c r="G86" s="947">
        <f t="shared" si="7"/>
        <v>9</v>
      </c>
      <c r="H86" s="947">
        <f t="shared" ref="H86:H88" si="8">G86</f>
        <v>9</v>
      </c>
      <c r="I86" s="948"/>
      <c r="J86" s="949">
        <f>H86/DAY(B2)</f>
        <v>0.375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181</v>
      </c>
      <c r="E87" s="839">
        <f>'23'!F87</f>
        <v>82718.7</v>
      </c>
      <c r="F87" s="946">
        <v>82741</v>
      </c>
      <c r="G87" s="947">
        <f t="shared" si="7"/>
        <v>22.30000000000291</v>
      </c>
      <c r="H87" s="947">
        <f t="shared" si="8"/>
        <v>22.30000000000291</v>
      </c>
      <c r="I87" s="948"/>
      <c r="J87" s="949">
        <f>H87/DAY(B2)</f>
        <v>0.92916666666678793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181</v>
      </c>
      <c r="E88" s="839">
        <f>'23'!F88</f>
        <v>157979.79999999999</v>
      </c>
      <c r="F88" s="946">
        <v>158055</v>
      </c>
      <c r="G88" s="947">
        <f t="shared" si="7"/>
        <v>75.200000000011642</v>
      </c>
      <c r="H88" s="947">
        <f t="shared" si="8"/>
        <v>75.200000000011642</v>
      </c>
      <c r="I88" s="948"/>
      <c r="J88" s="949">
        <f>H88/DAY(B2)</f>
        <v>3.1333333333338182</v>
      </c>
      <c r="K88" s="950"/>
      <c r="L88" s="951"/>
      <c r="N88" s="1010"/>
      <c r="O88" s="845"/>
    </row>
    <row r="89" spans="1:15" s="952" customFormat="1">
      <c r="A89" s="943" t="s">
        <v>202</v>
      </c>
      <c r="B89" s="944"/>
      <c r="C89" s="944"/>
      <c r="D89" s="945" t="s">
        <v>181</v>
      </c>
      <c r="E89" s="839">
        <f>'23'!F89</f>
        <v>66744.800000000003</v>
      </c>
      <c r="F89" s="1278">
        <v>66767</v>
      </c>
      <c r="G89" s="947">
        <f t="shared" si="7"/>
        <v>22.19999999999709</v>
      </c>
      <c r="H89" s="947">
        <f>G89</f>
        <v>22.19999999999709</v>
      </c>
      <c r="I89" s="948"/>
      <c r="J89" s="949">
        <f>H89/DAY(B2)</f>
        <v>0.9249999999998787</v>
      </c>
      <c r="K89" s="950"/>
      <c r="L89" s="951"/>
      <c r="N89" s="1011"/>
      <c r="O89" s="845"/>
    </row>
    <row r="90" spans="1:15" s="952" customFormat="1">
      <c r="A90" s="943" t="s">
        <v>202</v>
      </c>
      <c r="B90" s="944"/>
      <c r="C90" s="944"/>
      <c r="D90" s="945" t="s">
        <v>181</v>
      </c>
      <c r="E90" s="839">
        <f>'23'!F90</f>
        <v>3425.7</v>
      </c>
      <c r="F90" s="1278">
        <v>3430</v>
      </c>
      <c r="G90" s="947">
        <f t="shared" si="7"/>
        <v>4.3000000000001819</v>
      </c>
      <c r="H90" s="947">
        <f>G90</f>
        <v>4.3000000000001819</v>
      </c>
      <c r="I90" s="948"/>
      <c r="J90" s="949">
        <f>H90/DAY(B2)</f>
        <v>0.17916666666667425</v>
      </c>
      <c r="K90" s="950"/>
      <c r="L90" s="951"/>
      <c r="N90" s="1011"/>
      <c r="O90" s="845"/>
    </row>
    <row r="91" spans="1:15" s="735" customFormat="1" ht="29.25">
      <c r="A91" s="730" t="s">
        <v>346</v>
      </c>
      <c r="B91" s="731"/>
      <c r="C91" s="731"/>
      <c r="D91" s="732" t="s">
        <v>130</v>
      </c>
      <c r="E91" s="839">
        <f>'23'!F91</f>
        <v>28443.35</v>
      </c>
      <c r="F91" s="946">
        <v>28447</v>
      </c>
      <c r="G91" s="705">
        <f t="shared" si="7"/>
        <v>3.6500000000014552</v>
      </c>
      <c r="H91" s="705">
        <f>G91</f>
        <v>3.6500000000014552</v>
      </c>
      <c r="I91" s="652"/>
      <c r="J91" s="707"/>
      <c r="K91" s="733"/>
      <c r="L91" s="734"/>
      <c r="N91" s="777"/>
      <c r="O91" s="382"/>
    </row>
    <row r="92" spans="1:15" s="942" customFormat="1">
      <c r="A92" s="953" t="s">
        <v>203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3" t="s">
        <v>204</v>
      </c>
      <c r="B93" s="1654"/>
      <c r="C93" s="1655"/>
      <c r="D93" s="838" t="s">
        <v>142</v>
      </c>
      <c r="E93" s="839">
        <f>'23'!F93</f>
        <v>249604</v>
      </c>
      <c r="F93" s="868">
        <v>249728</v>
      </c>
      <c r="G93" s="840">
        <f t="shared" ref="G93:G94" si="9">F93-E93</f>
        <v>124</v>
      </c>
      <c r="H93" s="841">
        <f>G93+'23'!H93</f>
        <v>2376</v>
      </c>
      <c r="I93" s="859"/>
      <c r="J93" s="843">
        <f>H93/DAY(B2)</f>
        <v>99</v>
      </c>
      <c r="K93" s="865"/>
      <c r="L93" s="818"/>
      <c r="O93" s="845"/>
    </row>
    <row r="94" spans="1:15">
      <c r="A94" s="1653" t="s">
        <v>205</v>
      </c>
      <c r="B94" s="1654"/>
      <c r="C94" s="1655"/>
      <c r="D94" s="838" t="s">
        <v>142</v>
      </c>
      <c r="E94" s="839">
        <f>'23'!F94</f>
        <v>192192</v>
      </c>
      <c r="F94" s="868">
        <v>192302</v>
      </c>
      <c r="G94" s="840">
        <f t="shared" si="9"/>
        <v>110</v>
      </c>
      <c r="H94" s="841">
        <f>G94+'23'!H94</f>
        <v>2848</v>
      </c>
      <c r="I94" s="859"/>
      <c r="J94" s="843">
        <f>H94/DAY(B2)</f>
        <v>118.66666666666667</v>
      </c>
      <c r="K94" s="938"/>
      <c r="L94" s="818"/>
      <c r="O94" s="845"/>
    </row>
    <row r="95" spans="1:15">
      <c r="A95" s="1645" t="s">
        <v>206</v>
      </c>
      <c r="B95" s="1646"/>
      <c r="C95" s="1647"/>
      <c r="D95" s="838"/>
      <c r="E95" s="839">
        <f>'23'!F95</f>
        <v>0</v>
      </c>
      <c r="F95" s="868"/>
      <c r="G95" s="840">
        <f>G93+G94</f>
        <v>234</v>
      </c>
      <c r="H95" s="841">
        <f>G95+'23'!H95</f>
        <v>5038</v>
      </c>
      <c r="I95" s="859"/>
      <c r="J95" s="843">
        <f>H95/DAY(B2)</f>
        <v>209.91666666666666</v>
      </c>
      <c r="K95" s="938"/>
      <c r="L95" s="818"/>
      <c r="O95" s="845"/>
    </row>
    <row r="96" spans="1:15">
      <c r="A96" s="1653" t="s">
        <v>207</v>
      </c>
      <c r="B96" s="1654"/>
      <c r="C96" s="1655"/>
      <c r="D96" s="838" t="s">
        <v>142</v>
      </c>
      <c r="E96" s="839">
        <f>'23'!F96</f>
        <v>417980</v>
      </c>
      <c r="F96" s="868">
        <v>418044</v>
      </c>
      <c r="G96" s="840">
        <f t="shared" ref="G96:G101" si="10">F96-E96</f>
        <v>64</v>
      </c>
      <c r="H96" s="841">
        <f>G96+'23'!H96</f>
        <v>2045</v>
      </c>
      <c r="I96" s="859"/>
      <c r="J96" s="843">
        <f>H96/DAY(B2)</f>
        <v>85.208333333333329</v>
      </c>
      <c r="K96" s="938"/>
      <c r="L96" s="818"/>
      <c r="O96" s="845"/>
    </row>
    <row r="97" spans="1:15">
      <c r="A97" s="866" t="s">
        <v>208</v>
      </c>
      <c r="B97" s="867"/>
      <c r="C97" s="867"/>
      <c r="D97" s="838" t="s">
        <v>142</v>
      </c>
      <c r="E97" s="839">
        <f>'23'!F97</f>
        <v>103664</v>
      </c>
      <c r="F97" s="868">
        <v>103687</v>
      </c>
      <c r="G97" s="840">
        <f t="shared" si="10"/>
        <v>23</v>
      </c>
      <c r="H97" s="841">
        <f>G97+'23'!H97</f>
        <v>524</v>
      </c>
      <c r="I97" s="859"/>
      <c r="J97" s="843">
        <f>H97/DAY(B2)</f>
        <v>21.833333333333332</v>
      </c>
      <c r="K97" s="835"/>
      <c r="L97" s="818"/>
      <c r="O97" s="845"/>
    </row>
    <row r="98" spans="1:15">
      <c r="A98" s="866" t="s">
        <v>209</v>
      </c>
      <c r="B98" s="867"/>
      <c r="C98" s="867"/>
      <c r="D98" s="838" t="s">
        <v>142</v>
      </c>
      <c r="E98" s="839">
        <f>'23'!F98</f>
        <v>99223</v>
      </c>
      <c r="F98" s="868">
        <v>99257</v>
      </c>
      <c r="G98" s="840">
        <f t="shared" si="10"/>
        <v>34</v>
      </c>
      <c r="H98" s="841">
        <f>G98+'23'!H98</f>
        <v>600</v>
      </c>
      <c r="I98" s="859"/>
      <c r="J98" s="843">
        <f>H98/DAY(B2)</f>
        <v>25</v>
      </c>
      <c r="K98" s="954"/>
      <c r="L98" s="818"/>
      <c r="O98" s="845"/>
    </row>
    <row r="99" spans="1:15">
      <c r="A99" s="866" t="s">
        <v>210</v>
      </c>
      <c r="B99" s="867"/>
      <c r="C99" s="867"/>
      <c r="D99" s="838" t="s">
        <v>142</v>
      </c>
      <c r="E99" s="839">
        <f>'23'!F99</f>
        <v>151061</v>
      </c>
      <c r="F99" s="868">
        <v>151067</v>
      </c>
      <c r="G99" s="840">
        <f t="shared" si="10"/>
        <v>6</v>
      </c>
      <c r="H99" s="841">
        <f>G99+'23'!H99</f>
        <v>662</v>
      </c>
      <c r="I99" s="859"/>
      <c r="J99" s="843">
        <f>H99/DAY(B2)</f>
        <v>27.583333333333332</v>
      </c>
      <c r="K99" s="938"/>
      <c r="L99" s="818"/>
      <c r="O99" s="845"/>
    </row>
    <row r="100" spans="1:15">
      <c r="A100" s="866" t="s">
        <v>211</v>
      </c>
      <c r="B100" s="867"/>
      <c r="C100" s="867"/>
      <c r="D100" s="838" t="s">
        <v>142</v>
      </c>
      <c r="E100" s="839">
        <f>'23'!F100</f>
        <v>8062</v>
      </c>
      <c r="F100" s="868">
        <v>8072</v>
      </c>
      <c r="G100" s="840">
        <f t="shared" si="10"/>
        <v>10</v>
      </c>
      <c r="H100" s="841">
        <f>G100+'23'!H100</f>
        <v>275</v>
      </c>
      <c r="I100" s="859"/>
      <c r="J100" s="843">
        <f>H100/DAY(B2)</f>
        <v>11.458333333333334</v>
      </c>
      <c r="K100" s="938"/>
      <c r="L100" s="818"/>
      <c r="O100" s="845"/>
    </row>
    <row r="101" spans="1:15">
      <c r="A101" s="866" t="s">
        <v>212</v>
      </c>
      <c r="B101" s="867"/>
      <c r="C101" s="867"/>
      <c r="D101" s="838" t="s">
        <v>142</v>
      </c>
      <c r="E101" s="839">
        <f>'23'!F101</f>
        <v>5905</v>
      </c>
      <c r="F101" s="868">
        <v>5919</v>
      </c>
      <c r="G101" s="840">
        <f t="shared" si="10"/>
        <v>14</v>
      </c>
      <c r="H101" s="841">
        <f>G101+'23'!H101</f>
        <v>245</v>
      </c>
      <c r="I101" s="859"/>
      <c r="J101" s="843">
        <f>H101/DAY(B2)</f>
        <v>10.208333333333334</v>
      </c>
      <c r="K101" s="938"/>
      <c r="L101" s="818"/>
      <c r="O101" s="845"/>
    </row>
    <row r="102" spans="1:15">
      <c r="A102" s="1645" t="s">
        <v>214</v>
      </c>
      <c r="B102" s="1646"/>
      <c r="C102" s="1647"/>
      <c r="D102" s="871"/>
      <c r="E102" s="871"/>
      <c r="F102" s="871"/>
      <c r="G102" s="955">
        <f>SUM(G96:G101)</f>
        <v>151</v>
      </c>
      <c r="H102" s="841">
        <f>G102+'23'!H102</f>
        <v>4351</v>
      </c>
      <c r="I102" s="956"/>
      <c r="J102" s="843">
        <f>H102/DAY(B2)</f>
        <v>181.29166666666666</v>
      </c>
      <c r="K102" s="938"/>
      <c r="L102" s="818"/>
      <c r="O102" s="845"/>
    </row>
    <row r="103" spans="1:15" s="889" customFormat="1">
      <c r="A103" s="957" t="s">
        <v>215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42" t="s">
        <v>216</v>
      </c>
      <c r="B104" s="1643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6" t="s">
        <v>217</v>
      </c>
      <c r="B105" s="1637"/>
      <c r="C105" s="971"/>
      <c r="D105" s="967" t="s">
        <v>142</v>
      </c>
      <c r="E105" s="968">
        <f>'23'!F105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2.8908333333332998</v>
      </c>
      <c r="N105" s="1007"/>
      <c r="O105" s="845"/>
    </row>
    <row r="106" spans="1:15" s="889" customFormat="1">
      <c r="A106" s="1636" t="s">
        <v>76</v>
      </c>
      <c r="B106" s="1637"/>
      <c r="C106" s="971"/>
      <c r="D106" s="967" t="s">
        <v>142</v>
      </c>
      <c r="E106" s="968">
        <f>'23'!F106</f>
        <v>36383</v>
      </c>
      <c r="F106" s="972">
        <v>36393</v>
      </c>
      <c r="G106" s="968">
        <f t="shared" ref="G106:G107" si="11">F106-E106</f>
        <v>10</v>
      </c>
      <c r="H106" s="969">
        <f>SUM(G106+'1'!G77)</f>
        <v>63</v>
      </c>
      <c r="I106" s="968"/>
      <c r="J106" s="970">
        <f>H106/DAY(B2)</f>
        <v>2.625</v>
      </c>
      <c r="N106" s="1007"/>
      <c r="O106" s="845"/>
    </row>
    <row r="107" spans="1:15" s="889" customFormat="1">
      <c r="A107" s="1636" t="s">
        <v>77</v>
      </c>
      <c r="B107" s="1644"/>
      <c r="C107" s="1637"/>
      <c r="D107" s="967" t="s">
        <v>142</v>
      </c>
      <c r="E107" s="968">
        <f>'23'!F107</f>
        <v>19924</v>
      </c>
      <c r="F107" s="968">
        <v>19929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4.958333333333333</v>
      </c>
      <c r="N107" s="1007"/>
      <c r="O107" s="845"/>
    </row>
    <row r="108" spans="1:15" s="889" customFormat="1">
      <c r="A108" s="1638" t="s">
        <v>200</v>
      </c>
      <c r="B108" s="1639"/>
      <c r="C108" s="971"/>
      <c r="D108" s="967"/>
      <c r="E108" s="968"/>
      <c r="F108" s="968"/>
      <c r="G108" s="968">
        <f>SUM(G105:G107)</f>
        <v>15</v>
      </c>
      <c r="H108" s="969">
        <f>SUM(G108+'1'!G79)</f>
        <v>168</v>
      </c>
      <c r="I108" s="968"/>
      <c r="J108" s="970">
        <f>H108/DAY(B2)</f>
        <v>7</v>
      </c>
      <c r="N108" s="1007"/>
      <c r="O108" s="845"/>
    </row>
    <row r="109" spans="1:15" s="889" customFormat="1">
      <c r="A109" s="1634" t="s">
        <v>78</v>
      </c>
      <c r="B109" s="1635"/>
      <c r="C109" s="971"/>
      <c r="D109" s="967" t="s">
        <v>142</v>
      </c>
      <c r="E109" s="968">
        <f>'23'!F109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6" t="s">
        <v>218</v>
      </c>
      <c r="B110" s="1637"/>
      <c r="C110" s="971"/>
      <c r="D110" s="967" t="s">
        <v>142</v>
      </c>
      <c r="E110" s="968">
        <f>'23'!F110</f>
        <v>66507</v>
      </c>
      <c r="F110" s="968">
        <v>66579</v>
      </c>
      <c r="G110" s="968">
        <f>F110-E110</f>
        <v>72</v>
      </c>
      <c r="H110" s="969">
        <f>SUM(G110+'1'!G81)</f>
        <v>203.64000000001397</v>
      </c>
      <c r="I110" s="968"/>
      <c r="J110" s="970">
        <f>H110/DAY(B2)</f>
        <v>8.4850000000005821</v>
      </c>
      <c r="N110" s="1007"/>
      <c r="O110" s="845"/>
    </row>
    <row r="111" spans="1:15" s="889" customFormat="1">
      <c r="A111" s="1636" t="s">
        <v>219</v>
      </c>
      <c r="B111" s="1637"/>
      <c r="C111" s="971"/>
      <c r="D111" s="967" t="s">
        <v>142</v>
      </c>
      <c r="E111" s="968">
        <f>'23'!F111</f>
        <v>33759</v>
      </c>
      <c r="F111" s="968">
        <v>33790</v>
      </c>
      <c r="G111" s="968">
        <f t="shared" ref="G111:G112" si="12">F111-E111</f>
        <v>31</v>
      </c>
      <c r="H111" s="969">
        <f>SUM(G111+'1'!G82)</f>
        <v>55.899999999994179</v>
      </c>
      <c r="I111" s="968"/>
      <c r="J111" s="970">
        <f>H111/DAY(B2)</f>
        <v>2.3291666666664241</v>
      </c>
      <c r="N111" s="1007"/>
      <c r="O111" s="845"/>
    </row>
    <row r="112" spans="1:15" s="889" customFormat="1">
      <c r="A112" s="1636" t="s">
        <v>220</v>
      </c>
      <c r="B112" s="1637"/>
      <c r="C112" s="971"/>
      <c r="D112" s="967" t="s">
        <v>142</v>
      </c>
      <c r="E112" s="968">
        <f>'23'!F112</f>
        <v>4622</v>
      </c>
      <c r="F112" s="968">
        <v>4622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14.625</v>
      </c>
      <c r="N112" s="1007"/>
      <c r="O112" s="845"/>
    </row>
    <row r="113" spans="1:15" s="889" customFormat="1">
      <c r="A113" s="1640" t="s">
        <v>109</v>
      </c>
      <c r="B113" s="1641"/>
      <c r="C113" s="971"/>
      <c r="D113" s="967"/>
      <c r="E113" s="968">
        <f>'23'!F113</f>
        <v>0</v>
      </c>
      <c r="F113" s="968"/>
      <c r="G113" s="968">
        <f>SUM(G110:G112)</f>
        <v>103</v>
      </c>
      <c r="H113" s="969">
        <f>SUM(G113+'1'!G84)</f>
        <v>919</v>
      </c>
      <c r="I113" s="968"/>
      <c r="J113" s="970">
        <f>H113/DAY(B2)</f>
        <v>38.291666666666664</v>
      </c>
      <c r="N113" s="1007"/>
      <c r="O113" s="845"/>
    </row>
    <row r="114" spans="1:15" s="889" customFormat="1">
      <c r="A114" s="1634" t="s">
        <v>221</v>
      </c>
      <c r="B114" s="1635"/>
      <c r="C114" s="971"/>
      <c r="D114" s="967"/>
      <c r="E114" s="968"/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6" t="s">
        <v>222</v>
      </c>
      <c r="B115" s="1637"/>
      <c r="C115" s="973"/>
      <c r="D115" s="967" t="s">
        <v>142</v>
      </c>
      <c r="E115" s="968">
        <f>'23'!F115</f>
        <v>12341</v>
      </c>
      <c r="F115" s="972">
        <v>12353</v>
      </c>
      <c r="G115" s="972">
        <f>F115-E115</f>
        <v>12</v>
      </c>
      <c r="H115" s="969">
        <f>SUM(G115+'1'!G92)</f>
        <v>12</v>
      </c>
      <c r="I115" s="968"/>
      <c r="J115" s="970">
        <f>H115/DAY(B2)</f>
        <v>0.5</v>
      </c>
      <c r="N115" s="1007"/>
      <c r="O115" s="845"/>
    </row>
    <row r="116" spans="1:15" s="889" customFormat="1">
      <c r="A116" s="1636" t="s">
        <v>223</v>
      </c>
      <c r="B116" s="1637"/>
      <c r="C116" s="973"/>
      <c r="D116" s="967" t="s">
        <v>142</v>
      </c>
      <c r="E116" s="968">
        <f>'23'!F116</f>
        <v>8751</v>
      </c>
      <c r="F116" s="972">
        <v>8757</v>
      </c>
      <c r="G116" s="972">
        <f t="shared" ref="G116:G117" si="13">F116-E116</f>
        <v>6</v>
      </c>
      <c r="H116" s="969">
        <f>SUM(G116+'1'!G93)</f>
        <v>95</v>
      </c>
      <c r="I116" s="968"/>
      <c r="J116" s="970">
        <f>H116/DAY(B2)</f>
        <v>3.9583333333333335</v>
      </c>
      <c r="N116" s="1007"/>
      <c r="O116" s="845"/>
    </row>
    <row r="117" spans="1:15" s="889" customFormat="1">
      <c r="A117" s="1636" t="s">
        <v>224</v>
      </c>
      <c r="B117" s="1637"/>
      <c r="C117" s="973"/>
      <c r="D117" s="967" t="s">
        <v>142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4.041666666666667</v>
      </c>
      <c r="N117" s="1007"/>
      <c r="O117" s="845"/>
    </row>
    <row r="118" spans="1:15" s="975" customFormat="1">
      <c r="A118" s="1638" t="s">
        <v>200</v>
      </c>
      <c r="B118" s="1639"/>
      <c r="C118" s="973"/>
      <c r="D118" s="974"/>
      <c r="E118" s="972"/>
      <c r="F118" s="972"/>
      <c r="G118" s="972">
        <f>SUM(G115:G117)</f>
        <v>18</v>
      </c>
      <c r="H118" s="969">
        <f>SUM(G118+'1'!G96)</f>
        <v>104</v>
      </c>
      <c r="I118" s="972"/>
      <c r="J118" s="970">
        <f>H118/DAY(B2)</f>
        <v>4.333333333333333</v>
      </c>
      <c r="N118" s="1012"/>
      <c r="O118" s="845"/>
    </row>
    <row r="119" spans="1:15" s="768" customFormat="1">
      <c r="A119" s="1631" t="s">
        <v>225</v>
      </c>
      <c r="B119" s="1632"/>
      <c r="C119" s="976"/>
      <c r="D119" s="977" t="s">
        <v>142</v>
      </c>
      <c r="E119" s="978"/>
      <c r="F119" s="979"/>
      <c r="G119" s="979">
        <f>SUM(G19+G93)</f>
        <v>188</v>
      </c>
      <c r="H119" s="969">
        <f>SUM(G119+'1'!G97)</f>
        <v>205</v>
      </c>
      <c r="I119" s="978"/>
      <c r="J119" s="980">
        <f>H119/DAY(B2)</f>
        <v>8.5416666666666661</v>
      </c>
      <c r="N119" s="1013"/>
      <c r="O119" s="845"/>
    </row>
    <row r="120" spans="1:15" s="768" customFormat="1">
      <c r="A120" s="1631" t="s">
        <v>226</v>
      </c>
      <c r="B120" s="1632"/>
      <c r="C120" s="976"/>
      <c r="D120" s="977" t="s">
        <v>142</v>
      </c>
      <c r="E120" s="978"/>
      <c r="F120" s="979"/>
      <c r="G120" s="979">
        <f>SUM(G96,G97,G98,G100,G101)</f>
        <v>145</v>
      </c>
      <c r="H120" s="969">
        <f>SUM(G120+'1'!G99)</f>
        <v>195</v>
      </c>
      <c r="I120" s="978"/>
      <c r="J120" s="980">
        <f>H120/DAY(B2)</f>
        <v>8.125</v>
      </c>
      <c r="N120" s="1013"/>
      <c r="O120" s="845"/>
    </row>
    <row r="121" spans="1:15" s="768" customFormat="1">
      <c r="A121" s="1631" t="s">
        <v>227</v>
      </c>
      <c r="B121" s="1632"/>
      <c r="C121" s="976"/>
      <c r="D121" s="977" t="s">
        <v>142</v>
      </c>
      <c r="E121" s="978"/>
      <c r="F121" s="972"/>
      <c r="G121" s="972">
        <f>SUM(G113)</f>
        <v>103</v>
      </c>
      <c r="H121" s="969">
        <f>SUM(G121+'1'!G101)</f>
        <v>108</v>
      </c>
      <c r="I121" s="978"/>
      <c r="J121" s="980">
        <f>H121/DAY(B2)</f>
        <v>4.5</v>
      </c>
      <c r="N121" s="1013"/>
      <c r="O121" s="845"/>
    </row>
    <row r="122" spans="1:15" s="889" customFormat="1">
      <c r="A122" s="1633"/>
      <c r="B122" s="1630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8" t="s">
        <v>228</v>
      </c>
      <c r="B123" s="1649"/>
      <c r="C123" s="1650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229</v>
      </c>
      <c r="B124" s="867"/>
      <c r="C124" s="867"/>
      <c r="D124" s="838" t="s">
        <v>139</v>
      </c>
      <c r="E124" s="839">
        <f>'23'!F124</f>
        <v>845900.72</v>
      </c>
      <c r="F124" s="856">
        <v>846155</v>
      </c>
      <c r="G124" s="840">
        <f t="shared" ref="G124:G128" si="14">F124-E124</f>
        <v>254.28000000002794</v>
      </c>
      <c r="H124" s="841">
        <f>G124+'23'!H124</f>
        <v>6485</v>
      </c>
      <c r="I124" s="956"/>
      <c r="J124" s="843">
        <f>H124/DAY(B2)</f>
        <v>270.20833333333331</v>
      </c>
      <c r="K124" s="938"/>
      <c r="L124" s="818"/>
      <c r="O124" s="845"/>
    </row>
    <row r="125" spans="1:15">
      <c r="A125" s="866" t="s">
        <v>230</v>
      </c>
      <c r="B125" s="867"/>
      <c r="C125" s="867"/>
      <c r="D125" s="838" t="s">
        <v>139</v>
      </c>
      <c r="E125" s="839">
        <f>'23'!F125</f>
        <v>73583.399999999994</v>
      </c>
      <c r="F125" s="984">
        <v>73583</v>
      </c>
      <c r="G125" s="840">
        <f t="shared" si="14"/>
        <v>-0.39999999999417923</v>
      </c>
      <c r="H125" s="841">
        <f>G125+'23'!H125</f>
        <v>-0.39999999999417923</v>
      </c>
      <c r="I125" s="956"/>
      <c r="J125" s="843">
        <f>H125/DAY(B2)</f>
        <v>-1.6666666666424135E-2</v>
      </c>
      <c r="K125" s="938"/>
      <c r="L125" s="818"/>
      <c r="O125" s="845"/>
    </row>
    <row r="126" spans="1:15">
      <c r="A126" s="1659" t="s">
        <v>231</v>
      </c>
      <c r="B126" s="1660"/>
      <c r="C126" s="1661"/>
      <c r="D126" s="838" t="s">
        <v>139</v>
      </c>
      <c r="E126" s="839">
        <f>'23'!F126</f>
        <v>150689.21</v>
      </c>
      <c r="F126" s="856">
        <v>150777</v>
      </c>
      <c r="G126" s="840">
        <f t="shared" si="14"/>
        <v>87.790000000008149</v>
      </c>
      <c r="H126" s="841">
        <f>G126+'23'!H126</f>
        <v>2180</v>
      </c>
      <c r="I126" s="956"/>
      <c r="J126" s="843">
        <f>H126/DAY(B2)</f>
        <v>90.833333333333329</v>
      </c>
      <c r="K126" s="938"/>
      <c r="L126" s="818"/>
      <c r="O126" s="845"/>
    </row>
    <row r="127" spans="1:15">
      <c r="A127" s="985" t="s">
        <v>232</v>
      </c>
      <c r="B127" s="867"/>
      <c r="C127" s="867"/>
      <c r="D127" s="838" t="s">
        <v>139</v>
      </c>
      <c r="E127" s="839">
        <f>'23'!F127</f>
        <v>32964.699999999997</v>
      </c>
      <c r="F127" s="984">
        <v>33015</v>
      </c>
      <c r="G127" s="840">
        <f t="shared" si="14"/>
        <v>50.30000000000291</v>
      </c>
      <c r="H127" s="841">
        <f>G127+'23'!H127</f>
        <v>944</v>
      </c>
      <c r="I127" s="956"/>
      <c r="J127" s="843">
        <f>H127/DAY(B2)</f>
        <v>39.333333333333336</v>
      </c>
      <c r="K127" s="938"/>
      <c r="L127" s="818"/>
      <c r="O127" s="845"/>
    </row>
    <row r="128" spans="1:15">
      <c r="A128" s="985" t="s">
        <v>233</v>
      </c>
      <c r="B128" s="867"/>
      <c r="C128" s="867"/>
      <c r="D128" s="838" t="s">
        <v>139</v>
      </c>
      <c r="E128" s="839">
        <f>'23'!F128</f>
        <v>9090.9</v>
      </c>
      <c r="F128" s="984">
        <v>9095</v>
      </c>
      <c r="G128" s="840">
        <f t="shared" si="14"/>
        <v>4.1000000000003638</v>
      </c>
      <c r="H128" s="841">
        <f>G128+'23'!H128</f>
        <v>83</v>
      </c>
      <c r="I128" s="859"/>
      <c r="J128" s="843">
        <f>H128/DAY(B2)</f>
        <v>3.4583333333333335</v>
      </c>
      <c r="K128" s="938"/>
      <c r="L128" s="818"/>
      <c r="O128" s="845"/>
    </row>
    <row r="129" spans="1:15">
      <c r="A129" s="985" t="s">
        <v>234</v>
      </c>
      <c r="B129" s="867"/>
      <c r="C129" s="867"/>
      <c r="D129" s="838"/>
      <c r="E129" s="839"/>
      <c r="F129" s="856"/>
      <c r="G129" s="840">
        <f>G15-SUM(G124:G128)</f>
        <v>470.57999999986168</v>
      </c>
      <c r="H129" s="841">
        <f>G129+'23'!H129</f>
        <v>3837.8970000001373</v>
      </c>
      <c r="I129" s="859"/>
      <c r="J129" s="843">
        <f>H129/DAY(B2)</f>
        <v>159.91237500000571</v>
      </c>
      <c r="K129" s="938"/>
      <c r="L129" s="818"/>
      <c r="O129" s="845"/>
    </row>
    <row r="130" spans="1:15">
      <c r="A130" s="986" t="s">
        <v>235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236</v>
      </c>
      <c r="B131" s="867"/>
      <c r="C131" s="867"/>
      <c r="D131" s="838" t="s">
        <v>237</v>
      </c>
      <c r="E131" s="839">
        <f>'23'!F131</f>
        <v>0</v>
      </c>
      <c r="F131" s="868">
        <v>0</v>
      </c>
      <c r="G131" s="840">
        <f t="shared" ref="G131:G141" si="15">F131-E131</f>
        <v>0</v>
      </c>
      <c r="H131" s="841">
        <f>G131+'23'!H131</f>
        <v>0</v>
      </c>
      <c r="I131" s="859"/>
      <c r="J131" s="843">
        <f>H131/DAY(B2)</f>
        <v>0</v>
      </c>
      <c r="O131" s="845"/>
    </row>
    <row r="132" spans="1:15">
      <c r="A132" s="866" t="s">
        <v>238</v>
      </c>
      <c r="B132" s="867"/>
      <c r="C132" s="867"/>
      <c r="D132" s="838" t="s">
        <v>237</v>
      </c>
      <c r="E132" s="839">
        <f>'23'!F132</f>
        <v>0</v>
      </c>
      <c r="F132" s="868">
        <v>0</v>
      </c>
      <c r="G132" s="840">
        <f t="shared" si="15"/>
        <v>0</v>
      </c>
      <c r="H132" s="841">
        <f>G132+'23'!H132</f>
        <v>0</v>
      </c>
      <c r="I132" s="859"/>
      <c r="J132" s="843">
        <f>H132/DAY(B2)</f>
        <v>0</v>
      </c>
      <c r="O132" s="845"/>
    </row>
    <row r="133" spans="1:15">
      <c r="A133" s="866" t="s">
        <v>239</v>
      </c>
      <c r="B133" s="867"/>
      <c r="C133" s="867"/>
      <c r="D133" s="838" t="s">
        <v>237</v>
      </c>
      <c r="E133" s="1451">
        <f>'23'!F133</f>
        <v>40619.050000000003</v>
      </c>
      <c r="F133" s="989">
        <v>40619</v>
      </c>
      <c r="G133" s="948">
        <f t="shared" si="15"/>
        <v>-5.0000000002910383E-2</v>
      </c>
      <c r="H133" s="841">
        <f>G133+'23'!H133</f>
        <v>166</v>
      </c>
      <c r="I133" s="859"/>
      <c r="J133" s="843">
        <f>H133/DAY(B2)</f>
        <v>6.916666666666667</v>
      </c>
      <c r="O133" s="845"/>
    </row>
    <row r="134" spans="1:15">
      <c r="A134" s="866" t="s">
        <v>240</v>
      </c>
      <c r="B134" s="867"/>
      <c r="C134" s="867"/>
      <c r="D134" s="838" t="s">
        <v>237</v>
      </c>
      <c r="E134" s="1451">
        <f>'23'!F134</f>
        <v>454.53</v>
      </c>
      <c r="F134" s="989">
        <v>464.38</v>
      </c>
      <c r="G134" s="948">
        <f t="shared" si="15"/>
        <v>9.8500000000000227</v>
      </c>
      <c r="H134" s="841">
        <f>G134+'23'!H134</f>
        <v>164.38</v>
      </c>
      <c r="I134" s="859">
        <f>G131+G132+G133+G134</f>
        <v>9.7999999999971124</v>
      </c>
      <c r="J134" s="843">
        <f>H134/DAY(B2)</f>
        <v>6.8491666666666662</v>
      </c>
      <c r="O134" s="845"/>
    </row>
    <row r="135" spans="1:15">
      <c r="A135" s="866" t="s">
        <v>241</v>
      </c>
      <c r="B135" s="867"/>
      <c r="C135" s="867"/>
      <c r="D135" s="838" t="s">
        <v>237</v>
      </c>
      <c r="E135" s="1451">
        <f>'23'!F135</f>
        <v>42362.11</v>
      </c>
      <c r="F135" s="989">
        <v>42386</v>
      </c>
      <c r="G135" s="948">
        <f t="shared" si="15"/>
        <v>23.889999999999418</v>
      </c>
      <c r="H135" s="841">
        <f>G135+'23'!H135</f>
        <v>47.889999999999418</v>
      </c>
      <c r="I135" s="859"/>
      <c r="J135" s="843">
        <f>H135/DAY(B2)</f>
        <v>1.9954166666666424</v>
      </c>
      <c r="O135" s="845"/>
    </row>
    <row r="136" spans="1:15">
      <c r="A136" s="866" t="s">
        <v>242</v>
      </c>
      <c r="B136" s="867"/>
      <c r="C136" s="867"/>
      <c r="D136" s="838" t="s">
        <v>237</v>
      </c>
      <c r="E136" s="1451">
        <f>'23'!F136</f>
        <v>32874.050000000003</v>
      </c>
      <c r="F136" s="989">
        <v>32874</v>
      </c>
      <c r="G136" s="948">
        <f t="shared" si="15"/>
        <v>-5.0000000002910383E-2</v>
      </c>
      <c r="H136" s="841">
        <f>G136+'23'!H136</f>
        <v>12.94999999999709</v>
      </c>
      <c r="I136" s="859"/>
      <c r="J136" s="843">
        <f>H136/DAY(B2)</f>
        <v>0.53958333333321207</v>
      </c>
      <c r="O136" s="845"/>
    </row>
    <row r="137" spans="1:15">
      <c r="A137" s="866" t="s">
        <v>243</v>
      </c>
      <c r="B137" s="867"/>
      <c r="C137" s="867"/>
      <c r="D137" s="838" t="s">
        <v>237</v>
      </c>
      <c r="E137" s="1451">
        <f>'23'!F137</f>
        <v>23058.720000000001</v>
      </c>
      <c r="F137" s="989">
        <v>23066.67</v>
      </c>
      <c r="G137" s="948">
        <f t="shared" si="15"/>
        <v>7.9499999999970896</v>
      </c>
      <c r="H137" s="841">
        <f>G137+'23'!H137</f>
        <v>175.17999999999665</v>
      </c>
      <c r="I137" s="859">
        <f>G135+G136+G137</f>
        <v>31.789999999993597</v>
      </c>
      <c r="J137" s="843">
        <f>H137/DAY(B2)</f>
        <v>7.2991666666665269</v>
      </c>
      <c r="O137" s="845"/>
    </row>
    <row r="138" spans="1:15">
      <c r="A138" s="866" t="s">
        <v>244</v>
      </c>
      <c r="B138" s="867"/>
      <c r="C138" s="867"/>
      <c r="D138" s="838" t="s">
        <v>237</v>
      </c>
      <c r="E138" s="839">
        <f>'23'!F138</f>
        <v>25099.16</v>
      </c>
      <c r="F138" s="989">
        <v>25099</v>
      </c>
      <c r="G138" s="840">
        <f t="shared" si="15"/>
        <v>-0.15999999999985448</v>
      </c>
      <c r="H138" s="841">
        <f>G138+'23'!H138</f>
        <v>7.8400000000001455</v>
      </c>
      <c r="I138" s="859"/>
      <c r="J138" s="843">
        <f>H138/DAY(B2)</f>
        <v>0.32666666666667271</v>
      </c>
      <c r="O138" s="845"/>
    </row>
    <row r="139" spans="1:15">
      <c r="A139" s="866" t="s">
        <v>245</v>
      </c>
      <c r="B139" s="867"/>
      <c r="C139" s="867"/>
      <c r="D139" s="838" t="s">
        <v>237</v>
      </c>
      <c r="E139" s="839">
        <f>'23'!F139</f>
        <v>70516.600000000006</v>
      </c>
      <c r="F139" s="989">
        <v>70517</v>
      </c>
      <c r="G139" s="840">
        <f t="shared" si="15"/>
        <v>0.39999999999417923</v>
      </c>
      <c r="H139" s="841">
        <f>G139+'23'!H139</f>
        <v>15.399999999994179</v>
      </c>
      <c r="I139" s="859">
        <f>G138+G139</f>
        <v>0.23999999999432475</v>
      </c>
      <c r="J139" s="843">
        <f>H139/DAY(B2)</f>
        <v>0.64166666666642413</v>
      </c>
      <c r="O139" s="845"/>
    </row>
    <row r="140" spans="1:15">
      <c r="A140" s="866" t="s">
        <v>246</v>
      </c>
      <c r="B140" s="867"/>
      <c r="C140" s="867"/>
      <c r="D140" s="838" t="s">
        <v>237</v>
      </c>
      <c r="E140" s="839">
        <f>'23'!F140</f>
        <v>2247.77</v>
      </c>
      <c r="F140" s="868">
        <v>2247.77</v>
      </c>
      <c r="G140" s="840">
        <f t="shared" si="15"/>
        <v>0</v>
      </c>
      <c r="H140" s="841">
        <f>G140+'23'!H140</f>
        <v>118.59000000000015</v>
      </c>
      <c r="I140" s="990"/>
      <c r="J140" s="843">
        <f>H140/DAY(B2)</f>
        <v>4.9412500000000064</v>
      </c>
      <c r="O140" s="845"/>
    </row>
    <row r="141" spans="1:15">
      <c r="A141" s="866" t="s">
        <v>247</v>
      </c>
      <c r="B141" s="867"/>
      <c r="C141" s="867"/>
      <c r="D141" s="838" t="s">
        <v>237</v>
      </c>
      <c r="E141" s="839">
        <f>'23'!F141</f>
        <v>4742.3500000000004</v>
      </c>
      <c r="F141" s="868">
        <v>4751.18</v>
      </c>
      <c r="G141" s="840">
        <f t="shared" si="15"/>
        <v>8.8299999999999272</v>
      </c>
      <c r="H141" s="841">
        <f>G141+'23'!H141</f>
        <v>114.18000000000029</v>
      </c>
      <c r="I141" s="990"/>
      <c r="J141" s="843">
        <f>H141/DAY(B2)</f>
        <v>4.7575000000000118</v>
      </c>
      <c r="O141" s="845"/>
    </row>
    <row r="142" spans="1:15">
      <c r="A142" s="1651" t="s">
        <v>248</v>
      </c>
      <c r="B142" s="1652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3" t="s">
        <v>249</v>
      </c>
      <c r="B143" s="1654"/>
      <c r="C143" s="1655"/>
      <c r="D143" s="838" t="s">
        <v>130</v>
      </c>
      <c r="E143" s="838"/>
      <c r="F143" s="838"/>
      <c r="G143" s="841">
        <f>G35+G43+G49+G57</f>
        <v>5861.8099999998813</v>
      </c>
      <c r="H143" s="841">
        <f>G143+'23'!H143</f>
        <v>133924.18000000005</v>
      </c>
      <c r="I143" s="859"/>
      <c r="J143" s="843">
        <f>H143/DAY(B2)</f>
        <v>5580.1741666666685</v>
      </c>
      <c r="K143" s="938"/>
      <c r="L143" s="818"/>
      <c r="O143" s="845"/>
    </row>
    <row r="144" spans="1:15">
      <c r="A144" s="1653" t="s">
        <v>250</v>
      </c>
      <c r="B144" s="1654"/>
      <c r="C144" s="1655"/>
      <c r="D144" s="838" t="s">
        <v>24</v>
      </c>
      <c r="E144" s="825"/>
      <c r="F144" s="825"/>
      <c r="G144" s="991">
        <f>G143/G7</f>
        <v>0.25965165153458947</v>
      </c>
      <c r="H144" s="841">
        <f>G144+'23'!H144</f>
        <v>6.0873927188403298</v>
      </c>
      <c r="I144" s="992"/>
      <c r="J144" s="843">
        <f>H144/DAY(B2)</f>
        <v>0.25364136328501374</v>
      </c>
      <c r="K144" s="938"/>
      <c r="L144" s="818"/>
      <c r="O144" s="845"/>
    </row>
    <row r="145" spans="1:15">
      <c r="A145" s="1653" t="s">
        <v>251</v>
      </c>
      <c r="B145" s="1654"/>
      <c r="C145" s="1655"/>
      <c r="D145" s="838" t="s">
        <v>130</v>
      </c>
      <c r="E145" s="839"/>
      <c r="F145" s="839"/>
      <c r="G145" s="841">
        <f>G41+G42+G55+G56</f>
        <v>7305.1499999999942</v>
      </c>
      <c r="H145" s="841">
        <f>G145+'23'!H145</f>
        <v>163442.66</v>
      </c>
      <c r="I145" s="859"/>
      <c r="J145" s="843">
        <f>H145/DAY(B2)</f>
        <v>6810.1108333333332</v>
      </c>
      <c r="K145" s="938"/>
      <c r="L145" s="818"/>
      <c r="O145" s="845"/>
    </row>
    <row r="146" spans="1:15">
      <c r="A146" s="1653" t="s">
        <v>252</v>
      </c>
      <c r="B146" s="1654"/>
      <c r="C146" s="1655"/>
      <c r="D146" s="838" t="s">
        <v>24</v>
      </c>
      <c r="E146" s="839"/>
      <c r="F146" s="839"/>
      <c r="G146" s="991">
        <f>G145/G7</f>
        <v>0.32358508075286357</v>
      </c>
      <c r="H146" s="841">
        <f>G146+'23'!H146</f>
        <v>7.3975813874172198</v>
      </c>
      <c r="I146" s="992"/>
      <c r="J146" s="843">
        <f>H146/DAY(B2)</f>
        <v>0.30823255780905084</v>
      </c>
      <c r="K146" s="938"/>
      <c r="L146" s="818"/>
      <c r="O146" s="845"/>
    </row>
    <row r="147" spans="1:15">
      <c r="A147" s="1653" t="s">
        <v>253</v>
      </c>
      <c r="B147" s="1654"/>
      <c r="C147" s="1655"/>
      <c r="D147" s="838" t="s">
        <v>130</v>
      </c>
      <c r="E147" s="839"/>
      <c r="F147" s="839"/>
      <c r="G147" s="841">
        <f>G39+G53</f>
        <v>3817.4199999999837</v>
      </c>
      <c r="H147" s="841">
        <f>G147+'23'!H147</f>
        <v>89092</v>
      </c>
      <c r="I147" s="993"/>
      <c r="J147" s="843">
        <f>H147/DAY(B2)</f>
        <v>3712.1666666666665</v>
      </c>
      <c r="K147" s="938"/>
      <c r="L147" s="818"/>
      <c r="O147" s="845"/>
    </row>
    <row r="148" spans="1:15">
      <c r="A148" s="1653" t="s">
        <v>254</v>
      </c>
      <c r="B148" s="1654"/>
      <c r="C148" s="1655"/>
      <c r="D148" s="838" t="s">
        <v>24</v>
      </c>
      <c r="E148" s="839"/>
      <c r="F148" s="839"/>
      <c r="G148" s="991">
        <f>G147/G7</f>
        <v>0.16909442776227623</v>
      </c>
      <c r="H148" s="841">
        <f>G148+'23'!H148</f>
        <v>4.0478274729840091</v>
      </c>
      <c r="I148" s="993"/>
      <c r="J148" s="843">
        <f>H148/DAY(B2)</f>
        <v>0.16865947804100037</v>
      </c>
      <c r="O148" s="845"/>
    </row>
    <row r="149" spans="1:15">
      <c r="A149" s="1653" t="s">
        <v>255</v>
      </c>
      <c r="B149" s="1654"/>
      <c r="C149" s="1655"/>
      <c r="D149" s="838" t="s">
        <v>181</v>
      </c>
      <c r="E149" s="839"/>
      <c r="F149" s="839"/>
      <c r="G149" s="841">
        <f>G38+G52</f>
        <v>1604.3600000000442</v>
      </c>
      <c r="H149" s="841">
        <f>G149+'23'!H149</f>
        <v>38700</v>
      </c>
      <c r="I149" s="859"/>
      <c r="J149" s="843">
        <f>H149/DAY(B2)</f>
        <v>1612.5</v>
      </c>
      <c r="K149" s="994"/>
      <c r="O149" s="845"/>
    </row>
    <row r="150" spans="1:15">
      <c r="A150" s="1653" t="s">
        <v>256</v>
      </c>
      <c r="B150" s="1654"/>
      <c r="C150" s="1655"/>
      <c r="D150" s="838" t="s">
        <v>24</v>
      </c>
      <c r="E150" s="839"/>
      <c r="F150" s="839"/>
      <c r="G150" s="991">
        <f>G149/G7</f>
        <v>7.1065886416662075E-2</v>
      </c>
      <c r="H150" s="841">
        <f>G150+'23'!H150</f>
        <v>1.7548846509659803</v>
      </c>
      <c r="I150" s="993"/>
      <c r="J150" s="843">
        <f>H150/DAY(B2)</f>
        <v>7.3120193790249186E-2</v>
      </c>
      <c r="O150" s="845"/>
    </row>
    <row r="151" spans="1:15">
      <c r="A151" s="1653" t="s">
        <v>257</v>
      </c>
      <c r="B151" s="1654"/>
      <c r="C151" s="1655"/>
      <c r="D151" s="838" t="s">
        <v>181</v>
      </c>
      <c r="E151" s="839"/>
      <c r="F151" s="839"/>
      <c r="G151" s="841">
        <f>G36+G50</f>
        <v>1677.2100000000501</v>
      </c>
      <c r="H151" s="841">
        <f>G151+'23'!H151</f>
        <v>48692</v>
      </c>
      <c r="I151" s="993"/>
      <c r="J151" s="843">
        <f>H151/DAY(B2)</f>
        <v>2028.8333333333333</v>
      </c>
      <c r="O151" s="845"/>
    </row>
    <row r="152" spans="1:15">
      <c r="A152" s="1653" t="s">
        <v>258</v>
      </c>
      <c r="B152" s="1654"/>
      <c r="C152" s="1655"/>
      <c r="D152" s="838" t="s">
        <v>24</v>
      </c>
      <c r="E152" s="839"/>
      <c r="F152" s="839"/>
      <c r="G152" s="991">
        <f>G151/G7</f>
        <v>7.4292811686211366E-2</v>
      </c>
      <c r="H152" s="841">
        <f>G152+'23'!H152</f>
        <v>2.1998864105498703</v>
      </c>
      <c r="I152" s="859"/>
      <c r="J152" s="843">
        <f>H152/DAY(B2)</f>
        <v>9.1661933772911264E-2</v>
      </c>
      <c r="O152" s="845"/>
    </row>
    <row r="153" spans="1:15">
      <c r="A153" s="1653" t="s">
        <v>259</v>
      </c>
      <c r="B153" s="1654"/>
      <c r="C153" s="1655"/>
      <c r="D153" s="838" t="s">
        <v>181</v>
      </c>
      <c r="E153" s="839"/>
      <c r="F153" s="839"/>
      <c r="G153" s="841">
        <f>G37+G51</f>
        <v>1631.9700000000012</v>
      </c>
      <c r="H153" s="841">
        <f>G153+'23'!H153</f>
        <v>38112</v>
      </c>
      <c r="I153" s="859"/>
      <c r="J153" s="843">
        <f>H153/DAY(B2)</f>
        <v>1588</v>
      </c>
      <c r="O153" s="845"/>
    </row>
    <row r="154" spans="1:15" ht="21" thickBot="1">
      <c r="A154" s="1656" t="s">
        <v>260</v>
      </c>
      <c r="B154" s="1657"/>
      <c r="C154" s="1658"/>
      <c r="D154" s="995" t="s">
        <v>24</v>
      </c>
      <c r="E154" s="996"/>
      <c r="F154" s="996"/>
      <c r="G154" s="997">
        <f>G153/G7</f>
        <v>7.2288884449498172E-2</v>
      </c>
      <c r="H154" s="841">
        <f>G154+'23'!H154</f>
        <v>1.7291397854520254</v>
      </c>
      <c r="I154" s="998"/>
      <c r="J154" s="999">
        <f>H154/DAY(B2)</f>
        <v>7.2047491060501054E-2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7">
      <c r="A161" s="990" t="s">
        <v>261</v>
      </c>
      <c r="B161" s="990"/>
      <c r="C161" s="990"/>
      <c r="D161" s="825" t="s">
        <v>185</v>
      </c>
      <c r="E161" s="839">
        <f>'23'!F161</f>
        <v>42691.89</v>
      </c>
      <c r="F161" s="1014">
        <v>42768</v>
      </c>
      <c r="G161" s="840">
        <f t="shared" ref="G161:G164" si="16">F161-E161</f>
        <v>76.110000000000582</v>
      </c>
    </row>
    <row r="162" spans="1:7" ht="21.75" customHeight="1">
      <c r="A162" s="990" t="s">
        <v>262</v>
      </c>
      <c r="B162" s="990"/>
      <c r="C162" s="990"/>
      <c r="D162" s="825" t="s">
        <v>185</v>
      </c>
      <c r="E162" s="839">
        <f>'23'!F162</f>
        <v>118372.16</v>
      </c>
      <c r="F162" s="1014">
        <v>118856</v>
      </c>
      <c r="G162" s="840">
        <f t="shared" si="16"/>
        <v>483.83999999999651</v>
      </c>
    </row>
    <row r="163" spans="1:7" ht="21.75" customHeight="1">
      <c r="A163" s="990" t="s">
        <v>263</v>
      </c>
      <c r="B163" s="990"/>
      <c r="C163" s="990"/>
      <c r="D163" s="825" t="s">
        <v>185</v>
      </c>
      <c r="E163" s="839">
        <f>'23'!F163</f>
        <v>65919.34</v>
      </c>
      <c r="F163" s="1014">
        <v>66116</v>
      </c>
      <c r="G163" s="840">
        <f t="shared" si="16"/>
        <v>196.66000000000349</v>
      </c>
    </row>
    <row r="164" spans="1:7" ht="21.75" customHeight="1">
      <c r="A164" s="990" t="s">
        <v>264</v>
      </c>
      <c r="B164" s="990"/>
      <c r="C164" s="990"/>
      <c r="D164" s="825" t="s">
        <v>185</v>
      </c>
      <c r="E164" s="839">
        <f>'23'!F164</f>
        <v>7068.86</v>
      </c>
      <c r="F164" s="1014">
        <v>7075</v>
      </c>
      <c r="G164" s="840">
        <f t="shared" si="16"/>
        <v>6.1400000000003274</v>
      </c>
    </row>
    <row r="165" spans="1:7" ht="21.75" customHeight="1">
      <c r="A165" s="920" t="s">
        <v>97</v>
      </c>
      <c r="B165" s="920"/>
      <c r="C165" s="920"/>
      <c r="D165" s="825" t="s">
        <v>185</v>
      </c>
      <c r="E165" s="839">
        <f>'23'!F165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186</v>
      </c>
      <c r="B166" s="920"/>
      <c r="C166" s="920"/>
      <c r="D166" s="825" t="s">
        <v>185</v>
      </c>
      <c r="E166" s="839">
        <f>'23'!F166</f>
        <v>0</v>
      </c>
      <c r="F166" s="921">
        <f t="shared" ref="F166:F172" si="18">F63</f>
        <v>0</v>
      </c>
      <c r="G166" s="840">
        <f t="shared" si="17"/>
        <v>0</v>
      </c>
    </row>
    <row r="167" spans="1:7" ht="21.75" customHeight="1">
      <c r="A167" s="1628" t="s">
        <v>98</v>
      </c>
      <c r="B167" s="1628"/>
      <c r="C167" s="1628"/>
      <c r="D167" s="838" t="s">
        <v>185</v>
      </c>
      <c r="E167" s="839">
        <f>'23'!F167</f>
        <v>178897.63</v>
      </c>
      <c r="F167" s="921">
        <f t="shared" si="18"/>
        <v>179237</v>
      </c>
      <c r="G167" s="840">
        <f t="shared" si="17"/>
        <v>339.36999999999534</v>
      </c>
    </row>
    <row r="168" spans="1:7" ht="21.75" customHeight="1">
      <c r="A168" s="1628" t="s">
        <v>99</v>
      </c>
      <c r="B168" s="1628"/>
      <c r="C168" s="1628"/>
      <c r="D168" s="838" t="s">
        <v>185</v>
      </c>
      <c r="E168" s="839">
        <f>'23'!F168</f>
        <v>179109.65</v>
      </c>
      <c r="F168" s="921">
        <f t="shared" si="18"/>
        <v>179514</v>
      </c>
      <c r="G168" s="840">
        <f t="shared" si="17"/>
        <v>404.35000000000582</v>
      </c>
    </row>
    <row r="169" spans="1:7" ht="21.75" customHeight="1">
      <c r="A169" s="1628" t="s">
        <v>100</v>
      </c>
      <c r="B169" s="1628"/>
      <c r="C169" s="1628"/>
      <c r="D169" s="838" t="s">
        <v>185</v>
      </c>
      <c r="E169" s="839">
        <f>'23'!F169</f>
        <v>77414.350000000006</v>
      </c>
      <c r="F169" s="921">
        <f t="shared" si="18"/>
        <v>77824</v>
      </c>
      <c r="G169" s="840">
        <f t="shared" si="17"/>
        <v>409.64999999999418</v>
      </c>
    </row>
    <row r="170" spans="1:7">
      <c r="A170" s="1628" t="s">
        <v>101</v>
      </c>
      <c r="B170" s="1628"/>
      <c r="C170" s="1628"/>
      <c r="D170" s="838" t="s">
        <v>185</v>
      </c>
      <c r="E170" s="839">
        <f>'23'!F170</f>
        <v>275930.27</v>
      </c>
      <c r="F170" s="921">
        <f t="shared" si="18"/>
        <v>276482</v>
      </c>
      <c r="G170" s="840">
        <f t="shared" si="17"/>
        <v>551.72999999998137</v>
      </c>
    </row>
    <row r="171" spans="1:7" ht="24" customHeight="1">
      <c r="A171" s="1628" t="s">
        <v>102</v>
      </c>
      <c r="B171" s="1628"/>
      <c r="C171" s="1628"/>
      <c r="D171" s="838" t="s">
        <v>185</v>
      </c>
      <c r="E171" s="839">
        <f>'23'!F171</f>
        <v>85321</v>
      </c>
      <c r="F171" s="921">
        <f t="shared" si="18"/>
        <v>85321</v>
      </c>
      <c r="G171" s="840">
        <f t="shared" si="17"/>
        <v>0</v>
      </c>
    </row>
    <row r="172" spans="1:7">
      <c r="A172" s="1628" t="s">
        <v>103</v>
      </c>
      <c r="B172" s="1628"/>
      <c r="C172" s="1628"/>
      <c r="D172" s="838" t="s">
        <v>185</v>
      </c>
      <c r="E172" s="839">
        <f>'23'!F172</f>
        <v>93836.67</v>
      </c>
      <c r="F172" s="921">
        <f t="shared" si="18"/>
        <v>94148</v>
      </c>
      <c r="G172" s="840">
        <f t="shared" si="17"/>
        <v>311.33000000000175</v>
      </c>
    </row>
    <row r="173" spans="1:7" ht="29.25">
      <c r="A173" s="1590"/>
      <c r="B173" s="1553"/>
      <c r="C173" s="785"/>
      <c r="D173" s="523"/>
      <c r="E173" s="839"/>
      <c r="G173" s="1005">
        <f>SUM(G161:G172)</f>
        <v>2779.1799999999794</v>
      </c>
    </row>
    <row r="174" spans="1:7">
      <c r="A174" s="1628" t="s">
        <v>348</v>
      </c>
      <c r="B174" s="1628"/>
      <c r="C174" s="1628"/>
      <c r="D174" s="838" t="s">
        <v>185</v>
      </c>
      <c r="E174" s="968">
        <v>19110.3</v>
      </c>
      <c r="F174" s="968">
        <v>19114</v>
      </c>
      <c r="G174" s="840">
        <f t="shared" ref="G174:G176" si="19">F174-E174</f>
        <v>3.7000000000007276</v>
      </c>
    </row>
    <row r="175" spans="1:7">
      <c r="A175" s="1629" t="s">
        <v>348</v>
      </c>
      <c r="B175" s="1630"/>
      <c r="C175" s="990"/>
      <c r="D175" s="838" t="s">
        <v>185</v>
      </c>
      <c r="E175" s="968">
        <v>70482.3</v>
      </c>
      <c r="F175" s="968">
        <v>70488</v>
      </c>
      <c r="G175" s="840">
        <f t="shared" si="19"/>
        <v>5.6999999999970896</v>
      </c>
    </row>
    <row r="176" spans="1:7">
      <c r="A176" s="1629" t="s">
        <v>349</v>
      </c>
      <c r="B176" s="1630"/>
      <c r="D176" s="838" t="s">
        <v>185</v>
      </c>
      <c r="E176" s="968">
        <v>27750</v>
      </c>
      <c r="F176" s="968">
        <v>27755</v>
      </c>
      <c r="G176" s="840">
        <f t="shared" si="19"/>
        <v>5</v>
      </c>
    </row>
    <row r="177" spans="1:15" ht="18.75" customHeight="1">
      <c r="A177" s="1629"/>
      <c r="B177" s="1630"/>
      <c r="D177" s="838"/>
      <c r="E177" s="839"/>
      <c r="F177" s="968"/>
      <c r="G177" s="840"/>
    </row>
    <row r="178" spans="1:15" s="376" customFormat="1" ht="29.25">
      <c r="A178" s="1590"/>
      <c r="B178" s="1553"/>
      <c r="C178" s="785"/>
      <c r="D178" s="523"/>
      <c r="E178" s="532"/>
      <c r="F178" s="532"/>
      <c r="G178" s="473"/>
      <c r="H178" s="538"/>
      <c r="I178" s="537"/>
      <c r="J178" s="539"/>
      <c r="N178" s="718"/>
      <c r="O178" s="723"/>
    </row>
    <row r="179" spans="1:15" s="376" customFormat="1" ht="29.25">
      <c r="A179" s="1590"/>
      <c r="B179" s="1553"/>
      <c r="C179" s="785"/>
      <c r="D179" s="523"/>
      <c r="E179" s="532"/>
      <c r="F179" s="532"/>
      <c r="G179" s="473"/>
      <c r="H179" s="538"/>
      <c r="I179" s="537"/>
      <c r="J179" s="539"/>
      <c r="N179" s="718"/>
      <c r="O179" s="723"/>
    </row>
    <row r="180" spans="1:15" s="376" customFormat="1" ht="29.25">
      <c r="A180" s="1590"/>
      <c r="B180" s="1553"/>
      <c r="C180" s="785"/>
      <c r="D180" s="523"/>
      <c r="E180" s="532"/>
      <c r="F180" s="532"/>
      <c r="G180" s="473"/>
      <c r="H180" s="538"/>
      <c r="I180" s="537"/>
      <c r="J180" s="539"/>
      <c r="N180" s="718"/>
      <c r="O180" s="723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topLeftCell="A109" zoomScale="70" zoomScaleNormal="49" zoomScaleSheetLayoutView="70" workbookViewId="0">
      <selection activeCell="G126" sqref="G126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488" customWidth="1"/>
    <col min="7" max="7" width="18.4414062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8" style="805" bestFit="1" customWidth="1"/>
    <col min="16" max="16384" width="22.33203125" style="805"/>
  </cols>
  <sheetData>
    <row r="1" spans="1:15" ht="22.5">
      <c r="A1" s="1671" t="s">
        <v>213</v>
      </c>
      <c r="B1" s="1672"/>
      <c r="C1" s="1672"/>
      <c r="D1" s="1672"/>
      <c r="E1" s="1672"/>
      <c r="F1" s="1672"/>
      <c r="G1" s="1672"/>
      <c r="H1" s="1672"/>
      <c r="I1" s="1672"/>
      <c r="J1" s="1673"/>
    </row>
    <row r="2" spans="1:15">
      <c r="A2" s="806" t="s">
        <v>343</v>
      </c>
      <c r="B2" s="1075">
        <v>44037</v>
      </c>
      <c r="C2" s="807" t="s">
        <v>68</v>
      </c>
      <c r="D2" s="1019">
        <v>0.74</v>
      </c>
      <c r="E2" s="809"/>
      <c r="F2" s="1473"/>
      <c r="G2" s="809" t="s">
        <v>116</v>
      </c>
      <c r="H2" s="809" t="s">
        <v>6</v>
      </c>
      <c r="I2" s="809" t="s">
        <v>8</v>
      </c>
      <c r="J2" s="810" t="s">
        <v>117</v>
      </c>
    </row>
    <row r="3" spans="1:15">
      <c r="A3" s="811"/>
      <c r="B3" s="812"/>
      <c r="C3" s="807" t="s">
        <v>118</v>
      </c>
      <c r="D3" s="807">
        <v>28</v>
      </c>
      <c r="E3" s="1680" t="s">
        <v>119</v>
      </c>
      <c r="F3" s="1681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120</v>
      </c>
      <c r="D4" s="1019">
        <v>0.8</v>
      </c>
      <c r="E4" s="821"/>
      <c r="F4" s="1451"/>
      <c r="G4" s="821"/>
      <c r="H4" s="821"/>
      <c r="I4" s="822"/>
      <c r="J4" s="816"/>
      <c r="K4" s="823"/>
      <c r="L4" s="818"/>
    </row>
    <row r="5" spans="1:15">
      <c r="A5" s="824" t="s">
        <v>121</v>
      </c>
      <c r="B5" s="825"/>
      <c r="C5" s="825"/>
      <c r="D5" s="825" t="s">
        <v>122</v>
      </c>
      <c r="E5" s="826" t="s">
        <v>123</v>
      </c>
      <c r="F5" s="1474" t="s">
        <v>110</v>
      </c>
      <c r="G5" s="827" t="s">
        <v>124</v>
      </c>
      <c r="H5" s="828" t="s">
        <v>125</v>
      </c>
      <c r="I5" s="829" t="s">
        <v>126</v>
      </c>
      <c r="J5" s="830" t="s">
        <v>127</v>
      </c>
      <c r="K5" s="831"/>
      <c r="L5" s="818"/>
    </row>
    <row r="6" spans="1:15">
      <c r="A6" s="1674" t="s">
        <v>128</v>
      </c>
      <c r="B6" s="1675"/>
      <c r="C6" s="1676"/>
      <c r="D6" s="832"/>
      <c r="E6" s="832"/>
      <c r="F6" s="1473"/>
      <c r="G6" s="832"/>
      <c r="H6" s="833"/>
      <c r="I6" s="833"/>
      <c r="J6" s="834"/>
      <c r="K6" s="835"/>
      <c r="L6" s="818"/>
    </row>
    <row r="7" spans="1:15" ht="23.25" thickBot="1">
      <c r="A7" s="836" t="s">
        <v>129</v>
      </c>
      <c r="B7" s="837"/>
      <c r="C7" s="837"/>
      <c r="D7" s="838" t="s">
        <v>130</v>
      </c>
      <c r="E7" s="839">
        <f>'24'!F7</f>
        <v>451565</v>
      </c>
      <c r="F7" s="455">
        <v>474588</v>
      </c>
      <c r="G7" s="840">
        <f>F7-E7</f>
        <v>23023</v>
      </c>
      <c r="H7" s="841">
        <f>G7+'24'!H7</f>
        <v>552635</v>
      </c>
      <c r="I7" s="842">
        <f>'1'!I7</f>
        <v>12000</v>
      </c>
      <c r="J7" s="843">
        <f>H7/DAY(B2)</f>
        <v>22105.4</v>
      </c>
      <c r="K7" s="844"/>
      <c r="L7" s="818"/>
      <c r="N7" s="1017">
        <f>G7/G8</f>
        <v>0.99571836346336817</v>
      </c>
      <c r="O7" s="845"/>
    </row>
    <row r="8" spans="1:15" ht="23.25" thickBot="1">
      <c r="A8" s="846" t="s">
        <v>131</v>
      </c>
      <c r="B8" s="847"/>
      <c r="C8" s="848"/>
      <c r="D8" s="849" t="s">
        <v>25</v>
      </c>
      <c r="E8" s="839">
        <f>'24'!F8</f>
        <v>458812</v>
      </c>
      <c r="F8" s="475">
        <v>481934</v>
      </c>
      <c r="G8" s="850">
        <f>F8-E8</f>
        <v>23122</v>
      </c>
      <c r="H8" s="841">
        <f>G8+'24'!H8</f>
        <v>555212</v>
      </c>
      <c r="I8" s="851">
        <f>'1'!I8</f>
        <v>12000</v>
      </c>
      <c r="J8" s="843">
        <f>H8/DAY(B2)</f>
        <v>22208.48</v>
      </c>
      <c r="K8" s="844">
        <v>1375467</v>
      </c>
      <c r="L8" s="852">
        <v>1667461</v>
      </c>
      <c r="M8" s="853"/>
      <c r="O8" s="845"/>
    </row>
    <row r="9" spans="1:15">
      <c r="A9" s="854" t="s">
        <v>132</v>
      </c>
      <c r="B9" s="855"/>
      <c r="C9" s="855"/>
      <c r="D9" s="838" t="s">
        <v>130</v>
      </c>
      <c r="E9" s="839">
        <f>'24'!F9</f>
        <v>2545522</v>
      </c>
      <c r="F9" s="1475">
        <v>2567814</v>
      </c>
      <c r="G9" s="840">
        <f t="shared" ref="G9:G12" si="0">F9-E9</f>
        <v>22292</v>
      </c>
      <c r="H9" s="841">
        <f>G9+'24'!H9</f>
        <v>536812</v>
      </c>
      <c r="I9" s="857">
        <f>I8-J8</f>
        <v>-10208.48</v>
      </c>
      <c r="J9" s="843">
        <f>H9/DAY(B2)</f>
        <v>21472.48</v>
      </c>
      <c r="K9" s="858"/>
      <c r="L9" s="818"/>
      <c r="O9" s="845"/>
    </row>
    <row r="10" spans="1:15">
      <c r="A10" s="836" t="s">
        <v>133</v>
      </c>
      <c r="B10" s="837"/>
      <c r="C10" s="837"/>
      <c r="D10" s="838" t="s">
        <v>130</v>
      </c>
      <c r="E10" s="839">
        <f>'24'!F10</f>
        <v>2606.5500000000002</v>
      </c>
      <c r="F10" s="1475">
        <v>2606.5500000000002</v>
      </c>
      <c r="G10" s="840">
        <f t="shared" si="0"/>
        <v>0</v>
      </c>
      <c r="H10" s="841">
        <f>G10+'24'!H10</f>
        <v>0.29999999999972715</v>
      </c>
      <c r="I10" s="859"/>
      <c r="J10" s="843">
        <f>H10/DAY(B2)</f>
        <v>1.1999999999989085E-2</v>
      </c>
      <c r="K10" s="858"/>
      <c r="L10" s="818">
        <f>L8-K8</f>
        <v>291994</v>
      </c>
      <c r="O10" s="845"/>
    </row>
    <row r="11" spans="1:15">
      <c r="A11" s="836" t="s">
        <v>134</v>
      </c>
      <c r="B11" s="837"/>
      <c r="C11" s="837"/>
      <c r="D11" s="838" t="s">
        <v>130</v>
      </c>
      <c r="E11" s="839">
        <f>'5'!E11</f>
        <v>37000</v>
      </c>
      <c r="F11" s="1451">
        <v>37000</v>
      </c>
      <c r="G11" s="840">
        <f t="shared" si="0"/>
        <v>0</v>
      </c>
      <c r="H11" s="841">
        <f>G11+'24'!H11</f>
        <v>0</v>
      </c>
      <c r="I11" s="859"/>
      <c r="J11" s="843">
        <f>H11/DAY(B2)</f>
        <v>0</v>
      </c>
      <c r="K11" s="858"/>
      <c r="L11" s="818"/>
      <c r="N11" s="1018">
        <f>G7*N7</f>
        <v>22924.423882017127</v>
      </c>
      <c r="O11" s="845"/>
    </row>
    <row r="12" spans="1:15">
      <c r="A12" s="836" t="s">
        <v>135</v>
      </c>
      <c r="B12" s="837"/>
      <c r="C12" s="837"/>
      <c r="D12" s="838" t="s">
        <v>130</v>
      </c>
      <c r="E12" s="839">
        <f>'5'!E12</f>
        <v>40010</v>
      </c>
      <c r="F12" s="1475">
        <v>40010</v>
      </c>
      <c r="G12" s="840">
        <f t="shared" si="0"/>
        <v>0</v>
      </c>
      <c r="H12" s="841">
        <f>G12+'24'!H12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136</v>
      </c>
      <c r="B13" s="861"/>
      <c r="C13" s="861"/>
      <c r="D13" s="838"/>
      <c r="E13" s="839"/>
      <c r="F13" s="1451"/>
      <c r="G13" s="862">
        <f>G9+G10+G11+G12</f>
        <v>22292</v>
      </c>
      <c r="H13" s="841">
        <f>G13+'24'!H13</f>
        <v>516485.3</v>
      </c>
      <c r="I13" s="863">
        <f>G7-G13</f>
        <v>731</v>
      </c>
      <c r="J13" s="843">
        <f>H13/DAY(B2)</f>
        <v>20659.412</v>
      </c>
      <c r="K13" s="858"/>
      <c r="L13" s="818">
        <f>L10-H7</f>
        <v>-260641</v>
      </c>
      <c r="O13" s="845"/>
    </row>
    <row r="14" spans="1:15">
      <c r="A14" s="1677" t="s">
        <v>137</v>
      </c>
      <c r="B14" s="1678"/>
      <c r="C14" s="1679"/>
      <c r="D14" s="833"/>
      <c r="E14" s="833"/>
      <c r="F14" s="937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138</v>
      </c>
      <c r="B15" s="867"/>
      <c r="C15" s="867"/>
      <c r="D15" s="838" t="s">
        <v>139</v>
      </c>
      <c r="E15" s="839">
        <f>'24'!F15</f>
        <v>1723586</v>
      </c>
      <c r="F15" s="700">
        <v>1724478</v>
      </c>
      <c r="G15" s="1015">
        <f>(F15-E15)</f>
        <v>892</v>
      </c>
      <c r="H15" s="841">
        <f>G15+'24'!H15</f>
        <v>20795</v>
      </c>
      <c r="I15" s="842">
        <f>'1'!I15</f>
        <v>800</v>
      </c>
      <c r="J15" s="843">
        <f>H15/DAY(B2)</f>
        <v>831.8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1475"/>
      <c r="G16" s="840"/>
      <c r="H16" s="873"/>
      <c r="I16" s="874">
        <f>I15-J15</f>
        <v>-31.799999999999955</v>
      </c>
      <c r="J16" s="875"/>
      <c r="K16" s="858"/>
      <c r="L16" s="818"/>
      <c r="O16" s="845">
        <f>580-990</f>
        <v>-410</v>
      </c>
    </row>
    <row r="17" spans="1:15">
      <c r="A17" s="1677" t="s">
        <v>140</v>
      </c>
      <c r="B17" s="1678"/>
      <c r="C17" s="1679"/>
      <c r="D17" s="833"/>
      <c r="E17" s="833"/>
      <c r="F17" s="937"/>
      <c r="G17" s="876"/>
      <c r="H17" s="833"/>
      <c r="I17" s="833"/>
      <c r="J17" s="834"/>
      <c r="K17" s="858"/>
      <c r="L17" s="818"/>
      <c r="O17" s="1370">
        <f>O16*3</f>
        <v>-1230</v>
      </c>
    </row>
    <row r="18" spans="1:15">
      <c r="A18" s="1653" t="s">
        <v>141</v>
      </c>
      <c r="B18" s="1654"/>
      <c r="C18" s="1655"/>
      <c r="D18" s="838" t="s">
        <v>142</v>
      </c>
      <c r="E18" s="839">
        <f>'24'!F18</f>
        <v>11</v>
      </c>
      <c r="F18" s="989">
        <v>16</v>
      </c>
      <c r="G18" s="862">
        <f>F18*10</f>
        <v>160</v>
      </c>
      <c r="H18" s="841">
        <f>G18+'24'!H18</f>
        <v>3310</v>
      </c>
      <c r="I18" s="842">
        <f>'1'!I18</f>
        <v>65</v>
      </c>
      <c r="J18" s="843">
        <f>H18/DAY(B2)</f>
        <v>132.4</v>
      </c>
      <c r="K18" s="858"/>
      <c r="L18" s="818"/>
      <c r="O18" s="845"/>
    </row>
    <row r="19" spans="1:15">
      <c r="A19" s="1653" t="s">
        <v>70</v>
      </c>
      <c r="B19" s="1654"/>
      <c r="C19" s="1655"/>
      <c r="D19" s="838" t="s">
        <v>142</v>
      </c>
      <c r="E19" s="839">
        <f>'24'!F19</f>
        <v>142943</v>
      </c>
      <c r="F19" s="989">
        <v>143005</v>
      </c>
      <c r="G19" s="840">
        <f t="shared" ref="G19" si="1">F19-E19</f>
        <v>62</v>
      </c>
      <c r="H19" s="841">
        <f>G19+'24'!H19</f>
        <v>1510</v>
      </c>
      <c r="I19" s="877"/>
      <c r="J19" s="843">
        <f>H19/DAY(B2)</f>
        <v>60.4</v>
      </c>
      <c r="K19" s="858"/>
      <c r="L19" s="818"/>
      <c r="O19" s="845"/>
    </row>
    <row r="20" spans="1:15">
      <c r="A20" s="860" t="s">
        <v>143</v>
      </c>
      <c r="B20" s="861"/>
      <c r="C20" s="861"/>
      <c r="D20" s="878"/>
      <c r="E20" s="878"/>
      <c r="F20" s="1476"/>
      <c r="G20" s="879">
        <f>G18+G19</f>
        <v>222</v>
      </c>
      <c r="H20" s="841">
        <f>G20+'24'!H20</f>
        <v>4820</v>
      </c>
      <c r="I20" s="880">
        <f>I18-J20</f>
        <v>-127.80000000000001</v>
      </c>
      <c r="J20" s="843">
        <f>H20/DAY(B2)</f>
        <v>192.8</v>
      </c>
      <c r="K20" s="858"/>
      <c r="L20" s="818"/>
      <c r="O20" s="845"/>
    </row>
    <row r="21" spans="1:15">
      <c r="A21" s="1677" t="s">
        <v>144</v>
      </c>
      <c r="B21" s="1678"/>
      <c r="C21" s="1679"/>
      <c r="D21" s="833"/>
      <c r="E21" s="833"/>
      <c r="F21" s="937"/>
      <c r="G21" s="864"/>
      <c r="H21" s="833"/>
      <c r="I21" s="833"/>
      <c r="J21" s="834"/>
      <c r="K21" s="858"/>
      <c r="L21" s="818"/>
      <c r="O21" s="845"/>
    </row>
    <row r="22" spans="1:15">
      <c r="A22" s="866" t="s">
        <v>145</v>
      </c>
      <c r="B22" s="867"/>
      <c r="C22" s="867"/>
      <c r="D22" s="838" t="s">
        <v>146</v>
      </c>
      <c r="E22" s="1368">
        <v>2970</v>
      </c>
      <c r="F22" s="989">
        <v>2970</v>
      </c>
      <c r="G22" s="1369">
        <f t="shared" ref="G22" si="2">(F22-E22)</f>
        <v>0</v>
      </c>
      <c r="H22" s="841">
        <f>G22+'24'!H22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147</v>
      </c>
      <c r="B23" s="867"/>
      <c r="C23" s="867"/>
      <c r="D23" s="838" t="s">
        <v>146</v>
      </c>
      <c r="E23" s="868">
        <f>'24'!F23</f>
        <v>2000</v>
      </c>
      <c r="F23" s="989">
        <v>2000</v>
      </c>
      <c r="G23" s="862">
        <v>0</v>
      </c>
      <c r="H23" s="841">
        <f>G23+'24'!H23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148</v>
      </c>
      <c r="B24" s="882"/>
      <c r="C24" s="882"/>
      <c r="D24" s="825" t="s">
        <v>146</v>
      </c>
      <c r="E24" s="868">
        <f>'24'!F24</f>
        <v>4970</v>
      </c>
      <c r="F24" s="1477">
        <v>4970</v>
      </c>
      <c r="G24" s="862">
        <v>0</v>
      </c>
      <c r="H24" s="841">
        <f>G24+'24'!H24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4" t="s">
        <v>149</v>
      </c>
      <c r="B25" s="1675"/>
      <c r="C25" s="1676"/>
      <c r="D25" s="832"/>
      <c r="E25" s="832"/>
      <c r="F25" s="1473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150</v>
      </c>
      <c r="B26" s="891"/>
      <c r="C26" s="892"/>
      <c r="D26" s="893" t="s">
        <v>151</v>
      </c>
      <c r="E26" s="894"/>
      <c r="F26" s="1478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23122</v>
      </c>
      <c r="F27" s="1407">
        <v>9</v>
      </c>
      <c r="G27" s="900">
        <f>E27*F27</f>
        <v>208098</v>
      </c>
      <c r="H27" s="841">
        <f>G27+'24'!H27</f>
        <v>4996909.8900000006</v>
      </c>
      <c r="I27" s="901"/>
      <c r="J27" s="843">
        <f>H27/DAY(B2)</f>
        <v>199876.39560000002</v>
      </c>
      <c r="K27" s="858"/>
      <c r="L27" s="888"/>
      <c r="N27" s="1007"/>
      <c r="O27" s="845"/>
    </row>
    <row r="28" spans="1:15" s="889" customFormat="1" ht="22.5">
      <c r="A28" s="890" t="s">
        <v>152</v>
      </c>
      <c r="B28" s="891"/>
      <c r="C28" s="892"/>
      <c r="D28" s="897" t="s">
        <v>153</v>
      </c>
      <c r="E28" s="898">
        <f>G15</f>
        <v>892</v>
      </c>
      <c r="F28" s="501">
        <v>52</v>
      </c>
      <c r="G28" s="900">
        <f>E28*F28</f>
        <v>46384</v>
      </c>
      <c r="H28" s="841">
        <f>G28+'24'!H28</f>
        <v>1081340</v>
      </c>
      <c r="I28" s="902"/>
      <c r="J28" s="843">
        <f>H28/DAY(B2)</f>
        <v>43253.599999999999</v>
      </c>
      <c r="K28" s="858"/>
      <c r="L28" s="888"/>
      <c r="N28" s="1007"/>
      <c r="O28" s="845"/>
    </row>
    <row r="29" spans="1:15" s="889" customFormat="1">
      <c r="A29" s="890" t="s">
        <v>154</v>
      </c>
      <c r="B29" s="891"/>
      <c r="C29" s="892"/>
      <c r="D29" s="897" t="s">
        <v>155</v>
      </c>
      <c r="E29" s="898">
        <f>G24</f>
        <v>0</v>
      </c>
      <c r="F29" s="1479">
        <v>69</v>
      </c>
      <c r="G29" s="900">
        <f>E29*F29</f>
        <v>0</v>
      </c>
      <c r="H29" s="841">
        <f>G29+'24'!H29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156</v>
      </c>
      <c r="B30" s="891"/>
      <c r="C30" s="892"/>
      <c r="D30" s="897" t="s">
        <v>157</v>
      </c>
      <c r="E30" s="898">
        <f>G19</f>
        <v>62</v>
      </c>
      <c r="F30" s="1479">
        <v>146</v>
      </c>
      <c r="G30" s="900">
        <f>E30*F30</f>
        <v>9052</v>
      </c>
      <c r="H30" s="841">
        <f>G30+'24'!H30</f>
        <v>219876</v>
      </c>
      <c r="I30" s="902"/>
      <c r="J30" s="843">
        <f>H30/DAY(B2)</f>
        <v>8795.0400000000009</v>
      </c>
      <c r="K30" s="858"/>
      <c r="L30" s="888"/>
      <c r="N30" s="1007"/>
      <c r="O30" s="845"/>
    </row>
    <row r="31" spans="1:15" s="889" customFormat="1">
      <c r="A31" s="890" t="s">
        <v>158</v>
      </c>
      <c r="B31" s="891"/>
      <c r="C31" s="892"/>
      <c r="D31" s="897" t="s">
        <v>142</v>
      </c>
      <c r="E31" s="898">
        <f>G18</f>
        <v>160</v>
      </c>
      <c r="F31" s="1479">
        <v>80</v>
      </c>
      <c r="G31" s="900">
        <f>E31*F31</f>
        <v>12800</v>
      </c>
      <c r="H31" s="841">
        <f>G31+'24'!H31</f>
        <v>259200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159</v>
      </c>
      <c r="B32" s="904"/>
      <c r="C32" s="905"/>
      <c r="D32" s="906"/>
      <c r="E32" s="906"/>
      <c r="F32" s="1476"/>
      <c r="G32" s="907">
        <f>G27+G28+G29+G30+G31</f>
        <v>276334</v>
      </c>
      <c r="H32" s="841">
        <f>G32+'24'!H32</f>
        <v>6557325.8900000006</v>
      </c>
      <c r="I32" s="908"/>
      <c r="J32" s="843">
        <f>H32/DAY(B2)</f>
        <v>262293.0356</v>
      </c>
      <c r="K32" s="858"/>
      <c r="L32" s="888"/>
      <c r="N32" s="1007"/>
      <c r="O32" s="845">
        <f>340*3</f>
        <v>1020</v>
      </c>
    </row>
    <row r="33" spans="1:15" ht="18.75">
      <c r="A33" s="1682" t="s">
        <v>160</v>
      </c>
      <c r="B33" s="1683"/>
      <c r="C33" s="1683"/>
      <c r="D33" s="1683"/>
      <c r="E33" s="1683"/>
      <c r="F33" s="1683"/>
      <c r="G33" s="1683"/>
      <c r="H33" s="1683"/>
      <c r="I33" s="1683"/>
      <c r="J33" s="1684"/>
      <c r="K33" s="858"/>
      <c r="L33" s="818"/>
      <c r="O33" s="845">
        <f>O32/3</f>
        <v>340</v>
      </c>
    </row>
    <row r="34" spans="1:15">
      <c r="A34" s="909" t="s">
        <v>161</v>
      </c>
      <c r="B34" s="910"/>
      <c r="C34" s="910"/>
      <c r="D34" s="833"/>
      <c r="E34" s="832"/>
      <c r="F34" s="1473"/>
      <c r="G34" s="833"/>
      <c r="H34" s="833"/>
      <c r="I34" s="833"/>
      <c r="J34" s="834"/>
      <c r="K34" s="858"/>
      <c r="L34" s="818"/>
      <c r="O34" s="845"/>
    </row>
    <row r="35" spans="1:15">
      <c r="A35" s="836" t="s">
        <v>162</v>
      </c>
      <c r="B35" s="837"/>
      <c r="C35" s="837"/>
      <c r="D35" s="838" t="s">
        <v>130</v>
      </c>
      <c r="E35" s="839">
        <f>'24'!F35</f>
        <v>1058597</v>
      </c>
      <c r="F35" s="1452">
        <v>1058597</v>
      </c>
      <c r="G35" s="840">
        <f t="shared" ref="G35:G46" si="3">F35-E35</f>
        <v>0</v>
      </c>
      <c r="H35" s="841">
        <f>G35+'24'!H35</f>
        <v>29883</v>
      </c>
      <c r="I35" s="839"/>
      <c r="J35" s="843">
        <f>H35/DAY(B2)</f>
        <v>1195.32</v>
      </c>
      <c r="K35" s="858"/>
      <c r="L35" s="818"/>
      <c r="O35" s="845"/>
    </row>
    <row r="36" spans="1:15">
      <c r="A36" s="836" t="s">
        <v>163</v>
      </c>
      <c r="B36" s="837"/>
      <c r="C36" s="837"/>
      <c r="D36" s="838" t="s">
        <v>130</v>
      </c>
      <c r="E36" s="839">
        <f>'24'!F36</f>
        <v>41051</v>
      </c>
      <c r="F36" s="1452">
        <v>41769</v>
      </c>
      <c r="G36" s="840">
        <f t="shared" si="3"/>
        <v>718</v>
      </c>
      <c r="H36" s="841">
        <f>G36+'24'!H36</f>
        <v>21308</v>
      </c>
      <c r="I36" s="839"/>
      <c r="J36" s="843">
        <f>H36/DAY(B2)</f>
        <v>852.32</v>
      </c>
      <c r="K36" s="858"/>
      <c r="L36" s="818"/>
      <c r="O36" s="845"/>
    </row>
    <row r="37" spans="1:15">
      <c r="A37" s="836" t="s">
        <v>164</v>
      </c>
      <c r="B37" s="837"/>
      <c r="C37" s="837"/>
      <c r="D37" s="838" t="s">
        <v>130</v>
      </c>
      <c r="E37" s="839">
        <f>'24'!F37</f>
        <v>214682</v>
      </c>
      <c r="F37" s="1452">
        <v>216360</v>
      </c>
      <c r="G37" s="840">
        <f t="shared" si="3"/>
        <v>1678</v>
      </c>
      <c r="H37" s="841">
        <f>G37+'24'!H37</f>
        <v>39790</v>
      </c>
      <c r="I37" s="839"/>
      <c r="J37" s="843">
        <f>H37/DAY(B2)</f>
        <v>1591.6</v>
      </c>
      <c r="K37" s="858"/>
      <c r="L37" s="818"/>
      <c r="O37" s="845"/>
    </row>
    <row r="38" spans="1:15">
      <c r="A38" s="836" t="s">
        <v>165</v>
      </c>
      <c r="B38" s="837"/>
      <c r="C38" s="837"/>
      <c r="D38" s="838" t="s">
        <v>130</v>
      </c>
      <c r="E38" s="839">
        <f>'24'!F38</f>
        <v>237159</v>
      </c>
      <c r="F38" s="1474">
        <v>238841</v>
      </c>
      <c r="G38" s="840">
        <f t="shared" si="3"/>
        <v>1682</v>
      </c>
      <c r="H38" s="841">
        <f>G38+'24'!H38</f>
        <v>40382</v>
      </c>
      <c r="I38" s="839"/>
      <c r="J38" s="843">
        <f>H38/DAY(B2)</f>
        <v>1615.28</v>
      </c>
      <c r="K38" s="858"/>
      <c r="L38" s="818"/>
      <c r="O38" s="845"/>
    </row>
    <row r="39" spans="1:15">
      <c r="A39" s="836" t="s">
        <v>166</v>
      </c>
      <c r="B39" s="837"/>
      <c r="C39" s="837"/>
      <c r="D39" s="838" t="s">
        <v>130</v>
      </c>
      <c r="E39" s="839">
        <f>'24'!F39</f>
        <v>493956</v>
      </c>
      <c r="F39" s="1452">
        <v>497728</v>
      </c>
      <c r="G39" s="840">
        <f t="shared" si="3"/>
        <v>3772</v>
      </c>
      <c r="H39" s="841">
        <f>G39+'24'!H39</f>
        <v>92864</v>
      </c>
      <c r="I39" s="839"/>
      <c r="J39" s="843">
        <f>H39/DAY(B2)</f>
        <v>3714.56</v>
      </c>
      <c r="K39" s="858"/>
      <c r="L39" s="818"/>
      <c r="O39" s="845"/>
    </row>
    <row r="40" spans="1:15">
      <c r="A40" s="912" t="s">
        <v>167</v>
      </c>
      <c r="B40" s="913"/>
      <c r="C40" s="913"/>
      <c r="D40" s="838" t="s">
        <v>130</v>
      </c>
      <c r="E40" s="839">
        <f>'24'!F40</f>
        <v>16874</v>
      </c>
      <c r="F40" s="1452">
        <v>17514</v>
      </c>
      <c r="G40" s="840">
        <f t="shared" si="3"/>
        <v>640</v>
      </c>
      <c r="H40" s="841">
        <f>G40+'24'!H40</f>
        <v>10401</v>
      </c>
      <c r="I40" s="839"/>
      <c r="J40" s="843">
        <f>H40/DAY(B2)</f>
        <v>416.04</v>
      </c>
      <c r="K40" s="865"/>
      <c r="L40" s="818"/>
      <c r="O40" s="845"/>
    </row>
    <row r="41" spans="1:15">
      <c r="A41" s="836" t="s">
        <v>168</v>
      </c>
      <c r="B41" s="837"/>
      <c r="C41" s="837"/>
      <c r="D41" s="838" t="s">
        <v>130</v>
      </c>
      <c r="E41" s="839">
        <f>'24'!F41</f>
        <v>366839.55</v>
      </c>
      <c r="F41" s="1452">
        <v>366840</v>
      </c>
      <c r="G41" s="840">
        <f t="shared" si="3"/>
        <v>0.45000000001164153</v>
      </c>
      <c r="H41" s="841">
        <f>G41+'24'!H41</f>
        <v>37198</v>
      </c>
      <c r="I41" s="839"/>
      <c r="J41" s="843">
        <f>H41/DAY(B2)</f>
        <v>1487.92</v>
      </c>
      <c r="K41" s="858"/>
      <c r="L41" s="818"/>
      <c r="O41" s="845"/>
    </row>
    <row r="42" spans="1:15">
      <c r="A42" s="836" t="s">
        <v>169</v>
      </c>
      <c r="B42" s="837"/>
      <c r="C42" s="837"/>
      <c r="D42" s="838" t="s">
        <v>130</v>
      </c>
      <c r="E42" s="839">
        <f>'24'!F42</f>
        <v>92947</v>
      </c>
      <c r="F42" s="1452">
        <v>94767</v>
      </c>
      <c r="G42" s="840">
        <f t="shared" si="3"/>
        <v>1820</v>
      </c>
      <c r="H42" s="841">
        <f>G42+'24'!H42</f>
        <v>35568.11</v>
      </c>
      <c r="I42" s="839"/>
      <c r="J42" s="843">
        <f>H42/DAY(B2)</f>
        <v>1422.7244000000001</v>
      </c>
      <c r="K42" s="858"/>
      <c r="L42" s="818"/>
      <c r="O42" s="845"/>
    </row>
    <row r="43" spans="1:15">
      <c r="A43" s="836" t="s">
        <v>170</v>
      </c>
      <c r="B43" s="837"/>
      <c r="C43" s="837"/>
      <c r="D43" s="838" t="s">
        <v>130</v>
      </c>
      <c r="E43" s="839">
        <f>'24'!F43</f>
        <v>1185173</v>
      </c>
      <c r="F43" s="1452">
        <v>1188043</v>
      </c>
      <c r="G43" s="840">
        <f t="shared" si="3"/>
        <v>2870</v>
      </c>
      <c r="H43" s="841">
        <f>G43+'24'!H43</f>
        <v>67591</v>
      </c>
      <c r="I43" s="839"/>
      <c r="J43" s="843">
        <f>H43/DAY(B2)</f>
        <v>2703.64</v>
      </c>
      <c r="K43" s="858"/>
      <c r="L43" s="818"/>
      <c r="O43" s="845"/>
    </row>
    <row r="44" spans="1:15">
      <c r="A44" s="836" t="s">
        <v>171</v>
      </c>
      <c r="B44" s="837"/>
      <c r="C44" s="837"/>
      <c r="D44" s="838" t="s">
        <v>130</v>
      </c>
      <c r="E44" s="839">
        <f>'24'!F44</f>
        <v>0</v>
      </c>
      <c r="F44" s="1452">
        <v>0</v>
      </c>
      <c r="G44" s="840">
        <f t="shared" si="3"/>
        <v>0</v>
      </c>
      <c r="H44" s="841">
        <f>G44+'24'!H44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172</v>
      </c>
      <c r="B45" s="837"/>
      <c r="C45" s="837"/>
      <c r="D45" s="838" t="s">
        <v>130</v>
      </c>
      <c r="E45" s="839">
        <f>'24'!F45</f>
        <v>614</v>
      </c>
      <c r="F45" s="1452">
        <v>614</v>
      </c>
      <c r="G45" s="840">
        <f t="shared" si="3"/>
        <v>0</v>
      </c>
      <c r="H45" s="841">
        <f>G45+'24'!H45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173</v>
      </c>
      <c r="B46" s="837"/>
      <c r="C46" s="837"/>
      <c r="D46" s="838" t="s">
        <v>130</v>
      </c>
      <c r="E46" s="839">
        <f>'24'!F46</f>
        <v>187</v>
      </c>
      <c r="F46" s="1452">
        <v>187</v>
      </c>
      <c r="G46" s="840">
        <f t="shared" si="3"/>
        <v>0</v>
      </c>
      <c r="H46" s="841">
        <f>G46+'24'!H46</f>
        <v>-0.49000000000000909</v>
      </c>
      <c r="I46" s="839"/>
      <c r="J46" s="843">
        <f>H46/DAY(B2)</f>
        <v>-1.9600000000000364E-2</v>
      </c>
      <c r="K46" s="858"/>
      <c r="L46" s="818"/>
      <c r="O46" s="845"/>
    </row>
    <row r="47" spans="1:15">
      <c r="A47" s="860" t="s">
        <v>174</v>
      </c>
      <c r="B47" s="861"/>
      <c r="C47" s="861"/>
      <c r="D47" s="829"/>
      <c r="E47" s="825"/>
      <c r="F47" s="1473"/>
      <c r="G47" s="862">
        <f>G35+G36+G37+G38+G39+G40+G41+G42+G43+G44+G45+G46</f>
        <v>13180.450000000012</v>
      </c>
      <c r="H47" s="841">
        <f>G47+'24'!H47</f>
        <v>375786.11</v>
      </c>
      <c r="I47" s="839"/>
      <c r="J47" s="843">
        <f>H47/DAY(B2)</f>
        <v>15031.4444</v>
      </c>
      <c r="K47" s="858"/>
      <c r="L47" s="818"/>
      <c r="N47" s="1008"/>
      <c r="O47" s="845"/>
    </row>
    <row r="48" spans="1:15">
      <c r="A48" s="909" t="s">
        <v>175</v>
      </c>
      <c r="B48" s="910"/>
      <c r="C48" s="910"/>
      <c r="D48" s="833"/>
      <c r="E48" s="832"/>
      <c r="F48" s="1473"/>
      <c r="G48" s="833"/>
      <c r="H48" s="833"/>
      <c r="I48" s="833"/>
      <c r="J48" s="834"/>
      <c r="K48" s="858"/>
      <c r="L48" s="818"/>
      <c r="O48" s="845"/>
    </row>
    <row r="49" spans="1:15">
      <c r="A49" s="836" t="s">
        <v>162</v>
      </c>
      <c r="B49" s="914"/>
      <c r="C49" s="914"/>
      <c r="D49" s="838" t="s">
        <v>130</v>
      </c>
      <c r="E49" s="1451">
        <f>'24'!F49</f>
        <v>303071</v>
      </c>
      <c r="F49" s="1452">
        <v>306064</v>
      </c>
      <c r="G49" s="1015">
        <f t="shared" ref="G49:G58" si="4">F49-E49</f>
        <v>2993</v>
      </c>
      <c r="H49" s="841">
        <f>G49+'24'!H49</f>
        <v>45300</v>
      </c>
      <c r="I49" s="839"/>
      <c r="J49" s="843">
        <f>H49/DAY(B2)</f>
        <v>1812</v>
      </c>
      <c r="K49" s="858"/>
      <c r="L49" s="818"/>
      <c r="O49" s="845"/>
    </row>
    <row r="50" spans="1:15">
      <c r="A50" s="836" t="s">
        <v>176</v>
      </c>
      <c r="B50" s="914"/>
      <c r="C50" s="914"/>
      <c r="D50" s="838" t="s">
        <v>130</v>
      </c>
      <c r="E50" s="839">
        <f>'24'!F50</f>
        <v>562765</v>
      </c>
      <c r="F50" s="1452">
        <v>563903</v>
      </c>
      <c r="G50" s="840">
        <f t="shared" si="4"/>
        <v>1138</v>
      </c>
      <c r="H50" s="841">
        <f>G50+'24'!H50</f>
        <v>28147</v>
      </c>
      <c r="I50" s="839"/>
      <c r="J50" s="843">
        <f>H50/DAY(B2)</f>
        <v>1125.8800000000001</v>
      </c>
      <c r="K50" s="858"/>
      <c r="L50" s="818"/>
      <c r="O50" s="845"/>
    </row>
    <row r="51" spans="1:15">
      <c r="A51" s="836" t="s">
        <v>164</v>
      </c>
      <c r="B51" s="914"/>
      <c r="C51" s="914"/>
      <c r="D51" s="838" t="s">
        <v>130</v>
      </c>
      <c r="E51" s="839">
        <f>'24'!F51</f>
        <v>144640</v>
      </c>
      <c r="F51" s="1452">
        <v>144639.87</v>
      </c>
      <c r="G51" s="840">
        <f t="shared" si="4"/>
        <v>-0.13000000000465661</v>
      </c>
      <c r="H51" s="841">
        <f>G51+'24'!H51</f>
        <v>-0.13000000000465661</v>
      </c>
      <c r="I51" s="839"/>
      <c r="J51" s="843">
        <f>H51/DAY(B2)</f>
        <v>-5.2000000001862648E-3</v>
      </c>
      <c r="K51" s="858"/>
      <c r="L51" s="818"/>
      <c r="O51" s="845"/>
    </row>
    <row r="52" spans="1:15">
      <c r="A52" s="836" t="s">
        <v>177</v>
      </c>
      <c r="B52" s="914"/>
      <c r="C52" s="914"/>
      <c r="D52" s="838" t="s">
        <v>130</v>
      </c>
      <c r="E52" s="839">
        <f>'24'!F52</f>
        <v>539606</v>
      </c>
      <c r="F52" s="1452">
        <v>539606.06999999995</v>
      </c>
      <c r="G52" s="840">
        <f t="shared" si="4"/>
        <v>6.9999999948777258E-2</v>
      </c>
      <c r="H52" s="841">
        <f>G52+'24'!H52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166</v>
      </c>
      <c r="B53" s="914"/>
      <c r="C53" s="914"/>
      <c r="D53" s="838" t="s">
        <v>130</v>
      </c>
      <c r="E53" s="839">
        <f>'24'!F53</f>
        <v>434232</v>
      </c>
      <c r="F53" s="1452">
        <v>434232</v>
      </c>
      <c r="G53" s="840">
        <f t="shared" si="4"/>
        <v>0</v>
      </c>
      <c r="H53" s="841">
        <f>G53+'24'!H53</f>
        <v>-0.33000000001629815</v>
      </c>
      <c r="I53" s="839"/>
      <c r="J53" s="843">
        <f>H53/DAY(B2)</f>
        <v>-1.3200000000651926E-2</v>
      </c>
      <c r="K53" s="858"/>
      <c r="L53" s="818"/>
      <c r="O53" s="845"/>
    </row>
    <row r="54" spans="1:15">
      <c r="A54" s="836" t="s">
        <v>178</v>
      </c>
      <c r="B54" s="914"/>
      <c r="C54" s="914"/>
      <c r="D54" s="838" t="s">
        <v>130</v>
      </c>
      <c r="E54" s="839">
        <f>'24'!F54</f>
        <v>14967</v>
      </c>
      <c r="F54" s="1452">
        <v>14967</v>
      </c>
      <c r="G54" s="840">
        <f t="shared" si="4"/>
        <v>0</v>
      </c>
      <c r="H54" s="841">
        <f>G54+'24'!H54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179</v>
      </c>
      <c r="B55" s="914"/>
      <c r="C55" s="914"/>
      <c r="D55" s="838" t="s">
        <v>130</v>
      </c>
      <c r="E55" s="839">
        <f>'24'!F55</f>
        <v>209892</v>
      </c>
      <c r="F55" s="1452">
        <v>215539</v>
      </c>
      <c r="G55" s="840">
        <f t="shared" si="4"/>
        <v>5647</v>
      </c>
      <c r="H55" s="841">
        <f>G55+'24'!H55</f>
        <v>92329</v>
      </c>
      <c r="I55" s="839"/>
      <c r="J55" s="843">
        <f>H55/DAY(B2)</f>
        <v>3693.16</v>
      </c>
      <c r="K55" s="858"/>
      <c r="L55" s="818"/>
      <c r="O55" s="845"/>
    </row>
    <row r="56" spans="1:15">
      <c r="A56" s="836" t="s">
        <v>180</v>
      </c>
      <c r="B56" s="914"/>
      <c r="C56" s="914"/>
      <c r="D56" s="838" t="s">
        <v>181</v>
      </c>
      <c r="E56" s="839">
        <f>'24'!F56</f>
        <v>649273</v>
      </c>
      <c r="F56" s="1452">
        <v>649273</v>
      </c>
      <c r="G56" s="840">
        <f t="shared" si="4"/>
        <v>0</v>
      </c>
      <c r="H56" s="841">
        <f>G56+'24'!H56</f>
        <v>231</v>
      </c>
      <c r="I56" s="839"/>
      <c r="J56" s="843">
        <f>H56/DAY(B2)</f>
        <v>9.24</v>
      </c>
      <c r="K56" s="835"/>
      <c r="L56" s="818"/>
      <c r="O56" s="845"/>
    </row>
    <row r="57" spans="1:15">
      <c r="A57" s="836" t="s">
        <v>170</v>
      </c>
      <c r="B57" s="914"/>
      <c r="C57" s="914"/>
      <c r="D57" s="838" t="s">
        <v>130</v>
      </c>
      <c r="E57" s="839">
        <f>'24'!F57</f>
        <v>7711</v>
      </c>
      <c r="F57" s="1452">
        <v>7711</v>
      </c>
      <c r="G57" s="840">
        <f t="shared" si="4"/>
        <v>0</v>
      </c>
      <c r="H57" s="841">
        <f>G57+'24'!H57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182</v>
      </c>
      <c r="B58" s="914"/>
      <c r="C58" s="914"/>
      <c r="D58" s="838" t="s">
        <v>130</v>
      </c>
      <c r="E58" s="839">
        <f>'24'!F58</f>
        <v>58256</v>
      </c>
      <c r="F58" s="1452">
        <v>58492</v>
      </c>
      <c r="G58" s="840">
        <f t="shared" si="4"/>
        <v>236</v>
      </c>
      <c r="H58" s="841">
        <f>G58+'24'!H58</f>
        <v>4312</v>
      </c>
      <c r="I58" s="839"/>
      <c r="J58" s="843">
        <f>H58/DAY(B2)</f>
        <v>172.48</v>
      </c>
      <c r="K58" s="858"/>
      <c r="L58" s="818"/>
      <c r="O58" s="845"/>
    </row>
    <row r="59" spans="1:15">
      <c r="A59" s="860" t="s">
        <v>174</v>
      </c>
      <c r="B59" s="861"/>
      <c r="C59" s="861"/>
      <c r="D59" s="825"/>
      <c r="E59" s="825"/>
      <c r="F59" s="1473"/>
      <c r="G59" s="862">
        <f>G49+G50+G51+G52+G53+G54+G55+G56+G57+G58</f>
        <v>10013.939999999944</v>
      </c>
      <c r="H59" s="841">
        <f>G59+'24'!H59</f>
        <v>170318.60999999993</v>
      </c>
      <c r="I59" s="839">
        <f>G7-G60</f>
        <v>-171.38999999995576</v>
      </c>
      <c r="J59" s="843">
        <f>H59/DAY(B2)</f>
        <v>6812.7443999999969</v>
      </c>
      <c r="K59" s="858"/>
      <c r="L59" s="818"/>
      <c r="O59" s="845"/>
    </row>
    <row r="60" spans="1:15">
      <c r="A60" s="836"/>
      <c r="B60" s="837"/>
      <c r="C60" s="837"/>
      <c r="D60" s="825" t="s">
        <v>183</v>
      </c>
      <c r="E60" s="825"/>
      <c r="F60" s="1473"/>
      <c r="G60" s="862">
        <f>G47+G59</f>
        <v>23194.389999999956</v>
      </c>
      <c r="H60" s="841">
        <f>G60+'24'!H60</f>
        <v>553008.05000000005</v>
      </c>
      <c r="I60" s="839">
        <f>G13-G60</f>
        <v>-902.38999999995576</v>
      </c>
      <c r="J60" s="843">
        <f>H60/DAY(B2)</f>
        <v>22120.322</v>
      </c>
      <c r="K60" s="858"/>
      <c r="L60" s="818"/>
      <c r="O60" s="845"/>
    </row>
    <row r="61" spans="1:15">
      <c r="A61" s="915" t="s">
        <v>184</v>
      </c>
      <c r="B61" s="916"/>
      <c r="C61" s="916"/>
      <c r="D61" s="916"/>
      <c r="E61" s="917"/>
      <c r="F61" s="1480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185</v>
      </c>
      <c r="E62" s="839">
        <f>'24'!F62</f>
        <v>20419</v>
      </c>
      <c r="F62" s="1481">
        <v>20419</v>
      </c>
      <c r="G62" s="840">
        <f t="shared" ref="G62:G69" si="5">F62-E62</f>
        <v>0</v>
      </c>
      <c r="H62" s="841">
        <f>G62+'24'!H62</f>
        <v>1.9999999967694748E-3</v>
      </c>
      <c r="I62" s="922"/>
      <c r="J62" s="843">
        <f>H62/DAY(B2)</f>
        <v>7.9999999870778991E-5</v>
      </c>
      <c r="K62" s="858"/>
      <c r="L62" s="818"/>
      <c r="O62" s="845"/>
    </row>
    <row r="63" spans="1:15">
      <c r="A63" s="919" t="s">
        <v>186</v>
      </c>
      <c r="B63" s="920"/>
      <c r="C63" s="920"/>
      <c r="D63" s="825" t="s">
        <v>185</v>
      </c>
      <c r="E63" s="839">
        <f>'24'!F63</f>
        <v>0</v>
      </c>
      <c r="F63" s="1481">
        <v>0</v>
      </c>
      <c r="G63" s="840">
        <f t="shared" si="5"/>
        <v>0</v>
      </c>
      <c r="H63" s="841">
        <f>G63+'24'!H63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9" t="s">
        <v>98</v>
      </c>
      <c r="B64" s="1660"/>
      <c r="C64" s="1661"/>
      <c r="D64" s="838" t="s">
        <v>185</v>
      </c>
      <c r="E64" s="839">
        <f>'24'!F64</f>
        <v>179237</v>
      </c>
      <c r="F64" s="989">
        <v>179586</v>
      </c>
      <c r="G64" s="840">
        <f t="shared" si="5"/>
        <v>349</v>
      </c>
      <c r="H64" s="841">
        <f>G64+'24'!H64</f>
        <v>9564</v>
      </c>
      <c r="I64" s="859"/>
      <c r="J64" s="843">
        <f>H64/DAY(B2)</f>
        <v>382.56</v>
      </c>
      <c r="K64" s="858"/>
      <c r="L64" s="818"/>
      <c r="O64" s="845"/>
    </row>
    <row r="65" spans="1:15">
      <c r="A65" s="1659" t="s">
        <v>99</v>
      </c>
      <c r="B65" s="1660"/>
      <c r="C65" s="1661"/>
      <c r="D65" s="838" t="s">
        <v>185</v>
      </c>
      <c r="E65" s="839">
        <f>'24'!F65</f>
        <v>179514</v>
      </c>
      <c r="F65" s="989">
        <v>179904</v>
      </c>
      <c r="G65" s="840">
        <f t="shared" si="5"/>
        <v>390</v>
      </c>
      <c r="H65" s="841">
        <f>G65+'24'!H65</f>
        <v>9602</v>
      </c>
      <c r="I65" s="877"/>
      <c r="J65" s="843">
        <f>H65/DAY(B2)</f>
        <v>384.08</v>
      </c>
      <c r="K65" s="858"/>
      <c r="L65" s="818"/>
      <c r="O65" s="845"/>
    </row>
    <row r="66" spans="1:15">
      <c r="A66" s="1659" t="s">
        <v>100</v>
      </c>
      <c r="B66" s="1660"/>
      <c r="C66" s="1661"/>
      <c r="D66" s="838" t="s">
        <v>185</v>
      </c>
      <c r="E66" s="839">
        <f>'24'!F66</f>
        <v>77824</v>
      </c>
      <c r="F66" s="989">
        <v>78223</v>
      </c>
      <c r="G66" s="840">
        <f t="shared" si="5"/>
        <v>399</v>
      </c>
      <c r="H66" s="841">
        <f>G66+'24'!H66</f>
        <v>10253</v>
      </c>
      <c r="I66" s="859"/>
      <c r="J66" s="843">
        <f>H66/DAY(B2)</f>
        <v>410.12</v>
      </c>
      <c r="K66" s="858"/>
      <c r="L66" s="818"/>
      <c r="O66" s="845"/>
    </row>
    <row r="67" spans="1:15">
      <c r="A67" s="1659" t="s">
        <v>101</v>
      </c>
      <c r="B67" s="1660"/>
      <c r="C67" s="1661"/>
      <c r="D67" s="838" t="s">
        <v>185</v>
      </c>
      <c r="E67" s="839">
        <f>'24'!F67</f>
        <v>276482</v>
      </c>
      <c r="F67" s="989">
        <v>276979</v>
      </c>
      <c r="G67" s="840">
        <f t="shared" si="5"/>
        <v>497</v>
      </c>
      <c r="H67" s="841">
        <f>G67+'24'!H67</f>
        <v>12020</v>
      </c>
      <c r="I67" s="877"/>
      <c r="J67" s="843">
        <f>H67/DAY(B2)</f>
        <v>480.8</v>
      </c>
      <c r="K67" s="865"/>
      <c r="L67" s="818"/>
      <c r="O67" s="845"/>
    </row>
    <row r="68" spans="1:15">
      <c r="A68" s="1659" t="s">
        <v>102</v>
      </c>
      <c r="B68" s="1660"/>
      <c r="C68" s="1661"/>
      <c r="D68" s="838" t="s">
        <v>185</v>
      </c>
      <c r="E68" s="839">
        <f>'24'!F68</f>
        <v>85321</v>
      </c>
      <c r="F68" s="989">
        <v>85321</v>
      </c>
      <c r="G68" s="840">
        <f t="shared" si="5"/>
        <v>0</v>
      </c>
      <c r="H68" s="841">
        <f>G68+'24'!H68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9" t="s">
        <v>103</v>
      </c>
      <c r="B69" s="1660"/>
      <c r="C69" s="1661"/>
      <c r="D69" s="838" t="s">
        <v>185</v>
      </c>
      <c r="E69" s="839">
        <f>'24'!F69</f>
        <v>94148</v>
      </c>
      <c r="F69" s="989">
        <v>94476</v>
      </c>
      <c r="G69" s="840">
        <f t="shared" si="5"/>
        <v>328</v>
      </c>
      <c r="H69" s="841">
        <f>G69+'24'!H69</f>
        <v>6961</v>
      </c>
      <c r="I69" s="923"/>
      <c r="J69" s="843">
        <f>H69/DAY(B2)</f>
        <v>278.44</v>
      </c>
      <c r="K69" s="925"/>
      <c r="L69" s="818"/>
      <c r="O69" s="845"/>
    </row>
    <row r="70" spans="1:15">
      <c r="A70" s="1668" t="s">
        <v>187</v>
      </c>
      <c r="B70" s="1669"/>
      <c r="C70" s="1670"/>
      <c r="D70" s="838" t="s">
        <v>185</v>
      </c>
      <c r="E70" s="926"/>
      <c r="F70" s="1482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5" t="s">
        <v>188</v>
      </c>
      <c r="B71" s="1666"/>
      <c r="C71" s="1666"/>
      <c r="D71" s="1666"/>
      <c r="E71" s="1666"/>
      <c r="F71" s="1666"/>
      <c r="G71" s="1666"/>
      <c r="H71" s="1666"/>
      <c r="I71" s="1666"/>
      <c r="J71" s="1667"/>
      <c r="K71" s="924"/>
      <c r="L71" s="818"/>
      <c r="O71" s="845"/>
    </row>
    <row r="72" spans="1:15">
      <c r="A72" s="1659" t="s">
        <v>189</v>
      </c>
      <c r="B72" s="1660"/>
      <c r="C72" s="1661"/>
      <c r="D72" s="838" t="s">
        <v>185</v>
      </c>
      <c r="E72" s="839">
        <f>'24'!F72</f>
        <v>856522</v>
      </c>
      <c r="F72" s="930">
        <v>856532</v>
      </c>
      <c r="G72" s="840">
        <f t="shared" ref="G72:G84" si="6">F72-E72</f>
        <v>10</v>
      </c>
      <c r="H72" s="841">
        <f>G72+'24'!H72</f>
        <v>297</v>
      </c>
      <c r="I72" s="859"/>
      <c r="J72" s="843">
        <f>H72/DAY(B2)</f>
        <v>11.88</v>
      </c>
      <c r="K72" s="925"/>
      <c r="L72" s="818"/>
      <c r="O72" s="845"/>
    </row>
    <row r="73" spans="1:15">
      <c r="A73" s="1659" t="s">
        <v>190</v>
      </c>
      <c r="B73" s="1660"/>
      <c r="C73" s="1661"/>
      <c r="D73" s="838" t="s">
        <v>185</v>
      </c>
      <c r="E73" s="839">
        <f>'24'!F73</f>
        <v>886005</v>
      </c>
      <c r="F73" s="930">
        <v>886006</v>
      </c>
      <c r="G73" s="840">
        <f t="shared" si="6"/>
        <v>1</v>
      </c>
      <c r="H73" s="841">
        <f>G73+'24'!H73</f>
        <v>172</v>
      </c>
      <c r="I73" s="859"/>
      <c r="J73" s="843">
        <f>H73/DAY(B2)</f>
        <v>6.88</v>
      </c>
      <c r="K73" s="924"/>
      <c r="L73" s="818"/>
      <c r="O73" s="845"/>
    </row>
    <row r="74" spans="1:15">
      <c r="A74" s="1659" t="s">
        <v>191</v>
      </c>
      <c r="B74" s="1660"/>
      <c r="C74" s="1661"/>
      <c r="D74" s="838" t="s">
        <v>185</v>
      </c>
      <c r="E74" s="839">
        <f>'24'!F74</f>
        <v>88723</v>
      </c>
      <c r="F74" s="930">
        <v>88723</v>
      </c>
      <c r="G74" s="840">
        <f t="shared" si="6"/>
        <v>0</v>
      </c>
      <c r="H74" s="841">
        <f>G74+'24'!H74</f>
        <v>61</v>
      </c>
      <c r="I74" s="859"/>
      <c r="J74" s="843">
        <f>H74/DAY(B2)</f>
        <v>2.44</v>
      </c>
      <c r="K74" s="925"/>
      <c r="L74" s="818"/>
      <c r="O74" s="845"/>
    </row>
    <row r="75" spans="1:15">
      <c r="A75" s="1662" t="s">
        <v>192</v>
      </c>
      <c r="B75" s="1663"/>
      <c r="C75" s="1664"/>
      <c r="D75" s="838" t="s">
        <v>185</v>
      </c>
      <c r="E75" s="839">
        <f>'24'!F75</f>
        <v>19819</v>
      </c>
      <c r="F75" s="930">
        <v>19984</v>
      </c>
      <c r="G75" s="840">
        <f t="shared" si="6"/>
        <v>165</v>
      </c>
      <c r="H75" s="841">
        <f>G75+'24'!H75</f>
        <v>3913</v>
      </c>
      <c r="I75" s="859"/>
      <c r="J75" s="843">
        <f>H75/DAY(B2)</f>
        <v>156.52000000000001</v>
      </c>
      <c r="K75" s="924"/>
      <c r="L75" s="818"/>
      <c r="O75" s="845"/>
    </row>
    <row r="76" spans="1:15">
      <c r="A76" s="1662" t="s">
        <v>193</v>
      </c>
      <c r="B76" s="1663"/>
      <c r="C76" s="1664"/>
      <c r="D76" s="838" t="s">
        <v>185</v>
      </c>
      <c r="E76" s="839">
        <f>'24'!F76</f>
        <v>10910</v>
      </c>
      <c r="F76" s="930">
        <v>10981</v>
      </c>
      <c r="G76" s="840">
        <f t="shared" si="6"/>
        <v>71</v>
      </c>
      <c r="H76" s="841">
        <f>G76+'24'!H76</f>
        <v>2762</v>
      </c>
      <c r="I76" s="902"/>
      <c r="J76" s="843">
        <f>H76/DAY(B2)</f>
        <v>110.48</v>
      </c>
      <c r="K76" s="924"/>
      <c r="L76" s="818"/>
      <c r="O76" s="845"/>
    </row>
    <row r="77" spans="1:15">
      <c r="A77" s="1659" t="s">
        <v>194</v>
      </c>
      <c r="B77" s="1660"/>
      <c r="C77" s="1661"/>
      <c r="D77" s="838" t="s">
        <v>185</v>
      </c>
      <c r="E77" s="839">
        <f>'24'!F77</f>
        <v>705890</v>
      </c>
      <c r="F77" s="930">
        <v>705945</v>
      </c>
      <c r="G77" s="840">
        <f t="shared" si="6"/>
        <v>55</v>
      </c>
      <c r="H77" s="841">
        <f>G77+'24'!H77</f>
        <v>1571</v>
      </c>
      <c r="I77" s="902"/>
      <c r="J77" s="843">
        <f>H77/DAY(B2)</f>
        <v>62.84</v>
      </c>
      <c r="K77" s="924"/>
      <c r="L77" s="818"/>
      <c r="O77" s="845"/>
    </row>
    <row r="78" spans="1:15">
      <c r="A78" s="932" t="s">
        <v>195</v>
      </c>
      <c r="B78" s="1133"/>
      <c r="C78" s="1133"/>
      <c r="D78" s="838" t="s">
        <v>185</v>
      </c>
      <c r="E78" s="839">
        <f>'24'!F78</f>
        <v>677877</v>
      </c>
      <c r="F78" s="930">
        <v>678011</v>
      </c>
      <c r="G78" s="840">
        <f t="shared" si="6"/>
        <v>134</v>
      </c>
      <c r="H78" s="841">
        <f>G78+'24'!H78</f>
        <v>2597</v>
      </c>
      <c r="I78" s="902"/>
      <c r="J78" s="843">
        <f>H78/DAY(B2)</f>
        <v>103.88</v>
      </c>
      <c r="K78" s="924"/>
      <c r="L78" s="818"/>
      <c r="O78" s="845"/>
    </row>
    <row r="79" spans="1:15">
      <c r="A79" s="1662" t="s">
        <v>91</v>
      </c>
      <c r="B79" s="1663"/>
      <c r="C79" s="1664"/>
      <c r="D79" s="871" t="s">
        <v>185</v>
      </c>
      <c r="E79" s="839">
        <f>'24'!F79</f>
        <v>839182</v>
      </c>
      <c r="F79" s="930">
        <v>839324</v>
      </c>
      <c r="G79" s="840">
        <f t="shared" si="6"/>
        <v>142</v>
      </c>
      <c r="H79" s="841">
        <f>G79+'24'!H79</f>
        <v>3170</v>
      </c>
      <c r="I79" s="902"/>
      <c r="J79" s="843">
        <f>H79/DAY(B2)</f>
        <v>126.8</v>
      </c>
      <c r="K79" s="924"/>
      <c r="L79" s="818"/>
      <c r="O79" s="845"/>
    </row>
    <row r="80" spans="1:15">
      <c r="A80" s="1662" t="s">
        <v>196</v>
      </c>
      <c r="B80" s="1663"/>
      <c r="C80" s="1664"/>
      <c r="D80" s="871" t="s">
        <v>185</v>
      </c>
      <c r="E80" s="839">
        <f>'24'!F80</f>
        <v>549161</v>
      </c>
      <c r="F80" s="930">
        <v>549604</v>
      </c>
      <c r="G80" s="840">
        <f t="shared" si="6"/>
        <v>443</v>
      </c>
      <c r="H80" s="841">
        <f>G80+'24'!H80</f>
        <v>7213</v>
      </c>
      <c r="I80" s="902"/>
      <c r="J80" s="843">
        <f>H80/DAY(B2)</f>
        <v>288.52</v>
      </c>
      <c r="K80" s="924"/>
      <c r="L80" s="818"/>
      <c r="O80" s="845"/>
    </row>
    <row r="81" spans="1:15">
      <c r="A81" s="1662" t="s">
        <v>197</v>
      </c>
      <c r="B81" s="1663"/>
      <c r="C81" s="1664"/>
      <c r="D81" s="871" t="s">
        <v>185</v>
      </c>
      <c r="E81" s="839">
        <f>'24'!F81</f>
        <v>647656</v>
      </c>
      <c r="F81" s="930">
        <v>647880</v>
      </c>
      <c r="G81" s="840">
        <f t="shared" si="6"/>
        <v>224</v>
      </c>
      <c r="H81" s="841">
        <f>G81+'24'!H81</f>
        <v>4895</v>
      </c>
      <c r="I81" s="902"/>
      <c r="J81" s="843">
        <f>H81/DAY(B2)</f>
        <v>195.8</v>
      </c>
      <c r="K81" s="924"/>
      <c r="L81" s="818"/>
      <c r="O81" s="845"/>
    </row>
    <row r="82" spans="1:15">
      <c r="A82" s="1662" t="s">
        <v>92</v>
      </c>
      <c r="B82" s="1663"/>
      <c r="C82" s="1664"/>
      <c r="D82" s="872" t="s">
        <v>130</v>
      </c>
      <c r="E82" s="839">
        <f>'24'!F82</f>
        <v>109189</v>
      </c>
      <c r="F82" s="989">
        <v>109216</v>
      </c>
      <c r="G82" s="840">
        <f t="shared" si="6"/>
        <v>27</v>
      </c>
      <c r="H82" s="841">
        <f>G82+'24'!H82</f>
        <v>535</v>
      </c>
      <c r="I82" s="873"/>
      <c r="J82" s="843">
        <f>H82/DAY(B2)</f>
        <v>21.4</v>
      </c>
      <c r="K82" s="924"/>
      <c r="L82" s="818"/>
      <c r="N82" s="1006">
        <f>371*0.99</f>
        <v>367.29</v>
      </c>
      <c r="O82" s="845"/>
    </row>
    <row r="83" spans="1:15">
      <c r="A83" s="1662" t="s">
        <v>198</v>
      </c>
      <c r="B83" s="1663"/>
      <c r="C83" s="1664"/>
      <c r="D83" s="934" t="s">
        <v>130</v>
      </c>
      <c r="E83" s="839">
        <f>'24'!F83</f>
        <v>33153</v>
      </c>
      <c r="F83" s="1473">
        <v>33827</v>
      </c>
      <c r="G83" s="840">
        <f t="shared" si="6"/>
        <v>674</v>
      </c>
      <c r="H83" s="841">
        <f>G83+'24'!H83</f>
        <v>6276</v>
      </c>
      <c r="I83" s="862"/>
      <c r="J83" s="843">
        <f>H83/DAY(B2)</f>
        <v>251.04</v>
      </c>
      <c r="K83" s="865"/>
      <c r="L83" s="818"/>
      <c r="O83" s="845"/>
    </row>
    <row r="84" spans="1:15">
      <c r="A84" s="935" t="s">
        <v>199</v>
      </c>
      <c r="B84" s="936"/>
      <c r="C84" s="936"/>
      <c r="D84" s="856" t="s">
        <v>130</v>
      </c>
      <c r="E84" s="839">
        <f>'24'!F84</f>
        <v>541751</v>
      </c>
      <c r="F84" s="937">
        <v>542535</v>
      </c>
      <c r="G84" s="840">
        <f t="shared" si="6"/>
        <v>784</v>
      </c>
      <c r="H84" s="841">
        <f>G84+'24'!H84</f>
        <v>19455</v>
      </c>
      <c r="I84" s="862"/>
      <c r="J84" s="843">
        <f>H84/DAY(B2)</f>
        <v>778.2</v>
      </c>
      <c r="K84" s="938"/>
      <c r="L84" s="818"/>
      <c r="O84" s="845"/>
    </row>
    <row r="85" spans="1:15" s="942" customFormat="1">
      <c r="A85" s="939" t="s">
        <v>200</v>
      </c>
      <c r="B85" s="940"/>
      <c r="C85" s="940"/>
      <c r="D85" s="877"/>
      <c r="E85" s="839"/>
      <c r="F85" s="937"/>
      <c r="G85" s="841">
        <f xml:space="preserve"> SUM(G72:G84)</f>
        <v>2730</v>
      </c>
      <c r="H85" s="841">
        <f>G85+'24'!H85</f>
        <v>55791</v>
      </c>
      <c r="I85" s="862"/>
      <c r="J85" s="843">
        <f>H85/DAY(B2)</f>
        <v>2231.64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181</v>
      </c>
      <c r="E86" s="839">
        <f>'24'!F86</f>
        <v>462344</v>
      </c>
      <c r="F86" s="946">
        <v>462353</v>
      </c>
      <c r="G86" s="947">
        <f t="shared" ref="G86:G91" si="7">F86-E86</f>
        <v>9</v>
      </c>
      <c r="H86" s="947">
        <f t="shared" ref="H86:H88" si="8">G86</f>
        <v>9</v>
      </c>
      <c r="I86" s="948"/>
      <c r="J86" s="949">
        <f>H86/DAY(B2)</f>
        <v>0.36</v>
      </c>
      <c r="K86" s="950"/>
      <c r="L86" s="951"/>
      <c r="N86" s="1010">
        <f>G86/0.995</f>
        <v>9.0452261306532655</v>
      </c>
      <c r="O86" s="845"/>
    </row>
    <row r="87" spans="1:15" s="952" customFormat="1">
      <c r="A87" s="943" t="s">
        <v>94</v>
      </c>
      <c r="B87" s="944"/>
      <c r="C87" s="944"/>
      <c r="D87" s="945" t="s">
        <v>181</v>
      </c>
      <c r="E87" s="839">
        <f>'24'!F87</f>
        <v>82741</v>
      </c>
      <c r="F87" s="946">
        <v>82758</v>
      </c>
      <c r="G87" s="947">
        <f t="shared" si="7"/>
        <v>17</v>
      </c>
      <c r="H87" s="947">
        <f t="shared" si="8"/>
        <v>17</v>
      </c>
      <c r="I87" s="948"/>
      <c r="J87" s="949">
        <f>H87/DAY(B2)</f>
        <v>0.68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181</v>
      </c>
      <c r="E88" s="839">
        <f>'24'!F88</f>
        <v>158055</v>
      </c>
      <c r="F88" s="946">
        <v>158073</v>
      </c>
      <c r="G88" s="947">
        <f t="shared" si="7"/>
        <v>18</v>
      </c>
      <c r="H88" s="947">
        <f t="shared" si="8"/>
        <v>18</v>
      </c>
      <c r="I88" s="948"/>
      <c r="J88" s="949">
        <f>H88/DAY(B2)</f>
        <v>0.72</v>
      </c>
      <c r="K88" s="950"/>
      <c r="L88" s="951"/>
      <c r="N88" s="1010"/>
      <c r="O88" s="845"/>
    </row>
    <row r="89" spans="1:15" s="952" customFormat="1">
      <c r="A89" s="943" t="s">
        <v>202</v>
      </c>
      <c r="B89" s="944"/>
      <c r="C89" s="944"/>
      <c r="D89" s="945" t="s">
        <v>181</v>
      </c>
      <c r="E89" s="839">
        <f>'24'!F89</f>
        <v>66767</v>
      </c>
      <c r="F89" s="946">
        <v>66779</v>
      </c>
      <c r="G89" s="947">
        <f t="shared" si="7"/>
        <v>12</v>
      </c>
      <c r="H89" s="947">
        <f>G89</f>
        <v>12</v>
      </c>
      <c r="I89" s="948"/>
      <c r="J89" s="949">
        <f>H89/DAY(B2)</f>
        <v>0.48</v>
      </c>
      <c r="K89" s="950"/>
      <c r="L89" s="951"/>
      <c r="N89" s="1016">
        <f>204/205</f>
        <v>0.99512195121951219</v>
      </c>
      <c r="O89" s="845"/>
    </row>
    <row r="90" spans="1:15" s="952" customFormat="1">
      <c r="A90" s="943" t="s">
        <v>202</v>
      </c>
      <c r="B90" s="944"/>
      <c r="C90" s="944"/>
      <c r="D90" s="945" t="s">
        <v>181</v>
      </c>
      <c r="E90" s="839">
        <f>'24'!F90</f>
        <v>3430</v>
      </c>
      <c r="F90" s="946">
        <v>3432</v>
      </c>
      <c r="G90" s="947">
        <f t="shared" si="7"/>
        <v>2</v>
      </c>
      <c r="H90" s="947">
        <f>G90</f>
        <v>2</v>
      </c>
      <c r="I90" s="948"/>
      <c r="J90" s="949">
        <f>H90/DAY(B2)</f>
        <v>0.08</v>
      </c>
      <c r="K90" s="950"/>
      <c r="L90" s="951"/>
      <c r="N90" s="1011"/>
      <c r="O90" s="845"/>
    </row>
    <row r="91" spans="1:15" s="1470" customFormat="1">
      <c r="A91" s="1464" t="s">
        <v>346</v>
      </c>
      <c r="B91" s="1465"/>
      <c r="C91" s="1465"/>
      <c r="D91" s="1466"/>
      <c r="E91" s="874">
        <f>'24'!F91</f>
        <v>28447</v>
      </c>
      <c r="F91" s="946">
        <v>28448</v>
      </c>
      <c r="G91" s="857">
        <f t="shared" si="7"/>
        <v>1</v>
      </c>
      <c r="H91" s="857">
        <f>G91</f>
        <v>1</v>
      </c>
      <c r="I91" s="1015"/>
      <c r="J91" s="1467"/>
      <c r="K91" s="1468"/>
      <c r="L91" s="1469"/>
      <c r="N91" s="1471"/>
      <c r="O91" s="1472"/>
    </row>
    <row r="92" spans="1:15" s="942" customFormat="1">
      <c r="A92" s="953" t="s">
        <v>203</v>
      </c>
      <c r="B92" s="833"/>
      <c r="C92" s="833"/>
      <c r="D92" s="833"/>
      <c r="E92" s="833"/>
      <c r="F92" s="937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3" t="s">
        <v>204</v>
      </c>
      <c r="B93" s="1654"/>
      <c r="C93" s="1655"/>
      <c r="D93" s="838" t="s">
        <v>142</v>
      </c>
      <c r="E93" s="839">
        <f>'24'!F93</f>
        <v>249728</v>
      </c>
      <c r="F93" s="989">
        <v>249862</v>
      </c>
      <c r="G93" s="840">
        <f t="shared" ref="G93:G94" si="9">F93-E93</f>
        <v>134</v>
      </c>
      <c r="H93" s="841">
        <f>G93+'24'!H93</f>
        <v>2510</v>
      </c>
      <c r="I93" s="859"/>
      <c r="J93" s="843">
        <f>H93/DAY(B2)</f>
        <v>100.4</v>
      </c>
      <c r="K93" s="865"/>
      <c r="L93" s="818"/>
      <c r="O93" s="845"/>
    </row>
    <row r="94" spans="1:15">
      <c r="A94" s="1653" t="s">
        <v>205</v>
      </c>
      <c r="B94" s="1654"/>
      <c r="C94" s="1655"/>
      <c r="D94" s="838" t="s">
        <v>142</v>
      </c>
      <c r="E94" s="839">
        <f>'24'!F94</f>
        <v>192302</v>
      </c>
      <c r="F94" s="989">
        <v>192369</v>
      </c>
      <c r="G94" s="840">
        <f t="shared" si="9"/>
        <v>67</v>
      </c>
      <c r="H94" s="841">
        <f>G94+'24'!H94</f>
        <v>2915</v>
      </c>
      <c r="I94" s="859"/>
      <c r="J94" s="843">
        <f>H94/DAY(B2)</f>
        <v>116.6</v>
      </c>
      <c r="K94" s="938"/>
      <c r="L94" s="818"/>
      <c r="O94" s="845"/>
    </row>
    <row r="95" spans="1:15">
      <c r="A95" s="1645" t="s">
        <v>206</v>
      </c>
      <c r="B95" s="1646"/>
      <c r="C95" s="1647"/>
      <c r="D95" s="838"/>
      <c r="E95" s="839">
        <f>'24'!F95</f>
        <v>0</v>
      </c>
      <c r="F95" s="989"/>
      <c r="G95" s="840">
        <f>G93+G94</f>
        <v>201</v>
      </c>
      <c r="H95" s="841">
        <f>G95+'24'!H95</f>
        <v>5239</v>
      </c>
      <c r="I95" s="859"/>
      <c r="J95" s="843">
        <f>H95/DAY(B2)</f>
        <v>209.56</v>
      </c>
      <c r="K95" s="938"/>
      <c r="L95" s="818"/>
      <c r="O95" s="845"/>
    </row>
    <row r="96" spans="1:15">
      <c r="A96" s="1653" t="s">
        <v>207</v>
      </c>
      <c r="B96" s="1654"/>
      <c r="C96" s="1655"/>
      <c r="D96" s="838" t="s">
        <v>142</v>
      </c>
      <c r="E96" s="839">
        <f>'24'!F96</f>
        <v>418044</v>
      </c>
      <c r="F96" s="989">
        <v>418122</v>
      </c>
      <c r="G96" s="840">
        <f t="shared" ref="G96:G101" si="10">F96-E96</f>
        <v>78</v>
      </c>
      <c r="H96" s="841">
        <f>G96+'24'!H96</f>
        <v>2123</v>
      </c>
      <c r="I96" s="859"/>
      <c r="J96" s="843">
        <f>H96/DAY(B2)</f>
        <v>84.92</v>
      </c>
      <c r="K96" s="938"/>
      <c r="L96" s="818"/>
      <c r="O96" s="845"/>
    </row>
    <row r="97" spans="1:15">
      <c r="A97" s="866" t="s">
        <v>208</v>
      </c>
      <c r="B97" s="867"/>
      <c r="C97" s="867"/>
      <c r="D97" s="838" t="s">
        <v>142</v>
      </c>
      <c r="E97" s="839">
        <f>'24'!F97</f>
        <v>103687</v>
      </c>
      <c r="F97" s="989">
        <v>103718</v>
      </c>
      <c r="G97" s="840">
        <f t="shared" si="10"/>
        <v>31</v>
      </c>
      <c r="H97" s="841">
        <f>G97+'24'!H97</f>
        <v>555</v>
      </c>
      <c r="I97" s="859"/>
      <c r="J97" s="843">
        <f>H97/DAY(B2)</f>
        <v>22.2</v>
      </c>
      <c r="K97" s="835"/>
      <c r="L97" s="818"/>
      <c r="O97" s="845"/>
    </row>
    <row r="98" spans="1:15">
      <c r="A98" s="866" t="s">
        <v>209</v>
      </c>
      <c r="B98" s="867"/>
      <c r="C98" s="867"/>
      <c r="D98" s="838" t="s">
        <v>142</v>
      </c>
      <c r="E98" s="839">
        <f>'24'!F98</f>
        <v>99257</v>
      </c>
      <c r="F98" s="989">
        <v>99296</v>
      </c>
      <c r="G98" s="840">
        <f t="shared" si="10"/>
        <v>39</v>
      </c>
      <c r="H98" s="841">
        <f>G98+'24'!H98</f>
        <v>639</v>
      </c>
      <c r="I98" s="859"/>
      <c r="J98" s="843">
        <f>H98/DAY(B2)</f>
        <v>25.56</v>
      </c>
      <c r="K98" s="954"/>
      <c r="L98" s="818"/>
      <c r="O98" s="845"/>
    </row>
    <row r="99" spans="1:15">
      <c r="A99" s="866" t="s">
        <v>210</v>
      </c>
      <c r="B99" s="867"/>
      <c r="C99" s="867"/>
      <c r="D99" s="838" t="s">
        <v>142</v>
      </c>
      <c r="E99" s="839">
        <f>'24'!F99</f>
        <v>151067</v>
      </c>
      <c r="F99" s="989">
        <v>151102</v>
      </c>
      <c r="G99" s="840">
        <f t="shared" si="10"/>
        <v>35</v>
      </c>
      <c r="H99" s="841">
        <f>G99+'24'!H99</f>
        <v>697</v>
      </c>
      <c r="I99" s="859"/>
      <c r="J99" s="843">
        <f>H99/DAY(B2)</f>
        <v>27.88</v>
      </c>
      <c r="K99" s="938"/>
      <c r="L99" s="818"/>
      <c r="O99" s="845"/>
    </row>
    <row r="100" spans="1:15">
      <c r="A100" s="866" t="s">
        <v>211</v>
      </c>
      <c r="B100" s="867"/>
      <c r="C100" s="867"/>
      <c r="D100" s="838" t="s">
        <v>142</v>
      </c>
      <c r="E100" s="839">
        <f>'24'!F100</f>
        <v>8072</v>
      </c>
      <c r="F100" s="989">
        <v>8089</v>
      </c>
      <c r="G100" s="840">
        <f t="shared" si="10"/>
        <v>17</v>
      </c>
      <c r="H100" s="841">
        <f>G100+'24'!H100</f>
        <v>292</v>
      </c>
      <c r="I100" s="859"/>
      <c r="J100" s="843">
        <f>H100/DAY(B2)</f>
        <v>11.68</v>
      </c>
      <c r="K100" s="938"/>
      <c r="L100" s="818"/>
      <c r="O100" s="845"/>
    </row>
    <row r="101" spans="1:15">
      <c r="A101" s="866" t="s">
        <v>212</v>
      </c>
      <c r="B101" s="867"/>
      <c r="C101" s="867"/>
      <c r="D101" s="838" t="s">
        <v>142</v>
      </c>
      <c r="E101" s="839">
        <f>'24'!F101</f>
        <v>5919</v>
      </c>
      <c r="F101" s="989">
        <v>5933</v>
      </c>
      <c r="G101" s="840">
        <f t="shared" si="10"/>
        <v>14</v>
      </c>
      <c r="H101" s="841">
        <f>G101+'24'!H101</f>
        <v>259</v>
      </c>
      <c r="I101" s="859"/>
      <c r="J101" s="843">
        <f>H101/DAY(B2)</f>
        <v>10.36</v>
      </c>
      <c r="K101" s="938"/>
      <c r="L101" s="818"/>
      <c r="O101" s="845"/>
    </row>
    <row r="102" spans="1:15">
      <c r="A102" s="1645" t="s">
        <v>214</v>
      </c>
      <c r="B102" s="1646"/>
      <c r="C102" s="1647"/>
      <c r="D102" s="871"/>
      <c r="E102" s="871"/>
      <c r="F102" s="937"/>
      <c r="G102" s="955">
        <f>SUM(G96:G101)</f>
        <v>214</v>
      </c>
      <c r="H102" s="841">
        <f>G102+'24'!H102</f>
        <v>4565</v>
      </c>
      <c r="I102" s="956"/>
      <c r="J102" s="843">
        <f>H102/DAY(B2)</f>
        <v>182.6</v>
      </c>
      <c r="K102" s="938"/>
      <c r="L102" s="818"/>
      <c r="O102" s="845"/>
    </row>
    <row r="103" spans="1:15" s="889" customFormat="1">
      <c r="A103" s="957" t="s">
        <v>215</v>
      </c>
      <c r="B103" s="958"/>
      <c r="C103" s="958"/>
      <c r="D103" s="959"/>
      <c r="E103" s="960"/>
      <c r="F103" s="1483"/>
      <c r="G103" s="962"/>
      <c r="H103" s="963"/>
      <c r="I103" s="964"/>
      <c r="J103" s="965"/>
      <c r="N103" s="1007"/>
      <c r="O103" s="845"/>
    </row>
    <row r="104" spans="1:15" s="889" customFormat="1">
      <c r="A104" s="1642" t="s">
        <v>216</v>
      </c>
      <c r="B104" s="1643"/>
      <c r="C104" s="966"/>
      <c r="D104" s="967"/>
      <c r="E104" s="968"/>
      <c r="F104" s="972"/>
      <c r="G104" s="968"/>
      <c r="H104" s="969"/>
      <c r="I104" s="968"/>
      <c r="J104" s="970"/>
      <c r="N104" s="1007"/>
      <c r="O104" s="845"/>
    </row>
    <row r="105" spans="1:15" s="889" customFormat="1">
      <c r="A105" s="1636" t="s">
        <v>217</v>
      </c>
      <c r="B105" s="1637"/>
      <c r="C105" s="971"/>
      <c r="D105" s="967" t="s">
        <v>142</v>
      </c>
      <c r="E105" s="968">
        <f>'24'!F105</f>
        <v>7637</v>
      </c>
      <c r="F105" s="972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2.7751999999999679</v>
      </c>
      <c r="N105" s="1007"/>
      <c r="O105" s="845"/>
    </row>
    <row r="106" spans="1:15" s="889" customFormat="1">
      <c r="A106" s="1636" t="s">
        <v>76</v>
      </c>
      <c r="B106" s="1637"/>
      <c r="C106" s="971"/>
      <c r="D106" s="967" t="s">
        <v>142</v>
      </c>
      <c r="E106" s="968">
        <f>'24'!F106</f>
        <v>36393</v>
      </c>
      <c r="F106" s="972">
        <v>36403</v>
      </c>
      <c r="G106" s="968">
        <f t="shared" ref="G106:G107" si="11">F106-E106</f>
        <v>10</v>
      </c>
      <c r="H106" s="969">
        <f>SUM(G106+'1'!G77)</f>
        <v>63</v>
      </c>
      <c r="I106" s="968"/>
      <c r="J106" s="970">
        <f>H106/DAY(B2)</f>
        <v>2.52</v>
      </c>
      <c r="N106" s="1007"/>
      <c r="O106" s="845"/>
    </row>
    <row r="107" spans="1:15" s="889" customFormat="1">
      <c r="A107" s="1636" t="s">
        <v>77</v>
      </c>
      <c r="B107" s="1644"/>
      <c r="C107" s="1637"/>
      <c r="D107" s="967" t="s">
        <v>142</v>
      </c>
      <c r="E107" s="968">
        <f>'24'!F107</f>
        <v>19929</v>
      </c>
      <c r="F107" s="972">
        <v>19934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4.76</v>
      </c>
      <c r="N107" s="1007"/>
      <c r="O107" s="845"/>
    </row>
    <row r="108" spans="1:15" s="889" customFormat="1">
      <c r="A108" s="1638" t="s">
        <v>200</v>
      </c>
      <c r="B108" s="1639"/>
      <c r="C108" s="971"/>
      <c r="D108" s="967"/>
      <c r="E108" s="968">
        <f>'24'!F108</f>
        <v>0</v>
      </c>
      <c r="F108" s="972"/>
      <c r="G108" s="968">
        <f>SUM(G105:G107)</f>
        <v>15</v>
      </c>
      <c r="H108" s="969">
        <f>SUM(G108+'1'!G79)</f>
        <v>168</v>
      </c>
      <c r="I108" s="968"/>
      <c r="J108" s="970">
        <f>H108/DAY(B2)</f>
        <v>6.72</v>
      </c>
      <c r="N108" s="1007"/>
      <c r="O108" s="845"/>
    </row>
    <row r="109" spans="1:15" s="889" customFormat="1">
      <c r="A109" s="1634" t="s">
        <v>78</v>
      </c>
      <c r="B109" s="1635"/>
      <c r="C109" s="971"/>
      <c r="D109" s="967" t="s">
        <v>142</v>
      </c>
      <c r="E109" s="968">
        <f>'24'!F109</f>
        <v>0</v>
      </c>
      <c r="F109" s="972"/>
      <c r="G109" s="968"/>
      <c r="H109" s="969"/>
      <c r="I109" s="968"/>
      <c r="J109" s="970"/>
      <c r="N109" s="1007"/>
      <c r="O109" s="845"/>
    </row>
    <row r="110" spans="1:15" s="889" customFormat="1">
      <c r="A110" s="1636" t="s">
        <v>218</v>
      </c>
      <c r="B110" s="1637"/>
      <c r="C110" s="971"/>
      <c r="D110" s="967" t="s">
        <v>142</v>
      </c>
      <c r="E110" s="968">
        <f>'24'!F110</f>
        <v>66579</v>
      </c>
      <c r="F110" s="972">
        <v>66651</v>
      </c>
      <c r="G110" s="968">
        <f>F110-E110</f>
        <v>72</v>
      </c>
      <c r="H110" s="969">
        <f>SUM(G110+'1'!G81)</f>
        <v>203.64000000001397</v>
      </c>
      <c r="I110" s="968"/>
      <c r="J110" s="970">
        <f>H110/DAY(B2)</f>
        <v>8.1456000000005595</v>
      </c>
      <c r="N110" s="1007"/>
      <c r="O110" s="845"/>
    </row>
    <row r="111" spans="1:15" s="889" customFormat="1">
      <c r="A111" s="1636" t="s">
        <v>219</v>
      </c>
      <c r="B111" s="1637"/>
      <c r="C111" s="971"/>
      <c r="D111" s="967" t="s">
        <v>142</v>
      </c>
      <c r="E111" s="968">
        <f>'24'!F111</f>
        <v>33790</v>
      </c>
      <c r="F111" s="972">
        <v>33827</v>
      </c>
      <c r="G111" s="968">
        <f t="shared" ref="G111:G112" si="12">F111-E111</f>
        <v>37</v>
      </c>
      <c r="H111" s="969">
        <f>SUM(G111+'1'!G82)</f>
        <v>61.899999999994179</v>
      </c>
      <c r="I111" s="968"/>
      <c r="J111" s="970">
        <f>H111/DAY(B2)</f>
        <v>2.4759999999997673</v>
      </c>
      <c r="N111" s="1007"/>
      <c r="O111" s="845"/>
    </row>
    <row r="112" spans="1:15" s="889" customFormat="1">
      <c r="A112" s="1636" t="s">
        <v>220</v>
      </c>
      <c r="B112" s="1637"/>
      <c r="C112" s="971"/>
      <c r="D112" s="967" t="s">
        <v>142</v>
      </c>
      <c r="E112" s="968">
        <f>'24'!F112</f>
        <v>4622</v>
      </c>
      <c r="F112" s="972">
        <v>4622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14.04</v>
      </c>
      <c r="N112" s="1007"/>
      <c r="O112" s="845"/>
    </row>
    <row r="113" spans="1:15" s="889" customFormat="1">
      <c r="A113" s="1640" t="s">
        <v>109</v>
      </c>
      <c r="B113" s="1641"/>
      <c r="C113" s="971"/>
      <c r="D113" s="967"/>
      <c r="E113" s="968">
        <f>'24'!F113</f>
        <v>0</v>
      </c>
      <c r="F113" s="972"/>
      <c r="G113" s="968">
        <f>SUM(G110:G112)</f>
        <v>109</v>
      </c>
      <c r="H113" s="969">
        <f>SUM(G113+'1'!G84)</f>
        <v>925</v>
      </c>
      <c r="I113" s="968"/>
      <c r="J113" s="970">
        <f>H113/DAY(B2)</f>
        <v>37</v>
      </c>
      <c r="N113" s="1007"/>
      <c r="O113" s="845"/>
    </row>
    <row r="114" spans="1:15" s="889" customFormat="1">
      <c r="A114" s="1634" t="s">
        <v>221</v>
      </c>
      <c r="B114" s="1635"/>
      <c r="C114" s="971"/>
      <c r="D114" s="967"/>
      <c r="E114" s="968">
        <f>'24'!F114</f>
        <v>0</v>
      </c>
      <c r="F114" s="972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6" t="s">
        <v>222</v>
      </c>
      <c r="B115" s="1637"/>
      <c r="C115" s="973"/>
      <c r="D115" s="967" t="s">
        <v>142</v>
      </c>
      <c r="E115" s="968">
        <f>'24'!F115</f>
        <v>12353</v>
      </c>
      <c r="F115" s="972">
        <v>12372</v>
      </c>
      <c r="G115" s="972">
        <f>F115-E115</f>
        <v>19</v>
      </c>
      <c r="H115" s="969">
        <f>SUM(G115+'1'!G92)</f>
        <v>19</v>
      </c>
      <c r="I115" s="968"/>
      <c r="J115" s="970">
        <f>H115/DAY(B2)</f>
        <v>0.76</v>
      </c>
      <c r="N115" s="1007"/>
      <c r="O115" s="845"/>
    </row>
    <row r="116" spans="1:15" s="889" customFormat="1">
      <c r="A116" s="1636" t="s">
        <v>223</v>
      </c>
      <c r="B116" s="1637"/>
      <c r="C116" s="973"/>
      <c r="D116" s="967" t="s">
        <v>142</v>
      </c>
      <c r="E116" s="968">
        <f>'24'!F116</f>
        <v>8757</v>
      </c>
      <c r="F116" s="972">
        <v>8772</v>
      </c>
      <c r="G116" s="972">
        <f t="shared" ref="G116:G117" si="13">F116-E116</f>
        <v>15</v>
      </c>
      <c r="H116" s="969">
        <f>SUM(G116+'1'!G93)</f>
        <v>104</v>
      </c>
      <c r="I116" s="968"/>
      <c r="J116" s="970">
        <f>H116/DAY(B2)</f>
        <v>4.16</v>
      </c>
      <c r="N116" s="1007"/>
      <c r="O116" s="845"/>
    </row>
    <row r="117" spans="1:15" s="889" customFormat="1">
      <c r="A117" s="1636" t="s">
        <v>224</v>
      </c>
      <c r="B117" s="1637"/>
      <c r="C117" s="973"/>
      <c r="D117" s="967" t="s">
        <v>142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3.88</v>
      </c>
      <c r="N117" s="1007"/>
      <c r="O117" s="845"/>
    </row>
    <row r="118" spans="1:15" s="975" customFormat="1">
      <c r="A118" s="1638" t="s">
        <v>200</v>
      </c>
      <c r="B118" s="1639"/>
      <c r="C118" s="973"/>
      <c r="D118" s="974"/>
      <c r="E118" s="972"/>
      <c r="F118" s="972"/>
      <c r="G118" s="972">
        <f>SUM(G115:G117)</f>
        <v>34</v>
      </c>
      <c r="H118" s="969">
        <f>SUM(G118+'1'!G96)</f>
        <v>120</v>
      </c>
      <c r="I118" s="972"/>
      <c r="J118" s="970">
        <f>H118/DAY(B2)</f>
        <v>4.8</v>
      </c>
      <c r="N118" s="1012"/>
      <c r="O118" s="845"/>
    </row>
    <row r="119" spans="1:15" s="768" customFormat="1">
      <c r="A119" s="1631" t="s">
        <v>225</v>
      </c>
      <c r="B119" s="1632"/>
      <c r="C119" s="976"/>
      <c r="D119" s="977" t="s">
        <v>142</v>
      </c>
      <c r="E119" s="978"/>
      <c r="F119" s="979"/>
      <c r="G119" s="979">
        <f>SUM(G19+G93)</f>
        <v>196</v>
      </c>
      <c r="H119" s="969">
        <f>SUM(G119+'1'!G97)</f>
        <v>213</v>
      </c>
      <c r="I119" s="978"/>
      <c r="J119" s="980">
        <f>H119/DAY(B2)</f>
        <v>8.52</v>
      </c>
      <c r="N119" s="1013"/>
      <c r="O119" s="845"/>
    </row>
    <row r="120" spans="1:15" s="768" customFormat="1">
      <c r="A120" s="1631" t="s">
        <v>226</v>
      </c>
      <c r="B120" s="1632"/>
      <c r="C120" s="976"/>
      <c r="D120" s="977" t="s">
        <v>142</v>
      </c>
      <c r="E120" s="978"/>
      <c r="F120" s="979"/>
      <c r="G120" s="979">
        <f>SUM(G96,G97,G98,G100,G101)</f>
        <v>179</v>
      </c>
      <c r="H120" s="969">
        <f>SUM(G120+'1'!G99)</f>
        <v>229</v>
      </c>
      <c r="I120" s="978"/>
      <c r="J120" s="980">
        <f>H120/DAY(B2)</f>
        <v>9.16</v>
      </c>
      <c r="N120" s="1013"/>
      <c r="O120" s="845"/>
    </row>
    <row r="121" spans="1:15" s="768" customFormat="1">
      <c r="A121" s="1631" t="s">
        <v>227</v>
      </c>
      <c r="B121" s="1632"/>
      <c r="C121" s="976"/>
      <c r="D121" s="977" t="s">
        <v>142</v>
      </c>
      <c r="E121" s="978"/>
      <c r="F121" s="972"/>
      <c r="G121" s="972">
        <f>SUM(G113)</f>
        <v>109</v>
      </c>
      <c r="H121" s="969">
        <f>SUM(G121+'1'!G101)</f>
        <v>114</v>
      </c>
      <c r="I121" s="978"/>
      <c r="J121" s="980">
        <f>H121/DAY(B2)</f>
        <v>4.5599999999999996</v>
      </c>
      <c r="N121" s="1013"/>
      <c r="O121" s="845"/>
    </row>
    <row r="122" spans="1:15" s="889" customFormat="1">
      <c r="A122" s="1633"/>
      <c r="B122" s="1630"/>
      <c r="C122" s="971"/>
      <c r="D122" s="966"/>
      <c r="E122" s="966"/>
      <c r="F122" s="1484"/>
      <c r="G122" s="966"/>
      <c r="H122" s="981"/>
      <c r="I122" s="966"/>
      <c r="J122" s="982"/>
      <c r="N122" s="1007"/>
      <c r="O122" s="845"/>
    </row>
    <row r="123" spans="1:15">
      <c r="A123" s="1648" t="s">
        <v>228</v>
      </c>
      <c r="B123" s="1649"/>
      <c r="C123" s="1650"/>
      <c r="D123" s="833"/>
      <c r="E123" s="833"/>
      <c r="F123" s="937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229</v>
      </c>
      <c r="B124" s="867"/>
      <c r="C124" s="867"/>
      <c r="D124" s="838" t="s">
        <v>139</v>
      </c>
      <c r="E124" s="839">
        <f>'24'!F124</f>
        <v>846155</v>
      </c>
      <c r="F124" s="1475">
        <v>846435</v>
      </c>
      <c r="G124" s="840">
        <f t="shared" ref="G124:G128" si="14">F124-E124</f>
        <v>280</v>
      </c>
      <c r="H124" s="841">
        <f>G124+'24'!H124</f>
        <v>6765</v>
      </c>
      <c r="I124" s="956"/>
      <c r="J124" s="843">
        <f>H124/DAY(B2)</f>
        <v>270.60000000000002</v>
      </c>
      <c r="K124" s="938"/>
      <c r="L124" s="818"/>
      <c r="O124" s="845"/>
    </row>
    <row r="125" spans="1:15">
      <c r="A125" s="866" t="s">
        <v>230</v>
      </c>
      <c r="B125" s="867"/>
      <c r="C125" s="867"/>
      <c r="D125" s="838" t="s">
        <v>139</v>
      </c>
      <c r="E125" s="839">
        <f>'24'!F125</f>
        <v>73583</v>
      </c>
      <c r="F125" s="1475">
        <v>73583</v>
      </c>
      <c r="G125" s="840">
        <f t="shared" si="14"/>
        <v>0</v>
      </c>
      <c r="H125" s="841">
        <f>G125+'24'!H125</f>
        <v>-0.39999999999417923</v>
      </c>
      <c r="I125" s="956"/>
      <c r="J125" s="843">
        <f>H125/DAY(B2)</f>
        <v>-1.5999999999767169E-2</v>
      </c>
      <c r="K125" s="938"/>
      <c r="L125" s="818"/>
      <c r="O125" s="845"/>
    </row>
    <row r="126" spans="1:15">
      <c r="A126" s="1659" t="s">
        <v>231</v>
      </c>
      <c r="B126" s="1660"/>
      <c r="C126" s="1661"/>
      <c r="D126" s="838" t="s">
        <v>139</v>
      </c>
      <c r="E126" s="839">
        <f>'24'!F126</f>
        <v>150777</v>
      </c>
      <c r="F126" s="1475">
        <v>150850</v>
      </c>
      <c r="G126" s="840">
        <f t="shared" si="14"/>
        <v>73</v>
      </c>
      <c r="H126" s="841">
        <f>G126+'24'!H126</f>
        <v>2253</v>
      </c>
      <c r="I126" s="956"/>
      <c r="J126" s="843">
        <f>H126/DAY(B2)</f>
        <v>90.12</v>
      </c>
      <c r="K126" s="938"/>
      <c r="L126" s="818"/>
      <c r="O126" s="845"/>
    </row>
    <row r="127" spans="1:15">
      <c r="A127" s="985" t="s">
        <v>232</v>
      </c>
      <c r="B127" s="867"/>
      <c r="C127" s="867"/>
      <c r="D127" s="838" t="s">
        <v>139</v>
      </c>
      <c r="E127" s="839">
        <f>'24'!F127</f>
        <v>33015</v>
      </c>
      <c r="F127" s="1475">
        <v>33055</v>
      </c>
      <c r="G127" s="840">
        <f t="shared" si="14"/>
        <v>40</v>
      </c>
      <c r="H127" s="841">
        <f>G127+'24'!H127</f>
        <v>984</v>
      </c>
      <c r="I127" s="956"/>
      <c r="J127" s="843">
        <f>H127/DAY(B2)</f>
        <v>39.36</v>
      </c>
      <c r="K127" s="938"/>
      <c r="L127" s="818"/>
      <c r="O127" s="845"/>
    </row>
    <row r="128" spans="1:15">
      <c r="A128" s="985" t="s">
        <v>233</v>
      </c>
      <c r="B128" s="867"/>
      <c r="C128" s="867"/>
      <c r="D128" s="838" t="s">
        <v>139</v>
      </c>
      <c r="E128" s="839">
        <f>'24'!F128</f>
        <v>9095</v>
      </c>
      <c r="F128" s="1475">
        <v>9099</v>
      </c>
      <c r="G128" s="840">
        <f t="shared" si="14"/>
        <v>4</v>
      </c>
      <c r="H128" s="841">
        <f>G128+'24'!H128</f>
        <v>87</v>
      </c>
      <c r="I128" s="859"/>
      <c r="J128" s="843">
        <f>H128/DAY(B2)</f>
        <v>3.48</v>
      </c>
      <c r="K128" s="938"/>
      <c r="L128" s="818"/>
      <c r="O128" s="845"/>
    </row>
    <row r="129" spans="1:16">
      <c r="A129" s="985" t="s">
        <v>234</v>
      </c>
      <c r="B129" s="867"/>
      <c r="C129" s="867"/>
      <c r="D129" s="838"/>
      <c r="E129" s="839"/>
      <c r="F129" s="1475"/>
      <c r="G129" s="840">
        <f>G15-SUM(G124:G128)</f>
        <v>495</v>
      </c>
      <c r="H129" s="841">
        <f>G129+'24'!H129</f>
        <v>4332.8970000001373</v>
      </c>
      <c r="I129" s="859"/>
      <c r="J129" s="843">
        <f>H129/DAY(B2)</f>
        <v>173.31588000000548</v>
      </c>
      <c r="K129" s="938"/>
      <c r="L129" s="818"/>
      <c r="O129" s="845"/>
    </row>
    <row r="130" spans="1:16">
      <c r="A130" s="986" t="s">
        <v>235</v>
      </c>
      <c r="B130" s="832"/>
      <c r="C130" s="832"/>
      <c r="D130" s="832"/>
      <c r="E130" s="832"/>
      <c r="F130" s="1473"/>
      <c r="G130" s="987"/>
      <c r="H130" s="987"/>
      <c r="I130" s="987"/>
      <c r="J130" s="988"/>
      <c r="O130" s="845"/>
    </row>
    <row r="131" spans="1:16">
      <c r="A131" s="866" t="s">
        <v>236</v>
      </c>
      <c r="B131" s="867"/>
      <c r="C131" s="867"/>
      <c r="D131" s="838" t="s">
        <v>237</v>
      </c>
      <c r="E131" s="839">
        <f>'24'!F131</f>
        <v>0</v>
      </c>
      <c r="F131" s="989">
        <v>0</v>
      </c>
      <c r="G131" s="840">
        <f t="shared" ref="G131:G141" si="15">F131-E131</f>
        <v>0</v>
      </c>
      <c r="H131" s="841">
        <f>G131+'24'!H131</f>
        <v>0</v>
      </c>
      <c r="I131" s="859"/>
      <c r="J131" s="843">
        <f>H131/DAY(B2)</f>
        <v>0</v>
      </c>
      <c r="O131" s="845"/>
    </row>
    <row r="132" spans="1:16">
      <c r="A132" s="866" t="s">
        <v>238</v>
      </c>
      <c r="B132" s="867"/>
      <c r="C132" s="867"/>
      <c r="D132" s="838" t="s">
        <v>237</v>
      </c>
      <c r="E132" s="839">
        <f>'24'!F132</f>
        <v>0</v>
      </c>
      <c r="F132" s="989">
        <v>0</v>
      </c>
      <c r="G132" s="840">
        <f t="shared" si="15"/>
        <v>0</v>
      </c>
      <c r="H132" s="841">
        <f>G132+'24'!H132</f>
        <v>0</v>
      </c>
      <c r="I132" s="859"/>
      <c r="J132" s="843">
        <f>H132/DAY(B2)</f>
        <v>0</v>
      </c>
      <c r="O132" s="845"/>
    </row>
    <row r="133" spans="1:16">
      <c r="A133" s="866" t="s">
        <v>239</v>
      </c>
      <c r="B133" s="867"/>
      <c r="C133" s="867"/>
      <c r="D133" s="838" t="s">
        <v>237</v>
      </c>
      <c r="E133" s="839">
        <f>'24'!F133</f>
        <v>40619</v>
      </c>
      <c r="F133" s="989">
        <v>40619</v>
      </c>
      <c r="G133" s="840">
        <f t="shared" si="15"/>
        <v>0</v>
      </c>
      <c r="H133" s="841">
        <f>G133+'24'!H133</f>
        <v>166</v>
      </c>
      <c r="I133" s="859"/>
      <c r="J133" s="843">
        <f>H133/DAY(B2)</f>
        <v>6.64</v>
      </c>
      <c r="O133" s="845"/>
      <c r="P133" s="805">
        <f>49-24</f>
        <v>25</v>
      </c>
    </row>
    <row r="134" spans="1:16">
      <c r="A134" s="866" t="s">
        <v>240</v>
      </c>
      <c r="B134" s="867"/>
      <c r="C134" s="867"/>
      <c r="D134" s="838" t="s">
        <v>237</v>
      </c>
      <c r="E134" s="839">
        <f>'24'!F134</f>
        <v>464.38</v>
      </c>
      <c r="F134" s="989">
        <v>474</v>
      </c>
      <c r="G134" s="840">
        <f t="shared" si="15"/>
        <v>9.6200000000000045</v>
      </c>
      <c r="H134" s="841">
        <f>G134+'24'!H134</f>
        <v>174</v>
      </c>
      <c r="I134" s="859">
        <f>G131+G132+G133+G134</f>
        <v>9.6200000000000045</v>
      </c>
      <c r="J134" s="843">
        <f>H134/DAY(B2)</f>
        <v>6.96</v>
      </c>
      <c r="O134" s="845"/>
    </row>
    <row r="135" spans="1:16">
      <c r="A135" s="866" t="s">
        <v>241</v>
      </c>
      <c r="B135" s="867"/>
      <c r="C135" s="867"/>
      <c r="D135" s="838" t="s">
        <v>237</v>
      </c>
      <c r="E135" s="839">
        <f>'24'!F135</f>
        <v>42386</v>
      </c>
      <c r="F135" s="989">
        <v>42410</v>
      </c>
      <c r="G135" s="840">
        <f t="shared" si="15"/>
        <v>24</v>
      </c>
      <c r="H135" s="841">
        <f>G135+'24'!H135</f>
        <v>71.889999999999418</v>
      </c>
      <c r="I135" s="859"/>
      <c r="J135" s="843">
        <f>H135/DAY(B2)</f>
        <v>2.8755999999999768</v>
      </c>
      <c r="O135" s="845"/>
    </row>
    <row r="136" spans="1:16">
      <c r="A136" s="866" t="s">
        <v>242</v>
      </c>
      <c r="B136" s="867"/>
      <c r="C136" s="867"/>
      <c r="D136" s="838" t="s">
        <v>237</v>
      </c>
      <c r="E136" s="839">
        <f>'24'!F136</f>
        <v>32874</v>
      </c>
      <c r="F136" s="989">
        <v>32874</v>
      </c>
      <c r="G136" s="840">
        <f t="shared" si="15"/>
        <v>0</v>
      </c>
      <c r="H136" s="841">
        <f>G136+'24'!H136</f>
        <v>12.94999999999709</v>
      </c>
      <c r="I136" s="859"/>
      <c r="J136" s="843">
        <f>H136/DAY(B2)</f>
        <v>0.51799999999988355</v>
      </c>
      <c r="O136" s="845"/>
    </row>
    <row r="137" spans="1:16">
      <c r="A137" s="866" t="s">
        <v>243</v>
      </c>
      <c r="B137" s="867"/>
      <c r="C137" s="867"/>
      <c r="D137" s="838" t="s">
        <v>237</v>
      </c>
      <c r="E137" s="839">
        <f>'24'!F137</f>
        <v>23066.67</v>
      </c>
      <c r="F137" s="989">
        <v>23076</v>
      </c>
      <c r="G137" s="840">
        <f t="shared" si="15"/>
        <v>9.3300000000017462</v>
      </c>
      <c r="H137" s="841">
        <f>G137+'24'!H137</f>
        <v>184.5099999999984</v>
      </c>
      <c r="I137" s="859">
        <f>G135+G136+G137</f>
        <v>33.330000000001746</v>
      </c>
      <c r="J137" s="843">
        <f>H137/DAY(B2)</f>
        <v>7.3803999999999359</v>
      </c>
      <c r="O137" s="845"/>
    </row>
    <row r="138" spans="1:16">
      <c r="A138" s="866" t="s">
        <v>244</v>
      </c>
      <c r="B138" s="867"/>
      <c r="C138" s="867"/>
      <c r="D138" s="838" t="s">
        <v>237</v>
      </c>
      <c r="E138" s="839">
        <f>'24'!F138</f>
        <v>25099</v>
      </c>
      <c r="F138" s="989">
        <v>25099</v>
      </c>
      <c r="G138" s="840">
        <f t="shared" si="15"/>
        <v>0</v>
      </c>
      <c r="H138" s="841">
        <f>G138+'24'!H138</f>
        <v>7.8400000000001455</v>
      </c>
      <c r="I138" s="859"/>
      <c r="J138" s="843">
        <f>H138/DAY(B2)</f>
        <v>0.31360000000000582</v>
      </c>
      <c r="O138" s="845"/>
    </row>
    <row r="139" spans="1:16">
      <c r="A139" s="866" t="s">
        <v>245</v>
      </c>
      <c r="B139" s="867"/>
      <c r="C139" s="867"/>
      <c r="D139" s="838" t="s">
        <v>237</v>
      </c>
      <c r="E139" s="839">
        <f>'24'!F139</f>
        <v>70517</v>
      </c>
      <c r="F139" s="989">
        <v>70517</v>
      </c>
      <c r="G139" s="840">
        <f t="shared" si="15"/>
        <v>0</v>
      </c>
      <c r="H139" s="841">
        <f>G139+'24'!H139</f>
        <v>15.399999999994179</v>
      </c>
      <c r="I139" s="859">
        <f>G138+G139</f>
        <v>0</v>
      </c>
      <c r="J139" s="843">
        <f>H139/DAY(B2)</f>
        <v>0.61599999999976718</v>
      </c>
      <c r="O139" s="845"/>
    </row>
    <row r="140" spans="1:16">
      <c r="A140" s="866" t="s">
        <v>246</v>
      </c>
      <c r="B140" s="867"/>
      <c r="C140" s="867"/>
      <c r="D140" s="838" t="s">
        <v>237</v>
      </c>
      <c r="E140" s="839">
        <f>'24'!F140</f>
        <v>2247.77</v>
      </c>
      <c r="F140" s="989">
        <v>2255.36</v>
      </c>
      <c r="G140" s="840">
        <f t="shared" si="15"/>
        <v>7.5900000000001455</v>
      </c>
      <c r="H140" s="841">
        <f>G140+'24'!H140</f>
        <v>126.18000000000029</v>
      </c>
      <c r="I140" s="990"/>
      <c r="J140" s="843">
        <f>H140/DAY(B2)</f>
        <v>5.0472000000000117</v>
      </c>
      <c r="O140" s="845"/>
    </row>
    <row r="141" spans="1:16">
      <c r="A141" s="866" t="s">
        <v>247</v>
      </c>
      <c r="B141" s="867"/>
      <c r="C141" s="867"/>
      <c r="D141" s="838" t="s">
        <v>237</v>
      </c>
      <c r="E141" s="839">
        <f>'24'!F141</f>
        <v>4751.18</v>
      </c>
      <c r="F141" s="989">
        <v>4753.67</v>
      </c>
      <c r="G141" s="840">
        <f t="shared" si="15"/>
        <v>2.4899999999997817</v>
      </c>
      <c r="H141" s="841">
        <f>G141+'24'!H141</f>
        <v>116.67000000000007</v>
      </c>
      <c r="I141" s="990"/>
      <c r="J141" s="843">
        <f>H141/DAY(B2)</f>
        <v>4.6668000000000029</v>
      </c>
      <c r="O141" s="845"/>
    </row>
    <row r="142" spans="1:16">
      <c r="A142" s="1651" t="s">
        <v>248</v>
      </c>
      <c r="B142" s="1652"/>
      <c r="C142" s="833"/>
      <c r="D142" s="833"/>
      <c r="E142" s="833"/>
      <c r="F142" s="937"/>
      <c r="G142" s="864"/>
      <c r="H142" s="864"/>
      <c r="I142" s="864"/>
      <c r="J142" s="983"/>
      <c r="K142" s="938"/>
      <c r="L142" s="818"/>
      <c r="O142" s="845"/>
    </row>
    <row r="143" spans="1:16">
      <c r="A143" s="1653" t="s">
        <v>249</v>
      </c>
      <c r="B143" s="1654"/>
      <c r="C143" s="1655"/>
      <c r="D143" s="838" t="s">
        <v>130</v>
      </c>
      <c r="E143" s="838"/>
      <c r="F143" s="937"/>
      <c r="G143" s="841">
        <f>G35+G43+G49+G57</f>
        <v>5863</v>
      </c>
      <c r="H143" s="841">
        <f>G143+'24'!H143</f>
        <v>139787.18000000005</v>
      </c>
      <c r="I143" s="859"/>
      <c r="J143" s="843">
        <f>H143/DAY(B2)</f>
        <v>5591.4872000000023</v>
      </c>
      <c r="K143" s="938"/>
      <c r="L143" s="818"/>
      <c r="O143" s="845"/>
    </row>
    <row r="144" spans="1:16">
      <c r="A144" s="1653" t="s">
        <v>250</v>
      </c>
      <c r="B144" s="1654"/>
      <c r="C144" s="1655"/>
      <c r="D144" s="838" t="s">
        <v>24</v>
      </c>
      <c r="E144" s="825"/>
      <c r="F144" s="1473"/>
      <c r="G144" s="991">
        <f>G143/G7</f>
        <v>0.25465838509316768</v>
      </c>
      <c r="H144" s="841">
        <f>G144+'24'!H144</f>
        <v>6.3420511039334979</v>
      </c>
      <c r="I144" s="992"/>
      <c r="J144" s="843">
        <f>H144/DAY(B2)</f>
        <v>0.25368204415733991</v>
      </c>
      <c r="K144" s="938"/>
      <c r="L144" s="818"/>
      <c r="O144" s="845"/>
    </row>
    <row r="145" spans="1:15">
      <c r="A145" s="1653" t="s">
        <v>251</v>
      </c>
      <c r="B145" s="1654"/>
      <c r="C145" s="1655"/>
      <c r="D145" s="838" t="s">
        <v>130</v>
      </c>
      <c r="E145" s="839"/>
      <c r="F145" s="1451"/>
      <c r="G145" s="841">
        <f>G41+G42+G55+G56</f>
        <v>7467.4500000000116</v>
      </c>
      <c r="H145" s="841">
        <f>G145+'24'!H145</f>
        <v>170910.11000000002</v>
      </c>
      <c r="I145" s="859"/>
      <c r="J145" s="843">
        <f>H145/DAY(B2)</f>
        <v>6836.4044000000004</v>
      </c>
      <c r="K145" s="938"/>
      <c r="L145" s="818"/>
      <c r="O145" s="845"/>
    </row>
    <row r="146" spans="1:15">
      <c r="A146" s="1653" t="s">
        <v>252</v>
      </c>
      <c r="B146" s="1654"/>
      <c r="C146" s="1655"/>
      <c r="D146" s="838" t="s">
        <v>24</v>
      </c>
      <c r="E146" s="839"/>
      <c r="F146" s="1451"/>
      <c r="G146" s="991">
        <f>G145/G7</f>
        <v>0.32434739173869659</v>
      </c>
      <c r="H146" s="841">
        <f>G146+'24'!H146</f>
        <v>7.7219287791559168</v>
      </c>
      <c r="I146" s="992"/>
      <c r="J146" s="843">
        <f>H146/DAY(B2)</f>
        <v>0.30887715116623665</v>
      </c>
      <c r="K146" s="938"/>
      <c r="L146" s="818"/>
      <c r="O146" s="845"/>
    </row>
    <row r="147" spans="1:15">
      <c r="A147" s="1653" t="s">
        <v>253</v>
      </c>
      <c r="B147" s="1654"/>
      <c r="C147" s="1655"/>
      <c r="D147" s="838" t="s">
        <v>130</v>
      </c>
      <c r="E147" s="839"/>
      <c r="F147" s="1451"/>
      <c r="G147" s="841">
        <f>G39+G53</f>
        <v>3772</v>
      </c>
      <c r="H147" s="841">
        <f>G147+'24'!H147</f>
        <v>92864</v>
      </c>
      <c r="I147" s="993"/>
      <c r="J147" s="843">
        <f>H147/DAY(B2)</f>
        <v>3714.56</v>
      </c>
      <c r="K147" s="938"/>
      <c r="L147" s="818"/>
      <c r="O147" s="845"/>
    </row>
    <row r="148" spans="1:15">
      <c r="A148" s="1653" t="s">
        <v>254</v>
      </c>
      <c r="B148" s="1654"/>
      <c r="C148" s="1655"/>
      <c r="D148" s="838" t="s">
        <v>24</v>
      </c>
      <c r="E148" s="839"/>
      <c r="F148" s="1451"/>
      <c r="G148" s="991">
        <f>G147/G7</f>
        <v>0.16383616383616384</v>
      </c>
      <c r="H148" s="841">
        <f>G148+'24'!H148</f>
        <v>4.2116636368201732</v>
      </c>
      <c r="I148" s="993"/>
      <c r="J148" s="843">
        <f>H148/DAY(B2)</f>
        <v>0.16846654547280693</v>
      </c>
      <c r="O148" s="845"/>
    </row>
    <row r="149" spans="1:15">
      <c r="A149" s="1653" t="s">
        <v>255</v>
      </c>
      <c r="B149" s="1654"/>
      <c r="C149" s="1655"/>
      <c r="D149" s="838" t="s">
        <v>181</v>
      </c>
      <c r="E149" s="839"/>
      <c r="F149" s="1451"/>
      <c r="G149" s="841">
        <f>G38+G52</f>
        <v>1682.0699999999488</v>
      </c>
      <c r="H149" s="841">
        <f>G149+'24'!H149</f>
        <v>40382.069999999949</v>
      </c>
      <c r="I149" s="859"/>
      <c r="J149" s="843">
        <f>H149/DAY(B2)</f>
        <v>1615.2827999999979</v>
      </c>
      <c r="K149" s="994"/>
      <c r="O149" s="845"/>
    </row>
    <row r="150" spans="1:15">
      <c r="A150" s="1653" t="s">
        <v>256</v>
      </c>
      <c r="B150" s="1654"/>
      <c r="C150" s="1655"/>
      <c r="D150" s="838" t="s">
        <v>24</v>
      </c>
      <c r="E150" s="839"/>
      <c r="F150" s="1451"/>
      <c r="G150" s="991">
        <f>G149/G7</f>
        <v>7.306041784302432E-2</v>
      </c>
      <c r="H150" s="841">
        <f>G150+'24'!H150</f>
        <v>1.8279450688090046</v>
      </c>
      <c r="I150" s="993"/>
      <c r="J150" s="843">
        <f>H150/DAY(B2)</f>
        <v>7.3117802752360184E-2</v>
      </c>
      <c r="O150" s="845"/>
    </row>
    <row r="151" spans="1:15">
      <c r="A151" s="1653" t="s">
        <v>257</v>
      </c>
      <c r="B151" s="1654"/>
      <c r="C151" s="1655"/>
      <c r="D151" s="838" t="s">
        <v>181</v>
      </c>
      <c r="E151" s="839"/>
      <c r="F151" s="1451"/>
      <c r="G151" s="841">
        <f>G36+G50</f>
        <v>1856</v>
      </c>
      <c r="H151" s="841">
        <f>G151+'24'!H151</f>
        <v>50548</v>
      </c>
      <c r="I151" s="993"/>
      <c r="J151" s="843">
        <f>H151/DAY(B2)</f>
        <v>2021.92</v>
      </c>
      <c r="O151" s="845"/>
    </row>
    <row r="152" spans="1:15">
      <c r="A152" s="1653" t="s">
        <v>258</v>
      </c>
      <c r="B152" s="1654"/>
      <c r="C152" s="1655"/>
      <c r="D152" s="838" t="s">
        <v>24</v>
      </c>
      <c r="E152" s="839"/>
      <c r="F152" s="1451"/>
      <c r="G152" s="991">
        <f>G151/G7</f>
        <v>8.0615037136776271E-2</v>
      </c>
      <c r="H152" s="841">
        <f>G152+'24'!H152</f>
        <v>2.2805014476866465</v>
      </c>
      <c r="I152" s="859"/>
      <c r="J152" s="843">
        <f>H152/DAY(B2)</f>
        <v>9.122005790746586E-2</v>
      </c>
      <c r="O152" s="845"/>
    </row>
    <row r="153" spans="1:15">
      <c r="A153" s="1653" t="s">
        <v>259</v>
      </c>
      <c r="B153" s="1654"/>
      <c r="C153" s="1655"/>
      <c r="D153" s="838" t="s">
        <v>181</v>
      </c>
      <c r="E153" s="839"/>
      <c r="F153" s="1451"/>
      <c r="G153" s="841">
        <f>G37+G51</f>
        <v>1677.8699999999953</v>
      </c>
      <c r="H153" s="841">
        <f>G153+'24'!H153</f>
        <v>39789.869999999995</v>
      </c>
      <c r="I153" s="859"/>
      <c r="J153" s="843">
        <f>H153/DAY(B2)</f>
        <v>1591.5947999999999</v>
      </c>
      <c r="O153" s="845"/>
    </row>
    <row r="154" spans="1:15" ht="21" thickBot="1">
      <c r="A154" s="1656" t="s">
        <v>260</v>
      </c>
      <c r="B154" s="1657"/>
      <c r="C154" s="1658"/>
      <c r="D154" s="995" t="s">
        <v>24</v>
      </c>
      <c r="E154" s="996"/>
      <c r="F154" s="1485"/>
      <c r="G154" s="997">
        <f>G153/G7</f>
        <v>7.2877991573643539E-2</v>
      </c>
      <c r="H154" s="841">
        <f>G154+'24'!H154</f>
        <v>1.8020177770256689</v>
      </c>
      <c r="I154" s="998"/>
      <c r="J154" s="999">
        <f>H154/DAY(B2)</f>
        <v>7.208071108102676E-2</v>
      </c>
      <c r="O154" s="845"/>
    </row>
    <row r="155" spans="1:15">
      <c r="A155" s="1000"/>
      <c r="B155" s="1000"/>
      <c r="C155" s="1000"/>
      <c r="D155" s="1000"/>
      <c r="E155" s="1000"/>
      <c r="F155" s="1486"/>
      <c r="G155" s="1000"/>
      <c r="H155" s="1001"/>
      <c r="I155" s="1000"/>
      <c r="J155" s="1002"/>
      <c r="O155" s="845"/>
    </row>
    <row r="161" spans="1:7">
      <c r="A161" s="990" t="s">
        <v>261</v>
      </c>
      <c r="B161" s="990"/>
      <c r="C161" s="990"/>
      <c r="D161" s="825" t="s">
        <v>185</v>
      </c>
      <c r="E161" s="839">
        <f>'24'!F161</f>
        <v>42768</v>
      </c>
      <c r="F161" s="1487">
        <v>42848</v>
      </c>
      <c r="G161" s="840">
        <f t="shared" ref="G161:G164" si="16">F161-E161</f>
        <v>80</v>
      </c>
    </row>
    <row r="162" spans="1:7" ht="21.75" customHeight="1">
      <c r="A162" s="990" t="s">
        <v>262</v>
      </c>
      <c r="B162" s="990"/>
      <c r="C162" s="990"/>
      <c r="D162" s="825" t="s">
        <v>185</v>
      </c>
      <c r="E162" s="839">
        <f>'24'!F162</f>
        <v>118856</v>
      </c>
      <c r="F162" s="1487">
        <v>119316</v>
      </c>
      <c r="G162" s="840">
        <f t="shared" si="16"/>
        <v>460</v>
      </c>
    </row>
    <row r="163" spans="1:7" ht="21.75" customHeight="1">
      <c r="A163" s="990" t="s">
        <v>263</v>
      </c>
      <c r="B163" s="990"/>
      <c r="C163" s="990"/>
      <c r="D163" s="825" t="s">
        <v>185</v>
      </c>
      <c r="E163" s="839">
        <f>'24'!F163</f>
        <v>66116</v>
      </c>
      <c r="F163" s="1487">
        <v>66311</v>
      </c>
      <c r="G163" s="840">
        <f t="shared" si="16"/>
        <v>195</v>
      </c>
    </row>
    <row r="164" spans="1:7" ht="21.75" customHeight="1">
      <c r="A164" s="990" t="s">
        <v>264</v>
      </c>
      <c r="B164" s="990"/>
      <c r="C164" s="990"/>
      <c r="D164" s="825" t="s">
        <v>185</v>
      </c>
      <c r="E164" s="839">
        <f>'24'!F164</f>
        <v>7075</v>
      </c>
      <c r="F164" s="1487">
        <v>7082</v>
      </c>
      <c r="G164" s="840">
        <f t="shared" si="16"/>
        <v>7</v>
      </c>
    </row>
    <row r="165" spans="1:7" ht="21.75" customHeight="1">
      <c r="A165" s="920" t="s">
        <v>97</v>
      </c>
      <c r="B165" s="920"/>
      <c r="C165" s="920"/>
      <c r="D165" s="825" t="s">
        <v>185</v>
      </c>
      <c r="E165" s="839">
        <f>'24'!F165</f>
        <v>20419</v>
      </c>
      <c r="F165" s="148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186</v>
      </c>
      <c r="B166" s="920"/>
      <c r="C166" s="920"/>
      <c r="D166" s="825" t="s">
        <v>185</v>
      </c>
      <c r="E166" s="839">
        <f>'24'!F166</f>
        <v>0</v>
      </c>
      <c r="F166" s="1481">
        <f t="shared" ref="F166:F172" si="18">F63</f>
        <v>0</v>
      </c>
      <c r="G166" s="840">
        <f t="shared" si="17"/>
        <v>0</v>
      </c>
    </row>
    <row r="167" spans="1:7" ht="21.75" customHeight="1">
      <c r="A167" s="1628" t="s">
        <v>98</v>
      </c>
      <c r="B167" s="1628"/>
      <c r="C167" s="1628"/>
      <c r="D167" s="838" t="s">
        <v>185</v>
      </c>
      <c r="E167" s="839">
        <f>'24'!F167</f>
        <v>179237</v>
      </c>
      <c r="F167" s="1481">
        <f t="shared" si="18"/>
        <v>179586</v>
      </c>
      <c r="G167" s="840">
        <f t="shared" si="17"/>
        <v>349</v>
      </c>
    </row>
    <row r="168" spans="1:7" ht="21.75" customHeight="1">
      <c r="A168" s="1628" t="s">
        <v>99</v>
      </c>
      <c r="B168" s="1628"/>
      <c r="C168" s="1628"/>
      <c r="D168" s="838" t="s">
        <v>185</v>
      </c>
      <c r="E168" s="839">
        <f>'24'!F168</f>
        <v>179514</v>
      </c>
      <c r="F168" s="1481">
        <f t="shared" si="18"/>
        <v>179904</v>
      </c>
      <c r="G168" s="840">
        <f t="shared" si="17"/>
        <v>390</v>
      </c>
    </row>
    <row r="169" spans="1:7" ht="21.75" customHeight="1">
      <c r="A169" s="1628" t="s">
        <v>100</v>
      </c>
      <c r="B169" s="1628"/>
      <c r="C169" s="1628"/>
      <c r="D169" s="838" t="s">
        <v>185</v>
      </c>
      <c r="E169" s="839">
        <f>'24'!F169</f>
        <v>77824</v>
      </c>
      <c r="F169" s="1481">
        <f t="shared" si="18"/>
        <v>78223</v>
      </c>
      <c r="G169" s="840">
        <f t="shared" si="17"/>
        <v>399</v>
      </c>
    </row>
    <row r="170" spans="1:7">
      <c r="A170" s="1628" t="s">
        <v>101</v>
      </c>
      <c r="B170" s="1628"/>
      <c r="C170" s="1628"/>
      <c r="D170" s="838" t="s">
        <v>185</v>
      </c>
      <c r="E170" s="839">
        <f>'24'!F170</f>
        <v>276482</v>
      </c>
      <c r="F170" s="1481">
        <f t="shared" si="18"/>
        <v>276979</v>
      </c>
      <c r="G170" s="840">
        <f t="shared" si="17"/>
        <v>497</v>
      </c>
    </row>
    <row r="171" spans="1:7" ht="24" customHeight="1">
      <c r="A171" s="1628" t="s">
        <v>102</v>
      </c>
      <c r="B171" s="1628"/>
      <c r="C171" s="1628"/>
      <c r="D171" s="838" t="s">
        <v>185</v>
      </c>
      <c r="E171" s="839">
        <f>'24'!F171</f>
        <v>85321</v>
      </c>
      <c r="F171" s="1481">
        <f t="shared" si="18"/>
        <v>85321</v>
      </c>
      <c r="G171" s="840">
        <f t="shared" si="17"/>
        <v>0</v>
      </c>
    </row>
    <row r="172" spans="1:7">
      <c r="A172" s="1628" t="s">
        <v>103</v>
      </c>
      <c r="B172" s="1628"/>
      <c r="C172" s="1628"/>
      <c r="D172" s="838" t="s">
        <v>185</v>
      </c>
      <c r="E172" s="839">
        <f>'24'!F172</f>
        <v>94148</v>
      </c>
      <c r="F172" s="1481">
        <f t="shared" si="18"/>
        <v>94476</v>
      </c>
      <c r="G172" s="840">
        <f t="shared" si="17"/>
        <v>328</v>
      </c>
    </row>
    <row r="173" spans="1:7" ht="29.25">
      <c r="A173" s="1590"/>
      <c r="B173" s="1553"/>
      <c r="C173" s="785"/>
      <c r="D173" s="523"/>
      <c r="E173" s="839">
        <f>'24'!F173</f>
        <v>0</v>
      </c>
      <c r="G173" s="1005">
        <f>SUM(G161:G172)</f>
        <v>2705</v>
      </c>
    </row>
    <row r="174" spans="1:7">
      <c r="A174" s="1628" t="s">
        <v>348</v>
      </c>
      <c r="B174" s="1628"/>
      <c r="C174" s="1628"/>
      <c r="D174" s="838" t="s">
        <v>185</v>
      </c>
      <c r="E174" s="839">
        <f>'24'!F174</f>
        <v>19114</v>
      </c>
      <c r="F174" s="968">
        <v>19116</v>
      </c>
      <c r="G174" s="840">
        <f t="shared" ref="G174:G176" si="19">F174-E174</f>
        <v>2</v>
      </c>
    </row>
    <row r="175" spans="1:7">
      <c r="A175" s="1629" t="s">
        <v>348</v>
      </c>
      <c r="B175" s="1630"/>
      <c r="C175" s="990"/>
      <c r="D175" s="838" t="s">
        <v>185</v>
      </c>
      <c r="E175" s="839">
        <f>'24'!F175</f>
        <v>70488</v>
      </c>
      <c r="F175" s="968">
        <v>70494</v>
      </c>
      <c r="G175" s="840">
        <f t="shared" si="19"/>
        <v>6</v>
      </c>
    </row>
    <row r="176" spans="1:7">
      <c r="A176" s="1629" t="s">
        <v>349</v>
      </c>
      <c r="B176" s="1630"/>
      <c r="D176" s="838" t="s">
        <v>185</v>
      </c>
      <c r="E176" s="839">
        <f>'24'!F176</f>
        <v>27755</v>
      </c>
      <c r="F176" s="968">
        <v>27760</v>
      </c>
      <c r="G176" s="840">
        <f t="shared" si="19"/>
        <v>5</v>
      </c>
    </row>
    <row r="177" spans="1:15" ht="18.75" customHeight="1">
      <c r="A177" s="1629"/>
      <c r="B177" s="1630"/>
      <c r="D177" s="838"/>
      <c r="E177" s="968"/>
      <c r="F177" s="968"/>
      <c r="G177" s="840"/>
      <c r="J177" s="1006"/>
    </row>
    <row r="178" spans="1:15" s="376" customFormat="1" ht="29.25">
      <c r="A178" s="1590"/>
      <c r="B178" s="1553"/>
      <c r="C178" s="785"/>
      <c r="D178" s="523"/>
      <c r="E178" s="532"/>
      <c r="F178" s="532"/>
      <c r="G178" s="473"/>
      <c r="H178" s="538"/>
      <c r="I178" s="537"/>
      <c r="J178" s="539"/>
      <c r="N178" s="718"/>
      <c r="O178" s="723"/>
    </row>
    <row r="179" spans="1:15" s="376" customFormat="1" ht="29.25">
      <c r="A179" s="1590"/>
      <c r="B179" s="1553"/>
      <c r="C179" s="785"/>
      <c r="D179" s="523"/>
      <c r="E179" s="532"/>
      <c r="F179" s="532"/>
      <c r="G179" s="473"/>
      <c r="H179" s="538"/>
      <c r="I179" s="537"/>
      <c r="J179" s="539"/>
      <c r="N179" s="718"/>
      <c r="O179" s="723"/>
    </row>
    <row r="180" spans="1:15" s="376" customFormat="1" ht="29.25">
      <c r="A180" s="1590"/>
      <c r="B180" s="1553"/>
      <c r="C180" s="785"/>
      <c r="D180" s="523"/>
      <c r="E180" s="532"/>
      <c r="F180" s="532"/>
      <c r="G180" s="473"/>
      <c r="H180" s="538"/>
      <c r="I180" s="537"/>
      <c r="J180" s="539"/>
      <c r="N180" s="718"/>
      <c r="O180" s="723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A152" zoomScale="70" zoomScaleSheetLayoutView="70" workbookViewId="0">
      <selection activeCell="A174" sqref="A174:G177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9.8867187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0.100000000000001" customHeight="1">
      <c r="A1" s="1671" t="s">
        <v>115</v>
      </c>
      <c r="B1" s="1672"/>
      <c r="C1" s="1672"/>
      <c r="D1" s="1672"/>
      <c r="E1" s="1672"/>
      <c r="F1" s="1672"/>
      <c r="G1" s="1672"/>
      <c r="H1" s="1672"/>
      <c r="I1" s="1672"/>
      <c r="J1" s="1673"/>
    </row>
    <row r="2" spans="1:15" ht="30.75" customHeight="1">
      <c r="A2" s="806" t="s">
        <v>363</v>
      </c>
      <c r="B2" s="1075">
        <v>44038</v>
      </c>
      <c r="C2" s="807" t="s">
        <v>68</v>
      </c>
      <c r="D2" s="1019">
        <v>0.75</v>
      </c>
      <c r="E2" s="809"/>
      <c r="F2" s="809"/>
      <c r="G2" s="809" t="s">
        <v>116</v>
      </c>
      <c r="H2" s="809" t="s">
        <v>6</v>
      </c>
      <c r="I2" s="809" t="s">
        <v>8</v>
      </c>
      <c r="J2" s="810" t="s">
        <v>117</v>
      </c>
    </row>
    <row r="3" spans="1:15" ht="20.100000000000001" customHeight="1">
      <c r="A3" s="811"/>
      <c r="B3" s="812"/>
      <c r="C3" s="807" t="s">
        <v>118</v>
      </c>
      <c r="D3" s="807">
        <v>27</v>
      </c>
      <c r="E3" s="1680" t="s">
        <v>119</v>
      </c>
      <c r="F3" s="1681"/>
      <c r="G3" s="814"/>
      <c r="H3" s="815"/>
      <c r="I3" s="815"/>
      <c r="J3" s="816"/>
      <c r="K3" s="817"/>
      <c r="L3" s="818"/>
    </row>
    <row r="4" spans="1:15" ht="20.100000000000001" customHeight="1">
      <c r="A4" s="819"/>
      <c r="B4" s="820"/>
      <c r="C4" s="807" t="s">
        <v>120</v>
      </c>
      <c r="D4" s="1019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 ht="22.5" customHeight="1">
      <c r="A5" s="824" t="s">
        <v>121</v>
      </c>
      <c r="B5" s="825"/>
      <c r="C5" s="825"/>
      <c r="D5" s="825" t="s">
        <v>122</v>
      </c>
      <c r="E5" s="826" t="s">
        <v>123</v>
      </c>
      <c r="F5" s="826" t="s">
        <v>110</v>
      </c>
      <c r="G5" s="827" t="s">
        <v>124</v>
      </c>
      <c r="H5" s="828" t="s">
        <v>125</v>
      </c>
      <c r="I5" s="829" t="s">
        <v>126</v>
      </c>
      <c r="J5" s="830" t="s">
        <v>127</v>
      </c>
      <c r="K5" s="831"/>
      <c r="L5" s="818"/>
    </row>
    <row r="6" spans="1:15" ht="20.100000000000001" customHeight="1">
      <c r="A6" s="1674" t="s">
        <v>128</v>
      </c>
      <c r="B6" s="1675"/>
      <c r="C6" s="1676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5.5" customHeight="1" thickBot="1">
      <c r="A7" s="836" t="s">
        <v>129</v>
      </c>
      <c r="B7" s="837"/>
      <c r="C7" s="837"/>
      <c r="D7" s="838" t="s">
        <v>130</v>
      </c>
      <c r="E7" s="839">
        <f>'25'!F7</f>
        <v>474588</v>
      </c>
      <c r="F7" s="455">
        <v>497210</v>
      </c>
      <c r="G7" s="840">
        <f>F7-E7</f>
        <v>22622</v>
      </c>
      <c r="H7" s="841">
        <f>G7+'25'!H7</f>
        <v>575257</v>
      </c>
      <c r="I7" s="842">
        <f>'1'!I7</f>
        <v>12000</v>
      </c>
      <c r="J7" s="843">
        <f>H7/DAY(B2)</f>
        <v>22125.26923076923</v>
      </c>
      <c r="K7" s="844"/>
      <c r="L7" s="818"/>
      <c r="N7" s="1017"/>
      <c r="O7" s="845"/>
    </row>
    <row r="8" spans="1:15" ht="20.100000000000001" customHeight="1" thickBot="1">
      <c r="A8" s="846" t="s">
        <v>131</v>
      </c>
      <c r="B8" s="847"/>
      <c r="C8" s="848"/>
      <c r="D8" s="849" t="s">
        <v>25</v>
      </c>
      <c r="E8" s="839">
        <f>'25'!F8</f>
        <v>481934</v>
      </c>
      <c r="F8" s="475">
        <v>504655</v>
      </c>
      <c r="G8" s="850">
        <f>F8-E8</f>
        <v>22721</v>
      </c>
      <c r="H8" s="841">
        <f>G8+'25'!H8</f>
        <v>577933</v>
      </c>
      <c r="I8" s="851">
        <f>'1'!I8</f>
        <v>12000</v>
      </c>
      <c r="J8" s="843">
        <f>H8/DAY(B2)</f>
        <v>22228.192307692309</v>
      </c>
      <c r="K8" s="844"/>
      <c r="L8" s="852"/>
      <c r="M8" s="853"/>
      <c r="O8" s="845"/>
    </row>
    <row r="9" spans="1:15" ht="20.100000000000001" customHeight="1">
      <c r="A9" s="854" t="s">
        <v>132</v>
      </c>
      <c r="B9" s="855"/>
      <c r="C9" s="855"/>
      <c r="D9" s="838" t="s">
        <v>130</v>
      </c>
      <c r="E9" s="839">
        <f>'25'!F9</f>
        <v>2567814</v>
      </c>
      <c r="F9" s="856">
        <v>2589721</v>
      </c>
      <c r="G9" s="840">
        <f>F9-E9</f>
        <v>21907</v>
      </c>
      <c r="H9" s="841">
        <f>G9+'25'!H9</f>
        <v>558719</v>
      </c>
      <c r="I9" s="857">
        <f>I8-J8</f>
        <v>-10228.192307692309</v>
      </c>
      <c r="J9" s="843">
        <f>H9/DAY(B2)</f>
        <v>21489.192307692309</v>
      </c>
      <c r="K9" s="858"/>
      <c r="L9" s="818"/>
      <c r="O9" s="845"/>
    </row>
    <row r="10" spans="1:15" ht="20.100000000000001" customHeight="1">
      <c r="A10" s="836" t="s">
        <v>133</v>
      </c>
      <c r="B10" s="837"/>
      <c r="C10" s="837"/>
      <c r="D10" s="838" t="s">
        <v>130</v>
      </c>
      <c r="E10" s="839">
        <f>'25'!F10</f>
        <v>2606.5500000000002</v>
      </c>
      <c r="F10" s="856">
        <v>2606.5500000000002</v>
      </c>
      <c r="G10" s="840">
        <f t="shared" ref="G10:G12" si="0">F10-E10</f>
        <v>0</v>
      </c>
      <c r="H10" s="841">
        <f>G10+'25'!H10</f>
        <v>0.29999999999972715</v>
      </c>
      <c r="I10" s="859"/>
      <c r="J10" s="843">
        <f>H10/DAY(B2)</f>
        <v>1.1538461538451044E-2</v>
      </c>
      <c r="K10" s="858"/>
      <c r="L10" s="818"/>
      <c r="O10" s="845"/>
    </row>
    <row r="11" spans="1:15" ht="20.100000000000001" customHeight="1">
      <c r="A11" s="836" t="s">
        <v>134</v>
      </c>
      <c r="B11" s="837"/>
      <c r="C11" s="837"/>
      <c r="D11" s="838" t="s">
        <v>130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G11+'25'!H11</f>
        <v>0</v>
      </c>
      <c r="I11" s="859"/>
      <c r="J11" s="843">
        <f>H11/DAY(B2)</f>
        <v>0</v>
      </c>
      <c r="K11" s="858"/>
      <c r="L11" s="818">
        <v>1375467</v>
      </c>
      <c r="N11" s="1018"/>
      <c r="O11" s="845"/>
    </row>
    <row r="12" spans="1:15" ht="20.100000000000001" customHeight="1">
      <c r="A12" s="836" t="s">
        <v>135</v>
      </c>
      <c r="B12" s="837"/>
      <c r="C12" s="837"/>
      <c r="D12" s="838" t="s">
        <v>130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G12+'25'!H12</f>
        <v>0</v>
      </c>
      <c r="I12" s="859"/>
      <c r="J12" s="843">
        <f>H12/DAY(B2)</f>
        <v>0</v>
      </c>
      <c r="K12" s="858"/>
      <c r="L12" s="818"/>
      <c r="O12" s="845"/>
    </row>
    <row r="13" spans="1:15" ht="20.100000000000001" customHeight="1">
      <c r="A13" s="860" t="s">
        <v>136</v>
      </c>
      <c r="B13" s="861"/>
      <c r="C13" s="861"/>
      <c r="D13" s="838"/>
      <c r="E13" s="839"/>
      <c r="F13" s="839"/>
      <c r="G13" s="862">
        <f>G9+G10+G11+G12</f>
        <v>21907</v>
      </c>
      <c r="H13" s="841">
        <f>G13+'25'!H13</f>
        <v>538392.30000000005</v>
      </c>
      <c r="I13" s="863">
        <f>G7-G13</f>
        <v>715</v>
      </c>
      <c r="J13" s="843">
        <f>H13/DAY(B2)</f>
        <v>20707.396153846155</v>
      </c>
      <c r="K13" s="858"/>
      <c r="L13" s="818"/>
      <c r="O13" s="845"/>
    </row>
    <row r="14" spans="1:15" ht="28.5" customHeight="1">
      <c r="A14" s="1677" t="s">
        <v>137</v>
      </c>
      <c r="B14" s="1678"/>
      <c r="C14" s="1679"/>
      <c r="D14" s="833"/>
      <c r="E14" s="833"/>
      <c r="F14" s="833"/>
      <c r="G14" s="864"/>
      <c r="H14" s="833"/>
      <c r="I14" s="833"/>
      <c r="J14" s="834"/>
      <c r="K14" s="865"/>
      <c r="L14" s="818">
        <v>1679344</v>
      </c>
      <c r="O14" s="845"/>
    </row>
    <row r="15" spans="1:15" ht="22.5">
      <c r="A15" s="866" t="s">
        <v>138</v>
      </c>
      <c r="B15" s="867"/>
      <c r="C15" s="867"/>
      <c r="D15" s="838" t="s">
        <v>139</v>
      </c>
      <c r="E15" s="839">
        <f>'25'!F15</f>
        <v>1724478</v>
      </c>
      <c r="F15" s="700">
        <v>1725232</v>
      </c>
      <c r="G15" s="1015">
        <f>(F15-E15)</f>
        <v>754</v>
      </c>
      <c r="H15" s="841">
        <f>G15+'25'!H15</f>
        <v>21549</v>
      </c>
      <c r="I15" s="842">
        <f>'1'!I15</f>
        <v>800</v>
      </c>
      <c r="J15" s="843">
        <f>H15/DAY(B2)</f>
        <v>828.80769230769226</v>
      </c>
      <c r="K15" s="858"/>
      <c r="L15" s="818"/>
      <c r="O15" s="845"/>
    </row>
    <row r="16" spans="1:15" ht="20.100000000000001" customHeight="1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-28.807692307692264</v>
      </c>
      <c r="J16" s="875"/>
      <c r="K16" s="858"/>
      <c r="L16" s="818">
        <f>L14-L11</f>
        <v>303877</v>
      </c>
      <c r="O16" s="845"/>
    </row>
    <row r="17" spans="1:15" ht="20.100000000000001" customHeight="1">
      <c r="A17" s="1677" t="s">
        <v>140</v>
      </c>
      <c r="B17" s="1678"/>
      <c r="C17" s="1679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 ht="20.100000000000001" customHeight="1">
      <c r="A18" s="1653" t="s">
        <v>141</v>
      </c>
      <c r="B18" s="1654"/>
      <c r="C18" s="1655"/>
      <c r="D18" s="838" t="s">
        <v>142</v>
      </c>
      <c r="E18" s="839">
        <f>'25'!F18</f>
        <v>16</v>
      </c>
      <c r="F18" s="868">
        <v>12</v>
      </c>
      <c r="G18" s="862">
        <f>F18*10</f>
        <v>120</v>
      </c>
      <c r="H18" s="841">
        <f>G18+'25'!H18</f>
        <v>3430</v>
      </c>
      <c r="I18" s="842">
        <f>'1'!I18</f>
        <v>65</v>
      </c>
      <c r="J18" s="843">
        <f>H18/DAY(B2)</f>
        <v>131.92307692307693</v>
      </c>
      <c r="K18" s="858"/>
      <c r="L18" s="818"/>
      <c r="O18" s="845"/>
    </row>
    <row r="19" spans="1:15" ht="20.100000000000001" customHeight="1">
      <c r="A19" s="1653" t="s">
        <v>70</v>
      </c>
      <c r="B19" s="1654"/>
      <c r="C19" s="1655"/>
      <c r="D19" s="838" t="s">
        <v>142</v>
      </c>
      <c r="E19" s="839">
        <f>'25'!F19</f>
        <v>143005</v>
      </c>
      <c r="F19" s="868">
        <v>143070</v>
      </c>
      <c r="G19" s="840">
        <f t="shared" ref="G19" si="1">F19-E19</f>
        <v>65</v>
      </c>
      <c r="H19" s="841">
        <f>G19+'25'!H19</f>
        <v>1575</v>
      </c>
      <c r="I19" s="877"/>
      <c r="J19" s="843">
        <f>H19/DAY(B2)</f>
        <v>60.57692307692308</v>
      </c>
      <c r="K19" s="858"/>
      <c r="L19" s="818">
        <f>L16/26</f>
        <v>11687.576923076924</v>
      </c>
      <c r="O19" s="845"/>
    </row>
    <row r="20" spans="1:15" ht="20.100000000000001" customHeight="1">
      <c r="A20" s="860" t="s">
        <v>143</v>
      </c>
      <c r="B20" s="861"/>
      <c r="C20" s="861"/>
      <c r="D20" s="878"/>
      <c r="E20" s="878"/>
      <c r="F20" s="878"/>
      <c r="G20" s="879">
        <f>G18+G19</f>
        <v>185</v>
      </c>
      <c r="H20" s="841">
        <f>G20+'25'!H20</f>
        <v>5005</v>
      </c>
      <c r="I20" s="880">
        <f>I18-J20</f>
        <v>-127.5</v>
      </c>
      <c r="J20" s="843">
        <f>H20/DAY(B2)</f>
        <v>192.5</v>
      </c>
      <c r="K20" s="858"/>
      <c r="L20" s="818"/>
      <c r="O20" s="845"/>
    </row>
    <row r="21" spans="1:15" ht="20.100000000000001" customHeight="1">
      <c r="A21" s="1677" t="s">
        <v>144</v>
      </c>
      <c r="B21" s="1678"/>
      <c r="C21" s="1679"/>
      <c r="D21" s="833"/>
      <c r="E21" s="833"/>
      <c r="F21" s="833"/>
      <c r="G21" s="864"/>
      <c r="H21" s="833"/>
      <c r="I21" s="833"/>
      <c r="J21" s="834"/>
      <c r="K21" s="858"/>
      <c r="L21" s="818" t="e">
        <f>#REF!/G11</f>
        <v>#REF!</v>
      </c>
      <c r="O21" s="845"/>
    </row>
    <row r="22" spans="1:15" ht="20.100000000000001" customHeight="1">
      <c r="A22" s="866" t="s">
        <v>145</v>
      </c>
      <c r="B22" s="867"/>
      <c r="C22" s="867"/>
      <c r="D22" s="838" t="s">
        <v>146</v>
      </c>
      <c r="E22" s="868">
        <f>'25'!F22</f>
        <v>2970</v>
      </c>
      <c r="F22" s="868">
        <v>2970</v>
      </c>
      <c r="G22" s="862">
        <f t="shared" ref="G22:G23" si="2">E22-F22</f>
        <v>0</v>
      </c>
      <c r="H22" s="841">
        <f>G22+'25'!H22</f>
        <v>0</v>
      </c>
      <c r="I22" s="859"/>
      <c r="J22" s="843">
        <f>H22/DAY(B2)</f>
        <v>0</v>
      </c>
      <c r="K22" s="858"/>
      <c r="L22" s="818"/>
      <c r="O22" s="845"/>
    </row>
    <row r="23" spans="1:15" ht="20.100000000000001" customHeight="1">
      <c r="A23" s="866" t="s">
        <v>147</v>
      </c>
      <c r="B23" s="867"/>
      <c r="C23" s="867"/>
      <c r="D23" s="838" t="s">
        <v>146</v>
      </c>
      <c r="E23" s="868">
        <f>'25'!F23</f>
        <v>2000</v>
      </c>
      <c r="F23" s="868">
        <v>2000</v>
      </c>
      <c r="G23" s="862">
        <f t="shared" si="2"/>
        <v>0</v>
      </c>
      <c r="H23" s="841">
        <f>G23+'25'!H23</f>
        <v>0</v>
      </c>
      <c r="I23" s="859"/>
      <c r="J23" s="843">
        <f>H23/DAY(B2)</f>
        <v>0</v>
      </c>
      <c r="K23" s="858"/>
      <c r="L23" s="818"/>
      <c r="O23" s="845"/>
    </row>
    <row r="24" spans="1:15" ht="20.100000000000001" customHeight="1">
      <c r="A24" s="881" t="s">
        <v>148</v>
      </c>
      <c r="B24" s="882"/>
      <c r="C24" s="882"/>
      <c r="D24" s="825" t="s">
        <v>146</v>
      </c>
      <c r="E24" s="868">
        <f>'25'!F24</f>
        <v>4970</v>
      </c>
      <c r="F24" s="883">
        <v>4970</v>
      </c>
      <c r="G24" s="862">
        <f>E24-F24</f>
        <v>0</v>
      </c>
      <c r="H24" s="841">
        <f>G24+'25'!H24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 ht="18.75" customHeight="1">
      <c r="A25" s="1674" t="s">
        <v>149</v>
      </c>
      <c r="B25" s="1675"/>
      <c r="C25" s="1676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 ht="18.75" customHeight="1">
      <c r="A26" s="890" t="s">
        <v>150</v>
      </c>
      <c r="B26" s="891"/>
      <c r="C26" s="892"/>
      <c r="D26" s="893" t="s">
        <v>151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18.75" customHeight="1">
      <c r="A27" s="890" t="s">
        <v>6</v>
      </c>
      <c r="B27" s="891"/>
      <c r="C27" s="892"/>
      <c r="D27" s="897" t="s">
        <v>25</v>
      </c>
      <c r="E27" s="898">
        <f>G8</f>
        <v>22721</v>
      </c>
      <c r="F27" s="501">
        <v>9</v>
      </c>
      <c r="G27" s="900">
        <f>E27*F27</f>
        <v>204489</v>
      </c>
      <c r="H27" s="841">
        <f>G27+'25'!H27</f>
        <v>5201398.8900000006</v>
      </c>
      <c r="I27" s="901"/>
      <c r="J27" s="843">
        <f>H27/DAY(B2)</f>
        <v>200053.80346153848</v>
      </c>
      <c r="K27" s="858"/>
      <c r="L27" s="888"/>
      <c r="N27" s="1007"/>
      <c r="O27" s="845"/>
    </row>
    <row r="28" spans="1:15" s="889" customFormat="1" ht="18.75" customHeight="1">
      <c r="A28" s="890" t="s">
        <v>152</v>
      </c>
      <c r="B28" s="891"/>
      <c r="C28" s="892"/>
      <c r="D28" s="897" t="s">
        <v>153</v>
      </c>
      <c r="E28" s="898">
        <f>G15</f>
        <v>754</v>
      </c>
      <c r="F28" s="501">
        <v>52</v>
      </c>
      <c r="G28" s="900">
        <f>E28*F28</f>
        <v>39208</v>
      </c>
      <c r="H28" s="841">
        <f>G28+'25'!H28</f>
        <v>1120548</v>
      </c>
      <c r="I28" s="902"/>
      <c r="J28" s="843">
        <f>H28/DAY(B2)</f>
        <v>43098</v>
      </c>
      <c r="K28" s="858"/>
      <c r="L28" s="888"/>
      <c r="N28" s="1007"/>
      <c r="O28" s="845"/>
    </row>
    <row r="29" spans="1:15" s="889" customFormat="1" ht="18.75" customHeight="1">
      <c r="A29" s="890" t="s">
        <v>154</v>
      </c>
      <c r="B29" s="891"/>
      <c r="C29" s="892"/>
      <c r="D29" s="897" t="s">
        <v>155</v>
      </c>
      <c r="E29" s="898">
        <f>G16</f>
        <v>0</v>
      </c>
      <c r="F29" s="899">
        <v>69</v>
      </c>
      <c r="G29" s="900">
        <f>E29*F29</f>
        <v>0</v>
      </c>
      <c r="H29" s="841">
        <f>G29+'25'!H29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 ht="18.75" customHeight="1">
      <c r="A30" s="890" t="s">
        <v>156</v>
      </c>
      <c r="B30" s="891"/>
      <c r="C30" s="892"/>
      <c r="D30" s="897" t="s">
        <v>157</v>
      </c>
      <c r="E30" s="898">
        <f>G19</f>
        <v>65</v>
      </c>
      <c r="F30" s="899">
        <v>146</v>
      </c>
      <c r="G30" s="900">
        <f>E30*F30</f>
        <v>9490</v>
      </c>
      <c r="H30" s="841">
        <f>G30+'25'!H30</f>
        <v>229366</v>
      </c>
      <c r="I30" s="902"/>
      <c r="J30" s="843">
        <f>H30/DAY(B2)</f>
        <v>8821.7692307692305</v>
      </c>
      <c r="K30" s="858"/>
      <c r="L30" s="888"/>
      <c r="N30" s="1007"/>
      <c r="O30" s="845"/>
    </row>
    <row r="31" spans="1:15" s="889" customFormat="1" ht="18.75" customHeight="1">
      <c r="A31" s="890" t="s">
        <v>158</v>
      </c>
      <c r="B31" s="891"/>
      <c r="C31" s="892"/>
      <c r="D31" s="897" t="s">
        <v>142</v>
      </c>
      <c r="E31" s="898">
        <f>G18</f>
        <v>120</v>
      </c>
      <c r="F31" s="899">
        <v>80</v>
      </c>
      <c r="G31" s="900">
        <f>E31*F31</f>
        <v>9600</v>
      </c>
      <c r="H31" s="841">
        <f>G31+'25'!H31</f>
        <v>268800</v>
      </c>
      <c r="I31" s="902"/>
      <c r="J31" s="843"/>
      <c r="K31" s="858"/>
      <c r="L31" s="888"/>
      <c r="N31" s="1007"/>
      <c r="O31" s="845"/>
    </row>
    <row r="32" spans="1:15" s="889" customFormat="1" ht="18.75" customHeight="1">
      <c r="A32" s="903" t="s">
        <v>159</v>
      </c>
      <c r="B32" s="904"/>
      <c r="C32" s="905"/>
      <c r="D32" s="906"/>
      <c r="E32" s="906"/>
      <c r="F32" s="906"/>
      <c r="G32" s="907">
        <f>G27+G28+G29+G30+G31</f>
        <v>262787</v>
      </c>
      <c r="H32" s="841">
        <f>G32+'25'!H32</f>
        <v>6820112.8900000006</v>
      </c>
      <c r="I32" s="908"/>
      <c r="J32" s="843">
        <f>H32/DAY(B2)</f>
        <v>262312.03423076926</v>
      </c>
      <c r="K32" s="858"/>
      <c r="L32" s="888"/>
      <c r="N32" s="1007"/>
      <c r="O32" s="845"/>
    </row>
    <row r="33" spans="1:15" ht="20.100000000000001" customHeight="1">
      <c r="A33" s="1682" t="s">
        <v>160</v>
      </c>
      <c r="B33" s="1683"/>
      <c r="C33" s="1683"/>
      <c r="D33" s="1683"/>
      <c r="E33" s="1683"/>
      <c r="F33" s="1683"/>
      <c r="G33" s="1683"/>
      <c r="H33" s="1683"/>
      <c r="I33" s="1683"/>
      <c r="J33" s="1684"/>
      <c r="K33" s="858"/>
      <c r="L33" s="818"/>
      <c r="O33" s="845"/>
    </row>
    <row r="34" spans="1:15" ht="20.100000000000001" customHeight="1">
      <c r="A34" s="909" t="s">
        <v>161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 ht="20.100000000000001" customHeight="1">
      <c r="A35" s="836" t="s">
        <v>162</v>
      </c>
      <c r="B35" s="837"/>
      <c r="C35" s="837"/>
      <c r="D35" s="838" t="s">
        <v>130</v>
      </c>
      <c r="E35" s="839">
        <f>'25'!F35</f>
        <v>1058597</v>
      </c>
      <c r="F35" s="911">
        <v>1058597</v>
      </c>
      <c r="G35" s="840">
        <f t="shared" ref="G35:G46" si="3">F35-E35</f>
        <v>0</v>
      </c>
      <c r="H35" s="841">
        <f>G35+'25'!H35</f>
        <v>29883</v>
      </c>
      <c r="I35" s="839"/>
      <c r="J35" s="843">
        <f>H35/DAY(B2)</f>
        <v>1149.3461538461538</v>
      </c>
      <c r="K35" s="858"/>
      <c r="L35" s="818"/>
      <c r="O35" s="845"/>
    </row>
    <row r="36" spans="1:15" ht="20.100000000000001" customHeight="1">
      <c r="A36" s="836" t="s">
        <v>163</v>
      </c>
      <c r="B36" s="837"/>
      <c r="C36" s="837"/>
      <c r="D36" s="838" t="s">
        <v>130</v>
      </c>
      <c r="E36" s="839">
        <f>'25'!F36</f>
        <v>41769</v>
      </c>
      <c r="F36" s="911">
        <v>42524</v>
      </c>
      <c r="G36" s="840">
        <f t="shared" si="3"/>
        <v>755</v>
      </c>
      <c r="H36" s="841">
        <f>G36+'25'!H36</f>
        <v>22063</v>
      </c>
      <c r="I36" s="839"/>
      <c r="J36" s="843">
        <f>H36/DAY(B2)</f>
        <v>848.57692307692309</v>
      </c>
      <c r="K36" s="858"/>
      <c r="L36" s="818"/>
      <c r="O36" s="845"/>
    </row>
    <row r="37" spans="1:15" ht="20.100000000000001" customHeight="1">
      <c r="A37" s="836" t="s">
        <v>164</v>
      </c>
      <c r="B37" s="837"/>
      <c r="C37" s="837"/>
      <c r="D37" s="838" t="s">
        <v>130</v>
      </c>
      <c r="E37" s="839">
        <f>'25'!F37</f>
        <v>216360</v>
      </c>
      <c r="F37" s="911">
        <v>218023</v>
      </c>
      <c r="G37" s="840">
        <f t="shared" si="3"/>
        <v>1663</v>
      </c>
      <c r="H37" s="841">
        <f>G37+'25'!H37</f>
        <v>41453</v>
      </c>
      <c r="I37" s="839"/>
      <c r="J37" s="843">
        <f>H37/DAY(B2)</f>
        <v>1594.3461538461538</v>
      </c>
      <c r="K37" s="858"/>
      <c r="L37" s="818"/>
      <c r="O37" s="845"/>
    </row>
    <row r="38" spans="1:15" ht="20.100000000000001" customHeight="1">
      <c r="A38" s="836" t="s">
        <v>165</v>
      </c>
      <c r="B38" s="837"/>
      <c r="C38" s="837"/>
      <c r="D38" s="838" t="s">
        <v>130</v>
      </c>
      <c r="E38" s="839">
        <f>'25'!F38</f>
        <v>238841</v>
      </c>
      <c r="F38" s="828">
        <v>240414</v>
      </c>
      <c r="G38" s="840">
        <f t="shared" si="3"/>
        <v>1573</v>
      </c>
      <c r="H38" s="841">
        <f>G38+'25'!H38</f>
        <v>41955</v>
      </c>
      <c r="I38" s="839"/>
      <c r="J38" s="843">
        <f>H38/DAY(B2)</f>
        <v>1613.6538461538462</v>
      </c>
      <c r="K38" s="858"/>
      <c r="L38" s="818"/>
      <c r="O38" s="845"/>
    </row>
    <row r="39" spans="1:15" ht="20.100000000000001" customHeight="1">
      <c r="A39" s="836" t="s">
        <v>166</v>
      </c>
      <c r="B39" s="837"/>
      <c r="C39" s="837"/>
      <c r="D39" s="838" t="s">
        <v>130</v>
      </c>
      <c r="E39" s="839">
        <f>'25'!F39</f>
        <v>497728</v>
      </c>
      <c r="F39" s="911">
        <v>501478</v>
      </c>
      <c r="G39" s="840">
        <f t="shared" si="3"/>
        <v>3750</v>
      </c>
      <c r="H39" s="841">
        <f>G39+'25'!H39</f>
        <v>96614</v>
      </c>
      <c r="I39" s="839"/>
      <c r="J39" s="843">
        <f>H39/DAY(B2)</f>
        <v>3715.9230769230771</v>
      </c>
      <c r="K39" s="858"/>
      <c r="L39" s="818"/>
      <c r="O39" s="845"/>
    </row>
    <row r="40" spans="1:15" ht="20.100000000000001" customHeight="1">
      <c r="A40" s="912" t="s">
        <v>167</v>
      </c>
      <c r="B40" s="913"/>
      <c r="C40" s="913"/>
      <c r="D40" s="838" t="s">
        <v>130</v>
      </c>
      <c r="E40" s="839">
        <f>'25'!F40</f>
        <v>17514</v>
      </c>
      <c r="F40" s="911">
        <v>17874</v>
      </c>
      <c r="G40" s="840">
        <f t="shared" si="3"/>
        <v>360</v>
      </c>
      <c r="H40" s="841">
        <f>G40+'25'!H40</f>
        <v>10761</v>
      </c>
      <c r="I40" s="839"/>
      <c r="J40" s="843">
        <f>H40/DAY(B2)</f>
        <v>413.88461538461536</v>
      </c>
      <c r="K40" s="865"/>
      <c r="L40" s="818"/>
      <c r="O40" s="845"/>
    </row>
    <row r="41" spans="1:15" ht="20.100000000000001" customHeight="1">
      <c r="A41" s="836" t="s">
        <v>168</v>
      </c>
      <c r="B41" s="837"/>
      <c r="C41" s="837"/>
      <c r="D41" s="838" t="s">
        <v>130</v>
      </c>
      <c r="E41" s="839">
        <f>'25'!F41</f>
        <v>366840</v>
      </c>
      <c r="F41" s="911">
        <v>366840</v>
      </c>
      <c r="G41" s="840">
        <f t="shared" si="3"/>
        <v>0</v>
      </c>
      <c r="H41" s="841">
        <f>G41+'25'!H41</f>
        <v>37198</v>
      </c>
      <c r="I41" s="839"/>
      <c r="J41" s="843">
        <f>H41/DAY(B2)</f>
        <v>1430.6923076923076</v>
      </c>
      <c r="K41" s="858"/>
      <c r="L41" s="818"/>
      <c r="O41" s="845"/>
    </row>
    <row r="42" spans="1:15" ht="20.100000000000001" customHeight="1">
      <c r="A42" s="836" t="s">
        <v>169</v>
      </c>
      <c r="B42" s="837"/>
      <c r="C42" s="837"/>
      <c r="D42" s="838" t="s">
        <v>130</v>
      </c>
      <c r="E42" s="839">
        <f>'25'!F42</f>
        <v>94767</v>
      </c>
      <c r="F42" s="911">
        <v>97548</v>
      </c>
      <c r="G42" s="840">
        <f t="shared" si="3"/>
        <v>2781</v>
      </c>
      <c r="H42" s="841">
        <f>G42+'25'!H42</f>
        <v>38349.11</v>
      </c>
      <c r="I42" s="839"/>
      <c r="J42" s="843">
        <f>H42/DAY(B2)</f>
        <v>1474.9657692307692</v>
      </c>
      <c r="K42" s="858"/>
      <c r="L42" s="818"/>
      <c r="N42" s="1008">
        <f>3450-G42</f>
        <v>669</v>
      </c>
      <c r="O42" s="845"/>
    </row>
    <row r="43" spans="1:15" ht="20.100000000000001" customHeight="1">
      <c r="A43" s="836" t="s">
        <v>170</v>
      </c>
      <c r="B43" s="837"/>
      <c r="C43" s="837"/>
      <c r="D43" s="838" t="s">
        <v>130</v>
      </c>
      <c r="E43" s="839">
        <f>'25'!F43</f>
        <v>1188043</v>
      </c>
      <c r="F43" s="911">
        <v>1190837</v>
      </c>
      <c r="G43" s="840">
        <f t="shared" si="3"/>
        <v>2794</v>
      </c>
      <c r="H43" s="841">
        <f>G43+'25'!H43</f>
        <v>70385</v>
      </c>
      <c r="I43" s="839"/>
      <c r="J43" s="843">
        <f>H43/DAY(B2)</f>
        <v>2707.1153846153848</v>
      </c>
      <c r="K43" s="858"/>
      <c r="L43" s="818"/>
      <c r="O43" s="845"/>
    </row>
    <row r="44" spans="1:15" ht="20.100000000000001" customHeight="1">
      <c r="A44" s="836" t="s">
        <v>171</v>
      </c>
      <c r="B44" s="837"/>
      <c r="C44" s="837"/>
      <c r="D44" s="838" t="s">
        <v>130</v>
      </c>
      <c r="E44" s="839">
        <f>'25'!F44</f>
        <v>0</v>
      </c>
      <c r="F44" s="911">
        <v>0</v>
      </c>
      <c r="G44" s="840">
        <f t="shared" si="3"/>
        <v>0</v>
      </c>
      <c r="H44" s="841">
        <f>G44+'25'!H44</f>
        <v>0</v>
      </c>
      <c r="I44" s="839"/>
      <c r="J44" s="843">
        <f>H44/DAY(B2)</f>
        <v>0</v>
      </c>
      <c r="K44" s="858"/>
      <c r="L44" s="818"/>
      <c r="O44" s="845"/>
    </row>
    <row r="45" spans="1:15" ht="20.100000000000001" customHeight="1">
      <c r="A45" s="836" t="s">
        <v>172</v>
      </c>
      <c r="B45" s="837"/>
      <c r="C45" s="837"/>
      <c r="D45" s="838" t="s">
        <v>130</v>
      </c>
      <c r="E45" s="839">
        <f>'25'!F45</f>
        <v>614</v>
      </c>
      <c r="F45" s="911">
        <v>614</v>
      </c>
      <c r="G45" s="840">
        <f t="shared" si="3"/>
        <v>0</v>
      </c>
      <c r="H45" s="841">
        <f>G45+'25'!H45</f>
        <v>0</v>
      </c>
      <c r="I45" s="839"/>
      <c r="J45" s="843">
        <f>H45/DAY(B2)</f>
        <v>0</v>
      </c>
      <c r="K45" s="858"/>
      <c r="L45" s="818"/>
      <c r="O45" s="845"/>
    </row>
    <row r="46" spans="1:15" ht="20.100000000000001" customHeight="1">
      <c r="A46" s="836" t="s">
        <v>173</v>
      </c>
      <c r="B46" s="837"/>
      <c r="C46" s="837"/>
      <c r="D46" s="838" t="s">
        <v>130</v>
      </c>
      <c r="E46" s="839">
        <f>'25'!F46</f>
        <v>187</v>
      </c>
      <c r="F46" s="911">
        <v>187</v>
      </c>
      <c r="G46" s="840">
        <f t="shared" si="3"/>
        <v>0</v>
      </c>
      <c r="H46" s="841">
        <f>G46+'25'!H46</f>
        <v>-0.49000000000000909</v>
      </c>
      <c r="I46" s="839"/>
      <c r="J46" s="843">
        <f>H46/DAY(B2)</f>
        <v>-1.8846153846154196E-2</v>
      </c>
      <c r="K46" s="858"/>
      <c r="L46" s="818"/>
      <c r="O46" s="845"/>
    </row>
    <row r="47" spans="1:15" ht="20.100000000000001" customHeight="1">
      <c r="A47" s="860" t="s">
        <v>174</v>
      </c>
      <c r="B47" s="861"/>
      <c r="C47" s="861"/>
      <c r="D47" s="829"/>
      <c r="E47" s="825"/>
      <c r="F47" s="825"/>
      <c r="G47" s="862">
        <f>G35+G36+G37+G38+G39+G40+G41+G42+G43+G44+G45+G46</f>
        <v>13676</v>
      </c>
      <c r="H47" s="841">
        <f>G47+'25'!H47</f>
        <v>389462.11</v>
      </c>
      <c r="I47" s="839"/>
      <c r="J47" s="843">
        <f>H47/DAY(B2)</f>
        <v>14979.311923076923</v>
      </c>
      <c r="K47" s="858"/>
      <c r="L47" s="818"/>
      <c r="N47" s="1008"/>
      <c r="O47" s="845"/>
    </row>
    <row r="48" spans="1:15" ht="20.100000000000001" customHeight="1">
      <c r="A48" s="909" t="s">
        <v>175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 ht="20.100000000000001" customHeight="1">
      <c r="A49" s="836" t="s">
        <v>162</v>
      </c>
      <c r="B49" s="914"/>
      <c r="C49" s="914"/>
      <c r="D49" s="838" t="s">
        <v>130</v>
      </c>
      <c r="E49" s="839">
        <f>'25'!F49</f>
        <v>306064</v>
      </c>
      <c r="F49" s="911">
        <v>309209</v>
      </c>
      <c r="G49" s="840">
        <f t="shared" ref="G49:G58" si="4">F49-E49</f>
        <v>3145</v>
      </c>
      <c r="H49" s="841">
        <f>G49+'25'!H49</f>
        <v>48445</v>
      </c>
      <c r="I49" s="839"/>
      <c r="J49" s="843">
        <f>H49/DAY(B2)</f>
        <v>1863.2692307692307</v>
      </c>
      <c r="K49" s="858"/>
      <c r="L49" s="818"/>
      <c r="O49" s="845"/>
    </row>
    <row r="50" spans="1:15" ht="20.100000000000001" customHeight="1">
      <c r="A50" s="836" t="s">
        <v>176</v>
      </c>
      <c r="B50" s="914"/>
      <c r="C50" s="914"/>
      <c r="D50" s="838" t="s">
        <v>130</v>
      </c>
      <c r="E50" s="839">
        <f>'25'!F50</f>
        <v>563903</v>
      </c>
      <c r="F50" s="911">
        <v>564831</v>
      </c>
      <c r="G50" s="840">
        <f t="shared" si="4"/>
        <v>928</v>
      </c>
      <c r="H50" s="841">
        <f>G50+'25'!H50</f>
        <v>29075</v>
      </c>
      <c r="I50" s="839"/>
      <c r="J50" s="843">
        <f>H50/DAY(B2)</f>
        <v>1118.2692307692307</v>
      </c>
      <c r="K50" s="858"/>
      <c r="L50" s="818"/>
      <c r="O50" s="845"/>
    </row>
    <row r="51" spans="1:15" ht="20.100000000000001" customHeight="1">
      <c r="A51" s="836" t="s">
        <v>164</v>
      </c>
      <c r="B51" s="914"/>
      <c r="C51" s="914"/>
      <c r="D51" s="838" t="s">
        <v>130</v>
      </c>
      <c r="E51" s="839">
        <f>'25'!F51</f>
        <v>144639.87</v>
      </c>
      <c r="F51" s="911">
        <v>144639.87</v>
      </c>
      <c r="G51" s="840">
        <f t="shared" si="4"/>
        <v>0</v>
      </c>
      <c r="H51" s="841">
        <f>G51+'25'!H51</f>
        <v>-0.13000000000465661</v>
      </c>
      <c r="I51" s="839"/>
      <c r="J51" s="843">
        <f>H51/DAY(B2)</f>
        <v>-5.0000000001791008E-3</v>
      </c>
      <c r="K51" s="858"/>
      <c r="L51" s="818"/>
      <c r="O51" s="845"/>
    </row>
    <row r="52" spans="1:15" ht="20.100000000000001" customHeight="1">
      <c r="A52" s="836" t="s">
        <v>177</v>
      </c>
      <c r="B52" s="914"/>
      <c r="C52" s="914"/>
      <c r="D52" s="838" t="s">
        <v>130</v>
      </c>
      <c r="E52" s="839">
        <f>'25'!F52</f>
        <v>539606.06999999995</v>
      </c>
      <c r="F52" s="911">
        <v>539606.06999999995</v>
      </c>
      <c r="G52" s="840">
        <f t="shared" si="4"/>
        <v>0</v>
      </c>
      <c r="H52" s="841">
        <f>G52+'25'!H52</f>
        <v>0</v>
      </c>
      <c r="I52" s="839"/>
      <c r="J52" s="843">
        <f>H52/DAY(B2)</f>
        <v>0</v>
      </c>
      <c r="K52" s="858"/>
      <c r="L52" s="818"/>
      <c r="O52" s="845"/>
    </row>
    <row r="53" spans="1:15" ht="20.100000000000001" customHeight="1">
      <c r="A53" s="836" t="s">
        <v>166</v>
      </c>
      <c r="B53" s="914"/>
      <c r="C53" s="914"/>
      <c r="D53" s="838" t="s">
        <v>130</v>
      </c>
      <c r="E53" s="839">
        <f>'25'!F53</f>
        <v>434232</v>
      </c>
      <c r="F53" s="911">
        <v>434232</v>
      </c>
      <c r="G53" s="840">
        <f t="shared" si="4"/>
        <v>0</v>
      </c>
      <c r="H53" s="841">
        <f>G53+'25'!H53</f>
        <v>-0.33000000001629815</v>
      </c>
      <c r="I53" s="839"/>
      <c r="J53" s="843">
        <f>H53/DAY(B2)</f>
        <v>-1.2692307692934545E-2</v>
      </c>
      <c r="K53" s="858"/>
      <c r="L53" s="818"/>
      <c r="O53" s="845"/>
    </row>
    <row r="54" spans="1:15" ht="20.100000000000001" customHeight="1">
      <c r="A54" s="836" t="s">
        <v>178</v>
      </c>
      <c r="B54" s="914"/>
      <c r="C54" s="914"/>
      <c r="D54" s="838" t="s">
        <v>130</v>
      </c>
      <c r="E54" s="839">
        <f>'25'!F54</f>
        <v>14967</v>
      </c>
      <c r="F54" s="911">
        <v>14967</v>
      </c>
      <c r="G54" s="840">
        <f t="shared" si="4"/>
        <v>0</v>
      </c>
      <c r="H54" s="841">
        <f>G54+'25'!H54</f>
        <v>0</v>
      </c>
      <c r="I54" s="839"/>
      <c r="J54" s="843">
        <f>H54/DAY(B2)</f>
        <v>0</v>
      </c>
      <c r="K54" s="858"/>
      <c r="L54" s="818"/>
      <c r="O54" s="845"/>
    </row>
    <row r="55" spans="1:15" ht="20.100000000000001" customHeight="1">
      <c r="A55" s="836" t="s">
        <v>179</v>
      </c>
      <c r="B55" s="914"/>
      <c r="C55" s="914"/>
      <c r="D55" s="838" t="s">
        <v>130</v>
      </c>
      <c r="E55" s="839">
        <f>'25'!F55</f>
        <v>215539</v>
      </c>
      <c r="F55" s="911">
        <v>220067</v>
      </c>
      <c r="G55" s="840">
        <f t="shared" si="4"/>
        <v>4528</v>
      </c>
      <c r="H55" s="841">
        <f>G55+'25'!H55</f>
        <v>96857</v>
      </c>
      <c r="I55" s="839"/>
      <c r="J55" s="843">
        <f>H55/DAY(B2)</f>
        <v>3725.2692307692309</v>
      </c>
      <c r="K55" s="858"/>
      <c r="L55" s="818"/>
      <c r="O55" s="845"/>
    </row>
    <row r="56" spans="1:15" ht="20.100000000000001" customHeight="1">
      <c r="A56" s="836" t="s">
        <v>180</v>
      </c>
      <c r="B56" s="914"/>
      <c r="C56" s="914"/>
      <c r="D56" s="838" t="s">
        <v>181</v>
      </c>
      <c r="E56" s="839">
        <f>'25'!F56</f>
        <v>649273</v>
      </c>
      <c r="F56" s="911">
        <v>649273</v>
      </c>
      <c r="G56" s="840">
        <f t="shared" si="4"/>
        <v>0</v>
      </c>
      <c r="H56" s="841">
        <f>G56+'25'!H56</f>
        <v>231</v>
      </c>
      <c r="I56" s="839"/>
      <c r="J56" s="843">
        <f>H56/DAY(B2)</f>
        <v>8.884615384615385</v>
      </c>
      <c r="K56" s="835"/>
      <c r="L56" s="818"/>
      <c r="O56" s="845"/>
    </row>
    <row r="57" spans="1:15" ht="20.100000000000001" customHeight="1">
      <c r="A57" s="836" t="s">
        <v>170</v>
      </c>
      <c r="B57" s="914"/>
      <c r="C57" s="914"/>
      <c r="D57" s="838" t="s">
        <v>130</v>
      </c>
      <c r="E57" s="839">
        <f>'25'!F57</f>
        <v>7711</v>
      </c>
      <c r="F57" s="911">
        <v>7711</v>
      </c>
      <c r="G57" s="840">
        <f t="shared" si="4"/>
        <v>0</v>
      </c>
      <c r="H57" s="841">
        <f>G57+'25'!H57</f>
        <v>0</v>
      </c>
      <c r="I57" s="839"/>
      <c r="J57" s="843">
        <f>H57/DAY(B2)</f>
        <v>0</v>
      </c>
      <c r="K57" s="858"/>
      <c r="L57" s="818"/>
      <c r="O57" s="845"/>
    </row>
    <row r="58" spans="1:15" ht="20.100000000000001" customHeight="1">
      <c r="A58" s="836" t="s">
        <v>182</v>
      </c>
      <c r="B58" s="914"/>
      <c r="C58" s="914"/>
      <c r="D58" s="838" t="s">
        <v>130</v>
      </c>
      <c r="E58" s="839">
        <f>'25'!F58</f>
        <v>58492</v>
      </c>
      <c r="F58" s="911">
        <v>58700</v>
      </c>
      <c r="G58" s="840">
        <f t="shared" si="4"/>
        <v>208</v>
      </c>
      <c r="H58" s="841">
        <f>G58+'25'!H58</f>
        <v>4520</v>
      </c>
      <c r="I58" s="839"/>
      <c r="J58" s="843">
        <f>H58/DAY(B2)</f>
        <v>173.84615384615384</v>
      </c>
      <c r="K58" s="858"/>
      <c r="L58" s="818"/>
      <c r="O58" s="845"/>
    </row>
    <row r="59" spans="1:15" ht="20.100000000000001" customHeight="1">
      <c r="A59" s="860" t="s">
        <v>174</v>
      </c>
      <c r="B59" s="861"/>
      <c r="C59" s="861"/>
      <c r="D59" s="825"/>
      <c r="E59" s="825"/>
      <c r="F59" s="825"/>
      <c r="G59" s="862">
        <f>G49+G50+G51+G52+G53+G54+G55+G56+G57+G58</f>
        <v>8809</v>
      </c>
      <c r="H59" s="841">
        <f>G59+'25'!H59</f>
        <v>179127.60999999993</v>
      </c>
      <c r="I59" s="839">
        <f>G7-G60</f>
        <v>137</v>
      </c>
      <c r="J59" s="843">
        <f>H59/DAY(B2)</f>
        <v>6889.5234615384588</v>
      </c>
      <c r="K59" s="858"/>
      <c r="L59" s="818"/>
      <c r="O59" s="845"/>
    </row>
    <row r="60" spans="1:15" ht="20.100000000000001" customHeight="1">
      <c r="A60" s="836"/>
      <c r="B60" s="837"/>
      <c r="C60" s="837"/>
      <c r="D60" s="825" t="s">
        <v>183</v>
      </c>
      <c r="E60" s="825"/>
      <c r="F60" s="825"/>
      <c r="G60" s="862">
        <f>G47+G59</f>
        <v>22485</v>
      </c>
      <c r="H60" s="841">
        <f>G60+'25'!H60</f>
        <v>575493.05000000005</v>
      </c>
      <c r="I60" s="839">
        <f>G13-G60</f>
        <v>-578</v>
      </c>
      <c r="J60" s="843">
        <f>H60/DAY(B2)</f>
        <v>22134.348076923077</v>
      </c>
      <c r="K60" s="858"/>
      <c r="L60" s="818"/>
      <c r="O60" s="845"/>
    </row>
    <row r="61" spans="1:15" ht="20.100000000000001" customHeight="1">
      <c r="A61" s="915" t="s">
        <v>184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 ht="20.100000000000001" customHeight="1">
      <c r="A62" s="919" t="s">
        <v>97</v>
      </c>
      <c r="B62" s="920"/>
      <c r="C62" s="920"/>
      <c r="D62" s="825" t="s">
        <v>185</v>
      </c>
      <c r="E62" s="839">
        <f>'25'!F62</f>
        <v>20419</v>
      </c>
      <c r="F62" s="921">
        <v>20419</v>
      </c>
      <c r="G62" s="840">
        <f t="shared" ref="G62:G69" si="5">F62-E62</f>
        <v>0</v>
      </c>
      <c r="H62" s="841">
        <f>G62+'25'!H62</f>
        <v>1.9999999967694748E-3</v>
      </c>
      <c r="I62" s="922"/>
      <c r="J62" s="843">
        <f>H62/DAY(B2)</f>
        <v>7.6923076798825961E-5</v>
      </c>
      <c r="K62" s="858"/>
      <c r="L62" s="818"/>
      <c r="O62" s="845"/>
    </row>
    <row r="63" spans="1:15" ht="20.100000000000001" customHeight="1">
      <c r="A63" s="919" t="s">
        <v>186</v>
      </c>
      <c r="B63" s="920"/>
      <c r="C63" s="920"/>
      <c r="D63" s="825" t="s">
        <v>185</v>
      </c>
      <c r="E63" s="839">
        <f>'25'!F63</f>
        <v>0</v>
      </c>
      <c r="F63" s="921">
        <v>0</v>
      </c>
      <c r="G63" s="840">
        <f t="shared" si="5"/>
        <v>0</v>
      </c>
      <c r="H63" s="841">
        <f>G63+'25'!H63</f>
        <v>0</v>
      </c>
      <c r="I63" s="922"/>
      <c r="J63" s="843">
        <f>H63/DAY(B2)</f>
        <v>0</v>
      </c>
      <c r="K63" s="858"/>
      <c r="L63" s="818"/>
      <c r="O63" s="845"/>
    </row>
    <row r="64" spans="1:15" ht="20.100000000000001" customHeight="1">
      <c r="A64" s="1659" t="s">
        <v>98</v>
      </c>
      <c r="B64" s="1660"/>
      <c r="C64" s="1661"/>
      <c r="D64" s="838" t="s">
        <v>185</v>
      </c>
      <c r="E64" s="839">
        <f>'25'!F64</f>
        <v>179586</v>
      </c>
      <c r="F64" s="868">
        <v>179989</v>
      </c>
      <c r="G64" s="840">
        <f t="shared" si="5"/>
        <v>403</v>
      </c>
      <c r="H64" s="841">
        <f>G64+'25'!H64</f>
        <v>9967</v>
      </c>
      <c r="I64" s="859"/>
      <c r="J64" s="843">
        <f>H64/DAY(B2)</f>
        <v>383.34615384615387</v>
      </c>
      <c r="K64" s="858"/>
      <c r="L64" s="818"/>
      <c r="O64" s="845"/>
    </row>
    <row r="65" spans="1:15" ht="20.100000000000001" customHeight="1">
      <c r="A65" s="1659" t="s">
        <v>99</v>
      </c>
      <c r="B65" s="1660"/>
      <c r="C65" s="1661"/>
      <c r="D65" s="838" t="s">
        <v>185</v>
      </c>
      <c r="E65" s="839">
        <f>'25'!F65</f>
        <v>179904</v>
      </c>
      <c r="F65" s="868">
        <v>180273</v>
      </c>
      <c r="G65" s="840">
        <f t="shared" si="5"/>
        <v>369</v>
      </c>
      <c r="H65" s="841">
        <f>G65+'25'!H65</f>
        <v>9971</v>
      </c>
      <c r="I65" s="877"/>
      <c r="J65" s="843">
        <f>H65/DAY(B2)</f>
        <v>383.5</v>
      </c>
      <c r="K65" s="858"/>
      <c r="L65" s="818"/>
      <c r="O65" s="845"/>
    </row>
    <row r="66" spans="1:15" ht="20.100000000000001" customHeight="1">
      <c r="A66" s="1659" t="s">
        <v>100</v>
      </c>
      <c r="B66" s="1660"/>
      <c r="C66" s="1661"/>
      <c r="D66" s="838" t="s">
        <v>185</v>
      </c>
      <c r="E66" s="839">
        <f>'25'!F66</f>
        <v>78223</v>
      </c>
      <c r="F66" s="868">
        <v>78637</v>
      </c>
      <c r="G66" s="840">
        <f t="shared" si="5"/>
        <v>414</v>
      </c>
      <c r="H66" s="841">
        <f>G66+'25'!H66</f>
        <v>10667</v>
      </c>
      <c r="I66" s="859"/>
      <c r="J66" s="843">
        <f>H66/DAY(B2)</f>
        <v>410.26923076923077</v>
      </c>
      <c r="K66" s="858"/>
      <c r="L66" s="818"/>
      <c r="O66" s="845"/>
    </row>
    <row r="67" spans="1:15" ht="20.100000000000001" customHeight="1">
      <c r="A67" s="1659" t="s">
        <v>101</v>
      </c>
      <c r="B67" s="1660"/>
      <c r="C67" s="1661"/>
      <c r="D67" s="838" t="s">
        <v>185</v>
      </c>
      <c r="E67" s="839">
        <f>'25'!F67</f>
        <v>276979</v>
      </c>
      <c r="F67" s="868">
        <v>277460</v>
      </c>
      <c r="G67" s="840">
        <f t="shared" si="5"/>
        <v>481</v>
      </c>
      <c r="H67" s="841">
        <f>G67+'25'!H67</f>
        <v>12501</v>
      </c>
      <c r="I67" s="877"/>
      <c r="J67" s="843">
        <f>H67/DAY(B2)</f>
        <v>480.80769230769232</v>
      </c>
      <c r="K67" s="865"/>
      <c r="L67" s="818"/>
      <c r="O67" s="845"/>
    </row>
    <row r="68" spans="1:15" ht="20.100000000000001" customHeight="1">
      <c r="A68" s="1659" t="s">
        <v>102</v>
      </c>
      <c r="B68" s="1660"/>
      <c r="C68" s="1661"/>
      <c r="D68" s="838" t="s">
        <v>185</v>
      </c>
      <c r="E68" s="839">
        <f>'25'!F68</f>
        <v>85321</v>
      </c>
      <c r="F68" s="868">
        <v>85321</v>
      </c>
      <c r="G68" s="840">
        <f t="shared" si="5"/>
        <v>0</v>
      </c>
      <c r="H68" s="841">
        <f>G68+'25'!H68</f>
        <v>0</v>
      </c>
      <c r="I68" s="923"/>
      <c r="J68" s="843">
        <f>H68/DAY(B2)</f>
        <v>0</v>
      </c>
      <c r="K68" s="924"/>
      <c r="L68" s="818"/>
      <c r="O68" s="845"/>
    </row>
    <row r="69" spans="1:15" ht="20.100000000000001" customHeight="1">
      <c r="A69" s="1659" t="s">
        <v>103</v>
      </c>
      <c r="B69" s="1660"/>
      <c r="C69" s="1661"/>
      <c r="D69" s="838" t="s">
        <v>185</v>
      </c>
      <c r="E69" s="839">
        <f>'25'!F69</f>
        <v>94476</v>
      </c>
      <c r="F69" s="868">
        <v>94828</v>
      </c>
      <c r="G69" s="840">
        <f t="shared" si="5"/>
        <v>352</v>
      </c>
      <c r="H69" s="841">
        <f>G69+'25'!H69</f>
        <v>7313</v>
      </c>
      <c r="I69" s="923"/>
      <c r="J69" s="843">
        <f>H69/DAY(B2)</f>
        <v>281.26923076923077</v>
      </c>
      <c r="K69" s="925"/>
      <c r="L69" s="818"/>
      <c r="O69" s="845"/>
    </row>
    <row r="70" spans="1:15" ht="20.100000000000001" customHeight="1">
      <c r="A70" s="1668" t="s">
        <v>187</v>
      </c>
      <c r="B70" s="1669"/>
      <c r="C70" s="1670"/>
      <c r="D70" s="838" t="s">
        <v>185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0.100000000000001" customHeight="1">
      <c r="A71" s="1665" t="s">
        <v>188</v>
      </c>
      <c r="B71" s="1666"/>
      <c r="C71" s="1666"/>
      <c r="D71" s="1666"/>
      <c r="E71" s="1666"/>
      <c r="F71" s="1666"/>
      <c r="G71" s="1666"/>
      <c r="H71" s="1666"/>
      <c r="I71" s="1666"/>
      <c r="J71" s="1667"/>
      <c r="K71" s="924"/>
      <c r="L71" s="818"/>
      <c r="O71" s="845"/>
    </row>
    <row r="72" spans="1:15" ht="20.100000000000001" customHeight="1">
      <c r="A72" s="1659" t="s">
        <v>189</v>
      </c>
      <c r="B72" s="1660"/>
      <c r="C72" s="1661"/>
      <c r="D72" s="838" t="s">
        <v>185</v>
      </c>
      <c r="E72" s="839">
        <f>'25'!F72</f>
        <v>856532</v>
      </c>
      <c r="F72" s="929">
        <v>856543</v>
      </c>
      <c r="G72" s="840">
        <f t="shared" ref="G72:G84" si="6">F72-E72</f>
        <v>11</v>
      </c>
      <c r="H72" s="841">
        <f>G72+'25'!H72</f>
        <v>308</v>
      </c>
      <c r="I72" s="859"/>
      <c r="J72" s="843">
        <f>H72/DAY(B2)</f>
        <v>11.846153846153847</v>
      </c>
      <c r="K72" s="925"/>
      <c r="L72" s="818"/>
      <c r="O72" s="845"/>
    </row>
    <row r="73" spans="1:15" ht="20.100000000000001" customHeight="1">
      <c r="A73" s="1659" t="s">
        <v>190</v>
      </c>
      <c r="B73" s="1660"/>
      <c r="C73" s="1661"/>
      <c r="D73" s="838" t="s">
        <v>185</v>
      </c>
      <c r="E73" s="839">
        <f>'25'!F73</f>
        <v>886006</v>
      </c>
      <c r="F73" s="929">
        <v>886007</v>
      </c>
      <c r="G73" s="840">
        <f t="shared" si="6"/>
        <v>1</v>
      </c>
      <c r="H73" s="841">
        <f>G73+'25'!H73</f>
        <v>173</v>
      </c>
      <c r="I73" s="859"/>
      <c r="J73" s="843">
        <f>H73/DAY(B2)</f>
        <v>6.6538461538461542</v>
      </c>
      <c r="K73" s="924"/>
      <c r="L73" s="818"/>
      <c r="O73" s="845"/>
    </row>
    <row r="74" spans="1:15" ht="20.100000000000001" customHeight="1">
      <c r="A74" s="1659" t="s">
        <v>191</v>
      </c>
      <c r="B74" s="1660"/>
      <c r="C74" s="1661"/>
      <c r="D74" s="838" t="s">
        <v>185</v>
      </c>
      <c r="E74" s="839">
        <f>'25'!F74</f>
        <v>88723</v>
      </c>
      <c r="F74" s="931">
        <v>88723</v>
      </c>
      <c r="G74" s="840">
        <f t="shared" si="6"/>
        <v>0</v>
      </c>
      <c r="H74" s="841">
        <f>G74+'25'!H74</f>
        <v>61</v>
      </c>
      <c r="I74" s="859"/>
      <c r="J74" s="843">
        <f>H74/DAY(B2)</f>
        <v>2.3461538461538463</v>
      </c>
      <c r="K74" s="925"/>
      <c r="L74" s="818"/>
      <c r="O74" s="845"/>
    </row>
    <row r="75" spans="1:15" ht="20.100000000000001" customHeight="1">
      <c r="A75" s="1662" t="s">
        <v>192</v>
      </c>
      <c r="B75" s="1663"/>
      <c r="C75" s="1664"/>
      <c r="D75" s="838" t="s">
        <v>185</v>
      </c>
      <c r="E75" s="839">
        <f>'25'!F75</f>
        <v>19984</v>
      </c>
      <c r="F75" s="931">
        <v>20129</v>
      </c>
      <c r="G75" s="840">
        <f t="shared" si="6"/>
        <v>145</v>
      </c>
      <c r="H75" s="841">
        <f>G75+'25'!H75</f>
        <v>4058</v>
      </c>
      <c r="I75" s="859"/>
      <c r="J75" s="843">
        <f>H75/DAY(B2)</f>
        <v>156.07692307692307</v>
      </c>
      <c r="K75" s="924"/>
      <c r="L75" s="818"/>
      <c r="O75" s="845"/>
    </row>
    <row r="76" spans="1:15" ht="20.100000000000001" customHeight="1">
      <c r="A76" s="1662" t="s">
        <v>193</v>
      </c>
      <c r="B76" s="1663"/>
      <c r="C76" s="1664"/>
      <c r="D76" s="838" t="s">
        <v>185</v>
      </c>
      <c r="E76" s="839">
        <f>'25'!F76</f>
        <v>10981</v>
      </c>
      <c r="F76" s="930">
        <v>11062</v>
      </c>
      <c r="G76" s="840">
        <f t="shared" si="6"/>
        <v>81</v>
      </c>
      <c r="H76" s="841">
        <f>G76+'25'!H76</f>
        <v>2843</v>
      </c>
      <c r="I76" s="902"/>
      <c r="J76" s="843">
        <f>H76/DAY(B2)</f>
        <v>109.34615384615384</v>
      </c>
      <c r="K76" s="924"/>
      <c r="L76" s="818"/>
      <c r="O76" s="845"/>
    </row>
    <row r="77" spans="1:15" ht="20.100000000000001" customHeight="1">
      <c r="A77" s="1659" t="s">
        <v>194</v>
      </c>
      <c r="B77" s="1660"/>
      <c r="C77" s="1661"/>
      <c r="D77" s="838" t="s">
        <v>185</v>
      </c>
      <c r="E77" s="839">
        <f>'25'!F77</f>
        <v>705945</v>
      </c>
      <c r="F77" s="929">
        <v>706078</v>
      </c>
      <c r="G77" s="840">
        <f t="shared" si="6"/>
        <v>133</v>
      </c>
      <c r="H77" s="841">
        <f>G77+'25'!H77</f>
        <v>1704</v>
      </c>
      <c r="I77" s="902"/>
      <c r="J77" s="843">
        <f>H77/DAY(B2)</f>
        <v>65.538461538461533</v>
      </c>
      <c r="K77" s="924"/>
      <c r="L77" s="818"/>
      <c r="O77" s="845"/>
    </row>
    <row r="78" spans="1:15" ht="18.75" customHeight="1">
      <c r="A78" s="932" t="s">
        <v>195</v>
      </c>
      <c r="B78" s="1133"/>
      <c r="C78" s="1133"/>
      <c r="D78" s="838" t="s">
        <v>185</v>
      </c>
      <c r="E78" s="839">
        <f>'25'!F78</f>
        <v>678011</v>
      </c>
      <c r="F78" s="929">
        <v>678100</v>
      </c>
      <c r="G78" s="840">
        <f t="shared" si="6"/>
        <v>89</v>
      </c>
      <c r="H78" s="841">
        <f>G78+'25'!H78</f>
        <v>2686</v>
      </c>
      <c r="I78" s="902"/>
      <c r="J78" s="843">
        <f>H78/DAY(B2)</f>
        <v>103.30769230769231</v>
      </c>
      <c r="K78" s="924"/>
      <c r="L78" s="818"/>
      <c r="O78" s="845"/>
    </row>
    <row r="79" spans="1:15" ht="20.100000000000001" customHeight="1">
      <c r="A79" s="1662" t="s">
        <v>91</v>
      </c>
      <c r="B79" s="1663"/>
      <c r="C79" s="1664"/>
      <c r="D79" s="871" t="s">
        <v>185</v>
      </c>
      <c r="E79" s="839">
        <f>'25'!F79</f>
        <v>839324</v>
      </c>
      <c r="F79" s="931">
        <v>839478</v>
      </c>
      <c r="G79" s="840">
        <f t="shared" si="6"/>
        <v>154</v>
      </c>
      <c r="H79" s="841">
        <f>G79+'25'!H79</f>
        <v>3324</v>
      </c>
      <c r="I79" s="902"/>
      <c r="J79" s="843">
        <f>H79/DAY(B2)</f>
        <v>127.84615384615384</v>
      </c>
      <c r="K79" s="924"/>
      <c r="L79" s="818"/>
      <c r="O79" s="845"/>
    </row>
    <row r="80" spans="1:15" ht="20.100000000000001" customHeight="1">
      <c r="A80" s="1662" t="s">
        <v>196</v>
      </c>
      <c r="B80" s="1663"/>
      <c r="C80" s="1664"/>
      <c r="D80" s="871" t="s">
        <v>185</v>
      </c>
      <c r="E80" s="839">
        <f>'25'!F80</f>
        <v>549604</v>
      </c>
      <c r="F80" s="929">
        <v>550012</v>
      </c>
      <c r="G80" s="840">
        <f t="shared" si="6"/>
        <v>408</v>
      </c>
      <c r="H80" s="841">
        <f>G80+'25'!H80</f>
        <v>7621</v>
      </c>
      <c r="I80" s="902"/>
      <c r="J80" s="843">
        <f>H80/DAY(B2)</f>
        <v>293.11538461538464</v>
      </c>
      <c r="K80" s="924"/>
      <c r="L80" s="818"/>
      <c r="O80" s="845"/>
    </row>
    <row r="81" spans="1:15" ht="20.100000000000001" customHeight="1">
      <c r="A81" s="1662" t="s">
        <v>197</v>
      </c>
      <c r="B81" s="1663"/>
      <c r="C81" s="1664"/>
      <c r="D81" s="871" t="s">
        <v>185</v>
      </c>
      <c r="E81" s="839">
        <f>'25'!F81</f>
        <v>647880</v>
      </c>
      <c r="F81" s="930">
        <v>648073</v>
      </c>
      <c r="G81" s="840">
        <f t="shared" si="6"/>
        <v>193</v>
      </c>
      <c r="H81" s="841">
        <f>G81+'25'!H81</f>
        <v>5088</v>
      </c>
      <c r="I81" s="902"/>
      <c r="J81" s="843">
        <f>H81/DAY(B2)</f>
        <v>195.69230769230768</v>
      </c>
      <c r="K81" s="924"/>
      <c r="L81" s="818"/>
      <c r="O81" s="845"/>
    </row>
    <row r="82" spans="1:15" ht="20.100000000000001" customHeight="1">
      <c r="A82" s="1662" t="s">
        <v>92</v>
      </c>
      <c r="B82" s="1663"/>
      <c r="C82" s="1664"/>
      <c r="D82" s="872" t="s">
        <v>130</v>
      </c>
      <c r="E82" s="839">
        <f>'25'!F82</f>
        <v>109216</v>
      </c>
      <c r="F82" s="933">
        <v>109230</v>
      </c>
      <c r="G82" s="840">
        <f t="shared" si="6"/>
        <v>14</v>
      </c>
      <c r="H82" s="841">
        <f>G82+'25'!H82</f>
        <v>549</v>
      </c>
      <c r="I82" s="873"/>
      <c r="J82" s="843">
        <f>H82/DAY(B2)</f>
        <v>21.115384615384617</v>
      </c>
      <c r="K82" s="924"/>
      <c r="L82" s="818"/>
      <c r="O82" s="845"/>
    </row>
    <row r="83" spans="1:15" ht="20.100000000000001" customHeight="1">
      <c r="A83" s="1662" t="s">
        <v>198</v>
      </c>
      <c r="B83" s="1663"/>
      <c r="C83" s="1664"/>
      <c r="D83" s="934" t="s">
        <v>130</v>
      </c>
      <c r="E83" s="839">
        <f>'25'!F83</f>
        <v>33827</v>
      </c>
      <c r="F83" s="825">
        <v>33838</v>
      </c>
      <c r="G83" s="840">
        <f t="shared" si="6"/>
        <v>11</v>
      </c>
      <c r="H83" s="841">
        <f>G83+'25'!H83</f>
        <v>6287</v>
      </c>
      <c r="I83" s="862"/>
      <c r="J83" s="843">
        <f>H83/DAY(B2)</f>
        <v>241.80769230769232</v>
      </c>
      <c r="K83" s="865"/>
      <c r="L83" s="818"/>
      <c r="O83" s="845"/>
    </row>
    <row r="84" spans="1:15" ht="20.100000000000001" customHeight="1">
      <c r="A84" s="935" t="s">
        <v>199</v>
      </c>
      <c r="B84" s="936"/>
      <c r="C84" s="936"/>
      <c r="D84" s="856" t="s">
        <v>130</v>
      </c>
      <c r="E84" s="839">
        <f>'25'!F84</f>
        <v>542535</v>
      </c>
      <c r="F84" s="937">
        <v>543364</v>
      </c>
      <c r="G84" s="840">
        <f t="shared" si="6"/>
        <v>829</v>
      </c>
      <c r="H84" s="841">
        <f>G84+'25'!H84</f>
        <v>20284</v>
      </c>
      <c r="I84" s="862"/>
      <c r="J84" s="843">
        <f>H84/DAY(B2)</f>
        <v>780.15384615384619</v>
      </c>
      <c r="K84" s="938"/>
      <c r="L84" s="818"/>
      <c r="O84" s="845"/>
    </row>
    <row r="85" spans="1:15" s="942" customFormat="1" ht="20.100000000000001" customHeight="1">
      <c r="A85" s="939" t="s">
        <v>200</v>
      </c>
      <c r="B85" s="940"/>
      <c r="C85" s="940"/>
      <c r="D85" s="877"/>
      <c r="E85" s="839">
        <f>'25'!F85</f>
        <v>0</v>
      </c>
      <c r="F85" s="838"/>
      <c r="G85" s="841">
        <f xml:space="preserve"> SUM(G72:G84)</f>
        <v>2069</v>
      </c>
      <c r="H85" s="841">
        <f>G85+'25'!H85</f>
        <v>57860</v>
      </c>
      <c r="I85" s="862"/>
      <c r="J85" s="843">
        <f>H85/DAY(B2)</f>
        <v>2225.3846153846152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181</v>
      </c>
      <c r="E86" s="839">
        <f>'25'!F86</f>
        <v>462353</v>
      </c>
      <c r="F86" s="946">
        <v>462367</v>
      </c>
      <c r="G86" s="947">
        <f t="shared" ref="G86:G91" si="7">F86-E86</f>
        <v>14</v>
      </c>
      <c r="H86" s="947">
        <f t="shared" ref="H86:H88" si="8">G86</f>
        <v>14</v>
      </c>
      <c r="I86" s="948"/>
      <c r="J86" s="949">
        <f>H86/DAY(B2)</f>
        <v>0.53846153846153844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181</v>
      </c>
      <c r="E87" s="839">
        <f>'25'!F87</f>
        <v>82758</v>
      </c>
      <c r="F87" s="1278">
        <v>82793</v>
      </c>
      <c r="G87" s="947">
        <f t="shared" si="7"/>
        <v>35</v>
      </c>
      <c r="H87" s="947">
        <f t="shared" si="8"/>
        <v>35</v>
      </c>
      <c r="I87" s="948"/>
      <c r="J87" s="949">
        <f>H87/DAY(B2)</f>
        <v>1.3461538461538463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181</v>
      </c>
      <c r="E88" s="839">
        <f>'25'!F88</f>
        <v>158073</v>
      </c>
      <c r="F88" s="946">
        <v>158099</v>
      </c>
      <c r="G88" s="947">
        <f t="shared" si="7"/>
        <v>26</v>
      </c>
      <c r="H88" s="947">
        <f t="shared" si="8"/>
        <v>26</v>
      </c>
      <c r="I88" s="948"/>
      <c r="J88" s="949">
        <f>H88/DAY(B2)</f>
        <v>1</v>
      </c>
      <c r="K88" s="950"/>
      <c r="L88" s="951"/>
      <c r="N88" s="1010"/>
      <c r="O88" s="845"/>
    </row>
    <row r="89" spans="1:15" s="952" customFormat="1">
      <c r="A89" s="943" t="s">
        <v>202</v>
      </c>
      <c r="B89" s="944"/>
      <c r="C89" s="944"/>
      <c r="D89" s="945" t="s">
        <v>181</v>
      </c>
      <c r="E89" s="839">
        <f>'25'!F89</f>
        <v>66779</v>
      </c>
      <c r="F89" s="946">
        <v>66839</v>
      </c>
      <c r="G89" s="947">
        <f t="shared" si="7"/>
        <v>60</v>
      </c>
      <c r="H89" s="947">
        <f>G89</f>
        <v>60</v>
      </c>
      <c r="I89" s="948"/>
      <c r="J89" s="949">
        <f>H89/DAY(B2)</f>
        <v>2.3076923076923075</v>
      </c>
      <c r="K89" s="950"/>
      <c r="L89" s="951"/>
      <c r="N89" s="1016"/>
      <c r="O89" s="845"/>
    </row>
    <row r="90" spans="1:15" s="952" customFormat="1">
      <c r="A90" s="943" t="s">
        <v>202</v>
      </c>
      <c r="B90" s="944"/>
      <c r="C90" s="944"/>
      <c r="D90" s="945" t="s">
        <v>181</v>
      </c>
      <c r="E90" s="839">
        <f>'25'!F90</f>
        <v>3432</v>
      </c>
      <c r="F90" s="946">
        <v>3439</v>
      </c>
      <c r="G90" s="947">
        <f t="shared" si="7"/>
        <v>7</v>
      </c>
      <c r="H90" s="947">
        <f>G90</f>
        <v>7</v>
      </c>
      <c r="I90" s="948"/>
      <c r="J90" s="949">
        <f>H90/DAY(B2)</f>
        <v>0.26923076923076922</v>
      </c>
      <c r="K90" s="950"/>
      <c r="L90" s="951"/>
      <c r="N90" s="1011"/>
      <c r="O90" s="845"/>
    </row>
    <row r="91" spans="1:15" s="735" customFormat="1" ht="29.25">
      <c r="A91" s="730" t="s">
        <v>346</v>
      </c>
      <c r="B91" s="731"/>
      <c r="C91" s="731"/>
      <c r="D91" s="732"/>
      <c r="E91" s="839">
        <f>'25'!F91</f>
        <v>28448</v>
      </c>
      <c r="F91" s="946">
        <v>28455</v>
      </c>
      <c r="G91" s="705">
        <f t="shared" si="7"/>
        <v>7</v>
      </c>
      <c r="H91" s="705">
        <f>G91</f>
        <v>7</v>
      </c>
      <c r="I91" s="652"/>
      <c r="J91" s="707"/>
      <c r="K91" s="733"/>
      <c r="L91" s="734"/>
      <c r="N91" s="777"/>
      <c r="O91" s="382"/>
    </row>
    <row r="92" spans="1:15" s="942" customFormat="1" ht="20.100000000000001" customHeight="1">
      <c r="A92" s="953" t="s">
        <v>203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 ht="20.100000000000001" customHeight="1">
      <c r="A93" s="1653" t="s">
        <v>204</v>
      </c>
      <c r="B93" s="1654"/>
      <c r="C93" s="1655"/>
      <c r="D93" s="838" t="s">
        <v>142</v>
      </c>
      <c r="E93" s="839">
        <f>'25'!F93</f>
        <v>249862</v>
      </c>
      <c r="F93" s="868">
        <v>249944</v>
      </c>
      <c r="G93" s="840">
        <f t="shared" ref="G93:G94" si="9">F93-E93</f>
        <v>82</v>
      </c>
      <c r="H93" s="841">
        <f>G93+'25'!H93</f>
        <v>2592</v>
      </c>
      <c r="I93" s="859"/>
      <c r="J93" s="843">
        <f>H93/DAY(B2)</f>
        <v>99.692307692307693</v>
      </c>
      <c r="K93" s="865"/>
      <c r="L93" s="818"/>
      <c r="O93" s="845"/>
    </row>
    <row r="94" spans="1:15" ht="20.100000000000001" customHeight="1">
      <c r="A94" s="1653" t="s">
        <v>205</v>
      </c>
      <c r="B94" s="1654"/>
      <c r="C94" s="1655"/>
      <c r="D94" s="838" t="s">
        <v>142</v>
      </c>
      <c r="E94" s="839">
        <f>'25'!F94</f>
        <v>192369</v>
      </c>
      <c r="F94" s="868">
        <v>192477</v>
      </c>
      <c r="G94" s="840">
        <f t="shared" si="9"/>
        <v>108</v>
      </c>
      <c r="H94" s="841">
        <f>G94+'25'!H94</f>
        <v>3023</v>
      </c>
      <c r="I94" s="859"/>
      <c r="J94" s="843">
        <f>H94/DAY(B2)</f>
        <v>116.26923076923077</v>
      </c>
      <c r="K94" s="938"/>
      <c r="L94" s="818"/>
      <c r="O94" s="845"/>
    </row>
    <row r="95" spans="1:15" ht="20.100000000000001" customHeight="1">
      <c r="A95" s="1645" t="s">
        <v>206</v>
      </c>
      <c r="B95" s="1646"/>
      <c r="C95" s="1647"/>
      <c r="D95" s="838"/>
      <c r="E95" s="839">
        <f>'25'!F95</f>
        <v>0</v>
      </c>
      <c r="F95" s="868"/>
      <c r="G95" s="840">
        <f>G93+G94</f>
        <v>190</v>
      </c>
      <c r="H95" s="841">
        <f>G95+'25'!H95</f>
        <v>5429</v>
      </c>
      <c r="I95" s="859"/>
      <c r="J95" s="843">
        <f>H95/DAY(B2)</f>
        <v>208.80769230769232</v>
      </c>
      <c r="K95" s="938"/>
      <c r="L95" s="818"/>
      <c r="O95" s="845"/>
    </row>
    <row r="96" spans="1:15" ht="20.100000000000001" customHeight="1">
      <c r="A96" s="1653" t="s">
        <v>207</v>
      </c>
      <c r="B96" s="1654"/>
      <c r="C96" s="1655"/>
      <c r="D96" s="838" t="s">
        <v>142</v>
      </c>
      <c r="E96" s="839">
        <f>'25'!F96</f>
        <v>418122</v>
      </c>
      <c r="F96" s="868">
        <v>418191</v>
      </c>
      <c r="G96" s="840">
        <f t="shared" ref="G96:G101" si="10">F96-E96</f>
        <v>69</v>
      </c>
      <c r="H96" s="841">
        <f>G96+'25'!H96</f>
        <v>2192</v>
      </c>
      <c r="I96" s="859"/>
      <c r="J96" s="843">
        <f>H96/DAY(B2)</f>
        <v>84.307692307692307</v>
      </c>
      <c r="K96" s="938"/>
      <c r="L96" s="818"/>
      <c r="O96" s="845"/>
    </row>
    <row r="97" spans="1:15" ht="20.100000000000001" customHeight="1">
      <c r="A97" s="866" t="s">
        <v>208</v>
      </c>
      <c r="B97" s="867"/>
      <c r="C97" s="867"/>
      <c r="D97" s="838" t="s">
        <v>142</v>
      </c>
      <c r="E97" s="839">
        <f>'25'!F97</f>
        <v>103718</v>
      </c>
      <c r="F97" s="868">
        <v>103742</v>
      </c>
      <c r="G97" s="840">
        <f t="shared" si="10"/>
        <v>24</v>
      </c>
      <c r="H97" s="841">
        <f>G97+'25'!H97</f>
        <v>579</v>
      </c>
      <c r="I97" s="859"/>
      <c r="J97" s="843">
        <f>H97/DAY(B2)</f>
        <v>22.26923076923077</v>
      </c>
      <c r="K97" s="835"/>
      <c r="L97" s="818"/>
      <c r="O97" s="845"/>
    </row>
    <row r="98" spans="1:15" ht="20.100000000000001" customHeight="1">
      <c r="A98" s="866" t="s">
        <v>209</v>
      </c>
      <c r="B98" s="867"/>
      <c r="C98" s="867"/>
      <c r="D98" s="838" t="s">
        <v>142</v>
      </c>
      <c r="E98" s="839">
        <f>'25'!F98</f>
        <v>99296</v>
      </c>
      <c r="F98" s="868">
        <v>99318</v>
      </c>
      <c r="G98" s="840">
        <f t="shared" si="10"/>
        <v>22</v>
      </c>
      <c r="H98" s="841">
        <f>G98+'25'!H98</f>
        <v>661</v>
      </c>
      <c r="I98" s="859"/>
      <c r="J98" s="843">
        <f>H98/DAY(B2)</f>
        <v>25.423076923076923</v>
      </c>
      <c r="K98" s="954"/>
      <c r="L98" s="818"/>
      <c r="O98" s="845"/>
    </row>
    <row r="99" spans="1:15" ht="20.100000000000001" customHeight="1">
      <c r="A99" s="866" t="s">
        <v>210</v>
      </c>
      <c r="B99" s="867"/>
      <c r="C99" s="867"/>
      <c r="D99" s="838" t="s">
        <v>142</v>
      </c>
      <c r="E99" s="839">
        <f>'25'!F99</f>
        <v>151102</v>
      </c>
      <c r="F99" s="868">
        <v>151129</v>
      </c>
      <c r="G99" s="840">
        <f t="shared" si="10"/>
        <v>27</v>
      </c>
      <c r="H99" s="841">
        <f>G99+'25'!H99</f>
        <v>724</v>
      </c>
      <c r="I99" s="859"/>
      <c r="J99" s="843">
        <f>H99/DAY(B2)</f>
        <v>27.846153846153847</v>
      </c>
      <c r="K99" s="938"/>
      <c r="L99" s="818"/>
      <c r="O99" s="845"/>
    </row>
    <row r="100" spans="1:15" ht="20.100000000000001" customHeight="1">
      <c r="A100" s="866" t="s">
        <v>211</v>
      </c>
      <c r="B100" s="867"/>
      <c r="C100" s="867"/>
      <c r="D100" s="838" t="s">
        <v>142</v>
      </c>
      <c r="E100" s="839">
        <f>'25'!F100</f>
        <v>8089</v>
      </c>
      <c r="F100" s="868">
        <v>8106</v>
      </c>
      <c r="G100" s="840">
        <f t="shared" si="10"/>
        <v>17</v>
      </c>
      <c r="H100" s="841">
        <f>G100+'25'!H100</f>
        <v>309</v>
      </c>
      <c r="I100" s="859"/>
      <c r="J100" s="843">
        <f>H100/DAY(B2)</f>
        <v>11.884615384615385</v>
      </c>
      <c r="K100" s="938"/>
      <c r="L100" s="818"/>
      <c r="O100" s="845"/>
    </row>
    <row r="101" spans="1:15" ht="20.100000000000001" customHeight="1">
      <c r="A101" s="866" t="s">
        <v>212</v>
      </c>
      <c r="B101" s="867"/>
      <c r="C101" s="867"/>
      <c r="D101" s="838" t="s">
        <v>142</v>
      </c>
      <c r="E101" s="839">
        <f>'25'!F101</f>
        <v>5933</v>
      </c>
      <c r="F101" s="868">
        <v>5938</v>
      </c>
      <c r="G101" s="840">
        <f t="shared" si="10"/>
        <v>5</v>
      </c>
      <c r="H101" s="841">
        <f>G101+'25'!H101</f>
        <v>264</v>
      </c>
      <c r="I101" s="859"/>
      <c r="J101" s="843">
        <f>H101/DAY(B2)</f>
        <v>10.153846153846153</v>
      </c>
      <c r="K101" s="938"/>
      <c r="L101" s="818"/>
      <c r="O101" s="845"/>
    </row>
    <row r="102" spans="1:15" ht="20.100000000000001" customHeight="1">
      <c r="A102" s="1645" t="s">
        <v>214</v>
      </c>
      <c r="B102" s="1646"/>
      <c r="C102" s="1647"/>
      <c r="D102" s="871"/>
      <c r="E102" s="871"/>
      <c r="F102" s="871"/>
      <c r="G102" s="955">
        <f>SUM(G96:G101)</f>
        <v>164</v>
      </c>
      <c r="H102" s="841">
        <f>G102+'25'!H102</f>
        <v>4729</v>
      </c>
      <c r="I102" s="956"/>
      <c r="J102" s="843">
        <f>H102/DAY(B2)</f>
        <v>181.88461538461539</v>
      </c>
      <c r="K102" s="938"/>
      <c r="L102" s="818"/>
      <c r="O102" s="845"/>
    </row>
    <row r="103" spans="1:15" s="889" customFormat="1" ht="25.5" customHeight="1">
      <c r="A103" s="957" t="s">
        <v>215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 ht="21.75" customHeight="1">
      <c r="A104" s="1642" t="s">
        <v>216</v>
      </c>
      <c r="B104" s="1643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 ht="21.75" customHeight="1">
      <c r="A105" s="1636" t="s">
        <v>217</v>
      </c>
      <c r="B105" s="1637"/>
      <c r="C105" s="971"/>
      <c r="D105" s="967" t="s">
        <v>142</v>
      </c>
      <c r="E105" s="968">
        <f>'25'!F105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2.6684615384615076</v>
      </c>
      <c r="N105" s="1007"/>
      <c r="O105" s="845"/>
    </row>
    <row r="106" spans="1:15" s="889" customFormat="1" ht="21.75" customHeight="1">
      <c r="A106" s="1636" t="s">
        <v>76</v>
      </c>
      <c r="B106" s="1637"/>
      <c r="C106" s="971"/>
      <c r="D106" s="967" t="s">
        <v>142</v>
      </c>
      <c r="E106" s="968">
        <f>'25'!F106</f>
        <v>36403</v>
      </c>
      <c r="F106" s="972">
        <v>36415</v>
      </c>
      <c r="G106" s="968">
        <f t="shared" ref="G106:G107" si="11">F106-E106</f>
        <v>12</v>
      </c>
      <c r="H106" s="969">
        <f>SUM(G106+'1'!G77)</f>
        <v>65</v>
      </c>
      <c r="I106" s="968"/>
      <c r="J106" s="970">
        <f>H106/DAY(B2)</f>
        <v>2.5</v>
      </c>
      <c r="N106" s="1007"/>
      <c r="O106" s="845"/>
    </row>
    <row r="107" spans="1:15" s="889" customFormat="1" ht="21.75" customHeight="1">
      <c r="A107" s="1636" t="s">
        <v>77</v>
      </c>
      <c r="B107" s="1644"/>
      <c r="C107" s="1637"/>
      <c r="D107" s="967" t="s">
        <v>142</v>
      </c>
      <c r="E107" s="968">
        <f>'25'!F107</f>
        <v>19934</v>
      </c>
      <c r="F107" s="968">
        <v>19938</v>
      </c>
      <c r="G107" s="968">
        <f t="shared" si="11"/>
        <v>4</v>
      </c>
      <c r="H107" s="969">
        <f>SUM(G107+'1'!G78)</f>
        <v>118</v>
      </c>
      <c r="I107" s="968"/>
      <c r="J107" s="970">
        <f>H107/DAY(B2)</f>
        <v>4.5384615384615383</v>
      </c>
      <c r="N107" s="1007"/>
      <c r="O107" s="845"/>
    </row>
    <row r="108" spans="1:15" s="889" customFormat="1" ht="21.75" customHeight="1">
      <c r="A108" s="1638" t="s">
        <v>200</v>
      </c>
      <c r="B108" s="1639"/>
      <c r="C108" s="971"/>
      <c r="D108" s="967"/>
      <c r="E108" s="968">
        <f>'25'!F108</f>
        <v>0</v>
      </c>
      <c r="F108" s="968"/>
      <c r="G108" s="968">
        <f>SUM(G105:G107)</f>
        <v>16</v>
      </c>
      <c r="H108" s="969">
        <f>SUM(G108+'1'!G79)</f>
        <v>169</v>
      </c>
      <c r="I108" s="968"/>
      <c r="J108" s="970">
        <f>H108/DAY(B2)</f>
        <v>6.5</v>
      </c>
      <c r="N108" s="1007"/>
      <c r="O108" s="845"/>
    </row>
    <row r="109" spans="1:15" s="889" customFormat="1" ht="21.75" customHeight="1">
      <c r="A109" s="1634" t="s">
        <v>78</v>
      </c>
      <c r="B109" s="1635"/>
      <c r="C109" s="971"/>
      <c r="D109" s="967" t="s">
        <v>142</v>
      </c>
      <c r="E109" s="968">
        <f>'25'!F109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 ht="21.75" customHeight="1">
      <c r="A110" s="1636" t="s">
        <v>218</v>
      </c>
      <c r="B110" s="1637"/>
      <c r="C110" s="971"/>
      <c r="D110" s="967" t="s">
        <v>142</v>
      </c>
      <c r="E110" s="968">
        <f>'25'!F110</f>
        <v>66651</v>
      </c>
      <c r="F110" s="968">
        <v>66724</v>
      </c>
      <c r="G110" s="968">
        <f>F110-E110</f>
        <v>73</v>
      </c>
      <c r="H110" s="969">
        <f>SUM(G110+'1'!G81)</f>
        <v>204.64000000001397</v>
      </c>
      <c r="I110" s="968"/>
      <c r="J110" s="970">
        <f>H110/DAY(B2)</f>
        <v>7.8707692307697679</v>
      </c>
      <c r="N110" s="1007"/>
      <c r="O110" s="845"/>
    </row>
    <row r="111" spans="1:15" s="889" customFormat="1" ht="21.75" customHeight="1">
      <c r="A111" s="1636" t="s">
        <v>219</v>
      </c>
      <c r="B111" s="1637"/>
      <c r="C111" s="971"/>
      <c r="D111" s="967" t="s">
        <v>142</v>
      </c>
      <c r="E111" s="968">
        <f>'25'!F111</f>
        <v>33827</v>
      </c>
      <c r="F111" s="968">
        <v>33838</v>
      </c>
      <c r="G111" s="968">
        <f t="shared" ref="G111:G112" si="12">F111-E111</f>
        <v>11</v>
      </c>
      <c r="H111" s="969">
        <f>SUM(G111+'1'!G82)</f>
        <v>35.899999999994179</v>
      </c>
      <c r="I111" s="968"/>
      <c r="J111" s="970">
        <f>H111/DAY(B2)</f>
        <v>1.3807692307690069</v>
      </c>
      <c r="N111" s="1007"/>
      <c r="O111" s="845"/>
    </row>
    <row r="112" spans="1:15" s="889" customFormat="1" ht="21.75" customHeight="1">
      <c r="A112" s="1636" t="s">
        <v>220</v>
      </c>
      <c r="B112" s="1637"/>
      <c r="C112" s="971"/>
      <c r="D112" s="967" t="s">
        <v>142</v>
      </c>
      <c r="E112" s="968">
        <f>'25'!F112</f>
        <v>4622</v>
      </c>
      <c r="F112" s="968">
        <v>4622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13.5</v>
      </c>
      <c r="N112" s="1007"/>
      <c r="O112" s="845"/>
    </row>
    <row r="113" spans="1:15" s="889" customFormat="1" ht="21.75" customHeight="1">
      <c r="A113" s="1640" t="s">
        <v>109</v>
      </c>
      <c r="B113" s="1641"/>
      <c r="C113" s="971"/>
      <c r="D113" s="967"/>
      <c r="E113" s="968">
        <f>'25'!F113</f>
        <v>0</v>
      </c>
      <c r="F113" s="968"/>
      <c r="G113" s="968">
        <f>SUM(G110:G112)</f>
        <v>84</v>
      </c>
      <c r="H113" s="969">
        <f>SUM(G113+'1'!G84)</f>
        <v>900</v>
      </c>
      <c r="I113" s="968"/>
      <c r="J113" s="970">
        <f>H113/DAY(B2)</f>
        <v>34.615384615384613</v>
      </c>
      <c r="N113" s="1007"/>
      <c r="O113" s="845"/>
    </row>
    <row r="114" spans="1:15" s="889" customFormat="1" ht="21.75" customHeight="1">
      <c r="A114" s="1634" t="s">
        <v>221</v>
      </c>
      <c r="B114" s="1635"/>
      <c r="C114" s="971"/>
      <c r="D114" s="967"/>
      <c r="E114" s="968">
        <f>'25'!F114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 ht="21.75" customHeight="1">
      <c r="A115" s="1636" t="s">
        <v>222</v>
      </c>
      <c r="B115" s="1637"/>
      <c r="C115" s="973"/>
      <c r="D115" s="967" t="s">
        <v>142</v>
      </c>
      <c r="E115" s="968">
        <f>'25'!F115</f>
        <v>12372</v>
      </c>
      <c r="F115" s="972">
        <v>12393</v>
      </c>
      <c r="G115" s="972">
        <f>F115-E115</f>
        <v>21</v>
      </c>
      <c r="H115" s="969">
        <f>SUM(G115+'1'!G92)</f>
        <v>21</v>
      </c>
      <c r="I115" s="968"/>
      <c r="J115" s="970">
        <f>H115/DAY(B2)</f>
        <v>0.80769230769230771</v>
      </c>
      <c r="N115" s="1007"/>
      <c r="O115" s="845"/>
    </row>
    <row r="116" spans="1:15" s="889" customFormat="1" ht="21.75" customHeight="1">
      <c r="A116" s="1636" t="s">
        <v>223</v>
      </c>
      <c r="B116" s="1637"/>
      <c r="C116" s="973"/>
      <c r="D116" s="967" t="s">
        <v>142</v>
      </c>
      <c r="E116" s="968">
        <f>'25'!F116</f>
        <v>8772</v>
      </c>
      <c r="F116" s="972">
        <v>8778</v>
      </c>
      <c r="G116" s="972">
        <f t="shared" ref="G116:G117" si="13">F116-E116</f>
        <v>6</v>
      </c>
      <c r="H116" s="969">
        <f>SUM(G116+'1'!G93)</f>
        <v>95</v>
      </c>
      <c r="I116" s="968"/>
      <c r="J116" s="970">
        <f>H116/DAY(B2)</f>
        <v>3.6538461538461537</v>
      </c>
      <c r="N116" s="1007"/>
      <c r="O116" s="845"/>
    </row>
    <row r="117" spans="1:15" s="889" customFormat="1" ht="21.75" customHeight="1">
      <c r="A117" s="1636" t="s">
        <v>224</v>
      </c>
      <c r="B117" s="1637"/>
      <c r="C117" s="973"/>
      <c r="D117" s="967" t="s">
        <v>142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3.7307692307692308</v>
      </c>
      <c r="N117" s="1007"/>
      <c r="O117" s="845"/>
    </row>
    <row r="118" spans="1:15" s="975" customFormat="1">
      <c r="A118" s="1638" t="s">
        <v>200</v>
      </c>
      <c r="B118" s="1639"/>
      <c r="C118" s="973"/>
      <c r="D118" s="974"/>
      <c r="E118" s="972"/>
      <c r="F118" s="972"/>
      <c r="G118" s="972">
        <f>SUM(G115:G117)</f>
        <v>27</v>
      </c>
      <c r="H118" s="969">
        <f>SUM(G118+'1'!G96)</f>
        <v>113</v>
      </c>
      <c r="I118" s="972"/>
      <c r="J118" s="970">
        <f>H118/DAY(B2)</f>
        <v>4.3461538461538458</v>
      </c>
      <c r="N118" s="1012"/>
      <c r="O118" s="845"/>
    </row>
    <row r="119" spans="1:15" s="768" customFormat="1">
      <c r="A119" s="1631" t="s">
        <v>225</v>
      </c>
      <c r="B119" s="1632"/>
      <c r="C119" s="976"/>
      <c r="D119" s="977" t="s">
        <v>142</v>
      </c>
      <c r="E119" s="978"/>
      <c r="F119" s="979"/>
      <c r="G119" s="979">
        <f>SUM(G19+G93)</f>
        <v>147</v>
      </c>
      <c r="H119" s="969">
        <f>SUM(G119+'1'!G97)</f>
        <v>164</v>
      </c>
      <c r="I119" s="978"/>
      <c r="J119" s="980">
        <f>H119/DAY(B2)</f>
        <v>6.3076923076923075</v>
      </c>
      <c r="N119" s="1013"/>
      <c r="O119" s="845"/>
    </row>
    <row r="120" spans="1:15" s="768" customFormat="1">
      <c r="A120" s="1631" t="s">
        <v>226</v>
      </c>
      <c r="B120" s="1632"/>
      <c r="C120" s="976"/>
      <c r="D120" s="977" t="s">
        <v>142</v>
      </c>
      <c r="E120" s="978"/>
      <c r="F120" s="979"/>
      <c r="G120" s="979">
        <f>SUM(G96,G97,G98,G100,G101)</f>
        <v>137</v>
      </c>
      <c r="H120" s="969">
        <f>SUM(G120+'1'!G99)</f>
        <v>187</v>
      </c>
      <c r="I120" s="978"/>
      <c r="J120" s="980">
        <f>H120/DAY(B2)</f>
        <v>7.1923076923076925</v>
      </c>
      <c r="N120" s="1013"/>
      <c r="O120" s="845"/>
    </row>
    <row r="121" spans="1:15" s="768" customFormat="1">
      <c r="A121" s="1631" t="s">
        <v>227</v>
      </c>
      <c r="B121" s="1632"/>
      <c r="C121" s="976"/>
      <c r="D121" s="977" t="s">
        <v>142</v>
      </c>
      <c r="E121" s="978"/>
      <c r="F121" s="972"/>
      <c r="G121" s="972">
        <f>SUM(G113)</f>
        <v>84</v>
      </c>
      <c r="H121" s="969">
        <f>SUM(G121+'1'!G101)</f>
        <v>89</v>
      </c>
      <c r="I121" s="978"/>
      <c r="J121" s="980">
        <f>H121/DAY(B2)</f>
        <v>3.4230769230769229</v>
      </c>
      <c r="N121" s="1013"/>
      <c r="O121" s="845"/>
    </row>
    <row r="122" spans="1:15" s="889" customFormat="1" ht="18.75" customHeight="1">
      <c r="A122" s="1633"/>
      <c r="B122" s="1630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 ht="20.100000000000001" customHeight="1">
      <c r="A123" s="1648" t="s">
        <v>228</v>
      </c>
      <c r="B123" s="1649"/>
      <c r="C123" s="1650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 ht="22.5" customHeight="1">
      <c r="A124" s="866" t="s">
        <v>229</v>
      </c>
      <c r="B124" s="867"/>
      <c r="C124" s="867"/>
      <c r="D124" s="838" t="s">
        <v>139</v>
      </c>
      <c r="E124" s="839">
        <f>'25'!F124</f>
        <v>846435</v>
      </c>
      <c r="F124" s="856">
        <v>846687</v>
      </c>
      <c r="G124" s="840">
        <f t="shared" ref="G124:G128" si="14">F124-E124</f>
        <v>252</v>
      </c>
      <c r="H124" s="841">
        <f>G124+'25'!H124</f>
        <v>7017</v>
      </c>
      <c r="I124" s="956"/>
      <c r="J124" s="843">
        <f>H124/DAY(B2)</f>
        <v>269.88461538461536</v>
      </c>
      <c r="K124" s="938"/>
      <c r="L124" s="818"/>
      <c r="O124" s="845"/>
    </row>
    <row r="125" spans="1:15" ht="22.5" customHeight="1">
      <c r="A125" s="866" t="s">
        <v>230</v>
      </c>
      <c r="B125" s="867"/>
      <c r="C125" s="867"/>
      <c r="D125" s="838" t="s">
        <v>139</v>
      </c>
      <c r="E125" s="839">
        <f>'25'!F125</f>
        <v>73583</v>
      </c>
      <c r="F125" s="984">
        <v>73583</v>
      </c>
      <c r="G125" s="840">
        <f t="shared" si="14"/>
        <v>0</v>
      </c>
      <c r="H125" s="841">
        <f>G125+'25'!H125</f>
        <v>-0.39999999999417923</v>
      </c>
      <c r="I125" s="956"/>
      <c r="J125" s="843">
        <f>H125/DAY(B2)</f>
        <v>-1.5384615384391509E-2</v>
      </c>
      <c r="K125" s="938"/>
      <c r="L125" s="818"/>
      <c r="O125" s="845"/>
    </row>
    <row r="126" spans="1:15" ht="22.5" customHeight="1">
      <c r="A126" s="1659" t="s">
        <v>231</v>
      </c>
      <c r="B126" s="1660"/>
      <c r="C126" s="1661"/>
      <c r="D126" s="838" t="s">
        <v>139</v>
      </c>
      <c r="E126" s="839">
        <f>'25'!F126</f>
        <v>150850</v>
      </c>
      <c r="F126" s="856">
        <v>150921</v>
      </c>
      <c r="G126" s="840">
        <f t="shared" si="14"/>
        <v>71</v>
      </c>
      <c r="H126" s="841">
        <f>G126+'25'!H126</f>
        <v>2324</v>
      </c>
      <c r="I126" s="956"/>
      <c r="J126" s="843">
        <f>H126/DAY(B2)</f>
        <v>89.384615384615387</v>
      </c>
      <c r="K126" s="938"/>
      <c r="L126" s="818"/>
      <c r="O126" s="845"/>
    </row>
    <row r="127" spans="1:15" ht="20.100000000000001" customHeight="1">
      <c r="A127" s="985" t="s">
        <v>232</v>
      </c>
      <c r="B127" s="867"/>
      <c r="C127" s="867"/>
      <c r="D127" s="838" t="s">
        <v>139</v>
      </c>
      <c r="E127" s="839">
        <f>'25'!F127</f>
        <v>33055</v>
      </c>
      <c r="F127" s="984">
        <v>33090</v>
      </c>
      <c r="G127" s="840">
        <f t="shared" si="14"/>
        <v>35</v>
      </c>
      <c r="H127" s="841">
        <f>G127+'25'!H127</f>
        <v>1019</v>
      </c>
      <c r="I127" s="956"/>
      <c r="J127" s="843">
        <f>H127/DAY(B2)</f>
        <v>39.192307692307693</v>
      </c>
      <c r="K127" s="938"/>
      <c r="L127" s="818"/>
      <c r="O127" s="845"/>
    </row>
    <row r="128" spans="1:15" ht="20.100000000000001" customHeight="1">
      <c r="A128" s="985" t="s">
        <v>233</v>
      </c>
      <c r="B128" s="867"/>
      <c r="C128" s="867"/>
      <c r="D128" s="838" t="s">
        <v>139</v>
      </c>
      <c r="E128" s="839">
        <f>'25'!F128</f>
        <v>9099</v>
      </c>
      <c r="F128" s="984">
        <v>9101</v>
      </c>
      <c r="G128" s="840">
        <f t="shared" si="14"/>
        <v>2</v>
      </c>
      <c r="H128" s="841">
        <f>G128+'25'!H128</f>
        <v>89</v>
      </c>
      <c r="I128" s="859"/>
      <c r="J128" s="843">
        <f>H128/DAY(B2)</f>
        <v>3.4230769230769229</v>
      </c>
      <c r="K128" s="938"/>
      <c r="L128" s="818"/>
      <c r="O128" s="845"/>
    </row>
    <row r="129" spans="1:15" ht="21.75" customHeight="1">
      <c r="A129" s="985" t="s">
        <v>234</v>
      </c>
      <c r="B129" s="867"/>
      <c r="C129" s="867"/>
      <c r="D129" s="838"/>
      <c r="E129" s="839"/>
      <c r="F129" s="856"/>
      <c r="G129" s="840">
        <f>G15-SUM(G124:G128)</f>
        <v>394</v>
      </c>
      <c r="H129" s="841">
        <f>G129+'25'!H129</f>
        <v>4726.8970000001373</v>
      </c>
      <c r="I129" s="859"/>
      <c r="J129" s="843">
        <f>H129/DAY(B2)</f>
        <v>181.80373076923604</v>
      </c>
      <c r="K129" s="938"/>
      <c r="L129" s="818"/>
      <c r="O129" s="845"/>
    </row>
    <row r="130" spans="1:15">
      <c r="A130" s="986" t="s">
        <v>235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236</v>
      </c>
      <c r="B131" s="867"/>
      <c r="C131" s="867"/>
      <c r="D131" s="838" t="s">
        <v>237</v>
      </c>
      <c r="E131" s="839">
        <f>'25'!F131</f>
        <v>0</v>
      </c>
      <c r="F131" s="868">
        <v>0</v>
      </c>
      <c r="G131" s="840">
        <f t="shared" ref="G131:G141" si="15">F131-E131</f>
        <v>0</v>
      </c>
      <c r="H131" s="841">
        <f>G131+'25'!H131</f>
        <v>0</v>
      </c>
      <c r="I131" s="859"/>
      <c r="J131" s="843">
        <f>H131/DAY(B2)</f>
        <v>0</v>
      </c>
      <c r="O131" s="845"/>
    </row>
    <row r="132" spans="1:15">
      <c r="A132" s="866" t="s">
        <v>238</v>
      </c>
      <c r="B132" s="867"/>
      <c r="C132" s="867"/>
      <c r="D132" s="838" t="s">
        <v>237</v>
      </c>
      <c r="E132" s="839">
        <f>'25'!F132</f>
        <v>0</v>
      </c>
      <c r="F132" s="868">
        <v>0</v>
      </c>
      <c r="G132" s="840">
        <f t="shared" si="15"/>
        <v>0</v>
      </c>
      <c r="H132" s="841">
        <f>G132+'25'!H132</f>
        <v>0</v>
      </c>
      <c r="I132" s="859"/>
      <c r="J132" s="843">
        <f>H132/DAY(B2)</f>
        <v>0</v>
      </c>
      <c r="O132" s="845"/>
    </row>
    <row r="133" spans="1:15">
      <c r="A133" s="866" t="s">
        <v>239</v>
      </c>
      <c r="B133" s="867"/>
      <c r="C133" s="867"/>
      <c r="D133" s="838" t="s">
        <v>237</v>
      </c>
      <c r="E133" s="839">
        <f>'25'!F133</f>
        <v>40619</v>
      </c>
      <c r="F133" s="989">
        <v>40619</v>
      </c>
      <c r="G133" s="840">
        <f t="shared" si="15"/>
        <v>0</v>
      </c>
      <c r="H133" s="841">
        <f>G133+'25'!H133</f>
        <v>166</v>
      </c>
      <c r="I133" s="859"/>
      <c r="J133" s="843">
        <f>H133/DAY(B2)</f>
        <v>6.384615384615385</v>
      </c>
      <c r="O133" s="845"/>
    </row>
    <row r="134" spans="1:15">
      <c r="A134" s="866" t="s">
        <v>240</v>
      </c>
      <c r="B134" s="867"/>
      <c r="C134" s="867"/>
      <c r="D134" s="838" t="s">
        <v>237</v>
      </c>
      <c r="E134" s="839">
        <f>'25'!F134</f>
        <v>474</v>
      </c>
      <c r="F134" s="933">
        <v>486</v>
      </c>
      <c r="G134" s="840">
        <f t="shared" si="15"/>
        <v>12</v>
      </c>
      <c r="H134" s="841">
        <f>G134+'25'!H134</f>
        <v>186</v>
      </c>
      <c r="I134" s="859">
        <f>G131+G132+G133+G134</f>
        <v>12</v>
      </c>
      <c r="J134" s="843">
        <f>H134/DAY(B2)</f>
        <v>7.1538461538461542</v>
      </c>
      <c r="O134" s="845"/>
    </row>
    <row r="135" spans="1:15">
      <c r="A135" s="866" t="s">
        <v>241</v>
      </c>
      <c r="B135" s="867"/>
      <c r="C135" s="867"/>
      <c r="D135" s="838" t="s">
        <v>237</v>
      </c>
      <c r="E135" s="839">
        <f>'25'!F135</f>
        <v>42410</v>
      </c>
      <c r="F135" s="989">
        <v>42430</v>
      </c>
      <c r="G135" s="840">
        <f t="shared" si="15"/>
        <v>20</v>
      </c>
      <c r="H135" s="841">
        <f>G135+'25'!H135</f>
        <v>91.889999999999418</v>
      </c>
      <c r="I135" s="859"/>
      <c r="J135" s="843">
        <f>H135/DAY(B2)</f>
        <v>3.5342307692307466</v>
      </c>
      <c r="O135" s="845"/>
    </row>
    <row r="136" spans="1:15">
      <c r="A136" s="866" t="s">
        <v>242</v>
      </c>
      <c r="B136" s="867"/>
      <c r="C136" s="867"/>
      <c r="D136" s="838" t="s">
        <v>237</v>
      </c>
      <c r="E136" s="839">
        <f>'25'!F136</f>
        <v>32874</v>
      </c>
      <c r="F136" s="989">
        <v>32874</v>
      </c>
      <c r="G136" s="840">
        <f t="shared" si="15"/>
        <v>0</v>
      </c>
      <c r="H136" s="841">
        <f>G136+'25'!H136</f>
        <v>12.94999999999709</v>
      </c>
      <c r="I136" s="859"/>
      <c r="J136" s="843">
        <f>H136/DAY(B2)</f>
        <v>0.49807692307681112</v>
      </c>
      <c r="O136" s="845"/>
    </row>
    <row r="137" spans="1:15">
      <c r="A137" s="866" t="s">
        <v>243</v>
      </c>
      <c r="B137" s="867"/>
      <c r="C137" s="867"/>
      <c r="D137" s="838" t="s">
        <v>237</v>
      </c>
      <c r="E137" s="839">
        <f>'25'!F137</f>
        <v>23076</v>
      </c>
      <c r="F137" s="989">
        <v>23083</v>
      </c>
      <c r="G137" s="840">
        <f t="shared" si="15"/>
        <v>7</v>
      </c>
      <c r="H137" s="841">
        <f>G137+'25'!H137</f>
        <v>191.5099999999984</v>
      </c>
      <c r="I137" s="859">
        <f>G135+G136+G137</f>
        <v>27</v>
      </c>
      <c r="J137" s="843">
        <f>H137/DAY(B2)</f>
        <v>7.3657692307691693</v>
      </c>
      <c r="O137" s="845"/>
    </row>
    <row r="138" spans="1:15">
      <c r="A138" s="866" t="s">
        <v>244</v>
      </c>
      <c r="B138" s="867"/>
      <c r="C138" s="867"/>
      <c r="D138" s="838" t="s">
        <v>237</v>
      </c>
      <c r="E138" s="839">
        <f>'25'!F138</f>
        <v>25099</v>
      </c>
      <c r="F138" s="989">
        <v>25099</v>
      </c>
      <c r="G138" s="840">
        <f t="shared" si="15"/>
        <v>0</v>
      </c>
      <c r="H138" s="841">
        <f>G138+'25'!H138</f>
        <v>7.8400000000001455</v>
      </c>
      <c r="I138" s="859"/>
      <c r="J138" s="843">
        <f>H138/DAY(B2)</f>
        <v>0.30153846153846714</v>
      </c>
      <c r="O138" s="845"/>
    </row>
    <row r="139" spans="1:15">
      <c r="A139" s="866" t="s">
        <v>245</v>
      </c>
      <c r="B139" s="867"/>
      <c r="C139" s="867"/>
      <c r="D139" s="838" t="s">
        <v>237</v>
      </c>
      <c r="E139" s="839">
        <f>'25'!F139</f>
        <v>70517</v>
      </c>
      <c r="F139" s="989">
        <v>70517</v>
      </c>
      <c r="G139" s="840">
        <f t="shared" si="15"/>
        <v>0</v>
      </c>
      <c r="H139" s="841">
        <f>G139+'25'!H139</f>
        <v>15.399999999994179</v>
      </c>
      <c r="I139" s="859">
        <f>G138+G139</f>
        <v>0</v>
      </c>
      <c r="J139" s="843">
        <f>H139/DAY(B2)</f>
        <v>0.59230769230746838</v>
      </c>
      <c r="O139" s="845"/>
    </row>
    <row r="140" spans="1:15">
      <c r="A140" s="866" t="s">
        <v>246</v>
      </c>
      <c r="B140" s="867"/>
      <c r="C140" s="867"/>
      <c r="D140" s="838" t="s">
        <v>237</v>
      </c>
      <c r="E140" s="839">
        <f>'25'!F140</f>
        <v>2255.36</v>
      </c>
      <c r="F140" s="868">
        <v>2264.63</v>
      </c>
      <c r="G140" s="840">
        <f t="shared" si="15"/>
        <v>9.2699999999999818</v>
      </c>
      <c r="H140" s="841">
        <f>G140+'25'!H140</f>
        <v>135.45000000000027</v>
      </c>
      <c r="I140" s="990"/>
      <c r="J140" s="843">
        <f>H140/DAY(B2)</f>
        <v>5.209615384615395</v>
      </c>
      <c r="O140" s="845"/>
    </row>
    <row r="141" spans="1:15">
      <c r="A141" s="866" t="s">
        <v>247</v>
      </c>
      <c r="B141" s="867"/>
      <c r="C141" s="867"/>
      <c r="D141" s="838" t="s">
        <v>237</v>
      </c>
      <c r="E141" s="839">
        <f>'25'!F141</f>
        <v>4753.67</v>
      </c>
      <c r="F141" s="868">
        <v>4753.67</v>
      </c>
      <c r="G141" s="840">
        <f t="shared" si="15"/>
        <v>0</v>
      </c>
      <c r="H141" s="841">
        <f>G141+'25'!H141</f>
        <v>116.67000000000007</v>
      </c>
      <c r="I141" s="990"/>
      <c r="J141" s="843">
        <f>H141/DAY(B2)</f>
        <v>4.4873076923076951</v>
      </c>
      <c r="O141" s="845"/>
    </row>
    <row r="142" spans="1:15">
      <c r="A142" s="1651" t="s">
        <v>248</v>
      </c>
      <c r="B142" s="1652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3" t="s">
        <v>249</v>
      </c>
      <c r="B143" s="1654"/>
      <c r="C143" s="1655"/>
      <c r="D143" s="838" t="s">
        <v>130</v>
      </c>
      <c r="E143" s="838"/>
      <c r="F143" s="838"/>
      <c r="G143" s="841">
        <f>G35+G43+G49+G57</f>
        <v>5939</v>
      </c>
      <c r="H143" s="841">
        <f>G143+'25'!H143</f>
        <v>145726.18000000005</v>
      </c>
      <c r="I143" s="859"/>
      <c r="J143" s="843">
        <f>H143/DAY(B2)</f>
        <v>5604.8530769230792</v>
      </c>
      <c r="K143" s="938"/>
      <c r="L143" s="818"/>
      <c r="O143" s="845"/>
    </row>
    <row r="144" spans="1:15">
      <c r="A144" s="1653" t="s">
        <v>250</v>
      </c>
      <c r="B144" s="1654"/>
      <c r="C144" s="1655"/>
      <c r="D144" s="838" t="s">
        <v>24</v>
      </c>
      <c r="E144" s="825"/>
      <c r="F144" s="829"/>
      <c r="G144" s="991">
        <f>G143/G7</f>
        <v>0.26253204844841305</v>
      </c>
      <c r="H144" s="841">
        <f>G144+'25'!H144</f>
        <v>6.6045831523819114</v>
      </c>
      <c r="I144" s="992"/>
      <c r="J144" s="843">
        <f>H144/DAY(B2)</f>
        <v>0.25402242893776583</v>
      </c>
      <c r="K144" s="938"/>
      <c r="L144" s="818"/>
      <c r="O144" s="845"/>
    </row>
    <row r="145" spans="1:15">
      <c r="A145" s="1653" t="s">
        <v>251</v>
      </c>
      <c r="B145" s="1654"/>
      <c r="C145" s="1655"/>
      <c r="D145" s="838" t="s">
        <v>130</v>
      </c>
      <c r="E145" s="839"/>
      <c r="F145" s="839"/>
      <c r="G145" s="841">
        <f>G41+G42+G55+G56</f>
        <v>7309</v>
      </c>
      <c r="H145" s="841">
        <f>G145+'25'!H145</f>
        <v>178219.11000000002</v>
      </c>
      <c r="I145" s="859"/>
      <c r="J145" s="843">
        <f>H145/DAY(B2)</f>
        <v>6854.5811538461548</v>
      </c>
      <c r="K145" s="938"/>
      <c r="L145" s="818"/>
      <c r="O145" s="845"/>
    </row>
    <row r="146" spans="1:15" ht="20.100000000000001" customHeight="1">
      <c r="A146" s="1653" t="s">
        <v>252</v>
      </c>
      <c r="B146" s="1654"/>
      <c r="C146" s="1655"/>
      <c r="D146" s="838" t="s">
        <v>24</v>
      </c>
      <c r="E146" s="839"/>
      <c r="F146" s="839"/>
      <c r="G146" s="991">
        <f>G145/G7</f>
        <v>0.32309256475996817</v>
      </c>
      <c r="H146" s="841">
        <f>G146+'25'!H146</f>
        <v>8.0450213439158844</v>
      </c>
      <c r="I146" s="992"/>
      <c r="J146" s="843">
        <f>H146/DAY(B2)</f>
        <v>0.30942389784291863</v>
      </c>
      <c r="K146" s="938"/>
      <c r="L146" s="818"/>
      <c r="O146" s="845"/>
    </row>
    <row r="147" spans="1:15" ht="20.100000000000001" customHeight="1">
      <c r="A147" s="1653" t="s">
        <v>253</v>
      </c>
      <c r="B147" s="1654"/>
      <c r="C147" s="1655"/>
      <c r="D147" s="838" t="s">
        <v>130</v>
      </c>
      <c r="E147" s="839"/>
      <c r="F147" s="839"/>
      <c r="G147" s="841">
        <f>G39+G53</f>
        <v>3750</v>
      </c>
      <c r="H147" s="841">
        <f>G147+'25'!H147</f>
        <v>96614</v>
      </c>
      <c r="I147" s="993"/>
      <c r="J147" s="843">
        <f>H147/DAY(B2)</f>
        <v>3715.9230769230771</v>
      </c>
      <c r="K147" s="938"/>
      <c r="L147" s="818"/>
      <c r="O147" s="845"/>
    </row>
    <row r="148" spans="1:15" ht="20.100000000000001" customHeight="1">
      <c r="A148" s="1653" t="s">
        <v>254</v>
      </c>
      <c r="B148" s="1654"/>
      <c r="C148" s="1655"/>
      <c r="D148" s="838" t="s">
        <v>24</v>
      </c>
      <c r="E148" s="839"/>
      <c r="F148" s="839"/>
      <c r="G148" s="991">
        <f>G147/G7</f>
        <v>0.16576783661922023</v>
      </c>
      <c r="H148" s="841">
        <f>G148+'25'!H148</f>
        <v>4.3774314734393931</v>
      </c>
      <c r="I148" s="993"/>
      <c r="J148" s="843">
        <f>H148/DAY(B2)</f>
        <v>0.1683627489784382</v>
      </c>
      <c r="O148" s="845"/>
    </row>
    <row r="149" spans="1:15" ht="20.100000000000001" customHeight="1">
      <c r="A149" s="1653" t="s">
        <v>255</v>
      </c>
      <c r="B149" s="1654"/>
      <c r="C149" s="1655"/>
      <c r="D149" s="838" t="s">
        <v>181</v>
      </c>
      <c r="E149" s="839"/>
      <c r="F149" s="839"/>
      <c r="G149" s="841">
        <f>G38+G52</f>
        <v>1573</v>
      </c>
      <c r="H149" s="841">
        <f>G149+'25'!H149</f>
        <v>41955.069999999949</v>
      </c>
      <c r="I149" s="859"/>
      <c r="J149" s="843">
        <f>H149/DAY(B2)</f>
        <v>1613.6565384615365</v>
      </c>
      <c r="K149" s="994"/>
      <c r="O149" s="845"/>
    </row>
    <row r="150" spans="1:15" ht="20.100000000000001" customHeight="1">
      <c r="A150" s="1653" t="s">
        <v>256</v>
      </c>
      <c r="B150" s="1654"/>
      <c r="C150" s="1655"/>
      <c r="D150" s="838" t="s">
        <v>24</v>
      </c>
      <c r="E150" s="839"/>
      <c r="F150" s="839"/>
      <c r="G150" s="991">
        <f>G149/G7</f>
        <v>6.9534081867208913E-2</v>
      </c>
      <c r="H150" s="841">
        <f>G150+'25'!H150</f>
        <v>1.8974791506762136</v>
      </c>
      <c r="I150" s="993"/>
      <c r="J150" s="843">
        <f>H150/DAY(B2)</f>
        <v>7.2979967333700518E-2</v>
      </c>
      <c r="O150" s="845"/>
    </row>
    <row r="151" spans="1:15" ht="20.100000000000001" customHeight="1">
      <c r="A151" s="1653" t="s">
        <v>257</v>
      </c>
      <c r="B151" s="1654"/>
      <c r="C151" s="1655"/>
      <c r="D151" s="838" t="s">
        <v>181</v>
      </c>
      <c r="E151" s="839"/>
      <c r="F151" s="839"/>
      <c r="G151" s="841">
        <f>G36+G50</f>
        <v>1683</v>
      </c>
      <c r="H151" s="841">
        <f>G151+'25'!H151</f>
        <v>52231</v>
      </c>
      <c r="I151" s="993"/>
      <c r="J151" s="843">
        <f>H151/DAY(B2)</f>
        <v>2008.8846153846155</v>
      </c>
      <c r="O151" s="845"/>
    </row>
    <row r="152" spans="1:15" ht="20.100000000000001" customHeight="1">
      <c r="A152" s="1653" t="s">
        <v>258</v>
      </c>
      <c r="B152" s="1654"/>
      <c r="C152" s="1655"/>
      <c r="D152" s="838" t="s">
        <v>24</v>
      </c>
      <c r="E152" s="839"/>
      <c r="F152" s="839"/>
      <c r="G152" s="991">
        <f>G151/G7</f>
        <v>7.4396605074706038E-2</v>
      </c>
      <c r="H152" s="841">
        <f>G152+'25'!H152</f>
        <v>2.3548980527613526</v>
      </c>
      <c r="I152" s="859"/>
      <c r="J152" s="843">
        <f>H152/DAY(B2)</f>
        <v>9.0573002029282784E-2</v>
      </c>
      <c r="O152" s="845"/>
    </row>
    <row r="153" spans="1:15" ht="20.100000000000001" customHeight="1">
      <c r="A153" s="1653" t="s">
        <v>259</v>
      </c>
      <c r="B153" s="1654"/>
      <c r="C153" s="1655"/>
      <c r="D153" s="838" t="s">
        <v>181</v>
      </c>
      <c r="E153" s="839"/>
      <c r="F153" s="839"/>
      <c r="G153" s="841">
        <f>G37+G51</f>
        <v>1663</v>
      </c>
      <c r="H153" s="841">
        <f>G153+'25'!H153</f>
        <v>41452.869999999995</v>
      </c>
      <c r="I153" s="859"/>
      <c r="J153" s="843">
        <f>H153/DAY(B2)</f>
        <v>1594.3411538461537</v>
      </c>
      <c r="O153" s="845"/>
    </row>
    <row r="154" spans="1:15" ht="20.100000000000001" customHeight="1" thickBot="1">
      <c r="A154" s="1656" t="s">
        <v>260</v>
      </c>
      <c r="B154" s="1657"/>
      <c r="C154" s="1658"/>
      <c r="D154" s="995" t="s">
        <v>24</v>
      </c>
      <c r="E154" s="996"/>
      <c r="F154" s="996"/>
      <c r="G154" s="997">
        <f>G153/G7</f>
        <v>7.3512509946070198E-2</v>
      </c>
      <c r="H154" s="841">
        <f>G154+'25'!H154</f>
        <v>1.8755302869717392</v>
      </c>
      <c r="I154" s="998"/>
      <c r="J154" s="999">
        <f>H154/DAY(B2)</f>
        <v>7.2135780268143809E-2</v>
      </c>
      <c r="O154" s="845"/>
    </row>
    <row r="155" spans="1:15" ht="44.25" customHeight="1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0" t="s">
        <v>261</v>
      </c>
      <c r="B161" s="990"/>
      <c r="C161" s="990"/>
      <c r="D161" s="825" t="s">
        <v>185</v>
      </c>
      <c r="E161" s="839">
        <f>'25'!F161</f>
        <v>42848</v>
      </c>
      <c r="F161" s="1014">
        <v>42931</v>
      </c>
      <c r="G161" s="840">
        <f t="shared" ref="G161:G164" si="16">F161-E161</f>
        <v>83</v>
      </c>
    </row>
    <row r="162" spans="1:7" ht="21.75" customHeight="1">
      <c r="A162" s="990" t="s">
        <v>262</v>
      </c>
      <c r="B162" s="990"/>
      <c r="C162" s="990"/>
      <c r="D162" s="825" t="s">
        <v>185</v>
      </c>
      <c r="E162" s="839">
        <f>'25'!F162</f>
        <v>119316</v>
      </c>
      <c r="F162" s="1014">
        <v>119810</v>
      </c>
      <c r="G162" s="840">
        <f t="shared" si="16"/>
        <v>494</v>
      </c>
    </row>
    <row r="163" spans="1:7" ht="21.75" customHeight="1">
      <c r="A163" s="990" t="s">
        <v>263</v>
      </c>
      <c r="B163" s="990"/>
      <c r="C163" s="990"/>
      <c r="D163" s="825" t="s">
        <v>185</v>
      </c>
      <c r="E163" s="839">
        <f>'25'!F163</f>
        <v>66311</v>
      </c>
      <c r="F163" s="1014">
        <v>66512</v>
      </c>
      <c r="G163" s="840">
        <f t="shared" si="16"/>
        <v>201</v>
      </c>
    </row>
    <row r="164" spans="1:7" ht="21.75" customHeight="1">
      <c r="A164" s="990" t="s">
        <v>264</v>
      </c>
      <c r="B164" s="990"/>
      <c r="C164" s="990"/>
      <c r="D164" s="825" t="s">
        <v>185</v>
      </c>
      <c r="E164" s="839">
        <f>'25'!F164</f>
        <v>7082</v>
      </c>
      <c r="F164" s="1014">
        <v>7092</v>
      </c>
      <c r="G164" s="840">
        <f t="shared" si="16"/>
        <v>10</v>
      </c>
    </row>
    <row r="165" spans="1:7" ht="21.75" customHeight="1">
      <c r="A165" s="920" t="s">
        <v>97</v>
      </c>
      <c r="B165" s="920"/>
      <c r="C165" s="920"/>
      <c r="D165" s="825" t="s">
        <v>185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186</v>
      </c>
      <c r="B166" s="920"/>
      <c r="C166" s="920"/>
      <c r="D166" s="825" t="s">
        <v>185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8" t="s">
        <v>98</v>
      </c>
      <c r="B167" s="1628"/>
      <c r="C167" s="1628"/>
      <c r="D167" s="838" t="s">
        <v>185</v>
      </c>
      <c r="E167" s="921">
        <f t="shared" si="18"/>
        <v>179586</v>
      </c>
      <c r="F167" s="921">
        <f t="shared" si="19"/>
        <v>179989</v>
      </c>
      <c r="G167" s="840">
        <f t="shared" si="17"/>
        <v>403</v>
      </c>
    </row>
    <row r="168" spans="1:7" ht="21.75" customHeight="1">
      <c r="A168" s="1628" t="s">
        <v>99</v>
      </c>
      <c r="B168" s="1628"/>
      <c r="C168" s="1628"/>
      <c r="D168" s="838" t="s">
        <v>185</v>
      </c>
      <c r="E168" s="921">
        <f t="shared" si="18"/>
        <v>179904</v>
      </c>
      <c r="F168" s="921">
        <f t="shared" si="19"/>
        <v>180273</v>
      </c>
      <c r="G168" s="840">
        <f t="shared" si="17"/>
        <v>369</v>
      </c>
    </row>
    <row r="169" spans="1:7" ht="21.75" customHeight="1">
      <c r="A169" s="1628" t="s">
        <v>100</v>
      </c>
      <c r="B169" s="1628"/>
      <c r="C169" s="1628"/>
      <c r="D169" s="838" t="s">
        <v>185</v>
      </c>
      <c r="E169" s="921">
        <f t="shared" si="18"/>
        <v>78223</v>
      </c>
      <c r="F169" s="921">
        <f t="shared" si="19"/>
        <v>78637</v>
      </c>
      <c r="G169" s="840">
        <f t="shared" si="17"/>
        <v>414</v>
      </c>
    </row>
    <row r="170" spans="1:7" ht="21.75" customHeight="1">
      <c r="A170" s="1628" t="s">
        <v>101</v>
      </c>
      <c r="B170" s="1628"/>
      <c r="C170" s="1628"/>
      <c r="D170" s="838" t="s">
        <v>185</v>
      </c>
      <c r="E170" s="921">
        <f t="shared" si="18"/>
        <v>276979</v>
      </c>
      <c r="F170" s="921">
        <f t="shared" si="19"/>
        <v>277460</v>
      </c>
      <c r="G170" s="840">
        <f t="shared" si="17"/>
        <v>481</v>
      </c>
    </row>
    <row r="171" spans="1:7" ht="24" customHeight="1">
      <c r="A171" s="1628" t="s">
        <v>102</v>
      </c>
      <c r="B171" s="1628"/>
      <c r="C171" s="1628"/>
      <c r="D171" s="838" t="s">
        <v>185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8" t="s">
        <v>103</v>
      </c>
      <c r="B172" s="1628"/>
      <c r="C172" s="1628"/>
      <c r="D172" s="838" t="s">
        <v>185</v>
      </c>
      <c r="E172" s="921">
        <f t="shared" si="18"/>
        <v>94476</v>
      </c>
      <c r="F172" s="921">
        <f t="shared" si="19"/>
        <v>94828</v>
      </c>
      <c r="G172" s="840">
        <f t="shared" si="17"/>
        <v>352</v>
      </c>
    </row>
    <row r="173" spans="1:7">
      <c r="G173" s="1005">
        <f>SUM(G161:G172)</f>
        <v>2807</v>
      </c>
    </row>
    <row r="174" spans="1:7">
      <c r="A174" s="1628" t="s">
        <v>344</v>
      </c>
      <c r="B174" s="1628"/>
      <c r="C174" s="1628"/>
      <c r="D174" s="838" t="s">
        <v>185</v>
      </c>
      <c r="E174" s="946">
        <v>28448</v>
      </c>
      <c r="F174" s="968">
        <v>28455</v>
      </c>
      <c r="G174" s="840">
        <f t="shared" ref="G174:G177" si="20">F174-E174</f>
        <v>7</v>
      </c>
    </row>
    <row r="175" spans="1:7">
      <c r="A175" s="1629" t="s">
        <v>348</v>
      </c>
      <c r="B175" s="1630"/>
      <c r="C175" s="990"/>
      <c r="D175" s="838" t="s">
        <v>185</v>
      </c>
      <c r="E175" s="968">
        <v>19116</v>
      </c>
      <c r="F175" s="968">
        <v>19118</v>
      </c>
      <c r="G175" s="840">
        <f t="shared" si="20"/>
        <v>2</v>
      </c>
    </row>
    <row r="176" spans="1:7">
      <c r="A176" s="1629" t="s">
        <v>349</v>
      </c>
      <c r="B176" s="1630"/>
      <c r="D176" s="838" t="s">
        <v>185</v>
      </c>
      <c r="E176" s="968">
        <v>27760</v>
      </c>
      <c r="F176" s="1270">
        <v>27766</v>
      </c>
      <c r="G176" s="840">
        <f t="shared" si="20"/>
        <v>6</v>
      </c>
    </row>
    <row r="177" spans="1:15" ht="18.75" customHeight="1">
      <c r="A177" s="1629" t="s">
        <v>348</v>
      </c>
      <c r="B177" s="1630"/>
      <c r="D177" s="838" t="s">
        <v>185</v>
      </c>
      <c r="E177" s="968">
        <v>70448</v>
      </c>
      <c r="F177" s="968">
        <v>70500</v>
      </c>
      <c r="G177" s="840">
        <f t="shared" si="20"/>
        <v>52</v>
      </c>
      <c r="J177" s="1006"/>
    </row>
    <row r="178" spans="1:15" s="376" customFormat="1" ht="29.25">
      <c r="A178" s="1590"/>
      <c r="B178" s="1553"/>
      <c r="C178" s="785"/>
      <c r="D178" s="523"/>
      <c r="E178" s="532"/>
      <c r="F178" s="532"/>
      <c r="G178" s="473"/>
      <c r="H178" s="538"/>
      <c r="I178" s="537"/>
      <c r="J178" s="539"/>
      <c r="N178" s="718"/>
      <c r="O178" s="723"/>
    </row>
    <row r="179" spans="1:15" s="376" customFormat="1" ht="29.25">
      <c r="A179" s="1590"/>
      <c r="B179" s="1553"/>
      <c r="C179" s="785"/>
      <c r="D179" s="523"/>
      <c r="E179" s="532"/>
      <c r="F179" s="532"/>
      <c r="G179" s="473"/>
      <c r="H179" s="538"/>
      <c r="I179" s="537"/>
      <c r="J179" s="539"/>
      <c r="N179" s="718"/>
      <c r="O179" s="723"/>
    </row>
    <row r="180" spans="1:15" s="376" customFormat="1" ht="29.25">
      <c r="A180" s="1590"/>
      <c r="B180" s="1553"/>
      <c r="C180" s="785"/>
      <c r="D180" s="523"/>
      <c r="E180" s="532"/>
      <c r="F180" s="532"/>
      <c r="G180" s="473"/>
      <c r="H180" s="538"/>
      <c r="I180" s="537"/>
      <c r="J180" s="539"/>
      <c r="N180" s="718"/>
      <c r="O180" s="723"/>
    </row>
    <row r="181" spans="1:15">
      <c r="F181" s="1488"/>
    </row>
    <row r="182" spans="1:15">
      <c r="F182" s="1488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A72" zoomScale="55" zoomScaleSheetLayoutView="55" workbookViewId="0">
      <selection activeCell="C7" sqref="C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4" s="281" customFormat="1" ht="27">
      <c r="A2" s="575" t="s">
        <v>375</v>
      </c>
      <c r="B2" s="1109">
        <v>44039</v>
      </c>
      <c r="C2" s="1139" t="s">
        <v>68</v>
      </c>
      <c r="D2" s="611">
        <v>0.64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4" s="281" customFormat="1" ht="27">
      <c r="A3" s="570"/>
      <c r="B3" s="614"/>
      <c r="C3" s="1139" t="s">
        <v>118</v>
      </c>
      <c r="D3" s="612">
        <v>29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39" t="s">
        <v>120</v>
      </c>
      <c r="D4" s="611">
        <v>0.85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4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129</v>
      </c>
      <c r="B7" s="677"/>
      <c r="C7" s="677"/>
      <c r="D7" s="637" t="s">
        <v>130</v>
      </c>
      <c r="E7" s="633">
        <f>'26'!F7</f>
        <v>497210</v>
      </c>
      <c r="F7" s="455">
        <v>518329</v>
      </c>
      <c r="G7" s="678">
        <f>F7-E7</f>
        <v>21119</v>
      </c>
      <c r="H7" s="679">
        <f>G7+'26'!H7</f>
        <v>596376</v>
      </c>
      <c r="I7" s="680">
        <f>'1'!I7</f>
        <v>12000</v>
      </c>
      <c r="J7" s="681">
        <f>H7/DAY(B2)</f>
        <v>22088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2" t="s">
        <v>131</v>
      </c>
      <c r="B8" s="683"/>
      <c r="C8" s="684"/>
      <c r="D8" s="685" t="s">
        <v>25</v>
      </c>
      <c r="E8" s="633">
        <f>'26'!F8</f>
        <v>504655</v>
      </c>
      <c r="F8" s="475">
        <v>525880</v>
      </c>
      <c r="G8" s="689">
        <f>F8-E8</f>
        <v>21225</v>
      </c>
      <c r="H8" s="679">
        <f>G8+'26'!H8</f>
        <v>599158</v>
      </c>
      <c r="I8" s="686">
        <f>'1'!I8</f>
        <v>12000</v>
      </c>
      <c r="J8" s="681">
        <f>H8/DAY(B2)</f>
        <v>22191.037037037036</v>
      </c>
      <c r="K8" s="549"/>
      <c r="L8" s="425"/>
      <c r="M8" s="440"/>
      <c r="N8" s="703"/>
    </row>
    <row r="9" spans="1:14">
      <c r="A9" s="687" t="s">
        <v>132</v>
      </c>
      <c r="B9" s="688"/>
      <c r="C9" s="688"/>
      <c r="D9" s="637" t="s">
        <v>130</v>
      </c>
      <c r="E9" s="634">
        <f>'26'!F9</f>
        <v>2589721</v>
      </c>
      <c r="F9" s="478">
        <v>2610163</v>
      </c>
      <c r="G9" s="702">
        <f t="shared" ref="G9:G12" si="0">F9-E9</f>
        <v>20442</v>
      </c>
      <c r="H9" s="679">
        <f>G9+'26'!H9</f>
        <v>579161</v>
      </c>
      <c r="I9" s="690">
        <f>I8-J8</f>
        <v>-10191.037037037036</v>
      </c>
      <c r="J9" s="681">
        <f>H9/DAY(B2)</f>
        <v>21450.407407407409</v>
      </c>
      <c r="K9" s="428"/>
      <c r="L9" s="377"/>
      <c r="N9" s="382"/>
    </row>
    <row r="10" spans="1:14">
      <c r="A10" s="676" t="s">
        <v>133</v>
      </c>
      <c r="B10" s="677"/>
      <c r="C10" s="677"/>
      <c r="D10" s="637" t="s">
        <v>130</v>
      </c>
      <c r="E10" s="634">
        <f>'26'!F10</f>
        <v>2606.5500000000002</v>
      </c>
      <c r="F10" s="478">
        <v>2606.65</v>
      </c>
      <c r="G10" s="689">
        <f t="shared" si="0"/>
        <v>9.9999999999909051E-2</v>
      </c>
      <c r="H10" s="679">
        <f>G10+'26'!H10</f>
        <v>0.3999999999996362</v>
      </c>
      <c r="I10" s="691"/>
      <c r="J10" s="681">
        <f>H10/DAY(B2)</f>
        <v>1.481481481480134E-2</v>
      </c>
      <c r="K10" s="428"/>
      <c r="L10" s="377"/>
      <c r="N10" s="382"/>
    </row>
    <row r="11" spans="1:14">
      <c r="A11" s="676" t="s">
        <v>134</v>
      </c>
      <c r="B11" s="677"/>
      <c r="C11" s="677"/>
      <c r="D11" s="637" t="s">
        <v>130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G11+'26'!H11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135</v>
      </c>
      <c r="B12" s="677"/>
      <c r="C12" s="677"/>
      <c r="D12" s="637" t="s">
        <v>130</v>
      </c>
      <c r="E12" s="634">
        <f>'5'!E12</f>
        <v>40010</v>
      </c>
      <c r="F12" s="478">
        <v>40010</v>
      </c>
      <c r="G12" s="689">
        <f t="shared" si="0"/>
        <v>0</v>
      </c>
      <c r="H12" s="679">
        <f>G12+'26'!H12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136</v>
      </c>
      <c r="B13" s="693"/>
      <c r="C13" s="693"/>
      <c r="D13" s="637"/>
      <c r="E13" s="633"/>
      <c r="F13" s="455"/>
      <c r="G13" s="694">
        <f>G9+G10+G11+G12</f>
        <v>20442.099999999999</v>
      </c>
      <c r="H13" s="679">
        <f>G13+'26'!H13</f>
        <v>558834.4</v>
      </c>
      <c r="I13" s="695">
        <f>G7-G13</f>
        <v>676.90000000000146</v>
      </c>
      <c r="J13" s="681">
        <f>H13/DAY(B2)</f>
        <v>20697.570370370373</v>
      </c>
      <c r="K13" s="428"/>
      <c r="L13" s="377"/>
      <c r="N13" s="382"/>
    </row>
    <row r="14" spans="1:14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5" t="s">
        <v>138</v>
      </c>
      <c r="B15" s="666"/>
      <c r="C15" s="666"/>
      <c r="D15" s="667" t="s">
        <v>139</v>
      </c>
      <c r="E15" s="668">
        <f>'26'!F15</f>
        <v>1725232</v>
      </c>
      <c r="F15" s="700">
        <v>1726026</v>
      </c>
      <c r="G15" s="664">
        <f>(F15-E15)</f>
        <v>794</v>
      </c>
      <c r="H15" s="670">
        <f>G15+'26'!H15</f>
        <v>22343</v>
      </c>
      <c r="I15" s="671">
        <v>800</v>
      </c>
      <c r="J15" s="1279">
        <f>H15/DAY(B2)</f>
        <v>827.51851851851848</v>
      </c>
      <c r="K15" s="428"/>
      <c r="L15" s="377"/>
      <c r="N15" s="382"/>
    </row>
    <row r="16" spans="1:14">
      <c r="A16" s="673"/>
      <c r="B16" s="674"/>
      <c r="C16" s="674"/>
      <c r="D16" s="667"/>
      <c r="E16" s="668"/>
      <c r="F16" s="700"/>
      <c r="G16" s="669"/>
      <c r="H16" s="670"/>
      <c r="I16" s="675">
        <f>I15-J15</f>
        <v>-27.518518518518476</v>
      </c>
      <c r="J16" s="672"/>
      <c r="K16" s="428"/>
      <c r="L16" s="377"/>
      <c r="N16" s="382"/>
    </row>
    <row r="17" spans="1:14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10" t="s">
        <v>141</v>
      </c>
      <c r="B18" s="1611"/>
      <c r="C18" s="1612"/>
      <c r="D18" s="637" t="s">
        <v>142</v>
      </c>
      <c r="E18" s="634">
        <f>'26'!F18</f>
        <v>12</v>
      </c>
      <c r="F18" s="478">
        <v>11</v>
      </c>
      <c r="G18" s="694">
        <f>F18*10</f>
        <v>110</v>
      </c>
      <c r="H18" s="679">
        <f>G18+'26'!H18</f>
        <v>3540</v>
      </c>
      <c r="I18" s="680">
        <f>'1'!I18</f>
        <v>65</v>
      </c>
      <c r="J18" s="681">
        <f>H18/DAY(B2)</f>
        <v>131.11111111111111</v>
      </c>
      <c r="K18" s="428"/>
      <c r="L18" s="377"/>
      <c r="N18" s="382"/>
    </row>
    <row r="19" spans="1:14" ht="27.75">
      <c r="A19" s="1610" t="s">
        <v>70</v>
      </c>
      <c r="B19" s="1611"/>
      <c r="C19" s="1612"/>
      <c r="D19" s="637" t="s">
        <v>142</v>
      </c>
      <c r="E19" s="634">
        <f>'26'!F19</f>
        <v>143070</v>
      </c>
      <c r="F19" s="478">
        <v>143135</v>
      </c>
      <c r="G19" s="689">
        <f t="shared" ref="G19" si="1">F19-E19</f>
        <v>65</v>
      </c>
      <c r="H19" s="679">
        <f>G19+'26'!H19</f>
        <v>1640</v>
      </c>
      <c r="I19" s="696"/>
      <c r="J19" s="681">
        <f>H19/DAY(B2)</f>
        <v>60.74074074074074</v>
      </c>
      <c r="K19" s="428"/>
      <c r="L19" s="377"/>
      <c r="N19" s="382"/>
    </row>
    <row r="20" spans="1:14">
      <c r="A20" s="692" t="s">
        <v>143</v>
      </c>
      <c r="B20" s="693"/>
      <c r="C20" s="693"/>
      <c r="D20" s="637"/>
      <c r="E20" s="637"/>
      <c r="F20" s="523"/>
      <c r="G20" s="697">
        <f>G18+G19</f>
        <v>175</v>
      </c>
      <c r="H20" s="679">
        <f>G20+'26'!H20</f>
        <v>5180</v>
      </c>
      <c r="I20" s="698">
        <f>I18-J20</f>
        <v>-126.85185185185185</v>
      </c>
      <c r="J20" s="681">
        <f>H20/DAY(B2)</f>
        <v>191.85185185185185</v>
      </c>
      <c r="K20" s="428"/>
      <c r="L20" s="377"/>
      <c r="N20" s="382"/>
    </row>
    <row r="21" spans="1:14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7" t="s">
        <v>145</v>
      </c>
      <c r="B22" s="589"/>
      <c r="C22" s="589"/>
      <c r="D22" s="523" t="s">
        <v>146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7" t="s">
        <v>147</v>
      </c>
      <c r="B23" s="589"/>
      <c r="C23" s="589"/>
      <c r="D23" s="523" t="s">
        <v>146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148</v>
      </c>
      <c r="B24" s="591"/>
      <c r="C24" s="591"/>
      <c r="D24" s="511" t="s">
        <v>146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150</v>
      </c>
      <c r="B26" s="593"/>
      <c r="C26" s="594"/>
      <c r="D26" s="618" t="s">
        <v>151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21225</v>
      </c>
      <c r="F27" s="501">
        <v>9</v>
      </c>
      <c r="G27" s="502">
        <f>E27*F27</f>
        <v>191025</v>
      </c>
      <c r="H27" s="460">
        <f>G27+'26'!H27</f>
        <v>5392423.8900000006</v>
      </c>
      <c r="I27" s="503"/>
      <c r="J27" s="552">
        <f>H27/DAY(B2)</f>
        <v>199719.40333333335</v>
      </c>
      <c r="K27" s="373"/>
      <c r="L27" s="443"/>
      <c r="N27" s="382"/>
    </row>
    <row r="28" spans="1:14" s="442" customFormat="1" ht="27.75">
      <c r="A28" s="592" t="s">
        <v>152</v>
      </c>
      <c r="B28" s="593"/>
      <c r="C28" s="594"/>
      <c r="D28" s="619" t="s">
        <v>153</v>
      </c>
      <c r="E28" s="699">
        <f>G15</f>
        <v>794</v>
      </c>
      <c r="F28" s="501">
        <v>52</v>
      </c>
      <c r="G28" s="502">
        <f>E28*F28</f>
        <v>41288</v>
      </c>
      <c r="H28" s="460">
        <f>G28+'26'!H28</f>
        <v>1161836</v>
      </c>
      <c r="I28" s="505"/>
      <c r="J28" s="552">
        <f>H28/DAY(B2)</f>
        <v>43030.962962962964</v>
      </c>
      <c r="K28" s="373"/>
      <c r="L28" s="443"/>
      <c r="N28" s="382"/>
    </row>
    <row r="29" spans="1:14" s="442" customFormat="1" ht="27.75">
      <c r="A29" s="592" t="s">
        <v>154</v>
      </c>
      <c r="B29" s="593"/>
      <c r="C29" s="594"/>
      <c r="D29" s="619" t="s">
        <v>155</v>
      </c>
      <c r="E29" s="699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156</v>
      </c>
      <c r="B30" s="593"/>
      <c r="C30" s="594"/>
      <c r="D30" s="619" t="s">
        <v>157</v>
      </c>
      <c r="E30" s="699">
        <f>G19</f>
        <v>65</v>
      </c>
      <c r="F30" s="501">
        <v>146</v>
      </c>
      <c r="G30" s="502">
        <f>E30*F30</f>
        <v>9490</v>
      </c>
      <c r="H30" s="460">
        <f>G30+'26'!H30</f>
        <v>238856</v>
      </c>
      <c r="I30" s="505"/>
      <c r="J30" s="552">
        <f>H30/DAY(B2)</f>
        <v>8846.5185185185182</v>
      </c>
      <c r="K30" s="373"/>
      <c r="L30" s="443"/>
      <c r="N30" s="382"/>
    </row>
    <row r="31" spans="1:14" s="442" customFormat="1" ht="27.75">
      <c r="A31" s="592" t="s">
        <v>158</v>
      </c>
      <c r="B31" s="593"/>
      <c r="C31" s="594"/>
      <c r="D31" s="619" t="s">
        <v>142</v>
      </c>
      <c r="E31" s="699">
        <f>G18</f>
        <v>110</v>
      </c>
      <c r="F31" s="501">
        <v>80</v>
      </c>
      <c r="G31" s="502">
        <f>E31*F31</f>
        <v>8800</v>
      </c>
      <c r="H31" s="460">
        <f>G31+'26'!H31</f>
        <v>277600</v>
      </c>
      <c r="I31" s="505"/>
      <c r="J31" s="552">
        <f>H31/DAY(B2)</f>
        <v>10281.481481481482</v>
      </c>
      <c r="K31" s="373"/>
      <c r="L31" s="443"/>
      <c r="N31" s="382"/>
    </row>
    <row r="32" spans="1:14" s="442" customFormat="1" ht="27.75">
      <c r="A32" s="595" t="s">
        <v>159</v>
      </c>
      <c r="B32" s="596"/>
      <c r="C32" s="597"/>
      <c r="D32" s="507"/>
      <c r="E32" s="507"/>
      <c r="F32" s="524"/>
      <c r="G32" s="508">
        <f>G27+G28+G29+G30+G31</f>
        <v>250603</v>
      </c>
      <c r="H32" s="460">
        <f>G32+'26'!H32</f>
        <v>7070715.8900000006</v>
      </c>
      <c r="I32" s="509"/>
      <c r="J32" s="552">
        <f>H32/DAY(B2)</f>
        <v>261878.36629629633</v>
      </c>
      <c r="K32" s="373"/>
      <c r="L32" s="443"/>
      <c r="N32" s="382"/>
    </row>
    <row r="33" spans="1:14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382"/>
    </row>
    <row r="34" spans="1:14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162</v>
      </c>
      <c r="B35" s="579"/>
      <c r="C35" s="579"/>
      <c r="D35" s="523" t="s">
        <v>130</v>
      </c>
      <c r="E35" s="510">
        <f>'26'!F35</f>
        <v>1058597</v>
      </c>
      <c r="F35" s="510">
        <v>1058597</v>
      </c>
      <c r="G35" s="473">
        <f t="shared" ref="G35:G46" si="3">F35-E35</f>
        <v>0</v>
      </c>
      <c r="H35" s="460">
        <f>G35+'26'!H35</f>
        <v>29883</v>
      </c>
      <c r="I35" s="455"/>
      <c r="J35" s="552">
        <f>H35/DAY(B2)</f>
        <v>1106.7777777777778</v>
      </c>
      <c r="K35" s="428"/>
      <c r="L35" s="377"/>
      <c r="N35" s="382"/>
    </row>
    <row r="36" spans="1:14">
      <c r="A36" s="578" t="s">
        <v>163</v>
      </c>
      <c r="B36" s="579"/>
      <c r="C36" s="579"/>
      <c r="D36" s="523" t="s">
        <v>130</v>
      </c>
      <c r="E36" s="510">
        <f>'26'!F36</f>
        <v>42524</v>
      </c>
      <c r="F36" s="510">
        <v>43195</v>
      </c>
      <c r="G36" s="473">
        <f t="shared" si="3"/>
        <v>671</v>
      </c>
      <c r="H36" s="460">
        <f>G36+'26'!H36</f>
        <v>22734</v>
      </c>
      <c r="I36" s="455"/>
      <c r="J36" s="552">
        <f>H36/DAY(B2)</f>
        <v>842</v>
      </c>
      <c r="K36" s="428"/>
      <c r="L36" s="377"/>
      <c r="N36" s="628"/>
    </row>
    <row r="37" spans="1:14">
      <c r="A37" s="578" t="s">
        <v>164</v>
      </c>
      <c r="B37" s="579"/>
      <c r="C37" s="579"/>
      <c r="D37" s="523" t="s">
        <v>130</v>
      </c>
      <c r="E37" s="510">
        <f>'26'!F37</f>
        <v>218023</v>
      </c>
      <c r="F37" s="510">
        <v>219678</v>
      </c>
      <c r="G37" s="473">
        <f t="shared" si="3"/>
        <v>1655</v>
      </c>
      <c r="H37" s="460">
        <f>G37+'26'!H37</f>
        <v>43108</v>
      </c>
      <c r="I37" s="455"/>
      <c r="J37" s="552">
        <f>H37/DAY(B2)</f>
        <v>1596.5925925925926</v>
      </c>
      <c r="K37" s="428"/>
      <c r="L37" s="377"/>
      <c r="N37" s="629"/>
    </row>
    <row r="38" spans="1:14">
      <c r="A38" s="578" t="s">
        <v>165</v>
      </c>
      <c r="B38" s="579"/>
      <c r="C38" s="579"/>
      <c r="D38" s="523" t="s">
        <v>130</v>
      </c>
      <c r="E38" s="510">
        <f>'26'!F38</f>
        <v>240414</v>
      </c>
      <c r="F38" s="469">
        <v>241922</v>
      </c>
      <c r="G38" s="473">
        <f t="shared" si="3"/>
        <v>1508</v>
      </c>
      <c r="H38" s="460">
        <f>G38+'26'!H38</f>
        <v>43463</v>
      </c>
      <c r="I38" s="455"/>
      <c r="J38" s="552">
        <f>H38/DAY(B2)</f>
        <v>1609.7407407407406</v>
      </c>
      <c r="K38" s="428"/>
      <c r="L38" s="377"/>
      <c r="N38" s="382"/>
    </row>
    <row r="39" spans="1:14">
      <c r="A39" s="578" t="s">
        <v>166</v>
      </c>
      <c r="B39" s="579"/>
      <c r="C39" s="579"/>
      <c r="D39" s="523" t="s">
        <v>130</v>
      </c>
      <c r="E39" s="510">
        <f>'26'!F39</f>
        <v>501478</v>
      </c>
      <c r="F39" s="510">
        <v>505261</v>
      </c>
      <c r="G39" s="473">
        <f t="shared" si="3"/>
        <v>3783</v>
      </c>
      <c r="H39" s="460">
        <f>G39+'26'!H39</f>
        <v>100397</v>
      </c>
      <c r="I39" s="455"/>
      <c r="J39" s="552">
        <f>H39/DAY(B2)</f>
        <v>3718.4074074074074</v>
      </c>
      <c r="K39" s="428"/>
      <c r="L39" s="377"/>
      <c r="N39" s="382"/>
    </row>
    <row r="40" spans="1:14">
      <c r="A40" s="599" t="s">
        <v>167</v>
      </c>
      <c r="B40" s="600"/>
      <c r="C40" s="600"/>
      <c r="D40" s="523" t="s">
        <v>130</v>
      </c>
      <c r="E40" s="510">
        <f>'26'!F40</f>
        <v>17874</v>
      </c>
      <c r="F40" s="510">
        <v>18260</v>
      </c>
      <c r="G40" s="473">
        <f t="shared" si="3"/>
        <v>386</v>
      </c>
      <c r="H40" s="460">
        <f>G40+'26'!H40</f>
        <v>11147</v>
      </c>
      <c r="I40" s="455"/>
      <c r="J40" s="552">
        <f>H40/DAY(B2)</f>
        <v>412.85185185185185</v>
      </c>
      <c r="K40" s="429"/>
      <c r="L40" s="377"/>
      <c r="N40" s="382"/>
    </row>
    <row r="41" spans="1:14">
      <c r="A41" s="578" t="s">
        <v>168</v>
      </c>
      <c r="B41" s="579"/>
      <c r="C41" s="579"/>
      <c r="D41" s="523" t="s">
        <v>130</v>
      </c>
      <c r="E41" s="510">
        <f>'26'!F41</f>
        <v>366840</v>
      </c>
      <c r="F41" s="510">
        <v>366840</v>
      </c>
      <c r="G41" s="473">
        <f t="shared" si="3"/>
        <v>0</v>
      </c>
      <c r="H41" s="460">
        <f>G41+'26'!H41</f>
        <v>37198</v>
      </c>
      <c r="I41" s="455"/>
      <c r="J41" s="552">
        <f>H41/DAY(B2)</f>
        <v>1377.7037037037037</v>
      </c>
      <c r="K41" s="428"/>
      <c r="L41" s="377"/>
      <c r="N41" s="382"/>
    </row>
    <row r="42" spans="1:14">
      <c r="A42" s="578" t="s">
        <v>169</v>
      </c>
      <c r="B42" s="579"/>
      <c r="C42" s="579"/>
      <c r="D42" s="523" t="s">
        <v>130</v>
      </c>
      <c r="E42" s="510">
        <f>'26'!F42</f>
        <v>97548</v>
      </c>
      <c r="F42" s="510">
        <v>102539</v>
      </c>
      <c r="G42" s="473">
        <f t="shared" si="3"/>
        <v>4991</v>
      </c>
      <c r="H42" s="460">
        <f>G42+'26'!H42</f>
        <v>43340.11</v>
      </c>
      <c r="I42" s="455"/>
      <c r="J42" s="552">
        <f>H42/DAY(B2)</f>
        <v>1605.1892592592592</v>
      </c>
      <c r="K42" s="428"/>
      <c r="L42" s="377"/>
      <c r="N42" s="382"/>
    </row>
    <row r="43" spans="1:14">
      <c r="A43" s="578" t="s">
        <v>170</v>
      </c>
      <c r="B43" s="579"/>
      <c r="C43" s="579"/>
      <c r="D43" s="523" t="s">
        <v>130</v>
      </c>
      <c r="E43" s="510">
        <f>'26'!F43</f>
        <v>1190837</v>
      </c>
      <c r="F43" s="510">
        <v>1193513</v>
      </c>
      <c r="G43" s="473">
        <f t="shared" si="3"/>
        <v>2676</v>
      </c>
      <c r="H43" s="460">
        <f>G43+'26'!H43</f>
        <v>73061</v>
      </c>
      <c r="I43" s="455"/>
      <c r="J43" s="552">
        <f>H43/DAY(B2)</f>
        <v>2705.962962962963</v>
      </c>
      <c r="K43" s="428"/>
      <c r="L43" s="377"/>
      <c r="N43" s="382"/>
    </row>
    <row r="44" spans="1:14">
      <c r="A44" s="578" t="s">
        <v>171</v>
      </c>
      <c r="B44" s="579"/>
      <c r="C44" s="579"/>
      <c r="D44" s="523" t="s">
        <v>130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172</v>
      </c>
      <c r="B45" s="579"/>
      <c r="C45" s="579"/>
      <c r="D45" s="523" t="s">
        <v>130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173</v>
      </c>
      <c r="B46" s="579"/>
      <c r="C46" s="579"/>
      <c r="D46" s="523" t="s">
        <v>130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-0.49000000000000909</v>
      </c>
      <c r="I46" s="455"/>
      <c r="J46" s="552">
        <f>H46/DAY(B2)</f>
        <v>-1.8148148148148486E-2</v>
      </c>
      <c r="K46" s="428"/>
      <c r="L46" s="377"/>
      <c r="N46" s="382"/>
    </row>
    <row r="47" spans="1:14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15670</v>
      </c>
      <c r="H47" s="460">
        <f>G47+'26'!H47</f>
        <v>405132.11</v>
      </c>
      <c r="I47" s="455"/>
      <c r="J47" s="552">
        <f>H47/DAY(B2)</f>
        <v>15004.892962962962</v>
      </c>
      <c r="K47" s="428"/>
      <c r="L47" s="377"/>
      <c r="N47" s="382"/>
    </row>
    <row r="48" spans="1:14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162</v>
      </c>
      <c r="B49" s="601"/>
      <c r="C49" s="601"/>
      <c r="D49" s="523" t="s">
        <v>130</v>
      </c>
      <c r="E49" s="510">
        <f>'26'!F49</f>
        <v>309209</v>
      </c>
      <c r="F49" s="510">
        <v>312092</v>
      </c>
      <c r="G49" s="473">
        <f t="shared" ref="G49:G58" si="4">F49-E49</f>
        <v>2883</v>
      </c>
      <c r="H49" s="460">
        <f>G49+'26'!H49</f>
        <v>51328</v>
      </c>
      <c r="I49" s="455"/>
      <c r="J49" s="552">
        <f>H49/DAY(B2)</f>
        <v>1901.037037037037</v>
      </c>
      <c r="K49" s="428"/>
      <c r="L49" s="377"/>
      <c r="N49" s="382"/>
    </row>
    <row r="50" spans="1:14">
      <c r="A50" s="578" t="s">
        <v>176</v>
      </c>
      <c r="B50" s="601"/>
      <c r="C50" s="601"/>
      <c r="D50" s="523" t="s">
        <v>130</v>
      </c>
      <c r="E50" s="510">
        <f>'26'!F50</f>
        <v>564831</v>
      </c>
      <c r="F50" s="510">
        <v>565819</v>
      </c>
      <c r="G50" s="473">
        <f t="shared" si="4"/>
        <v>988</v>
      </c>
      <c r="H50" s="460">
        <f>G50+'26'!H50</f>
        <v>30063</v>
      </c>
      <c r="I50" s="455"/>
      <c r="J50" s="552">
        <f>H50/DAY(B2)</f>
        <v>1113.4444444444443</v>
      </c>
      <c r="K50" s="428"/>
      <c r="L50" s="377"/>
      <c r="N50" s="382"/>
    </row>
    <row r="51" spans="1:14">
      <c r="A51" s="578" t="s">
        <v>164</v>
      </c>
      <c r="B51" s="601"/>
      <c r="C51" s="601"/>
      <c r="D51" s="523" t="s">
        <v>130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177</v>
      </c>
      <c r="B52" s="601"/>
      <c r="C52" s="601"/>
      <c r="D52" s="523" t="s">
        <v>130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166</v>
      </c>
      <c r="B53" s="601"/>
      <c r="C53" s="601"/>
      <c r="D53" s="523" t="s">
        <v>130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-0.33000000001629815</v>
      </c>
      <c r="I53" s="455"/>
      <c r="J53" s="552">
        <f>H53/DAY(B2)</f>
        <v>-1.2222222222825858E-2</v>
      </c>
      <c r="K53" s="428"/>
      <c r="L53" s="377"/>
      <c r="N53" s="382"/>
    </row>
    <row r="54" spans="1:14">
      <c r="A54" s="578" t="s">
        <v>178</v>
      </c>
      <c r="B54" s="601"/>
      <c r="C54" s="601"/>
      <c r="D54" s="523" t="s">
        <v>130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179</v>
      </c>
      <c r="B55" s="601"/>
      <c r="C55" s="601"/>
      <c r="D55" s="523" t="s">
        <v>130</v>
      </c>
      <c r="E55" s="510">
        <f>'26'!F55</f>
        <v>220067</v>
      </c>
      <c r="F55" s="653">
        <v>221246</v>
      </c>
      <c r="G55" s="473">
        <f t="shared" si="4"/>
        <v>1179</v>
      </c>
      <c r="H55" s="705">
        <f>G55+'26'!H55</f>
        <v>98036</v>
      </c>
      <c r="I55" s="706"/>
      <c r="J55" s="707">
        <f>H55/DAY(B2)</f>
        <v>3630.962962962963</v>
      </c>
      <c r="K55" s="428"/>
      <c r="L55" s="377"/>
      <c r="N55" s="382"/>
    </row>
    <row r="56" spans="1:14">
      <c r="A56" s="578" t="s">
        <v>180</v>
      </c>
      <c r="B56" s="601"/>
      <c r="C56" s="601"/>
      <c r="D56" s="523" t="s">
        <v>181</v>
      </c>
      <c r="E56" s="510">
        <f>'26'!F56</f>
        <v>649273</v>
      </c>
      <c r="F56" s="653">
        <v>649316</v>
      </c>
      <c r="G56" s="473">
        <f t="shared" si="4"/>
        <v>43</v>
      </c>
      <c r="H56" s="460">
        <f>G56+'26'!H56</f>
        <v>274</v>
      </c>
      <c r="I56" s="455"/>
      <c r="J56" s="552">
        <f>H56/DAY(B2)</f>
        <v>10.148148148148149</v>
      </c>
      <c r="K56" s="427"/>
      <c r="L56" s="377"/>
      <c r="N56" s="382"/>
    </row>
    <row r="57" spans="1:14">
      <c r="A57" s="578" t="s">
        <v>170</v>
      </c>
      <c r="B57" s="601"/>
      <c r="C57" s="601"/>
      <c r="D57" s="523" t="s">
        <v>130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182</v>
      </c>
      <c r="B58" s="601"/>
      <c r="C58" s="601"/>
      <c r="D58" s="523" t="s">
        <v>130</v>
      </c>
      <c r="E58" s="510">
        <f>'26'!F58</f>
        <v>58700</v>
      </c>
      <c r="F58" s="653">
        <v>58892</v>
      </c>
      <c r="G58" s="473">
        <f t="shared" si="4"/>
        <v>192</v>
      </c>
      <c r="H58" s="460">
        <f>G58+'26'!H58</f>
        <v>4712</v>
      </c>
      <c r="I58" s="455"/>
      <c r="J58" s="552">
        <f>H58/DAY(B2)</f>
        <v>174.5185185185185</v>
      </c>
      <c r="K58" s="428"/>
      <c r="L58" s="377"/>
      <c r="N58" s="382"/>
    </row>
    <row r="59" spans="1:14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5285.0600000000559</v>
      </c>
      <c r="H59" s="460">
        <f>G59+'26'!H59</f>
        <v>184412.66999999998</v>
      </c>
      <c r="I59" s="455">
        <f>G7-G60</f>
        <v>163.93999999994412</v>
      </c>
      <c r="J59" s="552">
        <f>H59/DAY(B2)</f>
        <v>6830.0988888888887</v>
      </c>
      <c r="K59" s="428"/>
      <c r="L59" s="377"/>
      <c r="N59" s="382"/>
    </row>
    <row r="60" spans="1:14">
      <c r="A60" s="578"/>
      <c r="B60" s="579"/>
      <c r="C60" s="579"/>
      <c r="D60" s="511" t="s">
        <v>183</v>
      </c>
      <c r="E60" s="511"/>
      <c r="F60" s="511"/>
      <c r="G60" s="481">
        <f>G47+G59</f>
        <v>20955.060000000056</v>
      </c>
      <c r="H60" s="460">
        <f>G60+'26'!H60</f>
        <v>596448.1100000001</v>
      </c>
      <c r="I60" s="455">
        <f>G13-G60</f>
        <v>-512.96000000005733</v>
      </c>
      <c r="J60" s="552">
        <f>H60/DAY(B2)</f>
        <v>22090.670740740745</v>
      </c>
      <c r="K60" s="428"/>
      <c r="L60" s="377"/>
      <c r="N60" s="382"/>
    </row>
    <row r="61" spans="1:14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185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186</v>
      </c>
      <c r="B63" s="604"/>
      <c r="C63" s="604"/>
      <c r="D63" s="511" t="s">
        <v>185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3" t="s">
        <v>98</v>
      </c>
      <c r="B64" s="1544"/>
      <c r="C64" s="1545"/>
      <c r="D64" s="523" t="s">
        <v>185</v>
      </c>
      <c r="E64" s="514">
        <f>'26'!F64</f>
        <v>179989</v>
      </c>
      <c r="F64" s="478">
        <v>180340</v>
      </c>
      <c r="G64" s="473">
        <f t="shared" si="5"/>
        <v>351</v>
      </c>
      <c r="H64" s="460">
        <f>G64+'26'!H64</f>
        <v>10318</v>
      </c>
      <c r="I64" s="480"/>
      <c r="J64" s="552">
        <f>H64/DAY(B2)</f>
        <v>382.14814814814815</v>
      </c>
      <c r="K64" s="428"/>
      <c r="L64" s="377"/>
      <c r="N64" s="382"/>
    </row>
    <row r="65" spans="1:14" ht="27.75">
      <c r="A65" s="1543" t="s">
        <v>99</v>
      </c>
      <c r="B65" s="1544"/>
      <c r="C65" s="1545"/>
      <c r="D65" s="523" t="s">
        <v>185</v>
      </c>
      <c r="E65" s="514">
        <f>'26'!F65</f>
        <v>180273</v>
      </c>
      <c r="F65" s="485">
        <v>180631</v>
      </c>
      <c r="G65" s="473">
        <f t="shared" si="5"/>
        <v>358</v>
      </c>
      <c r="H65" s="460">
        <f>G65+'26'!H65</f>
        <v>10329</v>
      </c>
      <c r="I65" s="489"/>
      <c r="J65" s="552">
        <f>H65/DAY(B2)</f>
        <v>382.55555555555554</v>
      </c>
      <c r="K65" s="428"/>
      <c r="L65" s="377"/>
      <c r="N65" s="382"/>
    </row>
    <row r="66" spans="1:14" ht="27.75">
      <c r="A66" s="1543" t="s">
        <v>100</v>
      </c>
      <c r="B66" s="1544"/>
      <c r="C66" s="1545"/>
      <c r="D66" s="523" t="s">
        <v>185</v>
      </c>
      <c r="E66" s="514">
        <f>'26'!F66</f>
        <v>78637</v>
      </c>
      <c r="F66" s="485">
        <v>79039</v>
      </c>
      <c r="G66" s="473">
        <f t="shared" si="5"/>
        <v>402</v>
      </c>
      <c r="H66" s="460">
        <f>G66+'26'!H66</f>
        <v>11069</v>
      </c>
      <c r="I66" s="480"/>
      <c r="J66" s="552">
        <f>H66/DAY(B2)</f>
        <v>409.96296296296299</v>
      </c>
      <c r="K66" s="428"/>
      <c r="L66" s="377"/>
      <c r="N66" s="382"/>
    </row>
    <row r="67" spans="1:14" ht="27.75">
      <c r="A67" s="1543" t="s">
        <v>101</v>
      </c>
      <c r="B67" s="1544"/>
      <c r="C67" s="1545"/>
      <c r="D67" s="523" t="s">
        <v>185</v>
      </c>
      <c r="E67" s="514">
        <f>'26'!F67</f>
        <v>277460</v>
      </c>
      <c r="F67" s="478">
        <v>277989</v>
      </c>
      <c r="G67" s="473">
        <f t="shared" si="5"/>
        <v>529</v>
      </c>
      <c r="H67" s="460">
        <f>G67+'26'!H67</f>
        <v>13030</v>
      </c>
      <c r="I67" s="489"/>
      <c r="J67" s="552">
        <f>H67/DAY(B2)</f>
        <v>482.59259259259261</v>
      </c>
      <c r="K67" s="429"/>
      <c r="L67" s="377"/>
      <c r="N67" s="382"/>
    </row>
    <row r="68" spans="1:14" ht="27.75">
      <c r="A68" s="1543" t="s">
        <v>102</v>
      </c>
      <c r="B68" s="1544"/>
      <c r="C68" s="1545"/>
      <c r="D68" s="523" t="s">
        <v>185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3" t="s">
        <v>103</v>
      </c>
      <c r="B69" s="1544"/>
      <c r="C69" s="1545"/>
      <c r="D69" s="523" t="s">
        <v>185</v>
      </c>
      <c r="E69" s="514">
        <f>'26'!F69</f>
        <v>94828</v>
      </c>
      <c r="F69" s="478">
        <v>95173</v>
      </c>
      <c r="G69" s="473">
        <f t="shared" si="5"/>
        <v>345</v>
      </c>
      <c r="H69" s="460">
        <f>G69+'26'!H69</f>
        <v>7658</v>
      </c>
      <c r="I69" s="516"/>
      <c r="J69" s="552">
        <f>H69/DAY(B2)</f>
        <v>283.62962962962962</v>
      </c>
      <c r="K69" s="431"/>
      <c r="L69" s="377"/>
      <c r="N69" s="382"/>
    </row>
    <row r="70" spans="1:14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382"/>
    </row>
    <row r="72" spans="1:14" ht="27.75">
      <c r="A72" s="1543" t="s">
        <v>189</v>
      </c>
      <c r="B72" s="1544"/>
      <c r="C72" s="1545"/>
      <c r="D72" s="523" t="s">
        <v>185</v>
      </c>
      <c r="E72" s="519">
        <f>'26'!F72</f>
        <v>856543</v>
      </c>
      <c r="F72" s="654">
        <v>856556</v>
      </c>
      <c r="G72" s="473">
        <f t="shared" ref="G72:G84" si="6">F72-E72</f>
        <v>13</v>
      </c>
      <c r="H72" s="460">
        <f>G72+'26'!H72</f>
        <v>321</v>
      </c>
      <c r="I72" s="480"/>
      <c r="J72" s="552">
        <f>H72/DAY(B2)</f>
        <v>11.888888888888889</v>
      </c>
      <c r="K72" s="431"/>
      <c r="L72" s="377"/>
      <c r="N72" s="382"/>
    </row>
    <row r="73" spans="1:14" ht="27.75">
      <c r="A73" s="1543" t="s">
        <v>190</v>
      </c>
      <c r="B73" s="1544"/>
      <c r="C73" s="1545"/>
      <c r="D73" s="523" t="s">
        <v>185</v>
      </c>
      <c r="E73" s="519">
        <f>'26'!F73</f>
        <v>886007</v>
      </c>
      <c r="F73" s="655">
        <v>886008</v>
      </c>
      <c r="G73" s="652">
        <f t="shared" si="6"/>
        <v>1</v>
      </c>
      <c r="H73" s="460">
        <f>G73+'26'!H73</f>
        <v>174</v>
      </c>
      <c r="I73" s="480"/>
      <c r="J73" s="552">
        <f>H73/DAY(B2)</f>
        <v>6.4444444444444446</v>
      </c>
      <c r="K73" s="430"/>
      <c r="L73" s="377"/>
      <c r="N73" s="382"/>
    </row>
    <row r="74" spans="1:14" ht="27.75">
      <c r="A74" s="1543" t="s">
        <v>191</v>
      </c>
      <c r="B74" s="1544"/>
      <c r="C74" s="1545"/>
      <c r="D74" s="523" t="s">
        <v>185</v>
      </c>
      <c r="E74" s="519">
        <f>'26'!F74</f>
        <v>88723</v>
      </c>
      <c r="F74" s="655">
        <v>88726</v>
      </c>
      <c r="G74" s="473">
        <f t="shared" si="6"/>
        <v>3</v>
      </c>
      <c r="H74" s="460">
        <f>G74+'26'!H74</f>
        <v>64</v>
      </c>
      <c r="I74" s="480"/>
      <c r="J74" s="552">
        <f>H74/DAY(B2)</f>
        <v>2.3703703703703702</v>
      </c>
      <c r="K74" s="431"/>
      <c r="L74" s="377"/>
      <c r="N74" s="382"/>
    </row>
    <row r="75" spans="1:14" ht="27.75">
      <c r="A75" s="1546" t="s">
        <v>192</v>
      </c>
      <c r="B75" s="1547"/>
      <c r="C75" s="1548"/>
      <c r="D75" s="523" t="s">
        <v>185</v>
      </c>
      <c r="E75" s="519">
        <f>'26'!F75</f>
        <v>20129</v>
      </c>
      <c r="F75" s="654">
        <v>20277</v>
      </c>
      <c r="G75" s="473">
        <f t="shared" si="6"/>
        <v>148</v>
      </c>
      <c r="H75" s="460">
        <f>G75+'26'!H75</f>
        <v>4206</v>
      </c>
      <c r="I75" s="480"/>
      <c r="J75" s="552">
        <f>H75/DAY(B2)</f>
        <v>155.77777777777777</v>
      </c>
      <c r="K75" s="430"/>
      <c r="L75" s="377"/>
      <c r="N75" s="382"/>
    </row>
    <row r="76" spans="1:14" ht="27.75">
      <c r="A76" s="1546" t="s">
        <v>193</v>
      </c>
      <c r="B76" s="1547"/>
      <c r="C76" s="1548"/>
      <c r="D76" s="523" t="s">
        <v>185</v>
      </c>
      <c r="E76" s="519">
        <f>'26'!F76</f>
        <v>11062</v>
      </c>
      <c r="F76" s="655">
        <v>11140</v>
      </c>
      <c r="G76" s="473">
        <f t="shared" si="6"/>
        <v>78</v>
      </c>
      <c r="H76" s="460">
        <f>G76+'26'!H76</f>
        <v>2921</v>
      </c>
      <c r="I76" s="505"/>
      <c r="J76" s="552">
        <f>H76/DAY(B2)</f>
        <v>108.18518518518519</v>
      </c>
      <c r="K76" s="430"/>
      <c r="L76" s="377"/>
      <c r="N76" s="382"/>
    </row>
    <row r="77" spans="1:14" ht="27.75">
      <c r="A77" s="1543" t="s">
        <v>194</v>
      </c>
      <c r="B77" s="1544"/>
      <c r="C77" s="1545"/>
      <c r="D77" s="523" t="s">
        <v>185</v>
      </c>
      <c r="E77" s="519">
        <f>'26'!F77</f>
        <v>706078</v>
      </c>
      <c r="F77" s="655">
        <v>706191</v>
      </c>
      <c r="G77" s="652">
        <f t="shared" si="6"/>
        <v>113</v>
      </c>
      <c r="H77" s="460">
        <f>G77+'26'!H77</f>
        <v>1817</v>
      </c>
      <c r="I77" s="505"/>
      <c r="J77" s="552">
        <f>H77/DAY(B2)</f>
        <v>67.296296296296291</v>
      </c>
      <c r="K77" s="430"/>
      <c r="L77" s="377"/>
      <c r="N77" s="382"/>
    </row>
    <row r="78" spans="1:14" ht="27.75">
      <c r="A78" s="1140" t="s">
        <v>195</v>
      </c>
      <c r="B78" s="1113"/>
      <c r="C78" s="1113"/>
      <c r="D78" s="523" t="s">
        <v>185</v>
      </c>
      <c r="E78" s="519">
        <f>'26'!F78</f>
        <v>678100</v>
      </c>
      <c r="F78" s="654">
        <v>678285</v>
      </c>
      <c r="G78" s="473">
        <f t="shared" si="6"/>
        <v>185</v>
      </c>
      <c r="H78" s="460">
        <f>G78+'26'!H78</f>
        <v>2871</v>
      </c>
      <c r="I78" s="505"/>
      <c r="J78" s="552">
        <f>H78/DAY(B2)</f>
        <v>106.33333333333333</v>
      </c>
      <c r="K78" s="430"/>
      <c r="L78" s="377"/>
      <c r="N78" s="382"/>
    </row>
    <row r="79" spans="1:14" ht="27.75">
      <c r="A79" s="1546" t="s">
        <v>91</v>
      </c>
      <c r="B79" s="1547"/>
      <c r="C79" s="1548"/>
      <c r="D79" s="524" t="s">
        <v>185</v>
      </c>
      <c r="E79" s="519">
        <f>'26'!F79</f>
        <v>839478</v>
      </c>
      <c r="F79" s="1307">
        <v>839622</v>
      </c>
      <c r="G79" s="473">
        <f t="shared" si="6"/>
        <v>144</v>
      </c>
      <c r="H79" s="460">
        <f>G79+'26'!H79</f>
        <v>3468</v>
      </c>
      <c r="I79" s="505"/>
      <c r="J79" s="552">
        <f>H79/DAY(B2)</f>
        <v>128.44444444444446</v>
      </c>
      <c r="K79" s="430"/>
      <c r="L79" s="377"/>
      <c r="N79" s="382"/>
    </row>
    <row r="80" spans="1:14" ht="27.75">
      <c r="A80" s="1546" t="s">
        <v>196</v>
      </c>
      <c r="B80" s="1547"/>
      <c r="C80" s="1548"/>
      <c r="D80" s="524" t="s">
        <v>185</v>
      </c>
      <c r="E80" s="519">
        <f>'26'!F80</f>
        <v>550012</v>
      </c>
      <c r="F80" s="655">
        <v>550386</v>
      </c>
      <c r="G80" s="473">
        <f t="shared" si="6"/>
        <v>374</v>
      </c>
      <c r="H80" s="460">
        <f>G80+'26'!H80</f>
        <v>7995</v>
      </c>
      <c r="I80" s="505"/>
      <c r="J80" s="552">
        <f>H80/DAY(B2)</f>
        <v>296.11111111111109</v>
      </c>
      <c r="K80" s="430"/>
      <c r="L80" s="377"/>
      <c r="N80" s="382"/>
    </row>
    <row r="81" spans="1:15" ht="27.75">
      <c r="A81" s="1546" t="s">
        <v>197</v>
      </c>
      <c r="B81" s="1547"/>
      <c r="C81" s="1548"/>
      <c r="D81" s="524" t="s">
        <v>185</v>
      </c>
      <c r="E81" s="519">
        <f>'26'!F81</f>
        <v>648073</v>
      </c>
      <c r="F81" s="655">
        <v>648258</v>
      </c>
      <c r="G81" s="473">
        <f t="shared" si="6"/>
        <v>185</v>
      </c>
      <c r="H81" s="460">
        <f>G81+'26'!H81</f>
        <v>5273</v>
      </c>
      <c r="I81" s="505"/>
      <c r="J81" s="552">
        <f>H81/DAY(B2)</f>
        <v>195.2962962962963</v>
      </c>
      <c r="K81" s="430"/>
      <c r="L81" s="377"/>
      <c r="N81" s="382"/>
    </row>
    <row r="82" spans="1:15" ht="27.75">
      <c r="A82" s="1546" t="s">
        <v>92</v>
      </c>
      <c r="B82" s="1547"/>
      <c r="C82" s="1548"/>
      <c r="D82" s="485" t="s">
        <v>130</v>
      </c>
      <c r="E82" s="519">
        <f>'26'!F82</f>
        <v>109230</v>
      </c>
      <c r="F82" s="651">
        <v>109253</v>
      </c>
      <c r="G82" s="473">
        <f t="shared" si="6"/>
        <v>23</v>
      </c>
      <c r="H82" s="460">
        <f>G82+'26'!H82</f>
        <v>572</v>
      </c>
      <c r="I82" s="486"/>
      <c r="J82" s="552">
        <f>H82/DAY(B2)</f>
        <v>21.185185185185187</v>
      </c>
      <c r="K82" s="430"/>
      <c r="L82" s="377"/>
      <c r="N82" s="382"/>
    </row>
    <row r="83" spans="1:15" ht="27.75">
      <c r="A83" s="1546" t="s">
        <v>198</v>
      </c>
      <c r="B83" s="1547"/>
      <c r="C83" s="1548"/>
      <c r="D83" s="620" t="s">
        <v>130</v>
      </c>
      <c r="E83" s="519">
        <f>'26'!F83</f>
        <v>33838</v>
      </c>
      <c r="F83" s="1308">
        <v>33867</v>
      </c>
      <c r="G83" s="473">
        <f t="shared" si="6"/>
        <v>29</v>
      </c>
      <c r="H83" s="460">
        <f>G83+'26'!H83</f>
        <v>6316</v>
      </c>
      <c r="I83" s="481"/>
      <c r="J83" s="552">
        <f>H83/DAY(B2)</f>
        <v>233.92592592592592</v>
      </c>
      <c r="K83" s="429"/>
      <c r="L83" s="377"/>
      <c r="N83" s="382"/>
    </row>
    <row r="84" spans="1:15">
      <c r="A84" s="1141" t="s">
        <v>199</v>
      </c>
      <c r="B84" s="571"/>
      <c r="C84" s="571"/>
      <c r="D84" s="478" t="s">
        <v>130</v>
      </c>
      <c r="E84" s="519">
        <f>'26'!F84</f>
        <v>543364</v>
      </c>
      <c r="F84" s="524">
        <v>544199</v>
      </c>
      <c r="G84" s="473">
        <f t="shared" si="6"/>
        <v>835</v>
      </c>
      <c r="H84" s="460">
        <f>G84+'26'!H84</f>
        <v>21119</v>
      </c>
      <c r="I84" s="481"/>
      <c r="J84" s="552">
        <f>H84/DAY(B2)</f>
        <v>782.18518518518522</v>
      </c>
      <c r="K84" s="380"/>
      <c r="L84" s="377"/>
      <c r="N84" s="382"/>
    </row>
    <row r="85" spans="1:15" s="379" customFormat="1">
      <c r="A85" s="605" t="s">
        <v>200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2131</v>
      </c>
      <c r="H85" s="460">
        <f>G85+'26'!H85</f>
        <v>59991</v>
      </c>
      <c r="I85" s="481"/>
      <c r="J85" s="552">
        <f>H85/DAY(B2)</f>
        <v>2221.8888888888887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181</v>
      </c>
      <c r="E86" s="627">
        <f>'26'!F86</f>
        <v>462367</v>
      </c>
      <c r="F86" s="647">
        <v>462446</v>
      </c>
      <c r="G86" s="705">
        <f>F86-E86</f>
        <v>79</v>
      </c>
      <c r="H86" s="705">
        <f t="shared" ref="H86:H88" si="7">G86</f>
        <v>79</v>
      </c>
      <c r="I86" s="652"/>
      <c r="J86" s="707">
        <f>H86/DAY(B2)</f>
        <v>2.925925925925926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181</v>
      </c>
      <c r="E87" s="627">
        <f>'26'!F87</f>
        <v>82793</v>
      </c>
      <c r="F87" s="647">
        <v>82823</v>
      </c>
      <c r="G87" s="705">
        <f t="shared" ref="G87:G91" si="8">F87-E87</f>
        <v>30</v>
      </c>
      <c r="H87" s="705">
        <f t="shared" si="7"/>
        <v>30</v>
      </c>
      <c r="I87" s="652"/>
      <c r="J87" s="707">
        <f>H87/DAY(B2)</f>
        <v>1.1111111111111112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181</v>
      </c>
      <c r="E88" s="627">
        <f>'26'!F88</f>
        <v>158099</v>
      </c>
      <c r="F88" s="647">
        <v>158133</v>
      </c>
      <c r="G88" s="705">
        <f t="shared" si="8"/>
        <v>34</v>
      </c>
      <c r="H88" s="705">
        <f t="shared" si="7"/>
        <v>34</v>
      </c>
      <c r="I88" s="652"/>
      <c r="J88" s="707">
        <f>H88/DAY(B2)</f>
        <v>1.2592592592592593</v>
      </c>
      <c r="K88" s="733"/>
      <c r="L88" s="734"/>
      <c r="O88" s="713"/>
    </row>
    <row r="89" spans="1:15" s="735" customFormat="1">
      <c r="A89" s="730" t="s">
        <v>202</v>
      </c>
      <c r="B89" s="731"/>
      <c r="C89" s="731"/>
      <c r="D89" s="732" t="s">
        <v>181</v>
      </c>
      <c r="E89" s="627">
        <f>'26'!F89</f>
        <v>66839</v>
      </c>
      <c r="F89" s="647">
        <v>66870</v>
      </c>
      <c r="G89" s="705">
        <f t="shared" si="8"/>
        <v>31</v>
      </c>
      <c r="H89" s="705">
        <f>G89</f>
        <v>31</v>
      </c>
      <c r="I89" s="652"/>
      <c r="J89" s="707">
        <f>H89/DAY(B2)</f>
        <v>1.1481481481481481</v>
      </c>
      <c r="K89" s="733"/>
      <c r="L89" s="734"/>
      <c r="N89" s="777"/>
      <c r="O89" s="382"/>
    </row>
    <row r="90" spans="1:15" s="735" customFormat="1">
      <c r="A90" s="730" t="s">
        <v>202</v>
      </c>
      <c r="B90" s="731"/>
      <c r="C90" s="731"/>
      <c r="D90" s="732" t="s">
        <v>181</v>
      </c>
      <c r="E90" s="627">
        <f>'26'!F90</f>
        <v>3439</v>
      </c>
      <c r="F90" s="647">
        <v>3444</v>
      </c>
      <c r="G90" s="705">
        <f t="shared" si="8"/>
        <v>5</v>
      </c>
      <c r="H90" s="705">
        <f>G90</f>
        <v>5</v>
      </c>
      <c r="I90" s="652"/>
      <c r="J90" s="707">
        <f>H90/DAY(B2)</f>
        <v>0.18518518518518517</v>
      </c>
      <c r="K90" s="733"/>
      <c r="L90" s="734"/>
      <c r="N90" s="777"/>
      <c r="O90" s="382"/>
    </row>
    <row r="91" spans="1:15" s="735" customFormat="1">
      <c r="A91" s="730" t="s">
        <v>346</v>
      </c>
      <c r="B91" s="731"/>
      <c r="C91" s="731"/>
      <c r="D91" s="732" t="s">
        <v>130</v>
      </c>
      <c r="E91" s="627">
        <f>'26'!F91</f>
        <v>28455</v>
      </c>
      <c r="F91" s="647">
        <v>28465</v>
      </c>
      <c r="G91" s="705">
        <f t="shared" si="8"/>
        <v>10</v>
      </c>
      <c r="H91" s="705">
        <f>G91</f>
        <v>10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2" t="s">
        <v>204</v>
      </c>
      <c r="B93" s="1563"/>
      <c r="C93" s="1564"/>
      <c r="D93" s="523" t="s">
        <v>142</v>
      </c>
      <c r="E93" s="484">
        <f>'26'!F93</f>
        <v>249944</v>
      </c>
      <c r="F93" s="478">
        <v>249998</v>
      </c>
      <c r="G93" s="473">
        <f t="shared" ref="G93:G94" si="9">F93-E93</f>
        <v>54</v>
      </c>
      <c r="H93" s="460">
        <f>G93+'26'!H93</f>
        <v>2646</v>
      </c>
      <c r="I93" s="480"/>
      <c r="J93" s="552">
        <f>H93/DAY(B2)</f>
        <v>98</v>
      </c>
      <c r="K93" s="429"/>
      <c r="L93" s="377"/>
      <c r="N93" s="382"/>
    </row>
    <row r="94" spans="1:15" ht="27.75">
      <c r="A94" s="1562" t="s">
        <v>205</v>
      </c>
      <c r="B94" s="1563"/>
      <c r="C94" s="1564"/>
      <c r="D94" s="523" t="s">
        <v>142</v>
      </c>
      <c r="E94" s="484">
        <f>'26'!F94</f>
        <v>192477</v>
      </c>
      <c r="F94" s="626">
        <v>192492</v>
      </c>
      <c r="G94" s="473">
        <f t="shared" si="9"/>
        <v>15</v>
      </c>
      <c r="H94" s="460">
        <f>G94+'26'!H94</f>
        <v>3038</v>
      </c>
      <c r="I94" s="480"/>
      <c r="J94" s="552">
        <f>H94/DAY(B2)</f>
        <v>112.51851851851852</v>
      </c>
      <c r="K94" s="380"/>
      <c r="L94" s="377"/>
      <c r="N94" s="382"/>
    </row>
    <row r="95" spans="1:15">
      <c r="A95" s="1594" t="s">
        <v>206</v>
      </c>
      <c r="B95" s="1595"/>
      <c r="C95" s="1596"/>
      <c r="D95" s="523"/>
      <c r="E95" s="484">
        <f>'26'!F95</f>
        <v>0</v>
      </c>
      <c r="F95" s="478"/>
      <c r="G95" s="473">
        <f>G93+G94</f>
        <v>69</v>
      </c>
      <c r="H95" s="460">
        <f>G95+'26'!H95</f>
        <v>5498</v>
      </c>
      <c r="I95" s="480"/>
      <c r="J95" s="552">
        <f>H95/DAY(B2)</f>
        <v>203.62962962962962</v>
      </c>
      <c r="K95" s="380"/>
      <c r="L95" s="377"/>
      <c r="N95" s="382"/>
    </row>
    <row r="96" spans="1:15" ht="27.75">
      <c r="A96" s="1562" t="s">
        <v>207</v>
      </c>
      <c r="B96" s="1563"/>
      <c r="C96" s="1564"/>
      <c r="D96" s="523" t="s">
        <v>142</v>
      </c>
      <c r="E96" s="484">
        <f>'26'!F96</f>
        <v>418191</v>
      </c>
      <c r="F96" s="478">
        <v>418253</v>
      </c>
      <c r="G96" s="473">
        <f t="shared" ref="G96:G101" si="10">F96-E96</f>
        <v>62</v>
      </c>
      <c r="H96" s="460">
        <f>G96+'26'!H96</f>
        <v>2254</v>
      </c>
      <c r="I96" s="480"/>
      <c r="J96" s="552">
        <f>H96/DAY(B2)</f>
        <v>83.481481481481481</v>
      </c>
      <c r="K96" s="380"/>
      <c r="L96" s="377"/>
      <c r="N96" s="382"/>
    </row>
    <row r="97" spans="1:14" ht="27.75">
      <c r="A97" s="1137" t="s">
        <v>208</v>
      </c>
      <c r="B97" s="1138"/>
      <c r="C97" s="1138"/>
      <c r="D97" s="523" t="s">
        <v>142</v>
      </c>
      <c r="E97" s="484">
        <f>'26'!F97</f>
        <v>103742</v>
      </c>
      <c r="F97" s="478">
        <v>103761</v>
      </c>
      <c r="G97" s="473">
        <f t="shared" si="10"/>
        <v>19</v>
      </c>
      <c r="H97" s="460">
        <f>G97+'26'!H97</f>
        <v>598</v>
      </c>
      <c r="I97" s="480"/>
      <c r="J97" s="552">
        <f>H97/DAY(B2)</f>
        <v>22.148148148148149</v>
      </c>
      <c r="K97" s="427"/>
      <c r="L97" s="377"/>
      <c r="N97" s="382"/>
    </row>
    <row r="98" spans="1:14" ht="27.75">
      <c r="A98" s="1137" t="s">
        <v>209</v>
      </c>
      <c r="B98" s="1138"/>
      <c r="C98" s="1138"/>
      <c r="D98" s="523" t="s">
        <v>142</v>
      </c>
      <c r="E98" s="484">
        <f>'26'!F98</f>
        <v>99318</v>
      </c>
      <c r="F98" s="478">
        <v>99342</v>
      </c>
      <c r="G98" s="473">
        <f t="shared" si="10"/>
        <v>24</v>
      </c>
      <c r="H98" s="460">
        <f>G98+'26'!H98</f>
        <v>685</v>
      </c>
      <c r="I98" s="480"/>
      <c r="J98" s="552">
        <f>H98/DAY(B2)</f>
        <v>25.37037037037037</v>
      </c>
      <c r="K98" s="432"/>
      <c r="L98" s="377"/>
      <c r="N98" s="804"/>
    </row>
    <row r="99" spans="1:14" ht="27.75">
      <c r="A99" s="1137" t="s">
        <v>210</v>
      </c>
      <c r="B99" s="1138"/>
      <c r="C99" s="1138"/>
      <c r="D99" s="523" t="s">
        <v>142</v>
      </c>
      <c r="E99" s="484">
        <f>'26'!F99</f>
        <v>151129</v>
      </c>
      <c r="F99" s="478">
        <v>151136</v>
      </c>
      <c r="G99" s="473">
        <f t="shared" si="10"/>
        <v>7</v>
      </c>
      <c r="H99" s="460">
        <f>G99+'26'!H99</f>
        <v>731</v>
      </c>
      <c r="I99" s="480"/>
      <c r="J99" s="552">
        <f>H99/DAY(B2)</f>
        <v>27.074074074074073</v>
      </c>
      <c r="K99" s="380"/>
      <c r="L99" s="377"/>
      <c r="N99" s="1028"/>
    </row>
    <row r="100" spans="1:14" ht="27.75">
      <c r="A100" s="1137" t="s">
        <v>211</v>
      </c>
      <c r="B100" s="1138"/>
      <c r="C100" s="1138"/>
      <c r="D100" s="523" t="s">
        <v>142</v>
      </c>
      <c r="E100" s="484">
        <f>'26'!F100</f>
        <v>8106</v>
      </c>
      <c r="F100" s="478">
        <v>8114</v>
      </c>
      <c r="G100" s="473">
        <f t="shared" si="10"/>
        <v>8</v>
      </c>
      <c r="H100" s="460">
        <f>G100+'26'!H100</f>
        <v>317</v>
      </c>
      <c r="I100" s="480"/>
      <c r="J100" s="552">
        <f>H100/DAY(B2)</f>
        <v>11.74074074074074</v>
      </c>
      <c r="K100" s="380"/>
      <c r="L100" s="377"/>
      <c r="N100" s="804"/>
    </row>
    <row r="101" spans="1:14" ht="27.75">
      <c r="A101" s="1137" t="s">
        <v>212</v>
      </c>
      <c r="B101" s="1138"/>
      <c r="C101" s="1138"/>
      <c r="D101" s="523" t="s">
        <v>142</v>
      </c>
      <c r="E101" s="484">
        <f>'26'!F101</f>
        <v>5938</v>
      </c>
      <c r="F101" s="478">
        <v>5945</v>
      </c>
      <c r="G101" s="473">
        <f t="shared" si="10"/>
        <v>7</v>
      </c>
      <c r="H101" s="460">
        <f>G101+'26'!H101</f>
        <v>271</v>
      </c>
      <c r="I101" s="480"/>
      <c r="J101" s="552">
        <f>H101/DAY(B2)</f>
        <v>10.037037037037036</v>
      </c>
      <c r="K101" s="380"/>
      <c r="L101" s="377"/>
      <c r="N101" s="804"/>
    </row>
    <row r="102" spans="1:14">
      <c r="A102" s="1594" t="s">
        <v>214</v>
      </c>
      <c r="B102" s="1595"/>
      <c r="C102" s="1596"/>
      <c r="D102" s="524"/>
      <c r="E102" s="524"/>
      <c r="F102" s="524"/>
      <c r="G102" s="525">
        <f>SUM(G96:G101)</f>
        <v>127</v>
      </c>
      <c r="H102" s="460">
        <f>G102+'26'!H102</f>
        <v>4856</v>
      </c>
      <c r="I102" s="526"/>
      <c r="J102" s="552">
        <f>H102/DAY(B2)</f>
        <v>179.85185185185185</v>
      </c>
      <c r="K102" s="380"/>
      <c r="L102" s="377"/>
      <c r="N102" s="804"/>
    </row>
    <row r="103" spans="1:14" s="442" customFormat="1" ht="27">
      <c r="A103" s="607" t="s">
        <v>215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7" t="s">
        <v>216</v>
      </c>
      <c r="B104" s="159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4" t="s">
        <v>217</v>
      </c>
      <c r="B105" s="1555"/>
      <c r="C105" s="1136"/>
      <c r="D105" s="622" t="s">
        <v>142</v>
      </c>
      <c r="E105" s="532">
        <f>'26'!F105</f>
        <v>7637</v>
      </c>
      <c r="F105" s="658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2.5696296296296</v>
      </c>
      <c r="N105" s="382"/>
    </row>
    <row r="106" spans="1:14" s="442" customFormat="1" ht="27.75">
      <c r="A106" s="1554" t="s">
        <v>76</v>
      </c>
      <c r="B106" s="1555"/>
      <c r="C106" s="1136"/>
      <c r="D106" s="622" t="s">
        <v>142</v>
      </c>
      <c r="E106" s="532">
        <f>'26'!F106</f>
        <v>36415</v>
      </c>
      <c r="F106" s="783">
        <v>36424</v>
      </c>
      <c r="G106" s="532">
        <f t="shared" ref="G106:G107" si="11">F106-E106</f>
        <v>9</v>
      </c>
      <c r="H106" s="533">
        <f>SUM(G106+'1'!G77)</f>
        <v>62</v>
      </c>
      <c r="I106" s="532"/>
      <c r="J106" s="558">
        <f>H106/DAY(B2)</f>
        <v>2.2962962962962963</v>
      </c>
      <c r="N106" s="382"/>
    </row>
    <row r="107" spans="1:14" s="442" customFormat="1" ht="27.75">
      <c r="A107" s="1554" t="s">
        <v>77</v>
      </c>
      <c r="B107" s="1599"/>
      <c r="C107" s="1555"/>
      <c r="D107" s="622" t="s">
        <v>142</v>
      </c>
      <c r="E107" s="532">
        <f>'26'!F107</f>
        <v>19938</v>
      </c>
      <c r="F107" s="659">
        <v>19943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4.4074074074074074</v>
      </c>
      <c r="N107" s="382"/>
    </row>
    <row r="108" spans="1:14" s="442" customFormat="1" ht="27.75">
      <c r="A108" s="1556" t="s">
        <v>200</v>
      </c>
      <c r="B108" s="1557"/>
      <c r="C108" s="1136"/>
      <c r="D108" s="622"/>
      <c r="E108" s="532">
        <f>'26'!F108</f>
        <v>0</v>
      </c>
      <c r="F108" s="659"/>
      <c r="G108" s="532">
        <f>SUM(G105:G107)</f>
        <v>14</v>
      </c>
      <c r="H108" s="533">
        <f>SUM(G108+'1'!G79)</f>
        <v>167</v>
      </c>
      <c r="I108" s="532"/>
      <c r="J108" s="558">
        <f>H108/DAY(B2)</f>
        <v>6.1851851851851851</v>
      </c>
      <c r="N108" s="382"/>
    </row>
    <row r="109" spans="1:14" s="442" customFormat="1" ht="27.75">
      <c r="A109" s="1560" t="s">
        <v>78</v>
      </c>
      <c r="B109" s="1561"/>
      <c r="C109" s="1136"/>
      <c r="D109" s="622" t="s">
        <v>142</v>
      </c>
      <c r="E109" s="532">
        <f>'26'!F109</f>
        <v>0</v>
      </c>
      <c r="F109" s="659"/>
      <c r="G109" s="532"/>
      <c r="H109" s="533"/>
      <c r="I109" s="532"/>
      <c r="J109" s="558"/>
      <c r="N109" s="382"/>
    </row>
    <row r="110" spans="1:14" s="442" customFormat="1" ht="27.75">
      <c r="A110" s="1554" t="s">
        <v>218</v>
      </c>
      <c r="B110" s="1555"/>
      <c r="C110" s="1136"/>
      <c r="D110" s="622" t="s">
        <v>142</v>
      </c>
      <c r="E110" s="532">
        <f>'26'!F110</f>
        <v>66724</v>
      </c>
      <c r="F110" s="803">
        <v>66795</v>
      </c>
      <c r="G110" s="532">
        <f>F110-E110</f>
        <v>71</v>
      </c>
      <c r="H110" s="533">
        <f>SUM(G110+'1'!G81)</f>
        <v>202.64000000001397</v>
      </c>
      <c r="I110" s="532"/>
      <c r="J110" s="558">
        <f>H110/DAY(B2)</f>
        <v>7.5051851851857023</v>
      </c>
      <c r="N110" s="382"/>
    </row>
    <row r="111" spans="1:14" s="442" customFormat="1" ht="27.75">
      <c r="A111" s="1554" t="s">
        <v>219</v>
      </c>
      <c r="B111" s="1555"/>
      <c r="C111" s="1136"/>
      <c r="D111" s="622" t="s">
        <v>142</v>
      </c>
      <c r="E111" s="532">
        <f>'26'!F111</f>
        <v>33838</v>
      </c>
      <c r="F111" s="783">
        <v>33867</v>
      </c>
      <c r="G111" s="532">
        <f t="shared" ref="G111:G112" si="12">F111-E111</f>
        <v>29</v>
      </c>
      <c r="H111" s="533">
        <f>SUM(G111+'1'!G82)</f>
        <v>53.899999999994179</v>
      </c>
      <c r="I111" s="532"/>
      <c r="J111" s="558">
        <f>H111/DAY(B2)</f>
        <v>1.9962962962960806</v>
      </c>
      <c r="N111" s="382"/>
    </row>
    <row r="112" spans="1:14" s="442" customFormat="1" ht="27.75">
      <c r="A112" s="1554" t="s">
        <v>220</v>
      </c>
      <c r="B112" s="1555"/>
      <c r="C112" s="1136"/>
      <c r="D112" s="622" t="s">
        <v>142</v>
      </c>
      <c r="E112" s="532">
        <f>'26'!F112</f>
        <v>4622</v>
      </c>
      <c r="F112" s="783">
        <v>4622</v>
      </c>
      <c r="G112" s="534">
        <f t="shared" si="12"/>
        <v>0</v>
      </c>
      <c r="H112" s="533">
        <f>SUM(G112+'1'!G83)</f>
        <v>351</v>
      </c>
      <c r="I112" s="532"/>
      <c r="J112" s="558">
        <f>H112/DAY(B2)</f>
        <v>13</v>
      </c>
      <c r="N112" s="382"/>
    </row>
    <row r="113" spans="1:14" s="442" customFormat="1" ht="27.75">
      <c r="A113" s="1556" t="s">
        <v>109</v>
      </c>
      <c r="B113" s="1557"/>
      <c r="C113" s="1136"/>
      <c r="D113" s="622"/>
      <c r="E113" s="532">
        <f>'26'!F113</f>
        <v>0</v>
      </c>
      <c r="F113" s="659"/>
      <c r="G113" s="532">
        <f>SUM(G110:G112)</f>
        <v>100</v>
      </c>
      <c r="H113" s="533">
        <f>SUM(G113+'1'!G84)</f>
        <v>916</v>
      </c>
      <c r="I113" s="532"/>
      <c r="J113" s="558">
        <f>H113/DAY(B2)</f>
        <v>33.925925925925924</v>
      </c>
      <c r="N113" s="382"/>
    </row>
    <row r="114" spans="1:14" s="442" customFormat="1" ht="27.75">
      <c r="A114" s="1560" t="s">
        <v>221</v>
      </c>
      <c r="B114" s="1561"/>
      <c r="C114" s="1136"/>
      <c r="D114" s="622"/>
      <c r="E114" s="532">
        <f>'26'!F114</f>
        <v>0</v>
      </c>
      <c r="F114" s="659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54" t="s">
        <v>222</v>
      </c>
      <c r="B115" s="1555"/>
      <c r="C115" s="574"/>
      <c r="D115" s="622" t="s">
        <v>142</v>
      </c>
      <c r="E115" s="532">
        <f>'26'!F115</f>
        <v>12393</v>
      </c>
      <c r="F115" s="659">
        <v>12403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0.37037037037037035</v>
      </c>
      <c r="N115" s="382"/>
    </row>
    <row r="116" spans="1:14" s="442" customFormat="1" ht="27.75">
      <c r="A116" s="1554" t="s">
        <v>223</v>
      </c>
      <c r="B116" s="1555"/>
      <c r="C116" s="574"/>
      <c r="D116" s="622" t="s">
        <v>142</v>
      </c>
      <c r="E116" s="532">
        <f>'26'!F116</f>
        <v>8778</v>
      </c>
      <c r="F116" s="659">
        <v>8785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3.5555555555555554</v>
      </c>
      <c r="N116" s="382"/>
    </row>
    <row r="117" spans="1:14" s="442" customFormat="1" ht="27.75">
      <c r="A117" s="1554" t="s">
        <v>224</v>
      </c>
      <c r="B117" s="1555"/>
      <c r="C117" s="574"/>
      <c r="D117" s="622" t="s">
        <v>142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3.5925925925925926</v>
      </c>
      <c r="N117" s="382"/>
    </row>
    <row r="118" spans="1:14" s="445" customFormat="1" ht="27.75">
      <c r="A118" s="1556" t="s">
        <v>200</v>
      </c>
      <c r="B118" s="1557"/>
      <c r="C118" s="574"/>
      <c r="D118" s="623"/>
      <c r="E118" s="534"/>
      <c r="F118" s="659"/>
      <c r="G118" s="534">
        <f>SUM(G115:G117)</f>
        <v>17</v>
      </c>
      <c r="H118" s="533">
        <f>SUM(G118+'1'!G96)</f>
        <v>103</v>
      </c>
      <c r="I118" s="534"/>
      <c r="J118" s="558">
        <f>H118/DAY(B2)</f>
        <v>3.8148148148148149</v>
      </c>
      <c r="N118" s="382"/>
    </row>
    <row r="119" spans="1:14" s="446" customFormat="1" ht="27.75">
      <c r="A119" s="1550" t="s">
        <v>225</v>
      </c>
      <c r="B119" s="1551"/>
      <c r="C119" s="1134"/>
      <c r="D119" s="624" t="s">
        <v>142</v>
      </c>
      <c r="E119" s="536"/>
      <c r="F119" s="660"/>
      <c r="G119" s="536">
        <f>SUM(G19+G93)</f>
        <v>119</v>
      </c>
      <c r="H119" s="533">
        <f>SUM(G119+'1'!G97)</f>
        <v>136</v>
      </c>
      <c r="I119" s="535"/>
      <c r="J119" s="559">
        <f>H119/DAY(B2)</f>
        <v>5.0370370370370372</v>
      </c>
      <c r="N119" s="382"/>
    </row>
    <row r="120" spans="1:14" s="446" customFormat="1" ht="27.75">
      <c r="A120" s="1550" t="s">
        <v>226</v>
      </c>
      <c r="B120" s="1551"/>
      <c r="C120" s="1134"/>
      <c r="D120" s="624" t="s">
        <v>142</v>
      </c>
      <c r="E120" s="536"/>
      <c r="F120" s="660"/>
      <c r="G120" s="536">
        <f>SUM(G96,G97,G98,G100,G101)</f>
        <v>120</v>
      </c>
      <c r="H120" s="533">
        <f>SUM(G120+'1'!G99)</f>
        <v>170</v>
      </c>
      <c r="I120" s="535"/>
      <c r="J120" s="559">
        <f>H120/DAY(B2)</f>
        <v>6.2962962962962967</v>
      </c>
      <c r="N120" s="382"/>
    </row>
    <row r="121" spans="1:14" s="446" customFormat="1" ht="27.75">
      <c r="A121" s="1550" t="s">
        <v>227</v>
      </c>
      <c r="B121" s="1551"/>
      <c r="C121" s="1134"/>
      <c r="D121" s="624" t="s">
        <v>142</v>
      </c>
      <c r="E121" s="534"/>
      <c r="F121" s="659"/>
      <c r="G121" s="534">
        <f>SUM(G113)</f>
        <v>100</v>
      </c>
      <c r="H121" s="533">
        <f>SUM(G121+'1'!G101)</f>
        <v>105</v>
      </c>
      <c r="I121" s="535"/>
      <c r="J121" s="559">
        <f>H121/DAY(B2)</f>
        <v>3.8888888888888888</v>
      </c>
      <c r="N121" s="382"/>
    </row>
    <row r="122" spans="1:14" s="442" customFormat="1" ht="27.75">
      <c r="A122" s="1552"/>
      <c r="B122" s="1553"/>
      <c r="C122" s="1135"/>
      <c r="D122" s="560"/>
      <c r="E122" s="560"/>
      <c r="F122" s="661"/>
      <c r="G122" s="560"/>
      <c r="H122" s="561"/>
      <c r="I122" s="560"/>
      <c r="J122" s="562"/>
      <c r="N122" s="382"/>
    </row>
    <row r="123" spans="1:14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7" t="s">
        <v>229</v>
      </c>
      <c r="B124" s="1138"/>
      <c r="C124" s="1138"/>
      <c r="D124" s="523" t="s">
        <v>139</v>
      </c>
      <c r="E124" s="478">
        <f>'26'!F124</f>
        <v>846687</v>
      </c>
      <c r="F124" s="478">
        <v>846937</v>
      </c>
      <c r="G124" s="473">
        <f t="shared" ref="G124:G128" si="14">F124-E124</f>
        <v>250</v>
      </c>
      <c r="H124" s="460">
        <f>G124+'26'!H124</f>
        <v>7267</v>
      </c>
      <c r="I124" s="526">
        <f>G124/5</f>
        <v>50</v>
      </c>
      <c r="J124" s="552">
        <f>H124/DAY(B2)</f>
        <v>269.14814814814815</v>
      </c>
      <c r="K124" s="380"/>
      <c r="L124" s="377"/>
      <c r="N124" s="382"/>
    </row>
    <row r="125" spans="1:14" ht="27.75">
      <c r="A125" s="1137" t="s">
        <v>230</v>
      </c>
      <c r="B125" s="1138"/>
      <c r="C125" s="1138"/>
      <c r="D125" s="523" t="s">
        <v>139</v>
      </c>
      <c r="E125" s="478">
        <f>'26'!F125</f>
        <v>73583</v>
      </c>
      <c r="F125" s="626">
        <v>73583.399999999994</v>
      </c>
      <c r="G125" s="473">
        <f t="shared" si="14"/>
        <v>0.39999999999417923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3" t="s">
        <v>231</v>
      </c>
      <c r="B126" s="1544"/>
      <c r="C126" s="1545"/>
      <c r="D126" s="523" t="s">
        <v>139</v>
      </c>
      <c r="E126" s="478">
        <f>'26'!F126</f>
        <v>150921</v>
      </c>
      <c r="F126" s="626">
        <v>150983</v>
      </c>
      <c r="G126" s="473">
        <f t="shared" si="14"/>
        <v>62</v>
      </c>
      <c r="H126" s="460">
        <f>G126+'26'!H126</f>
        <v>2386</v>
      </c>
      <c r="I126" s="526"/>
      <c r="J126" s="552">
        <f>H126/DAY(B2)</f>
        <v>88.370370370370367</v>
      </c>
      <c r="K126" s="380"/>
      <c r="L126" s="377"/>
      <c r="N126" s="382"/>
    </row>
    <row r="127" spans="1:14" ht="27.75">
      <c r="A127" s="609" t="s">
        <v>232</v>
      </c>
      <c r="B127" s="1138"/>
      <c r="C127" s="1138"/>
      <c r="D127" s="523" t="s">
        <v>139</v>
      </c>
      <c r="E127" s="478">
        <f>'26'!F127</f>
        <v>33090</v>
      </c>
      <c r="F127" s="626">
        <v>33120</v>
      </c>
      <c r="G127" s="473">
        <f t="shared" si="14"/>
        <v>30</v>
      </c>
      <c r="H127" s="460">
        <f>G127+'26'!H127</f>
        <v>1049</v>
      </c>
      <c r="I127" s="526"/>
      <c r="J127" s="552">
        <f>H127/DAY(B2)</f>
        <v>38.851851851851855</v>
      </c>
      <c r="K127" s="380"/>
      <c r="L127" s="377"/>
      <c r="N127" s="382"/>
    </row>
    <row r="128" spans="1:14" ht="27.75">
      <c r="A128" s="609" t="s">
        <v>233</v>
      </c>
      <c r="B128" s="1138"/>
      <c r="C128" s="1138"/>
      <c r="D128" s="523" t="s">
        <v>139</v>
      </c>
      <c r="E128" s="478">
        <f>'26'!F128</f>
        <v>9101</v>
      </c>
      <c r="F128" s="626">
        <v>9102</v>
      </c>
      <c r="G128" s="473">
        <f t="shared" si="14"/>
        <v>1</v>
      </c>
      <c r="H128" s="460">
        <f>G128+'26'!H128</f>
        <v>90</v>
      </c>
      <c r="I128" s="480"/>
      <c r="J128" s="552">
        <f>H128/DAY(B2)</f>
        <v>3.3333333333333335</v>
      </c>
      <c r="K128" s="380"/>
      <c r="L128" s="377"/>
      <c r="N128" s="382"/>
    </row>
    <row r="129" spans="1:14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450.60000000000582</v>
      </c>
      <c r="H129" s="460">
        <f>G129+'26'!H129</f>
        <v>5177.4970000001431</v>
      </c>
      <c r="I129" s="480"/>
      <c r="J129" s="552">
        <f>H129/DAY(B2)</f>
        <v>191.75914814815346</v>
      </c>
      <c r="K129" s="364"/>
      <c r="L129" s="292"/>
      <c r="N129" s="382"/>
    </row>
    <row r="130" spans="1:14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7" t="s">
        <v>236</v>
      </c>
      <c r="B131" s="1138"/>
      <c r="C131" s="1138"/>
      <c r="D131" s="523" t="s">
        <v>237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37" t="s">
        <v>238</v>
      </c>
      <c r="B132" s="1138"/>
      <c r="C132" s="1138"/>
      <c r="D132" s="523" t="s">
        <v>237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37" t="s">
        <v>239</v>
      </c>
      <c r="B133" s="1138"/>
      <c r="C133" s="1138"/>
      <c r="D133" s="523" t="s">
        <v>237</v>
      </c>
      <c r="E133" s="484">
        <f>'26'!F133</f>
        <v>40619</v>
      </c>
      <c r="F133" s="485">
        <v>40619</v>
      </c>
      <c r="G133" s="473">
        <f t="shared" si="15"/>
        <v>0</v>
      </c>
      <c r="H133" s="460">
        <f>G133+'26'!H133</f>
        <v>166</v>
      </c>
      <c r="I133" s="480"/>
      <c r="J133" s="552">
        <f>H133/DAY(B2)</f>
        <v>6.1481481481481479</v>
      </c>
      <c r="N133" s="382"/>
    </row>
    <row r="134" spans="1:14" ht="27.75">
      <c r="A134" s="1137" t="s">
        <v>240</v>
      </c>
      <c r="B134" s="1138"/>
      <c r="C134" s="1138"/>
      <c r="D134" s="523" t="s">
        <v>237</v>
      </c>
      <c r="E134" s="484">
        <f>'26'!F134</f>
        <v>486</v>
      </c>
      <c r="F134" s="651">
        <v>510</v>
      </c>
      <c r="G134" s="473">
        <f t="shared" si="15"/>
        <v>24</v>
      </c>
      <c r="H134" s="460">
        <f>G134+'26'!H134</f>
        <v>210</v>
      </c>
      <c r="I134" s="480">
        <f>G131+G132+G133+G134</f>
        <v>24</v>
      </c>
      <c r="J134" s="552">
        <f>H134/DAY(B2)</f>
        <v>7.7777777777777777</v>
      </c>
      <c r="N134" s="382"/>
    </row>
    <row r="135" spans="1:14" ht="27.75">
      <c r="A135" s="1137" t="s">
        <v>241</v>
      </c>
      <c r="B135" s="1138"/>
      <c r="C135" s="1138"/>
      <c r="D135" s="523" t="s">
        <v>237</v>
      </c>
      <c r="E135" s="484">
        <f>'26'!F135</f>
        <v>42430</v>
      </c>
      <c r="F135" s="485">
        <v>42436</v>
      </c>
      <c r="G135" s="473">
        <f t="shared" si="15"/>
        <v>6</v>
      </c>
      <c r="H135" s="460">
        <f>G135+'26'!H135</f>
        <v>97.889999999999418</v>
      </c>
      <c r="I135" s="480"/>
      <c r="J135" s="552">
        <f>H135/DAY(B2)</f>
        <v>3.6255555555555339</v>
      </c>
      <c r="N135" s="382"/>
    </row>
    <row r="136" spans="1:14" ht="27.75">
      <c r="A136" s="1137" t="s">
        <v>242</v>
      </c>
      <c r="B136" s="1138"/>
      <c r="C136" s="1138"/>
      <c r="D136" s="523" t="s">
        <v>237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37" t="s">
        <v>243</v>
      </c>
      <c r="B137" s="1138"/>
      <c r="C137" s="1138"/>
      <c r="D137" s="523" t="s">
        <v>237</v>
      </c>
      <c r="E137" s="484">
        <f>'26'!F137</f>
        <v>23083</v>
      </c>
      <c r="F137" s="485">
        <v>23091.78</v>
      </c>
      <c r="G137" s="473">
        <f t="shared" si="15"/>
        <v>8.7799999999988358</v>
      </c>
      <c r="H137" s="460">
        <f>G137+'26'!H137</f>
        <v>200.28999999999724</v>
      </c>
      <c r="I137" s="480">
        <f>G135+G136+G137</f>
        <v>14.779999999998836</v>
      </c>
      <c r="J137" s="552">
        <f>H137/DAY(B2)</f>
        <v>7.4181481481480454</v>
      </c>
      <c r="N137" s="382"/>
    </row>
    <row r="138" spans="1:14" ht="27.75">
      <c r="A138" s="1137" t="s">
        <v>244</v>
      </c>
      <c r="B138" s="1138"/>
      <c r="C138" s="1138"/>
      <c r="D138" s="523" t="s">
        <v>237</v>
      </c>
      <c r="E138" s="484">
        <f>'26'!F138</f>
        <v>25099</v>
      </c>
      <c r="F138" s="651">
        <v>25099.16</v>
      </c>
      <c r="G138" s="473">
        <f t="shared" si="15"/>
        <v>0.15999999999985448</v>
      </c>
      <c r="H138" s="460">
        <f>G138+'26'!H138</f>
        <v>8</v>
      </c>
      <c r="I138" s="480"/>
      <c r="J138" s="552">
        <f>H138/DAY(B2)</f>
        <v>0.29629629629629628</v>
      </c>
      <c r="N138" s="382"/>
    </row>
    <row r="139" spans="1:14" ht="27.75">
      <c r="A139" s="1137" t="s">
        <v>245</v>
      </c>
      <c r="B139" s="1138"/>
      <c r="C139" s="1138"/>
      <c r="D139" s="523" t="s">
        <v>237</v>
      </c>
      <c r="E139" s="484">
        <f>'26'!F139</f>
        <v>70517</v>
      </c>
      <c r="F139" s="485">
        <v>70516.600000000006</v>
      </c>
      <c r="G139" s="473">
        <f t="shared" si="15"/>
        <v>-0.39999999999417923</v>
      </c>
      <c r="H139" s="460">
        <f>G139+'26'!H139</f>
        <v>15</v>
      </c>
      <c r="I139" s="480">
        <f>G138+G139</f>
        <v>-0.23999999999432475</v>
      </c>
      <c r="J139" s="552">
        <f>H139/DAY(B2)</f>
        <v>0.55555555555555558</v>
      </c>
      <c r="N139" s="382"/>
    </row>
    <row r="140" spans="1:14" ht="27.75">
      <c r="A140" s="1137" t="s">
        <v>246</v>
      </c>
      <c r="B140" s="1138"/>
      <c r="C140" s="1138"/>
      <c r="D140" s="523" t="s">
        <v>237</v>
      </c>
      <c r="E140" s="484">
        <f>'26'!F140</f>
        <v>2264.63</v>
      </c>
      <c r="F140" s="485">
        <v>2273.79</v>
      </c>
      <c r="G140" s="473">
        <f t="shared" si="15"/>
        <v>9.1599999999998545</v>
      </c>
      <c r="H140" s="460">
        <f>G140+'26'!H140</f>
        <v>144.61000000000013</v>
      </c>
      <c r="I140" s="542"/>
      <c r="J140" s="552">
        <f>H140/DAY(B2)</f>
        <v>5.3559259259259306</v>
      </c>
      <c r="N140" s="382"/>
    </row>
    <row r="141" spans="1:14" ht="27.75">
      <c r="A141" s="1137" t="s">
        <v>247</v>
      </c>
      <c r="B141" s="1138"/>
      <c r="C141" s="1138"/>
      <c r="D141" s="523" t="s">
        <v>237</v>
      </c>
      <c r="E141" s="484">
        <f>'26'!F141</f>
        <v>4753.67</v>
      </c>
      <c r="F141" s="478">
        <v>4753.67</v>
      </c>
      <c r="G141" s="473">
        <f t="shared" si="15"/>
        <v>0</v>
      </c>
      <c r="H141" s="460">
        <f>G141+'26'!H141</f>
        <v>116.67000000000007</v>
      </c>
      <c r="I141" s="542"/>
      <c r="J141" s="552">
        <f>H141/DAY(B2)</f>
        <v>4.3211111111111142</v>
      </c>
      <c r="N141" s="382"/>
    </row>
    <row r="142" spans="1:14">
      <c r="A142" s="1565" t="s">
        <v>248</v>
      </c>
      <c r="B142" s="1566"/>
      <c r="C142" s="1143"/>
      <c r="D142" s="472"/>
      <c r="E142" s="472"/>
      <c r="F142" s="472" t="s">
        <v>213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5559</v>
      </c>
      <c r="H143" s="460">
        <f>G143+'26'!H143</f>
        <v>151285.18000000005</v>
      </c>
      <c r="I143" s="480"/>
      <c r="J143" s="552">
        <f>H143/DAY(B2)</f>
        <v>5603.1548148148167</v>
      </c>
      <c r="K143" s="380"/>
      <c r="L143" s="377"/>
      <c r="N143" s="382"/>
    </row>
    <row r="144" spans="1:14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0.26322269046829871</v>
      </c>
      <c r="H144" s="460">
        <f>G144+'26'!H144</f>
        <v>6.8678058428502098</v>
      </c>
      <c r="I144" s="544"/>
      <c r="J144" s="552">
        <f>H144/DAY(B2)</f>
        <v>0.25436317936482261</v>
      </c>
      <c r="K144" s="380"/>
      <c r="L144" s="377"/>
      <c r="N144" s="382"/>
    </row>
    <row r="145" spans="1:14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6213</v>
      </c>
      <c r="H145" s="460">
        <f>G145+'26'!H145</f>
        <v>184432.11000000002</v>
      </c>
      <c r="I145" s="480"/>
      <c r="J145" s="552">
        <f>H145/DAY(B2)</f>
        <v>6830.8188888888899</v>
      </c>
      <c r="K145" s="380"/>
      <c r="L145" s="377"/>
      <c r="N145" s="382"/>
    </row>
    <row r="146" spans="1:14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0.29419006581751028</v>
      </c>
      <c r="H146" s="460">
        <f>G146+'26'!H146</f>
        <v>8.3392114097333945</v>
      </c>
      <c r="I146" s="544"/>
      <c r="J146" s="552">
        <f>H146/DAY(B2)</f>
        <v>0.3088596818419776</v>
      </c>
      <c r="K146" s="380"/>
      <c r="L146" s="377"/>
      <c r="N146" s="382"/>
    </row>
    <row r="147" spans="1:14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3783</v>
      </c>
      <c r="H147" s="460">
        <f>G147+'26'!H147</f>
        <v>100397</v>
      </c>
      <c r="I147" s="545"/>
      <c r="J147" s="552">
        <f>H147/DAY(B2)</f>
        <v>3718.4074074074074</v>
      </c>
      <c r="K147" s="380"/>
      <c r="L147" s="377"/>
      <c r="N147" s="382"/>
    </row>
    <row r="148" spans="1:14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0.17912779961172404</v>
      </c>
      <c r="H148" s="460">
        <f>G148+'26'!H148</f>
        <v>4.5565592730511169</v>
      </c>
      <c r="I148" s="545"/>
      <c r="J148" s="552">
        <f>H148/DAY(B2)</f>
        <v>0.16876145455744876</v>
      </c>
      <c r="N148" s="382"/>
    </row>
    <row r="149" spans="1:14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1507.9300000000512</v>
      </c>
      <c r="H149" s="460">
        <f>G149+'26'!H149</f>
        <v>43463</v>
      </c>
      <c r="I149" s="480"/>
      <c r="J149" s="552">
        <f>H149/DAY(B2)</f>
        <v>1609.7407407407406</v>
      </c>
      <c r="K149" s="381"/>
      <c r="N149" s="382"/>
    </row>
    <row r="150" spans="1:14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7.1401581514278667E-2</v>
      </c>
      <c r="H150" s="460">
        <f>G150+'26'!H150</f>
        <v>1.9688807321904922</v>
      </c>
      <c r="I150" s="545"/>
      <c r="J150" s="552">
        <f>H150/DAY(B2)</f>
        <v>7.2921508599647855E-2</v>
      </c>
      <c r="N150" s="382"/>
    </row>
    <row r="151" spans="1:14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1659</v>
      </c>
      <c r="H151" s="460">
        <f>G151+'26'!H151</f>
        <v>53890</v>
      </c>
      <c r="I151" s="545"/>
      <c r="J151" s="552">
        <f>H151/DAY(B2)</f>
        <v>1995.9259259259259</v>
      </c>
      <c r="N151" s="382"/>
    </row>
    <row r="152" spans="1:14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7.8554855817036792E-2</v>
      </c>
      <c r="H152" s="460">
        <f>G152+'26'!H152</f>
        <v>2.4334529085783894</v>
      </c>
      <c r="I152" s="480"/>
      <c r="J152" s="552">
        <f>H152/DAY(B2)</f>
        <v>9.0127885502903307E-2</v>
      </c>
      <c r="N152" s="382"/>
    </row>
    <row r="153" spans="1:14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1655.1300000000047</v>
      </c>
      <c r="H153" s="460">
        <f>G153+'26'!H153</f>
        <v>43108</v>
      </c>
      <c r="I153" s="480"/>
      <c r="J153" s="552">
        <f>H153/DAY(B2)</f>
        <v>1596.5925925925926</v>
      </c>
      <c r="N153" s="382"/>
    </row>
    <row r="154" spans="1:14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7.8371608504190754E-2</v>
      </c>
      <c r="H154" s="460">
        <f>G154+'26'!H154</f>
        <v>1.95390189547593</v>
      </c>
      <c r="I154" s="568"/>
      <c r="J154" s="569">
        <f>H154/DAY(B2)</f>
        <v>7.2366736869478893E-2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61" spans="1:14">
      <c r="A161" s="784" t="s">
        <v>261</v>
      </c>
      <c r="B161" s="785"/>
      <c r="C161" s="785"/>
      <c r="D161" s="511" t="s">
        <v>185</v>
      </c>
      <c r="E161" s="541">
        <f>'26'!F161</f>
        <v>42931</v>
      </c>
      <c r="F161" s="658">
        <v>43011</v>
      </c>
      <c r="G161" s="473">
        <f t="shared" ref="G161:G164" si="16">F161-E161</f>
        <v>80</v>
      </c>
    </row>
    <row r="162" spans="1:14">
      <c r="A162" s="784" t="s">
        <v>262</v>
      </c>
      <c r="B162" s="785"/>
      <c r="C162" s="785"/>
      <c r="D162" s="511" t="s">
        <v>185</v>
      </c>
      <c r="E162" s="541">
        <f>'26'!F162</f>
        <v>119810</v>
      </c>
      <c r="F162" s="658">
        <v>120288</v>
      </c>
      <c r="G162" s="473">
        <f t="shared" si="16"/>
        <v>478</v>
      </c>
    </row>
    <row r="163" spans="1:14">
      <c r="A163" s="784" t="s">
        <v>263</v>
      </c>
      <c r="B163" s="785"/>
      <c r="C163" s="785"/>
      <c r="D163" s="511" t="s">
        <v>185</v>
      </c>
      <c r="E163" s="541">
        <f>'26'!F163</f>
        <v>66512</v>
      </c>
      <c r="F163" s="658">
        <v>66707</v>
      </c>
      <c r="G163" s="473">
        <f t="shared" si="16"/>
        <v>195</v>
      </c>
    </row>
    <row r="164" spans="1:14">
      <c r="A164" s="784" t="s">
        <v>264</v>
      </c>
      <c r="B164" s="785"/>
      <c r="C164" s="785"/>
      <c r="D164" s="511" t="s">
        <v>185</v>
      </c>
      <c r="E164" s="541">
        <f>'26'!F164</f>
        <v>7092</v>
      </c>
      <c r="F164" s="658">
        <v>7101</v>
      </c>
      <c r="G164" s="473">
        <f t="shared" si="16"/>
        <v>9</v>
      </c>
    </row>
    <row r="165" spans="1:14">
      <c r="A165" s="786" t="s">
        <v>97</v>
      </c>
      <c r="B165" s="604"/>
      <c r="C165" s="604"/>
      <c r="D165" s="511" t="s">
        <v>185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6" t="s">
        <v>186</v>
      </c>
      <c r="B166" s="604"/>
      <c r="C166" s="604"/>
      <c r="D166" s="511" t="s">
        <v>185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49" t="s">
        <v>98</v>
      </c>
      <c r="B167" s="1549"/>
      <c r="C167" s="1549"/>
      <c r="D167" s="523" t="s">
        <v>185</v>
      </c>
      <c r="E167" s="514">
        <f t="shared" si="18"/>
        <v>179989</v>
      </c>
      <c r="F167" s="514">
        <f t="shared" si="19"/>
        <v>180340</v>
      </c>
      <c r="G167" s="473">
        <f t="shared" si="17"/>
        <v>351</v>
      </c>
    </row>
    <row r="168" spans="1:14" ht="27.75">
      <c r="A168" s="1549" t="s">
        <v>99</v>
      </c>
      <c r="B168" s="1549"/>
      <c r="C168" s="1549"/>
      <c r="D168" s="523" t="s">
        <v>185</v>
      </c>
      <c r="E168" s="514">
        <f t="shared" si="18"/>
        <v>180273</v>
      </c>
      <c r="F168" s="514">
        <f t="shared" si="19"/>
        <v>180631</v>
      </c>
      <c r="G168" s="473">
        <f t="shared" si="17"/>
        <v>358</v>
      </c>
    </row>
    <row r="169" spans="1:14" ht="27.75">
      <c r="A169" s="1549" t="s">
        <v>100</v>
      </c>
      <c r="B169" s="1549"/>
      <c r="C169" s="1549"/>
      <c r="D169" s="523" t="s">
        <v>185</v>
      </c>
      <c r="E169" s="514">
        <f t="shared" si="18"/>
        <v>78637</v>
      </c>
      <c r="F169" s="514">
        <f t="shared" si="19"/>
        <v>79039</v>
      </c>
      <c r="G169" s="473">
        <f t="shared" si="17"/>
        <v>402</v>
      </c>
    </row>
    <row r="170" spans="1:14" ht="27.75">
      <c r="A170" s="1549" t="s">
        <v>101</v>
      </c>
      <c r="B170" s="1549"/>
      <c r="C170" s="1549"/>
      <c r="D170" s="523" t="s">
        <v>185</v>
      </c>
      <c r="E170" s="514">
        <f t="shared" si="18"/>
        <v>277460</v>
      </c>
      <c r="F170" s="514">
        <f t="shared" si="19"/>
        <v>277989</v>
      </c>
      <c r="G170" s="473">
        <f t="shared" si="17"/>
        <v>529</v>
      </c>
    </row>
    <row r="171" spans="1:14" ht="27.75">
      <c r="A171" s="1549" t="s">
        <v>102</v>
      </c>
      <c r="B171" s="1549"/>
      <c r="C171" s="1549"/>
      <c r="D171" s="523" t="s">
        <v>185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49" t="s">
        <v>103</v>
      </c>
      <c r="B172" s="1549"/>
      <c r="C172" s="1549"/>
      <c r="D172" s="523" t="s">
        <v>185</v>
      </c>
      <c r="E172" s="514">
        <f t="shared" si="18"/>
        <v>94828</v>
      </c>
      <c r="F172" s="514">
        <f t="shared" si="19"/>
        <v>95173</v>
      </c>
      <c r="G172" s="473">
        <f t="shared" si="17"/>
        <v>345</v>
      </c>
    </row>
    <row r="173" spans="1:14">
      <c r="G173" s="539">
        <f>SUM(G161:G172)</f>
        <v>2747</v>
      </c>
    </row>
    <row r="174" spans="1:14" s="281" customFormat="1" ht="27">
      <c r="A174" s="1549" t="s">
        <v>344</v>
      </c>
      <c r="B174" s="1549"/>
      <c r="C174" s="1549"/>
      <c r="D174" s="1492" t="s">
        <v>185</v>
      </c>
      <c r="E174" s="1493">
        <v>28455</v>
      </c>
      <c r="F174" s="1493">
        <v>28465</v>
      </c>
      <c r="G174" s="1494">
        <f t="shared" ref="G174:G177" si="20">F174-E174</f>
        <v>10</v>
      </c>
      <c r="H174" s="1495"/>
      <c r="I174" s="454"/>
      <c r="J174" s="1496"/>
      <c r="N174" s="1498"/>
    </row>
    <row r="175" spans="1:14" s="281" customFormat="1" ht="27">
      <c r="A175" s="1590" t="s">
        <v>348</v>
      </c>
      <c r="B175" s="1553"/>
      <c r="C175" s="784"/>
      <c r="D175" s="1492" t="s">
        <v>185</v>
      </c>
      <c r="E175" s="1493">
        <v>19118</v>
      </c>
      <c r="F175" s="1493">
        <v>19121</v>
      </c>
      <c r="G175" s="1494">
        <f t="shared" si="20"/>
        <v>3</v>
      </c>
      <c r="H175" s="1495"/>
      <c r="I175" s="454"/>
      <c r="J175" s="1496"/>
      <c r="N175" s="1498"/>
    </row>
    <row r="176" spans="1:14" s="281" customFormat="1" ht="27">
      <c r="A176" s="1590" t="s">
        <v>349</v>
      </c>
      <c r="B176" s="1553"/>
      <c r="C176" s="454"/>
      <c r="D176" s="1492" t="s">
        <v>185</v>
      </c>
      <c r="E176" s="1497">
        <v>27766</v>
      </c>
      <c r="F176" s="1497">
        <v>27771</v>
      </c>
      <c r="G176" s="1494">
        <f t="shared" si="20"/>
        <v>5</v>
      </c>
      <c r="H176" s="1495"/>
      <c r="I176" s="454"/>
      <c r="J176" s="1496"/>
      <c r="N176" s="1498"/>
    </row>
    <row r="177" spans="1:15" s="281" customFormat="1" ht="25.5" customHeight="1">
      <c r="A177" s="1590" t="s">
        <v>348</v>
      </c>
      <c r="B177" s="1553"/>
      <c r="C177" s="454"/>
      <c r="D177" s="1492" t="s">
        <v>185</v>
      </c>
      <c r="E177" s="1493">
        <v>70500</v>
      </c>
      <c r="F177" s="1493">
        <v>70506</v>
      </c>
      <c r="G177" s="1494">
        <f t="shared" si="20"/>
        <v>6</v>
      </c>
      <c r="H177" s="1495"/>
      <c r="I177" s="454"/>
      <c r="J177" s="1498"/>
      <c r="N177" s="1498"/>
    </row>
    <row r="178" spans="1:15">
      <c r="A178" s="1590"/>
      <c r="B178" s="1553"/>
      <c r="C178" s="785"/>
      <c r="D178" s="523"/>
      <c r="E178" s="532"/>
      <c r="F178" s="532"/>
      <c r="G178" s="473"/>
      <c r="N178" s="718"/>
      <c r="O178" s="723"/>
    </row>
    <row r="179" spans="1:15">
      <c r="A179" s="1590"/>
      <c r="B179" s="1553"/>
      <c r="C179" s="785"/>
      <c r="D179" s="523"/>
      <c r="E179" s="532"/>
      <c r="F179" s="532"/>
      <c r="G179" s="473"/>
      <c r="N179" s="718"/>
      <c r="O179" s="723"/>
    </row>
    <row r="180" spans="1:15">
      <c r="A180" s="1590"/>
      <c r="B180" s="1553"/>
      <c r="C180" s="785"/>
      <c r="D180" s="523"/>
      <c r="E180" s="532"/>
      <c r="F180" s="532"/>
      <c r="G180" s="473"/>
      <c r="N180" s="718"/>
      <c r="O180" s="723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A143" zoomScale="55" zoomScaleNormal="80" zoomScaleSheetLayoutView="55" workbookViewId="0">
      <selection activeCell="F174" sqref="F174:F176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098" customWidth="1"/>
    <col min="15" max="17" width="22.33203125" style="769"/>
    <col min="18" max="16384" width="22.33203125" style="376"/>
  </cols>
  <sheetData>
    <row r="1" spans="1:17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7" s="281" customFormat="1" ht="27">
      <c r="A2" s="575" t="s">
        <v>367</v>
      </c>
      <c r="B2" s="1371">
        <v>44405</v>
      </c>
      <c r="C2" s="1139" t="s">
        <v>68</v>
      </c>
      <c r="D2" s="611">
        <v>0.56999999999999995</v>
      </c>
      <c r="E2" s="736"/>
      <c r="F2" s="736"/>
      <c r="G2" s="461" t="s">
        <v>116</v>
      </c>
      <c r="H2" s="461" t="s">
        <v>6</v>
      </c>
      <c r="I2" s="461" t="s">
        <v>8</v>
      </c>
      <c r="J2" s="613" t="s">
        <v>117</v>
      </c>
      <c r="N2" s="1098"/>
      <c r="O2" s="769"/>
      <c r="P2" s="769"/>
      <c r="Q2" s="769"/>
    </row>
    <row r="3" spans="1:17" s="281" customFormat="1" ht="27">
      <c r="A3" s="570"/>
      <c r="B3" s="614"/>
      <c r="C3" s="1139" t="s">
        <v>118</v>
      </c>
      <c r="D3" s="612">
        <v>27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1098"/>
      <c r="O3" s="769"/>
      <c r="P3" s="769"/>
      <c r="Q3" s="769"/>
    </row>
    <row r="4" spans="1:17" s="281" customFormat="1" ht="27">
      <c r="A4" s="576"/>
      <c r="B4" s="616"/>
      <c r="C4" s="1139" t="s">
        <v>120</v>
      </c>
      <c r="D4" s="611">
        <v>0.9</v>
      </c>
      <c r="E4" s="463"/>
      <c r="F4" s="463"/>
      <c r="G4" s="464"/>
      <c r="H4" s="464"/>
      <c r="I4" s="465"/>
      <c r="J4" s="615"/>
      <c r="K4" s="372"/>
      <c r="L4" s="292"/>
      <c r="N4" s="1098"/>
      <c r="O4" s="769"/>
      <c r="P4" s="771"/>
      <c r="Q4" s="769"/>
    </row>
    <row r="5" spans="1:17">
      <c r="A5" s="577" t="s">
        <v>121</v>
      </c>
      <c r="B5" s="459"/>
      <c r="C5" s="459"/>
      <c r="D5" s="511" t="s">
        <v>122</v>
      </c>
      <c r="E5" s="514" t="s">
        <v>123</v>
      </c>
      <c r="F5" s="514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  <c r="P5" s="771"/>
    </row>
    <row r="6" spans="1:17">
      <c r="A6" s="1570" t="s">
        <v>128</v>
      </c>
      <c r="B6" s="1571"/>
      <c r="C6" s="1572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6" t="s">
        <v>129</v>
      </c>
      <c r="B7" s="677"/>
      <c r="C7" s="677"/>
      <c r="D7" s="637" t="s">
        <v>130</v>
      </c>
      <c r="E7" s="679">
        <f>'27'!F7</f>
        <v>518329</v>
      </c>
      <c r="F7" s="455">
        <v>539290</v>
      </c>
      <c r="G7" s="678">
        <f>F7-E7</f>
        <v>20961</v>
      </c>
      <c r="H7" s="679">
        <f>G7+'27'!H7</f>
        <v>617337</v>
      </c>
      <c r="I7" s="680">
        <f>'1'!I7</f>
        <v>12000</v>
      </c>
      <c r="J7" s="681">
        <f>H7/DAY(B2)</f>
        <v>22047.75</v>
      </c>
      <c r="K7" s="549"/>
      <c r="L7" s="377"/>
      <c r="N7" s="1099"/>
    </row>
    <row r="8" spans="1:17" ht="27.75" thickBot="1">
      <c r="A8" s="682" t="s">
        <v>131</v>
      </c>
      <c r="B8" s="683"/>
      <c r="C8" s="684"/>
      <c r="D8" s="685" t="s">
        <v>25</v>
      </c>
      <c r="E8" s="679">
        <f>'27'!F8</f>
        <v>525880</v>
      </c>
      <c r="F8" s="475">
        <v>546938</v>
      </c>
      <c r="G8" s="689">
        <f>F8-E8</f>
        <v>21058</v>
      </c>
      <c r="H8" s="679">
        <f>G8+'27'!H8</f>
        <v>620216</v>
      </c>
      <c r="I8" s="686">
        <f>'1'!I8</f>
        <v>12000</v>
      </c>
      <c r="J8" s="681">
        <f>H8/DAY(B2)</f>
        <v>22150.571428571428</v>
      </c>
      <c r="K8" s="549"/>
      <c r="L8" s="425">
        <v>1375467</v>
      </c>
      <c r="M8" s="440">
        <v>1703438</v>
      </c>
      <c r="N8" s="1099"/>
    </row>
    <row r="9" spans="1:17">
      <c r="A9" s="687" t="s">
        <v>132</v>
      </c>
      <c r="B9" s="688"/>
      <c r="C9" s="688"/>
      <c r="D9" s="637" t="s">
        <v>130</v>
      </c>
      <c r="E9" s="679">
        <f>'27'!F9</f>
        <v>2610163</v>
      </c>
      <c r="F9" s="737">
        <v>2630432</v>
      </c>
      <c r="G9" s="702">
        <f t="shared" ref="G9:G12" si="0">F9-E9</f>
        <v>20269</v>
      </c>
      <c r="H9" s="679">
        <f>G9+'27'!H9</f>
        <v>599430</v>
      </c>
      <c r="I9" s="690">
        <f>I8-J8</f>
        <v>-10150.571428571428</v>
      </c>
      <c r="J9" s="681">
        <f>H9/DAY(B2)</f>
        <v>21408.214285714286</v>
      </c>
      <c r="K9" s="428"/>
      <c r="L9" s="377"/>
      <c r="N9" s="1099"/>
    </row>
    <row r="10" spans="1:17">
      <c r="A10" s="676" t="s">
        <v>133</v>
      </c>
      <c r="B10" s="677"/>
      <c r="C10" s="677"/>
      <c r="D10" s="637" t="s">
        <v>130</v>
      </c>
      <c r="E10" s="679">
        <f>'27'!F10</f>
        <v>2606.65</v>
      </c>
      <c r="F10" s="737">
        <v>2607</v>
      </c>
      <c r="G10" s="689">
        <f t="shared" si="0"/>
        <v>0.34999999999990905</v>
      </c>
      <c r="H10" s="679">
        <f>G10+'27'!H10</f>
        <v>0.74999999999954525</v>
      </c>
      <c r="I10" s="691"/>
      <c r="J10" s="681">
        <f>H10/DAY(B2)</f>
        <v>2.6785714285698044E-2</v>
      </c>
      <c r="K10" s="428"/>
      <c r="L10" s="377"/>
      <c r="M10" s="376">
        <f>170</f>
        <v>170</v>
      </c>
      <c r="N10" s="1099"/>
    </row>
    <row r="11" spans="1:17">
      <c r="A11" s="676" t="s">
        <v>134</v>
      </c>
      <c r="B11" s="677"/>
      <c r="C11" s="677"/>
      <c r="D11" s="637" t="s">
        <v>130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G11+'27'!H11</f>
        <v>0</v>
      </c>
      <c r="I11" s="691"/>
      <c r="J11" s="681">
        <f>H11/DAY(B2)</f>
        <v>0</v>
      </c>
      <c r="K11" s="428"/>
      <c r="L11" s="377"/>
      <c r="N11" s="1099"/>
    </row>
    <row r="12" spans="1:17">
      <c r="A12" s="676" t="s">
        <v>135</v>
      </c>
      <c r="B12" s="677"/>
      <c r="C12" s="677"/>
      <c r="D12" s="637" t="s">
        <v>130</v>
      </c>
      <c r="E12" s="679">
        <f>'5'!E12</f>
        <v>40010</v>
      </c>
      <c r="F12" s="737">
        <v>40010</v>
      </c>
      <c r="G12" s="689">
        <f t="shared" si="0"/>
        <v>0</v>
      </c>
      <c r="H12" s="679">
        <f>G12+'27'!H12</f>
        <v>0</v>
      </c>
      <c r="I12" s="691"/>
      <c r="J12" s="681">
        <f>H12/DAY(B2)</f>
        <v>0</v>
      </c>
      <c r="K12" s="428"/>
      <c r="L12" s="377"/>
      <c r="N12" s="1099"/>
    </row>
    <row r="13" spans="1:17">
      <c r="A13" s="692" t="s">
        <v>136</v>
      </c>
      <c r="B13" s="693"/>
      <c r="C13" s="693"/>
      <c r="D13" s="637"/>
      <c r="E13" s="679"/>
      <c r="F13" s="460"/>
      <c r="G13" s="694">
        <f>G9+G10+G11+G12</f>
        <v>20269.349999999999</v>
      </c>
      <c r="H13" s="679">
        <f>G13+'27'!H13</f>
        <v>579103.75</v>
      </c>
      <c r="I13" s="695">
        <f>G7-G13</f>
        <v>691.65000000000146</v>
      </c>
      <c r="J13" s="681">
        <f>H13/DAY(B2)</f>
        <v>20682.276785714286</v>
      </c>
      <c r="K13" s="428"/>
      <c r="L13" s="377"/>
      <c r="N13" s="1099"/>
    </row>
    <row r="14" spans="1:17">
      <c r="A14" s="1573" t="s">
        <v>137</v>
      </c>
      <c r="B14" s="1574"/>
      <c r="C14" s="1575"/>
      <c r="D14" s="472"/>
      <c r="E14" s="738"/>
      <c r="F14" s="738"/>
      <c r="G14" s="483"/>
      <c r="H14" s="472"/>
      <c r="I14" s="472"/>
      <c r="J14" s="551"/>
      <c r="K14" s="429"/>
      <c r="L14" s="377"/>
      <c r="N14" s="1099"/>
    </row>
    <row r="15" spans="1:17">
      <c r="A15" s="665" t="s">
        <v>138</v>
      </c>
      <c r="B15" s="666"/>
      <c r="C15" s="666"/>
      <c r="D15" s="667" t="s">
        <v>139</v>
      </c>
      <c r="E15" s="1499">
        <f>'27'!F15</f>
        <v>1726026</v>
      </c>
      <c r="F15" s="700">
        <v>1726717</v>
      </c>
      <c r="G15" s="664">
        <f>(F15-E15)</f>
        <v>691</v>
      </c>
      <c r="H15" s="1084">
        <f>G15+'27'!H15</f>
        <v>23034</v>
      </c>
      <c r="I15" s="1085">
        <v>800</v>
      </c>
      <c r="J15" s="1086">
        <f>H15/DAY(B2)</f>
        <v>822.64285714285711</v>
      </c>
      <c r="K15" s="428"/>
      <c r="L15" s="377"/>
      <c r="N15" s="1099"/>
    </row>
    <row r="16" spans="1:17">
      <c r="A16" s="673"/>
      <c r="B16" s="674"/>
      <c r="C16" s="674"/>
      <c r="D16" s="667"/>
      <c r="E16" s="756"/>
      <c r="F16" s="739"/>
      <c r="G16" s="669"/>
      <c r="H16" s="1084"/>
      <c r="I16" s="1087">
        <f>I15-J15</f>
        <v>-22.64285714285711</v>
      </c>
      <c r="J16" s="1086"/>
      <c r="K16" s="428"/>
      <c r="L16" s="377"/>
      <c r="N16" s="1099"/>
    </row>
    <row r="17" spans="1:17">
      <c r="A17" s="1573" t="s">
        <v>140</v>
      </c>
      <c r="B17" s="1574"/>
      <c r="C17" s="1575"/>
      <c r="D17" s="472"/>
      <c r="E17" s="738"/>
      <c r="F17" s="738"/>
      <c r="G17" s="488"/>
      <c r="H17" s="472"/>
      <c r="I17" s="472"/>
      <c r="J17" s="551"/>
      <c r="K17" s="428"/>
      <c r="L17" s="377"/>
      <c r="N17" s="1099"/>
    </row>
    <row r="18" spans="1:17" ht="27.75">
      <c r="A18" s="1610" t="s">
        <v>141</v>
      </c>
      <c r="B18" s="1611"/>
      <c r="C18" s="1612"/>
      <c r="D18" s="637" t="s">
        <v>142</v>
      </c>
      <c r="E18" s="757">
        <f>'27'!F18</f>
        <v>11</v>
      </c>
      <c r="F18" s="737">
        <v>6</v>
      </c>
      <c r="G18" s="694">
        <f>F18*10</f>
        <v>60</v>
      </c>
      <c r="H18" s="679">
        <f>G18+'27'!H18</f>
        <v>3600</v>
      </c>
      <c r="I18" s="680">
        <f>'1'!I18</f>
        <v>65</v>
      </c>
      <c r="J18" s="681">
        <f>H18/DAY(B2)</f>
        <v>128.57142857142858</v>
      </c>
      <c r="K18" s="428"/>
      <c r="L18" s="377"/>
      <c r="N18" s="1099"/>
    </row>
    <row r="19" spans="1:17" ht="27.75">
      <c r="A19" s="1610" t="s">
        <v>70</v>
      </c>
      <c r="B19" s="1611"/>
      <c r="C19" s="1612"/>
      <c r="D19" s="637" t="s">
        <v>142</v>
      </c>
      <c r="E19" s="757">
        <f>'27'!F19</f>
        <v>143135</v>
      </c>
      <c r="F19" s="737">
        <v>143201</v>
      </c>
      <c r="G19" s="689">
        <f t="shared" ref="G19" si="1">F19-E19</f>
        <v>66</v>
      </c>
      <c r="H19" s="679">
        <f>G19+'27'!H19</f>
        <v>1706</v>
      </c>
      <c r="I19" s="696"/>
      <c r="J19" s="681">
        <f>H19/DAY(B2)</f>
        <v>60.928571428571431</v>
      </c>
      <c r="K19" s="428"/>
      <c r="L19" s="377"/>
      <c r="N19" s="1099"/>
    </row>
    <row r="20" spans="1:17">
      <c r="A20" s="692" t="s">
        <v>143</v>
      </c>
      <c r="B20" s="693"/>
      <c r="C20" s="693"/>
      <c r="D20" s="637"/>
      <c r="E20" s="679"/>
      <c r="F20" s="460"/>
      <c r="G20" s="697">
        <f>G18+G19</f>
        <v>126</v>
      </c>
      <c r="H20" s="679">
        <f>G20+'27'!H20</f>
        <v>5306</v>
      </c>
      <c r="I20" s="698">
        <f>I18-J20</f>
        <v>-124.5</v>
      </c>
      <c r="J20" s="681">
        <f>H20/DAY(B2)</f>
        <v>189.5</v>
      </c>
      <c r="K20" s="428"/>
      <c r="L20" s="377"/>
      <c r="N20" s="1099"/>
    </row>
    <row r="21" spans="1:17">
      <c r="A21" s="1573" t="s">
        <v>144</v>
      </c>
      <c r="B21" s="1574"/>
      <c r="C21" s="1575"/>
      <c r="D21" s="472"/>
      <c r="E21" s="738"/>
      <c r="F21" s="738"/>
      <c r="G21" s="483"/>
      <c r="H21" s="472"/>
      <c r="I21" s="472"/>
      <c r="J21" s="551"/>
      <c r="K21" s="428"/>
      <c r="L21" s="377"/>
      <c r="N21" s="1099"/>
    </row>
    <row r="22" spans="1:17">
      <c r="A22" s="1137" t="s">
        <v>145</v>
      </c>
      <c r="B22" s="589"/>
      <c r="C22" s="589"/>
      <c r="D22" s="523" t="s">
        <v>146</v>
      </c>
      <c r="E22" s="758">
        <f>'27'!F22</f>
        <v>2970</v>
      </c>
      <c r="F22" s="737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099"/>
    </row>
    <row r="23" spans="1:17">
      <c r="A23" s="1137" t="s">
        <v>147</v>
      </c>
      <c r="B23" s="589"/>
      <c r="C23" s="589"/>
      <c r="D23" s="523" t="s">
        <v>146</v>
      </c>
      <c r="E23" s="758">
        <f>'27'!F23</f>
        <v>2000</v>
      </c>
      <c r="F23" s="737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099"/>
    </row>
    <row r="24" spans="1:17">
      <c r="A24" s="590" t="s">
        <v>148</v>
      </c>
      <c r="B24" s="591"/>
      <c r="C24" s="591"/>
      <c r="D24" s="511" t="s">
        <v>146</v>
      </c>
      <c r="E24" s="759">
        <f>'27'!F24</f>
        <v>4970</v>
      </c>
      <c r="F24" s="759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099"/>
    </row>
    <row r="25" spans="1:17" s="442" customFormat="1" ht="27">
      <c r="A25" s="1578" t="s">
        <v>149</v>
      </c>
      <c r="B25" s="1579"/>
      <c r="C25" s="1580"/>
      <c r="D25" s="471"/>
      <c r="E25" s="495"/>
      <c r="F25" s="495"/>
      <c r="G25" s="494"/>
      <c r="H25" s="495"/>
      <c r="I25" s="496"/>
      <c r="J25" s="554"/>
      <c r="K25" s="373"/>
      <c r="L25" s="443"/>
      <c r="N25" s="1099"/>
      <c r="O25" s="769"/>
      <c r="P25" s="769"/>
      <c r="Q25" s="769"/>
    </row>
    <row r="26" spans="1:17" s="442" customFormat="1" ht="27">
      <c r="A26" s="592" t="s">
        <v>150</v>
      </c>
      <c r="B26" s="593"/>
      <c r="C26" s="594"/>
      <c r="D26" s="618" t="s">
        <v>151</v>
      </c>
      <c r="E26" s="760"/>
      <c r="F26" s="460"/>
      <c r="G26" s="498"/>
      <c r="H26" s="460"/>
      <c r="I26" s="499"/>
      <c r="J26" s="552"/>
      <c r="K26" s="374"/>
      <c r="L26" s="443"/>
      <c r="N26" s="1099"/>
      <c r="O26" s="769"/>
      <c r="P26" s="769"/>
      <c r="Q26" s="769"/>
    </row>
    <row r="27" spans="1:17" s="442" customFormat="1" ht="27">
      <c r="A27" s="592" t="s">
        <v>6</v>
      </c>
      <c r="B27" s="593"/>
      <c r="C27" s="594"/>
      <c r="D27" s="619" t="s">
        <v>25</v>
      </c>
      <c r="E27" s="699">
        <f>G8</f>
        <v>21058</v>
      </c>
      <c r="F27" s="501">
        <v>9</v>
      </c>
      <c r="G27" s="502">
        <f>E27*F27</f>
        <v>189522</v>
      </c>
      <c r="H27" s="460">
        <f>G27+'27'!H27</f>
        <v>5581945.8900000006</v>
      </c>
      <c r="I27" s="503"/>
      <c r="J27" s="552">
        <f>H27/DAY(B2)</f>
        <v>199355.21035714287</v>
      </c>
      <c r="K27" s="373"/>
      <c r="L27" s="443"/>
      <c r="N27" s="1099"/>
      <c r="O27" s="769"/>
      <c r="P27" s="769"/>
      <c r="Q27" s="769"/>
    </row>
    <row r="28" spans="1:17" s="442" customFormat="1" ht="27">
      <c r="A28" s="592" t="s">
        <v>152</v>
      </c>
      <c r="B28" s="593"/>
      <c r="C28" s="594"/>
      <c r="D28" s="619" t="s">
        <v>153</v>
      </c>
      <c r="E28" s="699">
        <f>G15</f>
        <v>691</v>
      </c>
      <c r="F28" s="501">
        <v>52</v>
      </c>
      <c r="G28" s="502">
        <f>E28*F28</f>
        <v>35932</v>
      </c>
      <c r="H28" s="460">
        <f>G28+'27'!H28</f>
        <v>1197768</v>
      </c>
      <c r="I28" s="505"/>
      <c r="J28" s="552">
        <f>H28/DAY(B2)</f>
        <v>42777.428571428572</v>
      </c>
      <c r="K28" s="373"/>
      <c r="L28" s="443"/>
      <c r="N28" s="1099"/>
      <c r="O28" s="769"/>
      <c r="P28" s="769"/>
      <c r="Q28" s="769"/>
    </row>
    <row r="29" spans="1:17" s="442" customFormat="1" ht="27">
      <c r="A29" s="592" t="s">
        <v>154</v>
      </c>
      <c r="B29" s="593"/>
      <c r="C29" s="594"/>
      <c r="D29" s="619" t="s">
        <v>155</v>
      </c>
      <c r="E29" s="699">
        <f>G24</f>
        <v>0</v>
      </c>
      <c r="F29" s="699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099"/>
      <c r="O29" s="769"/>
      <c r="P29" s="769"/>
      <c r="Q29" s="769"/>
    </row>
    <row r="30" spans="1:17" s="442" customFormat="1" ht="27">
      <c r="A30" s="592" t="s">
        <v>156</v>
      </c>
      <c r="B30" s="593"/>
      <c r="C30" s="594"/>
      <c r="D30" s="619" t="s">
        <v>157</v>
      </c>
      <c r="E30" s="699">
        <f>G19</f>
        <v>66</v>
      </c>
      <c r="F30" s="699">
        <v>146</v>
      </c>
      <c r="G30" s="502">
        <f>E30*F30</f>
        <v>9636</v>
      </c>
      <c r="H30" s="460">
        <f>G30+'27'!H30</f>
        <v>248492</v>
      </c>
      <c r="I30" s="505"/>
      <c r="J30" s="552">
        <f>H30/DAY(B2)</f>
        <v>8874.7142857142862</v>
      </c>
      <c r="K30" s="373"/>
      <c r="L30" s="443"/>
      <c r="N30" s="1099"/>
      <c r="O30" s="769"/>
      <c r="P30" s="769"/>
      <c r="Q30" s="769"/>
    </row>
    <row r="31" spans="1:17" s="442" customFormat="1" ht="27">
      <c r="A31" s="592" t="s">
        <v>158</v>
      </c>
      <c r="B31" s="593"/>
      <c r="C31" s="594"/>
      <c r="D31" s="619" t="s">
        <v>142</v>
      </c>
      <c r="E31" s="699">
        <f>G18</f>
        <v>60</v>
      </c>
      <c r="F31" s="699">
        <v>80</v>
      </c>
      <c r="G31" s="502">
        <f>E31*F31</f>
        <v>4800</v>
      </c>
      <c r="H31" s="460">
        <f>G31+'27'!H31</f>
        <v>282400</v>
      </c>
      <c r="I31" s="505"/>
      <c r="J31" s="552">
        <f>H31/DAY(B2)</f>
        <v>10085.714285714286</v>
      </c>
      <c r="K31" s="373"/>
      <c r="L31" s="443"/>
      <c r="N31" s="1099"/>
      <c r="O31" s="769"/>
      <c r="P31" s="769"/>
      <c r="Q31" s="769"/>
    </row>
    <row r="32" spans="1:17" s="442" customFormat="1" ht="27">
      <c r="A32" s="595" t="s">
        <v>159</v>
      </c>
      <c r="B32" s="596"/>
      <c r="C32" s="597"/>
      <c r="D32" s="507"/>
      <c r="E32" s="761"/>
      <c r="F32" s="486"/>
      <c r="G32" s="508">
        <f>G27+G28+G29+G30+G31</f>
        <v>239890</v>
      </c>
      <c r="H32" s="460">
        <f>G32+'27'!H32</f>
        <v>7310605.8900000006</v>
      </c>
      <c r="I32" s="509"/>
      <c r="J32" s="552">
        <f>H32/DAY(B2)</f>
        <v>261093.06750000003</v>
      </c>
      <c r="K32" s="373"/>
      <c r="L32" s="443"/>
      <c r="N32" s="1099"/>
      <c r="O32" s="769"/>
      <c r="P32" s="769"/>
      <c r="Q32" s="769"/>
    </row>
    <row r="33" spans="1:14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1099"/>
    </row>
    <row r="34" spans="1:14">
      <c r="A34" s="598" t="s">
        <v>161</v>
      </c>
      <c r="B34" s="1142"/>
      <c r="C34" s="1142"/>
      <c r="D34" s="472"/>
      <c r="E34" s="495"/>
      <c r="F34" s="495"/>
      <c r="G34" s="472"/>
      <c r="H34" s="472"/>
      <c r="I34" s="472"/>
      <c r="J34" s="551"/>
      <c r="K34" s="428"/>
      <c r="L34" s="377"/>
      <c r="N34" s="1099"/>
    </row>
    <row r="35" spans="1:14">
      <c r="A35" s="578" t="s">
        <v>162</v>
      </c>
      <c r="B35" s="579"/>
      <c r="C35" s="579"/>
      <c r="D35" s="523" t="s">
        <v>130</v>
      </c>
      <c r="E35" s="741">
        <f>'27'!F35</f>
        <v>1058597</v>
      </c>
      <c r="F35" s="741">
        <v>1058597</v>
      </c>
      <c r="G35" s="473">
        <f t="shared" ref="G35:G46" si="3">F35-E35</f>
        <v>0</v>
      </c>
      <c r="H35" s="460">
        <f>G35+'27'!H35</f>
        <v>29883</v>
      </c>
      <c r="I35" s="455"/>
      <c r="J35" s="552">
        <f>H35/DAY(B2)</f>
        <v>1067.25</v>
      </c>
      <c r="K35" s="428"/>
      <c r="L35" s="377"/>
      <c r="N35" s="1099"/>
    </row>
    <row r="36" spans="1:14">
      <c r="A36" s="578" t="s">
        <v>163</v>
      </c>
      <c r="B36" s="579"/>
      <c r="C36" s="579"/>
      <c r="D36" s="523" t="s">
        <v>130</v>
      </c>
      <c r="E36" s="741">
        <f>'27'!F36</f>
        <v>43195</v>
      </c>
      <c r="F36" s="741">
        <v>43869</v>
      </c>
      <c r="G36" s="473">
        <f t="shared" si="3"/>
        <v>674</v>
      </c>
      <c r="H36" s="460">
        <f>G36+'27'!H36</f>
        <v>23408</v>
      </c>
      <c r="I36" s="455"/>
      <c r="J36" s="552">
        <f>H36/DAY(B2)</f>
        <v>836</v>
      </c>
      <c r="K36" s="428"/>
      <c r="L36" s="377"/>
      <c r="N36" s="1099"/>
    </row>
    <row r="37" spans="1:14">
      <c r="A37" s="578" t="s">
        <v>164</v>
      </c>
      <c r="B37" s="579"/>
      <c r="C37" s="579"/>
      <c r="D37" s="523" t="s">
        <v>130</v>
      </c>
      <c r="E37" s="741">
        <f>'27'!F37</f>
        <v>219678</v>
      </c>
      <c r="F37" s="741">
        <v>221278</v>
      </c>
      <c r="G37" s="473">
        <f t="shared" si="3"/>
        <v>1600</v>
      </c>
      <c r="H37" s="460">
        <f>G37+'27'!H37</f>
        <v>44708</v>
      </c>
      <c r="I37" s="455"/>
      <c r="J37" s="552">
        <f>H37/DAY(B2)</f>
        <v>1596.7142857142858</v>
      </c>
      <c r="K37" s="428"/>
      <c r="L37" s="377"/>
      <c r="N37" s="1099"/>
    </row>
    <row r="38" spans="1:14">
      <c r="A38" s="578" t="s">
        <v>165</v>
      </c>
      <c r="B38" s="579"/>
      <c r="C38" s="579"/>
      <c r="D38" s="523" t="s">
        <v>130</v>
      </c>
      <c r="E38" s="741">
        <f>'27'!F38</f>
        <v>241922</v>
      </c>
      <c r="F38" s="470">
        <v>243471</v>
      </c>
      <c r="G38" s="473">
        <f t="shared" si="3"/>
        <v>1549</v>
      </c>
      <c r="H38" s="460">
        <f>G38+'27'!H38</f>
        <v>45012</v>
      </c>
      <c r="I38" s="455"/>
      <c r="J38" s="552">
        <f>H38/DAY(B2)</f>
        <v>1607.5714285714287</v>
      </c>
      <c r="K38" s="428"/>
      <c r="L38" s="377"/>
      <c r="N38" s="1099"/>
    </row>
    <row r="39" spans="1:14">
      <c r="A39" s="578" t="s">
        <v>166</v>
      </c>
      <c r="B39" s="579"/>
      <c r="C39" s="579"/>
      <c r="D39" s="523" t="s">
        <v>130</v>
      </c>
      <c r="E39" s="741">
        <f>'27'!F39</f>
        <v>505261</v>
      </c>
      <c r="F39" s="741">
        <v>509046</v>
      </c>
      <c r="G39" s="473">
        <f>F39-E39</f>
        <v>3785</v>
      </c>
      <c r="H39" s="460">
        <f>G39+'27'!H39</f>
        <v>104182</v>
      </c>
      <c r="I39" s="455"/>
      <c r="J39" s="552">
        <f>H39/DAY(B2)</f>
        <v>3720.7857142857142</v>
      </c>
      <c r="K39" s="428"/>
      <c r="L39" s="377"/>
      <c r="N39" s="1099"/>
    </row>
    <row r="40" spans="1:14">
      <c r="A40" s="599" t="s">
        <v>167</v>
      </c>
      <c r="B40" s="600"/>
      <c r="C40" s="600"/>
      <c r="D40" s="523" t="s">
        <v>130</v>
      </c>
      <c r="E40" s="741">
        <f>'27'!F40</f>
        <v>18260</v>
      </c>
      <c r="F40" s="741">
        <v>18733</v>
      </c>
      <c r="G40" s="473">
        <f t="shared" si="3"/>
        <v>473</v>
      </c>
      <c r="H40" s="460">
        <f>G40+'27'!H40</f>
        <v>11620</v>
      </c>
      <c r="I40" s="455"/>
      <c r="J40" s="552">
        <f>H40/DAY(B2)</f>
        <v>415</v>
      </c>
      <c r="K40" s="429"/>
      <c r="L40" s="377"/>
      <c r="N40" s="1099"/>
    </row>
    <row r="41" spans="1:14">
      <c r="A41" s="578" t="s">
        <v>168</v>
      </c>
      <c r="B41" s="579"/>
      <c r="C41" s="579"/>
      <c r="D41" s="523" t="s">
        <v>130</v>
      </c>
      <c r="E41" s="741">
        <f>'27'!F41</f>
        <v>366840</v>
      </c>
      <c r="F41" s="741">
        <v>366840</v>
      </c>
      <c r="G41" s="473">
        <f t="shared" si="3"/>
        <v>0</v>
      </c>
      <c r="H41" s="460">
        <f>G41+'27'!H41</f>
        <v>37198</v>
      </c>
      <c r="I41" s="455"/>
      <c r="J41" s="552">
        <f>H41/DAY(B2)</f>
        <v>1328.5</v>
      </c>
      <c r="K41" s="428"/>
      <c r="L41" s="377"/>
      <c r="N41" s="1099"/>
    </row>
    <row r="42" spans="1:14">
      <c r="A42" s="578" t="s">
        <v>169</v>
      </c>
      <c r="B42" s="579"/>
      <c r="C42" s="579"/>
      <c r="D42" s="523" t="s">
        <v>130</v>
      </c>
      <c r="E42" s="741">
        <f>'27'!F42</f>
        <v>102539</v>
      </c>
      <c r="F42" s="741">
        <v>107503</v>
      </c>
      <c r="G42" s="473">
        <f t="shared" si="3"/>
        <v>4964</v>
      </c>
      <c r="H42" s="460">
        <f>G42+'27'!H42</f>
        <v>48304.11</v>
      </c>
      <c r="I42" s="455"/>
      <c r="J42" s="552">
        <f>H42/DAY(B2)</f>
        <v>1725.1467857142857</v>
      </c>
      <c r="K42" s="428"/>
      <c r="L42" s="377"/>
      <c r="N42" s="1099"/>
    </row>
    <row r="43" spans="1:14">
      <c r="A43" s="578" t="s">
        <v>170</v>
      </c>
      <c r="B43" s="579"/>
      <c r="C43" s="579"/>
      <c r="D43" s="523" t="s">
        <v>130</v>
      </c>
      <c r="E43" s="741">
        <f>'27'!F43</f>
        <v>1193513</v>
      </c>
      <c r="F43" s="741">
        <v>1196199</v>
      </c>
      <c r="G43" s="473">
        <f t="shared" si="3"/>
        <v>2686</v>
      </c>
      <c r="H43" s="460">
        <f>G43+'27'!H43</f>
        <v>75747</v>
      </c>
      <c r="I43" s="455"/>
      <c r="J43" s="552">
        <f>H43/DAY(B2)</f>
        <v>2705.25</v>
      </c>
      <c r="K43" s="428"/>
      <c r="L43" s="377"/>
      <c r="N43" s="1099"/>
    </row>
    <row r="44" spans="1:14">
      <c r="A44" s="578" t="s">
        <v>171</v>
      </c>
      <c r="B44" s="579"/>
      <c r="C44" s="579"/>
      <c r="D44" s="523" t="s">
        <v>130</v>
      </c>
      <c r="E44" s="741">
        <f>'27'!F44</f>
        <v>0</v>
      </c>
      <c r="F44" s="741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099"/>
    </row>
    <row r="45" spans="1:14">
      <c r="A45" s="578" t="s">
        <v>172</v>
      </c>
      <c r="B45" s="579"/>
      <c r="C45" s="579"/>
      <c r="D45" s="523" t="s">
        <v>130</v>
      </c>
      <c r="E45" s="741">
        <f>'27'!F45</f>
        <v>614</v>
      </c>
      <c r="F45" s="741">
        <v>614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099"/>
    </row>
    <row r="46" spans="1:14">
      <c r="A46" s="578" t="s">
        <v>173</v>
      </c>
      <c r="B46" s="579"/>
      <c r="C46" s="579"/>
      <c r="D46" s="523" t="s">
        <v>130</v>
      </c>
      <c r="E46" s="741">
        <f>'27'!F46</f>
        <v>187</v>
      </c>
      <c r="F46" s="741">
        <v>187</v>
      </c>
      <c r="G46" s="473">
        <f t="shared" si="3"/>
        <v>0</v>
      </c>
      <c r="H46" s="460">
        <f>G46+'27'!H46</f>
        <v>-0.49000000000000909</v>
      </c>
      <c r="I46" s="455"/>
      <c r="J46" s="552">
        <f>H46/DAY(B2)</f>
        <v>-1.7500000000000324E-2</v>
      </c>
      <c r="K46" s="428"/>
      <c r="L46" s="377"/>
      <c r="N46" s="1099"/>
    </row>
    <row r="47" spans="1:14">
      <c r="A47" s="585" t="s">
        <v>174</v>
      </c>
      <c r="B47" s="586"/>
      <c r="C47" s="586"/>
      <c r="D47" s="470"/>
      <c r="E47" s="470"/>
      <c r="F47" s="470"/>
      <c r="G47" s="481">
        <f>G35+G36+G37+G38+G39+G40+G41+G42+G43+G44+G45+G46</f>
        <v>15731</v>
      </c>
      <c r="H47" s="460">
        <f>G47+'27'!H47</f>
        <v>420863.11</v>
      </c>
      <c r="I47" s="455"/>
      <c r="J47" s="552">
        <f>H47/DAY(B2)</f>
        <v>15030.825357142856</v>
      </c>
      <c r="K47" s="428"/>
      <c r="L47" s="377"/>
      <c r="N47" s="1099"/>
    </row>
    <row r="48" spans="1:14">
      <c r="A48" s="598" t="s">
        <v>175</v>
      </c>
      <c r="B48" s="1142"/>
      <c r="C48" s="1142"/>
      <c r="D48" s="472"/>
      <c r="E48" s="495"/>
      <c r="F48" s="495"/>
      <c r="G48" s="472"/>
      <c r="H48" s="472"/>
      <c r="I48" s="472"/>
      <c r="J48" s="551"/>
      <c r="K48" s="428"/>
      <c r="L48" s="377"/>
      <c r="N48" s="1099"/>
    </row>
    <row r="49" spans="1:14">
      <c r="A49" s="578" t="s">
        <v>162</v>
      </c>
      <c r="B49" s="601"/>
      <c r="C49" s="601"/>
      <c r="D49" s="523" t="s">
        <v>130</v>
      </c>
      <c r="E49" s="741">
        <f>'27'!F49</f>
        <v>312092</v>
      </c>
      <c r="F49" s="741">
        <v>314988</v>
      </c>
      <c r="G49" s="473">
        <f t="shared" ref="G49:G58" si="4">F49-E49</f>
        <v>2896</v>
      </c>
      <c r="H49" s="460">
        <f>G49+'27'!H49</f>
        <v>54224</v>
      </c>
      <c r="I49" s="455"/>
      <c r="J49" s="552">
        <f>H49/DAY(B2)</f>
        <v>1936.5714285714287</v>
      </c>
      <c r="K49" s="428"/>
      <c r="L49" s="377"/>
      <c r="N49" s="1099"/>
    </row>
    <row r="50" spans="1:14">
      <c r="A50" s="578" t="s">
        <v>176</v>
      </c>
      <c r="B50" s="601"/>
      <c r="C50" s="601"/>
      <c r="D50" s="523" t="s">
        <v>130</v>
      </c>
      <c r="E50" s="741">
        <f>'27'!F50</f>
        <v>565819</v>
      </c>
      <c r="F50" s="741">
        <v>566739</v>
      </c>
      <c r="G50" s="473">
        <f t="shared" si="4"/>
        <v>920</v>
      </c>
      <c r="H50" s="460">
        <f>G50+'27'!H50</f>
        <v>30983</v>
      </c>
      <c r="I50" s="455"/>
      <c r="J50" s="552">
        <f>H50/DAY(B2)</f>
        <v>1106.5357142857142</v>
      </c>
      <c r="K50" s="428"/>
      <c r="L50" s="377"/>
      <c r="N50" s="1099"/>
    </row>
    <row r="51" spans="1:14">
      <c r="A51" s="578" t="s">
        <v>164</v>
      </c>
      <c r="B51" s="601"/>
      <c r="C51" s="601"/>
      <c r="D51" s="523" t="s">
        <v>130</v>
      </c>
      <c r="E51" s="741">
        <f>'27'!F51</f>
        <v>144640</v>
      </c>
      <c r="F51" s="741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099"/>
    </row>
    <row r="52" spans="1:14">
      <c r="A52" s="578" t="s">
        <v>177</v>
      </c>
      <c r="B52" s="601"/>
      <c r="C52" s="601"/>
      <c r="D52" s="523" t="s">
        <v>130</v>
      </c>
      <c r="E52" s="741">
        <f>'27'!F52</f>
        <v>539606</v>
      </c>
      <c r="F52" s="741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099"/>
    </row>
    <row r="53" spans="1:14">
      <c r="A53" s="578" t="s">
        <v>166</v>
      </c>
      <c r="B53" s="601"/>
      <c r="C53" s="601"/>
      <c r="D53" s="523" t="s">
        <v>130</v>
      </c>
      <c r="E53" s="741">
        <f>'27'!F53</f>
        <v>434232</v>
      </c>
      <c r="F53" s="741">
        <v>434232</v>
      </c>
      <c r="G53" s="473">
        <f t="shared" si="4"/>
        <v>0</v>
      </c>
      <c r="H53" s="460">
        <f>G53+'27'!H53</f>
        <v>-0.33000000001629815</v>
      </c>
      <c r="I53" s="455"/>
      <c r="J53" s="552">
        <f>H53/DAY(B2)</f>
        <v>-1.1785714286296363E-2</v>
      </c>
      <c r="K53" s="428"/>
      <c r="L53" s="377"/>
      <c r="N53" s="1099"/>
    </row>
    <row r="54" spans="1:14">
      <c r="A54" s="578" t="s">
        <v>178</v>
      </c>
      <c r="B54" s="601"/>
      <c r="C54" s="601"/>
      <c r="D54" s="523" t="s">
        <v>130</v>
      </c>
      <c r="E54" s="741">
        <f>'27'!F54</f>
        <v>14967</v>
      </c>
      <c r="F54" s="741">
        <v>14967</v>
      </c>
      <c r="G54" s="473">
        <f t="shared" si="4"/>
        <v>0</v>
      </c>
      <c r="H54" s="460">
        <f>G54+'27'!H54</f>
        <v>0</v>
      </c>
      <c r="I54" s="455"/>
      <c r="J54" s="552">
        <f>H54/DAY(B2)</f>
        <v>0</v>
      </c>
      <c r="K54" s="428"/>
      <c r="L54" s="377"/>
      <c r="N54" s="1099"/>
    </row>
    <row r="55" spans="1:14">
      <c r="A55" s="578" t="s">
        <v>179</v>
      </c>
      <c r="B55" s="601"/>
      <c r="C55" s="601"/>
      <c r="D55" s="523" t="s">
        <v>130</v>
      </c>
      <c r="E55" s="741">
        <f>'27'!F55</f>
        <v>221246</v>
      </c>
      <c r="F55" s="742">
        <v>222380</v>
      </c>
      <c r="G55" s="652">
        <f t="shared" si="4"/>
        <v>1134</v>
      </c>
      <c r="H55" s="705">
        <f>G55+'27'!H55</f>
        <v>99170</v>
      </c>
      <c r="I55" s="706"/>
      <c r="J55" s="707">
        <f>H55/DAY(B2)</f>
        <v>3541.7857142857142</v>
      </c>
      <c r="K55" s="428"/>
      <c r="L55" s="377"/>
      <c r="N55" s="1099"/>
    </row>
    <row r="56" spans="1:14">
      <c r="A56" s="578" t="s">
        <v>180</v>
      </c>
      <c r="B56" s="601"/>
      <c r="C56" s="601"/>
      <c r="D56" s="523" t="s">
        <v>181</v>
      </c>
      <c r="E56" s="741">
        <f>'27'!F56</f>
        <v>649316</v>
      </c>
      <c r="F56" s="742">
        <v>649327</v>
      </c>
      <c r="G56" s="473">
        <f t="shared" si="4"/>
        <v>11</v>
      </c>
      <c r="H56" s="460">
        <f>G56+'27'!H56</f>
        <v>285</v>
      </c>
      <c r="I56" s="455"/>
      <c r="J56" s="552">
        <f>H56/DAY(B2)</f>
        <v>10.178571428571429</v>
      </c>
      <c r="K56" s="427"/>
      <c r="L56" s="377"/>
      <c r="N56" s="1099"/>
    </row>
    <row r="57" spans="1:14">
      <c r="A57" s="578" t="s">
        <v>170</v>
      </c>
      <c r="B57" s="601"/>
      <c r="C57" s="601"/>
      <c r="D57" s="523" t="s">
        <v>130</v>
      </c>
      <c r="E57" s="741">
        <f>'27'!F57</f>
        <v>7711</v>
      </c>
      <c r="F57" s="741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099"/>
    </row>
    <row r="58" spans="1:14">
      <c r="A58" s="578" t="s">
        <v>182</v>
      </c>
      <c r="B58" s="601"/>
      <c r="C58" s="601"/>
      <c r="D58" s="523" t="s">
        <v>130</v>
      </c>
      <c r="E58" s="741">
        <f>'27'!F58</f>
        <v>58892</v>
      </c>
      <c r="F58" s="1229">
        <v>59054</v>
      </c>
      <c r="G58" s="473">
        <f t="shared" si="4"/>
        <v>162</v>
      </c>
      <c r="H58" s="460">
        <f>G58+'27'!H58</f>
        <v>4874</v>
      </c>
      <c r="I58" s="455"/>
      <c r="J58" s="552">
        <f>H58/DAY(B2)</f>
        <v>174.07142857142858</v>
      </c>
      <c r="K58" s="428"/>
      <c r="L58" s="377"/>
      <c r="N58" s="1099"/>
    </row>
    <row r="59" spans="1:14">
      <c r="A59" s="585" t="s">
        <v>174</v>
      </c>
      <c r="B59" s="586"/>
      <c r="C59" s="586"/>
      <c r="D59" s="511"/>
      <c r="E59" s="470"/>
      <c r="F59" s="470"/>
      <c r="G59" s="481">
        <f>G49+G50+G51+G52+G53+G54+G55+G56+G57+G58</f>
        <v>5123.3999999999487</v>
      </c>
      <c r="H59" s="460">
        <f>G59+'27'!H59</f>
        <v>189536.06999999992</v>
      </c>
      <c r="I59" s="455">
        <f>G7-G60</f>
        <v>106.60000000004948</v>
      </c>
      <c r="J59" s="552">
        <f>H59/DAY(B2)</f>
        <v>6769.1453571428547</v>
      </c>
      <c r="K59" s="428"/>
      <c r="L59" s="377"/>
      <c r="N59" s="1099"/>
    </row>
    <row r="60" spans="1:14">
      <c r="A60" s="578"/>
      <c r="B60" s="579"/>
      <c r="C60" s="579"/>
      <c r="D60" s="511" t="s">
        <v>183</v>
      </c>
      <c r="E60" s="470"/>
      <c r="F60" s="470"/>
      <c r="G60" s="481">
        <f>G47+G59</f>
        <v>20854.399999999951</v>
      </c>
      <c r="H60" s="460">
        <f>G60+'27'!H60</f>
        <v>617302.51</v>
      </c>
      <c r="I60" s="455">
        <f>G13-G60</f>
        <v>-585.04999999995198</v>
      </c>
      <c r="J60" s="552">
        <f>H60/DAY(B2)</f>
        <v>22046.518214285716</v>
      </c>
      <c r="K60" s="428"/>
      <c r="L60" s="377"/>
      <c r="N60" s="1099"/>
    </row>
    <row r="61" spans="1:14">
      <c r="A61" s="602" t="s">
        <v>184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  <c r="N61" s="1099"/>
    </row>
    <row r="62" spans="1:14">
      <c r="A62" s="603" t="s">
        <v>97</v>
      </c>
      <c r="B62" s="604"/>
      <c r="C62" s="604"/>
      <c r="D62" s="511" t="s">
        <v>185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099"/>
    </row>
    <row r="63" spans="1:14">
      <c r="A63" s="603" t="s">
        <v>186</v>
      </c>
      <c r="B63" s="604"/>
      <c r="C63" s="604"/>
      <c r="D63" s="511" t="s">
        <v>185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099"/>
    </row>
    <row r="64" spans="1:14" ht="27.75">
      <c r="A64" s="1543" t="s">
        <v>98</v>
      </c>
      <c r="B64" s="1544"/>
      <c r="C64" s="1545"/>
      <c r="D64" s="523" t="s">
        <v>185</v>
      </c>
      <c r="E64" s="514">
        <f>'27'!F64</f>
        <v>180340</v>
      </c>
      <c r="F64" s="737">
        <v>180729</v>
      </c>
      <c r="G64" s="473">
        <f t="shared" si="5"/>
        <v>389</v>
      </c>
      <c r="H64" s="460">
        <f>G64+'27'!H64</f>
        <v>10707</v>
      </c>
      <c r="I64" s="480"/>
      <c r="J64" s="552">
        <f>H64/DAY(B2)</f>
        <v>382.39285714285717</v>
      </c>
      <c r="K64" s="428"/>
      <c r="L64" s="377"/>
      <c r="N64" s="1099"/>
    </row>
    <row r="65" spans="1:14" ht="27.75">
      <c r="A65" s="1543" t="s">
        <v>99</v>
      </c>
      <c r="B65" s="1544"/>
      <c r="C65" s="1545"/>
      <c r="D65" s="523" t="s">
        <v>185</v>
      </c>
      <c r="E65" s="514">
        <f>'27'!F65</f>
        <v>180631</v>
      </c>
      <c r="F65" s="744">
        <v>181013</v>
      </c>
      <c r="G65" s="473">
        <f t="shared" si="5"/>
        <v>382</v>
      </c>
      <c r="H65" s="460">
        <f>G65+'27'!H65</f>
        <v>10711</v>
      </c>
      <c r="I65" s="489"/>
      <c r="J65" s="552">
        <f>H65/DAY(B2)</f>
        <v>382.53571428571428</v>
      </c>
      <c r="K65" s="428"/>
      <c r="L65" s="377"/>
      <c r="N65" s="1099"/>
    </row>
    <row r="66" spans="1:14" ht="27.75">
      <c r="A66" s="1543" t="s">
        <v>100</v>
      </c>
      <c r="B66" s="1544"/>
      <c r="C66" s="1545"/>
      <c r="D66" s="523" t="s">
        <v>185</v>
      </c>
      <c r="E66" s="514">
        <f>'27'!F66</f>
        <v>79039</v>
      </c>
      <c r="F66" s="737">
        <v>79435</v>
      </c>
      <c r="G66" s="473">
        <f t="shared" si="5"/>
        <v>396</v>
      </c>
      <c r="H66" s="460">
        <f>G66+'27'!H66</f>
        <v>11465</v>
      </c>
      <c r="I66" s="480"/>
      <c r="J66" s="552">
        <f>H66/DAY(B2)</f>
        <v>409.46428571428572</v>
      </c>
      <c r="K66" s="428"/>
      <c r="L66" s="377"/>
      <c r="N66" s="1099"/>
    </row>
    <row r="67" spans="1:14" ht="27.75">
      <c r="A67" s="1543" t="s">
        <v>101</v>
      </c>
      <c r="B67" s="1544"/>
      <c r="C67" s="1545"/>
      <c r="D67" s="523" t="s">
        <v>185</v>
      </c>
      <c r="E67" s="514">
        <f>'27'!F67</f>
        <v>277989</v>
      </c>
      <c r="F67" s="737">
        <v>278486</v>
      </c>
      <c r="G67" s="473">
        <f t="shared" si="5"/>
        <v>497</v>
      </c>
      <c r="H67" s="460">
        <f>G67+'27'!H67</f>
        <v>13527</v>
      </c>
      <c r="I67" s="489"/>
      <c r="J67" s="552">
        <f>H67/DAY(B2)</f>
        <v>483.10714285714283</v>
      </c>
      <c r="K67" s="429"/>
      <c r="L67" s="377"/>
      <c r="N67" s="1099"/>
    </row>
    <row r="68" spans="1:14" ht="27.75">
      <c r="A68" s="1543" t="s">
        <v>102</v>
      </c>
      <c r="B68" s="1544"/>
      <c r="C68" s="1545"/>
      <c r="D68" s="523" t="s">
        <v>185</v>
      </c>
      <c r="E68" s="514">
        <f>'27'!F68</f>
        <v>85321</v>
      </c>
      <c r="F68" s="737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099"/>
    </row>
    <row r="69" spans="1:14" ht="27.75">
      <c r="A69" s="1543" t="s">
        <v>103</v>
      </c>
      <c r="B69" s="1544"/>
      <c r="C69" s="1545"/>
      <c r="D69" s="523" t="s">
        <v>185</v>
      </c>
      <c r="E69" s="514">
        <f>'27'!F69</f>
        <v>95173</v>
      </c>
      <c r="F69" s="737">
        <v>95523</v>
      </c>
      <c r="G69" s="473">
        <f t="shared" si="5"/>
        <v>350</v>
      </c>
      <c r="H69" s="460">
        <f>G69+'27'!H69</f>
        <v>8008</v>
      </c>
      <c r="I69" s="516"/>
      <c r="J69" s="552">
        <f>H69/DAY(B2)</f>
        <v>286</v>
      </c>
      <c r="K69" s="431"/>
      <c r="L69" s="377"/>
      <c r="N69" s="1099"/>
    </row>
    <row r="70" spans="1:14" ht="27.75">
      <c r="A70" s="1584" t="s">
        <v>187</v>
      </c>
      <c r="B70" s="1585"/>
      <c r="C70" s="1586"/>
      <c r="D70" s="523" t="s">
        <v>185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  <c r="N70" s="1099"/>
    </row>
    <row r="71" spans="1:14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1099"/>
    </row>
    <row r="72" spans="1:14" ht="27.75">
      <c r="A72" s="1543" t="s">
        <v>189</v>
      </c>
      <c r="B72" s="1544"/>
      <c r="C72" s="1545"/>
      <c r="D72" s="523" t="s">
        <v>185</v>
      </c>
      <c r="E72" s="762">
        <f>'27'!F72</f>
        <v>856556</v>
      </c>
      <c r="F72" s="746">
        <v>856569</v>
      </c>
      <c r="G72" s="473">
        <f t="shared" ref="G72:G84" si="6">F72-E72</f>
        <v>13</v>
      </c>
      <c r="H72" s="460">
        <f>G72+'27'!H72</f>
        <v>334</v>
      </c>
      <c r="I72" s="480"/>
      <c r="J72" s="552">
        <f>H72/DAY(B2)</f>
        <v>11.928571428571429</v>
      </c>
      <c r="K72" s="431"/>
      <c r="L72" s="377"/>
      <c r="N72" s="1099"/>
    </row>
    <row r="73" spans="1:14" ht="27.75">
      <c r="A73" s="1543" t="s">
        <v>190</v>
      </c>
      <c r="B73" s="1544"/>
      <c r="C73" s="1545"/>
      <c r="D73" s="523" t="s">
        <v>185</v>
      </c>
      <c r="E73" s="762">
        <f>'27'!F73</f>
        <v>886008</v>
      </c>
      <c r="F73" s="747">
        <v>886009</v>
      </c>
      <c r="G73" s="652">
        <f t="shared" si="6"/>
        <v>1</v>
      </c>
      <c r="H73" s="460">
        <f>G73+'27'!H73</f>
        <v>175</v>
      </c>
      <c r="I73" s="480"/>
      <c r="J73" s="552">
        <f>H73/DAY(B2)</f>
        <v>6.25</v>
      </c>
      <c r="K73" s="430"/>
      <c r="L73" s="377"/>
      <c r="N73" s="1099"/>
    </row>
    <row r="74" spans="1:14" ht="27.75">
      <c r="A74" s="1543" t="s">
        <v>191</v>
      </c>
      <c r="B74" s="1544"/>
      <c r="C74" s="1545"/>
      <c r="D74" s="523" t="s">
        <v>185</v>
      </c>
      <c r="E74" s="762">
        <f>'27'!F74</f>
        <v>88726</v>
      </c>
      <c r="F74" s="747">
        <v>88729</v>
      </c>
      <c r="G74" s="473">
        <f t="shared" si="6"/>
        <v>3</v>
      </c>
      <c r="H74" s="460">
        <f>G74+'27'!H74</f>
        <v>67</v>
      </c>
      <c r="I74" s="480"/>
      <c r="J74" s="552">
        <f>H74/DAY(B2)</f>
        <v>2.3928571428571428</v>
      </c>
      <c r="K74" s="431"/>
      <c r="L74" s="377"/>
      <c r="N74" s="1099"/>
    </row>
    <row r="75" spans="1:14" ht="27.75">
      <c r="A75" s="1546" t="s">
        <v>192</v>
      </c>
      <c r="B75" s="1547"/>
      <c r="C75" s="1548"/>
      <c r="D75" s="523" t="s">
        <v>185</v>
      </c>
      <c r="E75" s="762">
        <f>'27'!F75</f>
        <v>20277</v>
      </c>
      <c r="F75" s="747">
        <v>20429</v>
      </c>
      <c r="G75" s="473">
        <f t="shared" si="6"/>
        <v>152</v>
      </c>
      <c r="H75" s="460">
        <f>G75+'27'!H75</f>
        <v>4358</v>
      </c>
      <c r="I75" s="480"/>
      <c r="J75" s="552">
        <f>H75/DAY(B2)</f>
        <v>155.64285714285714</v>
      </c>
      <c r="K75" s="430"/>
      <c r="L75" s="377"/>
      <c r="N75" s="1099"/>
    </row>
    <row r="76" spans="1:14" ht="27.75">
      <c r="A76" s="1546" t="s">
        <v>193</v>
      </c>
      <c r="B76" s="1547"/>
      <c r="C76" s="1548"/>
      <c r="D76" s="523" t="s">
        <v>185</v>
      </c>
      <c r="E76" s="762">
        <f>'27'!F76</f>
        <v>11140</v>
      </c>
      <c r="F76" s="747">
        <v>11211</v>
      </c>
      <c r="G76" s="473">
        <f t="shared" si="6"/>
        <v>71</v>
      </c>
      <c r="H76" s="460">
        <f>G76+'27'!H76</f>
        <v>2992</v>
      </c>
      <c r="I76" s="505"/>
      <c r="J76" s="552">
        <f>H76/DAY(B2)</f>
        <v>106.85714285714286</v>
      </c>
      <c r="K76" s="430"/>
      <c r="L76" s="377"/>
      <c r="N76" s="1099"/>
    </row>
    <row r="77" spans="1:14" ht="27.75">
      <c r="A77" s="1543" t="s">
        <v>194</v>
      </c>
      <c r="B77" s="1544"/>
      <c r="C77" s="1545"/>
      <c r="D77" s="523" t="s">
        <v>185</v>
      </c>
      <c r="E77" s="762">
        <f>'27'!F77</f>
        <v>706191</v>
      </c>
      <c r="F77" s="747">
        <v>706269</v>
      </c>
      <c r="G77" s="652">
        <f t="shared" si="6"/>
        <v>78</v>
      </c>
      <c r="H77" s="460">
        <f>G77+'27'!H77</f>
        <v>1895</v>
      </c>
      <c r="I77" s="505"/>
      <c r="J77" s="552">
        <f>H77/DAY(B2)</f>
        <v>67.678571428571431</v>
      </c>
      <c r="K77" s="430"/>
      <c r="L77" s="377"/>
      <c r="N77" s="1099"/>
    </row>
    <row r="78" spans="1:14" ht="27.75">
      <c r="A78" s="1140" t="s">
        <v>195</v>
      </c>
      <c r="B78" s="1113"/>
      <c r="C78" s="1113"/>
      <c r="D78" s="523" t="s">
        <v>185</v>
      </c>
      <c r="E78" s="762">
        <f>'27'!F78</f>
        <v>678285</v>
      </c>
      <c r="F78" s="747">
        <v>678366</v>
      </c>
      <c r="G78" s="652">
        <f t="shared" si="6"/>
        <v>81</v>
      </c>
      <c r="H78" s="460">
        <f>G78+'27'!H78</f>
        <v>2952</v>
      </c>
      <c r="I78" s="505"/>
      <c r="J78" s="552">
        <f>H78/DAY(B2)</f>
        <v>105.42857142857143</v>
      </c>
      <c r="K78" s="430"/>
      <c r="L78" s="377"/>
      <c r="N78" s="1099"/>
    </row>
    <row r="79" spans="1:14" ht="27.75">
      <c r="A79" s="1546" t="s">
        <v>91</v>
      </c>
      <c r="B79" s="1547"/>
      <c r="C79" s="1548"/>
      <c r="D79" s="524" t="s">
        <v>185</v>
      </c>
      <c r="E79" s="762">
        <f>'27'!F79</f>
        <v>839622</v>
      </c>
      <c r="F79" s="748">
        <v>839767</v>
      </c>
      <c r="G79" s="473">
        <f t="shared" si="6"/>
        <v>145</v>
      </c>
      <c r="H79" s="460">
        <f>G79+'27'!H79</f>
        <v>3613</v>
      </c>
      <c r="I79" s="505"/>
      <c r="J79" s="552">
        <f>H79/DAY(B2)</f>
        <v>129.03571428571428</v>
      </c>
      <c r="K79" s="430"/>
      <c r="L79" s="377"/>
      <c r="N79" s="1099"/>
    </row>
    <row r="80" spans="1:14" ht="27.75">
      <c r="A80" s="1546" t="s">
        <v>196</v>
      </c>
      <c r="B80" s="1547"/>
      <c r="C80" s="1548"/>
      <c r="D80" s="524" t="s">
        <v>185</v>
      </c>
      <c r="E80" s="762">
        <f>'27'!F80</f>
        <v>550386</v>
      </c>
      <c r="F80" s="747">
        <v>550747</v>
      </c>
      <c r="G80" s="473">
        <f t="shared" si="6"/>
        <v>361</v>
      </c>
      <c r="H80" s="460">
        <f>G80+'27'!H80</f>
        <v>8356</v>
      </c>
      <c r="I80" s="505"/>
      <c r="J80" s="552">
        <f>H80/DAY(B2)</f>
        <v>298.42857142857144</v>
      </c>
      <c r="K80" s="430"/>
      <c r="L80" s="377"/>
      <c r="N80" s="1099"/>
    </row>
    <row r="81" spans="1:17" ht="27.75">
      <c r="A81" s="1546" t="s">
        <v>197</v>
      </c>
      <c r="B81" s="1547"/>
      <c r="C81" s="1548"/>
      <c r="D81" s="524" t="s">
        <v>185</v>
      </c>
      <c r="E81" s="762">
        <f>'27'!F81</f>
        <v>648258</v>
      </c>
      <c r="F81" s="747">
        <v>648448</v>
      </c>
      <c r="G81" s="473">
        <f t="shared" si="6"/>
        <v>190</v>
      </c>
      <c r="H81" s="460">
        <f>G81+'27'!H81</f>
        <v>5463</v>
      </c>
      <c r="I81" s="505"/>
      <c r="J81" s="552">
        <f>H81/DAY(B2)</f>
        <v>195.10714285714286</v>
      </c>
      <c r="K81" s="430"/>
      <c r="L81" s="377"/>
      <c r="N81" s="1099"/>
    </row>
    <row r="82" spans="1:17" ht="27.75">
      <c r="A82" s="1546" t="s">
        <v>92</v>
      </c>
      <c r="B82" s="1547"/>
      <c r="C82" s="1548"/>
      <c r="D82" s="485" t="s">
        <v>130</v>
      </c>
      <c r="E82" s="762">
        <f>'27'!F82</f>
        <v>109253</v>
      </c>
      <c r="F82" s="744">
        <v>109268</v>
      </c>
      <c r="G82" s="473">
        <f t="shared" si="6"/>
        <v>15</v>
      </c>
      <c r="H82" s="460">
        <f>G82+'27'!H82</f>
        <v>587</v>
      </c>
      <c r="I82" s="486"/>
      <c r="J82" s="552">
        <f>H82/DAY(B2)</f>
        <v>20.964285714285715</v>
      </c>
      <c r="K82" s="430"/>
      <c r="L82" s="377"/>
      <c r="N82" s="1099"/>
    </row>
    <row r="83" spans="1:17" ht="27.75">
      <c r="A83" s="1546" t="s">
        <v>198</v>
      </c>
      <c r="B83" s="1547"/>
      <c r="C83" s="1548"/>
      <c r="D83" s="620" t="s">
        <v>130</v>
      </c>
      <c r="E83" s="762">
        <f>'27'!F83</f>
        <v>33867</v>
      </c>
      <c r="F83" s="470">
        <v>34091</v>
      </c>
      <c r="G83" s="473">
        <f t="shared" si="6"/>
        <v>224</v>
      </c>
      <c r="H83" s="460">
        <f>G83+'27'!H83</f>
        <v>6540</v>
      </c>
      <c r="I83" s="481"/>
      <c r="J83" s="552">
        <f>H83/DAY(B2)</f>
        <v>233.57142857142858</v>
      </c>
      <c r="K83" s="429"/>
      <c r="L83" s="377"/>
      <c r="N83" s="1099"/>
    </row>
    <row r="84" spans="1:17">
      <c r="A84" s="1141" t="s">
        <v>199</v>
      </c>
      <c r="B84" s="571"/>
      <c r="C84" s="571"/>
      <c r="D84" s="478" t="s">
        <v>130</v>
      </c>
      <c r="E84" s="762">
        <f>'27'!F84</f>
        <v>544199</v>
      </c>
      <c r="F84" s="705">
        <v>544978</v>
      </c>
      <c r="G84" s="473">
        <f t="shared" si="6"/>
        <v>779</v>
      </c>
      <c r="H84" s="460">
        <f>G84+'27'!H84</f>
        <v>21898</v>
      </c>
      <c r="I84" s="481"/>
      <c r="J84" s="552">
        <f>H84/DAY(B2)</f>
        <v>782.07142857142856</v>
      </c>
      <c r="K84" s="380"/>
      <c r="L84" s="377"/>
      <c r="N84" s="1099"/>
    </row>
    <row r="85" spans="1:17" s="379" customFormat="1">
      <c r="A85" s="605" t="s">
        <v>200</v>
      </c>
      <c r="B85" s="572"/>
      <c r="C85" s="572"/>
      <c r="D85" s="489"/>
      <c r="E85" s="705">
        <f>'27'!F85</f>
        <v>0</v>
      </c>
      <c r="F85" s="460"/>
      <c r="G85" s="460">
        <f xml:space="preserve"> SUM(G72:G84)</f>
        <v>2113</v>
      </c>
      <c r="H85" s="460">
        <f>G85+'27'!H85</f>
        <v>62104</v>
      </c>
      <c r="I85" s="481"/>
      <c r="J85" s="552">
        <f>H85/DAY(B2)</f>
        <v>2218</v>
      </c>
      <c r="K85" s="380"/>
      <c r="L85" s="378"/>
      <c r="N85" s="1099"/>
      <c r="O85" s="769"/>
      <c r="P85" s="769"/>
      <c r="Q85" s="769"/>
    </row>
    <row r="86" spans="1:17" s="735" customFormat="1">
      <c r="A86" s="730" t="s">
        <v>93</v>
      </c>
      <c r="B86" s="731"/>
      <c r="C86" s="731"/>
      <c r="D86" s="732" t="s">
        <v>181</v>
      </c>
      <c r="E86" s="705">
        <f>'27'!F86</f>
        <v>462446</v>
      </c>
      <c r="F86" s="749">
        <v>462465</v>
      </c>
      <c r="G86" s="705">
        <f t="shared" ref="G86:G88" si="7">F86-E86</f>
        <v>19</v>
      </c>
      <c r="H86" s="705">
        <f t="shared" ref="H86:H88" si="8">G86</f>
        <v>19</v>
      </c>
      <c r="I86" s="652"/>
      <c r="J86" s="707">
        <f>H86/DAY(B2)</f>
        <v>0.6785714285714286</v>
      </c>
      <c r="K86" s="733"/>
      <c r="L86" s="734"/>
      <c r="N86" s="1099"/>
      <c r="O86" s="769"/>
      <c r="P86" s="769"/>
      <c r="Q86" s="770"/>
    </row>
    <row r="87" spans="1:17" s="735" customFormat="1">
      <c r="A87" s="730" t="s">
        <v>94</v>
      </c>
      <c r="B87" s="731"/>
      <c r="C87" s="731"/>
      <c r="D87" s="732" t="s">
        <v>181</v>
      </c>
      <c r="E87" s="705">
        <f>'27'!F87</f>
        <v>82823</v>
      </c>
      <c r="F87" s="749">
        <v>82857</v>
      </c>
      <c r="G87" s="705">
        <f t="shared" si="7"/>
        <v>34</v>
      </c>
      <c r="H87" s="705">
        <f t="shared" si="8"/>
        <v>34</v>
      </c>
      <c r="I87" s="652"/>
      <c r="J87" s="707">
        <f>H87/DAY(B2)</f>
        <v>1.2142857142857142</v>
      </c>
      <c r="K87" s="733"/>
      <c r="L87" s="734"/>
      <c r="N87" s="1099"/>
      <c r="O87" s="769"/>
      <c r="P87" s="769"/>
      <c r="Q87" s="770"/>
    </row>
    <row r="88" spans="1:17" s="735" customFormat="1">
      <c r="A88" s="730" t="s">
        <v>95</v>
      </c>
      <c r="B88" s="731"/>
      <c r="C88" s="731"/>
      <c r="D88" s="732" t="s">
        <v>181</v>
      </c>
      <c r="E88" s="705">
        <f>'27'!F88</f>
        <v>158133</v>
      </c>
      <c r="F88" s="749">
        <v>158159</v>
      </c>
      <c r="G88" s="705">
        <f t="shared" si="7"/>
        <v>26</v>
      </c>
      <c r="H88" s="705">
        <f t="shared" si="8"/>
        <v>26</v>
      </c>
      <c r="I88" s="652"/>
      <c r="J88" s="707">
        <f>H88/DAY(B2)</f>
        <v>0.9285714285714286</v>
      </c>
      <c r="K88" s="733"/>
      <c r="L88" s="734"/>
      <c r="N88" s="1099"/>
      <c r="O88" s="769"/>
      <c r="P88" s="769"/>
      <c r="Q88" s="770"/>
    </row>
    <row r="89" spans="1:17" s="735" customFormat="1">
      <c r="A89" s="730" t="s">
        <v>202</v>
      </c>
      <c r="B89" s="731"/>
      <c r="C89" s="731"/>
      <c r="D89" s="732" t="s">
        <v>181</v>
      </c>
      <c r="E89" s="705">
        <f>'27'!F89</f>
        <v>66870</v>
      </c>
      <c r="F89" s="749">
        <v>66934</v>
      </c>
      <c r="G89" s="705">
        <f t="shared" ref="G89:G91" si="9">F89-E89</f>
        <v>64</v>
      </c>
      <c r="H89" s="705">
        <f t="shared" ref="H89:H91" si="10">G89</f>
        <v>64</v>
      </c>
      <c r="I89" s="652"/>
      <c r="J89" s="707">
        <f>H89/DAY(B2)</f>
        <v>2.2857142857142856</v>
      </c>
      <c r="K89" s="733"/>
      <c r="L89" s="734"/>
      <c r="N89" s="1099"/>
      <c r="O89" s="382"/>
    </row>
    <row r="90" spans="1:17" s="735" customFormat="1">
      <c r="A90" s="730" t="s">
        <v>202</v>
      </c>
      <c r="B90" s="731"/>
      <c r="C90" s="731"/>
      <c r="D90" s="732" t="s">
        <v>181</v>
      </c>
      <c r="E90" s="705">
        <f>'27'!F90</f>
        <v>3444</v>
      </c>
      <c r="F90" s="749">
        <v>3450</v>
      </c>
      <c r="G90" s="705">
        <f t="shared" si="9"/>
        <v>6</v>
      </c>
      <c r="H90" s="705">
        <f t="shared" si="10"/>
        <v>6</v>
      </c>
      <c r="I90" s="652"/>
      <c r="J90" s="707">
        <f>H90/DAY(B2)</f>
        <v>0.21428571428571427</v>
      </c>
      <c r="K90" s="733"/>
      <c r="L90" s="734"/>
      <c r="N90" s="1099"/>
      <c r="O90" s="382"/>
    </row>
    <row r="91" spans="1:17" s="735" customFormat="1">
      <c r="A91" s="730" t="s">
        <v>346</v>
      </c>
      <c r="B91" s="731"/>
      <c r="C91" s="731"/>
      <c r="D91" s="732"/>
      <c r="E91" s="705">
        <f>'27'!F91</f>
        <v>28465</v>
      </c>
      <c r="F91" s="647">
        <v>28474</v>
      </c>
      <c r="G91" s="705">
        <f t="shared" si="9"/>
        <v>9</v>
      </c>
      <c r="H91" s="705">
        <f t="shared" si="10"/>
        <v>9</v>
      </c>
      <c r="I91" s="652"/>
      <c r="J91" s="707">
        <f>H91/DAY(B2)</f>
        <v>0.32142857142857145</v>
      </c>
      <c r="K91" s="733"/>
      <c r="L91" s="734"/>
      <c r="N91" s="777"/>
      <c r="O91" s="382"/>
    </row>
    <row r="92" spans="1:17" s="379" customFormat="1">
      <c r="A92" s="606" t="s">
        <v>203</v>
      </c>
      <c r="B92" s="1143"/>
      <c r="C92" s="1143"/>
      <c r="D92" s="472"/>
      <c r="E92" s="738"/>
      <c r="F92" s="738"/>
      <c r="G92" s="488"/>
      <c r="H92" s="472"/>
      <c r="I92" s="472"/>
      <c r="J92" s="551"/>
      <c r="K92" s="380"/>
      <c r="L92" s="378"/>
      <c r="N92" s="1099"/>
      <c r="O92" s="769"/>
      <c r="P92" s="769"/>
      <c r="Q92" s="769"/>
    </row>
    <row r="93" spans="1:17" ht="27.75">
      <c r="A93" s="1562" t="s">
        <v>204</v>
      </c>
      <c r="B93" s="1563"/>
      <c r="C93" s="1564"/>
      <c r="D93" s="523" t="s">
        <v>142</v>
      </c>
      <c r="E93" s="758">
        <f>'27'!F93</f>
        <v>249998</v>
      </c>
      <c r="F93" s="737">
        <v>250059</v>
      </c>
      <c r="G93" s="473">
        <f t="shared" ref="G93:G94" si="11">F93-E93</f>
        <v>61</v>
      </c>
      <c r="H93" s="460">
        <f>G93+'27'!H93</f>
        <v>2707</v>
      </c>
      <c r="I93" s="480"/>
      <c r="J93" s="552">
        <f>H93/DAY(B2)</f>
        <v>96.678571428571431</v>
      </c>
      <c r="K93" s="429"/>
      <c r="L93" s="377"/>
      <c r="N93" s="1099"/>
    </row>
    <row r="94" spans="1:17" ht="27.75">
      <c r="A94" s="1562" t="s">
        <v>205</v>
      </c>
      <c r="B94" s="1563"/>
      <c r="C94" s="1564"/>
      <c r="D94" s="523" t="s">
        <v>142</v>
      </c>
      <c r="E94" s="758">
        <f>'27'!F94</f>
        <v>192492</v>
      </c>
      <c r="F94" s="737">
        <v>192611</v>
      </c>
      <c r="G94" s="473">
        <f t="shared" si="11"/>
        <v>119</v>
      </c>
      <c r="H94" s="460">
        <f>G94+'27'!H94</f>
        <v>3157</v>
      </c>
      <c r="I94" s="480"/>
      <c r="J94" s="552">
        <f>H94/DAY(B2)</f>
        <v>112.75</v>
      </c>
      <c r="K94" s="380"/>
      <c r="L94" s="377"/>
      <c r="N94" s="1099"/>
    </row>
    <row r="95" spans="1:17">
      <c r="A95" s="1594" t="s">
        <v>206</v>
      </c>
      <c r="B95" s="1595"/>
      <c r="C95" s="1596"/>
      <c r="D95" s="523"/>
      <c r="E95" s="758"/>
      <c r="F95" s="737"/>
      <c r="G95" s="473">
        <f>G93+G94</f>
        <v>180</v>
      </c>
      <c r="H95" s="460">
        <f>G95+'27'!H95</f>
        <v>5678</v>
      </c>
      <c r="I95" s="480"/>
      <c r="J95" s="552">
        <f>H95/DAY(B2)</f>
        <v>202.78571428571428</v>
      </c>
      <c r="K95" s="380"/>
      <c r="L95" s="377"/>
      <c r="N95" s="1099"/>
    </row>
    <row r="96" spans="1:17" ht="27.75">
      <c r="A96" s="1562" t="s">
        <v>207</v>
      </c>
      <c r="B96" s="1563"/>
      <c r="C96" s="1564"/>
      <c r="D96" s="523" t="s">
        <v>142</v>
      </c>
      <c r="E96" s="758">
        <f>'27'!F96</f>
        <v>418253</v>
      </c>
      <c r="F96" s="737">
        <v>418314</v>
      </c>
      <c r="G96" s="473">
        <f t="shared" ref="G96:G101" si="12">F96-E96</f>
        <v>61</v>
      </c>
      <c r="H96" s="460">
        <f>G96+'27'!H96</f>
        <v>2315</v>
      </c>
      <c r="I96" s="480"/>
      <c r="J96" s="552">
        <f>H96/DAY(B2)</f>
        <v>82.678571428571431</v>
      </c>
      <c r="K96" s="380"/>
      <c r="L96" s="377"/>
      <c r="N96" s="1099"/>
    </row>
    <row r="97" spans="1:17" ht="27.75">
      <c r="A97" s="1137" t="s">
        <v>208</v>
      </c>
      <c r="B97" s="1138"/>
      <c r="C97" s="1138"/>
      <c r="D97" s="523" t="s">
        <v>142</v>
      </c>
      <c r="E97" s="758">
        <f>'27'!F97</f>
        <v>103761</v>
      </c>
      <c r="F97" s="737">
        <v>103782</v>
      </c>
      <c r="G97" s="473">
        <f t="shared" si="12"/>
        <v>21</v>
      </c>
      <c r="H97" s="460">
        <f>G97+'27'!H97</f>
        <v>619</v>
      </c>
      <c r="I97" s="480"/>
      <c r="J97" s="552">
        <f>H97/DAY(B2)</f>
        <v>22.107142857142858</v>
      </c>
      <c r="K97" s="427"/>
      <c r="L97" s="377"/>
      <c r="N97" s="1099"/>
    </row>
    <row r="98" spans="1:17" ht="27.75">
      <c r="A98" s="1137" t="s">
        <v>209</v>
      </c>
      <c r="B98" s="1138"/>
      <c r="C98" s="1138"/>
      <c r="D98" s="523" t="s">
        <v>142</v>
      </c>
      <c r="E98" s="758">
        <f>'27'!F98</f>
        <v>99342</v>
      </c>
      <c r="F98" s="737">
        <v>99366</v>
      </c>
      <c r="G98" s="473">
        <f t="shared" si="12"/>
        <v>24</v>
      </c>
      <c r="H98" s="460">
        <f>G98+'27'!H98</f>
        <v>709</v>
      </c>
      <c r="I98" s="480"/>
      <c r="J98" s="552">
        <f>H98/DAY(B2)</f>
        <v>25.321428571428573</v>
      </c>
      <c r="K98" s="432"/>
      <c r="L98" s="377"/>
      <c r="N98" s="1099"/>
    </row>
    <row r="99" spans="1:17" ht="27.75">
      <c r="A99" s="1137" t="s">
        <v>210</v>
      </c>
      <c r="B99" s="1138"/>
      <c r="C99" s="1138"/>
      <c r="D99" s="523" t="s">
        <v>142</v>
      </c>
      <c r="E99" s="758">
        <f>'27'!F99</f>
        <v>151136</v>
      </c>
      <c r="F99" s="737">
        <v>151183</v>
      </c>
      <c r="G99" s="473">
        <f t="shared" si="12"/>
        <v>47</v>
      </c>
      <c r="H99" s="460">
        <f>G99+'27'!H99</f>
        <v>778</v>
      </c>
      <c r="I99" s="480"/>
      <c r="J99" s="552">
        <f>H99/DAY(B2)</f>
        <v>27.785714285714285</v>
      </c>
      <c r="K99" s="380"/>
      <c r="L99" s="377"/>
      <c r="N99" s="1099"/>
    </row>
    <row r="100" spans="1:17" ht="27.75">
      <c r="A100" s="1137" t="s">
        <v>211</v>
      </c>
      <c r="B100" s="1138"/>
      <c r="C100" s="1138"/>
      <c r="D100" s="523" t="s">
        <v>142</v>
      </c>
      <c r="E100" s="758">
        <f>'27'!F100</f>
        <v>8114</v>
      </c>
      <c r="F100" s="737">
        <v>8124</v>
      </c>
      <c r="G100" s="473">
        <f t="shared" si="12"/>
        <v>10</v>
      </c>
      <c r="H100" s="460">
        <f>G100+'27'!H100</f>
        <v>327</v>
      </c>
      <c r="I100" s="480"/>
      <c r="J100" s="552">
        <f>H100/DAY(B2)</f>
        <v>11.678571428571429</v>
      </c>
      <c r="K100" s="380"/>
      <c r="L100" s="377"/>
      <c r="N100" s="1099"/>
    </row>
    <row r="101" spans="1:17" ht="27.75">
      <c r="A101" s="1137" t="s">
        <v>212</v>
      </c>
      <c r="B101" s="1138"/>
      <c r="C101" s="1138"/>
      <c r="D101" s="523" t="s">
        <v>142</v>
      </c>
      <c r="E101" s="758">
        <f>'27'!F101</f>
        <v>5945</v>
      </c>
      <c r="F101" s="737">
        <v>5957</v>
      </c>
      <c r="G101" s="473">
        <f t="shared" si="12"/>
        <v>12</v>
      </c>
      <c r="H101" s="460">
        <f>G101+'27'!H101</f>
        <v>283</v>
      </c>
      <c r="I101" s="480"/>
      <c r="J101" s="552">
        <f>H101/DAY(B2)</f>
        <v>10.107142857142858</v>
      </c>
      <c r="K101" s="380"/>
      <c r="L101" s="377"/>
      <c r="N101" s="1099"/>
    </row>
    <row r="102" spans="1:17">
      <c r="A102" s="1594" t="s">
        <v>214</v>
      </c>
      <c r="B102" s="1595"/>
      <c r="C102" s="1596"/>
      <c r="D102" s="524"/>
      <c r="E102" s="486"/>
      <c r="F102" s="486"/>
      <c r="G102" s="525">
        <f>SUM(G96:G101)</f>
        <v>175</v>
      </c>
      <c r="H102" s="460">
        <f>G102+'27'!H102</f>
        <v>5031</v>
      </c>
      <c r="I102" s="526"/>
      <c r="J102" s="552">
        <f>H102/DAY(B2)</f>
        <v>179.67857142857142</v>
      </c>
      <c r="K102" s="380"/>
      <c r="L102" s="377"/>
      <c r="N102" s="1099"/>
    </row>
    <row r="103" spans="1:17" s="442" customFormat="1" ht="27">
      <c r="A103" s="607" t="s">
        <v>215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1099"/>
      <c r="O103" s="769"/>
      <c r="P103" s="769"/>
      <c r="Q103" s="769"/>
    </row>
    <row r="104" spans="1:17" s="442" customFormat="1" ht="27">
      <c r="A104" s="1597" t="s">
        <v>216</v>
      </c>
      <c r="B104" s="1598"/>
      <c r="C104" s="573"/>
      <c r="D104" s="622"/>
      <c r="E104" s="533"/>
      <c r="F104" s="751"/>
      <c r="G104" s="532"/>
      <c r="H104" s="533"/>
      <c r="I104" s="532"/>
      <c r="J104" s="558"/>
      <c r="N104" s="1099"/>
      <c r="O104" s="769"/>
      <c r="P104" s="769"/>
      <c r="Q104" s="769"/>
    </row>
    <row r="105" spans="1:17" s="442" customFormat="1" ht="27">
      <c r="A105" s="1554" t="s">
        <v>217</v>
      </c>
      <c r="B105" s="1555"/>
      <c r="C105" s="1136"/>
      <c r="D105" s="622" t="s">
        <v>142</v>
      </c>
      <c r="E105" s="533">
        <f>'27'!F105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2.4778571428571143</v>
      </c>
      <c r="N105" s="1099"/>
      <c r="O105" s="769"/>
      <c r="P105" s="769"/>
      <c r="Q105" s="769"/>
    </row>
    <row r="106" spans="1:17" s="442" customFormat="1" ht="27">
      <c r="A106" s="1554" t="s">
        <v>76</v>
      </c>
      <c r="B106" s="1555"/>
      <c r="C106" s="1136"/>
      <c r="D106" s="622" t="s">
        <v>142</v>
      </c>
      <c r="E106" s="533">
        <f>'27'!F106</f>
        <v>36424</v>
      </c>
      <c r="F106" s="660">
        <v>36432</v>
      </c>
      <c r="G106" s="532">
        <f t="shared" ref="G106" si="13">F106-E106</f>
        <v>8</v>
      </c>
      <c r="H106" s="533">
        <f>SUM(G106+'1'!G77)</f>
        <v>61</v>
      </c>
      <c r="I106" s="532"/>
      <c r="J106" s="558">
        <f>H106/DAY(B2)</f>
        <v>2.1785714285714284</v>
      </c>
      <c r="N106" s="1099"/>
      <c r="O106" s="769"/>
      <c r="P106" s="769"/>
      <c r="Q106" s="769"/>
    </row>
    <row r="107" spans="1:17" s="442" customFormat="1" ht="27">
      <c r="A107" s="1554" t="s">
        <v>77</v>
      </c>
      <c r="B107" s="1599"/>
      <c r="C107" s="1555"/>
      <c r="D107" s="622" t="s">
        <v>142</v>
      </c>
      <c r="E107" s="533">
        <f>'27'!F107</f>
        <v>19943</v>
      </c>
      <c r="F107" s="660">
        <v>19946</v>
      </c>
      <c r="G107" s="532">
        <f>F107-E107</f>
        <v>3</v>
      </c>
      <c r="H107" s="533">
        <f>SUM(G107+'1'!G78)</f>
        <v>117</v>
      </c>
      <c r="I107" s="532"/>
      <c r="J107" s="558">
        <f>H107/DAY(B2)</f>
        <v>4.1785714285714288</v>
      </c>
      <c r="N107" s="1099"/>
      <c r="O107" s="769"/>
      <c r="P107" s="769"/>
      <c r="Q107" s="769"/>
    </row>
    <row r="108" spans="1:17" s="442" customFormat="1" ht="27">
      <c r="A108" s="1556" t="s">
        <v>200</v>
      </c>
      <c r="B108" s="1557"/>
      <c r="C108" s="1136"/>
      <c r="D108" s="622"/>
      <c r="E108" s="533">
        <f>'27'!F108</f>
        <v>0</v>
      </c>
      <c r="F108" s="660"/>
      <c r="G108" s="532">
        <f>SUM(G105:G107)</f>
        <v>11</v>
      </c>
      <c r="H108" s="533">
        <f>SUM(G108+'1'!G79)</f>
        <v>164</v>
      </c>
      <c r="I108" s="532"/>
      <c r="J108" s="558">
        <f>H108/DAY(B2)</f>
        <v>5.8571428571428568</v>
      </c>
      <c r="N108" s="1099"/>
      <c r="O108" s="769"/>
      <c r="P108" s="769"/>
      <c r="Q108" s="769"/>
    </row>
    <row r="109" spans="1:17" s="442" customFormat="1" ht="27">
      <c r="A109" s="1560" t="s">
        <v>78</v>
      </c>
      <c r="B109" s="1561"/>
      <c r="C109" s="1136"/>
      <c r="D109" s="622" t="s">
        <v>142</v>
      </c>
      <c r="E109" s="533">
        <f>'27'!F109</f>
        <v>0</v>
      </c>
      <c r="F109" s="660"/>
      <c r="G109" s="532"/>
      <c r="H109" s="533"/>
      <c r="I109" s="532"/>
      <c r="J109" s="558"/>
      <c r="N109" s="1099"/>
      <c r="O109" s="769"/>
      <c r="P109" s="769"/>
      <c r="Q109" s="769"/>
    </row>
    <row r="110" spans="1:17" s="442" customFormat="1" ht="27">
      <c r="A110" s="1554" t="s">
        <v>218</v>
      </c>
      <c r="B110" s="1555"/>
      <c r="C110" s="1136"/>
      <c r="D110" s="622" t="s">
        <v>142</v>
      </c>
      <c r="E110" s="533">
        <f>'27'!F110</f>
        <v>66795</v>
      </c>
      <c r="F110" s="660">
        <v>66865</v>
      </c>
      <c r="G110" s="532">
        <f>F110-E110</f>
        <v>70</v>
      </c>
      <c r="H110" s="533">
        <f>SUM(G110+'1'!G81)</f>
        <v>201.64000000001397</v>
      </c>
      <c r="I110" s="532"/>
      <c r="J110" s="558">
        <f>H110/DAY(B2)</f>
        <v>7.2014285714290702</v>
      </c>
      <c r="N110" s="1099"/>
      <c r="O110" s="769"/>
      <c r="P110" s="769"/>
      <c r="Q110" s="769"/>
    </row>
    <row r="111" spans="1:17" s="442" customFormat="1" ht="27">
      <c r="A111" s="1554" t="s">
        <v>219</v>
      </c>
      <c r="B111" s="1555"/>
      <c r="C111" s="1136"/>
      <c r="D111" s="622" t="s">
        <v>142</v>
      </c>
      <c r="E111" s="533">
        <f>'27'!F111</f>
        <v>33867</v>
      </c>
      <c r="F111" s="660">
        <v>33886</v>
      </c>
      <c r="G111" s="532">
        <f t="shared" ref="G111:G112" si="14">F111-E111</f>
        <v>19</v>
      </c>
      <c r="H111" s="533">
        <f>SUM(G111+'1'!G82)</f>
        <v>43.899999999994179</v>
      </c>
      <c r="I111" s="532"/>
      <c r="J111" s="558">
        <f>H111/DAY(B2)</f>
        <v>1.567857142856935</v>
      </c>
      <c r="N111" s="1099"/>
      <c r="O111" s="769"/>
      <c r="P111" s="769"/>
      <c r="Q111" s="769"/>
    </row>
    <row r="112" spans="1:17" s="442" customFormat="1" ht="27">
      <c r="A112" s="1554" t="s">
        <v>220</v>
      </c>
      <c r="B112" s="1555"/>
      <c r="C112" s="1136"/>
      <c r="D112" s="622" t="s">
        <v>142</v>
      </c>
      <c r="E112" s="533">
        <f>'27'!F112</f>
        <v>4622</v>
      </c>
      <c r="F112" s="660">
        <v>4622</v>
      </c>
      <c r="G112" s="534">
        <f t="shared" si="14"/>
        <v>0</v>
      </c>
      <c r="H112" s="533">
        <f>SUM(G112+'1'!G83)</f>
        <v>351</v>
      </c>
      <c r="I112" s="532"/>
      <c r="J112" s="558">
        <f>H112/DAY(B2)</f>
        <v>12.535714285714286</v>
      </c>
      <c r="N112" s="1099"/>
      <c r="O112" s="769"/>
      <c r="P112" s="769"/>
      <c r="Q112" s="769"/>
    </row>
    <row r="113" spans="1:17" s="442" customFormat="1" ht="27">
      <c r="A113" s="1556" t="s">
        <v>109</v>
      </c>
      <c r="B113" s="1557"/>
      <c r="C113" s="1136"/>
      <c r="D113" s="622"/>
      <c r="E113" s="533">
        <f>'27'!F113</f>
        <v>0</v>
      </c>
      <c r="F113" s="660"/>
      <c r="G113" s="532">
        <f>SUM(G110:G112)</f>
        <v>89</v>
      </c>
      <c r="H113" s="533">
        <f>SUM(G113+'1'!G84)</f>
        <v>905</v>
      </c>
      <c r="I113" s="532"/>
      <c r="J113" s="558">
        <f>H113/DAY(B2)</f>
        <v>32.321428571428569</v>
      </c>
      <c r="N113" s="1099"/>
      <c r="O113" s="769"/>
      <c r="P113" s="769"/>
      <c r="Q113" s="769"/>
    </row>
    <row r="114" spans="1:17" s="442" customFormat="1" ht="27">
      <c r="A114" s="1560" t="s">
        <v>221</v>
      </c>
      <c r="B114" s="1561"/>
      <c r="C114" s="1136"/>
      <c r="D114" s="622"/>
      <c r="E114" s="533">
        <f>'27'!F114</f>
        <v>0</v>
      </c>
      <c r="F114" s="660"/>
      <c r="G114" s="532"/>
      <c r="H114" s="533"/>
      <c r="I114" s="532"/>
      <c r="J114" s="558">
        <f>H114/DAY(B2)</f>
        <v>0</v>
      </c>
      <c r="N114" s="1099"/>
      <c r="O114" s="769"/>
      <c r="P114" s="769"/>
      <c r="Q114" s="769"/>
    </row>
    <row r="115" spans="1:17" s="442" customFormat="1" ht="27">
      <c r="A115" s="1554" t="s">
        <v>222</v>
      </c>
      <c r="B115" s="1555"/>
      <c r="C115" s="574"/>
      <c r="D115" s="622" t="s">
        <v>142</v>
      </c>
      <c r="E115" s="533">
        <f>'27'!F115</f>
        <v>12403</v>
      </c>
      <c r="F115" s="660">
        <v>12414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0.39285714285714285</v>
      </c>
      <c r="N115" s="1099"/>
      <c r="O115" s="769"/>
      <c r="P115" s="769"/>
      <c r="Q115" s="769"/>
    </row>
    <row r="116" spans="1:17" s="442" customFormat="1" ht="27">
      <c r="A116" s="1554" t="s">
        <v>223</v>
      </c>
      <c r="B116" s="1555"/>
      <c r="C116" s="574"/>
      <c r="D116" s="622" t="s">
        <v>142</v>
      </c>
      <c r="E116" s="533">
        <f>'27'!F116</f>
        <v>8785</v>
      </c>
      <c r="F116" s="660">
        <v>8794</v>
      </c>
      <c r="G116" s="534">
        <f t="shared" ref="G116:G117" si="15">F116-E116</f>
        <v>9</v>
      </c>
      <c r="H116" s="533">
        <f>SUM(G116+'1'!G93)</f>
        <v>98</v>
      </c>
      <c r="I116" s="532"/>
      <c r="J116" s="558">
        <f>H116/DAY(B2)</f>
        <v>3.5</v>
      </c>
      <c r="N116" s="1099"/>
      <c r="O116" s="769"/>
      <c r="P116" s="769"/>
      <c r="Q116" s="769"/>
    </row>
    <row r="117" spans="1:17" s="442" customFormat="1" ht="27">
      <c r="A117" s="1554" t="s">
        <v>224</v>
      </c>
      <c r="B117" s="1555"/>
      <c r="C117" s="574"/>
      <c r="D117" s="622" t="s">
        <v>142</v>
      </c>
      <c r="E117" s="536"/>
      <c r="F117" s="660"/>
      <c r="G117" s="534">
        <f t="shared" si="15"/>
        <v>0</v>
      </c>
      <c r="H117" s="533">
        <f>SUM(G117+'1'!G94)</f>
        <v>97</v>
      </c>
      <c r="I117" s="532"/>
      <c r="J117" s="558">
        <f>H117/DAY(B2)</f>
        <v>3.4642857142857144</v>
      </c>
      <c r="N117" s="1099"/>
      <c r="O117" s="769"/>
      <c r="P117" s="769"/>
      <c r="Q117" s="769"/>
    </row>
    <row r="118" spans="1:17" s="445" customFormat="1" ht="27">
      <c r="A118" s="1556" t="s">
        <v>200</v>
      </c>
      <c r="B118" s="1557"/>
      <c r="C118" s="574"/>
      <c r="D118" s="623"/>
      <c r="E118" s="536"/>
      <c r="F118" s="660"/>
      <c r="G118" s="534">
        <f>SUM(G115:G117)</f>
        <v>20</v>
      </c>
      <c r="H118" s="533">
        <f>SUM(G118+'1'!G96)</f>
        <v>106</v>
      </c>
      <c r="I118" s="534"/>
      <c r="J118" s="558">
        <f>H118/DAY(B2)</f>
        <v>3.7857142857142856</v>
      </c>
      <c r="N118" s="1099"/>
      <c r="O118" s="769"/>
      <c r="P118" s="769"/>
      <c r="Q118" s="770"/>
    </row>
    <row r="119" spans="1:17" s="446" customFormat="1" ht="27">
      <c r="A119" s="1550" t="s">
        <v>225</v>
      </c>
      <c r="B119" s="1551"/>
      <c r="C119" s="1134"/>
      <c r="D119" s="624" t="s">
        <v>142</v>
      </c>
      <c r="E119" s="536"/>
      <c r="F119" s="660"/>
      <c r="G119" s="536">
        <f>SUM(G19+G93)</f>
        <v>127</v>
      </c>
      <c r="H119" s="533">
        <f>SUM(G119+'1'!G97)</f>
        <v>144</v>
      </c>
      <c r="I119" s="535"/>
      <c r="J119" s="559">
        <f>H119/DAY(B2)</f>
        <v>5.1428571428571432</v>
      </c>
      <c r="N119" s="1099"/>
      <c r="O119" s="769"/>
      <c r="P119" s="769"/>
      <c r="Q119" s="770"/>
    </row>
    <row r="120" spans="1:17" s="446" customFormat="1" ht="27">
      <c r="A120" s="1550" t="s">
        <v>226</v>
      </c>
      <c r="B120" s="1551"/>
      <c r="C120" s="1134"/>
      <c r="D120" s="624" t="s">
        <v>142</v>
      </c>
      <c r="E120" s="536"/>
      <c r="F120" s="660"/>
      <c r="G120" s="536">
        <f>SUM(G96,G97,G98,G100,G101)</f>
        <v>128</v>
      </c>
      <c r="H120" s="533">
        <f>SUM(G120+'1'!G99)</f>
        <v>178</v>
      </c>
      <c r="I120" s="535"/>
      <c r="J120" s="559">
        <f>H120/DAY(B2)</f>
        <v>6.3571428571428568</v>
      </c>
      <c r="N120" s="1099"/>
      <c r="O120" s="769"/>
      <c r="P120" s="769"/>
      <c r="Q120" s="770"/>
    </row>
    <row r="121" spans="1:17" s="446" customFormat="1" ht="27">
      <c r="A121" s="1550" t="s">
        <v>227</v>
      </c>
      <c r="B121" s="1551"/>
      <c r="C121" s="1134"/>
      <c r="D121" s="624" t="s">
        <v>142</v>
      </c>
      <c r="E121" s="536"/>
      <c r="F121" s="660"/>
      <c r="G121" s="534">
        <f>SUM(G113)</f>
        <v>89</v>
      </c>
      <c r="H121" s="533">
        <f>SUM(G121+'1'!G101)</f>
        <v>94</v>
      </c>
      <c r="I121" s="535"/>
      <c r="J121" s="559">
        <f>H121/DAY(B2)</f>
        <v>3.3571428571428572</v>
      </c>
      <c r="N121" s="1099"/>
      <c r="O121" s="769"/>
      <c r="P121" s="769"/>
      <c r="Q121" s="770"/>
    </row>
    <row r="122" spans="1:17" s="442" customFormat="1" ht="27">
      <c r="A122" s="1552"/>
      <c r="B122" s="1553"/>
      <c r="C122" s="1135"/>
      <c r="D122" s="560"/>
      <c r="E122" s="765"/>
      <c r="F122" s="752"/>
      <c r="G122" s="560"/>
      <c r="H122" s="561"/>
      <c r="I122" s="560"/>
      <c r="J122" s="562"/>
      <c r="N122" s="1099"/>
      <c r="O122" s="769"/>
      <c r="P122" s="769"/>
      <c r="Q122" s="769"/>
    </row>
    <row r="123" spans="1:17">
      <c r="A123" s="1591" t="s">
        <v>228</v>
      </c>
      <c r="B123" s="1592"/>
      <c r="C123" s="1593"/>
      <c r="D123" s="472"/>
      <c r="E123" s="738"/>
      <c r="F123" s="738"/>
      <c r="G123" s="483"/>
      <c r="H123" s="483"/>
      <c r="I123" s="483"/>
      <c r="J123" s="563"/>
      <c r="K123" s="380"/>
      <c r="L123" s="377"/>
      <c r="N123" s="1099"/>
    </row>
    <row r="124" spans="1:17" ht="27.75">
      <c r="A124" s="1137" t="s">
        <v>229</v>
      </c>
      <c r="B124" s="1138"/>
      <c r="C124" s="1138"/>
      <c r="D124" s="523" t="s">
        <v>139</v>
      </c>
      <c r="E124" s="737">
        <f>'27'!F124</f>
        <v>846937</v>
      </c>
      <c r="F124" s="737">
        <v>847180</v>
      </c>
      <c r="G124" s="473">
        <f t="shared" ref="G124:G128" si="16">F124-E124</f>
        <v>243</v>
      </c>
      <c r="H124" s="460">
        <f>G124+'27'!H124</f>
        <v>7510</v>
      </c>
      <c r="I124" s="526"/>
      <c r="J124" s="552">
        <f>H124/DAY(B2)</f>
        <v>268.21428571428572</v>
      </c>
      <c r="K124" s="380"/>
      <c r="L124" s="377"/>
      <c r="N124" s="1099"/>
    </row>
    <row r="125" spans="1:17" ht="27.75">
      <c r="A125" s="1137" t="s">
        <v>230</v>
      </c>
      <c r="B125" s="1138"/>
      <c r="C125" s="1138"/>
      <c r="D125" s="523" t="s">
        <v>139</v>
      </c>
      <c r="E125" s="737">
        <f>'27'!F125</f>
        <v>73583.399999999994</v>
      </c>
      <c r="F125" s="753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099"/>
    </row>
    <row r="126" spans="1:17" ht="27.75">
      <c r="A126" s="1543" t="s">
        <v>231</v>
      </c>
      <c r="B126" s="1544"/>
      <c r="C126" s="1545"/>
      <c r="D126" s="523" t="s">
        <v>139</v>
      </c>
      <c r="E126" s="737">
        <f>'27'!F126</f>
        <v>150983</v>
      </c>
      <c r="F126" s="737">
        <v>151049</v>
      </c>
      <c r="G126" s="473">
        <f t="shared" si="16"/>
        <v>66</v>
      </c>
      <c r="H126" s="460">
        <f>G126+'27'!H126</f>
        <v>2452</v>
      </c>
      <c r="I126" s="526"/>
      <c r="J126" s="552">
        <f>H126/DAY(B2)</f>
        <v>87.571428571428569</v>
      </c>
      <c r="K126" s="380"/>
      <c r="L126" s="377"/>
      <c r="N126" s="1099"/>
    </row>
    <row r="127" spans="1:17" ht="27.75">
      <c r="A127" s="609" t="s">
        <v>232</v>
      </c>
      <c r="B127" s="1138"/>
      <c r="C127" s="1138"/>
      <c r="D127" s="523" t="s">
        <v>139</v>
      </c>
      <c r="E127" s="737">
        <f>'27'!F127</f>
        <v>33120</v>
      </c>
      <c r="F127" s="753">
        <v>33152</v>
      </c>
      <c r="G127" s="473">
        <f t="shared" si="16"/>
        <v>32</v>
      </c>
      <c r="H127" s="460">
        <f>G127+'27'!H127</f>
        <v>1081</v>
      </c>
      <c r="I127" s="526"/>
      <c r="J127" s="552">
        <f>H127/DAY(B2)</f>
        <v>38.607142857142854</v>
      </c>
      <c r="K127" s="380"/>
      <c r="L127" s="377"/>
      <c r="N127" s="1099"/>
    </row>
    <row r="128" spans="1:17" ht="27.75">
      <c r="A128" s="609" t="s">
        <v>233</v>
      </c>
      <c r="B128" s="1138"/>
      <c r="C128" s="1138"/>
      <c r="D128" s="523" t="s">
        <v>139</v>
      </c>
      <c r="E128" s="737">
        <f>'27'!F128</f>
        <v>9102</v>
      </c>
      <c r="F128" s="753">
        <v>9104</v>
      </c>
      <c r="G128" s="473">
        <f t="shared" si="16"/>
        <v>2</v>
      </c>
      <c r="H128" s="460">
        <f>G128+'27'!H128</f>
        <v>92</v>
      </c>
      <c r="I128" s="480"/>
      <c r="J128" s="552">
        <f>H128/DAY(B2)</f>
        <v>3.2857142857142856</v>
      </c>
      <c r="K128" s="380"/>
      <c r="L128" s="377"/>
      <c r="N128" s="1099"/>
    </row>
    <row r="129" spans="1:17" s="281" customFormat="1" ht="27">
      <c r="A129" s="609" t="s">
        <v>234</v>
      </c>
      <c r="B129" s="1138"/>
      <c r="C129" s="1138"/>
      <c r="D129" s="523"/>
      <c r="E129" s="737"/>
      <c r="F129" s="737"/>
      <c r="G129" s="473">
        <f>G15-SUM(G124:G128)</f>
        <v>348</v>
      </c>
      <c r="H129" s="460"/>
      <c r="I129" s="480"/>
      <c r="J129" s="552"/>
      <c r="K129" s="364"/>
      <c r="L129" s="292"/>
      <c r="N129" s="1099"/>
      <c r="O129" s="769"/>
      <c r="P129" s="769"/>
      <c r="Q129" s="769"/>
    </row>
    <row r="130" spans="1:17">
      <c r="A130" s="610" t="s">
        <v>235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37" t="s">
        <v>236</v>
      </c>
      <c r="B131" s="1138"/>
      <c r="C131" s="1138"/>
      <c r="D131" s="523" t="s">
        <v>237</v>
      </c>
      <c r="E131" s="758">
        <v>0</v>
      </c>
      <c r="F131" s="737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37" t="s">
        <v>238</v>
      </c>
      <c r="B132" s="1138"/>
      <c r="C132" s="1138"/>
      <c r="D132" s="523" t="s">
        <v>237</v>
      </c>
      <c r="E132" s="758">
        <f>'27'!F132</f>
        <v>0</v>
      </c>
      <c r="F132" s="737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37" t="s">
        <v>239</v>
      </c>
      <c r="B133" s="1138"/>
      <c r="C133" s="1138"/>
      <c r="D133" s="523" t="s">
        <v>237</v>
      </c>
      <c r="E133" s="767">
        <f>'27'!F133</f>
        <v>40619</v>
      </c>
      <c r="F133" s="753">
        <v>40619</v>
      </c>
      <c r="G133" s="473">
        <f t="shared" si="17"/>
        <v>0</v>
      </c>
      <c r="H133" s="460">
        <f>G133+'27'!H133</f>
        <v>166</v>
      </c>
      <c r="I133" s="480"/>
      <c r="J133" s="552">
        <f>H133/DAY(B2)</f>
        <v>5.9285714285714288</v>
      </c>
    </row>
    <row r="134" spans="1:17" ht="27.75">
      <c r="A134" s="1137" t="s">
        <v>240</v>
      </c>
      <c r="B134" s="1138"/>
      <c r="C134" s="1138"/>
      <c r="D134" s="523" t="s">
        <v>237</v>
      </c>
      <c r="E134" s="767">
        <f>'27'!F134</f>
        <v>510</v>
      </c>
      <c r="F134" s="753">
        <v>534</v>
      </c>
      <c r="G134" s="473">
        <f t="shared" si="17"/>
        <v>24</v>
      </c>
      <c r="H134" s="460">
        <f>G134+'27'!H134</f>
        <v>234</v>
      </c>
      <c r="I134" s="480">
        <f>G131+G132+G133+G134</f>
        <v>24</v>
      </c>
      <c r="J134" s="552">
        <f>H134/DAY(B2)</f>
        <v>8.3571428571428577</v>
      </c>
    </row>
    <row r="135" spans="1:17" ht="27.75">
      <c r="A135" s="1137" t="s">
        <v>241</v>
      </c>
      <c r="B135" s="1138"/>
      <c r="C135" s="1138"/>
      <c r="D135" s="523" t="s">
        <v>237</v>
      </c>
      <c r="E135" s="767">
        <f>'27'!F135</f>
        <v>42436</v>
      </c>
      <c r="F135" s="753">
        <v>42442</v>
      </c>
      <c r="G135" s="473">
        <f t="shared" si="17"/>
        <v>6</v>
      </c>
      <c r="H135" s="460">
        <f>G135+'27'!H135</f>
        <v>103.88999999999942</v>
      </c>
      <c r="I135" s="480"/>
      <c r="J135" s="552">
        <f>H135/DAY(B2)</f>
        <v>3.7103571428571223</v>
      </c>
      <c r="O135" s="769">
        <f>9-24</f>
        <v>-15</v>
      </c>
    </row>
    <row r="136" spans="1:17" ht="27.75">
      <c r="A136" s="1137" t="s">
        <v>242</v>
      </c>
      <c r="B136" s="1138"/>
      <c r="C136" s="1138"/>
      <c r="D136" s="523" t="s">
        <v>237</v>
      </c>
      <c r="E136" s="766">
        <f>'27'!F136</f>
        <v>32874</v>
      </c>
      <c r="F136" s="744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37" t="s">
        <v>243</v>
      </c>
      <c r="B137" s="1138"/>
      <c r="C137" s="1138"/>
      <c r="D137" s="523" t="s">
        <v>237</v>
      </c>
      <c r="E137" s="766">
        <f>'27'!F137</f>
        <v>23091.78</v>
      </c>
      <c r="F137" s="744">
        <v>23097.58</v>
      </c>
      <c r="G137" s="473">
        <f t="shared" si="17"/>
        <v>5.8000000000029104</v>
      </c>
      <c r="H137" s="460">
        <f>G137+'27'!H137</f>
        <v>206.09000000000015</v>
      </c>
      <c r="I137" s="480">
        <f>G135+G136+G137</f>
        <v>11.80000000000291</v>
      </c>
      <c r="J137" s="552">
        <f>H137/DAY(B2)</f>
        <v>7.3603571428571479</v>
      </c>
    </row>
    <row r="138" spans="1:17" ht="27.75">
      <c r="A138" s="1137" t="s">
        <v>244</v>
      </c>
      <c r="B138" s="1138"/>
      <c r="C138" s="1138"/>
      <c r="D138" s="523" t="s">
        <v>237</v>
      </c>
      <c r="E138" s="766">
        <f>'27'!F138</f>
        <v>25099.16</v>
      </c>
      <c r="F138" s="744">
        <v>25099.18</v>
      </c>
      <c r="G138" s="473">
        <f t="shared" si="17"/>
        <v>2.0000000000436557E-2</v>
      </c>
      <c r="H138" s="460">
        <f>G138+'27'!H138</f>
        <v>8.0200000000004366</v>
      </c>
      <c r="I138" s="480"/>
      <c r="J138" s="552">
        <f>H138/DAY(B2)</f>
        <v>0.28642857142858702</v>
      </c>
    </row>
    <row r="139" spans="1:17" ht="27.75">
      <c r="A139" s="1137" t="s">
        <v>245</v>
      </c>
      <c r="B139" s="1138"/>
      <c r="C139" s="1138"/>
      <c r="D139" s="523" t="s">
        <v>237</v>
      </c>
      <c r="E139" s="766">
        <f>'27'!F139</f>
        <v>70516.600000000006</v>
      </c>
      <c r="F139" s="744">
        <v>70516.600000000006</v>
      </c>
      <c r="G139" s="473">
        <f t="shared" si="17"/>
        <v>0</v>
      </c>
      <c r="H139" s="460">
        <f>G139+'27'!H139</f>
        <v>15</v>
      </c>
      <c r="I139" s="480">
        <f>G138+G139</f>
        <v>2.0000000000436557E-2</v>
      </c>
      <c r="J139" s="552">
        <f>H139/DAY(B2)</f>
        <v>0.5357142857142857</v>
      </c>
    </row>
    <row r="140" spans="1:17" ht="27.75">
      <c r="A140" s="1137" t="s">
        <v>246</v>
      </c>
      <c r="B140" s="1138"/>
      <c r="C140" s="1138"/>
      <c r="D140" s="523" t="s">
        <v>237</v>
      </c>
      <c r="E140" s="767">
        <f>'27'!F140</f>
        <v>2273.79</v>
      </c>
      <c r="F140" s="753">
        <v>2283.1799999999998</v>
      </c>
      <c r="G140" s="473">
        <f t="shared" si="17"/>
        <v>9.3899999999998727</v>
      </c>
      <c r="H140" s="460">
        <f>G140+'27'!H140</f>
        <v>154</v>
      </c>
      <c r="I140" s="542"/>
      <c r="J140" s="552">
        <f>H140/DAY(B2)</f>
        <v>5.5</v>
      </c>
    </row>
    <row r="141" spans="1:17" ht="27.75">
      <c r="A141" s="1137" t="s">
        <v>247</v>
      </c>
      <c r="B141" s="1138"/>
      <c r="C141" s="1138"/>
      <c r="D141" s="523" t="s">
        <v>237</v>
      </c>
      <c r="E141" s="766">
        <f>'27'!F141</f>
        <v>4753.67</v>
      </c>
      <c r="F141" s="737">
        <v>4754</v>
      </c>
      <c r="G141" s="473">
        <f t="shared" si="17"/>
        <v>0.32999999999992724</v>
      </c>
      <c r="H141" s="460">
        <f>G141+'27'!H141</f>
        <v>117</v>
      </c>
      <c r="I141" s="542"/>
      <c r="J141" s="552">
        <f>H141/DAY(B2)</f>
        <v>4.1785714285714288</v>
      </c>
    </row>
    <row r="142" spans="1:17">
      <c r="A142" s="1565" t="s">
        <v>248</v>
      </c>
      <c r="B142" s="1566"/>
      <c r="C142" s="1143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7" ht="27.75">
      <c r="A143" s="1562" t="s">
        <v>249</v>
      </c>
      <c r="B143" s="1563"/>
      <c r="C143" s="1564"/>
      <c r="D143" s="523" t="s">
        <v>130</v>
      </c>
      <c r="E143" s="460"/>
      <c r="F143" s="460"/>
      <c r="G143" s="460">
        <f>G35+G43+G49+G57</f>
        <v>5582.33</v>
      </c>
      <c r="H143" s="460">
        <f>G143+'27'!H143</f>
        <v>156867.51000000004</v>
      </c>
      <c r="I143" s="480"/>
      <c r="J143" s="552">
        <f>H143/DAY(B2)</f>
        <v>5602.4110714285725</v>
      </c>
      <c r="K143" s="380"/>
      <c r="L143" s="377"/>
    </row>
    <row r="144" spans="1:17" ht="27.75">
      <c r="A144" s="1562" t="s">
        <v>250</v>
      </c>
      <c r="B144" s="1563"/>
      <c r="C144" s="1564"/>
      <c r="D144" s="523" t="s">
        <v>24</v>
      </c>
      <c r="E144" s="470"/>
      <c r="F144" s="470"/>
      <c r="G144" s="543">
        <f>G143/G7</f>
        <v>0.26631983206908066</v>
      </c>
      <c r="H144" s="460">
        <f>G144+'27'!H144</f>
        <v>7.1341256749192903</v>
      </c>
      <c r="I144" s="544"/>
      <c r="J144" s="552">
        <f>H144/DAY(B2)</f>
        <v>0.25479020267568891</v>
      </c>
      <c r="K144" s="380"/>
      <c r="L144" s="377"/>
    </row>
    <row r="145" spans="1:12" ht="27.75">
      <c r="A145" s="1562" t="s">
        <v>251</v>
      </c>
      <c r="B145" s="1563"/>
      <c r="C145" s="1564"/>
      <c r="D145" s="523" t="s">
        <v>130</v>
      </c>
      <c r="E145" s="460"/>
      <c r="F145" s="460"/>
      <c r="G145" s="460">
        <f>G41+G42+G55+G56</f>
        <v>6109</v>
      </c>
      <c r="H145" s="460">
        <f>G145+'27'!H145</f>
        <v>190541.11000000002</v>
      </c>
      <c r="I145" s="480"/>
      <c r="J145" s="552">
        <f>H145/DAY(B2)</f>
        <v>6805.039642857143</v>
      </c>
      <c r="K145" s="380"/>
      <c r="L145" s="377"/>
    </row>
    <row r="146" spans="1:12" ht="27.75">
      <c r="A146" s="1562" t="s">
        <v>252</v>
      </c>
      <c r="B146" s="1563"/>
      <c r="C146" s="1564"/>
      <c r="D146" s="523" t="s">
        <v>24</v>
      </c>
      <c r="E146" s="460"/>
      <c r="F146" s="460"/>
      <c r="G146" s="543">
        <f>G145/G7</f>
        <v>0.29144601879681314</v>
      </c>
      <c r="H146" s="460">
        <f>G146+'27'!H146</f>
        <v>8.630657428530208</v>
      </c>
      <c r="I146" s="544"/>
      <c r="J146" s="552">
        <f>H146/DAY(B2)</f>
        <v>0.3082377653046503</v>
      </c>
      <c r="K146" s="380"/>
      <c r="L146" s="377"/>
    </row>
    <row r="147" spans="1:12" ht="27.75">
      <c r="A147" s="1562" t="s">
        <v>253</v>
      </c>
      <c r="B147" s="1563"/>
      <c r="C147" s="1564"/>
      <c r="D147" s="523" t="s">
        <v>130</v>
      </c>
      <c r="E147" s="460"/>
      <c r="F147" s="460"/>
      <c r="G147" s="460">
        <f>G39+G53</f>
        <v>3785</v>
      </c>
      <c r="H147" s="460">
        <f>G147+'27'!H147</f>
        <v>104182</v>
      </c>
      <c r="I147" s="545"/>
      <c r="J147" s="552">
        <f>H147/DAY(B2)</f>
        <v>3720.7857142857142</v>
      </c>
      <c r="K147" s="380"/>
      <c r="L147" s="377"/>
    </row>
    <row r="148" spans="1:12" ht="27.75">
      <c r="A148" s="1562" t="s">
        <v>254</v>
      </c>
      <c r="B148" s="1563"/>
      <c r="C148" s="1564"/>
      <c r="D148" s="523" t="s">
        <v>24</v>
      </c>
      <c r="E148" s="460"/>
      <c r="F148" s="460"/>
      <c r="G148" s="543">
        <f>G147/G7</f>
        <v>0.18057344592338151</v>
      </c>
      <c r="H148" s="460">
        <f>G148+'27'!H148</f>
        <v>4.7371327189744985</v>
      </c>
      <c r="I148" s="545"/>
      <c r="J148" s="552">
        <f>H148/DAY(B2)</f>
        <v>0.16918331139194637</v>
      </c>
    </row>
    <row r="149" spans="1:12" ht="27.75">
      <c r="A149" s="1562" t="s">
        <v>255</v>
      </c>
      <c r="B149" s="1563"/>
      <c r="C149" s="1564"/>
      <c r="D149" s="523" t="s">
        <v>181</v>
      </c>
      <c r="E149" s="460"/>
      <c r="F149" s="460"/>
      <c r="G149" s="460">
        <f>G38+G52</f>
        <v>1549.0699999999488</v>
      </c>
      <c r="H149" s="460">
        <f>G149+'27'!H149</f>
        <v>45012.069999999949</v>
      </c>
      <c r="I149" s="480"/>
      <c r="J149" s="552">
        <f>H149/DAY(B2)</f>
        <v>1607.5739285714267</v>
      </c>
      <c r="K149" s="381"/>
    </row>
    <row r="150" spans="1:12" ht="27.75">
      <c r="A150" s="1562" t="s">
        <v>256</v>
      </c>
      <c r="B150" s="1563"/>
      <c r="C150" s="1564"/>
      <c r="D150" s="523" t="s">
        <v>24</v>
      </c>
      <c r="E150" s="460"/>
      <c r="F150" s="460"/>
      <c r="G150" s="543">
        <f>G149/G7</f>
        <v>7.3902485568434179E-2</v>
      </c>
      <c r="H150" s="460">
        <f>G150+'27'!H150</f>
        <v>2.0427832177589265</v>
      </c>
      <c r="I150" s="545"/>
      <c r="J150" s="552">
        <f>H150/DAY(B2)</f>
        <v>7.2956543491390233E-2</v>
      </c>
    </row>
    <row r="151" spans="1:12" ht="27.75">
      <c r="A151" s="1562" t="s">
        <v>257</v>
      </c>
      <c r="B151" s="1563"/>
      <c r="C151" s="1564"/>
      <c r="D151" s="523" t="s">
        <v>181</v>
      </c>
      <c r="E151" s="460"/>
      <c r="F151" s="460"/>
      <c r="G151" s="460">
        <f>G36+G50</f>
        <v>1594</v>
      </c>
      <c r="H151" s="460">
        <f>G151+'27'!H151</f>
        <v>55484</v>
      </c>
      <c r="I151" s="545"/>
      <c r="J151" s="552">
        <f>H151/DAY(B2)</f>
        <v>1981.5714285714287</v>
      </c>
    </row>
    <row r="152" spans="1:12" ht="27.75">
      <c r="A152" s="1562" t="s">
        <v>258</v>
      </c>
      <c r="B152" s="1563"/>
      <c r="C152" s="1564"/>
      <c r="D152" s="523" t="s">
        <v>24</v>
      </c>
      <c r="E152" s="460"/>
      <c r="F152" s="460"/>
      <c r="G152" s="543">
        <f>G151/G7</f>
        <v>7.6045990172224603E-2</v>
      </c>
      <c r="H152" s="460">
        <f>G152+'27'!H152</f>
        <v>2.5094988987506142</v>
      </c>
      <c r="I152" s="480"/>
      <c r="J152" s="552">
        <f>H152/DAY(B2)</f>
        <v>8.9624960669664785E-2</v>
      </c>
    </row>
    <row r="153" spans="1:12" ht="27.75">
      <c r="A153" s="1562" t="s">
        <v>259</v>
      </c>
      <c r="B153" s="1563"/>
      <c r="C153" s="1564"/>
      <c r="D153" s="523" t="s">
        <v>181</v>
      </c>
      <c r="E153" s="460"/>
      <c r="F153" s="460"/>
      <c r="G153" s="460">
        <f>G37+G51</f>
        <v>1600</v>
      </c>
      <c r="H153" s="460">
        <f>G153+'27'!H153</f>
        <v>44708</v>
      </c>
      <c r="I153" s="480"/>
      <c r="J153" s="552">
        <f>H153/DAY(B2)</f>
        <v>1596.7142857142858</v>
      </c>
    </row>
    <row r="154" spans="1:12" ht="28.5" thickBot="1">
      <c r="A154" s="1600" t="s">
        <v>260</v>
      </c>
      <c r="B154" s="1601"/>
      <c r="C154" s="1602"/>
      <c r="D154" s="625" t="s">
        <v>24</v>
      </c>
      <c r="E154" s="567"/>
      <c r="F154" s="567"/>
      <c r="G154" s="566">
        <f>G153/G7</f>
        <v>7.6332236057440009E-2</v>
      </c>
      <c r="H154" s="460">
        <f>G154+'27'!H154</f>
        <v>2.0302341315333701</v>
      </c>
      <c r="I154" s="568"/>
      <c r="J154" s="569">
        <f>H154/DAY(B2)</f>
        <v>7.25083618404775E-2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84" t="s">
        <v>261</v>
      </c>
      <c r="B161" s="785"/>
      <c r="C161" s="785"/>
      <c r="D161" s="511" t="s">
        <v>185</v>
      </c>
      <c r="E161" s="766">
        <f>'27'!F161</f>
        <v>43011</v>
      </c>
      <c r="F161" s="658">
        <v>43091</v>
      </c>
      <c r="G161" s="473">
        <f t="shared" ref="G161:G164" si="18">F161-E161</f>
        <v>80</v>
      </c>
    </row>
    <row r="162" spans="1:7">
      <c r="A162" s="784" t="s">
        <v>262</v>
      </c>
      <c r="B162" s="785"/>
      <c r="C162" s="785"/>
      <c r="D162" s="511" t="s">
        <v>185</v>
      </c>
      <c r="E162" s="766">
        <f>'27'!F162</f>
        <v>120288</v>
      </c>
      <c r="F162" s="658">
        <v>120749</v>
      </c>
      <c r="G162" s="473">
        <f t="shared" si="18"/>
        <v>461</v>
      </c>
    </row>
    <row r="163" spans="1:7">
      <c r="A163" s="784" t="s">
        <v>263</v>
      </c>
      <c r="B163" s="785"/>
      <c r="C163" s="785"/>
      <c r="D163" s="511" t="s">
        <v>185</v>
      </c>
      <c r="E163" s="766">
        <f>'27'!F163</f>
        <v>66707</v>
      </c>
      <c r="F163" s="658">
        <v>66905</v>
      </c>
      <c r="G163" s="473">
        <f t="shared" si="18"/>
        <v>198</v>
      </c>
    </row>
    <row r="164" spans="1:7">
      <c r="A164" s="784" t="s">
        <v>264</v>
      </c>
      <c r="B164" s="785"/>
      <c r="C164" s="785"/>
      <c r="D164" s="511" t="s">
        <v>185</v>
      </c>
      <c r="E164" s="766">
        <f>'27'!F164</f>
        <v>7101</v>
      </c>
      <c r="F164" s="658">
        <v>7111</v>
      </c>
      <c r="G164" s="473">
        <f t="shared" si="18"/>
        <v>10</v>
      </c>
    </row>
    <row r="165" spans="1:7">
      <c r="A165" s="786" t="s">
        <v>97</v>
      </c>
      <c r="B165" s="604"/>
      <c r="C165" s="604"/>
      <c r="D165" s="511" t="s">
        <v>185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6" t="s">
        <v>186</v>
      </c>
      <c r="B166" s="604"/>
      <c r="C166" s="604"/>
      <c r="D166" s="511" t="s">
        <v>185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549" t="s">
        <v>98</v>
      </c>
      <c r="B167" s="1549"/>
      <c r="C167" s="1549"/>
      <c r="D167" s="523" t="s">
        <v>185</v>
      </c>
      <c r="E167" s="514">
        <f t="shared" si="20"/>
        <v>180340</v>
      </c>
      <c r="F167" s="514">
        <f t="shared" si="21"/>
        <v>180729</v>
      </c>
      <c r="G167" s="473">
        <f t="shared" si="19"/>
        <v>389</v>
      </c>
    </row>
    <row r="168" spans="1:7" ht="27.75">
      <c r="A168" s="1549" t="s">
        <v>99</v>
      </c>
      <c r="B168" s="1549"/>
      <c r="C168" s="1549"/>
      <c r="D168" s="523" t="s">
        <v>185</v>
      </c>
      <c r="E168" s="514">
        <f t="shared" si="20"/>
        <v>180631</v>
      </c>
      <c r="F168" s="514">
        <f t="shared" si="21"/>
        <v>181013</v>
      </c>
      <c r="G168" s="473">
        <f t="shared" si="19"/>
        <v>382</v>
      </c>
    </row>
    <row r="169" spans="1:7" ht="27.75">
      <c r="A169" s="1549" t="s">
        <v>100</v>
      </c>
      <c r="B169" s="1549"/>
      <c r="C169" s="1549"/>
      <c r="D169" s="523" t="s">
        <v>185</v>
      </c>
      <c r="E169" s="514">
        <f t="shared" si="20"/>
        <v>79039</v>
      </c>
      <c r="F169" s="514">
        <f t="shared" si="21"/>
        <v>79435</v>
      </c>
      <c r="G169" s="473">
        <f t="shared" si="19"/>
        <v>396</v>
      </c>
    </row>
    <row r="170" spans="1:7" ht="27.75">
      <c r="A170" s="1549" t="s">
        <v>101</v>
      </c>
      <c r="B170" s="1549"/>
      <c r="C170" s="1549"/>
      <c r="D170" s="523" t="s">
        <v>185</v>
      </c>
      <c r="E170" s="514">
        <f t="shared" si="20"/>
        <v>277989</v>
      </c>
      <c r="F170" s="514">
        <f t="shared" si="21"/>
        <v>278486</v>
      </c>
      <c r="G170" s="473">
        <f t="shared" si="19"/>
        <v>497</v>
      </c>
    </row>
    <row r="171" spans="1:7" ht="27.75">
      <c r="A171" s="1549" t="s">
        <v>102</v>
      </c>
      <c r="B171" s="1549"/>
      <c r="C171" s="1549"/>
      <c r="D171" s="523" t="s">
        <v>185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514">
        <f t="shared" si="20"/>
        <v>95173</v>
      </c>
      <c r="F172" s="514">
        <f t="shared" si="21"/>
        <v>95523</v>
      </c>
      <c r="G172" s="473">
        <f t="shared" si="19"/>
        <v>350</v>
      </c>
    </row>
    <row r="173" spans="1:7">
      <c r="G173" s="539">
        <f>SUM(G161:G172)</f>
        <v>2763</v>
      </c>
    </row>
    <row r="174" spans="1:7" ht="27.75">
      <c r="A174" s="1590" t="s">
        <v>348</v>
      </c>
      <c r="B174" s="1553"/>
      <c r="C174" s="784"/>
      <c r="D174" s="1492" t="s">
        <v>185</v>
      </c>
      <c r="E174" s="1493">
        <v>19121</v>
      </c>
      <c r="F174" s="1493">
        <v>19124</v>
      </c>
      <c r="G174" s="1494">
        <f t="shared" ref="G174:G176" si="22">F174-E174</f>
        <v>3</v>
      </c>
    </row>
    <row r="175" spans="1:7" ht="27.75">
      <c r="A175" s="1590" t="s">
        <v>349</v>
      </c>
      <c r="B175" s="1553"/>
      <c r="C175" s="454"/>
      <c r="D175" s="1492" t="s">
        <v>185</v>
      </c>
      <c r="E175" s="1497">
        <v>27771</v>
      </c>
      <c r="F175" s="1497">
        <v>27774</v>
      </c>
      <c r="G175" s="1494">
        <f t="shared" si="22"/>
        <v>3</v>
      </c>
    </row>
    <row r="176" spans="1:7" ht="27.75">
      <c r="A176" s="1590" t="s">
        <v>348</v>
      </c>
      <c r="B176" s="1553"/>
      <c r="C176" s="454"/>
      <c r="D176" s="1492" t="s">
        <v>185</v>
      </c>
      <c r="E176" s="1493">
        <v>70506</v>
      </c>
      <c r="F176" s="1493">
        <v>70512</v>
      </c>
      <c r="G176" s="1494">
        <f t="shared" si="22"/>
        <v>6</v>
      </c>
    </row>
    <row r="178" spans="1:17">
      <c r="A178" s="1590"/>
      <c r="B178" s="1553"/>
      <c r="C178" s="785"/>
      <c r="D178" s="523"/>
      <c r="E178" s="532"/>
      <c r="F178" s="532"/>
      <c r="G178" s="473"/>
      <c r="N178" s="718"/>
      <c r="O178" s="723"/>
      <c r="P178" s="376"/>
      <c r="Q178" s="376"/>
    </row>
    <row r="179" spans="1:17">
      <c r="A179" s="1590"/>
      <c r="B179" s="1553"/>
      <c r="C179" s="785"/>
      <c r="D179" s="523"/>
      <c r="E179" s="532"/>
      <c r="F179" s="532"/>
      <c r="G179" s="473"/>
      <c r="N179" s="718"/>
      <c r="O179" s="723"/>
      <c r="P179" s="376"/>
      <c r="Q179" s="376"/>
    </row>
    <row r="180" spans="1:17">
      <c r="A180" s="1590"/>
      <c r="B180" s="1553"/>
      <c r="C180" s="785"/>
      <c r="D180" s="523"/>
      <c r="E180" s="532"/>
      <c r="F180" s="532"/>
      <c r="G180" s="473"/>
      <c r="N180" s="718"/>
      <c r="O180" s="723"/>
      <c r="P180" s="376"/>
      <c r="Q180" s="376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A148" zoomScale="55" zoomScaleNormal="78" zoomScaleSheetLayoutView="55" workbookViewId="0">
      <selection activeCell="F174" sqref="F174:F176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69"/>
    <col min="16" max="16384" width="22.33203125" style="376"/>
  </cols>
  <sheetData>
    <row r="1" spans="1:54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54" s="281" customFormat="1" ht="27">
      <c r="A2" s="575" t="s">
        <v>286</v>
      </c>
      <c r="B2" s="1031">
        <v>44345</v>
      </c>
      <c r="C2" s="1139" t="s">
        <v>68</v>
      </c>
      <c r="D2" s="611">
        <v>0.7</v>
      </c>
      <c r="E2" s="736"/>
      <c r="F2" s="736"/>
      <c r="G2" s="461" t="s">
        <v>116</v>
      </c>
      <c r="H2" s="461" t="s">
        <v>6</v>
      </c>
      <c r="I2" s="461" t="s">
        <v>8</v>
      </c>
      <c r="J2" s="613" t="s">
        <v>117</v>
      </c>
      <c r="N2" s="769"/>
      <c r="O2" s="769"/>
    </row>
    <row r="3" spans="1:54" s="281" customFormat="1" ht="27">
      <c r="A3" s="570"/>
      <c r="B3" s="614"/>
      <c r="C3" s="1139" t="s">
        <v>118</v>
      </c>
      <c r="D3" s="612">
        <v>27</v>
      </c>
      <c r="E3" s="1576" t="s">
        <v>119</v>
      </c>
      <c r="F3" s="1577"/>
      <c r="G3" s="462"/>
      <c r="H3" s="463"/>
      <c r="I3" s="463"/>
      <c r="J3" s="615"/>
      <c r="K3" s="371"/>
      <c r="L3" s="292"/>
      <c r="N3" s="769"/>
      <c r="O3" s="769"/>
    </row>
    <row r="4" spans="1:54" s="281" customFormat="1" ht="27">
      <c r="A4" s="576"/>
      <c r="B4" s="616"/>
      <c r="C4" s="1139" t="s">
        <v>120</v>
      </c>
      <c r="D4" s="611">
        <v>0.9</v>
      </c>
      <c r="E4" s="463"/>
      <c r="F4" s="463"/>
      <c r="G4" s="464"/>
      <c r="H4" s="464"/>
      <c r="I4" s="465"/>
      <c r="J4" s="615"/>
      <c r="K4" s="372"/>
      <c r="L4" s="292"/>
      <c r="N4" s="771"/>
      <c r="O4" s="769"/>
    </row>
    <row r="5" spans="1:54">
      <c r="A5" s="577" t="s">
        <v>121</v>
      </c>
      <c r="B5" s="459"/>
      <c r="C5" s="459"/>
      <c r="D5" s="511" t="s">
        <v>122</v>
      </c>
      <c r="E5" s="514" t="s">
        <v>123</v>
      </c>
      <c r="F5" s="514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  <c r="N5" s="771"/>
    </row>
    <row r="6" spans="1:54">
      <c r="A6" s="1570" t="s">
        <v>128</v>
      </c>
      <c r="B6" s="1571"/>
      <c r="C6" s="1572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6" t="s">
        <v>129</v>
      </c>
      <c r="B7" s="677"/>
      <c r="C7" s="677"/>
      <c r="D7" s="637" t="s">
        <v>130</v>
      </c>
      <c r="E7" s="679">
        <f>'28'!F7</f>
        <v>539290</v>
      </c>
      <c r="F7" s="455">
        <v>562268</v>
      </c>
      <c r="G7" s="678">
        <f>F7-E7</f>
        <v>22978</v>
      </c>
      <c r="H7" s="679">
        <f>G7+'28'!H7</f>
        <v>640315</v>
      </c>
      <c r="I7" s="680">
        <f>'1'!I7</f>
        <v>12000</v>
      </c>
      <c r="J7" s="681">
        <f>H7/DAY(B2)</f>
        <v>22079.827586206895</v>
      </c>
      <c r="K7" s="549">
        <v>1703438</v>
      </c>
      <c r="L7" s="377">
        <v>1715917</v>
      </c>
      <c r="O7" s="772"/>
    </row>
    <row r="8" spans="1:54" ht="27.75" thickBot="1">
      <c r="A8" s="682" t="s">
        <v>131</v>
      </c>
      <c r="B8" s="683"/>
      <c r="C8" s="684"/>
      <c r="D8" s="685" t="s">
        <v>25</v>
      </c>
      <c r="E8" s="679">
        <f>'28'!F8</f>
        <v>546938</v>
      </c>
      <c r="F8" s="475">
        <v>570021</v>
      </c>
      <c r="G8" s="689">
        <f>F8-E8</f>
        <v>23083</v>
      </c>
      <c r="H8" s="679">
        <f>G8+'28'!H8</f>
        <v>643299</v>
      </c>
      <c r="I8" s="686"/>
      <c r="J8" s="681">
        <f>H8/DAY(B2)</f>
        <v>22182.724137931036</v>
      </c>
      <c r="K8" s="549">
        <v>1375467</v>
      </c>
      <c r="L8" s="425"/>
      <c r="M8" s="440"/>
      <c r="O8" s="772"/>
    </row>
    <row r="9" spans="1:54">
      <c r="A9" s="687" t="s">
        <v>132</v>
      </c>
      <c r="B9" s="688"/>
      <c r="C9" s="688"/>
      <c r="D9" s="637" t="s">
        <v>130</v>
      </c>
      <c r="E9" s="679">
        <f>'28'!F9</f>
        <v>2630432</v>
      </c>
      <c r="F9" s="737">
        <v>2652678</v>
      </c>
      <c r="G9" s="702">
        <f t="shared" ref="G9:G12" si="0">F9-E9</f>
        <v>22246</v>
      </c>
      <c r="H9" s="679">
        <f>G9+'28'!H9</f>
        <v>621676</v>
      </c>
      <c r="I9" s="690">
        <f>I7-J7</f>
        <v>-10079.827586206895</v>
      </c>
      <c r="J9" s="681">
        <f>H9/DAY(B2)</f>
        <v>21437.103448275862</v>
      </c>
      <c r="K9" s="428"/>
      <c r="L9" s="377"/>
      <c r="O9" s="772"/>
    </row>
    <row r="10" spans="1:54">
      <c r="A10" s="676" t="s">
        <v>133</v>
      </c>
      <c r="B10" s="677"/>
      <c r="C10" s="677"/>
      <c r="D10" s="637" t="s">
        <v>130</v>
      </c>
      <c r="E10" s="679">
        <f>'28'!F10</f>
        <v>2607</v>
      </c>
      <c r="F10" s="737">
        <v>2607</v>
      </c>
      <c r="G10" s="689">
        <f t="shared" si="0"/>
        <v>0</v>
      </c>
      <c r="H10" s="679">
        <f>G10+'28'!H10</f>
        <v>0.74999999999954525</v>
      </c>
      <c r="I10" s="691"/>
      <c r="J10" s="681">
        <f>H10/DAY(B2)</f>
        <v>2.5862068965501559E-2</v>
      </c>
      <c r="K10" s="428"/>
      <c r="L10" s="377"/>
      <c r="BB10" s="376">
        <v>0</v>
      </c>
    </row>
    <row r="11" spans="1:54">
      <c r="A11" s="676" t="s">
        <v>134</v>
      </c>
      <c r="B11" s="677"/>
      <c r="C11" s="677"/>
      <c r="D11" s="637" t="s">
        <v>130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G11+'28'!H11</f>
        <v>0</v>
      </c>
      <c r="I11" s="691"/>
      <c r="J11" s="681">
        <f>H11/DAY(B2)</f>
        <v>0</v>
      </c>
      <c r="K11" s="428"/>
      <c r="L11" s="377"/>
    </row>
    <row r="12" spans="1:54">
      <c r="A12" s="676" t="s">
        <v>135</v>
      </c>
      <c r="B12" s="677"/>
      <c r="C12" s="677"/>
      <c r="D12" s="1094" t="s">
        <v>130</v>
      </c>
      <c r="E12" s="1088">
        <f>'5'!E12</f>
        <v>40010</v>
      </c>
      <c r="F12" s="737">
        <v>40010</v>
      </c>
      <c r="G12" s="689">
        <f t="shared" si="0"/>
        <v>0</v>
      </c>
      <c r="H12" s="679">
        <f>G12+'28'!H12</f>
        <v>0</v>
      </c>
      <c r="I12" s="691"/>
      <c r="J12" s="681">
        <f>H12/DAY(B2)</f>
        <v>0</v>
      </c>
      <c r="K12" s="428"/>
      <c r="L12" s="377"/>
    </row>
    <row r="13" spans="1:54">
      <c r="A13" s="692" t="s">
        <v>136</v>
      </c>
      <c r="B13" s="693"/>
      <c r="C13" s="693"/>
      <c r="D13" s="1094"/>
      <c r="E13" s="1088"/>
      <c r="F13" s="460"/>
      <c r="G13" s="694">
        <f>G9+G10+G11+G12</f>
        <v>22246</v>
      </c>
      <c r="H13" s="1088">
        <f>G13+'28'!H13</f>
        <v>601349.75</v>
      </c>
      <c r="I13" s="1089">
        <f>G7-G13</f>
        <v>732</v>
      </c>
      <c r="J13" s="1090">
        <f>H13/DAY(B2)</f>
        <v>20736.198275862069</v>
      </c>
      <c r="K13" s="428"/>
      <c r="L13" s="377"/>
    </row>
    <row r="14" spans="1:54">
      <c r="A14" s="1573" t="s">
        <v>137</v>
      </c>
      <c r="B14" s="1574"/>
      <c r="C14" s="1575"/>
      <c r="D14" s="1091"/>
      <c r="E14" s="1095"/>
      <c r="F14" s="738"/>
      <c r="G14" s="483"/>
      <c r="H14" s="1091"/>
      <c r="I14" s="1091"/>
      <c r="J14" s="1092"/>
      <c r="K14" s="429"/>
      <c r="L14" s="377"/>
    </row>
    <row r="15" spans="1:54">
      <c r="A15" s="665" t="s">
        <v>138</v>
      </c>
      <c r="B15" s="666"/>
      <c r="C15" s="666"/>
      <c r="D15" s="1096" t="s">
        <v>139</v>
      </c>
      <c r="E15" s="1097">
        <f>'28'!F15</f>
        <v>1726717</v>
      </c>
      <c r="F15" s="700">
        <v>1727705</v>
      </c>
      <c r="G15" s="664">
        <f>(F15-E15)</f>
        <v>988</v>
      </c>
      <c r="H15" s="1084">
        <f>G15+'28'!H15</f>
        <v>24022</v>
      </c>
      <c r="I15" s="1085">
        <f>'1'!I15</f>
        <v>800</v>
      </c>
      <c r="J15" s="1086">
        <f>H15/DAY(B2)</f>
        <v>828.34482758620686</v>
      </c>
      <c r="K15" s="428"/>
      <c r="L15" s="377"/>
    </row>
    <row r="16" spans="1:54">
      <c r="A16" s="673"/>
      <c r="B16" s="674"/>
      <c r="C16" s="674"/>
      <c r="D16" s="1096"/>
      <c r="E16" s="1097"/>
      <c r="F16" s="739"/>
      <c r="G16" s="669"/>
      <c r="H16" s="1084"/>
      <c r="I16" s="1087">
        <f>I15-J15</f>
        <v>-28.344827586206861</v>
      </c>
      <c r="J16" s="1086"/>
      <c r="K16" s="428"/>
      <c r="L16" s="377"/>
    </row>
    <row r="17" spans="1:15">
      <c r="A17" s="1573" t="s">
        <v>140</v>
      </c>
      <c r="B17" s="1574"/>
      <c r="C17" s="1575"/>
      <c r="D17" s="1091"/>
      <c r="E17" s="1095"/>
      <c r="F17" s="738"/>
      <c r="G17" s="488"/>
      <c r="H17" s="1091"/>
      <c r="I17" s="1091"/>
      <c r="J17" s="1092"/>
      <c r="K17" s="428"/>
      <c r="L17" s="377"/>
    </row>
    <row r="18" spans="1:15" ht="27.75">
      <c r="A18" s="1610" t="s">
        <v>141</v>
      </c>
      <c r="B18" s="1611"/>
      <c r="C18" s="1612"/>
      <c r="D18" s="637" t="s">
        <v>142</v>
      </c>
      <c r="E18" s="757">
        <f>'28'!F18</f>
        <v>6</v>
      </c>
      <c r="F18" s="737">
        <v>14</v>
      </c>
      <c r="G18" s="694">
        <f>F18*10</f>
        <v>140</v>
      </c>
      <c r="H18" s="1088">
        <f>G18+'28'!H18</f>
        <v>3740</v>
      </c>
      <c r="I18" s="1093">
        <f>'1'!I18</f>
        <v>65</v>
      </c>
      <c r="J18" s="1090">
        <f>H18/DAY(B2)</f>
        <v>128.9655172413793</v>
      </c>
      <c r="K18" s="428"/>
      <c r="L18" s="377"/>
    </row>
    <row r="19" spans="1:15" ht="27.75">
      <c r="A19" s="1610" t="s">
        <v>70</v>
      </c>
      <c r="B19" s="1611"/>
      <c r="C19" s="1612"/>
      <c r="D19" s="637" t="s">
        <v>142</v>
      </c>
      <c r="E19" s="757">
        <f>'28'!F19</f>
        <v>143201</v>
      </c>
      <c r="F19" s="737">
        <v>143265</v>
      </c>
      <c r="G19" s="689">
        <f t="shared" ref="G19" si="1">F19-E19</f>
        <v>64</v>
      </c>
      <c r="H19" s="679">
        <f>G19+'28'!H19</f>
        <v>1770</v>
      </c>
      <c r="I19" s="696"/>
      <c r="J19" s="681">
        <f>H19/DAY(B2)</f>
        <v>61.03448275862069</v>
      </c>
      <c r="K19" s="428"/>
      <c r="L19" s="377"/>
    </row>
    <row r="20" spans="1:15">
      <c r="A20" s="692" t="s">
        <v>143</v>
      </c>
      <c r="B20" s="693"/>
      <c r="C20" s="693"/>
      <c r="D20" s="637"/>
      <c r="E20" s="679"/>
      <c r="F20" s="460"/>
      <c r="G20" s="697">
        <f>G18+G19</f>
        <v>204</v>
      </c>
      <c r="H20" s="679">
        <f>G20+'28'!H20</f>
        <v>5510</v>
      </c>
      <c r="I20" s="698">
        <f>I18-J20</f>
        <v>-125</v>
      </c>
      <c r="J20" s="681">
        <f>H20/DAY(B2)</f>
        <v>190</v>
      </c>
      <c r="K20" s="428"/>
      <c r="L20" s="377"/>
    </row>
    <row r="21" spans="1:15">
      <c r="A21" s="1573" t="s">
        <v>144</v>
      </c>
      <c r="B21" s="1574"/>
      <c r="C21" s="1575"/>
      <c r="D21" s="472"/>
      <c r="E21" s="738"/>
      <c r="F21" s="738"/>
      <c r="G21" s="483"/>
      <c r="H21" s="472"/>
      <c r="I21" s="472"/>
      <c r="J21" s="551"/>
      <c r="K21" s="428"/>
      <c r="L21" s="377"/>
    </row>
    <row r="22" spans="1:15">
      <c r="A22" s="1137" t="s">
        <v>145</v>
      </c>
      <c r="B22" s="589"/>
      <c r="C22" s="589"/>
      <c r="D22" s="523" t="s">
        <v>146</v>
      </c>
      <c r="E22" s="758">
        <f>'28'!F22</f>
        <v>2970</v>
      </c>
      <c r="F22" s="737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37" t="s">
        <v>147</v>
      </c>
      <c r="B23" s="589"/>
      <c r="C23" s="589"/>
      <c r="D23" s="523" t="s">
        <v>146</v>
      </c>
      <c r="E23" s="758">
        <f>'28'!F23</f>
        <v>2000</v>
      </c>
      <c r="F23" s="737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148</v>
      </c>
      <c r="B24" s="591"/>
      <c r="C24" s="591"/>
      <c r="D24" s="511" t="s">
        <v>146</v>
      </c>
      <c r="E24" s="759">
        <f>'28'!F24</f>
        <v>4970</v>
      </c>
      <c r="F24" s="740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78" t="s">
        <v>149</v>
      </c>
      <c r="B25" s="1579"/>
      <c r="C25" s="1580"/>
      <c r="D25" s="471"/>
      <c r="E25" s="495"/>
      <c r="F25" s="495"/>
      <c r="G25" s="494"/>
      <c r="H25" s="495"/>
      <c r="I25" s="496"/>
      <c r="J25" s="554"/>
      <c r="K25" s="373"/>
      <c r="L25" s="443"/>
      <c r="N25" s="769"/>
      <c r="O25" s="769"/>
    </row>
    <row r="26" spans="1:15" s="442" customFormat="1" ht="27">
      <c r="A26" s="592" t="s">
        <v>150</v>
      </c>
      <c r="B26" s="593"/>
      <c r="C26" s="594"/>
      <c r="D26" s="618" t="s">
        <v>151</v>
      </c>
      <c r="E26" s="760"/>
      <c r="F26" s="460"/>
      <c r="G26" s="498"/>
      <c r="H26" s="460"/>
      <c r="I26" s="499"/>
      <c r="J26" s="552"/>
      <c r="K26" s="374"/>
      <c r="L26" s="443"/>
      <c r="N26" s="769"/>
      <c r="O26" s="769"/>
    </row>
    <row r="27" spans="1:15" s="442" customFormat="1" ht="27">
      <c r="A27" s="592" t="s">
        <v>6</v>
      </c>
      <c r="B27" s="593"/>
      <c r="C27" s="594"/>
      <c r="D27" s="619" t="s">
        <v>25</v>
      </c>
      <c r="E27" s="699">
        <f>G8</f>
        <v>23083</v>
      </c>
      <c r="F27" s="501">
        <v>9</v>
      </c>
      <c r="G27" s="502">
        <f>E27*F27</f>
        <v>207747</v>
      </c>
      <c r="H27" s="460">
        <f>G27+'28'!H27</f>
        <v>5789692.8900000006</v>
      </c>
      <c r="I27" s="503"/>
      <c r="J27" s="552">
        <f>H27/DAY(B2)</f>
        <v>199644.58241379313</v>
      </c>
      <c r="K27" s="373"/>
      <c r="L27" s="443"/>
      <c r="N27" s="769"/>
      <c r="O27" s="769"/>
    </row>
    <row r="28" spans="1:15" s="442" customFormat="1" ht="27">
      <c r="A28" s="592" t="s">
        <v>152</v>
      </c>
      <c r="B28" s="593"/>
      <c r="C28" s="594"/>
      <c r="D28" s="619" t="s">
        <v>153</v>
      </c>
      <c r="E28" s="699">
        <f>G15</f>
        <v>988</v>
      </c>
      <c r="F28" s="501">
        <v>52</v>
      </c>
      <c r="G28" s="502">
        <f>E28*F28</f>
        <v>51376</v>
      </c>
      <c r="H28" s="460">
        <f>G28+'28'!H28</f>
        <v>1249144</v>
      </c>
      <c r="I28" s="505"/>
      <c r="J28" s="552">
        <f>H28/DAY(B2)</f>
        <v>43073.931034482761</v>
      </c>
      <c r="K28" s="373"/>
      <c r="L28" s="443"/>
      <c r="N28" s="769"/>
      <c r="O28" s="769"/>
    </row>
    <row r="29" spans="1:15" s="442" customFormat="1" ht="27">
      <c r="A29" s="592" t="s">
        <v>154</v>
      </c>
      <c r="B29" s="593"/>
      <c r="C29" s="594"/>
      <c r="D29" s="619" t="s">
        <v>155</v>
      </c>
      <c r="E29" s="699">
        <f>G24</f>
        <v>0</v>
      </c>
      <c r="F29" s="699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69"/>
      <c r="O29" s="769"/>
    </row>
    <row r="30" spans="1:15" s="442" customFormat="1" ht="27">
      <c r="A30" s="592" t="s">
        <v>156</v>
      </c>
      <c r="B30" s="593"/>
      <c r="C30" s="594"/>
      <c r="D30" s="619" t="s">
        <v>157</v>
      </c>
      <c r="E30" s="699">
        <f>G19</f>
        <v>64</v>
      </c>
      <c r="F30" s="699">
        <v>146</v>
      </c>
      <c r="G30" s="502">
        <f>E30*F30</f>
        <v>9344</v>
      </c>
      <c r="H30" s="460">
        <f>G30+'28'!H30</f>
        <v>257836</v>
      </c>
      <c r="I30" s="505"/>
      <c r="J30" s="552">
        <f>H30/DAY(B2)</f>
        <v>8890.8965517241377</v>
      </c>
      <c r="K30" s="373"/>
      <c r="L30" s="443"/>
      <c r="N30" s="769"/>
      <c r="O30" s="769"/>
    </row>
    <row r="31" spans="1:15" s="442" customFormat="1" ht="27">
      <c r="A31" s="592" t="s">
        <v>158</v>
      </c>
      <c r="B31" s="593"/>
      <c r="C31" s="594"/>
      <c r="D31" s="619" t="s">
        <v>142</v>
      </c>
      <c r="E31" s="699">
        <f>G18</f>
        <v>140</v>
      </c>
      <c r="F31" s="699">
        <v>80</v>
      </c>
      <c r="G31" s="502">
        <f>E31*F31</f>
        <v>11200</v>
      </c>
      <c r="H31" s="460">
        <f>G31+'28'!H31</f>
        <v>293600</v>
      </c>
      <c r="I31" s="505"/>
      <c r="J31" s="552">
        <f>H31/DAY(B2)</f>
        <v>10124.137931034482</v>
      </c>
      <c r="K31" s="373"/>
      <c r="L31" s="443"/>
      <c r="N31" s="769"/>
      <c r="O31" s="769"/>
    </row>
    <row r="32" spans="1:15" s="442" customFormat="1" ht="27">
      <c r="A32" s="595" t="s">
        <v>159</v>
      </c>
      <c r="B32" s="596"/>
      <c r="C32" s="597"/>
      <c r="D32" s="507"/>
      <c r="E32" s="761"/>
      <c r="F32" s="486"/>
      <c r="G32" s="508">
        <f>G27+G28+G29+G30+G31</f>
        <v>279667</v>
      </c>
      <c r="H32" s="460">
        <f>G32+'28'!H32</f>
        <v>7590272.8900000006</v>
      </c>
      <c r="I32" s="509"/>
      <c r="J32" s="552" t="s">
        <v>376</v>
      </c>
      <c r="K32" s="373"/>
      <c r="L32" s="443"/>
      <c r="N32" s="769"/>
      <c r="O32" s="769"/>
    </row>
    <row r="33" spans="1:15" ht="25.5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</row>
    <row r="34" spans="1:15">
      <c r="A34" s="598" t="s">
        <v>161</v>
      </c>
      <c r="B34" s="1142"/>
      <c r="C34" s="1142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162</v>
      </c>
      <c r="B35" s="579"/>
      <c r="C35" s="579"/>
      <c r="D35" s="523" t="s">
        <v>130</v>
      </c>
      <c r="E35" s="741">
        <f>'28'!F35</f>
        <v>1058597</v>
      </c>
      <c r="F35" s="741">
        <v>1058597</v>
      </c>
      <c r="G35" s="473">
        <f t="shared" ref="G35:G46" si="3">F35-E35</f>
        <v>0</v>
      </c>
      <c r="H35" s="460">
        <f>G35+'28'!H35</f>
        <v>29883</v>
      </c>
      <c r="I35" s="455"/>
      <c r="J35" s="552">
        <f>H35/DAY(B2)</f>
        <v>1030.4482758620691</v>
      </c>
      <c r="K35" s="428"/>
      <c r="L35" s="377"/>
    </row>
    <row r="36" spans="1:15">
      <c r="A36" s="578" t="s">
        <v>163</v>
      </c>
      <c r="B36" s="579"/>
      <c r="C36" s="579"/>
      <c r="D36" s="523" t="s">
        <v>130</v>
      </c>
      <c r="E36" s="741">
        <f>'28'!F36</f>
        <v>43869</v>
      </c>
      <c r="F36" s="741">
        <v>44995</v>
      </c>
      <c r="G36" s="473">
        <f t="shared" si="3"/>
        <v>1126</v>
      </c>
      <c r="H36" s="460">
        <f>G36+'28'!H36</f>
        <v>24534</v>
      </c>
      <c r="I36" s="455"/>
      <c r="J36" s="552">
        <f>H36/DAY(B2)</f>
        <v>846</v>
      </c>
      <c r="K36" s="428"/>
      <c r="L36" s="377"/>
    </row>
    <row r="37" spans="1:15" s="441" customFormat="1">
      <c r="A37" s="1100" t="s">
        <v>164</v>
      </c>
      <c r="B37" s="1104"/>
      <c r="C37" s="1104"/>
      <c r="D37" s="627" t="s">
        <v>130</v>
      </c>
      <c r="E37" s="742">
        <f>'28'!F37</f>
        <v>221278</v>
      </c>
      <c r="F37" s="742">
        <v>222885</v>
      </c>
      <c r="G37" s="652">
        <f t="shared" si="3"/>
        <v>1607</v>
      </c>
      <c r="H37" s="705">
        <f>G37+'28'!H37</f>
        <v>46315</v>
      </c>
      <c r="I37" s="706"/>
      <c r="J37" s="707">
        <f>H37/DAY(B2)</f>
        <v>1597.0689655172414</v>
      </c>
      <c r="K37" s="1102"/>
      <c r="L37" s="1103"/>
      <c r="N37" s="770"/>
      <c r="O37" s="770"/>
    </row>
    <row r="38" spans="1:15" s="441" customFormat="1">
      <c r="A38" s="1100" t="s">
        <v>165</v>
      </c>
      <c r="B38" s="1104"/>
      <c r="C38" s="1104"/>
      <c r="D38" s="627" t="s">
        <v>130</v>
      </c>
      <c r="E38" s="742">
        <f>'28'!F38</f>
        <v>243471</v>
      </c>
      <c r="F38" s="1105">
        <v>245114</v>
      </c>
      <c r="G38" s="652">
        <f t="shared" si="3"/>
        <v>1643</v>
      </c>
      <c r="H38" s="705">
        <f>G38+'28'!H38</f>
        <v>46655</v>
      </c>
      <c r="I38" s="706"/>
      <c r="J38" s="707">
        <f>H38/DAY(B2)</f>
        <v>1608.7931034482758</v>
      </c>
      <c r="K38" s="1102"/>
      <c r="L38" s="1103"/>
      <c r="N38" s="770"/>
      <c r="O38" s="770"/>
    </row>
    <row r="39" spans="1:15" s="441" customFormat="1">
      <c r="A39" s="1100" t="s">
        <v>166</v>
      </c>
      <c r="B39" s="1104"/>
      <c r="C39" s="1104"/>
      <c r="D39" s="627" t="s">
        <v>130</v>
      </c>
      <c r="E39" s="742">
        <f>'28'!F39</f>
        <v>509046</v>
      </c>
      <c r="F39" s="742">
        <v>512863</v>
      </c>
      <c r="G39" s="652">
        <f t="shared" si="3"/>
        <v>3817</v>
      </c>
      <c r="H39" s="705">
        <f>G39+'28'!H39</f>
        <v>107999</v>
      </c>
      <c r="I39" s="706"/>
      <c r="J39" s="707">
        <f>H39/DAY(B2)</f>
        <v>3724.1034482758619</v>
      </c>
      <c r="K39" s="1102"/>
      <c r="L39" s="1103"/>
      <c r="N39" s="770"/>
      <c r="O39" s="770"/>
    </row>
    <row r="40" spans="1:15" s="441" customFormat="1">
      <c r="A40" s="1106" t="s">
        <v>167</v>
      </c>
      <c r="B40" s="1107"/>
      <c r="C40" s="1107"/>
      <c r="D40" s="627" t="s">
        <v>130</v>
      </c>
      <c r="E40" s="742">
        <f>'28'!F40</f>
        <v>18733</v>
      </c>
      <c r="F40" s="742">
        <v>19128</v>
      </c>
      <c r="G40" s="652">
        <f t="shared" si="3"/>
        <v>395</v>
      </c>
      <c r="H40" s="705">
        <f>G40+'28'!H40</f>
        <v>12015</v>
      </c>
      <c r="I40" s="706"/>
      <c r="J40" s="707">
        <f>H40/DAY(B2)</f>
        <v>414.31034482758622</v>
      </c>
      <c r="K40" s="1108"/>
      <c r="L40" s="1103"/>
      <c r="N40" s="770"/>
      <c r="O40" s="770"/>
    </row>
    <row r="41" spans="1:15" s="441" customFormat="1">
      <c r="A41" s="1100" t="s">
        <v>168</v>
      </c>
      <c r="B41" s="1104"/>
      <c r="C41" s="1104"/>
      <c r="D41" s="627" t="s">
        <v>130</v>
      </c>
      <c r="E41" s="742">
        <f>'28'!F41</f>
        <v>366840</v>
      </c>
      <c r="F41" s="742">
        <v>366840</v>
      </c>
      <c r="G41" s="652">
        <f>F41-E41</f>
        <v>0</v>
      </c>
      <c r="H41" s="705">
        <f>G41+'28'!H41</f>
        <v>37198</v>
      </c>
      <c r="I41" s="706"/>
      <c r="J41" s="707">
        <f>H41/DAY(B2)</f>
        <v>1282.6896551724137</v>
      </c>
      <c r="K41" s="1102"/>
      <c r="L41" s="1103"/>
      <c r="N41" s="770"/>
      <c r="O41" s="770"/>
    </row>
    <row r="42" spans="1:15">
      <c r="A42" s="578" t="s">
        <v>169</v>
      </c>
      <c r="B42" s="579"/>
      <c r="C42" s="579"/>
      <c r="D42" s="523" t="s">
        <v>130</v>
      </c>
      <c r="E42" s="741">
        <f>'28'!F42</f>
        <v>107503</v>
      </c>
      <c r="F42" s="741">
        <v>111473</v>
      </c>
      <c r="G42" s="473">
        <f t="shared" si="3"/>
        <v>3970</v>
      </c>
      <c r="H42" s="460">
        <f>G42+'28'!H42</f>
        <v>52274.11</v>
      </c>
      <c r="I42" s="455"/>
      <c r="J42" s="552">
        <f>H42/DAY(B2)</f>
        <v>1802.5555172413792</v>
      </c>
      <c r="K42" s="428"/>
      <c r="L42" s="377"/>
    </row>
    <row r="43" spans="1:15">
      <c r="A43" s="578" t="s">
        <v>170</v>
      </c>
      <c r="B43" s="579"/>
      <c r="C43" s="579"/>
      <c r="D43" s="523" t="s">
        <v>130</v>
      </c>
      <c r="E43" s="741">
        <f>'28'!F43</f>
        <v>1196199</v>
      </c>
      <c r="F43" s="741">
        <v>1198997</v>
      </c>
      <c r="G43" s="473">
        <f t="shared" si="3"/>
        <v>2798</v>
      </c>
      <c r="H43" s="460">
        <f>G43+'28'!H43</f>
        <v>78545</v>
      </c>
      <c r="I43" s="455"/>
      <c r="J43" s="552">
        <f>H43/DAY(B2)</f>
        <v>2708.4482758620688</v>
      </c>
      <c r="K43" s="428"/>
      <c r="L43" s="377"/>
    </row>
    <row r="44" spans="1:15">
      <c r="A44" s="578" t="s">
        <v>171</v>
      </c>
      <c r="B44" s="579"/>
      <c r="C44" s="579"/>
      <c r="D44" s="523" t="s">
        <v>130</v>
      </c>
      <c r="E44" s="741">
        <f>'28'!F44</f>
        <v>0</v>
      </c>
      <c r="F44" s="741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172</v>
      </c>
      <c r="B45" s="579"/>
      <c r="C45" s="579"/>
      <c r="D45" s="523" t="s">
        <v>130</v>
      </c>
      <c r="E45" s="741">
        <f>'28'!F45</f>
        <v>614</v>
      </c>
      <c r="F45" s="741">
        <v>614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173</v>
      </c>
      <c r="B46" s="579"/>
      <c r="C46" s="579"/>
      <c r="D46" s="523" t="s">
        <v>130</v>
      </c>
      <c r="E46" s="741">
        <f>'28'!F46</f>
        <v>187</v>
      </c>
      <c r="F46" s="741">
        <v>187</v>
      </c>
      <c r="G46" s="473">
        <f t="shared" si="3"/>
        <v>0</v>
      </c>
      <c r="H46" s="460">
        <f>G46+'28'!H46</f>
        <v>-0.49000000000000909</v>
      </c>
      <c r="I46" s="455"/>
      <c r="J46" s="552">
        <f>H46/DAY(B2)</f>
        <v>-1.6896551724138245E-2</v>
      </c>
      <c r="K46" s="428"/>
      <c r="L46" s="377"/>
    </row>
    <row r="47" spans="1:15">
      <c r="A47" s="585" t="s">
        <v>174</v>
      </c>
      <c r="B47" s="586"/>
      <c r="C47" s="586"/>
      <c r="D47" s="470"/>
      <c r="E47" s="470"/>
      <c r="F47" s="470"/>
      <c r="G47" s="481">
        <f>G35+G36+G37+G38+G39+G40+G41+G42+G43+G44+G45+G46</f>
        <v>15356</v>
      </c>
      <c r="H47" s="460">
        <f>G47+'28'!H47</f>
        <v>436219.11</v>
      </c>
      <c r="I47" s="455"/>
      <c r="J47" s="552">
        <f>H47/DAY(B2)</f>
        <v>15042.038275862069</v>
      </c>
      <c r="K47" s="428"/>
      <c r="L47" s="377"/>
    </row>
    <row r="48" spans="1:15">
      <c r="A48" s="598" t="s">
        <v>175</v>
      </c>
      <c r="B48" s="1142"/>
      <c r="C48" s="1142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0" t="s">
        <v>162</v>
      </c>
      <c r="B49" s="1101"/>
      <c r="C49" s="1101"/>
      <c r="D49" s="627" t="s">
        <v>130</v>
      </c>
      <c r="E49" s="742">
        <f>'28'!F49</f>
        <v>314988</v>
      </c>
      <c r="F49" s="742">
        <v>318012</v>
      </c>
      <c r="G49" s="652">
        <f t="shared" ref="G49:G58" si="4">F49-E49</f>
        <v>3024</v>
      </c>
      <c r="H49" s="705">
        <f>G49+'28'!H49</f>
        <v>57248</v>
      </c>
      <c r="I49" s="706"/>
      <c r="J49" s="707">
        <f>H49/DAY(B2)</f>
        <v>1974.0689655172414</v>
      </c>
      <c r="K49" s="1102"/>
      <c r="L49" s="1103"/>
      <c r="N49" s="770"/>
      <c r="O49" s="770"/>
    </row>
    <row r="50" spans="1:15" s="441" customFormat="1">
      <c r="A50" s="1100" t="s">
        <v>176</v>
      </c>
      <c r="B50" s="1101" t="s">
        <v>276</v>
      </c>
      <c r="C50" s="1101"/>
      <c r="D50" s="627" t="s">
        <v>130</v>
      </c>
      <c r="E50" s="742">
        <f>'28'!F50</f>
        <v>566739</v>
      </c>
      <c r="F50" s="742">
        <v>567719</v>
      </c>
      <c r="G50" s="652">
        <f t="shared" si="4"/>
        <v>980</v>
      </c>
      <c r="H50" s="705">
        <f>G50+'28'!H50</f>
        <v>31963</v>
      </c>
      <c r="I50" s="706"/>
      <c r="J50" s="707">
        <f>H50/DAY(B2)</f>
        <v>1102.1724137931035</v>
      </c>
      <c r="K50" s="1102"/>
      <c r="L50" s="1103"/>
      <c r="N50" s="770"/>
      <c r="O50" s="770"/>
    </row>
    <row r="51" spans="1:15" s="441" customFormat="1">
      <c r="A51" s="1100" t="s">
        <v>164</v>
      </c>
      <c r="B51" s="1101"/>
      <c r="C51" s="1101"/>
      <c r="D51" s="627" t="s">
        <v>130</v>
      </c>
      <c r="E51" s="742">
        <f>'28'!F51</f>
        <v>144640</v>
      </c>
      <c r="F51" s="742">
        <v>144639.87</v>
      </c>
      <c r="G51" s="652">
        <f t="shared" si="4"/>
        <v>-0.13000000000465661</v>
      </c>
      <c r="H51" s="705">
        <f>G51+'28'!H51</f>
        <v>-0.13000000000465661</v>
      </c>
      <c r="I51" s="706"/>
      <c r="J51" s="707">
        <f>H51/DAY(B2)</f>
        <v>-4.4827586208502279E-3</v>
      </c>
      <c r="K51" s="1102"/>
      <c r="L51" s="1103"/>
      <c r="N51" s="770"/>
      <c r="O51" s="770"/>
    </row>
    <row r="52" spans="1:15" s="441" customFormat="1">
      <c r="A52" s="1100" t="s">
        <v>177</v>
      </c>
      <c r="B52" s="1101"/>
      <c r="C52" s="1101"/>
      <c r="D52" s="627" t="s">
        <v>130</v>
      </c>
      <c r="E52" s="742">
        <f>'28'!F52</f>
        <v>539606.06999999995</v>
      </c>
      <c r="F52" s="742">
        <v>539606.06999999995</v>
      </c>
      <c r="G52" s="652">
        <f t="shared" si="4"/>
        <v>0</v>
      </c>
      <c r="H52" s="705">
        <f>G52+'28'!H52</f>
        <v>0</v>
      </c>
      <c r="I52" s="706"/>
      <c r="J52" s="707">
        <f>H52/DAY(B2)</f>
        <v>0</v>
      </c>
      <c r="K52" s="1102"/>
      <c r="L52" s="1103"/>
      <c r="N52" s="770"/>
      <c r="O52" s="770"/>
    </row>
    <row r="53" spans="1:15" s="441" customFormat="1">
      <c r="A53" s="1100" t="s">
        <v>166</v>
      </c>
      <c r="B53" s="1101"/>
      <c r="C53" s="1101"/>
      <c r="D53" s="627" t="s">
        <v>130</v>
      </c>
      <c r="E53" s="742">
        <f>'28'!F53</f>
        <v>434232</v>
      </c>
      <c r="F53" s="742">
        <v>434232</v>
      </c>
      <c r="G53" s="652">
        <f t="shared" si="4"/>
        <v>0</v>
      </c>
      <c r="H53" s="705">
        <f>G53+'28'!H53</f>
        <v>-0.33000000001629815</v>
      </c>
      <c r="I53" s="706"/>
      <c r="J53" s="707">
        <f>H53/DAY(B2)</f>
        <v>-1.1379310345389592E-2</v>
      </c>
      <c r="K53" s="1102"/>
      <c r="L53" s="1103"/>
      <c r="N53" s="770"/>
      <c r="O53" s="770"/>
    </row>
    <row r="54" spans="1:15">
      <c r="A54" s="578" t="s">
        <v>178</v>
      </c>
      <c r="B54" s="601"/>
      <c r="C54" s="601"/>
      <c r="D54" s="523" t="s">
        <v>130</v>
      </c>
      <c r="E54" s="742">
        <f>'28'!F54</f>
        <v>14967</v>
      </c>
      <c r="F54" s="741">
        <v>14967</v>
      </c>
      <c r="G54" s="473">
        <f t="shared" si="4"/>
        <v>0</v>
      </c>
      <c r="H54" s="460">
        <f>G54+'28'!H54</f>
        <v>0</v>
      </c>
      <c r="I54" s="455"/>
      <c r="J54" s="552">
        <f>H54/DAY(B2)</f>
        <v>0</v>
      </c>
      <c r="K54" s="428"/>
      <c r="L54" s="377"/>
    </row>
    <row r="55" spans="1:15">
      <c r="A55" s="578" t="s">
        <v>179</v>
      </c>
      <c r="B55" s="601"/>
      <c r="C55" s="601"/>
      <c r="D55" s="523" t="s">
        <v>130</v>
      </c>
      <c r="E55" s="742">
        <f>'28'!F55</f>
        <v>222380</v>
      </c>
      <c r="F55" s="742">
        <v>225654</v>
      </c>
      <c r="G55" s="652">
        <f t="shared" si="4"/>
        <v>3274</v>
      </c>
      <c r="H55" s="705">
        <f>G55+'28'!H55</f>
        <v>102444</v>
      </c>
      <c r="I55" s="706"/>
      <c r="J55" s="707">
        <f>H55/DAY(B2)</f>
        <v>3532.5517241379312</v>
      </c>
      <c r="K55" s="428"/>
      <c r="L55" s="377"/>
    </row>
    <row r="56" spans="1:15">
      <c r="A56" s="578" t="s">
        <v>180</v>
      </c>
      <c r="B56" s="601"/>
      <c r="C56" s="601"/>
      <c r="D56" s="523" t="s">
        <v>181</v>
      </c>
      <c r="E56" s="742">
        <f>'28'!F56</f>
        <v>649327</v>
      </c>
      <c r="F56" s="742">
        <v>649338</v>
      </c>
      <c r="G56" s="473">
        <f t="shared" si="4"/>
        <v>11</v>
      </c>
      <c r="H56" s="460">
        <f>G56+'28'!H56</f>
        <v>296</v>
      </c>
      <c r="I56" s="455"/>
      <c r="J56" s="552">
        <f>H56/DAY(B2)</f>
        <v>10.206896551724139</v>
      </c>
      <c r="K56" s="427"/>
      <c r="L56" s="377"/>
    </row>
    <row r="57" spans="1:15">
      <c r="A57" s="578" t="s">
        <v>170</v>
      </c>
      <c r="B57" s="601"/>
      <c r="C57" s="601"/>
      <c r="D57" s="523" t="s">
        <v>130</v>
      </c>
      <c r="E57" s="742">
        <f>'28'!F57</f>
        <v>7711.33</v>
      </c>
      <c r="F57" s="741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182</v>
      </c>
      <c r="B58" s="601"/>
      <c r="C58" s="601"/>
      <c r="D58" s="523" t="s">
        <v>130</v>
      </c>
      <c r="E58" s="742">
        <f>'28'!F58</f>
        <v>59054</v>
      </c>
      <c r="F58" s="742">
        <v>59251</v>
      </c>
      <c r="G58" s="473">
        <f t="shared" si="4"/>
        <v>197</v>
      </c>
      <c r="H58" s="460">
        <f>G58+'28'!H58</f>
        <v>5071</v>
      </c>
      <c r="I58" s="455"/>
      <c r="J58" s="552">
        <f>H58/DAY(B2)</f>
        <v>174.86206896551724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7485.5399999999954</v>
      </c>
      <c r="H59" s="460">
        <f>G59+'28'!H59</f>
        <v>197021.60999999993</v>
      </c>
      <c r="I59" s="455">
        <f>G7-G60</f>
        <v>136.4600000000064</v>
      </c>
      <c r="J59" s="552">
        <f>H59/DAY(B2)</f>
        <v>6793.8486206896523</v>
      </c>
      <c r="K59" s="428"/>
      <c r="L59" s="377"/>
      <c r="O59" s="769">
        <f>159+122+341+154</f>
        <v>776</v>
      </c>
    </row>
    <row r="60" spans="1:15">
      <c r="A60" s="578"/>
      <c r="B60" s="579"/>
      <c r="C60" s="579"/>
      <c r="D60" s="511" t="s">
        <v>183</v>
      </c>
      <c r="E60" s="470"/>
      <c r="F60" s="470"/>
      <c r="G60" s="481">
        <f>G47+G59</f>
        <v>22841.539999999994</v>
      </c>
      <c r="H60" s="460">
        <f>G60+'28'!H60</f>
        <v>640144.05000000005</v>
      </c>
      <c r="I60" s="455">
        <f>G13-G60</f>
        <v>-595.5399999999936</v>
      </c>
      <c r="J60" s="552">
        <f>H60/DAY(B2)</f>
        <v>22073.932758620693</v>
      </c>
      <c r="K60" s="428"/>
      <c r="L60" s="377"/>
    </row>
    <row r="61" spans="1:15">
      <c r="A61" s="602" t="s">
        <v>184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185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186</v>
      </c>
      <c r="B63" s="604"/>
      <c r="C63" s="604"/>
      <c r="D63" s="511" t="s">
        <v>185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43" t="s">
        <v>98</v>
      </c>
      <c r="B64" s="1544"/>
      <c r="C64" s="1545"/>
      <c r="D64" s="523" t="s">
        <v>185</v>
      </c>
      <c r="E64" s="514">
        <f>'28'!F64</f>
        <v>180729</v>
      </c>
      <c r="F64" s="737">
        <v>181134</v>
      </c>
      <c r="G64" s="473">
        <f t="shared" si="5"/>
        <v>405</v>
      </c>
      <c r="H64" s="460">
        <f>G64+'28'!H64</f>
        <v>11112</v>
      </c>
      <c r="I64" s="480"/>
      <c r="J64" s="552">
        <f>H64/DAY(B2)</f>
        <v>383.17241379310343</v>
      </c>
      <c r="K64" s="428"/>
      <c r="L64" s="377"/>
    </row>
    <row r="65" spans="1:12" ht="27.75">
      <c r="A65" s="1543" t="s">
        <v>99</v>
      </c>
      <c r="B65" s="1544"/>
      <c r="C65" s="1545"/>
      <c r="D65" s="523" t="s">
        <v>185</v>
      </c>
      <c r="E65" s="514">
        <f>'28'!F65</f>
        <v>181013</v>
      </c>
      <c r="F65" s="744">
        <v>181412</v>
      </c>
      <c r="G65" s="473">
        <f t="shared" si="5"/>
        <v>399</v>
      </c>
      <c r="H65" s="460">
        <f>G65+'28'!H65</f>
        <v>11110</v>
      </c>
      <c r="I65" s="489"/>
      <c r="J65" s="552">
        <f>H65/DAY(B2)</f>
        <v>383.10344827586209</v>
      </c>
      <c r="K65" s="428"/>
      <c r="L65" s="377"/>
    </row>
    <row r="66" spans="1:12" ht="27.75">
      <c r="A66" s="1543" t="s">
        <v>100</v>
      </c>
      <c r="B66" s="1544"/>
      <c r="C66" s="1545"/>
      <c r="D66" s="523" t="s">
        <v>185</v>
      </c>
      <c r="E66" s="514">
        <f>'28'!F66</f>
        <v>79435</v>
      </c>
      <c r="F66" s="737">
        <v>79841</v>
      </c>
      <c r="G66" s="473">
        <f t="shared" si="5"/>
        <v>406</v>
      </c>
      <c r="H66" s="460">
        <f>G66+'28'!H66</f>
        <v>11871</v>
      </c>
      <c r="I66" s="480"/>
      <c r="J66" s="552">
        <f>H66/DAY(B2)</f>
        <v>409.34482758620692</v>
      </c>
      <c r="K66" s="428"/>
      <c r="L66" s="377"/>
    </row>
    <row r="67" spans="1:12" ht="27.75">
      <c r="A67" s="1543" t="s">
        <v>101</v>
      </c>
      <c r="B67" s="1544"/>
      <c r="C67" s="1545"/>
      <c r="D67" s="523" t="s">
        <v>185</v>
      </c>
      <c r="E67" s="514">
        <f>'28'!F67</f>
        <v>278486</v>
      </c>
      <c r="F67" s="737">
        <v>278995</v>
      </c>
      <c r="G67" s="473">
        <f t="shared" si="5"/>
        <v>509</v>
      </c>
      <c r="H67" s="460">
        <f>G67+'28'!H67</f>
        <v>14036</v>
      </c>
      <c r="I67" s="489"/>
      <c r="J67" s="552">
        <f>H67/DAY(B2)</f>
        <v>484</v>
      </c>
      <c r="K67" s="429"/>
      <c r="L67" s="377"/>
    </row>
    <row r="68" spans="1:12" ht="27.75">
      <c r="A68" s="1543" t="s">
        <v>102</v>
      </c>
      <c r="B68" s="1544"/>
      <c r="C68" s="1545"/>
      <c r="D68" s="523" t="s">
        <v>185</v>
      </c>
      <c r="E68" s="514">
        <f>'28'!F68</f>
        <v>85321</v>
      </c>
      <c r="F68" s="737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43" t="s">
        <v>103</v>
      </c>
      <c r="B69" s="1544"/>
      <c r="C69" s="1545"/>
      <c r="D69" s="523" t="s">
        <v>185</v>
      </c>
      <c r="E69" s="514">
        <f>'28'!F69</f>
        <v>95523</v>
      </c>
      <c r="F69" s="737">
        <v>95873</v>
      </c>
      <c r="G69" s="473">
        <f t="shared" si="5"/>
        <v>350</v>
      </c>
      <c r="H69" s="460">
        <f>G69+'28'!H69</f>
        <v>8358</v>
      </c>
      <c r="I69" s="516"/>
      <c r="J69" s="552">
        <f>H69/DAY(B2)</f>
        <v>288.20689655172413</v>
      </c>
      <c r="K69" s="431"/>
      <c r="L69" s="377"/>
    </row>
    <row r="70" spans="1:12" ht="27.75">
      <c r="A70" s="1584" t="s">
        <v>187</v>
      </c>
      <c r="B70" s="1585"/>
      <c r="C70" s="1586"/>
      <c r="D70" s="523" t="s">
        <v>185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</row>
    <row r="72" spans="1:12" ht="27.75">
      <c r="A72" s="1543" t="s">
        <v>189</v>
      </c>
      <c r="B72" s="1544"/>
      <c r="C72" s="1545"/>
      <c r="D72" s="523" t="s">
        <v>185</v>
      </c>
      <c r="E72" s="762">
        <f>'28'!F72</f>
        <v>856569</v>
      </c>
      <c r="F72" s="746">
        <v>856582</v>
      </c>
      <c r="G72" s="473">
        <f t="shared" ref="G72:G84" si="6">F72-E72</f>
        <v>13</v>
      </c>
      <c r="H72" s="460">
        <f>G72+'28'!H72</f>
        <v>347</v>
      </c>
      <c r="I72" s="480"/>
      <c r="J72" s="552">
        <f>H72/DAY(B2)</f>
        <v>11.96551724137931</v>
      </c>
      <c r="K72" s="431"/>
      <c r="L72" s="377"/>
    </row>
    <row r="73" spans="1:12" ht="27.75">
      <c r="A73" s="1543" t="s">
        <v>190</v>
      </c>
      <c r="B73" s="1544"/>
      <c r="C73" s="1545"/>
      <c r="D73" s="523" t="s">
        <v>185</v>
      </c>
      <c r="E73" s="762">
        <f>'28'!F73</f>
        <v>886009</v>
      </c>
      <c r="F73" s="747">
        <v>886010</v>
      </c>
      <c r="G73" s="652">
        <f>F73-E73</f>
        <v>1</v>
      </c>
      <c r="H73" s="460">
        <f>G73+'28'!H73</f>
        <v>176</v>
      </c>
      <c r="I73" s="480"/>
      <c r="J73" s="552">
        <f>H73/DAY(B2)</f>
        <v>6.068965517241379</v>
      </c>
      <c r="K73" s="430"/>
      <c r="L73" s="377"/>
    </row>
    <row r="74" spans="1:12" ht="27.75">
      <c r="A74" s="1543" t="s">
        <v>191</v>
      </c>
      <c r="B74" s="1544"/>
      <c r="C74" s="1545"/>
      <c r="D74" s="523" t="s">
        <v>185</v>
      </c>
      <c r="E74" s="762">
        <f>'28'!F74</f>
        <v>88729</v>
      </c>
      <c r="F74" s="747">
        <v>88731</v>
      </c>
      <c r="G74" s="473">
        <f t="shared" si="6"/>
        <v>2</v>
      </c>
      <c r="H74" s="460">
        <f>G74+'28'!H74</f>
        <v>69</v>
      </c>
      <c r="I74" s="480"/>
      <c r="J74" s="552">
        <f>H74/DAY(B2)</f>
        <v>2.3793103448275863</v>
      </c>
      <c r="K74" s="431"/>
      <c r="L74" s="377"/>
    </row>
    <row r="75" spans="1:12" ht="27.75">
      <c r="A75" s="1546" t="s">
        <v>192</v>
      </c>
      <c r="B75" s="1547"/>
      <c r="C75" s="1548"/>
      <c r="D75" s="523" t="s">
        <v>185</v>
      </c>
      <c r="E75" s="762">
        <f>'28'!F75</f>
        <v>20429</v>
      </c>
      <c r="F75" s="747">
        <v>20588</v>
      </c>
      <c r="G75" s="473">
        <f t="shared" si="6"/>
        <v>159</v>
      </c>
      <c r="H75" s="460">
        <f>G75+'28'!H75</f>
        <v>4517</v>
      </c>
      <c r="I75" s="480"/>
      <c r="J75" s="552">
        <f>H75/DAY(B2)</f>
        <v>155.75862068965517</v>
      </c>
      <c r="K75" s="430"/>
      <c r="L75" s="377"/>
    </row>
    <row r="76" spans="1:12" ht="27.75">
      <c r="A76" s="1546" t="s">
        <v>193</v>
      </c>
      <c r="B76" s="1547"/>
      <c r="C76" s="1548"/>
      <c r="D76" s="523" t="s">
        <v>185</v>
      </c>
      <c r="E76" s="762">
        <f>'28'!F76</f>
        <v>11211</v>
      </c>
      <c r="F76" s="747">
        <v>11284</v>
      </c>
      <c r="G76" s="473">
        <f t="shared" si="6"/>
        <v>73</v>
      </c>
      <c r="H76" s="460">
        <f>G76+'28'!H76</f>
        <v>3065</v>
      </c>
      <c r="I76" s="505"/>
      <c r="J76" s="552">
        <f>H76/DAY(B2)</f>
        <v>105.68965517241379</v>
      </c>
      <c r="K76" s="430"/>
      <c r="L76" s="377"/>
    </row>
    <row r="77" spans="1:12" ht="27.75">
      <c r="A77" s="1543" t="s">
        <v>194</v>
      </c>
      <c r="B77" s="1544"/>
      <c r="C77" s="1545"/>
      <c r="D77" s="523" t="s">
        <v>185</v>
      </c>
      <c r="E77" s="762">
        <f>'28'!F77</f>
        <v>706269</v>
      </c>
      <c r="F77" s="747">
        <v>706327</v>
      </c>
      <c r="G77" s="652">
        <f t="shared" si="6"/>
        <v>58</v>
      </c>
      <c r="H77" s="460">
        <f>G77+'28'!H77</f>
        <v>1953</v>
      </c>
      <c r="I77" s="505"/>
      <c r="J77" s="552">
        <f>H77/DAY(B2)</f>
        <v>67.34482758620689</v>
      </c>
      <c r="K77" s="430"/>
      <c r="L77" s="377"/>
    </row>
    <row r="78" spans="1:12" ht="27.75">
      <c r="A78" s="1140" t="s">
        <v>195</v>
      </c>
      <c r="B78" s="1113"/>
      <c r="C78" s="1113"/>
      <c r="D78" s="523" t="s">
        <v>185</v>
      </c>
      <c r="E78" s="762">
        <f>'28'!F78</f>
        <v>678366</v>
      </c>
      <c r="F78" s="747">
        <v>678496</v>
      </c>
      <c r="G78" s="652">
        <f t="shared" si="6"/>
        <v>130</v>
      </c>
      <c r="H78" s="460">
        <f>G78+'28'!H78</f>
        <v>3082</v>
      </c>
      <c r="I78" s="505"/>
      <c r="J78" s="552">
        <f>H78/DAY(B2)</f>
        <v>106.27586206896552</v>
      </c>
      <c r="K78" s="430"/>
      <c r="L78" s="377"/>
    </row>
    <row r="79" spans="1:12" ht="27.75">
      <c r="A79" s="1546" t="s">
        <v>91</v>
      </c>
      <c r="B79" s="1547"/>
      <c r="C79" s="1548"/>
      <c r="D79" s="524" t="s">
        <v>185</v>
      </c>
      <c r="E79" s="762">
        <f>'28'!F79</f>
        <v>839767</v>
      </c>
      <c r="F79" s="748">
        <v>839915</v>
      </c>
      <c r="G79" s="473">
        <f t="shared" si="6"/>
        <v>148</v>
      </c>
      <c r="H79" s="460">
        <f>G79+'28'!H79</f>
        <v>3761</v>
      </c>
      <c r="I79" s="505"/>
      <c r="J79" s="552">
        <f>H79/DAY(B2)</f>
        <v>129.68965517241378</v>
      </c>
      <c r="K79" s="430"/>
      <c r="L79" s="377"/>
    </row>
    <row r="80" spans="1:12" ht="27.75">
      <c r="A80" s="1546" t="s">
        <v>196</v>
      </c>
      <c r="B80" s="1547"/>
      <c r="C80" s="1548"/>
      <c r="D80" s="524" t="s">
        <v>185</v>
      </c>
      <c r="E80" s="762">
        <f>'28'!F80</f>
        <v>550747</v>
      </c>
      <c r="F80" s="747">
        <v>551128</v>
      </c>
      <c r="G80" s="473">
        <f t="shared" si="6"/>
        <v>381</v>
      </c>
      <c r="H80" s="460">
        <f>G80+'28'!H80</f>
        <v>8737</v>
      </c>
      <c r="I80" s="505"/>
      <c r="J80" s="552">
        <f>H80/DAY(B2)</f>
        <v>301.27586206896552</v>
      </c>
      <c r="K80" s="430"/>
      <c r="L80" s="377"/>
    </row>
    <row r="81" spans="1:15" ht="27.75">
      <c r="A81" s="1546" t="s">
        <v>197</v>
      </c>
      <c r="B81" s="1547"/>
      <c r="C81" s="1548"/>
      <c r="D81" s="524" t="s">
        <v>185</v>
      </c>
      <c r="E81" s="762">
        <f>'28'!F81</f>
        <v>648448</v>
      </c>
      <c r="F81" s="747">
        <v>648645</v>
      </c>
      <c r="G81" s="473">
        <f t="shared" si="6"/>
        <v>197</v>
      </c>
      <c r="H81" s="460">
        <f>G81+'28'!H81</f>
        <v>5660</v>
      </c>
      <c r="I81" s="505"/>
      <c r="J81" s="552">
        <f>H81/DAY(B2)</f>
        <v>195.17241379310346</v>
      </c>
      <c r="K81" s="430"/>
      <c r="L81" s="377"/>
    </row>
    <row r="82" spans="1:15" ht="27.75">
      <c r="A82" s="1546" t="s">
        <v>92</v>
      </c>
      <c r="B82" s="1547"/>
      <c r="C82" s="1548"/>
      <c r="D82" s="485" t="s">
        <v>130</v>
      </c>
      <c r="E82" s="762">
        <f>'28'!F82</f>
        <v>109268</v>
      </c>
      <c r="F82" s="744">
        <v>109295</v>
      </c>
      <c r="G82" s="473">
        <f t="shared" si="6"/>
        <v>27</v>
      </c>
      <c r="H82" s="460">
        <f>G82+'28'!H82</f>
        <v>614</v>
      </c>
      <c r="I82" s="486"/>
      <c r="J82" s="552">
        <f>H82/DAY(B2)</f>
        <v>21.172413793103448</v>
      </c>
      <c r="K82" s="430"/>
      <c r="L82" s="377"/>
    </row>
    <row r="83" spans="1:15" ht="27.75">
      <c r="A83" s="1546" t="s">
        <v>198</v>
      </c>
      <c r="B83" s="1547"/>
      <c r="C83" s="1548"/>
      <c r="D83" s="620" t="s">
        <v>130</v>
      </c>
      <c r="E83" s="762">
        <f>'28'!F83</f>
        <v>34091</v>
      </c>
      <c r="F83" s="470">
        <v>34387</v>
      </c>
      <c r="G83" s="473">
        <f t="shared" si="6"/>
        <v>296</v>
      </c>
      <c r="H83" s="460">
        <f>G83+'28'!H83</f>
        <v>6836</v>
      </c>
      <c r="I83" s="481"/>
      <c r="J83" s="552">
        <f>H83/DAY(B2)</f>
        <v>235.72413793103448</v>
      </c>
      <c r="K83" s="429"/>
      <c r="L83" s="377"/>
    </row>
    <row r="84" spans="1:15">
      <c r="A84" s="1141" t="s">
        <v>199</v>
      </c>
      <c r="B84" s="571"/>
      <c r="C84" s="571"/>
      <c r="D84" s="478" t="s">
        <v>130</v>
      </c>
      <c r="E84" s="762">
        <f>'28'!F84</f>
        <v>544978</v>
      </c>
      <c r="F84" s="705">
        <v>545771</v>
      </c>
      <c r="G84" s="473">
        <f t="shared" si="6"/>
        <v>793</v>
      </c>
      <c r="H84" s="460">
        <f>G84+'28'!H84</f>
        <v>22691</v>
      </c>
      <c r="I84" s="481"/>
      <c r="J84" s="552">
        <f>H84/DAY(B2)</f>
        <v>782.44827586206895</v>
      </c>
      <c r="K84" s="380"/>
      <c r="L84" s="377"/>
    </row>
    <row r="85" spans="1:15" s="379" customFormat="1">
      <c r="A85" s="605" t="s">
        <v>200</v>
      </c>
      <c r="B85" s="572"/>
      <c r="C85" s="572"/>
      <c r="D85" s="489"/>
      <c r="E85" s="705">
        <f>'28'!F85</f>
        <v>0</v>
      </c>
      <c r="F85" s="460"/>
      <c r="G85" s="460">
        <f xml:space="preserve"> SUM(G72:G84)</f>
        <v>2278</v>
      </c>
      <c r="H85" s="460">
        <f>G85+'28'!H85</f>
        <v>64382</v>
      </c>
      <c r="I85" s="481"/>
      <c r="J85" s="552">
        <f>H85/DAY(B2)</f>
        <v>2220.0689655172414</v>
      </c>
      <c r="K85" s="380"/>
      <c r="L85" s="378"/>
      <c r="N85" s="769"/>
      <c r="O85" s="769"/>
    </row>
    <row r="86" spans="1:15" s="735" customFormat="1">
      <c r="A86" s="730" t="s">
        <v>93</v>
      </c>
      <c r="B86" s="731"/>
      <c r="C86" s="731"/>
      <c r="D86" s="732" t="s">
        <v>181</v>
      </c>
      <c r="E86" s="705">
        <f>'28'!F86</f>
        <v>462465</v>
      </c>
      <c r="F86" s="749">
        <v>462474</v>
      </c>
      <c r="G86" s="705">
        <f t="shared" ref="G86:G91" si="7">F86-E86</f>
        <v>9</v>
      </c>
      <c r="H86" s="705">
        <f t="shared" ref="H86:H88" si="8">G86</f>
        <v>9</v>
      </c>
      <c r="I86" s="652"/>
      <c r="J86" s="707">
        <f>H86/DAY(B2)</f>
        <v>0.31034482758620691</v>
      </c>
      <c r="K86" s="733"/>
      <c r="L86" s="734"/>
      <c r="N86" s="770"/>
      <c r="O86" s="770"/>
    </row>
    <row r="87" spans="1:15" s="735" customFormat="1">
      <c r="A87" s="730" t="s">
        <v>94</v>
      </c>
      <c r="B87" s="731"/>
      <c r="C87" s="731"/>
      <c r="D87" s="732" t="s">
        <v>181</v>
      </c>
      <c r="E87" s="705">
        <f>'28'!F87</f>
        <v>82857</v>
      </c>
      <c r="F87" s="749">
        <v>82896</v>
      </c>
      <c r="G87" s="705">
        <f t="shared" si="7"/>
        <v>39</v>
      </c>
      <c r="H87" s="705">
        <f t="shared" si="8"/>
        <v>39</v>
      </c>
      <c r="I87" s="652"/>
      <c r="J87" s="707">
        <f>H87/DAY(B2)</f>
        <v>1.3448275862068966</v>
      </c>
      <c r="K87" s="733"/>
      <c r="L87" s="734"/>
      <c r="N87" s="770"/>
      <c r="O87" s="770"/>
    </row>
    <row r="88" spans="1:15" s="735" customFormat="1">
      <c r="A88" s="730" t="s">
        <v>95</v>
      </c>
      <c r="B88" s="731"/>
      <c r="C88" s="731"/>
      <c r="D88" s="732" t="s">
        <v>181</v>
      </c>
      <c r="E88" s="705">
        <f>'28'!F88</f>
        <v>158159</v>
      </c>
      <c r="F88" s="749">
        <v>158182</v>
      </c>
      <c r="G88" s="705">
        <f t="shared" si="7"/>
        <v>23</v>
      </c>
      <c r="H88" s="705">
        <f t="shared" si="8"/>
        <v>23</v>
      </c>
      <c r="I88" s="652"/>
      <c r="J88" s="707">
        <f>H88/DAY(B2)</f>
        <v>0.7931034482758621</v>
      </c>
      <c r="K88" s="733"/>
      <c r="L88" s="734"/>
      <c r="N88" s="770">
        <f>122+359</f>
        <v>481</v>
      </c>
      <c r="O88" s="770"/>
    </row>
    <row r="89" spans="1:15" s="735" customFormat="1">
      <c r="A89" s="730" t="s">
        <v>202</v>
      </c>
      <c r="B89" s="731"/>
      <c r="C89" s="731"/>
      <c r="D89" s="732" t="s">
        <v>181</v>
      </c>
      <c r="E89" s="705">
        <f>'28'!F89</f>
        <v>66934</v>
      </c>
      <c r="F89" s="647">
        <v>66996</v>
      </c>
      <c r="G89" s="705">
        <f t="shared" si="7"/>
        <v>62</v>
      </c>
      <c r="H89" s="705">
        <f>G89</f>
        <v>62</v>
      </c>
      <c r="I89" s="652"/>
      <c r="J89" s="707">
        <f>H89/DAY(B2)</f>
        <v>2.1379310344827585</v>
      </c>
      <c r="K89" s="733"/>
      <c r="L89" s="734"/>
    </row>
    <row r="90" spans="1:15" s="735" customFormat="1">
      <c r="A90" s="730" t="s">
        <v>202</v>
      </c>
      <c r="B90" s="731"/>
      <c r="C90" s="731"/>
      <c r="D90" s="732" t="s">
        <v>181</v>
      </c>
      <c r="E90" s="705">
        <f>'28'!F90</f>
        <v>3450</v>
      </c>
      <c r="F90" s="647">
        <v>3455</v>
      </c>
      <c r="G90" s="705">
        <f t="shared" si="7"/>
        <v>5</v>
      </c>
      <c r="H90" s="705">
        <f>G90</f>
        <v>5</v>
      </c>
      <c r="I90" s="652"/>
      <c r="J90" s="707">
        <f>H90/DAY(B2)</f>
        <v>0.17241379310344829</v>
      </c>
      <c r="K90" s="733"/>
      <c r="L90" s="734"/>
    </row>
    <row r="91" spans="1:15" s="735" customFormat="1">
      <c r="A91" s="730" t="s">
        <v>346</v>
      </c>
      <c r="B91" s="731"/>
      <c r="C91" s="731"/>
      <c r="D91" s="732"/>
      <c r="E91" s="705">
        <f>'28'!F91</f>
        <v>28474</v>
      </c>
      <c r="F91" s="647">
        <v>28484</v>
      </c>
      <c r="G91" s="705">
        <f t="shared" si="7"/>
        <v>10</v>
      </c>
      <c r="H91" s="705">
        <f>G91</f>
        <v>10</v>
      </c>
      <c r="I91" s="652"/>
      <c r="J91" s="707">
        <f>H91/DAY(B2)</f>
        <v>0.34482758620689657</v>
      </c>
      <c r="K91" s="733"/>
      <c r="L91" s="734"/>
      <c r="N91" s="777"/>
      <c r="O91" s="382"/>
    </row>
    <row r="92" spans="1:15" s="379" customFormat="1">
      <c r="A92" s="606" t="s">
        <v>203</v>
      </c>
      <c r="B92" s="1143"/>
      <c r="C92" s="1143"/>
      <c r="D92" s="472"/>
      <c r="E92" s="738"/>
      <c r="F92" s="738"/>
      <c r="G92" s="488"/>
      <c r="H92" s="472"/>
      <c r="I92" s="472"/>
      <c r="J92" s="551"/>
      <c r="K92" s="380"/>
      <c r="L92" s="378"/>
      <c r="N92" s="769"/>
      <c r="O92" s="769"/>
    </row>
    <row r="93" spans="1:15" ht="27.75">
      <c r="A93" s="1562" t="s">
        <v>204</v>
      </c>
      <c r="B93" s="1563"/>
      <c r="C93" s="1564"/>
      <c r="D93" s="523" t="s">
        <v>142</v>
      </c>
      <c r="E93" s="758">
        <f>'28'!F93</f>
        <v>250059</v>
      </c>
      <c r="F93" s="737">
        <v>250126</v>
      </c>
      <c r="G93" s="473">
        <f>F93-E93</f>
        <v>67</v>
      </c>
      <c r="H93" s="460">
        <f>G93+'28'!H93</f>
        <v>2774</v>
      </c>
      <c r="I93" s="480"/>
      <c r="J93" s="552">
        <f>H93/DAY(B2)</f>
        <v>95.65517241379311</v>
      </c>
      <c r="K93" s="429"/>
      <c r="L93" s="377"/>
    </row>
    <row r="94" spans="1:15" ht="27.75">
      <c r="A94" s="1562" t="s">
        <v>205</v>
      </c>
      <c r="B94" s="1563"/>
      <c r="C94" s="1564"/>
      <c r="D94" s="523" t="s">
        <v>142</v>
      </c>
      <c r="E94" s="758">
        <f>'28'!F94</f>
        <v>192611</v>
      </c>
      <c r="F94" s="737">
        <v>192719</v>
      </c>
      <c r="G94" s="473">
        <f>F94-E94</f>
        <v>108</v>
      </c>
      <c r="H94" s="460">
        <f>G94+'28'!H94</f>
        <v>3265</v>
      </c>
      <c r="I94" s="480"/>
      <c r="J94" s="552">
        <f>H94/DAY(B2)</f>
        <v>112.58620689655173</v>
      </c>
      <c r="K94" s="380"/>
      <c r="L94" s="377"/>
    </row>
    <row r="95" spans="1:15">
      <c r="A95" s="1594" t="s">
        <v>206</v>
      </c>
      <c r="B95" s="1595"/>
      <c r="C95" s="1596"/>
      <c r="D95" s="523"/>
      <c r="E95" s="758"/>
      <c r="F95" s="737">
        <v>3</v>
      </c>
      <c r="G95" s="473">
        <f>G93+G94</f>
        <v>175</v>
      </c>
      <c r="H95" s="460">
        <f>G95+'28'!H95</f>
        <v>5853</v>
      </c>
      <c r="I95" s="480"/>
      <c r="J95" s="552">
        <f>H95/DAY(B2)</f>
        <v>201.82758620689654</v>
      </c>
      <c r="K95" s="380"/>
      <c r="L95" s="377"/>
    </row>
    <row r="96" spans="1:15" ht="27.75">
      <c r="A96" s="1562" t="s">
        <v>207</v>
      </c>
      <c r="B96" s="1563"/>
      <c r="C96" s="1564"/>
      <c r="D96" s="523" t="s">
        <v>142</v>
      </c>
      <c r="E96" s="758">
        <f>'28'!F96</f>
        <v>418314</v>
      </c>
      <c r="F96" s="737">
        <v>418383</v>
      </c>
      <c r="G96" s="473">
        <f t="shared" ref="G96:G101" si="9">F96-E96</f>
        <v>69</v>
      </c>
      <c r="H96" s="460">
        <f>G96+'28'!H96</f>
        <v>2384</v>
      </c>
      <c r="I96" s="480"/>
      <c r="J96" s="552">
        <f>H96/DAY(B2)</f>
        <v>82.206896551724142</v>
      </c>
      <c r="K96" s="380"/>
      <c r="L96" s="377"/>
    </row>
    <row r="97" spans="1:15" ht="27.75">
      <c r="A97" s="1137" t="s">
        <v>208</v>
      </c>
      <c r="B97" s="1138"/>
      <c r="C97" s="1138"/>
      <c r="D97" s="523" t="s">
        <v>142</v>
      </c>
      <c r="E97" s="758">
        <f>'28'!F97</f>
        <v>103782</v>
      </c>
      <c r="F97" s="737">
        <v>103802</v>
      </c>
      <c r="G97" s="473">
        <f t="shared" si="9"/>
        <v>20</v>
      </c>
      <c r="H97" s="460">
        <f>G97+'28'!H97</f>
        <v>639</v>
      </c>
      <c r="I97" s="480"/>
      <c r="J97" s="552">
        <f>H97/DAY(B2)</f>
        <v>22.03448275862069</v>
      </c>
      <c r="K97" s="427"/>
      <c r="L97" s="377"/>
    </row>
    <row r="98" spans="1:15" ht="27.75">
      <c r="A98" s="1137" t="s">
        <v>209</v>
      </c>
      <c r="B98" s="1138"/>
      <c r="C98" s="1138"/>
      <c r="D98" s="523" t="s">
        <v>142</v>
      </c>
      <c r="E98" s="758">
        <f>'28'!F98</f>
        <v>99366</v>
      </c>
      <c r="F98" s="737">
        <v>99391</v>
      </c>
      <c r="G98" s="473">
        <f t="shared" si="9"/>
        <v>25</v>
      </c>
      <c r="H98" s="460">
        <f>G98+'28'!H98</f>
        <v>734</v>
      </c>
      <c r="I98" s="480"/>
      <c r="J98" s="552">
        <f>H98/DAY(B2)</f>
        <v>25.310344827586206</v>
      </c>
      <c r="K98" s="432"/>
      <c r="L98" s="377"/>
    </row>
    <row r="99" spans="1:15" ht="27.75">
      <c r="A99" s="1137" t="s">
        <v>210</v>
      </c>
      <c r="B99" s="1138"/>
      <c r="C99" s="1138"/>
      <c r="D99" s="523" t="s">
        <v>142</v>
      </c>
      <c r="E99" s="758">
        <f>'28'!F99</f>
        <v>151183</v>
      </c>
      <c r="F99" s="737">
        <v>151213</v>
      </c>
      <c r="G99" s="473">
        <f t="shared" si="9"/>
        <v>30</v>
      </c>
      <c r="H99" s="460">
        <f>G99+'28'!H99</f>
        <v>808</v>
      </c>
      <c r="I99" s="480"/>
      <c r="J99" s="552">
        <f>H99/DAY(B2)</f>
        <v>27.862068965517242</v>
      </c>
      <c r="K99" s="380"/>
      <c r="L99" s="377"/>
    </row>
    <row r="100" spans="1:15" ht="27.75">
      <c r="A100" s="1137" t="s">
        <v>211</v>
      </c>
      <c r="B100" s="1138"/>
      <c r="C100" s="1138"/>
      <c r="D100" s="523" t="s">
        <v>142</v>
      </c>
      <c r="E100" s="758">
        <f>'28'!F100</f>
        <v>8124</v>
      </c>
      <c r="F100" s="737">
        <v>8131</v>
      </c>
      <c r="G100" s="473">
        <f t="shared" si="9"/>
        <v>7</v>
      </c>
      <c r="H100" s="460">
        <f>G100+'28'!H100</f>
        <v>334</v>
      </c>
      <c r="I100" s="480"/>
      <c r="J100" s="552">
        <f>H100/DAY(B2)</f>
        <v>11.517241379310345</v>
      </c>
      <c r="K100" s="380"/>
      <c r="L100" s="377"/>
    </row>
    <row r="101" spans="1:15" ht="27.75">
      <c r="A101" s="1137" t="s">
        <v>212</v>
      </c>
      <c r="B101" s="1138"/>
      <c r="C101" s="1138"/>
      <c r="D101" s="523" t="s">
        <v>142</v>
      </c>
      <c r="E101" s="758">
        <f>'28'!F101</f>
        <v>5957</v>
      </c>
      <c r="F101" s="737">
        <v>5967</v>
      </c>
      <c r="G101" s="473">
        <f t="shared" si="9"/>
        <v>10</v>
      </c>
      <c r="H101" s="460">
        <f>G101+'28'!H101</f>
        <v>293</v>
      </c>
      <c r="I101" s="480"/>
      <c r="J101" s="552">
        <f>H101/DAY(B2)</f>
        <v>10.103448275862069</v>
      </c>
      <c r="K101" s="380"/>
      <c r="L101" s="377"/>
    </row>
    <row r="102" spans="1:15">
      <c r="A102" s="1594" t="s">
        <v>214</v>
      </c>
      <c r="B102" s="1595"/>
      <c r="C102" s="1596"/>
      <c r="D102" s="524"/>
      <c r="E102" s="486"/>
      <c r="F102" s="486"/>
      <c r="G102" s="525">
        <f>SUM(G96:G101)</f>
        <v>161</v>
      </c>
      <c r="H102" s="460">
        <f>G102+'28'!H102</f>
        <v>5192</v>
      </c>
      <c r="I102" s="526"/>
      <c r="J102" s="552">
        <f>H102/DAY(B2)</f>
        <v>179.0344827586207</v>
      </c>
      <c r="K102" s="380"/>
      <c r="L102" s="377"/>
    </row>
    <row r="103" spans="1:15" s="442" customFormat="1" ht="27">
      <c r="A103" s="607" t="s">
        <v>215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769"/>
      <c r="O103" s="769"/>
    </row>
    <row r="104" spans="1:15" s="442" customFormat="1" ht="27">
      <c r="A104" s="1597" t="s">
        <v>216</v>
      </c>
      <c r="B104" s="1598"/>
      <c r="C104" s="573"/>
      <c r="D104" s="622"/>
      <c r="E104" s="533"/>
      <c r="F104" s="751"/>
      <c r="G104" s="532"/>
      <c r="H104" s="533"/>
      <c r="I104" s="532"/>
      <c r="J104" s="558"/>
      <c r="N104" s="769"/>
      <c r="O104" s="769"/>
    </row>
    <row r="105" spans="1:15" s="442" customFormat="1" ht="27">
      <c r="A105" s="1554" t="s">
        <v>217</v>
      </c>
      <c r="B105" s="1555"/>
      <c r="C105" s="1136"/>
      <c r="D105" s="622" t="s">
        <v>142</v>
      </c>
      <c r="E105" s="533">
        <f>'28'!F105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2.3924137931034206</v>
      </c>
      <c r="N105" s="769"/>
      <c r="O105" s="769"/>
    </row>
    <row r="106" spans="1:15" s="442" customFormat="1" ht="27">
      <c r="A106" s="1554" t="s">
        <v>76</v>
      </c>
      <c r="B106" s="1555"/>
      <c r="C106" s="1136"/>
      <c r="D106" s="622" t="s">
        <v>142</v>
      </c>
      <c r="E106" s="533">
        <f>'28'!F106</f>
        <v>36432</v>
      </c>
      <c r="F106" s="660">
        <v>36440</v>
      </c>
      <c r="G106" s="532">
        <f t="shared" ref="G106:G107" si="10">F106-E106</f>
        <v>8</v>
      </c>
      <c r="H106" s="533">
        <f>SUM(G106+'1'!G77)</f>
        <v>61</v>
      </c>
      <c r="I106" s="532"/>
      <c r="J106" s="558">
        <f>H106/DAY(B2)</f>
        <v>2.103448275862069</v>
      </c>
      <c r="N106" s="769"/>
      <c r="O106" s="769"/>
    </row>
    <row r="107" spans="1:15" s="442" customFormat="1" ht="27">
      <c r="A107" s="1554" t="s">
        <v>77</v>
      </c>
      <c r="B107" s="1599"/>
      <c r="C107" s="1555"/>
      <c r="D107" s="622" t="s">
        <v>142</v>
      </c>
      <c r="E107" s="533">
        <f>'28'!F107</f>
        <v>19946</v>
      </c>
      <c r="F107" s="660">
        <v>19951</v>
      </c>
      <c r="G107" s="532">
        <f t="shared" si="10"/>
        <v>5</v>
      </c>
      <c r="H107" s="533">
        <f>SUM(G107+'1'!G78)</f>
        <v>119</v>
      </c>
      <c r="I107" s="532"/>
      <c r="J107" s="558">
        <f>H107/DAY(B2)</f>
        <v>4.1034482758620694</v>
      </c>
      <c r="N107" s="769"/>
      <c r="O107" s="769"/>
    </row>
    <row r="108" spans="1:15" s="442" customFormat="1" ht="27">
      <c r="A108" s="1556" t="s">
        <v>200</v>
      </c>
      <c r="B108" s="1557"/>
      <c r="C108" s="1136"/>
      <c r="D108" s="622"/>
      <c r="E108" s="533">
        <f>'28'!F108</f>
        <v>0</v>
      </c>
      <c r="F108" s="660"/>
      <c r="G108" s="532">
        <f>SUM(G105:G107)</f>
        <v>13</v>
      </c>
      <c r="H108" s="533">
        <f>SUM(G108+'1'!G79)</f>
        <v>166</v>
      </c>
      <c r="I108" s="532"/>
      <c r="J108" s="558">
        <f>H108/DAY(B2)</f>
        <v>5.7241379310344831</v>
      </c>
      <c r="N108" s="769"/>
      <c r="O108" s="769"/>
    </row>
    <row r="109" spans="1:15" s="442" customFormat="1" ht="27">
      <c r="A109" s="1560" t="s">
        <v>78</v>
      </c>
      <c r="B109" s="1561"/>
      <c r="C109" s="1136"/>
      <c r="D109" s="622" t="s">
        <v>142</v>
      </c>
      <c r="E109" s="533">
        <f>'28'!F109</f>
        <v>0</v>
      </c>
      <c r="F109" s="660"/>
      <c r="G109" s="532"/>
      <c r="H109" s="533"/>
      <c r="I109" s="532"/>
      <c r="J109" s="558"/>
      <c r="N109" s="769"/>
      <c r="O109" s="769"/>
    </row>
    <row r="110" spans="1:15" s="442" customFormat="1" ht="27">
      <c r="A110" s="1554" t="s">
        <v>218</v>
      </c>
      <c r="B110" s="1555"/>
      <c r="C110" s="1136"/>
      <c r="D110" s="622" t="s">
        <v>142</v>
      </c>
      <c r="E110" s="533">
        <f>'28'!F110</f>
        <v>66865</v>
      </c>
      <c r="F110" s="660">
        <v>66935</v>
      </c>
      <c r="G110" s="532">
        <f>F110-E110</f>
        <v>70</v>
      </c>
      <c r="H110" s="533">
        <f>SUM(G110+'1'!G81)</f>
        <v>201.64000000001397</v>
      </c>
      <c r="I110" s="532"/>
      <c r="J110" s="558">
        <f>H110/DAY(B2)</f>
        <v>6.9531034482763436</v>
      </c>
      <c r="N110" s="769"/>
      <c r="O110" s="769"/>
    </row>
    <row r="111" spans="1:15" s="442" customFormat="1" ht="27">
      <c r="A111" s="1554" t="s">
        <v>219</v>
      </c>
      <c r="B111" s="1555"/>
      <c r="C111" s="1136"/>
      <c r="D111" s="622" t="s">
        <v>142</v>
      </c>
      <c r="E111" s="533">
        <f>'28'!F111</f>
        <v>33886</v>
      </c>
      <c r="F111" s="660">
        <v>33886</v>
      </c>
      <c r="G111" s="532">
        <f t="shared" ref="G111:G112" si="11">F111-E111</f>
        <v>0</v>
      </c>
      <c r="H111" s="533">
        <f>SUM(G111+'1'!G82)</f>
        <v>24.899999999994179</v>
      </c>
      <c r="I111" s="532"/>
      <c r="J111" s="558">
        <f>H111/DAY(B2)</f>
        <v>0.85862068965497174</v>
      </c>
      <c r="N111" s="769"/>
      <c r="O111" s="769"/>
    </row>
    <row r="112" spans="1:15" s="442" customFormat="1" ht="27">
      <c r="A112" s="1554" t="s">
        <v>220</v>
      </c>
      <c r="B112" s="1555"/>
      <c r="C112" s="1136"/>
      <c r="D112" s="622" t="s">
        <v>142</v>
      </c>
      <c r="E112" s="533">
        <f>'28'!F112</f>
        <v>4622</v>
      </c>
      <c r="F112" s="660">
        <v>4622</v>
      </c>
      <c r="G112" s="534">
        <f t="shared" si="11"/>
        <v>0</v>
      </c>
      <c r="H112" s="533">
        <f>SUM(G112+'1'!G83)</f>
        <v>351</v>
      </c>
      <c r="I112" s="532"/>
      <c r="J112" s="558">
        <f>H112/DAY(B2)</f>
        <v>12.103448275862069</v>
      </c>
      <c r="N112" s="769"/>
      <c r="O112" s="769"/>
    </row>
    <row r="113" spans="1:15" s="442" customFormat="1" ht="27">
      <c r="A113" s="1556" t="s">
        <v>109</v>
      </c>
      <c r="B113" s="1557"/>
      <c r="C113" s="1136"/>
      <c r="D113" s="622"/>
      <c r="E113" s="533">
        <f>'28'!F113</f>
        <v>0</v>
      </c>
      <c r="F113" s="660"/>
      <c r="G113" s="532">
        <f>SUM(G110:G112)</f>
        <v>70</v>
      </c>
      <c r="H113" s="533">
        <f>SUM(G113+'1'!G84)</f>
        <v>886</v>
      </c>
      <c r="I113" s="532"/>
      <c r="J113" s="558">
        <f>H113/DAY(B2)</f>
        <v>30.551724137931036</v>
      </c>
      <c r="N113" s="769"/>
      <c r="O113" s="769"/>
    </row>
    <row r="114" spans="1:15" s="442" customFormat="1" ht="27">
      <c r="A114" s="1560" t="s">
        <v>221</v>
      </c>
      <c r="B114" s="1561"/>
      <c r="C114" s="1136"/>
      <c r="D114" s="622"/>
      <c r="E114" s="533">
        <f>'28'!F114</f>
        <v>0</v>
      </c>
      <c r="F114" s="660"/>
      <c r="G114" s="532"/>
      <c r="H114" s="533"/>
      <c r="I114" s="532"/>
      <c r="J114" s="558">
        <f>H114/DAY(B2)</f>
        <v>0</v>
      </c>
      <c r="N114" s="769"/>
      <c r="O114" s="769"/>
    </row>
    <row r="115" spans="1:15" s="442" customFormat="1" ht="27">
      <c r="A115" s="1554" t="s">
        <v>222</v>
      </c>
      <c r="B115" s="1555"/>
      <c r="C115" s="574"/>
      <c r="D115" s="622" t="s">
        <v>142</v>
      </c>
      <c r="E115" s="533">
        <f>'28'!F115</f>
        <v>12414</v>
      </c>
      <c r="F115" s="660">
        <v>12424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0.34482758620689657</v>
      </c>
      <c r="N115" s="769"/>
      <c r="O115" s="769"/>
    </row>
    <row r="116" spans="1:15" s="442" customFormat="1" ht="27">
      <c r="A116" s="1554" t="s">
        <v>223</v>
      </c>
      <c r="B116" s="1555"/>
      <c r="C116" s="574"/>
      <c r="D116" s="622" t="s">
        <v>142</v>
      </c>
      <c r="E116" s="533">
        <f>'28'!F116</f>
        <v>8794</v>
      </c>
      <c r="F116" s="660">
        <v>8801</v>
      </c>
      <c r="G116" s="534">
        <f t="shared" ref="G116:G117" si="12">F116-E116</f>
        <v>7</v>
      </c>
      <c r="H116" s="533">
        <f>SUM(G116+'1'!G93)</f>
        <v>96</v>
      </c>
      <c r="I116" s="532"/>
      <c r="J116" s="558">
        <f>H116/DAY(B2)</f>
        <v>3.3103448275862069</v>
      </c>
      <c r="N116" s="769"/>
      <c r="O116" s="769"/>
    </row>
    <row r="117" spans="1:15" s="442" customFormat="1" ht="27">
      <c r="A117" s="1554" t="s">
        <v>224</v>
      </c>
      <c r="B117" s="1555"/>
      <c r="C117" s="574"/>
      <c r="D117" s="622" t="s">
        <v>142</v>
      </c>
      <c r="E117" s="536"/>
      <c r="F117" s="660"/>
      <c r="G117" s="534">
        <f t="shared" si="12"/>
        <v>0</v>
      </c>
      <c r="H117" s="533">
        <f>SUM(G117+'1'!G94)</f>
        <v>97</v>
      </c>
      <c r="I117" s="532"/>
      <c r="J117" s="558">
        <f>H117/DAY(B2)</f>
        <v>3.3448275862068964</v>
      </c>
      <c r="N117" s="769"/>
      <c r="O117" s="769"/>
    </row>
    <row r="118" spans="1:15" s="445" customFormat="1" ht="27">
      <c r="A118" s="1556" t="s">
        <v>200</v>
      </c>
      <c r="B118" s="1557"/>
      <c r="C118" s="574"/>
      <c r="D118" s="623"/>
      <c r="E118" s="536"/>
      <c r="F118" s="660"/>
      <c r="G118" s="534">
        <f>SUM(G115:G117)</f>
        <v>17</v>
      </c>
      <c r="H118" s="533">
        <f>SUM(G118+'1'!G96)</f>
        <v>103</v>
      </c>
      <c r="I118" s="534"/>
      <c r="J118" s="558">
        <f>H118/DAY(B2)</f>
        <v>3.5517241379310347</v>
      </c>
      <c r="N118" s="769"/>
      <c r="O118" s="770"/>
    </row>
    <row r="119" spans="1:15" s="446" customFormat="1" ht="27">
      <c r="A119" s="1550" t="s">
        <v>225</v>
      </c>
      <c r="B119" s="1551"/>
      <c r="C119" s="1134"/>
      <c r="D119" s="624" t="s">
        <v>142</v>
      </c>
      <c r="E119" s="536"/>
      <c r="F119" s="660"/>
      <c r="G119" s="536">
        <f>SUM(G19+G93)</f>
        <v>131</v>
      </c>
      <c r="H119" s="533">
        <f>SUM(G119+'1'!G97)</f>
        <v>148</v>
      </c>
      <c r="I119" s="535"/>
      <c r="J119" s="559">
        <f>H119/DAY(B2)</f>
        <v>5.1034482758620694</v>
      </c>
      <c r="N119" s="769"/>
      <c r="O119" s="770"/>
    </row>
    <row r="120" spans="1:15" s="446" customFormat="1" ht="27">
      <c r="A120" s="1550" t="s">
        <v>226</v>
      </c>
      <c r="B120" s="1551"/>
      <c r="C120" s="1134"/>
      <c r="D120" s="624" t="s">
        <v>142</v>
      </c>
      <c r="E120" s="536"/>
      <c r="F120" s="660"/>
      <c r="G120" s="536">
        <f>SUM(G96,G97,G98,G100,G101)</f>
        <v>131</v>
      </c>
      <c r="H120" s="533">
        <f>SUM(G120+'1'!G99)</f>
        <v>181</v>
      </c>
      <c r="I120" s="535"/>
      <c r="J120" s="559">
        <f>H120/DAY(B2)</f>
        <v>6.2413793103448274</v>
      </c>
      <c r="N120" s="769"/>
      <c r="O120" s="770"/>
    </row>
    <row r="121" spans="1:15" s="446" customFormat="1" ht="27">
      <c r="A121" s="1550" t="s">
        <v>227</v>
      </c>
      <c r="B121" s="1551"/>
      <c r="C121" s="1134"/>
      <c r="D121" s="624" t="s">
        <v>142</v>
      </c>
      <c r="E121" s="536"/>
      <c r="F121" s="660"/>
      <c r="G121" s="534">
        <f>SUM(G113)</f>
        <v>70</v>
      </c>
      <c r="H121" s="533">
        <f>SUM(G121+'1'!G101)</f>
        <v>75</v>
      </c>
      <c r="I121" s="535"/>
      <c r="J121" s="559">
        <f>H121/DAY(B2)</f>
        <v>2.5862068965517242</v>
      </c>
      <c r="N121" s="769"/>
      <c r="O121" s="770"/>
    </row>
    <row r="122" spans="1:15" s="442" customFormat="1" ht="27">
      <c r="A122" s="1552"/>
      <c r="B122" s="1553"/>
      <c r="C122" s="1135"/>
      <c r="D122" s="560"/>
      <c r="E122" s="765"/>
      <c r="F122" s="752"/>
      <c r="G122" s="560"/>
      <c r="H122" s="561"/>
      <c r="I122" s="560"/>
      <c r="J122" s="562"/>
      <c r="N122" s="769"/>
      <c r="O122" s="769"/>
    </row>
    <row r="123" spans="1:15">
      <c r="A123" s="1591" t="s">
        <v>228</v>
      </c>
      <c r="B123" s="1592"/>
      <c r="C123" s="1593"/>
      <c r="D123" s="472"/>
      <c r="E123" s="738"/>
      <c r="F123" s="738"/>
      <c r="G123" s="483"/>
      <c r="H123" s="483"/>
      <c r="I123" s="483"/>
      <c r="J123" s="563"/>
      <c r="K123" s="380"/>
      <c r="L123" s="377"/>
    </row>
    <row r="124" spans="1:15" ht="27.75">
      <c r="A124" s="1137" t="s">
        <v>229</v>
      </c>
      <c r="B124" s="1138"/>
      <c r="C124" s="1138"/>
      <c r="D124" s="523" t="s">
        <v>139</v>
      </c>
      <c r="E124" s="737">
        <f>'28'!F124</f>
        <v>847180</v>
      </c>
      <c r="F124" s="737">
        <v>847445</v>
      </c>
      <c r="G124" s="473">
        <f t="shared" ref="G124:G128" si="13">F124-E124</f>
        <v>265</v>
      </c>
      <c r="H124" s="460">
        <f>G124+'28'!H124</f>
        <v>7775</v>
      </c>
      <c r="I124" s="526"/>
      <c r="J124" s="552">
        <f>H124/DAY(B2)</f>
        <v>268.10344827586209</v>
      </c>
      <c r="K124" s="380"/>
      <c r="L124" s="377"/>
    </row>
    <row r="125" spans="1:15" ht="27.75">
      <c r="A125" s="1137" t="s">
        <v>230</v>
      </c>
      <c r="B125" s="1138"/>
      <c r="C125" s="1138"/>
      <c r="D125" s="523" t="s">
        <v>139</v>
      </c>
      <c r="E125" s="737">
        <f>'28'!F125</f>
        <v>73583.399999999994</v>
      </c>
      <c r="F125" s="753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43" t="s">
        <v>231</v>
      </c>
      <c r="B126" s="1544"/>
      <c r="C126" s="1545"/>
      <c r="D126" s="523" t="s">
        <v>139</v>
      </c>
      <c r="E126" s="737">
        <f>'28'!F126</f>
        <v>151049</v>
      </c>
      <c r="F126" s="737">
        <v>151138</v>
      </c>
      <c r="G126" s="473">
        <f t="shared" si="13"/>
        <v>89</v>
      </c>
      <c r="H126" s="460">
        <f>G126+'28'!H126</f>
        <v>2541</v>
      </c>
      <c r="I126" s="526"/>
      <c r="J126" s="552">
        <f>H126/DAY(B2)</f>
        <v>87.620689655172413</v>
      </c>
      <c r="K126" s="380"/>
      <c r="L126" s="377"/>
    </row>
    <row r="127" spans="1:15" ht="27.75">
      <c r="A127" s="609" t="s">
        <v>232</v>
      </c>
      <c r="B127" s="1138"/>
      <c r="C127" s="1138"/>
      <c r="D127" s="523" t="s">
        <v>139</v>
      </c>
      <c r="E127" s="737">
        <f>'28'!F127</f>
        <v>33152</v>
      </c>
      <c r="F127" s="753">
        <v>33196</v>
      </c>
      <c r="G127" s="473">
        <f t="shared" si="13"/>
        <v>44</v>
      </c>
      <c r="H127" s="460">
        <f>G127+'28'!H127</f>
        <v>1125</v>
      </c>
      <c r="I127" s="526"/>
      <c r="J127" s="552">
        <f>H127/DAY(B2)</f>
        <v>38.793103448275865</v>
      </c>
      <c r="K127" s="380"/>
      <c r="L127" s="377"/>
    </row>
    <row r="128" spans="1:15" ht="27.75">
      <c r="A128" s="609" t="s">
        <v>233</v>
      </c>
      <c r="B128" s="1138"/>
      <c r="C128" s="1138"/>
      <c r="D128" s="523" t="s">
        <v>139</v>
      </c>
      <c r="E128" s="737">
        <f>'28'!F128</f>
        <v>9104</v>
      </c>
      <c r="F128" s="753">
        <v>9105</v>
      </c>
      <c r="G128" s="473">
        <f t="shared" si="13"/>
        <v>1</v>
      </c>
      <c r="H128" s="460">
        <f>G128+'28'!H128</f>
        <v>93</v>
      </c>
      <c r="I128" s="480"/>
      <c r="J128" s="552">
        <f>H128/DAY(B2)</f>
        <v>3.2068965517241379</v>
      </c>
      <c r="K128" s="380"/>
      <c r="L128" s="377"/>
    </row>
    <row r="129" spans="1:15" s="281" customFormat="1" ht="27">
      <c r="A129" s="609" t="s">
        <v>234</v>
      </c>
      <c r="B129" s="1138"/>
      <c r="C129" s="1138"/>
      <c r="D129" s="523"/>
      <c r="E129" s="737"/>
      <c r="F129" s="737"/>
      <c r="G129" s="473">
        <f>G15-SUM(G124:G128)</f>
        <v>589.39999999999418</v>
      </c>
      <c r="H129" s="460"/>
      <c r="I129" s="480"/>
      <c r="J129" s="552"/>
      <c r="K129" s="364"/>
      <c r="L129" s="292"/>
      <c r="N129" s="769"/>
      <c r="O129" s="769"/>
    </row>
    <row r="130" spans="1:15">
      <c r="A130" s="610" t="s">
        <v>235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37" t="s">
        <v>236</v>
      </c>
      <c r="B131" s="1138"/>
      <c r="C131" s="1138"/>
      <c r="D131" s="523" t="s">
        <v>237</v>
      </c>
      <c r="E131" s="758">
        <f>'28'!F131</f>
        <v>0</v>
      </c>
      <c r="F131" s="737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37" t="s">
        <v>238</v>
      </c>
      <c r="B132" s="1138"/>
      <c r="C132" s="1138"/>
      <c r="D132" s="523" t="s">
        <v>237</v>
      </c>
      <c r="E132" s="758">
        <f>'28'!F132</f>
        <v>0</v>
      </c>
      <c r="F132" s="737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37" t="s">
        <v>239</v>
      </c>
      <c r="B133" s="1138"/>
      <c r="C133" s="1138"/>
      <c r="D133" s="523" t="s">
        <v>237</v>
      </c>
      <c r="E133" s="767">
        <f>'28'!F133</f>
        <v>40619</v>
      </c>
      <c r="F133" s="753">
        <v>40619</v>
      </c>
      <c r="G133" s="473">
        <f t="shared" si="14"/>
        <v>0</v>
      </c>
      <c r="H133" s="460">
        <f>G133+'28'!H133</f>
        <v>166</v>
      </c>
      <c r="I133" s="480"/>
      <c r="J133" s="552">
        <f>H133/DAY(B2)</f>
        <v>5.7241379310344831</v>
      </c>
    </row>
    <row r="134" spans="1:15" ht="27.75">
      <c r="A134" s="1137" t="s">
        <v>240</v>
      </c>
      <c r="B134" s="1138"/>
      <c r="C134" s="1138"/>
      <c r="D134" s="523" t="s">
        <v>237</v>
      </c>
      <c r="E134" s="767">
        <f>'28'!F134</f>
        <v>534</v>
      </c>
      <c r="F134" s="753">
        <v>554</v>
      </c>
      <c r="G134" s="473">
        <f t="shared" si="14"/>
        <v>20</v>
      </c>
      <c r="H134" s="460">
        <f>G134+'28'!H134</f>
        <v>254</v>
      </c>
      <c r="I134" s="480">
        <f>G131+G132+G133+G134</f>
        <v>20</v>
      </c>
      <c r="J134" s="552">
        <f>H134/DAY(B2)</f>
        <v>8.7586206896551726</v>
      </c>
    </row>
    <row r="135" spans="1:15" ht="27.75">
      <c r="A135" s="1137" t="s">
        <v>241</v>
      </c>
      <c r="B135" s="1138"/>
      <c r="C135" s="1138"/>
      <c r="D135" s="523" t="s">
        <v>237</v>
      </c>
      <c r="E135" s="767">
        <f>'28'!F135</f>
        <v>42442</v>
      </c>
      <c r="F135" s="753">
        <v>42456</v>
      </c>
      <c r="G135" s="473">
        <f t="shared" si="14"/>
        <v>14</v>
      </c>
      <c r="H135" s="460">
        <f>G135+'28'!H135</f>
        <v>117.88999999999942</v>
      </c>
      <c r="I135" s="480"/>
      <c r="J135" s="552">
        <f>H135/DAY(B2)</f>
        <v>4.0651724137930838</v>
      </c>
    </row>
    <row r="136" spans="1:15" ht="27.75">
      <c r="A136" s="1137" t="s">
        <v>242</v>
      </c>
      <c r="B136" s="1138"/>
      <c r="C136" s="1138"/>
      <c r="D136" s="523" t="s">
        <v>237</v>
      </c>
      <c r="E136" s="763">
        <f>'28'!F136</f>
        <v>32874</v>
      </c>
      <c r="F136" s="740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37" t="s">
        <v>243</v>
      </c>
      <c r="B137" s="1138"/>
      <c r="C137" s="1138"/>
      <c r="D137" s="523" t="s">
        <v>237</v>
      </c>
      <c r="E137" s="766">
        <f>'28'!F137</f>
        <v>23097.58</v>
      </c>
      <c r="F137" s="744">
        <v>23097.56</v>
      </c>
      <c r="G137" s="473">
        <f t="shared" si="14"/>
        <v>-2.0000000000436557E-2</v>
      </c>
      <c r="H137" s="460">
        <f>G137+'28'!H137</f>
        <v>206.06999999999971</v>
      </c>
      <c r="I137" s="480">
        <f>G135+G136+G137</f>
        <v>13.979999999999563</v>
      </c>
      <c r="J137" s="552">
        <f>H137/DAY(B2)</f>
        <v>7.1058620689655072</v>
      </c>
    </row>
    <row r="138" spans="1:15" ht="27.75">
      <c r="A138" s="1137" t="s">
        <v>244</v>
      </c>
      <c r="B138" s="1138"/>
      <c r="C138" s="1138"/>
      <c r="D138" s="523" t="s">
        <v>237</v>
      </c>
      <c r="E138" s="766">
        <f>'28'!F138</f>
        <v>25099.18</v>
      </c>
      <c r="F138" s="744">
        <v>25109.95</v>
      </c>
      <c r="G138" s="473">
        <f t="shared" si="14"/>
        <v>10.770000000000437</v>
      </c>
      <c r="H138" s="460">
        <f>G138+'28'!H138</f>
        <v>18.790000000000873</v>
      </c>
      <c r="I138" s="480"/>
      <c r="J138" s="552">
        <f>H138/DAY(B2)</f>
        <v>0.64793103448278877</v>
      </c>
    </row>
    <row r="139" spans="1:15" ht="27.75">
      <c r="A139" s="1137" t="s">
        <v>245</v>
      </c>
      <c r="B139" s="1138"/>
      <c r="C139" s="1138"/>
      <c r="D139" s="523" t="s">
        <v>237</v>
      </c>
      <c r="E139" s="766">
        <f>'28'!F139</f>
        <v>70516.600000000006</v>
      </c>
      <c r="F139" s="744">
        <v>70517</v>
      </c>
      <c r="G139" s="473">
        <f t="shared" si="14"/>
        <v>0.39999999999417923</v>
      </c>
      <c r="H139" s="460">
        <f>G139+'28'!H139</f>
        <v>15.399999999994179</v>
      </c>
      <c r="I139" s="480">
        <f>G138+G139</f>
        <v>11.169999999994616</v>
      </c>
      <c r="J139" s="552">
        <f>H139/DAY(B2)</f>
        <v>0.53103448275842002</v>
      </c>
    </row>
    <row r="140" spans="1:15" ht="27.75">
      <c r="A140" s="1137" t="s">
        <v>246</v>
      </c>
      <c r="B140" s="1138"/>
      <c r="C140" s="1138"/>
      <c r="D140" s="523" t="s">
        <v>237</v>
      </c>
      <c r="E140" s="767">
        <f>'28'!F140</f>
        <v>2283.1799999999998</v>
      </c>
      <c r="F140" s="753">
        <v>2292.4899999999998</v>
      </c>
      <c r="G140" s="473">
        <f t="shared" si="14"/>
        <v>9.3099999999999454</v>
      </c>
      <c r="H140" s="460">
        <f>G140+'28'!H140</f>
        <v>163.30999999999995</v>
      </c>
      <c r="I140" s="542"/>
      <c r="J140" s="552">
        <f>H140/DAY(B2)</f>
        <v>5.6313793103448253</v>
      </c>
    </row>
    <row r="141" spans="1:15" ht="27.75">
      <c r="A141" s="1137" t="s">
        <v>247</v>
      </c>
      <c r="B141" s="1138"/>
      <c r="C141" s="1138"/>
      <c r="D141" s="523" t="s">
        <v>237</v>
      </c>
      <c r="E141" s="766">
        <f>'28'!F141</f>
        <v>4754</v>
      </c>
      <c r="F141" s="737">
        <v>4754</v>
      </c>
      <c r="G141" s="473">
        <f t="shared" si="14"/>
        <v>0</v>
      </c>
      <c r="H141" s="460">
        <f>G141+'28'!H141</f>
        <v>117</v>
      </c>
      <c r="I141" s="542"/>
      <c r="J141" s="552">
        <f>H141/DAY(B2)</f>
        <v>4.0344827586206895</v>
      </c>
    </row>
    <row r="142" spans="1:15">
      <c r="A142" s="1565" t="s">
        <v>248</v>
      </c>
      <c r="B142" s="1566"/>
      <c r="C142" s="1143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5" ht="27.75">
      <c r="A143" s="1562" t="s">
        <v>249</v>
      </c>
      <c r="B143" s="1563"/>
      <c r="C143" s="1564"/>
      <c r="D143" s="523" t="s">
        <v>130</v>
      </c>
      <c r="E143" s="460"/>
      <c r="F143" s="460"/>
      <c r="G143" s="460">
        <f>G35+G43+G49+G57</f>
        <v>5821.67</v>
      </c>
      <c r="H143" s="460">
        <f>G143+'28'!H143</f>
        <v>162689.18000000005</v>
      </c>
      <c r="I143" s="480"/>
      <c r="J143" s="552">
        <f>H143/DAY(B2)</f>
        <v>5609.9717241379331</v>
      </c>
      <c r="K143" s="380"/>
      <c r="L143" s="377"/>
    </row>
    <row r="144" spans="1:15" ht="27.75">
      <c r="A144" s="1562" t="s">
        <v>250</v>
      </c>
      <c r="B144" s="1563"/>
      <c r="C144" s="1564"/>
      <c r="D144" s="523" t="s">
        <v>24</v>
      </c>
      <c r="E144" s="470"/>
      <c r="F144" s="470"/>
      <c r="G144" s="543">
        <f>G143/G7</f>
        <v>0.25335842980241968</v>
      </c>
      <c r="H144" s="460">
        <f>G144+'28'!H144</f>
        <v>7.3874841047217101</v>
      </c>
      <c r="I144" s="544"/>
      <c r="J144" s="552">
        <f>H144/DAY(B2)</f>
        <v>0.25474083119730034</v>
      </c>
      <c r="K144" s="380"/>
      <c r="L144" s="377"/>
    </row>
    <row r="145" spans="1:12" ht="27.75">
      <c r="A145" s="1562" t="s">
        <v>251</v>
      </c>
      <c r="B145" s="1563"/>
      <c r="C145" s="1564"/>
      <c r="D145" s="523" t="s">
        <v>130</v>
      </c>
      <c r="E145" s="460"/>
      <c r="F145" s="460"/>
      <c r="G145" s="460">
        <f>G41+G42+G55+G56</f>
        <v>7255</v>
      </c>
      <c r="H145" s="460">
        <f>G145+'28'!H145</f>
        <v>197796.11000000002</v>
      </c>
      <c r="I145" s="480"/>
      <c r="J145" s="552">
        <f>H145/DAY(B2)</f>
        <v>6820.5555172413797</v>
      </c>
      <c r="K145" s="380"/>
      <c r="L145" s="377"/>
    </row>
    <row r="146" spans="1:12" ht="27.75">
      <c r="A146" s="1562" t="s">
        <v>252</v>
      </c>
      <c r="B146" s="1563"/>
      <c r="C146" s="1564"/>
      <c r="D146" s="523" t="s">
        <v>24</v>
      </c>
      <c r="E146" s="460"/>
      <c r="F146" s="460"/>
      <c r="G146" s="543">
        <f>G145/G7</f>
        <v>0.31573679171381319</v>
      </c>
      <c r="H146" s="460">
        <f>G146+'28'!H146</f>
        <v>8.9463942202440219</v>
      </c>
      <c r="I146" s="544"/>
      <c r="J146" s="552">
        <f>H146/DAY(B2)</f>
        <v>0.30849635242220763</v>
      </c>
      <c r="K146" s="380"/>
      <c r="L146" s="377"/>
    </row>
    <row r="147" spans="1:12" ht="27.75">
      <c r="A147" s="1562" t="s">
        <v>253</v>
      </c>
      <c r="B147" s="1563"/>
      <c r="C147" s="1564"/>
      <c r="D147" s="523" t="s">
        <v>130</v>
      </c>
      <c r="E147" s="460"/>
      <c r="F147" s="460"/>
      <c r="G147" s="460">
        <f>G39+G53</f>
        <v>3817</v>
      </c>
      <c r="H147" s="460">
        <f>G147+'28'!H147</f>
        <v>107999</v>
      </c>
      <c r="I147" s="545"/>
      <c r="J147" s="552">
        <f>H147/DAY(B2)</f>
        <v>3724.1034482758619</v>
      </c>
      <c r="K147" s="380"/>
      <c r="L147" s="377"/>
    </row>
    <row r="148" spans="1:12" ht="27.75">
      <c r="A148" s="1562" t="s">
        <v>254</v>
      </c>
      <c r="B148" s="1563"/>
      <c r="C148" s="1564"/>
      <c r="D148" s="523" t="s">
        <v>24</v>
      </c>
      <c r="E148" s="460"/>
      <c r="F148" s="460"/>
      <c r="G148" s="543">
        <f>G147/G7</f>
        <v>0.16611541474453825</v>
      </c>
      <c r="H148" s="460">
        <f>G148+'28'!H148</f>
        <v>4.9032481337190363</v>
      </c>
      <c r="I148" s="545"/>
      <c r="J148" s="552">
        <f>H148/DAY(B2)</f>
        <v>0.16907752185238056</v>
      </c>
    </row>
    <row r="149" spans="1:12" ht="27.75">
      <c r="A149" s="1562" t="s">
        <v>255</v>
      </c>
      <c r="B149" s="1563"/>
      <c r="C149" s="1564"/>
      <c r="D149" s="523" t="s">
        <v>181</v>
      </c>
      <c r="E149" s="460"/>
      <c r="F149" s="460"/>
      <c r="G149" s="460">
        <f>G38+G52</f>
        <v>1643</v>
      </c>
      <c r="H149" s="460">
        <f>G149+'28'!H149</f>
        <v>46655.069999999949</v>
      </c>
      <c r="I149" s="480"/>
      <c r="J149" s="552">
        <f>H149/DAY(B2)</f>
        <v>1608.7955172413776</v>
      </c>
      <c r="K149" s="381"/>
    </row>
    <row r="150" spans="1:12" ht="27.75">
      <c r="A150" s="1562" t="s">
        <v>256</v>
      </c>
      <c r="B150" s="1563"/>
      <c r="C150" s="1564"/>
      <c r="D150" s="523" t="s">
        <v>24</v>
      </c>
      <c r="E150" s="460"/>
      <c r="F150" s="460"/>
      <c r="G150" s="543">
        <f>G149/G7</f>
        <v>7.1503176951867004E-2</v>
      </c>
      <c r="H150" s="460">
        <f>G150+'28'!H150</f>
        <v>2.1142863947107933</v>
      </c>
      <c r="I150" s="545"/>
      <c r="J150" s="552">
        <f>H150/DAY(B2)</f>
        <v>7.2906427403820459E-2</v>
      </c>
    </row>
    <row r="151" spans="1:12" ht="27.75">
      <c r="A151" s="1562" t="s">
        <v>257</v>
      </c>
      <c r="B151" s="1563"/>
      <c r="C151" s="1564"/>
      <c r="D151" s="523" t="s">
        <v>181</v>
      </c>
      <c r="E151" s="460"/>
      <c r="F151" s="460"/>
      <c r="G151" s="460">
        <f>G36+G50</f>
        <v>2106</v>
      </c>
      <c r="H151" s="460">
        <f>G151+'28'!H151</f>
        <v>57590</v>
      </c>
      <c r="I151" s="545"/>
      <c r="J151" s="552">
        <f>H151/DAY(B2)</f>
        <v>1985.8620689655172</v>
      </c>
    </row>
    <row r="152" spans="1:12" ht="27.75">
      <c r="A152" s="1562" t="s">
        <v>258</v>
      </c>
      <c r="B152" s="1563"/>
      <c r="C152" s="1564"/>
      <c r="D152" s="523" t="s">
        <v>24</v>
      </c>
      <c r="E152" s="460"/>
      <c r="F152" s="460"/>
      <c r="G152" s="543">
        <f>G151/G7</f>
        <v>9.1652885368613463E-2</v>
      </c>
      <c r="H152" s="460">
        <f>G152+'28'!H152</f>
        <v>2.6011517841192275</v>
      </c>
      <c r="I152" s="480"/>
      <c r="J152" s="552">
        <f>H152/DAY(B2)</f>
        <v>8.9694889107559572E-2</v>
      </c>
    </row>
    <row r="153" spans="1:12" ht="27.75">
      <c r="A153" s="1562" t="s">
        <v>259</v>
      </c>
      <c r="B153" s="1563"/>
      <c r="C153" s="1564"/>
      <c r="D153" s="523" t="s">
        <v>181</v>
      </c>
      <c r="E153" s="460"/>
      <c r="F153" s="460"/>
      <c r="G153" s="460">
        <f>G37+G51</f>
        <v>1606.8699999999953</v>
      </c>
      <c r="H153" s="460">
        <f>G153+'28'!H153</f>
        <v>46314.869999999995</v>
      </c>
      <c r="I153" s="480"/>
      <c r="J153" s="552">
        <f>H153/DAY(B2)</f>
        <v>1597.0644827586204</v>
      </c>
    </row>
    <row r="154" spans="1:12" ht="28.5" thickBot="1">
      <c r="A154" s="1600" t="s">
        <v>260</v>
      </c>
      <c r="B154" s="1601"/>
      <c r="C154" s="1602"/>
      <c r="D154" s="625" t="s">
        <v>24</v>
      </c>
      <c r="E154" s="567"/>
      <c r="F154" s="567"/>
      <c r="G154" s="566">
        <f>G153/G7</f>
        <v>6.993080337714315E-2</v>
      </c>
      <c r="H154" s="460">
        <f>G154+'28'!H154</f>
        <v>2.1001649349105134</v>
      </c>
      <c r="I154" s="568"/>
      <c r="J154" s="569">
        <f>H154/DAY(B2)</f>
        <v>7.2419480514155629E-2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94" t="s">
        <v>261</v>
      </c>
      <c r="B161" s="795"/>
      <c r="C161" s="795"/>
      <c r="D161" s="620" t="s">
        <v>185</v>
      </c>
      <c r="E161" s="763">
        <f>'28'!F161</f>
        <v>43091</v>
      </c>
      <c r="F161" s="803">
        <v>43170</v>
      </c>
      <c r="G161" s="473">
        <f t="shared" ref="G161:G164" si="15">F161-E161</f>
        <v>79</v>
      </c>
    </row>
    <row r="162" spans="1:7">
      <c r="A162" s="794" t="s">
        <v>262</v>
      </c>
      <c r="B162" s="795"/>
      <c r="C162" s="795"/>
      <c r="D162" s="620" t="s">
        <v>185</v>
      </c>
      <c r="E162" s="763">
        <f>'28'!F162</f>
        <v>120749</v>
      </c>
      <c r="F162" s="803">
        <v>121199</v>
      </c>
      <c r="G162" s="473">
        <f t="shared" si="15"/>
        <v>450</v>
      </c>
    </row>
    <row r="163" spans="1:7">
      <c r="A163" s="794" t="s">
        <v>263</v>
      </c>
      <c r="B163" s="795"/>
      <c r="C163" s="795"/>
      <c r="D163" s="620" t="s">
        <v>185</v>
      </c>
      <c r="E163" s="763">
        <f>'28'!F163</f>
        <v>66905</v>
      </c>
      <c r="F163" s="803">
        <v>67101</v>
      </c>
      <c r="G163" s="473">
        <f t="shared" si="15"/>
        <v>196</v>
      </c>
    </row>
    <row r="164" spans="1:7">
      <c r="A164" s="794" t="s">
        <v>264</v>
      </c>
      <c r="B164" s="795"/>
      <c r="C164" s="795"/>
      <c r="D164" s="620" t="s">
        <v>185</v>
      </c>
      <c r="E164" s="763">
        <f>'28'!F164</f>
        <v>7111</v>
      </c>
      <c r="F164" s="803">
        <v>7112</v>
      </c>
      <c r="G164" s="473">
        <f t="shared" si="15"/>
        <v>1</v>
      </c>
    </row>
    <row r="165" spans="1:7">
      <c r="A165" s="796" t="s">
        <v>97</v>
      </c>
      <c r="B165" s="797"/>
      <c r="C165" s="797"/>
      <c r="D165" s="620" t="s">
        <v>185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6" t="s">
        <v>186</v>
      </c>
      <c r="B166" s="797"/>
      <c r="C166" s="797"/>
      <c r="D166" s="620" t="s">
        <v>185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15" t="s">
        <v>98</v>
      </c>
      <c r="B167" s="1615"/>
      <c r="C167" s="1615"/>
      <c r="D167" s="524" t="s">
        <v>185</v>
      </c>
      <c r="E167" s="514">
        <f t="shared" si="17"/>
        <v>180729</v>
      </c>
      <c r="F167" s="514">
        <f t="shared" si="18"/>
        <v>181134</v>
      </c>
      <c r="G167" s="473">
        <f t="shared" si="16"/>
        <v>405</v>
      </c>
    </row>
    <row r="168" spans="1:7" ht="27.75">
      <c r="A168" s="1615" t="s">
        <v>99</v>
      </c>
      <c r="B168" s="1615"/>
      <c r="C168" s="1615"/>
      <c r="D168" s="524" t="s">
        <v>185</v>
      </c>
      <c r="E168" s="514">
        <f t="shared" si="17"/>
        <v>181013</v>
      </c>
      <c r="F168" s="514">
        <f t="shared" si="18"/>
        <v>181412</v>
      </c>
      <c r="G168" s="473">
        <f t="shared" si="16"/>
        <v>399</v>
      </c>
    </row>
    <row r="169" spans="1:7" ht="27.75">
      <c r="A169" s="1615" t="s">
        <v>100</v>
      </c>
      <c r="B169" s="1615"/>
      <c r="C169" s="1615"/>
      <c r="D169" s="524" t="s">
        <v>185</v>
      </c>
      <c r="E169" s="514">
        <f t="shared" si="17"/>
        <v>79435</v>
      </c>
      <c r="F169" s="514">
        <f t="shared" si="18"/>
        <v>79841</v>
      </c>
      <c r="G169" s="473">
        <f t="shared" si="16"/>
        <v>406</v>
      </c>
    </row>
    <row r="170" spans="1:7" ht="27.75">
      <c r="A170" s="1615" t="s">
        <v>101</v>
      </c>
      <c r="B170" s="1615"/>
      <c r="C170" s="1615"/>
      <c r="D170" s="524" t="s">
        <v>185</v>
      </c>
      <c r="E170" s="514">
        <f t="shared" si="17"/>
        <v>278486</v>
      </c>
      <c r="F170" s="514">
        <f t="shared" si="18"/>
        <v>278995</v>
      </c>
      <c r="G170" s="473">
        <f t="shared" si="16"/>
        <v>509</v>
      </c>
    </row>
    <row r="171" spans="1:7" ht="27.75">
      <c r="A171" s="1615" t="s">
        <v>102</v>
      </c>
      <c r="B171" s="1615"/>
      <c r="C171" s="1615"/>
      <c r="D171" s="524" t="s">
        <v>185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15" t="s">
        <v>103</v>
      </c>
      <c r="B172" s="1615"/>
      <c r="C172" s="1615"/>
      <c r="D172" s="524" t="s">
        <v>185</v>
      </c>
      <c r="E172" s="514">
        <f t="shared" si="17"/>
        <v>95523</v>
      </c>
      <c r="F172" s="514">
        <f t="shared" si="18"/>
        <v>95873</v>
      </c>
      <c r="G172" s="473">
        <f t="shared" si="16"/>
        <v>350</v>
      </c>
    </row>
    <row r="173" spans="1:7">
      <c r="A173" s="798"/>
      <c r="B173" s="799"/>
      <c r="C173" s="799"/>
      <c r="D173" s="800"/>
      <c r="E173" s="802"/>
      <c r="F173" s="1029"/>
      <c r="G173" s="802">
        <f>SUM(G161:G172)</f>
        <v>2795</v>
      </c>
    </row>
    <row r="174" spans="1:7" ht="27.75">
      <c r="A174" s="1590" t="s">
        <v>348</v>
      </c>
      <c r="B174" s="1553"/>
      <c r="C174" s="784"/>
      <c r="D174" s="1492" t="s">
        <v>185</v>
      </c>
      <c r="E174" s="1493">
        <v>19124</v>
      </c>
      <c r="F174" s="1493">
        <v>19127</v>
      </c>
      <c r="G174" s="1494">
        <f t="shared" ref="G174:G176" si="19">F174-E174</f>
        <v>3</v>
      </c>
    </row>
    <row r="175" spans="1:7" ht="27.75">
      <c r="A175" s="1590" t="s">
        <v>349</v>
      </c>
      <c r="B175" s="1553"/>
      <c r="C175" s="454"/>
      <c r="D175" s="1492" t="s">
        <v>185</v>
      </c>
      <c r="E175" s="1497">
        <v>27774</v>
      </c>
      <c r="F175" s="1497">
        <v>27782</v>
      </c>
      <c r="G175" s="1494">
        <f t="shared" si="19"/>
        <v>8</v>
      </c>
    </row>
    <row r="176" spans="1:7" ht="27.75">
      <c r="A176" s="1590" t="s">
        <v>348</v>
      </c>
      <c r="B176" s="1553"/>
      <c r="C176" s="454"/>
      <c r="D176" s="1492" t="s">
        <v>185</v>
      </c>
      <c r="E176" s="1493">
        <v>70512</v>
      </c>
      <c r="F176" s="1493">
        <v>70517</v>
      </c>
      <c r="G176" s="1494">
        <f t="shared" si="19"/>
        <v>5</v>
      </c>
    </row>
    <row r="178" spans="1:15">
      <c r="A178" s="1590"/>
      <c r="B178" s="1553"/>
      <c r="C178" s="785"/>
      <c r="D178" s="523"/>
      <c r="E178" s="532"/>
      <c r="F178" s="532"/>
      <c r="G178" s="473"/>
      <c r="N178" s="718"/>
      <c r="O178" s="723"/>
    </row>
    <row r="179" spans="1:15">
      <c r="A179" s="1590"/>
      <c r="B179" s="1553"/>
      <c r="C179" s="785"/>
      <c r="D179" s="523"/>
      <c r="E179" s="532"/>
      <c r="F179" s="532"/>
      <c r="G179" s="473"/>
      <c r="N179" s="718"/>
      <c r="O179" s="723"/>
    </row>
    <row r="180" spans="1:15">
      <c r="A180" s="1590"/>
      <c r="B180" s="1553"/>
      <c r="C180" s="785"/>
      <c r="D180" s="523"/>
      <c r="E180" s="532"/>
      <c r="F180" s="532"/>
      <c r="G180" s="473"/>
      <c r="N180" s="718"/>
      <c r="O180" s="723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topLeftCell="A82" zoomScale="60" zoomScaleNormal="55" workbookViewId="0">
      <selection activeCell="H89" sqref="H8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337</v>
      </c>
      <c r="B2" s="1109">
        <v>44042</v>
      </c>
      <c r="C2" s="1139" t="s">
        <v>68</v>
      </c>
      <c r="D2" s="611">
        <v>0.66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  <c r="O2" s="292"/>
    </row>
    <row r="3" spans="1:15" s="281" customFormat="1" ht="27">
      <c r="A3" s="570"/>
      <c r="B3" s="614"/>
      <c r="C3" s="1139" t="s">
        <v>118</v>
      </c>
      <c r="D3" s="612">
        <v>27</v>
      </c>
      <c r="E3" s="1699" t="s">
        <v>119</v>
      </c>
      <c r="F3" s="1699"/>
      <c r="G3" s="462"/>
      <c r="H3" s="463"/>
      <c r="I3" s="463"/>
      <c r="J3" s="615"/>
      <c r="K3" s="371"/>
      <c r="L3" s="292"/>
      <c r="O3" s="1021"/>
    </row>
    <row r="4" spans="1:15" s="281" customFormat="1" ht="27">
      <c r="A4" s="576"/>
      <c r="B4" s="616"/>
      <c r="C4" s="1139" t="s">
        <v>120</v>
      </c>
      <c r="D4" s="611">
        <v>0.9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121</v>
      </c>
      <c r="B5" s="459"/>
      <c r="C5" s="459"/>
      <c r="D5" s="511" t="s">
        <v>122</v>
      </c>
      <c r="E5" s="467" t="s">
        <v>123</v>
      </c>
      <c r="F5" s="467"/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 ht="21.95" customHeight="1">
      <c r="A6" s="1700" t="s">
        <v>128</v>
      </c>
      <c r="B6" s="1701"/>
      <c r="C6" s="1701"/>
      <c r="D6" s="471"/>
      <c r="E6" s="471"/>
      <c r="F6" s="471"/>
      <c r="G6" s="471"/>
      <c r="H6" s="472"/>
      <c r="I6" s="472"/>
      <c r="J6" s="551"/>
      <c r="K6" s="427"/>
      <c r="L6" s="377"/>
      <c r="O6" s="1022"/>
    </row>
    <row r="7" spans="1:15" ht="21.95" customHeight="1" thickBot="1">
      <c r="A7" s="578" t="s">
        <v>129</v>
      </c>
      <c r="B7" s="579"/>
      <c r="C7" s="579"/>
      <c r="D7" s="523" t="s">
        <v>130</v>
      </c>
      <c r="E7" s="455">
        <f>'29'!F7</f>
        <v>562268</v>
      </c>
      <c r="F7" s="455">
        <v>584473</v>
      </c>
      <c r="G7" s="773">
        <f>F7-E7</f>
        <v>22205</v>
      </c>
      <c r="H7" s="460">
        <f>G7+'29'!H7</f>
        <v>662520</v>
      </c>
      <c r="I7" s="474">
        <f>'1'!I7</f>
        <v>12000</v>
      </c>
      <c r="J7" s="552">
        <f>H7/DAY(B2)</f>
        <v>22084</v>
      </c>
      <c r="K7" s="549">
        <v>1375467</v>
      </c>
      <c r="L7" s="377"/>
      <c r="N7" s="440">
        <f>F7-'1'!E7</f>
        <v>-337480</v>
      </c>
      <c r="O7" s="804"/>
    </row>
    <row r="8" spans="1:15" ht="21.95" customHeight="1" thickBot="1">
      <c r="A8" s="580" t="s">
        <v>131</v>
      </c>
      <c r="B8" s="581"/>
      <c r="C8" s="582"/>
      <c r="D8" s="617" t="s">
        <v>25</v>
      </c>
      <c r="E8" s="455">
        <f>'29'!F8</f>
        <v>570021</v>
      </c>
      <c r="F8" s="475">
        <v>592305</v>
      </c>
      <c r="G8" s="476">
        <f>F8-E8</f>
        <v>22284</v>
      </c>
      <c r="H8" s="460">
        <f>G8+'29'!H8</f>
        <v>665583</v>
      </c>
      <c r="I8" s="477"/>
      <c r="J8" s="552">
        <f>H8/DAY(B2)</f>
        <v>22186.1</v>
      </c>
      <c r="K8" s="549">
        <v>1715917</v>
      </c>
      <c r="L8" s="425">
        <v>1728480</v>
      </c>
      <c r="M8" s="440">
        <f>L8-K8</f>
        <v>12563</v>
      </c>
      <c r="N8" s="440">
        <f>F8-'1'!E8</f>
        <v>-334417</v>
      </c>
      <c r="O8" s="804"/>
    </row>
    <row r="9" spans="1:15" ht="21.95" customHeight="1">
      <c r="A9" s="583" t="s">
        <v>132</v>
      </c>
      <c r="B9" s="584"/>
      <c r="C9" s="584"/>
      <c r="D9" s="523" t="s">
        <v>130</v>
      </c>
      <c r="E9" s="455">
        <f>'29'!F9</f>
        <v>2652678</v>
      </c>
      <c r="F9" s="478">
        <v>2674174</v>
      </c>
      <c r="G9" s="473">
        <f t="shared" ref="G9:G12" si="0">F9-E9</f>
        <v>21496</v>
      </c>
      <c r="H9" s="460">
        <f>G9+'29'!H9</f>
        <v>643172</v>
      </c>
      <c r="I9" s="479">
        <f>I7-J7</f>
        <v>-10084</v>
      </c>
      <c r="J9" s="552">
        <f>H9/DAY(B2)</f>
        <v>21439.066666666666</v>
      </c>
      <c r="K9" s="428">
        <f>K8-100</f>
        <v>1715817</v>
      </c>
      <c r="L9" s="377"/>
      <c r="N9" s="440">
        <f>F9-'1'!E9</f>
        <v>643172</v>
      </c>
      <c r="O9" s="804"/>
    </row>
    <row r="10" spans="1:15" ht="21.95" customHeight="1">
      <c r="A10" s="578" t="s">
        <v>133</v>
      </c>
      <c r="B10" s="579"/>
      <c r="C10" s="579"/>
      <c r="D10" s="523" t="s">
        <v>130</v>
      </c>
      <c r="E10" s="455">
        <f>'29'!F10</f>
        <v>2607</v>
      </c>
      <c r="F10" s="478">
        <v>2607</v>
      </c>
      <c r="G10" s="473">
        <f t="shared" si="0"/>
        <v>0</v>
      </c>
      <c r="H10" s="460">
        <f>G10+'29'!H10</f>
        <v>0.74999999999954525</v>
      </c>
      <c r="I10" s="480"/>
      <c r="J10" s="552">
        <f>H10/DAY(B2)</f>
        <v>2.4999999999984843E-2</v>
      </c>
      <c r="K10" s="428"/>
      <c r="L10" s="377"/>
      <c r="N10" s="440">
        <f>F10-'1'!E10</f>
        <v>284</v>
      </c>
      <c r="O10" s="804"/>
    </row>
    <row r="11" spans="1:15" ht="21.95" customHeight="1">
      <c r="A11" s="578" t="s">
        <v>134</v>
      </c>
      <c r="B11" s="579"/>
      <c r="C11" s="579"/>
      <c r="D11" s="523" t="s">
        <v>130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4"/>
    </row>
    <row r="12" spans="1:15" ht="21.95" customHeight="1">
      <c r="A12" s="578" t="s">
        <v>135</v>
      </c>
      <c r="B12" s="579"/>
      <c r="C12" s="579"/>
      <c r="D12" s="523" t="s">
        <v>130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4"/>
    </row>
    <row r="13" spans="1:15" ht="21.95" customHeight="1">
      <c r="A13" s="585" t="s">
        <v>136</v>
      </c>
      <c r="B13" s="586"/>
      <c r="C13" s="586"/>
      <c r="D13" s="523"/>
      <c r="E13" s="455"/>
      <c r="F13" s="455"/>
      <c r="G13" s="481">
        <f>G9+G10+G11+G12</f>
        <v>21496</v>
      </c>
      <c r="H13" s="460">
        <f>G13+'29'!H13</f>
        <v>622845.75</v>
      </c>
      <c r="I13" s="482">
        <f>G7-G13</f>
        <v>709</v>
      </c>
      <c r="J13" s="552">
        <f>H13/DAY(B2)</f>
        <v>20761.525000000001</v>
      </c>
      <c r="K13" s="428"/>
      <c r="L13" s="377"/>
      <c r="N13" s="440">
        <f>F13-'1'!E13</f>
        <v>0</v>
      </c>
      <c r="O13" s="804"/>
    </row>
    <row r="14" spans="1:15" ht="29.25">
      <c r="A14" s="1702" t="s">
        <v>137</v>
      </c>
      <c r="B14" s="1703"/>
      <c r="C14" s="1703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4"/>
    </row>
    <row r="15" spans="1:15" ht="21.95" customHeight="1">
      <c r="A15" s="1137" t="s">
        <v>138</v>
      </c>
      <c r="B15" s="589"/>
      <c r="C15" s="589"/>
      <c r="D15" s="523" t="s">
        <v>139</v>
      </c>
      <c r="E15" s="455">
        <f>'29'!F15</f>
        <v>1727705</v>
      </c>
      <c r="F15" s="700">
        <v>1728626</v>
      </c>
      <c r="G15" s="773">
        <f>(F15-E15)</f>
        <v>921</v>
      </c>
      <c r="H15" s="460">
        <f>G15+'29'!H15</f>
        <v>24943</v>
      </c>
      <c r="I15" s="474">
        <f>'1'!I15</f>
        <v>800</v>
      </c>
      <c r="J15" s="552">
        <f>H15/DAY(B2)</f>
        <v>831.43333333333328</v>
      </c>
      <c r="K15" s="428"/>
      <c r="L15" s="377"/>
      <c r="N15" s="440">
        <f>F15-'1'!E15</f>
        <v>24943</v>
      </c>
      <c r="O15" s="804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-31.43333333333328</v>
      </c>
      <c r="J16" s="553"/>
      <c r="K16" s="428"/>
      <c r="L16" s="377"/>
      <c r="N16" s="440">
        <f>F16-'1'!E16</f>
        <v>0</v>
      </c>
      <c r="O16" s="804"/>
    </row>
    <row r="17" spans="1:15" ht="29.25">
      <c r="A17" s="1702" t="s">
        <v>140</v>
      </c>
      <c r="B17" s="1703"/>
      <c r="C17" s="1703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4"/>
    </row>
    <row r="18" spans="1:15" ht="27.75">
      <c r="A18" s="1691" t="s">
        <v>141</v>
      </c>
      <c r="B18" s="1692"/>
      <c r="C18" s="1692"/>
      <c r="D18" s="523" t="s">
        <v>142</v>
      </c>
      <c r="E18" s="455">
        <f>'29'!F18</f>
        <v>14</v>
      </c>
      <c r="F18" s="484">
        <v>15</v>
      </c>
      <c r="G18" s="481">
        <f>F18*10</f>
        <v>150</v>
      </c>
      <c r="H18" s="460">
        <f>G18+'29'!H18</f>
        <v>3890</v>
      </c>
      <c r="I18" s="474">
        <f>'1'!I18</f>
        <v>65</v>
      </c>
      <c r="J18" s="552">
        <f>H18/DAY(B2)</f>
        <v>129.66666666666666</v>
      </c>
      <c r="K18" s="428"/>
      <c r="L18" s="377"/>
      <c r="N18" s="440">
        <f>F18-'1'!E18</f>
        <v>8</v>
      </c>
      <c r="O18" s="804"/>
    </row>
    <row r="19" spans="1:15" ht="27.75">
      <c r="A19" s="1691" t="s">
        <v>70</v>
      </c>
      <c r="B19" s="1692"/>
      <c r="C19" s="1692"/>
      <c r="D19" s="523" t="s">
        <v>142</v>
      </c>
      <c r="E19" s="455">
        <f>'29'!F19</f>
        <v>143265</v>
      </c>
      <c r="F19" s="484">
        <v>143327</v>
      </c>
      <c r="G19" s="473">
        <f t="shared" ref="G19" si="1">F19-E19</f>
        <v>62</v>
      </c>
      <c r="H19" s="460">
        <f>G19+'29'!H19</f>
        <v>1832</v>
      </c>
      <c r="I19" s="489"/>
      <c r="J19" s="552">
        <f>H19/DAY(B2)</f>
        <v>61.06666666666667</v>
      </c>
      <c r="K19" s="428"/>
      <c r="L19" s="377"/>
      <c r="N19" s="440">
        <f>F19-'1'!E19</f>
        <v>1832</v>
      </c>
      <c r="O19" s="804"/>
    </row>
    <row r="20" spans="1:15" ht="21.95" customHeight="1">
      <c r="A20" s="585" t="s">
        <v>143</v>
      </c>
      <c r="B20" s="586"/>
      <c r="C20" s="586"/>
      <c r="D20" s="490"/>
      <c r="E20" s="490"/>
      <c r="F20" s="490"/>
      <c r="G20" s="1020">
        <f>G18+G19</f>
        <v>212</v>
      </c>
      <c r="H20" s="460">
        <f>G20+'29'!H20</f>
        <v>5722</v>
      </c>
      <c r="I20" s="492">
        <f>I18-J20</f>
        <v>-125.73333333333332</v>
      </c>
      <c r="J20" s="552">
        <f>H20/DAY(B2)</f>
        <v>190.73333333333332</v>
      </c>
      <c r="K20" s="428"/>
      <c r="L20" s="377"/>
      <c r="N20" s="440">
        <f>F20-'1'!E20</f>
        <v>0</v>
      </c>
      <c r="O20" s="804"/>
    </row>
    <row r="21" spans="1:15" ht="29.25">
      <c r="A21" s="1702" t="s">
        <v>144</v>
      </c>
      <c r="B21" s="1703"/>
      <c r="C21" s="1703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4"/>
    </row>
    <row r="22" spans="1:15" ht="21.95" customHeight="1">
      <c r="A22" s="1137" t="s">
        <v>145</v>
      </c>
      <c r="B22" s="589"/>
      <c r="C22" s="589"/>
      <c r="D22" s="523" t="s">
        <v>146</v>
      </c>
      <c r="E22" s="737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4"/>
    </row>
    <row r="23" spans="1:15" ht="21.95" customHeight="1">
      <c r="A23" s="1137" t="s">
        <v>147</v>
      </c>
      <c r="B23" s="589"/>
      <c r="C23" s="589"/>
      <c r="D23" s="523" t="s">
        <v>146</v>
      </c>
      <c r="E23" s="737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4"/>
    </row>
    <row r="24" spans="1:15" ht="21.95" customHeight="1">
      <c r="A24" s="590" t="s">
        <v>148</v>
      </c>
      <c r="B24" s="591"/>
      <c r="C24" s="591"/>
      <c r="D24" s="511" t="s">
        <v>146</v>
      </c>
      <c r="E24" s="740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4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4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4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22284</v>
      </c>
      <c r="F27" s="501">
        <v>9</v>
      </c>
      <c r="G27" s="1023">
        <f>E27*F27</f>
        <v>200556</v>
      </c>
      <c r="H27" s="460">
        <f>G27+'29'!H27</f>
        <v>5990248.8900000006</v>
      </c>
      <c r="I27" s="503"/>
      <c r="J27" s="552">
        <f>H27/DAY(B2)</f>
        <v>199674.96300000002</v>
      </c>
      <c r="K27" s="373"/>
      <c r="L27" s="443"/>
      <c r="N27" s="440"/>
      <c r="O27" s="804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4">
        <f>G15</f>
        <v>921</v>
      </c>
      <c r="F28" s="501">
        <v>52</v>
      </c>
      <c r="G28" s="1023">
        <f>E28*F28</f>
        <v>47892</v>
      </c>
      <c r="H28" s="460">
        <f>G28+'29'!H28</f>
        <v>1297036</v>
      </c>
      <c r="I28" s="505"/>
      <c r="J28" s="552">
        <f>H28/DAY(B2)</f>
        <v>43234.533333333333</v>
      </c>
      <c r="K28" s="373"/>
      <c r="L28" s="443"/>
      <c r="N28" s="440"/>
      <c r="O28" s="804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6">
        <f>G24</f>
        <v>0</v>
      </c>
      <c r="F29" s="501">
        <v>69</v>
      </c>
      <c r="G29" s="1023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4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6">
        <f>G19</f>
        <v>62</v>
      </c>
      <c r="F30" s="501">
        <v>146</v>
      </c>
      <c r="G30" s="1023">
        <f>E30*F30</f>
        <v>9052</v>
      </c>
      <c r="H30" s="460">
        <f>G30+'29'!H30</f>
        <v>266888</v>
      </c>
      <c r="I30" s="505"/>
      <c r="J30" s="552">
        <f>H30/DAY(B2)</f>
        <v>8896.2666666666664</v>
      </c>
      <c r="K30" s="373"/>
      <c r="L30" s="443"/>
      <c r="N30" s="440"/>
      <c r="O30" s="804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6">
        <f>G18</f>
        <v>150</v>
      </c>
      <c r="F31" s="501">
        <v>80</v>
      </c>
      <c r="G31" s="1023">
        <f>E31*F31</f>
        <v>12000</v>
      </c>
      <c r="H31" s="460">
        <f>G31+'29'!H31</f>
        <v>305600</v>
      </c>
      <c r="I31" s="505"/>
      <c r="J31" s="552">
        <f>H31/DAY(B2)</f>
        <v>10186.666666666666</v>
      </c>
      <c r="K31" s="373"/>
      <c r="L31" s="443"/>
      <c r="N31" s="440"/>
      <c r="O31" s="804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508">
        <f>G27+G28+G29+G30+G31</f>
        <v>269500</v>
      </c>
      <c r="H32" s="460">
        <f>G32+'29'!H32</f>
        <v>7859772.8900000006</v>
      </c>
      <c r="I32" s="509"/>
      <c r="J32" s="552">
        <f>H32/DAY(B2)</f>
        <v>261992.42966666669</v>
      </c>
      <c r="K32" s="373"/>
      <c r="L32" s="443"/>
      <c r="N32" s="440"/>
      <c r="O32" s="804"/>
    </row>
    <row r="33" spans="1:15" ht="25.5">
      <c r="A33" s="1707" t="s">
        <v>160</v>
      </c>
      <c r="B33" s="1708"/>
      <c r="C33" s="1708"/>
      <c r="D33" s="1708"/>
      <c r="E33" s="1708"/>
      <c r="F33" s="1708"/>
      <c r="G33" s="1708"/>
      <c r="H33" s="1708"/>
      <c r="I33" s="1708"/>
      <c r="J33" s="1709"/>
      <c r="K33" s="428"/>
      <c r="L33" s="377"/>
      <c r="N33" s="440"/>
      <c r="O33" s="804"/>
    </row>
    <row r="34" spans="1:15" ht="21.95" customHeight="1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4"/>
    </row>
    <row r="35" spans="1:15" ht="21.95" customHeight="1">
      <c r="A35" s="578" t="s">
        <v>162</v>
      </c>
      <c r="B35" s="579"/>
      <c r="C35" s="579"/>
      <c r="D35" s="523" t="s">
        <v>130</v>
      </c>
      <c r="E35" s="455">
        <f>'29'!F35</f>
        <v>1058597</v>
      </c>
      <c r="F35" s="510">
        <v>1058597</v>
      </c>
      <c r="G35" s="473">
        <f t="shared" ref="G35:G46" si="3">F35-E35</f>
        <v>0</v>
      </c>
      <c r="H35" s="460">
        <f>G35+'29'!H35</f>
        <v>29883</v>
      </c>
      <c r="I35" s="455"/>
      <c r="J35" s="552">
        <f>H35/DAY(B2)</f>
        <v>996.1</v>
      </c>
      <c r="K35" s="428"/>
      <c r="L35" s="377"/>
      <c r="N35" s="440">
        <f>F35-'1'!E35</f>
        <v>29883</v>
      </c>
      <c r="O35" s="804"/>
    </row>
    <row r="36" spans="1:15" ht="21.95" customHeight="1">
      <c r="A36" s="578" t="s">
        <v>163</v>
      </c>
      <c r="B36" s="579"/>
      <c r="C36" s="579"/>
      <c r="D36" s="523" t="s">
        <v>130</v>
      </c>
      <c r="E36" s="455">
        <f>'29'!F36</f>
        <v>44995</v>
      </c>
      <c r="F36" s="510">
        <v>45852</v>
      </c>
      <c r="G36" s="473">
        <f t="shared" si="3"/>
        <v>857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25391</v>
      </c>
      <c r="O36" s="804"/>
    </row>
    <row r="37" spans="1:15" ht="21.95" customHeight="1">
      <c r="A37" s="578" t="s">
        <v>164</v>
      </c>
      <c r="B37" s="579"/>
      <c r="C37" s="579"/>
      <c r="D37" s="523" t="s">
        <v>130</v>
      </c>
      <c r="E37" s="455">
        <f>'29'!F37</f>
        <v>222885</v>
      </c>
      <c r="F37" s="510">
        <v>224517</v>
      </c>
      <c r="G37" s="473">
        <f t="shared" si="3"/>
        <v>1632</v>
      </c>
      <c r="H37" s="460">
        <f>G37+'29'!H37</f>
        <v>47947</v>
      </c>
      <c r="I37" s="455"/>
      <c r="J37" s="552">
        <f>H37/DAY(B2)</f>
        <v>1598.2333333333333</v>
      </c>
      <c r="K37" s="428"/>
      <c r="L37" s="377"/>
      <c r="N37" s="440">
        <f>F37-'1'!E37</f>
        <v>47947</v>
      </c>
      <c r="O37" s="804"/>
    </row>
    <row r="38" spans="1:15" ht="21.95" customHeight="1">
      <c r="A38" s="578" t="s">
        <v>165</v>
      </c>
      <c r="B38" s="579"/>
      <c r="C38" s="579"/>
      <c r="D38" s="523" t="s">
        <v>130</v>
      </c>
      <c r="E38" s="455">
        <f>'29'!F38</f>
        <v>245114</v>
      </c>
      <c r="F38" s="469">
        <v>246814</v>
      </c>
      <c r="G38" s="473">
        <f t="shared" si="3"/>
        <v>1700</v>
      </c>
      <c r="H38" s="460">
        <f>G38+'29'!H38</f>
        <v>48355</v>
      </c>
      <c r="I38" s="455"/>
      <c r="J38" s="552">
        <f>H38/DAY(B2)</f>
        <v>1611.8333333333333</v>
      </c>
      <c r="K38" s="428"/>
      <c r="L38" s="377"/>
      <c r="N38" s="440"/>
      <c r="O38" s="804"/>
    </row>
    <row r="39" spans="1:15" ht="21.95" customHeight="1">
      <c r="A39" s="578" t="s">
        <v>166</v>
      </c>
      <c r="B39" s="579"/>
      <c r="C39" s="579"/>
      <c r="D39" s="523" t="s">
        <v>130</v>
      </c>
      <c r="E39" s="455">
        <f>'29'!F39</f>
        <v>512863</v>
      </c>
      <c r="F39" s="510">
        <v>516711</v>
      </c>
      <c r="G39" s="473">
        <f t="shared" si="3"/>
        <v>3848</v>
      </c>
      <c r="H39" s="460">
        <f>G39+'29'!H39</f>
        <v>111847</v>
      </c>
      <c r="I39" s="455"/>
      <c r="J39" s="552">
        <f>H39/DAY(B2)</f>
        <v>3728.2333333333331</v>
      </c>
      <c r="K39" s="428"/>
      <c r="L39" s="377"/>
      <c r="N39" s="440">
        <f>F39-'1'!E39</f>
        <v>111847</v>
      </c>
      <c r="O39" s="804"/>
    </row>
    <row r="40" spans="1:15" ht="21.95" customHeight="1">
      <c r="A40" s="599" t="s">
        <v>167</v>
      </c>
      <c r="B40" s="600"/>
      <c r="C40" s="600"/>
      <c r="D40" s="523" t="s">
        <v>130</v>
      </c>
      <c r="E40" s="455">
        <f>'29'!F40</f>
        <v>19128</v>
      </c>
      <c r="F40" s="510">
        <v>19776</v>
      </c>
      <c r="G40" s="473">
        <f t="shared" si="3"/>
        <v>648</v>
      </c>
      <c r="H40" s="460">
        <f>G40+'29'!H40</f>
        <v>12663</v>
      </c>
      <c r="I40" s="455"/>
      <c r="J40" s="552">
        <f>H40/DAY(B2)</f>
        <v>422.1</v>
      </c>
      <c r="K40" s="429"/>
      <c r="L40" s="377"/>
      <c r="N40" s="440">
        <f>F40-'1'!E40</f>
        <v>12663</v>
      </c>
      <c r="O40" s="804"/>
    </row>
    <row r="41" spans="1:15" ht="21.95" customHeight="1">
      <c r="A41" s="578" t="s">
        <v>168</v>
      </c>
      <c r="B41" s="579"/>
      <c r="C41" s="579"/>
      <c r="D41" s="523" t="s">
        <v>130</v>
      </c>
      <c r="E41" s="455">
        <f>'29'!F41</f>
        <v>366840</v>
      </c>
      <c r="F41" s="510">
        <v>366840</v>
      </c>
      <c r="G41" s="473">
        <f t="shared" si="3"/>
        <v>0</v>
      </c>
      <c r="H41" s="460">
        <f>G41+'29'!H41</f>
        <v>37198</v>
      </c>
      <c r="I41" s="455"/>
      <c r="J41" s="552">
        <f>H41/DAY(B2)</f>
        <v>1239.9333333333334</v>
      </c>
      <c r="K41" s="428"/>
      <c r="L41" s="377"/>
      <c r="N41" s="440">
        <f>F41-'1'!E41</f>
        <v>37198</v>
      </c>
      <c r="O41" s="804"/>
    </row>
    <row r="42" spans="1:15" ht="21.95" customHeight="1">
      <c r="A42" s="578" t="s">
        <v>169</v>
      </c>
      <c r="B42" s="579"/>
      <c r="C42" s="579"/>
      <c r="D42" s="523" t="s">
        <v>130</v>
      </c>
      <c r="E42" s="455">
        <f>'29'!F42</f>
        <v>111473</v>
      </c>
      <c r="F42" s="510">
        <v>112569</v>
      </c>
      <c r="G42" s="473">
        <f t="shared" si="3"/>
        <v>1096</v>
      </c>
      <c r="H42" s="460">
        <f>G42+'29'!H42</f>
        <v>53370.11</v>
      </c>
      <c r="I42" s="455"/>
      <c r="J42" s="552">
        <f>H42/DAY(B2)</f>
        <v>1779.0036666666667</v>
      </c>
      <c r="K42" s="428"/>
      <c r="L42" s="377"/>
      <c r="N42" s="440">
        <f>F42-'1'!E42</f>
        <v>53359</v>
      </c>
      <c r="O42" s="804"/>
    </row>
    <row r="43" spans="1:15" ht="21.95" customHeight="1">
      <c r="A43" s="578" t="s">
        <v>170</v>
      </c>
      <c r="B43" s="579"/>
      <c r="C43" s="579"/>
      <c r="D43" s="523" t="s">
        <v>130</v>
      </c>
      <c r="E43" s="455">
        <f>'29'!F43</f>
        <v>1198997</v>
      </c>
      <c r="F43" s="510">
        <v>1201637</v>
      </c>
      <c r="G43" s="473">
        <f t="shared" si="3"/>
        <v>2640</v>
      </c>
      <c r="H43" s="460">
        <f>G43+'29'!H43</f>
        <v>81185</v>
      </c>
      <c r="I43" s="455"/>
      <c r="J43" s="552">
        <f>H43/DAY(B2)</f>
        <v>2706.1666666666665</v>
      </c>
      <c r="K43" s="428"/>
      <c r="L43" s="377"/>
      <c r="N43" s="440">
        <f>F43-'1'!E43</f>
        <v>81185</v>
      </c>
      <c r="O43" s="804"/>
    </row>
    <row r="44" spans="1:15" ht="21.95" customHeight="1">
      <c r="A44" s="578" t="s">
        <v>171</v>
      </c>
      <c r="B44" s="579"/>
      <c r="C44" s="579"/>
      <c r="D44" s="523" t="s">
        <v>130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4"/>
    </row>
    <row r="45" spans="1:15" ht="21.95" customHeight="1">
      <c r="A45" s="578" t="s">
        <v>172</v>
      </c>
      <c r="B45" s="579"/>
      <c r="C45" s="579"/>
      <c r="D45" s="523" t="s">
        <v>130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614</v>
      </c>
      <c r="O45" s="804"/>
    </row>
    <row r="46" spans="1:15" ht="21.95" customHeight="1">
      <c r="A46" s="578" t="s">
        <v>173</v>
      </c>
      <c r="B46" s="579"/>
      <c r="C46" s="579"/>
      <c r="D46" s="523" t="s">
        <v>130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-0.49000000000000909</v>
      </c>
      <c r="I46" s="455"/>
      <c r="J46" s="552">
        <f>H46/DAY(B2)</f>
        <v>-1.6333333333333637E-2</v>
      </c>
      <c r="K46" s="428"/>
      <c r="L46" s="377"/>
      <c r="N46" s="440">
        <f>F46-'1'!E46</f>
        <v>187</v>
      </c>
      <c r="O46" s="804"/>
    </row>
    <row r="47" spans="1:15" ht="21.95" customHeight="1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12421</v>
      </c>
      <c r="H47" s="460">
        <f>G47+'29'!H47</f>
        <v>448640.11</v>
      </c>
      <c r="I47" s="455"/>
      <c r="J47" s="552">
        <f>H47/DAY(B2)</f>
        <v>14954.670333333333</v>
      </c>
      <c r="K47" s="428"/>
      <c r="L47" s="377"/>
      <c r="N47" s="440">
        <f>F47-'1'!E47</f>
        <v>0</v>
      </c>
      <c r="O47" s="804"/>
    </row>
    <row r="48" spans="1:15" ht="29.25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O48" s="804"/>
    </row>
    <row r="49" spans="1:15" ht="29.25">
      <c r="A49" s="578" t="s">
        <v>162</v>
      </c>
      <c r="B49" s="601"/>
      <c r="C49" s="601"/>
      <c r="D49" s="523" t="s">
        <v>130</v>
      </c>
      <c r="E49" s="455">
        <f>'29'!F49</f>
        <v>318012</v>
      </c>
      <c r="F49" s="510">
        <v>321016</v>
      </c>
      <c r="G49" s="473">
        <f t="shared" ref="G49:G58" si="4">F49-E49</f>
        <v>3004</v>
      </c>
      <c r="H49" s="460">
        <f>G49+'29'!H49</f>
        <v>60252</v>
      </c>
      <c r="I49" s="455"/>
      <c r="J49" s="552">
        <f>H49/DAY(B2)</f>
        <v>2008.4</v>
      </c>
      <c r="K49" s="428"/>
      <c r="L49" s="377"/>
      <c r="O49" s="804"/>
    </row>
    <row r="50" spans="1:15" ht="29.25">
      <c r="A50" s="578" t="s">
        <v>176</v>
      </c>
      <c r="B50" s="601"/>
      <c r="C50" s="601"/>
      <c r="D50" s="523" t="s">
        <v>130</v>
      </c>
      <c r="E50" s="455">
        <f>'29'!F50</f>
        <v>567719</v>
      </c>
      <c r="F50" s="510">
        <v>568748</v>
      </c>
      <c r="G50" s="473">
        <f t="shared" si="4"/>
        <v>1029</v>
      </c>
      <c r="H50" s="460">
        <f>G50+'29'!H50</f>
        <v>32992</v>
      </c>
      <c r="I50" s="455"/>
      <c r="J50" s="552">
        <f>H50/DAY(B2)</f>
        <v>1099.7333333333333</v>
      </c>
      <c r="K50" s="428"/>
      <c r="L50" s="377"/>
      <c r="O50" s="804"/>
    </row>
    <row r="51" spans="1:15" ht="29.25">
      <c r="A51" s="578" t="s">
        <v>164</v>
      </c>
      <c r="B51" s="601"/>
      <c r="C51" s="601"/>
      <c r="D51" s="523" t="s">
        <v>130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4"/>
    </row>
    <row r="52" spans="1:15" ht="29.25">
      <c r="A52" s="578" t="s">
        <v>177</v>
      </c>
      <c r="B52" s="601"/>
      <c r="C52" s="601"/>
      <c r="D52" s="523" t="s">
        <v>130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4"/>
    </row>
    <row r="53" spans="1:15" ht="29.25">
      <c r="A53" s="578" t="s">
        <v>166</v>
      </c>
      <c r="B53" s="601"/>
      <c r="C53" s="601"/>
      <c r="D53" s="523" t="s">
        <v>130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-0.33000000001629815</v>
      </c>
      <c r="I53" s="455"/>
      <c r="J53" s="552">
        <f>H53/DAY(B2)</f>
        <v>-1.1000000000543271E-2</v>
      </c>
      <c r="K53" s="428"/>
      <c r="L53" s="377"/>
      <c r="O53" s="804"/>
    </row>
    <row r="54" spans="1:15" ht="29.25">
      <c r="A54" s="578" t="s">
        <v>178</v>
      </c>
      <c r="B54" s="601"/>
      <c r="C54" s="601"/>
      <c r="D54" s="523" t="s">
        <v>130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0</v>
      </c>
      <c r="I54" s="455"/>
      <c r="J54" s="552">
        <f>H54/DAY(B2)</f>
        <v>0</v>
      </c>
      <c r="K54" s="428"/>
      <c r="L54" s="377"/>
      <c r="O54" s="804"/>
    </row>
    <row r="55" spans="1:15" ht="29.25">
      <c r="A55" s="578" t="s">
        <v>179</v>
      </c>
      <c r="B55" s="601"/>
      <c r="C55" s="601"/>
      <c r="D55" s="523" t="s">
        <v>130</v>
      </c>
      <c r="E55" s="455">
        <f>'29'!F55</f>
        <v>225654</v>
      </c>
      <c r="F55" s="1054">
        <v>231381</v>
      </c>
      <c r="G55" s="473">
        <f t="shared" si="4"/>
        <v>5727</v>
      </c>
      <c r="H55" s="460">
        <f>G55+'29'!H55</f>
        <v>108171</v>
      </c>
      <c r="I55" s="455"/>
      <c r="J55" s="552">
        <f>H55/DAY(B2)</f>
        <v>3605.7</v>
      </c>
      <c r="K55" s="428"/>
      <c r="L55" s="377"/>
      <c r="O55" s="804"/>
    </row>
    <row r="56" spans="1:15" ht="29.25">
      <c r="A56" s="578" t="s">
        <v>180</v>
      </c>
      <c r="B56" s="601"/>
      <c r="C56" s="601"/>
      <c r="D56" s="523" t="s">
        <v>181</v>
      </c>
      <c r="E56" s="455">
        <f>'29'!F56</f>
        <v>649338</v>
      </c>
      <c r="F56" s="510">
        <v>649350</v>
      </c>
      <c r="G56" s="473">
        <f t="shared" si="4"/>
        <v>12</v>
      </c>
      <c r="H56" s="460">
        <f>G56+'29'!H56</f>
        <v>308</v>
      </c>
      <c r="I56" s="455"/>
      <c r="J56" s="552">
        <f>H56/DAY(B2)</f>
        <v>10.266666666666667</v>
      </c>
      <c r="K56" s="427"/>
      <c r="L56" s="377"/>
      <c r="O56" s="804"/>
    </row>
    <row r="57" spans="1:15" ht="29.25">
      <c r="A57" s="578" t="s">
        <v>170</v>
      </c>
      <c r="B57" s="601"/>
      <c r="C57" s="601"/>
      <c r="D57" s="523" t="s">
        <v>130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4"/>
    </row>
    <row r="58" spans="1:15" ht="29.25">
      <c r="A58" s="578" t="s">
        <v>182</v>
      </c>
      <c r="B58" s="601"/>
      <c r="C58" s="601"/>
      <c r="D58" s="523" t="s">
        <v>130</v>
      </c>
      <c r="E58" s="455">
        <f>'29'!F58</f>
        <v>59251</v>
      </c>
      <c r="F58" s="510">
        <v>59471</v>
      </c>
      <c r="G58" s="473">
        <f t="shared" si="4"/>
        <v>220</v>
      </c>
      <c r="H58" s="460">
        <f>G58+'29'!H58</f>
        <v>5291</v>
      </c>
      <c r="I58" s="455"/>
      <c r="J58" s="552">
        <f>H58/DAY(B2)</f>
        <v>176.36666666666667</v>
      </c>
      <c r="K58" s="428"/>
      <c r="L58" s="377"/>
      <c r="O58" s="804"/>
    </row>
    <row r="59" spans="1:15" ht="29.25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9992.0600000000559</v>
      </c>
      <c r="H59" s="460">
        <f>G59+'29'!H59</f>
        <v>207013.66999999998</v>
      </c>
      <c r="I59" s="455">
        <f>G7-G60</f>
        <v>-208.06000000005588</v>
      </c>
      <c r="J59" s="552">
        <f>H59/DAY(B2)</f>
        <v>6900.4556666666658</v>
      </c>
      <c r="K59" s="428"/>
      <c r="L59" s="377"/>
      <c r="O59" s="804"/>
    </row>
    <row r="60" spans="1:15" ht="29.25">
      <c r="A60" s="578"/>
      <c r="B60" s="579"/>
      <c r="C60" s="579"/>
      <c r="D60" s="511" t="s">
        <v>183</v>
      </c>
      <c r="E60" s="511"/>
      <c r="F60" s="511"/>
      <c r="G60" s="481">
        <f>G47+G59</f>
        <v>22413.060000000056</v>
      </c>
      <c r="H60" s="460">
        <f>G60+'29'!H60</f>
        <v>662557.1100000001</v>
      </c>
      <c r="I60" s="455">
        <f>G13-G60</f>
        <v>-917.06000000005588</v>
      </c>
      <c r="J60" s="552">
        <f>H60/DAY(B2)</f>
        <v>22085.237000000005</v>
      </c>
      <c r="K60" s="428"/>
      <c r="L60" s="377"/>
      <c r="O60" s="804"/>
    </row>
    <row r="61" spans="1:15" ht="29.25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4"/>
    </row>
    <row r="62" spans="1:15" ht="29.25">
      <c r="A62" s="603" t="s">
        <v>97</v>
      </c>
      <c r="B62" s="604"/>
      <c r="C62" s="604"/>
      <c r="D62" s="511" t="s">
        <v>185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4"/>
    </row>
    <row r="63" spans="1:15" ht="29.25">
      <c r="A63" s="603" t="s">
        <v>186</v>
      </c>
      <c r="B63" s="604"/>
      <c r="C63" s="604"/>
      <c r="D63" s="511" t="s">
        <v>185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4"/>
    </row>
    <row r="64" spans="1:15" ht="27.75">
      <c r="A64" s="1693" t="s">
        <v>98</v>
      </c>
      <c r="B64" s="1549"/>
      <c r="C64" s="1549"/>
      <c r="D64" s="523" t="s">
        <v>185</v>
      </c>
      <c r="E64" s="455">
        <f>'29'!F64</f>
        <v>181134</v>
      </c>
      <c r="F64" s="484">
        <v>181513</v>
      </c>
      <c r="G64" s="473">
        <f t="shared" si="5"/>
        <v>379</v>
      </c>
      <c r="H64" s="460">
        <f>G64+'29'!H64</f>
        <v>11491</v>
      </c>
      <c r="I64" s="480"/>
      <c r="J64" s="552">
        <f>H64/DAY(B2)</f>
        <v>383.03333333333336</v>
      </c>
      <c r="K64" s="428"/>
      <c r="L64" s="377"/>
      <c r="O64" s="804"/>
    </row>
    <row r="65" spans="1:15" ht="27.75">
      <c r="A65" s="1693" t="s">
        <v>99</v>
      </c>
      <c r="B65" s="1549"/>
      <c r="C65" s="1549"/>
      <c r="D65" s="523" t="s">
        <v>185</v>
      </c>
      <c r="E65" s="455">
        <f>'29'!F65</f>
        <v>181412</v>
      </c>
      <c r="F65" s="484">
        <v>181814</v>
      </c>
      <c r="G65" s="473">
        <f t="shared" si="5"/>
        <v>402</v>
      </c>
      <c r="H65" s="460">
        <f>G65+'29'!H65</f>
        <v>11512</v>
      </c>
      <c r="I65" s="489"/>
      <c r="J65" s="552">
        <f>H65/DAY(B2)</f>
        <v>383.73333333333335</v>
      </c>
      <c r="K65" s="428"/>
      <c r="L65" s="377"/>
      <c r="O65" s="804"/>
    </row>
    <row r="66" spans="1:15" ht="27.75">
      <c r="A66" s="1693" t="s">
        <v>100</v>
      </c>
      <c r="B66" s="1549"/>
      <c r="C66" s="1549"/>
      <c r="D66" s="523" t="s">
        <v>185</v>
      </c>
      <c r="E66" s="455">
        <f>'29'!F66</f>
        <v>79841</v>
      </c>
      <c r="F66" s="484">
        <v>80259</v>
      </c>
      <c r="G66" s="473">
        <f t="shared" si="5"/>
        <v>418</v>
      </c>
      <c r="H66" s="460">
        <f>G66+'29'!H66</f>
        <v>12289</v>
      </c>
      <c r="I66" s="480"/>
      <c r="J66" s="552">
        <f>H66/DAY(B2)</f>
        <v>409.63333333333333</v>
      </c>
      <c r="K66" s="428"/>
      <c r="L66" s="377"/>
      <c r="O66" s="804"/>
    </row>
    <row r="67" spans="1:15" ht="27.75">
      <c r="A67" s="1693" t="s">
        <v>101</v>
      </c>
      <c r="B67" s="1549"/>
      <c r="C67" s="1549"/>
      <c r="D67" s="523" t="s">
        <v>185</v>
      </c>
      <c r="E67" s="455">
        <f>'29'!F67</f>
        <v>278995</v>
      </c>
      <c r="F67" s="484">
        <v>279520</v>
      </c>
      <c r="G67" s="473">
        <f t="shared" si="5"/>
        <v>525</v>
      </c>
      <c r="H67" s="460">
        <f>G67+'29'!H67</f>
        <v>14561</v>
      </c>
      <c r="I67" s="489"/>
      <c r="J67" s="552">
        <f>H67/DAY(B2)</f>
        <v>485.36666666666667</v>
      </c>
      <c r="K67" s="429"/>
      <c r="L67" s="377"/>
      <c r="O67" s="804"/>
    </row>
    <row r="68" spans="1:15" ht="27.75">
      <c r="A68" s="1693" t="s">
        <v>102</v>
      </c>
      <c r="B68" s="1549"/>
      <c r="C68" s="1549"/>
      <c r="D68" s="523" t="s">
        <v>185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4"/>
    </row>
    <row r="69" spans="1:15" ht="27.75">
      <c r="A69" s="1693" t="s">
        <v>103</v>
      </c>
      <c r="B69" s="1549"/>
      <c r="C69" s="1549"/>
      <c r="D69" s="523" t="s">
        <v>185</v>
      </c>
      <c r="E69" s="455">
        <f>'29'!F69</f>
        <v>95873</v>
      </c>
      <c r="F69" s="484">
        <v>96220</v>
      </c>
      <c r="G69" s="473">
        <f t="shared" si="5"/>
        <v>347</v>
      </c>
      <c r="H69" s="460">
        <f>G69+'29'!H69</f>
        <v>8705</v>
      </c>
      <c r="I69" s="516"/>
      <c r="J69" s="552">
        <f>H69/DAY(B2)</f>
        <v>290.16666666666669</v>
      </c>
      <c r="K69" s="431"/>
      <c r="L69" s="377"/>
      <c r="O69" s="804"/>
    </row>
    <row r="70" spans="1:15" ht="27.75">
      <c r="A70" s="1710" t="s">
        <v>187</v>
      </c>
      <c r="B70" s="1615"/>
      <c r="C70" s="1615"/>
      <c r="D70" s="523" t="s">
        <v>185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4"/>
    </row>
    <row r="71" spans="1:15" ht="31.5">
      <c r="A71" s="1704" t="s">
        <v>188</v>
      </c>
      <c r="B71" s="1705"/>
      <c r="C71" s="1705"/>
      <c r="D71" s="1705"/>
      <c r="E71" s="1705"/>
      <c r="F71" s="1705"/>
      <c r="G71" s="1705"/>
      <c r="H71" s="1705"/>
      <c r="I71" s="1705"/>
      <c r="J71" s="1706"/>
      <c r="K71" s="430"/>
      <c r="L71" s="377"/>
      <c r="O71" s="804"/>
    </row>
    <row r="72" spans="1:15" ht="27.75">
      <c r="A72" s="1693" t="s">
        <v>189</v>
      </c>
      <c r="B72" s="1549"/>
      <c r="C72" s="1549"/>
      <c r="D72" s="523" t="s">
        <v>185</v>
      </c>
      <c r="E72" s="455">
        <f>'29'!F72</f>
        <v>856582</v>
      </c>
      <c r="F72" s="519">
        <v>856597</v>
      </c>
      <c r="G72" s="473">
        <f t="shared" ref="G72:G84" si="6">F72-E72</f>
        <v>15</v>
      </c>
      <c r="H72" s="460">
        <f>G72+'29'!H72</f>
        <v>362</v>
      </c>
      <c r="I72" s="480"/>
      <c r="J72" s="552">
        <f>H72/DAY(B2)</f>
        <v>12.066666666666666</v>
      </c>
      <c r="K72" s="431"/>
      <c r="L72" s="377"/>
      <c r="O72" s="804"/>
    </row>
    <row r="73" spans="1:15" ht="27.75">
      <c r="A73" s="1693" t="s">
        <v>190</v>
      </c>
      <c r="B73" s="1549"/>
      <c r="C73" s="1549"/>
      <c r="D73" s="523" t="s">
        <v>185</v>
      </c>
      <c r="E73" s="455">
        <f>'29'!F73</f>
        <v>886010</v>
      </c>
      <c r="F73" s="520">
        <v>886012</v>
      </c>
      <c r="G73" s="473">
        <f t="shared" si="6"/>
        <v>2</v>
      </c>
      <c r="H73" s="460">
        <f>G73+'29'!H73</f>
        <v>178</v>
      </c>
      <c r="I73" s="480"/>
      <c r="J73" s="552">
        <f>H73/DAY(B2)</f>
        <v>5.9333333333333336</v>
      </c>
      <c r="K73" s="430"/>
      <c r="L73" s="377"/>
      <c r="O73" s="804"/>
    </row>
    <row r="74" spans="1:15" ht="27.75">
      <c r="A74" s="1693" t="s">
        <v>191</v>
      </c>
      <c r="B74" s="1549"/>
      <c r="C74" s="1549"/>
      <c r="D74" s="523" t="s">
        <v>185</v>
      </c>
      <c r="E74" s="455">
        <f>'29'!F74</f>
        <v>88731</v>
      </c>
      <c r="F74" s="521">
        <v>88732</v>
      </c>
      <c r="G74" s="473">
        <f t="shared" si="6"/>
        <v>1</v>
      </c>
      <c r="H74" s="460">
        <f>G74+'29'!H74</f>
        <v>70</v>
      </c>
      <c r="I74" s="480"/>
      <c r="J74" s="552">
        <f>H74/DAY(B2)</f>
        <v>2.3333333333333335</v>
      </c>
      <c r="K74" s="431"/>
      <c r="L74" s="377"/>
      <c r="O74" s="804"/>
    </row>
    <row r="75" spans="1:15" ht="27.75">
      <c r="A75" s="1715" t="s">
        <v>192</v>
      </c>
      <c r="B75" s="1716"/>
      <c r="C75" s="1716"/>
      <c r="D75" s="523" t="s">
        <v>185</v>
      </c>
      <c r="E75" s="455">
        <f>'29'!F75</f>
        <v>20588</v>
      </c>
      <c r="F75" s="521">
        <v>20760</v>
      </c>
      <c r="G75" s="473">
        <f t="shared" si="6"/>
        <v>172</v>
      </c>
      <c r="H75" s="460">
        <f>G75+'29'!H75</f>
        <v>4689</v>
      </c>
      <c r="I75" s="480"/>
      <c r="J75" s="552">
        <f>H75/DAY(B2)</f>
        <v>156.30000000000001</v>
      </c>
      <c r="K75" s="430"/>
      <c r="L75" s="377"/>
      <c r="O75" s="804"/>
    </row>
    <row r="76" spans="1:15" ht="27.75">
      <c r="A76" s="1715" t="s">
        <v>193</v>
      </c>
      <c r="B76" s="1716"/>
      <c r="C76" s="1716"/>
      <c r="D76" s="523" t="s">
        <v>185</v>
      </c>
      <c r="E76" s="455">
        <f>'29'!F76</f>
        <v>11284</v>
      </c>
      <c r="F76" s="520">
        <v>11357</v>
      </c>
      <c r="G76" s="473">
        <f t="shared" si="6"/>
        <v>73</v>
      </c>
      <c r="H76" s="460">
        <f>G76+'29'!H76</f>
        <v>3138</v>
      </c>
      <c r="I76" s="505"/>
      <c r="J76" s="552">
        <f>H76/DAY(B2)</f>
        <v>104.6</v>
      </c>
      <c r="K76" s="430"/>
      <c r="L76" s="377"/>
      <c r="O76" s="804"/>
    </row>
    <row r="77" spans="1:15" ht="27.75">
      <c r="A77" s="1693" t="s">
        <v>194</v>
      </c>
      <c r="B77" s="1549"/>
      <c r="C77" s="1549"/>
      <c r="D77" s="523" t="s">
        <v>185</v>
      </c>
      <c r="E77" s="455">
        <f>'29'!F77</f>
        <v>706327</v>
      </c>
      <c r="F77" s="521">
        <v>706384</v>
      </c>
      <c r="G77" s="473">
        <f t="shared" si="6"/>
        <v>57</v>
      </c>
      <c r="H77" s="460">
        <f>G77+'29'!H77</f>
        <v>2010</v>
      </c>
      <c r="I77" s="505"/>
      <c r="J77" s="552">
        <f>H77/DAY(B2)</f>
        <v>67</v>
      </c>
      <c r="K77" s="430"/>
      <c r="L77" s="377"/>
      <c r="O77" s="804"/>
    </row>
    <row r="78" spans="1:15" ht="27.75">
      <c r="A78" s="1140" t="s">
        <v>195</v>
      </c>
      <c r="B78" s="1113"/>
      <c r="C78" s="1113"/>
      <c r="D78" s="523" t="s">
        <v>185</v>
      </c>
      <c r="E78" s="455">
        <f>'29'!F78</f>
        <v>678496</v>
      </c>
      <c r="F78" s="521">
        <v>678673</v>
      </c>
      <c r="G78" s="473">
        <f t="shared" si="6"/>
        <v>177</v>
      </c>
      <c r="H78" s="460">
        <f>G78+'29'!H78</f>
        <v>3259</v>
      </c>
      <c r="I78" s="505"/>
      <c r="J78" s="552">
        <f>H78/DAY(B2)</f>
        <v>108.63333333333334</v>
      </c>
      <c r="K78" s="430"/>
      <c r="L78" s="377"/>
      <c r="O78" s="804"/>
    </row>
    <row r="79" spans="1:15" ht="27.75">
      <c r="A79" s="1715" t="s">
        <v>91</v>
      </c>
      <c r="B79" s="1716"/>
      <c r="C79" s="1716"/>
      <c r="D79" s="524" t="s">
        <v>185</v>
      </c>
      <c r="E79" s="455">
        <f>'29'!F79</f>
        <v>839915</v>
      </c>
      <c r="F79" s="521">
        <v>840054</v>
      </c>
      <c r="G79" s="473">
        <f t="shared" si="6"/>
        <v>139</v>
      </c>
      <c r="H79" s="460">
        <f>G79+'29'!H79</f>
        <v>3900</v>
      </c>
      <c r="I79" s="505"/>
      <c r="J79" s="552">
        <f>H79/DAY(B2)</f>
        <v>130</v>
      </c>
      <c r="K79" s="430"/>
      <c r="L79" s="377"/>
      <c r="O79" s="804"/>
    </row>
    <row r="80" spans="1:15" ht="27.75">
      <c r="A80" s="1715" t="s">
        <v>196</v>
      </c>
      <c r="B80" s="1716"/>
      <c r="C80" s="1716"/>
      <c r="D80" s="524" t="s">
        <v>185</v>
      </c>
      <c r="E80" s="455">
        <f>'29'!F80</f>
        <v>551128</v>
      </c>
      <c r="F80" s="520">
        <v>551538</v>
      </c>
      <c r="G80" s="473">
        <f t="shared" si="6"/>
        <v>410</v>
      </c>
      <c r="H80" s="460">
        <f>G80+'29'!H80</f>
        <v>9147</v>
      </c>
      <c r="I80" s="505"/>
      <c r="J80" s="552">
        <f>H80/DAY(B2)</f>
        <v>304.89999999999998</v>
      </c>
      <c r="K80" s="430"/>
      <c r="L80" s="377"/>
      <c r="O80" s="804"/>
    </row>
    <row r="81" spans="1:15" ht="27.75">
      <c r="A81" s="1715" t="s">
        <v>197</v>
      </c>
      <c r="B81" s="1716"/>
      <c r="C81" s="1716"/>
      <c r="D81" s="524" t="s">
        <v>185</v>
      </c>
      <c r="E81" s="455">
        <f>'29'!F81</f>
        <v>648645</v>
      </c>
      <c r="F81" s="520">
        <v>648833</v>
      </c>
      <c r="G81" s="473">
        <f t="shared" si="6"/>
        <v>188</v>
      </c>
      <c r="H81" s="460">
        <f>G81+'29'!H81</f>
        <v>5848</v>
      </c>
      <c r="I81" s="505"/>
      <c r="J81" s="552">
        <f>H81/DAY(B2)</f>
        <v>194.93333333333334</v>
      </c>
      <c r="K81" s="430"/>
      <c r="L81" s="377"/>
      <c r="O81" s="804"/>
    </row>
    <row r="82" spans="1:15" ht="27.75">
      <c r="A82" s="1715" t="s">
        <v>92</v>
      </c>
      <c r="B82" s="1716"/>
      <c r="C82" s="1716"/>
      <c r="D82" s="485" t="s">
        <v>130</v>
      </c>
      <c r="E82" s="455">
        <f>'29'!F82</f>
        <v>109295</v>
      </c>
      <c r="F82" s="522">
        <v>109309</v>
      </c>
      <c r="G82" s="473">
        <f t="shared" si="6"/>
        <v>14</v>
      </c>
      <c r="H82" s="460">
        <f>G82+'29'!H82</f>
        <v>628</v>
      </c>
      <c r="I82" s="486"/>
      <c r="J82" s="552">
        <f>H82/DAY(B2)</f>
        <v>20.933333333333334</v>
      </c>
      <c r="K82" s="430"/>
      <c r="L82" s="377"/>
      <c r="O82" s="804"/>
    </row>
    <row r="83" spans="1:15" ht="27.75">
      <c r="A83" s="1715" t="s">
        <v>198</v>
      </c>
      <c r="B83" s="1716"/>
      <c r="C83" s="1716"/>
      <c r="D83" s="620" t="s">
        <v>130</v>
      </c>
      <c r="E83" s="455">
        <f>'29'!F83</f>
        <v>34387</v>
      </c>
      <c r="F83" s="511">
        <v>34708</v>
      </c>
      <c r="G83" s="473">
        <f t="shared" si="6"/>
        <v>321</v>
      </c>
      <c r="H83" s="460">
        <f>G83+'29'!H83</f>
        <v>7157</v>
      </c>
      <c r="I83" s="481"/>
      <c r="J83" s="552">
        <f>H83/DAY(B2)</f>
        <v>238.56666666666666</v>
      </c>
      <c r="K83" s="429"/>
      <c r="L83" s="377"/>
      <c r="O83" s="804"/>
    </row>
    <row r="84" spans="1:15" ht="29.25">
      <c r="A84" s="1141" t="s">
        <v>199</v>
      </c>
      <c r="B84" s="571"/>
      <c r="C84" s="571"/>
      <c r="D84" s="478" t="s">
        <v>130</v>
      </c>
      <c r="E84" s="455">
        <f>'29'!F84</f>
        <v>545771</v>
      </c>
      <c r="F84" s="523">
        <v>546573</v>
      </c>
      <c r="G84" s="473">
        <f t="shared" si="6"/>
        <v>802</v>
      </c>
      <c r="H84" s="460">
        <f>G84+'29'!H84</f>
        <v>23493</v>
      </c>
      <c r="I84" s="481"/>
      <c r="J84" s="552">
        <f>H84/DAY(B2)</f>
        <v>783.1</v>
      </c>
      <c r="K84" s="380"/>
      <c r="L84" s="377"/>
      <c r="O84" s="804"/>
    </row>
    <row r="85" spans="1:15" s="379" customFormat="1" ht="21.95" customHeight="1">
      <c r="A85" s="605" t="s">
        <v>200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2371</v>
      </c>
      <c r="H85" s="460">
        <f>G85+'29'!H85</f>
        <v>66753</v>
      </c>
      <c r="I85" s="481"/>
      <c r="J85" s="552">
        <f>H85/DAY(B2)</f>
        <v>2225.1</v>
      </c>
      <c r="K85" s="380"/>
      <c r="L85" s="378"/>
      <c r="O85" s="804"/>
    </row>
    <row r="86" spans="1:15" s="735" customFormat="1" ht="29.25">
      <c r="A86" s="730" t="s">
        <v>93</v>
      </c>
      <c r="B86" s="731"/>
      <c r="C86" s="731"/>
      <c r="D86" s="732" t="s">
        <v>181</v>
      </c>
      <c r="E86" s="455">
        <f>'29'!F86</f>
        <v>462474</v>
      </c>
      <c r="F86" s="647">
        <v>462486</v>
      </c>
      <c r="G86" s="705">
        <f t="shared" ref="G86:G91" si="7">F86-E86</f>
        <v>12</v>
      </c>
      <c r="H86" s="460">
        <f>G86+'29'!H86</f>
        <v>21</v>
      </c>
      <c r="I86" s="652"/>
      <c r="J86" s="707">
        <f>H86/DAY(B2)</f>
        <v>0.7</v>
      </c>
      <c r="K86" s="733"/>
      <c r="L86" s="734"/>
      <c r="O86" s="804"/>
    </row>
    <row r="87" spans="1:15" s="735" customFormat="1" ht="27.75" customHeight="1">
      <c r="A87" s="730" t="s">
        <v>94</v>
      </c>
      <c r="B87" s="731"/>
      <c r="C87" s="731"/>
      <c r="D87" s="732" t="s">
        <v>181</v>
      </c>
      <c r="E87" s="455">
        <f>'29'!F87</f>
        <v>82896</v>
      </c>
      <c r="F87" s="647">
        <v>82928</v>
      </c>
      <c r="G87" s="705">
        <f t="shared" si="7"/>
        <v>32</v>
      </c>
      <c r="H87" s="460">
        <f>G87+'29'!H87</f>
        <v>71</v>
      </c>
      <c r="I87" s="652"/>
      <c r="J87" s="707">
        <f>H87/DAY(B2)</f>
        <v>2.3666666666666667</v>
      </c>
      <c r="K87" s="733"/>
      <c r="L87" s="734"/>
      <c r="O87" s="804"/>
    </row>
    <row r="88" spans="1:15" s="735" customFormat="1" ht="29.25">
      <c r="A88" s="730" t="s">
        <v>95</v>
      </c>
      <c r="B88" s="731"/>
      <c r="C88" s="731"/>
      <c r="D88" s="732" t="s">
        <v>181</v>
      </c>
      <c r="E88" s="455">
        <f>'29'!F88</f>
        <v>158182</v>
      </c>
      <c r="F88" s="647">
        <v>158202</v>
      </c>
      <c r="G88" s="705">
        <f t="shared" si="7"/>
        <v>20</v>
      </c>
      <c r="H88" s="460">
        <f>G88+'29'!H88</f>
        <v>43</v>
      </c>
      <c r="I88" s="652"/>
      <c r="J88" s="707">
        <f>H88/DAY(B2)</f>
        <v>1.4333333333333333</v>
      </c>
      <c r="K88" s="733"/>
      <c r="L88" s="734"/>
      <c r="O88" s="804"/>
    </row>
    <row r="89" spans="1:15" s="735" customFormat="1" ht="29.25">
      <c r="A89" s="730" t="s">
        <v>202</v>
      </c>
      <c r="B89" s="731"/>
      <c r="C89" s="731"/>
      <c r="D89" s="732" t="s">
        <v>181</v>
      </c>
      <c r="E89" s="455">
        <f>'29'!F89</f>
        <v>66996</v>
      </c>
      <c r="F89" s="647">
        <v>67055</v>
      </c>
      <c r="G89" s="705">
        <f t="shared" si="7"/>
        <v>59</v>
      </c>
      <c r="H89" s="460">
        <f>G89+'29'!H89</f>
        <v>121</v>
      </c>
      <c r="I89" s="652"/>
      <c r="J89" s="707">
        <f>H89/DAY(B2)</f>
        <v>4.0333333333333332</v>
      </c>
      <c r="K89" s="733"/>
      <c r="L89" s="734"/>
      <c r="N89" s="777"/>
      <c r="O89" s="804"/>
    </row>
    <row r="90" spans="1:15" s="735" customFormat="1" ht="29.25">
      <c r="A90" s="730" t="s">
        <v>202</v>
      </c>
      <c r="B90" s="731"/>
      <c r="C90" s="731"/>
      <c r="D90" s="732" t="s">
        <v>181</v>
      </c>
      <c r="E90" s="455">
        <f>'29'!F90</f>
        <v>3455</v>
      </c>
      <c r="F90" s="647">
        <v>3460</v>
      </c>
      <c r="G90" s="705">
        <f t="shared" si="7"/>
        <v>5</v>
      </c>
      <c r="H90" s="460">
        <f>G90+'29'!H90</f>
        <v>10</v>
      </c>
      <c r="I90" s="652"/>
      <c r="J90" s="707">
        <f>H90/DAY(B2)</f>
        <v>0.33333333333333331</v>
      </c>
      <c r="K90" s="733"/>
      <c r="L90" s="734"/>
      <c r="N90" s="777"/>
      <c r="O90" s="804"/>
    </row>
    <row r="91" spans="1:15" s="735" customFormat="1" ht="29.25">
      <c r="A91" s="730" t="s">
        <v>346</v>
      </c>
      <c r="B91" s="731"/>
      <c r="C91" s="731"/>
      <c r="D91" s="732"/>
      <c r="E91" s="455">
        <f>'29'!F91</f>
        <v>28484</v>
      </c>
      <c r="F91" s="647">
        <v>28493</v>
      </c>
      <c r="G91" s="705">
        <f t="shared" si="7"/>
        <v>9</v>
      </c>
      <c r="H91" s="460">
        <f>G91+'29'!H91</f>
        <v>19</v>
      </c>
      <c r="I91" s="652"/>
      <c r="J91" s="707">
        <f>H91/DAY(B2)</f>
        <v>0.6333333333333333</v>
      </c>
      <c r="K91" s="733"/>
      <c r="L91" s="734"/>
      <c r="N91" s="777"/>
      <c r="O91" s="382"/>
    </row>
    <row r="92" spans="1:15" s="379" customFormat="1" ht="29.25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O92" s="804"/>
    </row>
    <row r="93" spans="1:15" ht="27.75">
      <c r="A93" s="1691" t="s">
        <v>204</v>
      </c>
      <c r="B93" s="1692"/>
      <c r="C93" s="1692"/>
      <c r="D93" s="523" t="s">
        <v>142</v>
      </c>
      <c r="E93" s="455">
        <f>'29'!F93</f>
        <v>250126</v>
      </c>
      <c r="F93" s="484">
        <v>250211</v>
      </c>
      <c r="G93" s="473">
        <f t="shared" ref="G93:G94" si="8">F93-E93</f>
        <v>85</v>
      </c>
      <c r="H93" s="460">
        <f>G93+'29'!H93</f>
        <v>2859</v>
      </c>
      <c r="I93" s="480"/>
      <c r="J93" s="552">
        <f>H93/DAY(B2)</f>
        <v>95.3</v>
      </c>
      <c r="K93" s="429"/>
      <c r="L93" s="377"/>
      <c r="O93" s="804"/>
    </row>
    <row r="94" spans="1:15" ht="27.75">
      <c r="A94" s="1691" t="s">
        <v>205</v>
      </c>
      <c r="B94" s="1692"/>
      <c r="C94" s="1692"/>
      <c r="D94" s="523" t="s">
        <v>142</v>
      </c>
      <c r="E94" s="455">
        <f>'29'!F94</f>
        <v>192719</v>
      </c>
      <c r="F94" s="484">
        <v>192795</v>
      </c>
      <c r="G94" s="473">
        <f t="shared" si="8"/>
        <v>76</v>
      </c>
      <c r="H94" s="460">
        <f>G94+'29'!H94</f>
        <v>3341</v>
      </c>
      <c r="I94" s="480"/>
      <c r="J94" s="552">
        <f>H94/DAY(B2)</f>
        <v>111.36666666666666</v>
      </c>
      <c r="K94" s="380"/>
      <c r="L94" s="377"/>
      <c r="O94" s="804"/>
    </row>
    <row r="95" spans="1:15" ht="29.25">
      <c r="A95" s="1717" t="s">
        <v>206</v>
      </c>
      <c r="B95" s="1718"/>
      <c r="C95" s="1718"/>
      <c r="D95" s="523"/>
      <c r="E95" s="455"/>
      <c r="F95" s="484"/>
      <c r="G95" s="473">
        <f>G93+G94</f>
        <v>161</v>
      </c>
      <c r="H95" s="460">
        <f>G95+'29'!H95</f>
        <v>6014</v>
      </c>
      <c r="I95" s="480"/>
      <c r="J95" s="552">
        <f>H95/DAY(B2)</f>
        <v>200.46666666666667</v>
      </c>
      <c r="K95" s="380"/>
      <c r="L95" s="377"/>
      <c r="O95" s="804"/>
    </row>
    <row r="96" spans="1:15" ht="27.75">
      <c r="A96" s="1691" t="s">
        <v>207</v>
      </c>
      <c r="B96" s="1692"/>
      <c r="C96" s="1692"/>
      <c r="D96" s="523" t="s">
        <v>142</v>
      </c>
      <c r="E96" s="455">
        <f>'29'!F96</f>
        <v>418383</v>
      </c>
      <c r="F96" s="484">
        <v>418456</v>
      </c>
      <c r="G96" s="473">
        <f t="shared" ref="G96:G100" si="9">F96-E96</f>
        <v>73</v>
      </c>
      <c r="H96" s="460">
        <f>G96+'29'!H96</f>
        <v>2457</v>
      </c>
      <c r="I96" s="480"/>
      <c r="J96" s="552">
        <f>H96/DAY(B2)</f>
        <v>81.900000000000006</v>
      </c>
      <c r="K96" s="380"/>
      <c r="L96" s="377"/>
      <c r="O96" s="804"/>
    </row>
    <row r="97" spans="1:15" ht="27.75">
      <c r="A97" s="1137" t="s">
        <v>208</v>
      </c>
      <c r="B97" s="1138"/>
      <c r="C97" s="1138"/>
      <c r="D97" s="523" t="s">
        <v>142</v>
      </c>
      <c r="E97" s="455">
        <f>'29'!F97</f>
        <v>103802</v>
      </c>
      <c r="F97" s="484">
        <v>103825</v>
      </c>
      <c r="G97" s="473">
        <f t="shared" si="9"/>
        <v>23</v>
      </c>
      <c r="H97" s="460">
        <f>G97+'29'!H97</f>
        <v>662</v>
      </c>
      <c r="I97" s="480"/>
      <c r="J97" s="552">
        <f>H97/DAY(B2)</f>
        <v>22.066666666666666</v>
      </c>
      <c r="K97" s="427"/>
      <c r="L97" s="377"/>
      <c r="O97" s="804"/>
    </row>
    <row r="98" spans="1:15" ht="27.75">
      <c r="A98" s="1137" t="s">
        <v>209</v>
      </c>
      <c r="B98" s="1138"/>
      <c r="C98" s="1138"/>
      <c r="D98" s="523" t="s">
        <v>142</v>
      </c>
      <c r="E98" s="455">
        <f>'29'!F98</f>
        <v>99391</v>
      </c>
      <c r="F98" s="484">
        <v>99417</v>
      </c>
      <c r="G98" s="473">
        <f t="shared" si="9"/>
        <v>26</v>
      </c>
      <c r="H98" s="460">
        <f>G98+'29'!H98</f>
        <v>760</v>
      </c>
      <c r="I98" s="480"/>
      <c r="J98" s="552">
        <f>H98/DAY(B2)</f>
        <v>25.333333333333332</v>
      </c>
      <c r="K98" s="432"/>
      <c r="L98" s="377"/>
      <c r="O98" s="804"/>
    </row>
    <row r="99" spans="1:15" ht="27.75">
      <c r="A99" s="1137" t="s">
        <v>210</v>
      </c>
      <c r="B99" s="1138"/>
      <c r="C99" s="1138"/>
      <c r="D99" s="523" t="s">
        <v>142</v>
      </c>
      <c r="E99" s="455">
        <f>'29'!F99</f>
        <v>151213</v>
      </c>
      <c r="F99" s="484">
        <v>151236</v>
      </c>
      <c r="G99" s="473">
        <f t="shared" si="9"/>
        <v>23</v>
      </c>
      <c r="H99" s="460">
        <f>G99+'29'!H99</f>
        <v>831</v>
      </c>
      <c r="I99" s="480"/>
      <c r="J99" s="552">
        <f>H99/DAY(B2)</f>
        <v>27.7</v>
      </c>
      <c r="K99" s="380"/>
      <c r="L99" s="377"/>
      <c r="O99" s="804"/>
    </row>
    <row r="100" spans="1:15" ht="27.75">
      <c r="A100" s="1137" t="s">
        <v>211</v>
      </c>
      <c r="B100" s="1138"/>
      <c r="C100" s="1138"/>
      <c r="D100" s="523" t="s">
        <v>142</v>
      </c>
      <c r="E100" s="455">
        <f>'29'!F100</f>
        <v>8131</v>
      </c>
      <c r="F100" s="484">
        <v>8146</v>
      </c>
      <c r="G100" s="473">
        <f t="shared" si="9"/>
        <v>15</v>
      </c>
      <c r="H100" s="460">
        <f>G100+'29'!H100</f>
        <v>349</v>
      </c>
      <c r="I100" s="480"/>
      <c r="J100" s="552">
        <f>H100/DAY(B2)</f>
        <v>11.633333333333333</v>
      </c>
      <c r="K100" s="380"/>
      <c r="L100" s="377"/>
      <c r="O100" s="804"/>
    </row>
    <row r="101" spans="1:15" ht="27.75">
      <c r="A101" s="1137" t="s">
        <v>212</v>
      </c>
      <c r="B101" s="1138"/>
      <c r="C101" s="1138"/>
      <c r="D101" s="523" t="s">
        <v>142</v>
      </c>
      <c r="E101" s="455">
        <f>'29'!F101</f>
        <v>5967</v>
      </c>
      <c r="F101" s="484">
        <v>5977</v>
      </c>
      <c r="G101" s="473">
        <f>F101-E101</f>
        <v>10</v>
      </c>
      <c r="H101" s="460">
        <f>G101+'29'!H101</f>
        <v>303</v>
      </c>
      <c r="I101" s="480"/>
      <c r="J101" s="552">
        <f>H101/DAY(B2)</f>
        <v>10.1</v>
      </c>
      <c r="K101" s="380"/>
      <c r="L101" s="377"/>
      <c r="O101" s="804"/>
    </row>
    <row r="102" spans="1:15" ht="29.25">
      <c r="A102" s="1717" t="s">
        <v>214</v>
      </c>
      <c r="B102" s="1718"/>
      <c r="C102" s="1718"/>
      <c r="D102" s="524"/>
      <c r="E102" s="524"/>
      <c r="F102" s="524"/>
      <c r="G102" s="525">
        <f>SUM(G96:G101)</f>
        <v>170</v>
      </c>
      <c r="H102" s="460">
        <f>G102+'29'!H102</f>
        <v>5362</v>
      </c>
      <c r="I102" s="526"/>
      <c r="J102" s="552">
        <f>H102/DAY(B2)</f>
        <v>178.73333333333332</v>
      </c>
      <c r="K102" s="380"/>
      <c r="L102" s="377"/>
      <c r="O102" s="804"/>
    </row>
    <row r="103" spans="1:15" s="442" customFormat="1" ht="27">
      <c r="A103" s="607" t="s">
        <v>215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4"/>
    </row>
    <row r="104" spans="1:15" s="442" customFormat="1" ht="27.75">
      <c r="A104" s="1721" t="s">
        <v>216</v>
      </c>
      <c r="B104" s="1722"/>
      <c r="C104" s="573"/>
      <c r="D104" s="622"/>
      <c r="E104" s="532"/>
      <c r="F104" s="532"/>
      <c r="G104" s="532"/>
      <c r="H104" s="533"/>
      <c r="I104" s="532"/>
      <c r="J104" s="558"/>
      <c r="O104" s="804"/>
    </row>
    <row r="105" spans="1:15" s="442" customFormat="1" ht="27.75">
      <c r="A105" s="1696" t="s">
        <v>217</v>
      </c>
      <c r="B105" s="1609"/>
      <c r="C105" s="1135"/>
      <c r="D105" s="622" t="s">
        <v>142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69.3799999999992</v>
      </c>
      <c r="I105" s="532"/>
      <c r="J105" s="558">
        <f>H105/DAY(B2)</f>
        <v>2.3126666666666398</v>
      </c>
      <c r="O105" s="804"/>
    </row>
    <row r="106" spans="1:15" s="442" customFormat="1" ht="27.75">
      <c r="A106" s="1696" t="s">
        <v>76</v>
      </c>
      <c r="B106" s="1609"/>
      <c r="C106" s="1135"/>
      <c r="D106" s="622" t="s">
        <v>142</v>
      </c>
      <c r="E106" s="532">
        <f>'29'!F106</f>
        <v>36440</v>
      </c>
      <c r="F106" s="534">
        <v>36451</v>
      </c>
      <c r="G106" s="532">
        <f t="shared" ref="G106:G107" si="10">F106-E106</f>
        <v>11</v>
      </c>
      <c r="H106" s="460">
        <f>G106+'29'!H106</f>
        <v>72</v>
      </c>
      <c r="I106" s="532"/>
      <c r="J106" s="558">
        <f>H106/DAY(B2)</f>
        <v>2.4</v>
      </c>
      <c r="O106" s="804"/>
    </row>
    <row r="107" spans="1:15" s="442" customFormat="1" ht="27.75">
      <c r="A107" s="1696" t="s">
        <v>77</v>
      </c>
      <c r="B107" s="1609"/>
      <c r="C107" s="1609"/>
      <c r="D107" s="622" t="s">
        <v>142</v>
      </c>
      <c r="E107" s="532">
        <f>'29'!F107</f>
        <v>19951</v>
      </c>
      <c r="F107" s="532">
        <v>19957</v>
      </c>
      <c r="G107" s="532">
        <f t="shared" si="10"/>
        <v>6</v>
      </c>
      <c r="H107" s="460">
        <f>G107+'29'!H107</f>
        <v>125</v>
      </c>
      <c r="I107" s="532"/>
      <c r="J107" s="558">
        <f>H107/DAY(B2)</f>
        <v>4.166666666666667</v>
      </c>
      <c r="O107" s="804"/>
    </row>
    <row r="108" spans="1:15" s="442" customFormat="1" ht="27.75">
      <c r="A108" s="1685" t="s">
        <v>200</v>
      </c>
      <c r="B108" s="1686"/>
      <c r="C108" s="1135"/>
      <c r="D108" s="622"/>
      <c r="E108" s="532"/>
      <c r="F108" s="532"/>
      <c r="G108" s="532">
        <f>SUM(G105:G107)</f>
        <v>17</v>
      </c>
      <c r="H108" s="460">
        <f>G108+'29'!H108</f>
        <v>183</v>
      </c>
      <c r="I108" s="532"/>
      <c r="J108" s="558">
        <f>H108/DAY(B2)</f>
        <v>6.1</v>
      </c>
      <c r="O108" s="804"/>
    </row>
    <row r="109" spans="1:15" s="442" customFormat="1" ht="27.75">
      <c r="A109" s="1713" t="s">
        <v>78</v>
      </c>
      <c r="B109" s="1714"/>
      <c r="C109" s="1135"/>
      <c r="D109" s="622" t="s">
        <v>142</v>
      </c>
      <c r="E109" s="532"/>
      <c r="F109" s="532"/>
      <c r="G109" s="532"/>
      <c r="H109" s="533"/>
      <c r="I109" s="532"/>
      <c r="J109" s="558"/>
      <c r="O109" s="804"/>
    </row>
    <row r="110" spans="1:15" s="442" customFormat="1" ht="27.75">
      <c r="A110" s="1696" t="s">
        <v>218</v>
      </c>
      <c r="B110" s="1609"/>
      <c r="C110" s="1135"/>
      <c r="D110" s="622" t="s">
        <v>142</v>
      </c>
      <c r="E110" s="532">
        <f>'29'!F110</f>
        <v>66935</v>
      </c>
      <c r="F110" s="532">
        <v>67021</v>
      </c>
      <c r="G110" s="532">
        <f>F110-E110</f>
        <v>86</v>
      </c>
      <c r="H110" s="460">
        <f>G110+'29'!H110</f>
        <v>287.64000000001397</v>
      </c>
      <c r="I110" s="532"/>
      <c r="J110" s="558">
        <f>H110/DAY(B2)</f>
        <v>9.5880000000004664</v>
      </c>
      <c r="O110" s="804"/>
    </row>
    <row r="111" spans="1:15" s="442" customFormat="1" ht="27.75">
      <c r="A111" s="1696" t="s">
        <v>219</v>
      </c>
      <c r="B111" s="1609"/>
      <c r="C111" s="1135"/>
      <c r="D111" s="622" t="s">
        <v>142</v>
      </c>
      <c r="E111" s="532">
        <f>'29'!F111</f>
        <v>33886</v>
      </c>
      <c r="F111" s="532">
        <v>33886</v>
      </c>
      <c r="G111" s="532">
        <f t="shared" ref="G111:G112" si="11">F111-E111</f>
        <v>0</v>
      </c>
      <c r="H111" s="460">
        <f>G111+'29'!H111</f>
        <v>24.899999999994179</v>
      </c>
      <c r="I111" s="532"/>
      <c r="J111" s="558">
        <f>H111/DAY(B2)</f>
        <v>0.829999999999806</v>
      </c>
      <c r="O111" s="804"/>
    </row>
    <row r="112" spans="1:15" s="442" customFormat="1" ht="27.75">
      <c r="A112" s="1696" t="s">
        <v>220</v>
      </c>
      <c r="B112" s="1609"/>
      <c r="C112" s="1135"/>
      <c r="D112" s="622" t="s">
        <v>142</v>
      </c>
      <c r="E112" s="532">
        <f>'29'!F112</f>
        <v>4622</v>
      </c>
      <c r="F112" s="532">
        <v>4622</v>
      </c>
      <c r="G112" s="532">
        <f t="shared" si="11"/>
        <v>0</v>
      </c>
      <c r="H112" s="460">
        <f>G112+'29'!H112</f>
        <v>351</v>
      </c>
      <c r="I112" s="532"/>
      <c r="J112" s="558">
        <f>H112/DAY(B2)</f>
        <v>11.7</v>
      </c>
      <c r="O112" s="804"/>
    </row>
    <row r="113" spans="1:15" s="442" customFormat="1" ht="27.75">
      <c r="A113" s="1711" t="s">
        <v>109</v>
      </c>
      <c r="B113" s="1712"/>
      <c r="C113" s="1135"/>
      <c r="D113" s="622"/>
      <c r="E113" s="532"/>
      <c r="F113" s="532"/>
      <c r="G113" s="532">
        <f>SUM(G110:G112)</f>
        <v>86</v>
      </c>
      <c r="H113" s="460">
        <f>G113+'29'!H113</f>
        <v>972</v>
      </c>
      <c r="I113" s="532"/>
      <c r="J113" s="558">
        <f>H113/DAY(B2)</f>
        <v>32.4</v>
      </c>
      <c r="O113" s="804"/>
    </row>
    <row r="114" spans="1:15" s="442" customFormat="1" ht="27.75">
      <c r="A114" s="1713" t="s">
        <v>221</v>
      </c>
      <c r="B114" s="1714"/>
      <c r="C114" s="1135"/>
      <c r="D114" s="622"/>
      <c r="E114" s="532"/>
      <c r="F114" s="532"/>
      <c r="G114" s="532"/>
      <c r="H114" s="533"/>
      <c r="I114" s="532"/>
      <c r="J114" s="558">
        <f>H114/DAY(B2)</f>
        <v>0</v>
      </c>
      <c r="O114" s="804"/>
    </row>
    <row r="115" spans="1:15" s="442" customFormat="1" ht="27.75">
      <c r="A115" s="1696" t="s">
        <v>222</v>
      </c>
      <c r="B115" s="1609"/>
      <c r="C115" s="574"/>
      <c r="D115" s="622" t="s">
        <v>142</v>
      </c>
      <c r="E115" s="532">
        <f>'29'!F115</f>
        <v>12424</v>
      </c>
      <c r="F115" s="534">
        <v>12442</v>
      </c>
      <c r="G115" s="534">
        <f>F115-E115</f>
        <v>18</v>
      </c>
      <c r="H115" s="460">
        <f>G115+'29'!H115</f>
        <v>28</v>
      </c>
      <c r="I115" s="532"/>
      <c r="J115" s="558">
        <f>H115/DAY(B2)</f>
        <v>0.93333333333333335</v>
      </c>
      <c r="O115" s="804"/>
    </row>
    <row r="116" spans="1:15" s="442" customFormat="1" ht="27.75">
      <c r="A116" s="1696" t="s">
        <v>223</v>
      </c>
      <c r="B116" s="1609"/>
      <c r="C116" s="574"/>
      <c r="D116" s="622" t="s">
        <v>142</v>
      </c>
      <c r="E116" s="532">
        <f>'29'!F116</f>
        <v>8801</v>
      </c>
      <c r="F116" s="534">
        <v>8811</v>
      </c>
      <c r="G116" s="534">
        <f t="shared" ref="G116:G117" si="12">F116-E116</f>
        <v>10</v>
      </c>
      <c r="H116" s="460">
        <f>G116+'29'!H116</f>
        <v>106</v>
      </c>
      <c r="I116" s="532"/>
      <c r="J116" s="558">
        <f>H116/DAY(B2)</f>
        <v>3.5333333333333332</v>
      </c>
      <c r="O116" s="804"/>
    </row>
    <row r="117" spans="1:15" s="442" customFormat="1" ht="27.75">
      <c r="A117" s="1696" t="s">
        <v>224</v>
      </c>
      <c r="B117" s="1609"/>
      <c r="C117" s="574"/>
      <c r="D117" s="622" t="s">
        <v>142</v>
      </c>
      <c r="E117" s="534"/>
      <c r="F117" s="534"/>
      <c r="G117" s="534">
        <f t="shared" si="12"/>
        <v>0</v>
      </c>
      <c r="H117" s="460">
        <f>G117+'29'!H117</f>
        <v>97</v>
      </c>
      <c r="I117" s="532"/>
      <c r="J117" s="558">
        <f>H117/DAY(B2)</f>
        <v>3.2333333333333334</v>
      </c>
      <c r="O117" s="804"/>
    </row>
    <row r="118" spans="1:15" s="445" customFormat="1" ht="27.75">
      <c r="A118" s="1685" t="s">
        <v>200</v>
      </c>
      <c r="B118" s="1686"/>
      <c r="C118" s="574"/>
      <c r="D118" s="623"/>
      <c r="E118" s="534"/>
      <c r="F118" s="534"/>
      <c r="G118" s="534">
        <f>SUM(G115:G117)</f>
        <v>28</v>
      </c>
      <c r="H118" s="460">
        <f>G118+'29'!H118</f>
        <v>131</v>
      </c>
      <c r="I118" s="534"/>
      <c r="J118" s="558">
        <f>H118/DAY(B2)</f>
        <v>4.3666666666666663</v>
      </c>
      <c r="O118" s="804"/>
    </row>
    <row r="119" spans="1:15" s="446" customFormat="1" ht="27.75">
      <c r="A119" s="1687" t="s">
        <v>225</v>
      </c>
      <c r="B119" s="1688"/>
      <c r="C119" s="1134"/>
      <c r="D119" s="624" t="s">
        <v>142</v>
      </c>
      <c r="E119" s="535"/>
      <c r="F119" s="536"/>
      <c r="G119" s="536">
        <f>SUM(G19+G93)</f>
        <v>147</v>
      </c>
      <c r="H119" s="460">
        <f>G119+'29'!H119</f>
        <v>295</v>
      </c>
      <c r="I119" s="535"/>
      <c r="J119" s="559">
        <f>H119/DAY(B2)</f>
        <v>9.8333333333333339</v>
      </c>
      <c r="O119" s="804"/>
    </row>
    <row r="120" spans="1:15" s="446" customFormat="1" ht="27.75">
      <c r="A120" s="1687" t="s">
        <v>226</v>
      </c>
      <c r="B120" s="1688"/>
      <c r="C120" s="1134"/>
      <c r="D120" s="624" t="s">
        <v>142</v>
      </c>
      <c r="E120" s="535"/>
      <c r="F120" s="536"/>
      <c r="G120" s="536">
        <f>SUM(G96,G97,G98,G100,G101)</f>
        <v>147</v>
      </c>
      <c r="H120" s="460">
        <f>G120+'29'!H120</f>
        <v>328</v>
      </c>
      <c r="I120" s="535"/>
      <c r="J120" s="559">
        <f>H120/DAY(B2)</f>
        <v>10.933333333333334</v>
      </c>
      <c r="O120" s="804"/>
    </row>
    <row r="121" spans="1:15" s="446" customFormat="1" ht="27.75">
      <c r="A121" s="1687" t="s">
        <v>227</v>
      </c>
      <c r="B121" s="1688"/>
      <c r="C121" s="1134"/>
      <c r="D121" s="624" t="s">
        <v>142</v>
      </c>
      <c r="E121" s="535"/>
      <c r="F121" s="534"/>
      <c r="G121" s="534">
        <f>SUM(G113)</f>
        <v>86</v>
      </c>
      <c r="H121" s="460">
        <f>G121+'29'!H121</f>
        <v>161</v>
      </c>
      <c r="I121" s="535"/>
      <c r="J121" s="559">
        <f>H121/DAY(B2)</f>
        <v>5.3666666666666663</v>
      </c>
      <c r="O121" s="804"/>
    </row>
    <row r="122" spans="1:15" s="442" customFormat="1" ht="27.75">
      <c r="A122" s="1689"/>
      <c r="B122" s="1690"/>
      <c r="C122" s="1135"/>
      <c r="D122" s="560"/>
      <c r="E122" s="560"/>
      <c r="F122" s="560"/>
      <c r="G122" s="560"/>
      <c r="H122" s="561"/>
      <c r="I122" s="560"/>
      <c r="J122" s="562"/>
      <c r="O122" s="804"/>
    </row>
    <row r="123" spans="1:15" ht="29.25">
      <c r="A123" s="1719" t="s">
        <v>228</v>
      </c>
      <c r="B123" s="1720"/>
      <c r="C123" s="1720"/>
      <c r="D123" s="472"/>
      <c r="E123" s="472"/>
      <c r="F123" s="472"/>
      <c r="G123" s="483"/>
      <c r="H123" s="483"/>
      <c r="I123" s="483"/>
      <c r="J123" s="563"/>
      <c r="K123" s="380"/>
      <c r="L123" s="377"/>
      <c r="O123" s="804"/>
    </row>
    <row r="124" spans="1:15" ht="21.95" customHeight="1">
      <c r="A124" s="1137" t="s">
        <v>229</v>
      </c>
      <c r="B124" s="1138"/>
      <c r="C124" s="1138"/>
      <c r="D124" s="523" t="s">
        <v>139</v>
      </c>
      <c r="E124" s="455">
        <f>'29'!F124</f>
        <v>847445</v>
      </c>
      <c r="F124" s="478">
        <v>847607</v>
      </c>
      <c r="G124" s="473">
        <f t="shared" ref="G124:G128" si="13">F124-E124</f>
        <v>162</v>
      </c>
      <c r="H124" s="460">
        <f>G124+'29'!H124</f>
        <v>7937</v>
      </c>
      <c r="I124" s="526"/>
      <c r="J124" s="552">
        <f>H124/DAY(B2)</f>
        <v>264.56666666666666</v>
      </c>
      <c r="K124" s="380"/>
      <c r="L124" s="377"/>
      <c r="O124" s="804"/>
    </row>
    <row r="125" spans="1:15" ht="21.95" customHeight="1">
      <c r="A125" s="1137" t="s">
        <v>230</v>
      </c>
      <c r="B125" s="1138"/>
      <c r="C125" s="1138"/>
      <c r="D125" s="523" t="s">
        <v>139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4"/>
    </row>
    <row r="126" spans="1:15" ht="21.95" customHeight="1">
      <c r="A126" s="1693" t="s">
        <v>231</v>
      </c>
      <c r="B126" s="1549"/>
      <c r="C126" s="1549"/>
      <c r="D126" s="523" t="s">
        <v>139</v>
      </c>
      <c r="E126" s="455">
        <f>'29'!F126</f>
        <v>151138</v>
      </c>
      <c r="F126" s="478">
        <v>151229</v>
      </c>
      <c r="G126" s="473">
        <f t="shared" si="13"/>
        <v>91</v>
      </c>
      <c r="H126" s="460">
        <f>G126+'29'!H126</f>
        <v>2632</v>
      </c>
      <c r="I126" s="526"/>
      <c r="J126" s="552">
        <f>H126/DAY(B2)</f>
        <v>87.733333333333334</v>
      </c>
      <c r="K126" s="380"/>
      <c r="L126" s="377"/>
      <c r="O126" s="804"/>
    </row>
    <row r="127" spans="1:15" ht="21.95" customHeight="1">
      <c r="A127" s="609" t="s">
        <v>232</v>
      </c>
      <c r="B127" s="1138"/>
      <c r="C127" s="1138"/>
      <c r="D127" s="523" t="s">
        <v>139</v>
      </c>
      <c r="E127" s="455">
        <f>'29'!F127</f>
        <v>33196</v>
      </c>
      <c r="F127" s="478">
        <v>33245</v>
      </c>
      <c r="G127" s="473">
        <f t="shared" si="13"/>
        <v>49</v>
      </c>
      <c r="H127" s="460">
        <f>G127+'29'!H127</f>
        <v>1174</v>
      </c>
      <c r="I127" s="526"/>
      <c r="J127" s="552">
        <f>H127/DAY(B2)</f>
        <v>39.133333333333333</v>
      </c>
      <c r="K127" s="380"/>
      <c r="L127" s="377"/>
      <c r="O127" s="804"/>
    </row>
    <row r="128" spans="1:15" ht="21.95" customHeight="1">
      <c r="A128" s="609" t="s">
        <v>233</v>
      </c>
      <c r="B128" s="1138"/>
      <c r="C128" s="1138"/>
      <c r="D128" s="523" t="s">
        <v>139</v>
      </c>
      <c r="E128" s="455">
        <f>'29'!F128</f>
        <v>9105</v>
      </c>
      <c r="F128" s="478">
        <v>9109</v>
      </c>
      <c r="G128" s="473">
        <f t="shared" si="13"/>
        <v>4</v>
      </c>
      <c r="H128" s="460">
        <f>G128+'29'!H128</f>
        <v>97</v>
      </c>
      <c r="I128" s="480"/>
      <c r="J128" s="552">
        <f>H128/DAY(B2)</f>
        <v>3.2333333333333334</v>
      </c>
      <c r="K128" s="380"/>
      <c r="L128" s="377"/>
      <c r="O128" s="804"/>
    </row>
    <row r="129" spans="1:15" s="281" customFormat="1" ht="21.75" customHeight="1">
      <c r="A129" s="609" t="s">
        <v>234</v>
      </c>
      <c r="B129" s="1138"/>
      <c r="C129" s="1138"/>
      <c r="D129" s="523"/>
      <c r="E129" s="455"/>
      <c r="F129" s="478"/>
      <c r="G129" s="473">
        <f>G15-SUM(G124:G128)</f>
        <v>614.60000000000582</v>
      </c>
      <c r="H129" s="460"/>
      <c r="I129" s="480"/>
      <c r="J129" s="552"/>
      <c r="K129" s="364"/>
      <c r="L129" s="292"/>
      <c r="O129" s="804"/>
    </row>
    <row r="130" spans="1:15" ht="29.25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4"/>
    </row>
    <row r="131" spans="1:15" ht="27.75">
      <c r="A131" s="1137" t="s">
        <v>236</v>
      </c>
      <c r="B131" s="1138"/>
      <c r="C131" s="1138"/>
      <c r="D131" s="523" t="s">
        <v>237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4"/>
    </row>
    <row r="132" spans="1:15" ht="27.75">
      <c r="A132" s="1137" t="s">
        <v>238</v>
      </c>
      <c r="B132" s="1138"/>
      <c r="C132" s="1138"/>
      <c r="D132" s="523" t="s">
        <v>237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4"/>
    </row>
    <row r="133" spans="1:15" ht="27.75">
      <c r="A133" s="1137" t="s">
        <v>239</v>
      </c>
      <c r="B133" s="1138"/>
      <c r="C133" s="1138"/>
      <c r="D133" s="523" t="s">
        <v>237</v>
      </c>
      <c r="E133" s="455">
        <f>'29'!F133</f>
        <v>40619</v>
      </c>
      <c r="F133" s="541">
        <v>40619</v>
      </c>
      <c r="G133" s="473">
        <f t="shared" si="14"/>
        <v>0</v>
      </c>
      <c r="H133" s="460">
        <f>G133+'29'!H133</f>
        <v>166</v>
      </c>
      <c r="I133" s="480"/>
      <c r="J133" s="552">
        <f>H133/DAY(B2)</f>
        <v>5.5333333333333332</v>
      </c>
      <c r="O133" s="804"/>
    </row>
    <row r="134" spans="1:15" ht="27.75">
      <c r="A134" s="1137" t="s">
        <v>240</v>
      </c>
      <c r="B134" s="1138"/>
      <c r="C134" s="1138"/>
      <c r="D134" s="523" t="s">
        <v>237</v>
      </c>
      <c r="E134" s="455">
        <f>'29'!F134</f>
        <v>554</v>
      </c>
      <c r="F134" s="541">
        <v>559</v>
      </c>
      <c r="G134" s="473">
        <f t="shared" si="14"/>
        <v>5</v>
      </c>
      <c r="H134" s="460">
        <f>G134+'29'!H134</f>
        <v>259</v>
      </c>
      <c r="I134" s="480">
        <f>G131+G132+G133+G134</f>
        <v>5</v>
      </c>
      <c r="J134" s="552">
        <f>H134/DAY(B2)</f>
        <v>8.6333333333333329</v>
      </c>
      <c r="O134" s="804"/>
    </row>
    <row r="135" spans="1:15" ht="27.75">
      <c r="A135" s="1137" t="s">
        <v>241</v>
      </c>
      <c r="B135" s="1138"/>
      <c r="C135" s="1138"/>
      <c r="D135" s="523" t="s">
        <v>237</v>
      </c>
      <c r="E135" s="455">
        <f>'29'!F135</f>
        <v>42456</v>
      </c>
      <c r="F135" s="541">
        <v>42480</v>
      </c>
      <c r="G135" s="473">
        <f t="shared" si="14"/>
        <v>24</v>
      </c>
      <c r="H135" s="460">
        <f>G135+'29'!H135</f>
        <v>141.88999999999942</v>
      </c>
      <c r="I135" s="480"/>
      <c r="J135" s="552">
        <f>H135/DAY(B2)</f>
        <v>4.7296666666666471</v>
      </c>
      <c r="O135" s="804"/>
    </row>
    <row r="136" spans="1:15" ht="27.75">
      <c r="A136" s="1137" t="s">
        <v>242</v>
      </c>
      <c r="B136" s="1138"/>
      <c r="C136" s="1138"/>
      <c r="D136" s="523" t="s">
        <v>237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4"/>
    </row>
    <row r="137" spans="1:15" ht="27.75">
      <c r="A137" s="1137" t="s">
        <v>243</v>
      </c>
      <c r="B137" s="1138"/>
      <c r="C137" s="1138"/>
      <c r="D137" s="523" t="s">
        <v>237</v>
      </c>
      <c r="E137" s="455">
        <f>'29'!F137</f>
        <v>23097.56</v>
      </c>
      <c r="F137" s="541">
        <v>23097.56</v>
      </c>
      <c r="G137" s="473">
        <f t="shared" si="14"/>
        <v>0</v>
      </c>
      <c r="H137" s="460">
        <f>G137+'29'!H137</f>
        <v>206.06999999999971</v>
      </c>
      <c r="I137" s="480">
        <f>G135+G136+G137</f>
        <v>24</v>
      </c>
      <c r="J137" s="552">
        <f>H137/DAY(B2)</f>
        <v>6.86899999999999</v>
      </c>
      <c r="O137" s="804"/>
    </row>
    <row r="138" spans="1:15" ht="27.75">
      <c r="A138" s="1137" t="s">
        <v>244</v>
      </c>
      <c r="B138" s="1138"/>
      <c r="C138" s="1138"/>
      <c r="D138" s="523" t="s">
        <v>237</v>
      </c>
      <c r="E138" s="455">
        <f>'29'!F138</f>
        <v>25109.95</v>
      </c>
      <c r="F138" s="541">
        <v>25119.45</v>
      </c>
      <c r="G138" s="473">
        <f t="shared" si="14"/>
        <v>9.5</v>
      </c>
      <c r="H138" s="460">
        <f>G138+'29'!H138</f>
        <v>28.290000000000873</v>
      </c>
      <c r="I138" s="480"/>
      <c r="J138" s="552">
        <f>H138/DAY(B2)</f>
        <v>0.94300000000002915</v>
      </c>
      <c r="O138" s="804"/>
    </row>
    <row r="139" spans="1:15" ht="27.75">
      <c r="A139" s="1137" t="s">
        <v>245</v>
      </c>
      <c r="B139" s="1138"/>
      <c r="C139" s="1138"/>
      <c r="D139" s="523" t="s">
        <v>237</v>
      </c>
      <c r="E139" s="455">
        <f>'29'!F139</f>
        <v>70517</v>
      </c>
      <c r="F139" s="541">
        <v>70516.600000000006</v>
      </c>
      <c r="G139" s="473">
        <f t="shared" si="14"/>
        <v>-0.39999999999417923</v>
      </c>
      <c r="H139" s="460">
        <f>G139+'29'!H139</f>
        <v>15</v>
      </c>
      <c r="I139" s="480">
        <f>G138+G139</f>
        <v>9.1000000000058208</v>
      </c>
      <c r="J139" s="552">
        <f>H139/DAY(B2)</f>
        <v>0.5</v>
      </c>
      <c r="O139" s="804"/>
    </row>
    <row r="140" spans="1:15" ht="27.75">
      <c r="A140" s="1137" t="s">
        <v>246</v>
      </c>
      <c r="B140" s="1138"/>
      <c r="C140" s="1138"/>
      <c r="D140" s="523" t="s">
        <v>237</v>
      </c>
      <c r="E140" s="455">
        <f>'29'!F140</f>
        <v>2292.4899999999998</v>
      </c>
      <c r="F140" s="484">
        <v>2301.33</v>
      </c>
      <c r="G140" s="473">
        <f t="shared" si="14"/>
        <v>8.8400000000001455</v>
      </c>
      <c r="H140" s="460">
        <f>G140+'29'!H140</f>
        <v>172.15000000000009</v>
      </c>
      <c r="I140" s="542"/>
      <c r="J140" s="552">
        <f>H140/DAY(B2)</f>
        <v>5.738333333333336</v>
      </c>
      <c r="O140" s="804"/>
    </row>
    <row r="141" spans="1:15" ht="27.75">
      <c r="A141" s="1137" t="s">
        <v>247</v>
      </c>
      <c r="B141" s="1138"/>
      <c r="C141" s="1138"/>
      <c r="D141" s="523" t="s">
        <v>237</v>
      </c>
      <c r="E141" s="455">
        <f>'29'!F141</f>
        <v>4754</v>
      </c>
      <c r="F141" s="484">
        <v>4754</v>
      </c>
      <c r="G141" s="473">
        <f t="shared" si="14"/>
        <v>0</v>
      </c>
      <c r="H141" s="460">
        <f>G141+'29'!H141</f>
        <v>117</v>
      </c>
      <c r="I141" s="542"/>
      <c r="J141" s="552">
        <f>H141/DAY(B2)</f>
        <v>3.9</v>
      </c>
      <c r="O141" s="804"/>
    </row>
    <row r="142" spans="1:15" ht="21.95" customHeight="1">
      <c r="A142" s="1694" t="s">
        <v>248</v>
      </c>
      <c r="B142" s="1695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O142" s="804"/>
    </row>
    <row r="143" spans="1:15" ht="21.95" customHeight="1">
      <c r="A143" s="1691" t="s">
        <v>249</v>
      </c>
      <c r="B143" s="1692"/>
      <c r="C143" s="1692"/>
      <c r="D143" s="523" t="s">
        <v>130</v>
      </c>
      <c r="E143" s="523"/>
      <c r="F143" s="523"/>
      <c r="G143" s="460">
        <f>G35+G43+G49+G57</f>
        <v>5644</v>
      </c>
      <c r="H143" s="460">
        <f>G143+'29'!H143</f>
        <v>168333.18000000005</v>
      </c>
      <c r="I143" s="480"/>
      <c r="J143" s="552">
        <f>H143/DAY(B2)</f>
        <v>5611.1060000000016</v>
      </c>
      <c r="K143" s="380"/>
      <c r="L143" s="377"/>
      <c r="O143" s="804"/>
    </row>
    <row r="144" spans="1:15" ht="21.95" customHeight="1">
      <c r="A144" s="1691" t="s">
        <v>250</v>
      </c>
      <c r="B144" s="1692"/>
      <c r="C144" s="1692"/>
      <c r="D144" s="523" t="s">
        <v>24</v>
      </c>
      <c r="E144" s="511"/>
      <c r="F144" s="511"/>
      <c r="G144" s="543">
        <f>G143/G7</f>
        <v>0.25417698716505294</v>
      </c>
      <c r="H144" s="460">
        <f>G144+'29'!H144</f>
        <v>7.6416610918867631</v>
      </c>
      <c r="I144" s="544"/>
      <c r="J144" s="552">
        <f>H144/DAY(B2)</f>
        <v>0.25472203639622543</v>
      </c>
      <c r="K144" s="380"/>
      <c r="L144" s="377"/>
      <c r="O144" s="804"/>
    </row>
    <row r="145" spans="1:15" ht="21.95" customHeight="1">
      <c r="A145" s="1691" t="s">
        <v>251</v>
      </c>
      <c r="B145" s="1692"/>
      <c r="C145" s="1692"/>
      <c r="D145" s="523" t="s">
        <v>130</v>
      </c>
      <c r="E145" s="455"/>
      <c r="F145" s="455"/>
      <c r="G145" s="460">
        <f>G41+G42+G55+G56</f>
        <v>6835</v>
      </c>
      <c r="H145" s="460">
        <f>G145+'29'!H145</f>
        <v>204631.11000000002</v>
      </c>
      <c r="I145" s="480"/>
      <c r="J145" s="552">
        <f>H145/DAY(B2)</f>
        <v>6821.0370000000003</v>
      </c>
      <c r="K145" s="380"/>
      <c r="L145" s="377"/>
      <c r="O145" s="804"/>
    </row>
    <row r="146" spans="1:15" ht="21.95" customHeight="1">
      <c r="A146" s="1691" t="s">
        <v>252</v>
      </c>
      <c r="B146" s="1692"/>
      <c r="C146" s="1692"/>
      <c r="D146" s="523" t="s">
        <v>24</v>
      </c>
      <c r="E146" s="455"/>
      <c r="F146" s="455"/>
      <c r="G146" s="543">
        <f>G145/G7</f>
        <v>0.30781355550551676</v>
      </c>
      <c r="H146" s="460">
        <f>G146+'29'!H146</f>
        <v>9.2542077757495385</v>
      </c>
      <c r="I146" s="544"/>
      <c r="J146" s="552">
        <f>H146/DAY(B2)</f>
        <v>0.30847359252498463</v>
      </c>
      <c r="K146" s="380"/>
      <c r="L146" s="377"/>
      <c r="O146" s="804"/>
    </row>
    <row r="147" spans="1:15" ht="21.95" customHeight="1">
      <c r="A147" s="1691" t="s">
        <v>253</v>
      </c>
      <c r="B147" s="1692"/>
      <c r="C147" s="1692"/>
      <c r="D147" s="523" t="s">
        <v>130</v>
      </c>
      <c r="E147" s="455"/>
      <c r="F147" s="455"/>
      <c r="G147" s="460">
        <f>G39+G53</f>
        <v>3848</v>
      </c>
      <c r="H147" s="460">
        <f>G147+'29'!H147</f>
        <v>111847</v>
      </c>
      <c r="I147" s="545"/>
      <c r="J147" s="552">
        <f>H147/DAY(B2)</f>
        <v>3728.2333333333331</v>
      </c>
      <c r="K147" s="380"/>
      <c r="L147" s="377"/>
      <c r="O147" s="804"/>
    </row>
    <row r="148" spans="1:15" ht="21.95" customHeight="1">
      <c r="A148" s="1691" t="s">
        <v>254</v>
      </c>
      <c r="B148" s="1692"/>
      <c r="C148" s="1692"/>
      <c r="D148" s="523" t="s">
        <v>24</v>
      </c>
      <c r="E148" s="455"/>
      <c r="F148" s="455"/>
      <c r="G148" s="543">
        <f>G147/G7</f>
        <v>0.1732943030848908</v>
      </c>
      <c r="H148" s="460">
        <f>G148+'29'!H148</f>
        <v>5.0765424368039271</v>
      </c>
      <c r="I148" s="545"/>
      <c r="J148" s="552">
        <f>H148/DAY(B2)</f>
        <v>0.16921808122679757</v>
      </c>
      <c r="O148" s="804"/>
    </row>
    <row r="149" spans="1:15" ht="21.95" customHeight="1">
      <c r="A149" s="1691" t="s">
        <v>255</v>
      </c>
      <c r="B149" s="1692"/>
      <c r="C149" s="1692"/>
      <c r="D149" s="523" t="s">
        <v>181</v>
      </c>
      <c r="E149" s="455"/>
      <c r="F149" s="455"/>
      <c r="G149" s="460">
        <f>G38+G52</f>
        <v>1699.9300000000512</v>
      </c>
      <c r="H149" s="460">
        <f>G149+'29'!H149</f>
        <v>48355</v>
      </c>
      <c r="I149" s="480"/>
      <c r="J149" s="552">
        <f>H149/DAY(B2)</f>
        <v>1611.8333333333333</v>
      </c>
      <c r="K149" s="381"/>
      <c r="O149" s="804"/>
    </row>
    <row r="150" spans="1:15" ht="21.95" customHeight="1">
      <c r="A150" s="1691" t="s">
        <v>256</v>
      </c>
      <c r="B150" s="1692"/>
      <c r="C150" s="1692"/>
      <c r="D150" s="523" t="s">
        <v>24</v>
      </c>
      <c r="E150" s="455"/>
      <c r="F150" s="455"/>
      <c r="G150" s="543">
        <f>G149/G7</f>
        <v>7.6556181040308549E-2</v>
      </c>
      <c r="H150" s="460">
        <f>G150+'29'!H150</f>
        <v>2.1908425757511019</v>
      </c>
      <c r="I150" s="545"/>
      <c r="J150" s="552">
        <f>H150/DAY(B2)</f>
        <v>7.3028085858370062E-2</v>
      </c>
      <c r="O150" s="804"/>
    </row>
    <row r="151" spans="1:15" ht="21.95" customHeight="1">
      <c r="A151" s="1691" t="s">
        <v>257</v>
      </c>
      <c r="B151" s="1692"/>
      <c r="C151" s="1692"/>
      <c r="D151" s="523" t="s">
        <v>181</v>
      </c>
      <c r="E151" s="455"/>
      <c r="F151" s="455"/>
      <c r="G151" s="460">
        <f>G36+G50</f>
        <v>1886</v>
      </c>
      <c r="H151" s="460">
        <f>G151+'29'!H151</f>
        <v>59476</v>
      </c>
      <c r="I151" s="545"/>
      <c r="J151" s="552">
        <f>H151/DAY(B2)</f>
        <v>1982.5333333333333</v>
      </c>
      <c r="O151" s="804"/>
    </row>
    <row r="152" spans="1:15" ht="21.95" customHeight="1">
      <c r="A152" s="1691" t="s">
        <v>258</v>
      </c>
      <c r="B152" s="1692"/>
      <c r="C152" s="1692"/>
      <c r="D152" s="523" t="s">
        <v>24</v>
      </c>
      <c r="E152" s="455"/>
      <c r="F152" s="455"/>
      <c r="G152" s="543">
        <f>G151/G7</f>
        <v>8.4935825264580045E-2</v>
      </c>
      <c r="H152" s="460">
        <f>G152+'29'!H152</f>
        <v>2.6860876093838075</v>
      </c>
      <c r="I152" s="480"/>
      <c r="J152" s="552">
        <f>H152/DAY(B2)</f>
        <v>8.9536253646126912E-2</v>
      </c>
      <c r="O152" s="804"/>
    </row>
    <row r="153" spans="1:15" ht="27.75">
      <c r="A153" s="1691" t="s">
        <v>259</v>
      </c>
      <c r="B153" s="1692"/>
      <c r="C153" s="1692"/>
      <c r="D153" s="523" t="s">
        <v>181</v>
      </c>
      <c r="E153" s="455"/>
      <c r="F153" s="455"/>
      <c r="G153" s="460">
        <f>G37+G51</f>
        <v>1632.1300000000047</v>
      </c>
      <c r="H153" s="460">
        <f>G153+'29'!H153</f>
        <v>47947</v>
      </c>
      <c r="I153" s="480"/>
      <c r="J153" s="552">
        <f>H153/DAY(B2)</f>
        <v>1598.2333333333333</v>
      </c>
      <c r="O153" s="804"/>
    </row>
    <row r="154" spans="1:15" ht="28.5" thickBot="1">
      <c r="A154" s="1697" t="s">
        <v>260</v>
      </c>
      <c r="B154" s="1698"/>
      <c r="C154" s="1698"/>
      <c r="D154" s="625" t="s">
        <v>24</v>
      </c>
      <c r="E154" s="565"/>
      <c r="F154" s="565"/>
      <c r="G154" s="566">
        <f>G153/G7</f>
        <v>7.3502814681378273E-2</v>
      </c>
      <c r="H154" s="567">
        <f>G154+'29'!H154</f>
        <v>2.1736677495918917</v>
      </c>
      <c r="I154" s="568"/>
      <c r="J154" s="569">
        <f>H154/DAY(B2)</f>
        <v>7.2455591653063062E-2</v>
      </c>
      <c r="O154" s="804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4" t="s">
        <v>261</v>
      </c>
      <c r="B161" s="785"/>
      <c r="C161" s="785"/>
      <c r="D161" s="511" t="s">
        <v>185</v>
      </c>
      <c r="E161" s="455">
        <f>'29'!F161</f>
        <v>43170</v>
      </c>
      <c r="F161" s="658">
        <v>43249</v>
      </c>
      <c r="G161" s="473">
        <f t="shared" ref="G161:G164" si="15">F161-E161</f>
        <v>79</v>
      </c>
    </row>
    <row r="162" spans="1:7" ht="21.95" customHeight="1">
      <c r="A162" s="784" t="s">
        <v>262</v>
      </c>
      <c r="B162" s="785"/>
      <c r="C162" s="785"/>
      <c r="D162" s="511" t="s">
        <v>185</v>
      </c>
      <c r="E162" s="455">
        <f>'29'!F162</f>
        <v>121199</v>
      </c>
      <c r="F162" s="658">
        <v>121650</v>
      </c>
      <c r="G162" s="473">
        <f t="shared" si="15"/>
        <v>451</v>
      </c>
    </row>
    <row r="163" spans="1:7" ht="21.95" customHeight="1">
      <c r="A163" s="784" t="s">
        <v>263</v>
      </c>
      <c r="B163" s="785"/>
      <c r="C163" s="785"/>
      <c r="D163" s="511" t="s">
        <v>185</v>
      </c>
      <c r="E163" s="455">
        <f>'29'!F163</f>
        <v>67101</v>
      </c>
      <c r="F163" s="658">
        <v>67300</v>
      </c>
      <c r="G163" s="473">
        <f t="shared" si="15"/>
        <v>199</v>
      </c>
    </row>
    <row r="164" spans="1:7" ht="21.95" customHeight="1">
      <c r="A164" s="784" t="s">
        <v>264</v>
      </c>
      <c r="B164" s="785"/>
      <c r="C164" s="785"/>
      <c r="D164" s="511" t="s">
        <v>185</v>
      </c>
      <c r="E164" s="455">
        <f>'29'!F164</f>
        <v>7112</v>
      </c>
      <c r="F164" s="658">
        <v>7129</v>
      </c>
      <c r="G164" s="473">
        <f t="shared" si="15"/>
        <v>17</v>
      </c>
    </row>
    <row r="165" spans="1:7" ht="21.95" customHeight="1">
      <c r="A165" s="786" t="s">
        <v>97</v>
      </c>
      <c r="B165" s="604"/>
      <c r="C165" s="604"/>
      <c r="D165" s="511" t="s">
        <v>185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6" t="s">
        <v>186</v>
      </c>
      <c r="B166" s="604"/>
      <c r="C166" s="604"/>
      <c r="D166" s="511" t="s">
        <v>185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549" t="s">
        <v>98</v>
      </c>
      <c r="B167" s="1549"/>
      <c r="C167" s="1549"/>
      <c r="D167" s="523" t="s">
        <v>185</v>
      </c>
      <c r="E167" s="455">
        <f>'29'!F167</f>
        <v>181134</v>
      </c>
      <c r="F167" s="484">
        <v>181513</v>
      </c>
      <c r="G167" s="473">
        <f t="shared" si="16"/>
        <v>379</v>
      </c>
    </row>
    <row r="168" spans="1:7" ht="21.95" customHeight="1">
      <c r="A168" s="1549" t="s">
        <v>99</v>
      </c>
      <c r="B168" s="1549"/>
      <c r="C168" s="1549"/>
      <c r="D168" s="523" t="s">
        <v>185</v>
      </c>
      <c r="E168" s="455">
        <f>'29'!F168</f>
        <v>181412</v>
      </c>
      <c r="F168" s="514">
        <f t="shared" ref="F168:F172" si="17">F65</f>
        <v>181814</v>
      </c>
      <c r="G168" s="473">
        <f t="shared" si="16"/>
        <v>402</v>
      </c>
    </row>
    <row r="169" spans="1:7" ht="21.95" customHeight="1">
      <c r="A169" s="1549" t="s">
        <v>100</v>
      </c>
      <c r="B169" s="1549"/>
      <c r="C169" s="1549"/>
      <c r="D169" s="523" t="s">
        <v>185</v>
      </c>
      <c r="E169" s="455">
        <f>'29'!F169</f>
        <v>79841</v>
      </c>
      <c r="F169" s="514">
        <f t="shared" si="17"/>
        <v>80259</v>
      </c>
      <c r="G169" s="473">
        <f t="shared" si="16"/>
        <v>418</v>
      </c>
    </row>
    <row r="170" spans="1:7" ht="21.95" customHeight="1">
      <c r="A170" s="1549" t="s">
        <v>101</v>
      </c>
      <c r="B170" s="1549"/>
      <c r="C170" s="1549"/>
      <c r="D170" s="523" t="s">
        <v>185</v>
      </c>
      <c r="E170" s="455">
        <f>'29'!F170</f>
        <v>278995</v>
      </c>
      <c r="F170" s="514">
        <f t="shared" si="17"/>
        <v>279520</v>
      </c>
      <c r="G170" s="473">
        <f t="shared" si="16"/>
        <v>525</v>
      </c>
    </row>
    <row r="171" spans="1:7" ht="21.95" customHeight="1">
      <c r="A171" s="1549" t="s">
        <v>102</v>
      </c>
      <c r="B171" s="1549"/>
      <c r="C171" s="1549"/>
      <c r="D171" s="523" t="s">
        <v>185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49" t="s">
        <v>103</v>
      </c>
      <c r="B172" s="1549"/>
      <c r="C172" s="1549"/>
      <c r="D172" s="523" t="s">
        <v>185</v>
      </c>
      <c r="E172" s="455">
        <f>'29'!F172</f>
        <v>95873</v>
      </c>
      <c r="F172" s="514">
        <f t="shared" si="17"/>
        <v>96220</v>
      </c>
      <c r="G172" s="473">
        <f t="shared" si="16"/>
        <v>347</v>
      </c>
    </row>
    <row r="173" spans="1:7" ht="21.95" customHeight="1">
      <c r="A173" s="1590"/>
      <c r="B173" s="1553"/>
      <c r="C173" s="785"/>
      <c r="D173" s="523"/>
      <c r="G173" s="538">
        <f>SUM(G161:G172)</f>
        <v>2817</v>
      </c>
    </row>
    <row r="174" spans="1:7" ht="21.95" customHeight="1">
      <c r="A174" s="1590" t="s">
        <v>348</v>
      </c>
      <c r="B174" s="1553"/>
      <c r="C174" s="784"/>
      <c r="D174" s="1492" t="s">
        <v>185</v>
      </c>
      <c r="E174" s="1493">
        <v>19127</v>
      </c>
      <c r="F174" s="1493">
        <v>19130</v>
      </c>
      <c r="G174" s="1494">
        <f t="shared" ref="G174:G176" si="18">F174-E174</f>
        <v>3</v>
      </c>
    </row>
    <row r="175" spans="1:7" ht="21.95" customHeight="1">
      <c r="A175" s="1590" t="s">
        <v>349</v>
      </c>
      <c r="B175" s="1553"/>
      <c r="C175" s="454"/>
      <c r="D175" s="1492" t="s">
        <v>185</v>
      </c>
      <c r="E175" s="1497">
        <v>27782</v>
      </c>
      <c r="F175" s="1497">
        <v>27788</v>
      </c>
      <c r="G175" s="1494">
        <f t="shared" si="18"/>
        <v>6</v>
      </c>
    </row>
    <row r="176" spans="1:7" ht="21.95" customHeight="1">
      <c r="A176" s="1590" t="s">
        <v>348</v>
      </c>
      <c r="B176" s="1553"/>
      <c r="C176" s="454"/>
      <c r="D176" s="1492" t="s">
        <v>185</v>
      </c>
      <c r="E176" s="1493">
        <v>70517</v>
      </c>
      <c r="F176" s="1493">
        <v>70523</v>
      </c>
      <c r="G176" s="1494">
        <f t="shared" si="18"/>
        <v>6</v>
      </c>
    </row>
    <row r="178" spans="1:15" ht="29.25">
      <c r="A178" s="1590"/>
      <c r="B178" s="1553"/>
      <c r="C178" s="785"/>
      <c r="D178" s="523"/>
      <c r="E178" s="532"/>
      <c r="F178" s="532"/>
      <c r="G178" s="473"/>
      <c r="N178" s="718"/>
      <c r="O178" s="723"/>
    </row>
    <row r="179" spans="1:15" ht="29.25">
      <c r="A179" s="1590"/>
      <c r="B179" s="1553"/>
      <c r="C179" s="785"/>
      <c r="D179" s="523"/>
      <c r="E179" s="532"/>
      <c r="F179" s="532"/>
      <c r="G179" s="473"/>
      <c r="N179" s="718"/>
      <c r="O179" s="723"/>
    </row>
    <row r="180" spans="1:15" ht="29.25">
      <c r="A180" s="1590"/>
      <c r="B180" s="1553"/>
      <c r="C180" s="785"/>
      <c r="D180" s="523"/>
      <c r="E180" s="532"/>
      <c r="F180" s="532"/>
      <c r="G180" s="473"/>
      <c r="N180" s="718"/>
      <c r="O180" s="723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zoomScale="40" zoomScaleNormal="75" zoomScaleSheetLayoutView="40" workbookViewId="0">
      <selection activeCell="H7" sqref="H7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7" t="s">
        <v>115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s="281" customFormat="1" ht="27">
      <c r="A2" s="575" t="s">
        <v>337</v>
      </c>
      <c r="B2" s="1109">
        <v>44408</v>
      </c>
      <c r="C2" s="1139" t="s">
        <v>68</v>
      </c>
      <c r="D2" s="611">
        <v>0.7</v>
      </c>
      <c r="E2" s="461"/>
      <c r="F2" s="461"/>
      <c r="G2" s="461" t="s">
        <v>116</v>
      </c>
      <c r="H2" s="461" t="s">
        <v>6</v>
      </c>
      <c r="I2" s="461" t="s">
        <v>8</v>
      </c>
      <c r="J2" s="613" t="s">
        <v>117</v>
      </c>
    </row>
    <row r="3" spans="1:15" s="281" customFormat="1" ht="27">
      <c r="A3" s="570"/>
      <c r="B3" s="614"/>
      <c r="C3" s="1139" t="s">
        <v>118</v>
      </c>
      <c r="D3" s="612">
        <v>27</v>
      </c>
      <c r="E3" s="1576" t="s">
        <v>119</v>
      </c>
      <c r="F3" s="1577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39" t="s">
        <v>120</v>
      </c>
      <c r="D4" s="611">
        <v>0.9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121</v>
      </c>
      <c r="B5" s="459"/>
      <c r="C5" s="459"/>
      <c r="D5" s="511" t="s">
        <v>122</v>
      </c>
      <c r="E5" s="467" t="s">
        <v>123</v>
      </c>
      <c r="F5" s="467" t="s">
        <v>110</v>
      </c>
      <c r="G5" s="468" t="s">
        <v>124</v>
      </c>
      <c r="H5" s="469" t="s">
        <v>125</v>
      </c>
      <c r="I5" s="470" t="s">
        <v>126</v>
      </c>
      <c r="J5" s="550" t="s">
        <v>127</v>
      </c>
      <c r="K5" s="426"/>
      <c r="L5" s="377"/>
    </row>
    <row r="6" spans="1:15" ht="21.95" customHeight="1">
      <c r="A6" s="1570" t="s">
        <v>128</v>
      </c>
      <c r="B6" s="1571"/>
      <c r="C6" s="1572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129</v>
      </c>
      <c r="B7" s="579"/>
      <c r="C7" s="579"/>
      <c r="D7" s="523" t="s">
        <v>130</v>
      </c>
      <c r="E7" s="455">
        <f>'30'!F7</f>
        <v>584473</v>
      </c>
      <c r="F7" s="455">
        <v>607673</v>
      </c>
      <c r="G7" s="473">
        <f>F7-E7</f>
        <v>23200</v>
      </c>
      <c r="H7" s="460">
        <f>G7+'30'!H7</f>
        <v>685720</v>
      </c>
      <c r="I7" s="474">
        <f>'1'!I7</f>
        <v>12000</v>
      </c>
      <c r="J7" s="552">
        <f>H7/DAY(B2)</f>
        <v>22120</v>
      </c>
      <c r="K7" s="549">
        <v>1375467</v>
      </c>
      <c r="L7" s="377"/>
      <c r="N7" s="440">
        <f>F7-'1'!E7</f>
        <v>-314280</v>
      </c>
      <c r="O7" s="382"/>
    </row>
    <row r="8" spans="1:15" ht="21.95" customHeight="1" thickBot="1">
      <c r="A8" s="580" t="s">
        <v>131</v>
      </c>
      <c r="B8" s="581"/>
      <c r="C8" s="582"/>
      <c r="D8" s="617" t="s">
        <v>25</v>
      </c>
      <c r="E8" s="455">
        <f>'30'!F8</f>
        <v>592305</v>
      </c>
      <c r="F8" s="475">
        <v>615597</v>
      </c>
      <c r="G8" s="476">
        <f>F8-E8</f>
        <v>23292</v>
      </c>
      <c r="H8" s="460">
        <f>G8+'30'!H8</f>
        <v>688875</v>
      </c>
      <c r="I8" s="477"/>
      <c r="J8" s="552">
        <f>H8/DAY(B2)</f>
        <v>22221.774193548386</v>
      </c>
      <c r="K8" s="549">
        <v>1715917</v>
      </c>
      <c r="L8" s="425">
        <v>1728480</v>
      </c>
      <c r="M8" s="440">
        <f>L8-K8</f>
        <v>12563</v>
      </c>
      <c r="N8" s="440">
        <f>F8-'1'!E8</f>
        <v>-311125</v>
      </c>
      <c r="O8" s="382"/>
    </row>
    <row r="9" spans="1:15" ht="21.95" customHeight="1">
      <c r="A9" s="583" t="s">
        <v>132</v>
      </c>
      <c r="B9" s="584"/>
      <c r="C9" s="584"/>
      <c r="D9" s="523" t="s">
        <v>130</v>
      </c>
      <c r="E9" s="455">
        <f>'30'!F9</f>
        <v>2674174</v>
      </c>
      <c r="F9" s="478">
        <v>2696635</v>
      </c>
      <c r="G9" s="473">
        <f>F9-E9</f>
        <v>22461</v>
      </c>
      <c r="H9" s="460">
        <f>G9+'30'!H9</f>
        <v>665633</v>
      </c>
      <c r="I9" s="479">
        <f>I7-J7</f>
        <v>-10120</v>
      </c>
      <c r="J9" s="552">
        <f>H9/DAY(B2)</f>
        <v>21472.032258064515</v>
      </c>
      <c r="K9" s="428">
        <f>K8-100</f>
        <v>1715817</v>
      </c>
      <c r="L9" s="377"/>
      <c r="N9" s="440">
        <f>F9-'1'!E9</f>
        <v>665633</v>
      </c>
      <c r="O9" s="382"/>
    </row>
    <row r="10" spans="1:15" ht="21.95" customHeight="1">
      <c r="A10" s="578" t="s">
        <v>133</v>
      </c>
      <c r="B10" s="579"/>
      <c r="C10" s="579"/>
      <c r="D10" s="523" t="s">
        <v>130</v>
      </c>
      <c r="E10" s="455">
        <f>'30'!F10</f>
        <v>2607</v>
      </c>
      <c r="F10" s="478">
        <v>2607</v>
      </c>
      <c r="G10" s="473">
        <f t="shared" ref="G10:G12" si="0">F10-E10</f>
        <v>0</v>
      </c>
      <c r="H10" s="460">
        <f>G10+'30'!H10</f>
        <v>0.74999999999954525</v>
      </c>
      <c r="I10" s="480"/>
      <c r="J10" s="552">
        <f>H10/DAY(B2)</f>
        <v>2.4193548387082105E-2</v>
      </c>
      <c r="K10" s="428"/>
      <c r="L10" s="377"/>
      <c r="N10" s="440">
        <f>F10-'1'!E10</f>
        <v>284</v>
      </c>
      <c r="O10" s="382"/>
    </row>
    <row r="11" spans="1:15" ht="21.95" customHeight="1">
      <c r="A11" s="578" t="s">
        <v>134</v>
      </c>
      <c r="B11" s="579"/>
      <c r="C11" s="579"/>
      <c r="D11" s="523" t="s">
        <v>130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135</v>
      </c>
      <c r="B12" s="579"/>
      <c r="C12" s="579"/>
      <c r="D12" s="523" t="s">
        <v>130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136</v>
      </c>
      <c r="B13" s="586"/>
      <c r="C13" s="586"/>
      <c r="D13" s="523"/>
      <c r="E13" s="455"/>
      <c r="F13" s="455"/>
      <c r="G13" s="481">
        <f>G9+G10+G11+G12</f>
        <v>22461</v>
      </c>
      <c r="H13" s="460">
        <f>G13+'30'!H13</f>
        <v>645306.75</v>
      </c>
      <c r="I13" s="482">
        <f>G7-G13</f>
        <v>739</v>
      </c>
      <c r="J13" s="552">
        <f>H13/DAY(B2)</f>
        <v>20816.346774193549</v>
      </c>
      <c r="K13" s="428"/>
      <c r="L13" s="377"/>
      <c r="N13" s="440">
        <f>F13-'1'!E13</f>
        <v>0</v>
      </c>
      <c r="O13" s="382"/>
    </row>
    <row r="14" spans="1:15" ht="29.25">
      <c r="A14" s="1573" t="s">
        <v>137</v>
      </c>
      <c r="B14" s="1574"/>
      <c r="C14" s="1575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37" t="s">
        <v>138</v>
      </c>
      <c r="B15" s="589"/>
      <c r="C15" s="589"/>
      <c r="D15" s="523" t="s">
        <v>139</v>
      </c>
      <c r="E15" s="700">
        <v>1728626</v>
      </c>
      <c r="F15" s="700">
        <v>1729554</v>
      </c>
      <c r="G15" s="473">
        <f>(F15-E15)</f>
        <v>928</v>
      </c>
      <c r="H15" s="460">
        <f>G15+'30'!H15</f>
        <v>25871</v>
      </c>
      <c r="I15" s="474">
        <f>'1'!I15</f>
        <v>800</v>
      </c>
      <c r="J15" s="552">
        <f>H15/DAY(B2)</f>
        <v>834.54838709677415</v>
      </c>
      <c r="K15" s="428"/>
      <c r="L15" s="377"/>
      <c r="N15" s="440">
        <f>F15-'1'!E15</f>
        <v>25871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-34.54838709677415</v>
      </c>
      <c r="J16" s="553"/>
      <c r="K16" s="428"/>
      <c r="L16" s="377"/>
      <c r="N16" s="440">
        <f>F16-'1'!E16</f>
        <v>0</v>
      </c>
      <c r="O16" s="382"/>
    </row>
    <row r="17" spans="1:15" ht="29.25">
      <c r="A17" s="1573" t="s">
        <v>140</v>
      </c>
      <c r="B17" s="1574"/>
      <c r="C17" s="1575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62" t="s">
        <v>141</v>
      </c>
      <c r="B18" s="1563"/>
      <c r="C18" s="1564"/>
      <c r="D18" s="523" t="s">
        <v>142</v>
      </c>
      <c r="E18" s="455">
        <f>'30'!F18</f>
        <v>15</v>
      </c>
      <c r="F18" s="484">
        <v>16</v>
      </c>
      <c r="G18" s="481">
        <f>F18*10</f>
        <v>160</v>
      </c>
      <c r="H18" s="460">
        <f>G18+'30'!H18</f>
        <v>4050</v>
      </c>
      <c r="I18" s="474">
        <f>'1'!I18</f>
        <v>65</v>
      </c>
      <c r="J18" s="552">
        <f>H18/DAY(B2)</f>
        <v>130.64516129032259</v>
      </c>
      <c r="K18" s="428"/>
      <c r="L18" s="377"/>
      <c r="N18" s="440">
        <f>F18-'1'!E18</f>
        <v>9</v>
      </c>
      <c r="O18" s="382"/>
    </row>
    <row r="19" spans="1:15" ht="27.75">
      <c r="A19" s="1562" t="s">
        <v>70</v>
      </c>
      <c r="B19" s="1563"/>
      <c r="C19" s="1564"/>
      <c r="D19" s="523" t="s">
        <v>142</v>
      </c>
      <c r="E19" s="455">
        <f>'30'!F19</f>
        <v>143327</v>
      </c>
      <c r="F19" s="484">
        <v>143390</v>
      </c>
      <c r="G19" s="473">
        <f t="shared" ref="G19" si="1">F19-E19</f>
        <v>63</v>
      </c>
      <c r="H19" s="460">
        <f>G19+'30'!H19</f>
        <v>1895</v>
      </c>
      <c r="I19" s="489"/>
      <c r="J19" s="552">
        <f>H19/DAY(B2)</f>
        <v>61.12903225806452</v>
      </c>
      <c r="K19" s="428"/>
      <c r="L19" s="377"/>
      <c r="N19" s="440">
        <f>F19-'1'!E19</f>
        <v>1895</v>
      </c>
      <c r="O19" s="382"/>
    </row>
    <row r="20" spans="1:15" ht="29.25">
      <c r="A20" s="585" t="s">
        <v>143</v>
      </c>
      <c r="B20" s="586"/>
      <c r="C20" s="586"/>
      <c r="D20" s="490"/>
      <c r="E20" s="490"/>
      <c r="F20" s="490"/>
      <c r="G20" s="491">
        <f>G18+G19</f>
        <v>223</v>
      </c>
      <c r="H20" s="460">
        <f>G20+'30'!H20</f>
        <v>5945</v>
      </c>
      <c r="I20" s="492">
        <f>I18-J20</f>
        <v>-126.7741935483871</v>
      </c>
      <c r="J20" s="552">
        <f>H20/DAY(B2)</f>
        <v>191.7741935483871</v>
      </c>
      <c r="K20" s="428"/>
      <c r="L20" s="377"/>
      <c r="N20" s="440">
        <f>F20-'1'!E20</f>
        <v>0</v>
      </c>
      <c r="O20" s="382"/>
    </row>
    <row r="21" spans="1:15" ht="29.25">
      <c r="A21" s="1573" t="s">
        <v>144</v>
      </c>
      <c r="B21" s="1574"/>
      <c r="C21" s="1575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37" t="s">
        <v>145</v>
      </c>
      <c r="B22" s="589"/>
      <c r="C22" s="589"/>
      <c r="D22" s="523" t="s">
        <v>146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37" t="s">
        <v>147</v>
      </c>
      <c r="B23" s="589"/>
      <c r="C23" s="589"/>
      <c r="D23" s="523" t="s">
        <v>146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148</v>
      </c>
      <c r="B24" s="591"/>
      <c r="C24" s="591"/>
      <c r="D24" s="511" t="s">
        <v>146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78" t="s">
        <v>149</v>
      </c>
      <c r="B25" s="1579"/>
      <c r="C25" s="1580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150</v>
      </c>
      <c r="B26" s="593"/>
      <c r="C26" s="594"/>
      <c r="D26" s="618" t="s">
        <v>151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23292</v>
      </c>
      <c r="F27" s="501">
        <v>9</v>
      </c>
      <c r="G27" s="502">
        <f>E27*F27</f>
        <v>209628</v>
      </c>
      <c r="H27" s="460">
        <f>G27+'30'!H27</f>
        <v>6199876.8900000006</v>
      </c>
      <c r="I27" s="503"/>
      <c r="J27" s="552">
        <f>H27/DAY(B2)</f>
        <v>199996.02870967743</v>
      </c>
      <c r="K27" s="373"/>
      <c r="L27" s="443"/>
      <c r="N27" s="440">
        <f>F27-'1'!E27</f>
        <v>-23251.790000000037</v>
      </c>
      <c r="O27" s="382"/>
    </row>
    <row r="28" spans="1:15" s="442" customFormat="1" ht="27.75">
      <c r="A28" s="592" t="s">
        <v>152</v>
      </c>
      <c r="B28" s="593"/>
      <c r="C28" s="594"/>
      <c r="D28" s="619" t="s">
        <v>153</v>
      </c>
      <c r="E28" s="504">
        <f>G15</f>
        <v>928</v>
      </c>
      <c r="F28" s="501">
        <v>52</v>
      </c>
      <c r="G28" s="502">
        <f>E28*F28</f>
        <v>48256</v>
      </c>
      <c r="H28" s="460">
        <f>G28+'30'!H28</f>
        <v>1345292</v>
      </c>
      <c r="I28" s="505"/>
      <c r="J28" s="552">
        <f>H28/DAY(B2)</f>
        <v>43396.516129032258</v>
      </c>
      <c r="K28" s="373"/>
      <c r="L28" s="443"/>
      <c r="N28" s="440">
        <f>F28-'1'!E28</f>
        <v>-866.37800000002608</v>
      </c>
      <c r="O28" s="382"/>
    </row>
    <row r="29" spans="1:15" s="442" customFormat="1" ht="27.75">
      <c r="A29" s="592" t="s">
        <v>154</v>
      </c>
      <c r="B29" s="593"/>
      <c r="C29" s="594"/>
      <c r="D29" s="619" t="s">
        <v>155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156</v>
      </c>
      <c r="B30" s="593"/>
      <c r="C30" s="594"/>
      <c r="D30" s="619" t="s">
        <v>157</v>
      </c>
      <c r="E30" s="506">
        <f>G19</f>
        <v>63</v>
      </c>
      <c r="F30" s="501">
        <v>146</v>
      </c>
      <c r="G30" s="502">
        <f>E30*F30</f>
        <v>9198</v>
      </c>
      <c r="H30" s="460">
        <f>G30+'30'!H30</f>
        <v>276086</v>
      </c>
      <c r="I30" s="505"/>
      <c r="J30" s="552">
        <f>H30/DAY(B2)</f>
        <v>8906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158</v>
      </c>
      <c r="B31" s="593"/>
      <c r="C31" s="594"/>
      <c r="D31" s="619" t="s">
        <v>142</v>
      </c>
      <c r="E31" s="506">
        <f>G18</f>
        <v>160</v>
      </c>
      <c r="F31" s="501">
        <v>80</v>
      </c>
      <c r="G31" s="502">
        <f>E31*F31</f>
        <v>12800</v>
      </c>
      <c r="H31" s="460">
        <f>G31+'30'!H31</f>
        <v>318400</v>
      </c>
      <c r="I31" s="505"/>
      <c r="J31" s="552">
        <f>H31/DAY(B2)</f>
        <v>10270.967741935483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159</v>
      </c>
      <c r="B32" s="596"/>
      <c r="C32" s="597"/>
      <c r="D32" s="507"/>
      <c r="E32" s="507"/>
      <c r="F32" s="507"/>
      <c r="G32" s="508">
        <f>G27+G28+G29+G30+G31</f>
        <v>279882</v>
      </c>
      <c r="H32" s="460">
        <f>G32+'30'!H32</f>
        <v>8139654.8900000006</v>
      </c>
      <c r="I32" s="509"/>
      <c r="J32" s="552">
        <f>H32/DAY(B2)</f>
        <v>262569.51258064515</v>
      </c>
      <c r="K32" s="373"/>
      <c r="L32" s="443"/>
      <c r="N32" s="440">
        <f>F32-'1'!E32</f>
        <v>0</v>
      </c>
      <c r="O32" s="382"/>
    </row>
    <row r="33" spans="1:15" ht="25.5" customHeight="1">
      <c r="A33" s="1581" t="s">
        <v>160</v>
      </c>
      <c r="B33" s="1582"/>
      <c r="C33" s="1582"/>
      <c r="D33" s="1582"/>
      <c r="E33" s="1582"/>
      <c r="F33" s="1582"/>
      <c r="G33" s="1582"/>
      <c r="H33" s="1582"/>
      <c r="I33" s="1582"/>
      <c r="J33" s="1583"/>
      <c r="K33" s="428"/>
      <c r="L33" s="377"/>
      <c r="N33" s="440">
        <f>F33-'1'!E33</f>
        <v>0</v>
      </c>
      <c r="O33" s="382"/>
    </row>
    <row r="34" spans="1:15" ht="29.25">
      <c r="A34" s="598" t="s">
        <v>161</v>
      </c>
      <c r="B34" s="1142"/>
      <c r="C34" s="1142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162</v>
      </c>
      <c r="B35" s="579"/>
      <c r="C35" s="579"/>
      <c r="D35" s="523" t="s">
        <v>130</v>
      </c>
      <c r="E35" s="510">
        <v>1058597</v>
      </c>
      <c r="F35" s="510">
        <v>1058597</v>
      </c>
      <c r="G35" s="473">
        <f t="shared" ref="G35:G46" si="3">F35-E35</f>
        <v>0</v>
      </c>
      <c r="H35" s="460">
        <f>G35+'30'!H35</f>
        <v>29883</v>
      </c>
      <c r="I35" s="455"/>
      <c r="J35" s="552">
        <f>H35/DAY(B2)</f>
        <v>963.9677419354839</v>
      </c>
      <c r="K35" s="428"/>
      <c r="L35" s="377"/>
      <c r="N35" s="440">
        <f>F35-'1'!E35</f>
        <v>29883</v>
      </c>
      <c r="O35" s="382"/>
    </row>
    <row r="36" spans="1:15" ht="29.25">
      <c r="A36" s="578" t="s">
        <v>163</v>
      </c>
      <c r="B36" s="579"/>
      <c r="C36" s="579"/>
      <c r="D36" s="523" t="s">
        <v>130</v>
      </c>
      <c r="E36" s="510">
        <v>45852</v>
      </c>
      <c r="F36" s="510">
        <v>46798</v>
      </c>
      <c r="G36" s="473">
        <f t="shared" si="3"/>
        <v>946</v>
      </c>
      <c r="H36" s="460">
        <f>G36+'30'!H36</f>
        <v>946</v>
      </c>
      <c r="I36" s="455"/>
      <c r="J36" s="552">
        <f>H36/DAY(B2)</f>
        <v>30.516129032258064</v>
      </c>
      <c r="K36" s="428"/>
      <c r="L36" s="377"/>
      <c r="N36" s="440">
        <f>F36-'1'!E36</f>
        <v>26337</v>
      </c>
      <c r="O36" s="628"/>
    </row>
    <row r="37" spans="1:15" ht="29.25">
      <c r="A37" s="578" t="s">
        <v>164</v>
      </c>
      <c r="B37" s="579"/>
      <c r="C37" s="579"/>
      <c r="D37" s="523" t="s">
        <v>130</v>
      </c>
      <c r="E37" s="510">
        <v>224517</v>
      </c>
      <c r="F37" s="510">
        <v>226173</v>
      </c>
      <c r="G37" s="473">
        <f t="shared" si="3"/>
        <v>1656</v>
      </c>
      <c r="H37" s="460">
        <f>G37+'30'!H37</f>
        <v>49603</v>
      </c>
      <c r="I37" s="455"/>
      <c r="J37" s="552">
        <f>H37/DAY(B2)</f>
        <v>1600.0967741935483</v>
      </c>
      <c r="K37" s="428"/>
      <c r="L37" s="377"/>
      <c r="N37" s="440">
        <f>F37-'1'!E37</f>
        <v>49603</v>
      </c>
      <c r="O37" s="629"/>
    </row>
    <row r="38" spans="1:15" ht="29.25">
      <c r="A38" s="578" t="s">
        <v>165</v>
      </c>
      <c r="B38" s="579"/>
      <c r="C38" s="579"/>
      <c r="D38" s="523" t="s">
        <v>130</v>
      </c>
      <c r="E38" s="469">
        <v>246814</v>
      </c>
      <c r="F38" s="469">
        <v>248559</v>
      </c>
      <c r="G38" s="473">
        <f t="shared" si="3"/>
        <v>1745</v>
      </c>
      <c r="H38" s="460">
        <f>G38+'30'!H38</f>
        <v>50100</v>
      </c>
      <c r="I38" s="455"/>
      <c r="J38" s="552">
        <f>H38/DAY(B2)</f>
        <v>1616.1290322580646</v>
      </c>
      <c r="K38" s="428"/>
      <c r="L38" s="377"/>
      <c r="N38" s="440">
        <f>F38-'1'!E38</f>
        <v>50100</v>
      </c>
      <c r="O38" s="382"/>
    </row>
    <row r="39" spans="1:15" ht="29.25">
      <c r="A39" s="578" t="s">
        <v>166</v>
      </c>
      <c r="B39" s="579"/>
      <c r="C39" s="579"/>
      <c r="D39" s="523" t="s">
        <v>130</v>
      </c>
      <c r="E39" s="510">
        <v>516711</v>
      </c>
      <c r="F39" s="510">
        <v>520518</v>
      </c>
      <c r="G39" s="473">
        <f t="shared" si="3"/>
        <v>3807</v>
      </c>
      <c r="H39" s="460">
        <f>G39+'30'!H39</f>
        <v>115654</v>
      </c>
      <c r="I39" s="455"/>
      <c r="J39" s="552">
        <f>H39/DAY(B2)</f>
        <v>3730.7741935483873</v>
      </c>
      <c r="K39" s="428"/>
      <c r="L39" s="377"/>
      <c r="N39" s="440">
        <f>F39-'1'!E39</f>
        <v>115654</v>
      </c>
      <c r="O39" s="382"/>
    </row>
    <row r="40" spans="1:15" ht="29.25">
      <c r="A40" s="599" t="s">
        <v>167</v>
      </c>
      <c r="B40" s="600"/>
      <c r="C40" s="600"/>
      <c r="D40" s="523" t="s">
        <v>130</v>
      </c>
      <c r="E40" s="510">
        <v>19776</v>
      </c>
      <c r="F40" s="510">
        <v>20173</v>
      </c>
      <c r="G40" s="473">
        <f t="shared" si="3"/>
        <v>397</v>
      </c>
      <c r="H40" s="460">
        <f>G40+'30'!H40</f>
        <v>13060</v>
      </c>
      <c r="I40" s="455"/>
      <c r="J40" s="552">
        <f>H40/DAY(B2)</f>
        <v>421.29032258064518</v>
      </c>
      <c r="K40" s="429"/>
      <c r="L40" s="377"/>
      <c r="N40" s="440">
        <f>F40-'1'!E40</f>
        <v>13060</v>
      </c>
      <c r="O40" s="382"/>
    </row>
    <row r="41" spans="1:15" ht="29.25">
      <c r="A41" s="578" t="s">
        <v>168</v>
      </c>
      <c r="B41" s="579"/>
      <c r="C41" s="579"/>
      <c r="D41" s="523" t="s">
        <v>130</v>
      </c>
      <c r="E41" s="510">
        <v>366840</v>
      </c>
      <c r="F41" s="510">
        <v>366840</v>
      </c>
      <c r="G41" s="473">
        <f t="shared" si="3"/>
        <v>0</v>
      </c>
      <c r="H41" s="460">
        <f>G41+'30'!H41</f>
        <v>37198</v>
      </c>
      <c r="I41" s="455"/>
      <c r="J41" s="552">
        <f>H41/DAY(B2)</f>
        <v>1199.9354838709678</v>
      </c>
      <c r="K41" s="428"/>
      <c r="L41" s="377"/>
      <c r="N41" s="440">
        <f>F41-'1'!E41</f>
        <v>37198</v>
      </c>
      <c r="O41" s="382"/>
    </row>
    <row r="42" spans="1:15" ht="29.25">
      <c r="A42" s="578" t="s">
        <v>169</v>
      </c>
      <c r="B42" s="579"/>
      <c r="C42" s="579"/>
      <c r="D42" s="523" t="s">
        <v>130</v>
      </c>
      <c r="E42" s="510">
        <v>112569</v>
      </c>
      <c r="F42" s="510">
        <v>115512</v>
      </c>
      <c r="G42" s="473">
        <f t="shared" si="3"/>
        <v>2943</v>
      </c>
      <c r="H42" s="460">
        <f>G42+'30'!H42</f>
        <v>56313.11</v>
      </c>
      <c r="I42" s="455"/>
      <c r="J42" s="552">
        <f>H42/DAY(B2)</f>
        <v>1816.5519354838709</v>
      </c>
      <c r="K42" s="428"/>
      <c r="L42" s="377"/>
      <c r="N42" s="440">
        <f>H42-'1'!E42</f>
        <v>-2896.8899999999994</v>
      </c>
      <c r="O42" s="382"/>
    </row>
    <row r="43" spans="1:15" ht="29.25">
      <c r="A43" s="578" t="s">
        <v>170</v>
      </c>
      <c r="B43" s="579"/>
      <c r="C43" s="579"/>
      <c r="D43" s="523" t="s">
        <v>130</v>
      </c>
      <c r="E43" s="510">
        <v>1201637</v>
      </c>
      <c r="F43" s="510">
        <v>1204461</v>
      </c>
      <c r="G43" s="473">
        <f t="shared" si="3"/>
        <v>2824</v>
      </c>
      <c r="H43" s="460">
        <f>G43+'30'!H43</f>
        <v>84009</v>
      </c>
      <c r="I43" s="455"/>
      <c r="J43" s="552">
        <f>H43/DAY(B2)</f>
        <v>2709.9677419354839</v>
      </c>
      <c r="K43" s="428"/>
      <c r="L43" s="377"/>
      <c r="N43" s="440">
        <f>H43-'1'!E43</f>
        <v>-1036443</v>
      </c>
      <c r="O43" s="382"/>
    </row>
    <row r="44" spans="1:15" ht="29.25">
      <c r="A44" s="578" t="s">
        <v>171</v>
      </c>
      <c r="B44" s="579"/>
      <c r="C44" s="579"/>
      <c r="D44" s="523" t="s">
        <v>130</v>
      </c>
      <c r="E44" s="510"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172</v>
      </c>
      <c r="B45" s="579"/>
      <c r="C45" s="579"/>
      <c r="D45" s="523" t="s">
        <v>130</v>
      </c>
      <c r="E45" s="510">
        <v>0</v>
      </c>
      <c r="F45" s="510">
        <v>0</v>
      </c>
      <c r="G45" s="473">
        <f t="shared" si="3"/>
        <v>0</v>
      </c>
      <c r="H45" s="460">
        <f>G45+'30'!H45</f>
        <v>0</v>
      </c>
      <c r="I45" s="455"/>
      <c r="J45" s="552">
        <f>H45/DAY(B2)</f>
        <v>0</v>
      </c>
      <c r="K45" s="428"/>
      <c r="L45" s="377"/>
      <c r="N45" s="440">
        <f>H45-'1'!E45</f>
        <v>0</v>
      </c>
      <c r="O45" s="382"/>
    </row>
    <row r="46" spans="1:15" ht="29.25">
      <c r="A46" s="578" t="s">
        <v>173</v>
      </c>
      <c r="B46" s="579"/>
      <c r="C46" s="579"/>
      <c r="D46" s="523" t="s">
        <v>130</v>
      </c>
      <c r="E46" s="510">
        <v>0</v>
      </c>
      <c r="F46" s="510">
        <v>0</v>
      </c>
      <c r="G46" s="473">
        <f t="shared" si="3"/>
        <v>0</v>
      </c>
      <c r="H46" s="460">
        <f>G46+'30'!H46</f>
        <v>-0.49000000000000909</v>
      </c>
      <c r="I46" s="455"/>
      <c r="J46" s="552">
        <f>H46/DAY(B2)</f>
        <v>-1.5806451612903519E-2</v>
      </c>
      <c r="K46" s="428"/>
      <c r="L46" s="377"/>
      <c r="N46" s="440">
        <f>H46-'1'!E46</f>
        <v>-0.49000000000000909</v>
      </c>
      <c r="O46" s="382"/>
    </row>
    <row r="47" spans="1:15" ht="29.25">
      <c r="A47" s="585" t="s">
        <v>174</v>
      </c>
      <c r="B47" s="586"/>
      <c r="C47" s="586"/>
      <c r="D47" s="470"/>
      <c r="E47" s="511"/>
      <c r="F47" s="511"/>
      <c r="G47" s="481">
        <f>G35+G36+G37+G38+G39+G40+G41+G42+G43+G44+G45+G46</f>
        <v>14318</v>
      </c>
      <c r="H47" s="460">
        <f>G47+'30'!H47</f>
        <v>462958.11</v>
      </c>
      <c r="I47" s="455"/>
      <c r="J47" s="552">
        <f>H47/DAY(B2)</f>
        <v>14934.13258064516</v>
      </c>
      <c r="K47" s="428"/>
      <c r="L47" s="377"/>
      <c r="N47" s="440">
        <f>H47-'1'!E47</f>
        <v>462958.11</v>
      </c>
      <c r="O47" s="382"/>
    </row>
    <row r="48" spans="1:15" ht="29.25">
      <c r="A48" s="598" t="s">
        <v>175</v>
      </c>
      <c r="B48" s="1142"/>
      <c r="C48" s="1142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162</v>
      </c>
      <c r="B49" s="601"/>
      <c r="C49" s="601"/>
      <c r="D49" s="523" t="s">
        <v>130</v>
      </c>
      <c r="E49" s="455">
        <f>'30'!F49</f>
        <v>321016</v>
      </c>
      <c r="F49" s="510">
        <v>324088</v>
      </c>
      <c r="G49" s="473">
        <f t="shared" ref="G49:G58" si="4">F49-E49</f>
        <v>3072</v>
      </c>
      <c r="H49" s="460">
        <f>G49+'30'!H49</f>
        <v>63324</v>
      </c>
      <c r="I49" s="455"/>
      <c r="J49" s="552">
        <f>H49/DAY(B2)</f>
        <v>2042.7096774193549</v>
      </c>
      <c r="K49" s="428"/>
      <c r="L49" s="377"/>
      <c r="N49" s="440">
        <f>H49-'1'!E49</f>
        <v>-197408</v>
      </c>
      <c r="O49" s="382"/>
    </row>
    <row r="50" spans="1:15" ht="29.25">
      <c r="A50" s="578" t="s">
        <v>176</v>
      </c>
      <c r="B50" s="601"/>
      <c r="C50" s="601"/>
      <c r="D50" s="523" t="s">
        <v>130</v>
      </c>
      <c r="E50" s="455">
        <f>'30'!F50</f>
        <v>568748</v>
      </c>
      <c r="F50" s="510">
        <v>569925</v>
      </c>
      <c r="G50" s="473">
        <f t="shared" si="4"/>
        <v>1177</v>
      </c>
      <c r="H50" s="460">
        <f>G50+'30'!H50</f>
        <v>34169</v>
      </c>
      <c r="I50" s="455"/>
      <c r="J50" s="552">
        <f>H50/DAY(B2)</f>
        <v>1102.2258064516129</v>
      </c>
      <c r="K50" s="428"/>
      <c r="L50" s="377"/>
      <c r="N50" s="440">
        <f>H50-'1'!E50</f>
        <v>-500494</v>
      </c>
      <c r="O50" s="382"/>
    </row>
    <row r="51" spans="1:15" ht="29.25">
      <c r="A51" s="578" t="s">
        <v>164</v>
      </c>
      <c r="B51" s="601"/>
      <c r="C51" s="601"/>
      <c r="D51" s="523" t="s">
        <v>130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177</v>
      </c>
      <c r="B52" s="601"/>
      <c r="C52" s="601"/>
      <c r="D52" s="523" t="s">
        <v>130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166</v>
      </c>
      <c r="B53" s="601"/>
      <c r="C53" s="601"/>
      <c r="D53" s="523" t="s">
        <v>130</v>
      </c>
      <c r="E53" s="455">
        <f>'30'!F53</f>
        <v>434232</v>
      </c>
      <c r="F53" s="510">
        <v>434232</v>
      </c>
      <c r="G53" s="473">
        <f t="shared" si="4"/>
        <v>0</v>
      </c>
      <c r="H53" s="460">
        <f>G53+'30'!H53</f>
        <v>-0.33000000001629815</v>
      </c>
      <c r="I53" s="455"/>
      <c r="J53" s="552">
        <f>H53/DAY(B2)</f>
        <v>-1.0645161290848327E-2</v>
      </c>
      <c r="K53" s="428"/>
      <c r="L53" s="377"/>
      <c r="N53" s="440">
        <f>H53-'1'!E53</f>
        <v>-434232.33</v>
      </c>
      <c r="O53" s="382"/>
    </row>
    <row r="54" spans="1:15" ht="29.25">
      <c r="A54" s="578" t="s">
        <v>178</v>
      </c>
      <c r="B54" s="601"/>
      <c r="C54" s="601"/>
      <c r="D54" s="523" t="s">
        <v>130</v>
      </c>
      <c r="E54" s="455">
        <f>'30'!F54</f>
        <v>14967</v>
      </c>
      <c r="F54" s="510">
        <v>14967</v>
      </c>
      <c r="G54" s="473">
        <f t="shared" si="4"/>
        <v>0</v>
      </c>
      <c r="H54" s="460">
        <f>G54+'30'!H54</f>
        <v>0</v>
      </c>
      <c r="I54" s="455"/>
      <c r="J54" s="552">
        <f>H54/DAY(B2)</f>
        <v>0</v>
      </c>
      <c r="K54" s="428"/>
      <c r="L54" s="377"/>
      <c r="N54" s="440">
        <f>H54-'1'!E54</f>
        <v>-14967</v>
      </c>
      <c r="O54" s="382"/>
    </row>
    <row r="55" spans="1:15" ht="29.25">
      <c r="A55" s="578" t="s">
        <v>179</v>
      </c>
      <c r="B55" s="601"/>
      <c r="C55" s="601"/>
      <c r="D55" s="523" t="s">
        <v>130</v>
      </c>
      <c r="E55" s="455">
        <f>'30'!F55</f>
        <v>231381</v>
      </c>
      <c r="F55" s="510">
        <v>235674</v>
      </c>
      <c r="G55" s="473">
        <f t="shared" si="4"/>
        <v>4293</v>
      </c>
      <c r="H55" s="460">
        <f>G55+'30'!H55</f>
        <v>112464</v>
      </c>
      <c r="I55" s="455"/>
      <c r="J55" s="552">
        <f>H55/DAY(B2)</f>
        <v>3627.8709677419356</v>
      </c>
      <c r="K55" s="428"/>
      <c r="L55" s="377"/>
      <c r="N55" s="440">
        <f>H55-'1'!E55</f>
        <v>-5172</v>
      </c>
      <c r="O55" s="382"/>
    </row>
    <row r="56" spans="1:15" ht="29.25">
      <c r="A56" s="578" t="s">
        <v>180</v>
      </c>
      <c r="B56" s="601"/>
      <c r="C56" s="601"/>
      <c r="D56" s="523" t="s">
        <v>181</v>
      </c>
      <c r="E56" s="455">
        <f>'30'!F56</f>
        <v>649350</v>
      </c>
      <c r="F56" s="510">
        <v>649361</v>
      </c>
      <c r="G56" s="473">
        <f t="shared" si="4"/>
        <v>11</v>
      </c>
      <c r="H56" s="460">
        <f>G56+'30'!H56</f>
        <v>319</v>
      </c>
      <c r="I56" s="455"/>
      <c r="J56" s="552">
        <f>H56/DAY(B2)</f>
        <v>10.290322580645162</v>
      </c>
      <c r="K56" s="427"/>
      <c r="L56" s="377"/>
      <c r="N56" s="440">
        <f>H56-'1'!E56</f>
        <v>-648713</v>
      </c>
      <c r="O56" s="382"/>
    </row>
    <row r="57" spans="1:15" ht="29.25">
      <c r="A57" s="578" t="s">
        <v>170</v>
      </c>
      <c r="B57" s="601"/>
      <c r="C57" s="601"/>
      <c r="D57" s="523" t="s">
        <v>130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182</v>
      </c>
      <c r="B58" s="601"/>
      <c r="C58" s="601"/>
      <c r="D58" s="523" t="s">
        <v>130</v>
      </c>
      <c r="E58" s="455">
        <f>'30'!F58</f>
        <v>59471</v>
      </c>
      <c r="F58" s="510">
        <v>59679</v>
      </c>
      <c r="G58" s="473">
        <f t="shared" si="4"/>
        <v>208</v>
      </c>
      <c r="H58" s="460">
        <f>G58+'30'!H58</f>
        <v>5499</v>
      </c>
      <c r="I58" s="455"/>
      <c r="J58" s="552">
        <f>H58/DAY(B2)</f>
        <v>177.38709677419354</v>
      </c>
      <c r="K58" s="428"/>
      <c r="L58" s="377"/>
      <c r="N58" s="440">
        <f>H58-'1'!E58</f>
        <v>-48487</v>
      </c>
      <c r="O58" s="382"/>
    </row>
    <row r="59" spans="1:15" ht="29.25">
      <c r="A59" s="585" t="s">
        <v>174</v>
      </c>
      <c r="B59" s="586"/>
      <c r="C59" s="586"/>
      <c r="D59" s="511"/>
      <c r="E59" s="511"/>
      <c r="F59" s="511"/>
      <c r="G59" s="481">
        <f>G49+G50+G51+G52+G53+G54+G55+G56+G57+G58</f>
        <v>8761</v>
      </c>
      <c r="H59" s="460">
        <f>G59+'30'!H59</f>
        <v>215774.66999999998</v>
      </c>
      <c r="I59" s="455">
        <f>G7-G60</f>
        <v>121</v>
      </c>
      <c r="J59" s="552">
        <f>H59/DAY(B2)</f>
        <v>6960.4732258064514</v>
      </c>
      <c r="K59" s="428"/>
      <c r="L59" s="377"/>
      <c r="N59" s="440">
        <f>H59-'1'!E59</f>
        <v>215774.66999999998</v>
      </c>
      <c r="O59" s="382"/>
    </row>
    <row r="60" spans="1:15" ht="29.25">
      <c r="A60" s="578"/>
      <c r="B60" s="579"/>
      <c r="C60" s="579"/>
      <c r="D60" s="511" t="s">
        <v>183</v>
      </c>
      <c r="E60" s="511"/>
      <c r="F60" s="511"/>
      <c r="G60" s="481">
        <f>G47+G59</f>
        <v>23079</v>
      </c>
      <c r="H60" s="460">
        <f>G60+'30'!H60</f>
        <v>685636.1100000001</v>
      </c>
      <c r="I60" s="455">
        <f>G13-G60</f>
        <v>-618</v>
      </c>
      <c r="J60" s="552">
        <f>H60/DAY(B2)</f>
        <v>22117.293870967744</v>
      </c>
      <c r="K60" s="428"/>
      <c r="L60" s="377"/>
      <c r="N60" s="440">
        <f>H60-'1'!E60</f>
        <v>685636.1100000001</v>
      </c>
      <c r="O60" s="382"/>
    </row>
    <row r="61" spans="1:15" ht="29.25">
      <c r="A61" s="602" t="s">
        <v>184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185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186</v>
      </c>
      <c r="B63" s="604"/>
      <c r="C63" s="604"/>
      <c r="D63" s="511" t="s">
        <v>185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43" t="s">
        <v>98</v>
      </c>
      <c r="B64" s="1544"/>
      <c r="C64" s="1545"/>
      <c r="D64" s="523" t="s">
        <v>185</v>
      </c>
      <c r="E64" s="455">
        <f>'30'!F64</f>
        <v>181513</v>
      </c>
      <c r="F64" s="484">
        <v>181860</v>
      </c>
      <c r="G64" s="473">
        <f t="shared" si="5"/>
        <v>347</v>
      </c>
      <c r="H64" s="460">
        <f>G64+'30'!H64</f>
        <v>11838</v>
      </c>
      <c r="I64" s="480"/>
      <c r="J64" s="552">
        <f>H64/DAY(B2)</f>
        <v>381.87096774193549</v>
      </c>
      <c r="K64" s="428"/>
      <c r="L64" s="377"/>
      <c r="N64" s="440">
        <f>H64-'1'!E64</f>
        <v>-158184</v>
      </c>
      <c r="O64" s="382"/>
    </row>
    <row r="65" spans="1:15" ht="27.75">
      <c r="A65" s="1543" t="s">
        <v>99</v>
      </c>
      <c r="B65" s="1544"/>
      <c r="C65" s="1545"/>
      <c r="D65" s="523" t="s">
        <v>185</v>
      </c>
      <c r="E65" s="455">
        <f>'30'!F65</f>
        <v>181814</v>
      </c>
      <c r="F65" s="484">
        <v>182209</v>
      </c>
      <c r="G65" s="473">
        <f t="shared" si="5"/>
        <v>395</v>
      </c>
      <c r="H65" s="460">
        <f>G65+'30'!H65</f>
        <v>11907</v>
      </c>
      <c r="I65" s="489"/>
      <c r="J65" s="552">
        <f>H65/DAY(B2)</f>
        <v>384.09677419354841</v>
      </c>
      <c r="K65" s="428"/>
      <c r="L65" s="377"/>
      <c r="N65" s="440">
        <f>H65-'1'!E65</f>
        <v>-158395</v>
      </c>
      <c r="O65" s="382"/>
    </row>
    <row r="66" spans="1:15" ht="27.75">
      <c r="A66" s="1543" t="s">
        <v>100</v>
      </c>
      <c r="B66" s="1544"/>
      <c r="C66" s="1545"/>
      <c r="D66" s="523" t="s">
        <v>185</v>
      </c>
      <c r="E66" s="455">
        <f>'30'!F66</f>
        <v>80259</v>
      </c>
      <c r="F66" s="484">
        <v>80672</v>
      </c>
      <c r="G66" s="473">
        <f t="shared" si="5"/>
        <v>413</v>
      </c>
      <c r="H66" s="460">
        <f>G66+'30'!H66</f>
        <v>12702</v>
      </c>
      <c r="I66" s="480"/>
      <c r="J66" s="552">
        <f>H66/DAY(B2)</f>
        <v>409.74193548387098</v>
      </c>
      <c r="K66" s="428"/>
      <c r="L66" s="377"/>
      <c r="N66" s="440">
        <f>H66-'1'!E66</f>
        <v>-55268</v>
      </c>
      <c r="O66" s="382"/>
    </row>
    <row r="67" spans="1:15" ht="27.75">
      <c r="A67" s="1543" t="s">
        <v>101</v>
      </c>
      <c r="B67" s="1544"/>
      <c r="C67" s="1545"/>
      <c r="D67" s="523" t="s">
        <v>185</v>
      </c>
      <c r="E67" s="455">
        <f>'30'!F67</f>
        <v>279520</v>
      </c>
      <c r="F67" s="484">
        <v>280058</v>
      </c>
      <c r="G67" s="473">
        <f t="shared" si="5"/>
        <v>538</v>
      </c>
      <c r="H67" s="460">
        <f>G67+'30'!H67</f>
        <v>15099</v>
      </c>
      <c r="I67" s="489"/>
      <c r="J67" s="552">
        <f>H67/DAY(B2)</f>
        <v>487.06451612903226</v>
      </c>
      <c r="K67" s="429"/>
      <c r="L67" s="377"/>
      <c r="N67" s="440">
        <f>H67-'1'!E67</f>
        <v>-249860</v>
      </c>
      <c r="O67" s="382"/>
    </row>
    <row r="68" spans="1:15" ht="27.75">
      <c r="A68" s="1543" t="s">
        <v>102</v>
      </c>
      <c r="B68" s="1544"/>
      <c r="C68" s="1545"/>
      <c r="D68" s="523" t="s">
        <v>185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43" t="s">
        <v>103</v>
      </c>
      <c r="B69" s="1544"/>
      <c r="C69" s="1545"/>
      <c r="D69" s="523" t="s">
        <v>185</v>
      </c>
      <c r="E69" s="455">
        <f>'30'!F69</f>
        <v>96220</v>
      </c>
      <c r="F69" s="484">
        <v>96557</v>
      </c>
      <c r="G69" s="473">
        <f t="shared" si="5"/>
        <v>337</v>
      </c>
      <c r="H69" s="460">
        <f>G69+'30'!H69</f>
        <v>9042</v>
      </c>
      <c r="I69" s="516"/>
      <c r="J69" s="552">
        <f>H69/DAY(B2)</f>
        <v>291.67741935483872</v>
      </c>
      <c r="K69" s="431"/>
      <c r="L69" s="377"/>
      <c r="N69" s="440">
        <f>H69-'1'!E69</f>
        <v>-78473</v>
      </c>
      <c r="O69" s="382"/>
    </row>
    <row r="70" spans="1:15" ht="27.75">
      <c r="A70" s="1584" t="s">
        <v>187</v>
      </c>
      <c r="B70" s="1585"/>
      <c r="C70" s="1586"/>
      <c r="D70" s="523" t="s">
        <v>185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87" t="s">
        <v>188</v>
      </c>
      <c r="B71" s="1588"/>
      <c r="C71" s="1588"/>
      <c r="D71" s="1588"/>
      <c r="E71" s="1588"/>
      <c r="F71" s="1588"/>
      <c r="G71" s="1588"/>
      <c r="H71" s="1588"/>
      <c r="I71" s="1588"/>
      <c r="J71" s="1589"/>
      <c r="K71" s="430"/>
      <c r="L71" s="377"/>
      <c r="N71" s="440">
        <f>H71-'1'!E71</f>
        <v>0</v>
      </c>
      <c r="O71" s="382"/>
    </row>
    <row r="72" spans="1:15" ht="27.75">
      <c r="A72" s="1543" t="s">
        <v>189</v>
      </c>
      <c r="B72" s="1544"/>
      <c r="C72" s="1545"/>
      <c r="D72" s="523" t="s">
        <v>185</v>
      </c>
      <c r="E72" s="455">
        <f>'30'!F72</f>
        <v>856597</v>
      </c>
      <c r="F72" s="519">
        <v>856609</v>
      </c>
      <c r="G72" s="473">
        <f t="shared" ref="G72:G84" si="6">F72-E72</f>
        <v>12</v>
      </c>
      <c r="H72" s="460">
        <f>G72+'30'!H72</f>
        <v>374</v>
      </c>
      <c r="I72" s="480"/>
      <c r="J72" s="552">
        <f>H72/DAY(B2)</f>
        <v>12.064516129032258</v>
      </c>
      <c r="K72" s="431"/>
      <c r="L72" s="377"/>
      <c r="N72" s="440">
        <f>H72-'1'!E72</f>
        <v>-855848</v>
      </c>
      <c r="O72" s="382"/>
    </row>
    <row r="73" spans="1:15" ht="27.75">
      <c r="A73" s="1543" t="s">
        <v>190</v>
      </c>
      <c r="B73" s="1544"/>
      <c r="C73" s="1545"/>
      <c r="D73" s="523" t="s">
        <v>185</v>
      </c>
      <c r="E73" s="455">
        <f>'30'!F73</f>
        <v>886012</v>
      </c>
      <c r="F73" s="520">
        <v>886013</v>
      </c>
      <c r="G73" s="473">
        <f t="shared" si="6"/>
        <v>1</v>
      </c>
      <c r="H73" s="460">
        <f>G73+'30'!H73</f>
        <v>179</v>
      </c>
      <c r="I73" s="480"/>
      <c r="J73" s="552">
        <f>H73/DAY(B2)</f>
        <v>5.774193548387097</v>
      </c>
      <c r="K73" s="430"/>
      <c r="L73" s="377"/>
      <c r="N73" s="440">
        <f>H73-'1'!E73</f>
        <v>-885793</v>
      </c>
      <c r="O73" s="382"/>
    </row>
    <row r="74" spans="1:15" ht="27.75">
      <c r="A74" s="1543" t="s">
        <v>191</v>
      </c>
      <c r="B74" s="1544"/>
      <c r="C74" s="1545"/>
      <c r="D74" s="523" t="s">
        <v>185</v>
      </c>
      <c r="E74" s="455">
        <f>'30'!F74</f>
        <v>88732</v>
      </c>
      <c r="F74" s="521">
        <v>88733</v>
      </c>
      <c r="G74" s="473">
        <f t="shared" si="6"/>
        <v>1</v>
      </c>
      <c r="H74" s="460">
        <f>G74+'30'!H74</f>
        <v>71</v>
      </c>
      <c r="I74" s="480"/>
      <c r="J74" s="552">
        <f>H74/DAY(B2)</f>
        <v>2.2903225806451615</v>
      </c>
      <c r="K74" s="431"/>
      <c r="L74" s="377"/>
      <c r="N74" s="440">
        <f>H74-'1'!E74</f>
        <v>-88625</v>
      </c>
      <c r="O74" s="382"/>
    </row>
    <row r="75" spans="1:15" ht="27.75">
      <c r="A75" s="1546" t="s">
        <v>192</v>
      </c>
      <c r="B75" s="1547"/>
      <c r="C75" s="1548"/>
      <c r="D75" s="523" t="s">
        <v>185</v>
      </c>
      <c r="E75" s="455">
        <f>'30'!F75</f>
        <v>20760</v>
      </c>
      <c r="F75" s="521">
        <v>20947</v>
      </c>
      <c r="G75" s="473">
        <f t="shared" si="6"/>
        <v>187</v>
      </c>
      <c r="H75" s="460">
        <f>G75+'30'!H75</f>
        <v>4876</v>
      </c>
      <c r="I75" s="480"/>
      <c r="J75" s="552">
        <f>H75/DAY(B2)</f>
        <v>157.29032258064515</v>
      </c>
      <c r="K75" s="430"/>
      <c r="L75" s="377"/>
      <c r="N75" s="440">
        <f>H75-'1'!E75</f>
        <v>-11195</v>
      </c>
      <c r="O75" s="382"/>
    </row>
    <row r="76" spans="1:15" ht="27.75">
      <c r="A76" s="1546" t="s">
        <v>193</v>
      </c>
      <c r="B76" s="1547"/>
      <c r="C76" s="1548"/>
      <c r="D76" s="523" t="s">
        <v>185</v>
      </c>
      <c r="E76" s="455">
        <f>'30'!F76</f>
        <v>11357</v>
      </c>
      <c r="F76" s="520">
        <v>11427</v>
      </c>
      <c r="G76" s="473">
        <f t="shared" si="6"/>
        <v>70</v>
      </c>
      <c r="H76" s="460">
        <f>G76+'30'!H76</f>
        <v>3208</v>
      </c>
      <c r="I76" s="505"/>
      <c r="J76" s="552">
        <f>H76/DAY(B2)</f>
        <v>103.48387096774194</v>
      </c>
      <c r="K76" s="430"/>
      <c r="L76" s="377"/>
      <c r="N76" s="440">
        <f>H76-'1'!E76</f>
        <v>-6128</v>
      </c>
      <c r="O76" s="382"/>
    </row>
    <row r="77" spans="1:15" ht="27.75">
      <c r="A77" s="1543" t="s">
        <v>194</v>
      </c>
      <c r="B77" s="1544"/>
      <c r="C77" s="1545"/>
      <c r="D77" s="523" t="s">
        <v>185</v>
      </c>
      <c r="E77" s="455">
        <f>'30'!F77</f>
        <v>706384</v>
      </c>
      <c r="F77" s="521">
        <v>706453</v>
      </c>
      <c r="G77" s="473">
        <f t="shared" si="6"/>
        <v>69</v>
      </c>
      <c r="H77" s="460">
        <f>G77+'30'!H77</f>
        <v>2079</v>
      </c>
      <c r="I77" s="505"/>
      <c r="J77" s="552">
        <f>H77/DAY(B2)</f>
        <v>67.064516129032256</v>
      </c>
      <c r="K77" s="430"/>
      <c r="L77" s="377"/>
      <c r="N77" s="440">
        <f>H77-'1'!E77</f>
        <v>-702295</v>
      </c>
      <c r="O77" s="382"/>
    </row>
    <row r="78" spans="1:15" ht="27.75">
      <c r="A78" s="1140" t="s">
        <v>195</v>
      </c>
      <c r="B78" s="1113"/>
      <c r="C78" s="1113"/>
      <c r="D78" s="523" t="s">
        <v>185</v>
      </c>
      <c r="E78" s="455">
        <f>'30'!F78</f>
        <v>678673</v>
      </c>
      <c r="F78" s="521">
        <v>678853</v>
      </c>
      <c r="G78" s="473">
        <f t="shared" si="6"/>
        <v>180</v>
      </c>
      <c r="H78" s="460">
        <f>G78+'30'!H78</f>
        <v>3439</v>
      </c>
      <c r="I78" s="505"/>
      <c r="J78" s="552">
        <f>H78/DAY(B2)</f>
        <v>110.93548387096774</v>
      </c>
      <c r="K78" s="430"/>
      <c r="L78" s="377"/>
      <c r="N78" s="440">
        <f>H78-'1'!E78</f>
        <v>-671975</v>
      </c>
      <c r="O78" s="382"/>
    </row>
    <row r="79" spans="1:15" ht="27.75">
      <c r="A79" s="1546" t="s">
        <v>91</v>
      </c>
      <c r="B79" s="1547"/>
      <c r="C79" s="1548"/>
      <c r="D79" s="524" t="s">
        <v>185</v>
      </c>
      <c r="E79" s="455">
        <f>'30'!F79</f>
        <v>840054</v>
      </c>
      <c r="F79" s="521">
        <v>840215</v>
      </c>
      <c r="G79" s="473">
        <f t="shared" si="6"/>
        <v>161</v>
      </c>
      <c r="H79" s="460">
        <f>G79+'30'!H79</f>
        <v>4061</v>
      </c>
      <c r="I79" s="505"/>
      <c r="J79" s="552">
        <f>H79/DAY(B2)</f>
        <v>131</v>
      </c>
      <c r="K79" s="430"/>
      <c r="L79" s="377"/>
      <c r="N79" s="440">
        <f>H79-'1'!E79</f>
        <v>-831355</v>
      </c>
      <c r="O79" s="382"/>
    </row>
    <row r="80" spans="1:15" ht="27.75">
      <c r="A80" s="1546" t="s">
        <v>196</v>
      </c>
      <c r="B80" s="1547"/>
      <c r="C80" s="1548"/>
      <c r="D80" s="524" t="s">
        <v>185</v>
      </c>
      <c r="E80" s="455">
        <f>'30'!F80</f>
        <v>551538</v>
      </c>
      <c r="F80" s="520">
        <v>551952</v>
      </c>
      <c r="G80" s="473">
        <f t="shared" si="6"/>
        <v>414</v>
      </c>
      <c r="H80" s="460">
        <f>G80+'30'!H80</f>
        <v>9561</v>
      </c>
      <c r="I80" s="505"/>
      <c r="J80" s="552">
        <f>H80/DAY(B2)</f>
        <v>308.41935483870969</v>
      </c>
      <c r="K80" s="430"/>
      <c r="L80" s="377"/>
      <c r="N80" s="440">
        <f>H80-'1'!E80</f>
        <v>-529452</v>
      </c>
      <c r="O80" s="382"/>
    </row>
    <row r="81" spans="1:15" ht="27.75">
      <c r="A81" s="1546" t="s">
        <v>197</v>
      </c>
      <c r="B81" s="1547"/>
      <c r="C81" s="1548"/>
      <c r="D81" s="524" t="s">
        <v>185</v>
      </c>
      <c r="E81" s="455">
        <f>'30'!F81</f>
        <v>648833</v>
      </c>
      <c r="F81" s="520">
        <v>649018</v>
      </c>
      <c r="G81" s="473">
        <f t="shared" si="6"/>
        <v>185</v>
      </c>
      <c r="H81" s="460">
        <f>G81+'30'!H81</f>
        <v>6033</v>
      </c>
      <c r="I81" s="505"/>
      <c r="J81" s="552">
        <f>H81/DAY(B2)</f>
        <v>194.61290322580646</v>
      </c>
      <c r="K81" s="430"/>
      <c r="L81" s="377"/>
      <c r="N81" s="440">
        <f>H81-'1'!E81</f>
        <v>-636952</v>
      </c>
      <c r="O81" s="382"/>
    </row>
    <row r="82" spans="1:15" ht="27.75">
      <c r="A82" s="1546" t="s">
        <v>92</v>
      </c>
      <c r="B82" s="1547"/>
      <c r="C82" s="1548"/>
      <c r="D82" s="485" t="s">
        <v>130</v>
      </c>
      <c r="E82" s="455">
        <f>'30'!F82</f>
        <v>109309</v>
      </c>
      <c r="F82" s="522">
        <v>109336</v>
      </c>
      <c r="G82" s="473">
        <f t="shared" si="6"/>
        <v>27</v>
      </c>
      <c r="H82" s="460">
        <f>G82+'30'!H82</f>
        <v>655</v>
      </c>
      <c r="I82" s="486"/>
      <c r="J82" s="552">
        <f>H82/DAY(B2)</f>
        <v>21.129032258064516</v>
      </c>
      <c r="K82" s="430"/>
      <c r="L82" s="377"/>
      <c r="N82" s="440">
        <f>H82-'1'!E82</f>
        <v>-108026</v>
      </c>
      <c r="O82" s="382"/>
    </row>
    <row r="83" spans="1:15" ht="27.75">
      <c r="A83" s="1546" t="s">
        <v>198</v>
      </c>
      <c r="B83" s="1547"/>
      <c r="C83" s="1548"/>
      <c r="D83" s="620" t="s">
        <v>130</v>
      </c>
      <c r="E83" s="455">
        <f>'30'!F83</f>
        <v>34708</v>
      </c>
      <c r="F83" s="511">
        <v>35025</v>
      </c>
      <c r="G83" s="473">
        <f t="shared" si="6"/>
        <v>317</v>
      </c>
      <c r="H83" s="460">
        <f>G83+'30'!H83</f>
        <v>7474</v>
      </c>
      <c r="I83" s="481"/>
      <c r="J83" s="552">
        <f>H83/DAY(B2)</f>
        <v>241.09677419354838</v>
      </c>
      <c r="K83" s="429"/>
      <c r="L83" s="377"/>
      <c r="N83" s="440">
        <f>H83-'1'!E83</f>
        <v>-20077</v>
      </c>
      <c r="O83" s="382"/>
    </row>
    <row r="84" spans="1:15" ht="29.25">
      <c r="A84" s="1141" t="s">
        <v>199</v>
      </c>
      <c r="B84" s="571"/>
      <c r="C84" s="571"/>
      <c r="D84" s="478" t="s">
        <v>130</v>
      </c>
      <c r="E84" s="455">
        <f>'30'!F84</f>
        <v>546573</v>
      </c>
      <c r="F84" s="627">
        <v>547393</v>
      </c>
      <c r="G84" s="473">
        <f t="shared" si="6"/>
        <v>820</v>
      </c>
      <c r="H84" s="460">
        <f>G84+'30'!H84</f>
        <v>24313</v>
      </c>
      <c r="I84" s="481"/>
      <c r="J84" s="552">
        <f>H84/DAY(B2)</f>
        <v>784.29032258064512</v>
      </c>
      <c r="K84" s="380"/>
      <c r="L84" s="377"/>
      <c r="N84" s="440">
        <f>H84-'1'!E84</f>
        <v>-498767</v>
      </c>
      <c r="O84" s="382"/>
    </row>
    <row r="85" spans="1:15" s="379" customFormat="1" ht="29.25">
      <c r="A85" s="605" t="s">
        <v>200</v>
      </c>
      <c r="B85" s="572"/>
      <c r="C85" s="572"/>
      <c r="D85" s="489"/>
      <c r="E85" s="523"/>
      <c r="F85" s="523"/>
      <c r="G85" s="460">
        <f xml:space="preserve"> SUM(G72:G84)</f>
        <v>2444</v>
      </c>
      <c r="H85" s="460">
        <f>G85+'30'!H85</f>
        <v>69197</v>
      </c>
      <c r="I85" s="481"/>
      <c r="J85" s="552">
        <f>H85/DAY(B2)</f>
        <v>2232.1612903225805</v>
      </c>
      <c r="K85" s="380"/>
      <c r="L85" s="378"/>
      <c r="N85" s="440">
        <f>H85-'1'!E85</f>
        <v>69197</v>
      </c>
      <c r="O85" s="382"/>
    </row>
    <row r="86" spans="1:15" s="735" customFormat="1" ht="29.25">
      <c r="A86" s="730" t="s">
        <v>93</v>
      </c>
      <c r="B86" s="731"/>
      <c r="C86" s="731"/>
      <c r="D86" s="732" t="s">
        <v>181</v>
      </c>
      <c r="E86" s="455">
        <f>'30'!F86</f>
        <v>462486</v>
      </c>
      <c r="F86" s="647">
        <v>462507</v>
      </c>
      <c r="G86" s="705">
        <f t="shared" ref="G86" si="7">F86-E86</f>
        <v>21</v>
      </c>
      <c r="H86" s="460">
        <f>G86+'30'!H86</f>
        <v>42</v>
      </c>
      <c r="I86" s="652"/>
      <c r="J86" s="707">
        <f>H86/DAY(B2)</f>
        <v>1.3548387096774193</v>
      </c>
      <c r="K86" s="733"/>
      <c r="L86" s="734"/>
      <c r="N86" s="440">
        <f>H86-'1'!E86</f>
        <v>-461779</v>
      </c>
      <c r="O86" s="713"/>
    </row>
    <row r="87" spans="1:15" s="735" customFormat="1" ht="29.25">
      <c r="A87" s="730" t="s">
        <v>94</v>
      </c>
      <c r="B87" s="731"/>
      <c r="C87" s="731"/>
      <c r="D87" s="732" t="s">
        <v>181</v>
      </c>
      <c r="E87" s="455">
        <f>'30'!F87</f>
        <v>82928</v>
      </c>
      <c r="F87" s="647">
        <v>82954</v>
      </c>
      <c r="G87" s="705">
        <f t="shared" ref="G87:G91" si="8">F87-E87</f>
        <v>26</v>
      </c>
      <c r="H87" s="460">
        <f>G87+'30'!H87</f>
        <v>97</v>
      </c>
      <c r="I87" s="652"/>
      <c r="J87" s="707">
        <f>H87/DAY(B2)</f>
        <v>3.129032258064516</v>
      </c>
      <c r="K87" s="733"/>
      <c r="L87" s="734"/>
      <c r="N87" s="440">
        <f>H87-'1'!E87</f>
        <v>-81976</v>
      </c>
      <c r="O87" s="713"/>
    </row>
    <row r="88" spans="1:15" s="735" customFormat="1" ht="29.25">
      <c r="A88" s="730" t="s">
        <v>95</v>
      </c>
      <c r="B88" s="731"/>
      <c r="C88" s="731"/>
      <c r="D88" s="732" t="s">
        <v>181</v>
      </c>
      <c r="E88" s="455">
        <f>'30'!F88</f>
        <v>158202</v>
      </c>
      <c r="F88" s="647">
        <v>158212</v>
      </c>
      <c r="G88" s="705">
        <f t="shared" si="8"/>
        <v>10</v>
      </c>
      <c r="H88" s="460">
        <f>G88+'30'!H88</f>
        <v>53</v>
      </c>
      <c r="I88" s="652"/>
      <c r="J88" s="707">
        <f>H88/DAY(B2)</f>
        <v>1.7096774193548387</v>
      </c>
      <c r="K88" s="733"/>
      <c r="L88" s="734"/>
      <c r="N88" s="440">
        <f>H88-'1'!E88</f>
        <v>-155270</v>
      </c>
      <c r="O88" s="713"/>
    </row>
    <row r="89" spans="1:15" s="735" customFormat="1" ht="29.25">
      <c r="A89" s="730" t="s">
        <v>202</v>
      </c>
      <c r="B89" s="731"/>
      <c r="C89" s="731"/>
      <c r="D89" s="732" t="s">
        <v>181</v>
      </c>
      <c r="E89" s="455">
        <f>'30'!F89</f>
        <v>67055</v>
      </c>
      <c r="F89" s="647">
        <v>67089</v>
      </c>
      <c r="G89" s="705">
        <f t="shared" si="8"/>
        <v>34</v>
      </c>
      <c r="H89" s="460">
        <f>G89+'30'!H89</f>
        <v>155</v>
      </c>
      <c r="I89" s="652"/>
      <c r="J89" s="707">
        <f>H89/DAY(B2)</f>
        <v>5</v>
      </c>
      <c r="K89" s="733"/>
      <c r="L89" s="734"/>
      <c r="N89" s="440">
        <f>H89-'1'!E89</f>
        <v>-65691</v>
      </c>
      <c r="O89" s="382"/>
    </row>
    <row r="90" spans="1:15" s="735" customFormat="1" ht="29.25">
      <c r="A90" s="730" t="s">
        <v>202</v>
      </c>
      <c r="B90" s="731"/>
      <c r="C90" s="731"/>
      <c r="D90" s="732" t="s">
        <v>181</v>
      </c>
      <c r="E90" s="455">
        <f>'30'!F90</f>
        <v>3460</v>
      </c>
      <c r="F90" s="647">
        <v>3462</v>
      </c>
      <c r="G90" s="705">
        <f t="shared" si="8"/>
        <v>2</v>
      </c>
      <c r="H90" s="460">
        <f>G90+'30'!H90</f>
        <v>12</v>
      </c>
      <c r="I90" s="652"/>
      <c r="J90" s="707">
        <f>H90/DAY(B2)</f>
        <v>0.38709677419354838</v>
      </c>
      <c r="K90" s="733"/>
      <c r="L90" s="734"/>
      <c r="N90" s="440">
        <f>H90-'1'!E90</f>
        <v>-3332</v>
      </c>
      <c r="O90" s="382"/>
    </row>
    <row r="91" spans="1:15" s="735" customFormat="1" ht="29.25">
      <c r="A91" s="730" t="s">
        <v>346</v>
      </c>
      <c r="B91" s="731"/>
      <c r="C91" s="731"/>
      <c r="D91" s="732"/>
      <c r="E91" s="455">
        <f>'30'!F91</f>
        <v>28493</v>
      </c>
      <c r="F91" s="647">
        <v>28500</v>
      </c>
      <c r="G91" s="705">
        <f t="shared" si="8"/>
        <v>7</v>
      </c>
      <c r="H91" s="460">
        <f>G91+'30'!H91</f>
        <v>26</v>
      </c>
      <c r="I91" s="652"/>
      <c r="J91" s="707">
        <f>H91/DAY(B2)</f>
        <v>0.83870967741935487</v>
      </c>
      <c r="K91" s="733"/>
      <c r="L91" s="734"/>
      <c r="N91" s="777"/>
      <c r="O91" s="382"/>
    </row>
    <row r="92" spans="1:15" s="379" customFormat="1" ht="29.25">
      <c r="A92" s="606" t="s">
        <v>203</v>
      </c>
      <c r="B92" s="1143"/>
      <c r="C92" s="1143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62" t="s">
        <v>204</v>
      </c>
      <c r="B93" s="1563"/>
      <c r="C93" s="1564"/>
      <c r="D93" s="523" t="s">
        <v>142</v>
      </c>
      <c r="E93" s="455">
        <f>'30'!F93</f>
        <v>250211</v>
      </c>
      <c r="F93" s="484">
        <v>250314</v>
      </c>
      <c r="G93" s="473">
        <f t="shared" ref="G93:G94" si="9">F93-E93</f>
        <v>103</v>
      </c>
      <c r="H93" s="460">
        <f>G93+'30'!H93</f>
        <v>2962</v>
      </c>
      <c r="I93" s="480"/>
      <c r="J93" s="552">
        <f>H93/DAY(B2)</f>
        <v>95.548387096774192</v>
      </c>
      <c r="K93" s="429"/>
      <c r="L93" s="377"/>
      <c r="N93" s="440">
        <f>H93-'1'!E93</f>
        <v>-244390</v>
      </c>
      <c r="O93" s="382"/>
    </row>
    <row r="94" spans="1:15" ht="27.75">
      <c r="A94" s="1562" t="s">
        <v>205</v>
      </c>
      <c r="B94" s="1563"/>
      <c r="C94" s="1564"/>
      <c r="D94" s="523" t="s">
        <v>142</v>
      </c>
      <c r="E94" s="455">
        <f>'30'!F94</f>
        <v>192795</v>
      </c>
      <c r="F94" s="484">
        <v>192898</v>
      </c>
      <c r="G94" s="473">
        <f t="shared" si="9"/>
        <v>103</v>
      </c>
      <c r="H94" s="460">
        <f>G94+'30'!H94</f>
        <v>3444</v>
      </c>
      <c r="I94" s="480"/>
      <c r="J94" s="552">
        <f>H94/DAY(B2)</f>
        <v>111.09677419354838</v>
      </c>
      <c r="K94" s="380"/>
      <c r="L94" s="377"/>
      <c r="N94" s="440">
        <f>H94-'1'!E94</f>
        <v>-186010</v>
      </c>
      <c r="O94" s="382"/>
    </row>
    <row r="95" spans="1:15" ht="29.25">
      <c r="A95" s="1594" t="s">
        <v>206</v>
      </c>
      <c r="B95" s="1595"/>
      <c r="C95" s="1596"/>
      <c r="D95" s="523"/>
      <c r="E95" s="484"/>
      <c r="F95" s="484"/>
      <c r="G95" s="473">
        <f>G93+G94</f>
        <v>206</v>
      </c>
      <c r="H95" s="460">
        <f>G95+'30'!H95</f>
        <v>6220</v>
      </c>
      <c r="I95" s="480"/>
      <c r="J95" s="552">
        <f>H95/DAY(B2)</f>
        <v>200.64516129032259</v>
      </c>
      <c r="K95" s="380"/>
      <c r="L95" s="377"/>
      <c r="N95" s="440">
        <f>H95-'1'!E95</f>
        <v>6220</v>
      </c>
      <c r="O95" s="382"/>
    </row>
    <row r="96" spans="1:15" ht="27.75">
      <c r="A96" s="1562" t="s">
        <v>207</v>
      </c>
      <c r="B96" s="1563"/>
      <c r="C96" s="1564"/>
      <c r="D96" s="523" t="s">
        <v>142</v>
      </c>
      <c r="E96" s="455">
        <f>'30'!F96</f>
        <v>418456</v>
      </c>
      <c r="F96" s="484">
        <v>418536</v>
      </c>
      <c r="G96" s="473">
        <f t="shared" ref="G96:G101" si="10">F96-E96</f>
        <v>80</v>
      </c>
      <c r="H96" s="460">
        <f>G96+'30'!H96</f>
        <v>2537</v>
      </c>
      <c r="I96" s="480"/>
      <c r="J96" s="552">
        <f>H96/DAY(B2)</f>
        <v>81.838709677419359</v>
      </c>
      <c r="K96" s="380"/>
      <c r="L96" s="377"/>
      <c r="N96" s="440">
        <f>H96-'1'!E96</f>
        <v>-413462</v>
      </c>
      <c r="O96" s="382"/>
    </row>
    <row r="97" spans="1:15" ht="27.75">
      <c r="A97" s="1137" t="s">
        <v>208</v>
      </c>
      <c r="B97" s="1138"/>
      <c r="C97" s="1138"/>
      <c r="D97" s="523" t="s">
        <v>142</v>
      </c>
      <c r="E97" s="455">
        <f>'30'!F97</f>
        <v>103825</v>
      </c>
      <c r="F97" s="484">
        <v>103849</v>
      </c>
      <c r="G97" s="473">
        <f t="shared" si="10"/>
        <v>24</v>
      </c>
      <c r="H97" s="460">
        <f>G97+'30'!H97</f>
        <v>686</v>
      </c>
      <c r="I97" s="480"/>
      <c r="J97" s="552">
        <f>H97/DAY(B2)</f>
        <v>22.129032258064516</v>
      </c>
      <c r="K97" s="427"/>
      <c r="L97" s="377"/>
      <c r="N97" s="440">
        <f>H97-'1'!E97</f>
        <v>-102477</v>
      </c>
      <c r="O97" s="382"/>
    </row>
    <row r="98" spans="1:15" ht="27.75">
      <c r="A98" s="1137" t="s">
        <v>209</v>
      </c>
      <c r="B98" s="1138"/>
      <c r="C98" s="1138"/>
      <c r="D98" s="523" t="s">
        <v>142</v>
      </c>
      <c r="E98" s="455">
        <f>'30'!F98</f>
        <v>99417</v>
      </c>
      <c r="F98" s="484">
        <v>99448</v>
      </c>
      <c r="G98" s="473">
        <f t="shared" si="10"/>
        <v>31</v>
      </c>
      <c r="H98" s="460">
        <f>G98+'30'!H98</f>
        <v>791</v>
      </c>
      <c r="I98" s="480"/>
      <c r="J98" s="552">
        <f>H98/DAY(B2)</f>
        <v>25.516129032258064</v>
      </c>
      <c r="K98" s="432"/>
      <c r="L98" s="377"/>
      <c r="N98" s="440">
        <f>H98-'1'!E98</f>
        <v>-97866</v>
      </c>
      <c r="O98" s="382"/>
    </row>
    <row r="99" spans="1:15" ht="27.75">
      <c r="A99" s="1137" t="s">
        <v>210</v>
      </c>
      <c r="B99" s="1138"/>
      <c r="C99" s="1138"/>
      <c r="D99" s="523" t="s">
        <v>142</v>
      </c>
      <c r="E99" s="455">
        <f>'30'!F99</f>
        <v>151236</v>
      </c>
      <c r="F99" s="484">
        <v>151251</v>
      </c>
      <c r="G99" s="473">
        <f t="shared" si="10"/>
        <v>15</v>
      </c>
      <c r="H99" s="460">
        <f>G99+'30'!H99</f>
        <v>846</v>
      </c>
      <c r="I99" s="480"/>
      <c r="J99" s="552">
        <f>H99/DAY(B2)</f>
        <v>27.29032258064516</v>
      </c>
      <c r="K99" s="380"/>
      <c r="L99" s="377"/>
      <c r="N99" s="440">
        <f>H99-'1'!E99</f>
        <v>-149559</v>
      </c>
      <c r="O99" s="382"/>
    </row>
    <row r="100" spans="1:15" ht="27.75">
      <c r="A100" s="1137" t="s">
        <v>211</v>
      </c>
      <c r="B100" s="1138"/>
      <c r="C100" s="1138"/>
      <c r="D100" s="523" t="s">
        <v>142</v>
      </c>
      <c r="E100" s="455">
        <f>'30'!F100</f>
        <v>8146</v>
      </c>
      <c r="F100" s="484">
        <v>8165</v>
      </c>
      <c r="G100" s="473">
        <f t="shared" si="10"/>
        <v>19</v>
      </c>
      <c r="H100" s="460">
        <f>G100+'30'!H100</f>
        <v>368</v>
      </c>
      <c r="I100" s="480"/>
      <c r="J100" s="552">
        <f>H100/DAY(B2)</f>
        <v>11.870967741935484</v>
      </c>
      <c r="K100" s="380"/>
      <c r="L100" s="377"/>
      <c r="N100" s="440">
        <f>H100-'1'!E100</f>
        <v>-7429</v>
      </c>
      <c r="O100" s="382"/>
    </row>
    <row r="101" spans="1:15" ht="27.75">
      <c r="A101" s="1137" t="s">
        <v>212</v>
      </c>
      <c r="B101" s="1138"/>
      <c r="C101" s="1138"/>
      <c r="D101" s="523" t="s">
        <v>142</v>
      </c>
      <c r="E101" s="455">
        <f>'30'!F101</f>
        <v>5977</v>
      </c>
      <c r="F101" s="484">
        <v>5991</v>
      </c>
      <c r="G101" s="473">
        <f t="shared" si="10"/>
        <v>14</v>
      </c>
      <c r="H101" s="460">
        <f>G101+'30'!H101</f>
        <v>317</v>
      </c>
      <c r="I101" s="480"/>
      <c r="J101" s="552">
        <f>H101/DAY(B2)</f>
        <v>10.225806451612904</v>
      </c>
      <c r="K101" s="380"/>
      <c r="L101" s="377"/>
      <c r="N101" s="440">
        <f>H101-'1'!E101</f>
        <v>-5357</v>
      </c>
      <c r="O101" s="382"/>
    </row>
    <row r="102" spans="1:15" ht="29.25">
      <c r="A102" s="1594" t="s">
        <v>214</v>
      </c>
      <c r="B102" s="1595"/>
      <c r="C102" s="1596"/>
      <c r="D102" s="524"/>
      <c r="E102" s="524"/>
      <c r="F102" s="524"/>
      <c r="G102" s="525">
        <f>SUM(G96:G101)</f>
        <v>183</v>
      </c>
      <c r="H102" s="460">
        <f>G102+'30'!H102</f>
        <v>5545</v>
      </c>
      <c r="I102" s="526"/>
      <c r="J102" s="552">
        <f>H102/DAY(B2)</f>
        <v>178.87096774193549</v>
      </c>
      <c r="K102" s="380"/>
      <c r="L102" s="377"/>
      <c r="N102" s="440">
        <f>H102-'1'!E102</f>
        <v>5545</v>
      </c>
      <c r="O102" s="382"/>
    </row>
    <row r="103" spans="1:15" s="442" customFormat="1" ht="27">
      <c r="A103" s="607" t="s">
        <v>215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97" t="s">
        <v>216</v>
      </c>
      <c r="B104" s="1598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54" t="s">
        <v>217</v>
      </c>
      <c r="B105" s="1555"/>
      <c r="C105" s="1135"/>
      <c r="D105" s="622" t="s">
        <v>142</v>
      </c>
      <c r="E105" s="532">
        <f>'30'!F105</f>
        <v>7637</v>
      </c>
      <c r="F105" s="532">
        <v>7637</v>
      </c>
      <c r="G105" s="532">
        <f>F105-E105</f>
        <v>0</v>
      </c>
      <c r="H105" s="460">
        <f>G105+'30'!H105</f>
        <v>69.3799999999992</v>
      </c>
      <c r="I105" s="532"/>
      <c r="J105" s="558">
        <f>H105/DAY(B2)</f>
        <v>2.2380645161290063</v>
      </c>
      <c r="N105" s="440">
        <f>H105-'1'!E105</f>
        <v>-7567.6200000000008</v>
      </c>
      <c r="O105" s="382"/>
    </row>
    <row r="106" spans="1:15" s="442" customFormat="1" ht="27.75">
      <c r="A106" s="1554" t="s">
        <v>76</v>
      </c>
      <c r="B106" s="1555"/>
      <c r="C106" s="1135"/>
      <c r="D106" s="622" t="s">
        <v>142</v>
      </c>
      <c r="E106" s="532">
        <f>'30'!F106</f>
        <v>36451</v>
      </c>
      <c r="F106" s="534">
        <v>36460</v>
      </c>
      <c r="G106" s="532">
        <f t="shared" ref="G106:G107" si="11">F106-E106</f>
        <v>9</v>
      </c>
      <c r="H106" s="460">
        <f>G106+'30'!H106</f>
        <v>81</v>
      </c>
      <c r="I106" s="532"/>
      <c r="J106" s="558">
        <f>H106/DAY(B2)</f>
        <v>2.6129032258064515</v>
      </c>
      <c r="N106" s="440">
        <f>H106-'1'!E106</f>
        <v>-36081</v>
      </c>
      <c r="O106" s="382"/>
    </row>
    <row r="107" spans="1:15" s="442" customFormat="1" ht="27.75">
      <c r="A107" s="1554" t="s">
        <v>77</v>
      </c>
      <c r="B107" s="1599"/>
      <c r="C107" s="1555"/>
      <c r="D107" s="622" t="s">
        <v>142</v>
      </c>
      <c r="E107" s="532">
        <f>'30'!F107</f>
        <v>19957</v>
      </c>
      <c r="F107" s="532">
        <v>19963</v>
      </c>
      <c r="G107" s="532">
        <f t="shared" si="11"/>
        <v>6</v>
      </c>
      <c r="H107" s="460">
        <f>G107+'30'!H107</f>
        <v>131</v>
      </c>
      <c r="I107" s="532"/>
      <c r="J107" s="558">
        <f>H107/DAY(B2)</f>
        <v>4.225806451612903</v>
      </c>
      <c r="N107" s="440">
        <f>H107-'1'!E107</f>
        <v>-19691</v>
      </c>
      <c r="O107" s="382"/>
    </row>
    <row r="108" spans="1:15" s="442" customFormat="1" ht="27.75">
      <c r="A108" s="1556" t="s">
        <v>200</v>
      </c>
      <c r="B108" s="1557"/>
      <c r="C108" s="1135"/>
      <c r="D108" s="622"/>
      <c r="E108" s="532"/>
      <c r="F108" s="532"/>
      <c r="G108" s="532">
        <f>SUM(G105:G107)</f>
        <v>15</v>
      </c>
      <c r="H108" s="460">
        <f>G108+'30'!H108</f>
        <v>198</v>
      </c>
      <c r="I108" s="532"/>
      <c r="J108" s="558">
        <f>H108/DAY(B2)</f>
        <v>6.387096774193548</v>
      </c>
      <c r="N108" s="440">
        <f>H108-'1'!E108</f>
        <v>198</v>
      </c>
      <c r="O108" s="382"/>
    </row>
    <row r="109" spans="1:15" s="442" customFormat="1" ht="27.75">
      <c r="A109" s="1560" t="s">
        <v>78</v>
      </c>
      <c r="B109" s="1561"/>
      <c r="C109" s="1135"/>
      <c r="D109" s="622" t="s">
        <v>142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54" t="s">
        <v>218</v>
      </c>
      <c r="B110" s="1555"/>
      <c r="C110" s="1135"/>
      <c r="D110" s="622" t="s">
        <v>142</v>
      </c>
      <c r="E110" s="532">
        <f>'30'!F110</f>
        <v>67021</v>
      </c>
      <c r="F110" s="532">
        <v>67103</v>
      </c>
      <c r="G110" s="532">
        <f>F110-E110</f>
        <v>82</v>
      </c>
      <c r="H110" s="460">
        <f>G110+'30'!H110</f>
        <v>369.64000000001397</v>
      </c>
      <c r="I110" s="532"/>
      <c r="J110" s="558">
        <f>H110/DAY(B2)</f>
        <v>11.923870967742387</v>
      </c>
      <c r="N110" s="440">
        <f>H110-'1'!E110</f>
        <v>-64473.359999999986</v>
      </c>
      <c r="O110" s="382"/>
    </row>
    <row r="111" spans="1:15" s="442" customFormat="1" ht="27.75">
      <c r="A111" s="1554" t="s">
        <v>219</v>
      </c>
      <c r="B111" s="1555"/>
      <c r="C111" s="1135"/>
      <c r="D111" s="622" t="s">
        <v>142</v>
      </c>
      <c r="E111" s="532">
        <f>'30'!F111</f>
        <v>33886</v>
      </c>
      <c r="F111" s="532">
        <v>33886</v>
      </c>
      <c r="G111" s="532">
        <f t="shared" ref="G111:G112" si="12">F111-E111</f>
        <v>0</v>
      </c>
      <c r="H111" s="460">
        <f>G111+'30'!H111</f>
        <v>24.899999999994179</v>
      </c>
      <c r="I111" s="532"/>
      <c r="J111" s="558">
        <f>H111/DAY(B2)</f>
        <v>0.80322580645142516</v>
      </c>
      <c r="N111" s="440">
        <f>H111-'1'!E111</f>
        <v>-33104.100000000006</v>
      </c>
      <c r="O111" s="382"/>
    </row>
    <row r="112" spans="1:15" s="442" customFormat="1" ht="27.75">
      <c r="A112" s="1554" t="s">
        <v>220</v>
      </c>
      <c r="B112" s="1555"/>
      <c r="C112" s="1135"/>
      <c r="D112" s="622" t="s">
        <v>142</v>
      </c>
      <c r="E112" s="532">
        <f>'30'!F112</f>
        <v>4622</v>
      </c>
      <c r="F112" s="532">
        <v>4622</v>
      </c>
      <c r="G112" s="532">
        <f t="shared" si="12"/>
        <v>0</v>
      </c>
      <c r="H112" s="460">
        <f>G112+'30'!H112</f>
        <v>351</v>
      </c>
      <c r="I112" s="532"/>
      <c r="J112" s="558">
        <f>H112/DAY(B2)</f>
        <v>11.32258064516129</v>
      </c>
      <c r="N112" s="440">
        <f>H112-'1'!E112</f>
        <v>-4270</v>
      </c>
      <c r="O112" s="382"/>
    </row>
    <row r="113" spans="1:15" s="442" customFormat="1" ht="27.75">
      <c r="A113" s="1558" t="s">
        <v>109</v>
      </c>
      <c r="B113" s="1559"/>
      <c r="C113" s="1135"/>
      <c r="D113" s="622"/>
      <c r="E113" s="532"/>
      <c r="F113" s="532"/>
      <c r="G113" s="532">
        <f>SUM(G110:G112)</f>
        <v>82</v>
      </c>
      <c r="H113" s="460">
        <f>G113+'30'!H113</f>
        <v>1054</v>
      </c>
      <c r="I113" s="532"/>
      <c r="J113" s="558">
        <f>H113/DAY(B2)</f>
        <v>34</v>
      </c>
      <c r="N113" s="440">
        <f>H113-'1'!E113</f>
        <v>1054</v>
      </c>
      <c r="O113" s="382"/>
    </row>
    <row r="114" spans="1:15" s="442" customFormat="1" ht="27.75">
      <c r="A114" s="1560" t="s">
        <v>221</v>
      </c>
      <c r="B114" s="1561"/>
      <c r="C114" s="1135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54" t="s">
        <v>222</v>
      </c>
      <c r="B115" s="1555"/>
      <c r="C115" s="574"/>
      <c r="D115" s="622" t="s">
        <v>142</v>
      </c>
      <c r="E115" s="532">
        <f>'30'!F115</f>
        <v>12442</v>
      </c>
      <c r="F115" s="534">
        <v>12465</v>
      </c>
      <c r="G115" s="534">
        <f>F115-E115</f>
        <v>23</v>
      </c>
      <c r="H115" s="460">
        <f>G115+'30'!H115</f>
        <v>51</v>
      </c>
      <c r="I115" s="532"/>
      <c r="J115" s="558">
        <f>H115/DAY(B2)</f>
        <v>1.6451612903225807</v>
      </c>
      <c r="N115" s="440">
        <f>H115-'1'!E115</f>
        <v>-11962</v>
      </c>
      <c r="O115" s="382"/>
    </row>
    <row r="116" spans="1:15" s="442" customFormat="1" ht="27.75">
      <c r="A116" s="1554" t="s">
        <v>223</v>
      </c>
      <c r="B116" s="1555"/>
      <c r="C116" s="574"/>
      <c r="D116" s="622" t="s">
        <v>142</v>
      </c>
      <c r="E116" s="532">
        <f>'30'!F116</f>
        <v>8811</v>
      </c>
      <c r="F116" s="534">
        <v>8820</v>
      </c>
      <c r="G116" s="534">
        <f t="shared" ref="G116:G117" si="13">F116-E116</f>
        <v>9</v>
      </c>
      <c r="H116" s="460">
        <f>G116+'30'!H116</f>
        <v>115</v>
      </c>
      <c r="I116" s="532"/>
      <c r="J116" s="558">
        <f>H116/DAY(B2)</f>
        <v>3.7096774193548385</v>
      </c>
      <c r="N116" s="440">
        <f>H116-'1'!E116</f>
        <v>-8440</v>
      </c>
      <c r="O116" s="382"/>
    </row>
    <row r="117" spans="1:15" s="442" customFormat="1" ht="27.75">
      <c r="A117" s="1554" t="s">
        <v>224</v>
      </c>
      <c r="B117" s="1555"/>
      <c r="C117" s="574"/>
      <c r="D117" s="622" t="s">
        <v>142</v>
      </c>
      <c r="E117" s="534"/>
      <c r="F117" s="534"/>
      <c r="G117" s="534">
        <f t="shared" si="13"/>
        <v>0</v>
      </c>
      <c r="H117" s="460">
        <f>G117+'30'!H117</f>
        <v>97</v>
      </c>
      <c r="I117" s="532"/>
      <c r="J117" s="558">
        <f>H117/DAY(B2)</f>
        <v>3.129032258064516</v>
      </c>
      <c r="N117" s="440">
        <f>H117-'1'!E117</f>
        <v>97</v>
      </c>
      <c r="O117" s="382"/>
    </row>
    <row r="118" spans="1:15" s="445" customFormat="1" ht="27.75">
      <c r="A118" s="1556" t="s">
        <v>200</v>
      </c>
      <c r="B118" s="1557"/>
      <c r="C118" s="574"/>
      <c r="D118" s="623"/>
      <c r="E118" s="534"/>
      <c r="F118" s="534"/>
      <c r="G118" s="534">
        <f>SUM(G115:G117)</f>
        <v>32</v>
      </c>
      <c r="H118" s="460">
        <f>G118+'30'!H118</f>
        <v>163</v>
      </c>
      <c r="I118" s="534"/>
      <c r="J118" s="558">
        <f>H118/DAY(B2)</f>
        <v>5.258064516129032</v>
      </c>
      <c r="N118" s="440">
        <f>H118-'1'!E118</f>
        <v>163</v>
      </c>
      <c r="O118" s="382"/>
    </row>
    <row r="119" spans="1:15" s="446" customFormat="1" ht="27.75">
      <c r="A119" s="1550" t="s">
        <v>225</v>
      </c>
      <c r="B119" s="1551"/>
      <c r="C119" s="1134"/>
      <c r="D119" s="624" t="s">
        <v>142</v>
      </c>
      <c r="E119" s="536"/>
      <c r="F119" s="536"/>
      <c r="G119" s="536">
        <f>SUM(G19+G93)</f>
        <v>166</v>
      </c>
      <c r="H119" s="460">
        <f>G119+'30'!H119</f>
        <v>461</v>
      </c>
      <c r="I119" s="535"/>
      <c r="J119" s="559">
        <f>H119/DAY(B2)</f>
        <v>14.870967741935484</v>
      </c>
      <c r="N119" s="440">
        <f>H119-'1'!E119</f>
        <v>461</v>
      </c>
      <c r="O119" s="382"/>
    </row>
    <row r="120" spans="1:15" s="446" customFormat="1" ht="27.75">
      <c r="A120" s="1550" t="s">
        <v>226</v>
      </c>
      <c r="B120" s="1551"/>
      <c r="C120" s="1134"/>
      <c r="D120" s="624" t="s">
        <v>142</v>
      </c>
      <c r="E120" s="536"/>
      <c r="F120" s="536"/>
      <c r="G120" s="536">
        <f>SUM(G96,G97,G98,G100,G101)</f>
        <v>168</v>
      </c>
      <c r="H120" s="460">
        <f>G120+'30'!H120</f>
        <v>496</v>
      </c>
      <c r="I120" s="535"/>
      <c r="J120" s="559">
        <f>H120/DAY(B2)</f>
        <v>16</v>
      </c>
      <c r="N120" s="440">
        <f>H120-'1'!E120</f>
        <v>496</v>
      </c>
      <c r="O120" s="382"/>
    </row>
    <row r="121" spans="1:15" s="446" customFormat="1" ht="27.75">
      <c r="A121" s="1550" t="s">
        <v>227</v>
      </c>
      <c r="B121" s="1551"/>
      <c r="C121" s="1134"/>
      <c r="D121" s="624" t="s">
        <v>142</v>
      </c>
      <c r="E121" s="534"/>
      <c r="F121" s="534"/>
      <c r="G121" s="534">
        <f>SUM(G113)</f>
        <v>82</v>
      </c>
      <c r="H121" s="460">
        <f>G121+'30'!H121</f>
        <v>243</v>
      </c>
      <c r="I121" s="535"/>
      <c r="J121" s="559">
        <f>H121/DAY(B2)</f>
        <v>7.838709677419355</v>
      </c>
      <c r="N121" s="440">
        <f>H121-'1'!E121</f>
        <v>243</v>
      </c>
      <c r="O121" s="382"/>
    </row>
    <row r="122" spans="1:15" s="442" customFormat="1" ht="27.75">
      <c r="A122" s="1552"/>
      <c r="B122" s="1553"/>
      <c r="C122" s="1135"/>
      <c r="D122" s="560"/>
      <c r="E122" s="560" t="s">
        <v>213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91" t="s">
        <v>228</v>
      </c>
      <c r="B123" s="1592"/>
      <c r="C123" s="1593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37" t="s">
        <v>229</v>
      </c>
      <c r="B124" s="1138"/>
      <c r="C124" s="1138"/>
      <c r="D124" s="523" t="s">
        <v>139</v>
      </c>
      <c r="E124" s="455">
        <f>'30'!F124</f>
        <v>847607</v>
      </c>
      <c r="F124" s="478">
        <v>847966</v>
      </c>
      <c r="G124" s="473">
        <f t="shared" ref="G124:G128" si="14">F124-E124</f>
        <v>359</v>
      </c>
      <c r="H124" s="460">
        <f>G124+'30'!H124</f>
        <v>8296</v>
      </c>
      <c r="I124" s="526"/>
      <c r="J124" s="552">
        <f>H124/DAY(B2)</f>
        <v>267.61290322580646</v>
      </c>
      <c r="K124" s="380"/>
      <c r="L124" s="377"/>
      <c r="N124" s="440">
        <f>H124-'1'!E124</f>
        <v>-831374</v>
      </c>
      <c r="O124" s="382"/>
    </row>
    <row r="125" spans="1:15" ht="27.75">
      <c r="A125" s="1137" t="s">
        <v>230</v>
      </c>
      <c r="B125" s="1138"/>
      <c r="C125" s="1138"/>
      <c r="D125" s="523" t="s">
        <v>139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43" t="s">
        <v>231</v>
      </c>
      <c r="B126" s="1544"/>
      <c r="C126" s="1545"/>
      <c r="D126" s="523" t="s">
        <v>139</v>
      </c>
      <c r="E126" s="455">
        <f>'30'!F126</f>
        <v>151229</v>
      </c>
      <c r="F126" s="478">
        <v>151321</v>
      </c>
      <c r="G126" s="473">
        <f t="shared" si="14"/>
        <v>92</v>
      </c>
      <c r="H126" s="460">
        <f>G126+'30'!H126</f>
        <v>2724</v>
      </c>
      <c r="I126" s="526"/>
      <c r="J126" s="552">
        <f>H126/DAY(B2)</f>
        <v>87.870967741935488</v>
      </c>
      <c r="K126" s="380"/>
      <c r="L126" s="377"/>
      <c r="N126" s="440">
        <f>H126-'1'!E126</f>
        <v>-145873</v>
      </c>
      <c r="O126" s="382"/>
    </row>
    <row r="127" spans="1:15" ht="27.75">
      <c r="A127" s="609" t="s">
        <v>232</v>
      </c>
      <c r="B127" s="1138"/>
      <c r="C127" s="1138"/>
      <c r="D127" s="523" t="s">
        <v>139</v>
      </c>
      <c r="E127" s="455">
        <f>'30'!F127</f>
        <v>33245</v>
      </c>
      <c r="F127" s="626">
        <v>33288</v>
      </c>
      <c r="G127" s="473">
        <f t="shared" si="14"/>
        <v>43</v>
      </c>
      <c r="H127" s="460">
        <f>G127+'30'!H127</f>
        <v>1217</v>
      </c>
      <c r="I127" s="526"/>
      <c r="J127" s="552">
        <f>H127/DAY(B2)</f>
        <v>39.258064516129032</v>
      </c>
      <c r="K127" s="380"/>
      <c r="L127" s="377"/>
      <c r="N127" s="440">
        <f>H127-'1'!E127</f>
        <v>-30854</v>
      </c>
      <c r="O127" s="382"/>
    </row>
    <row r="128" spans="1:15" ht="27.75">
      <c r="A128" s="609" t="s">
        <v>233</v>
      </c>
      <c r="B128" s="1138"/>
      <c r="C128" s="1138"/>
      <c r="D128" s="523" t="s">
        <v>139</v>
      </c>
      <c r="E128" s="455">
        <f>'30'!F128</f>
        <v>9109</v>
      </c>
      <c r="F128" s="626">
        <v>9113</v>
      </c>
      <c r="G128" s="473">
        <f t="shared" si="14"/>
        <v>4</v>
      </c>
      <c r="H128" s="460">
        <f>G128+'30'!H128</f>
        <v>101</v>
      </c>
      <c r="I128" s="480"/>
      <c r="J128" s="552">
        <f>H128/DAY(B2)</f>
        <v>3.2580645161290325</v>
      </c>
      <c r="K128" s="380"/>
      <c r="L128" s="377"/>
      <c r="N128" s="440">
        <f>H128-'1'!E128</f>
        <v>-8911</v>
      </c>
      <c r="O128" s="382"/>
    </row>
    <row r="129" spans="1:15" s="281" customFormat="1" ht="27.75">
      <c r="A129" s="609" t="s">
        <v>234</v>
      </c>
      <c r="B129" s="1138"/>
      <c r="C129" s="1138"/>
      <c r="D129" s="523"/>
      <c r="E129" s="478"/>
      <c r="F129" s="478"/>
      <c r="G129" s="473">
        <f>G15-SUM(G124:G128)</f>
        <v>430</v>
      </c>
      <c r="H129" s="460">
        <f>G129+'30'!H129</f>
        <v>430</v>
      </c>
      <c r="I129" s="480"/>
      <c r="J129" s="552"/>
      <c r="K129" s="364"/>
      <c r="L129" s="292"/>
      <c r="N129" s="440">
        <f>H129-'1'!E129</f>
        <v>430</v>
      </c>
      <c r="O129" s="382"/>
    </row>
    <row r="130" spans="1:15" ht="29.25">
      <c r="A130" s="610" t="s">
        <v>235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37" t="s">
        <v>236</v>
      </c>
      <c r="B131" s="1138"/>
      <c r="C131" s="1138"/>
      <c r="D131" s="523" t="s">
        <v>237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37" t="s">
        <v>238</v>
      </c>
      <c r="B132" s="1138"/>
      <c r="C132" s="1138"/>
      <c r="D132" s="523" t="s">
        <v>237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37" t="s">
        <v>239</v>
      </c>
      <c r="B133" s="1138"/>
      <c r="C133" s="1138"/>
      <c r="D133" s="523" t="s">
        <v>237</v>
      </c>
      <c r="E133" s="541">
        <v>40619</v>
      </c>
      <c r="F133" s="541">
        <v>40619</v>
      </c>
      <c r="G133" s="473">
        <f t="shared" si="15"/>
        <v>0</v>
      </c>
      <c r="H133" s="460">
        <f>G133+'30'!H133</f>
        <v>166</v>
      </c>
      <c r="I133" s="480"/>
      <c r="J133" s="552">
        <f>H133/DAY(B2)</f>
        <v>5.354838709677419</v>
      </c>
      <c r="O133" s="382"/>
    </row>
    <row r="134" spans="1:15" ht="27.75">
      <c r="A134" s="1137" t="s">
        <v>240</v>
      </c>
      <c r="B134" s="1138"/>
      <c r="C134" s="1138"/>
      <c r="D134" s="523" t="s">
        <v>237</v>
      </c>
      <c r="E134" s="541">
        <v>559</v>
      </c>
      <c r="F134" s="541">
        <v>574</v>
      </c>
      <c r="G134" s="473">
        <f t="shared" si="15"/>
        <v>15</v>
      </c>
      <c r="H134" s="460">
        <f>G134+'30'!H134</f>
        <v>274</v>
      </c>
      <c r="I134" s="480">
        <f>G131+G132+G133+G134</f>
        <v>15</v>
      </c>
      <c r="J134" s="552">
        <f>H134/DAY(B2)</f>
        <v>8.8387096774193541</v>
      </c>
      <c r="O134" s="382"/>
    </row>
    <row r="135" spans="1:15" ht="27.75">
      <c r="A135" s="1137" t="s">
        <v>241</v>
      </c>
      <c r="B135" s="1138"/>
      <c r="C135" s="1138"/>
      <c r="D135" s="523" t="s">
        <v>237</v>
      </c>
      <c r="E135" s="541">
        <v>42480</v>
      </c>
      <c r="F135" s="541">
        <v>42499</v>
      </c>
      <c r="G135" s="473">
        <f t="shared" si="15"/>
        <v>19</v>
      </c>
      <c r="H135" s="460">
        <f>G135+'30'!H135</f>
        <v>160.88999999999942</v>
      </c>
      <c r="I135" s="480"/>
      <c r="J135" s="552">
        <f>H135/DAY(B2)</f>
        <v>5.1899999999999809</v>
      </c>
      <c r="O135" s="382"/>
    </row>
    <row r="136" spans="1:15" ht="27.75">
      <c r="A136" s="1137" t="s">
        <v>242</v>
      </c>
      <c r="B136" s="1138"/>
      <c r="C136" s="1138"/>
      <c r="D136" s="523" t="s">
        <v>237</v>
      </c>
      <c r="E136" s="541">
        <v>32874</v>
      </c>
      <c r="F136" s="541">
        <v>32874</v>
      </c>
      <c r="G136" s="473">
        <f t="shared" si="15"/>
        <v>0</v>
      </c>
      <c r="H136" s="460">
        <f>G136+'30'!H136</f>
        <v>12.94999999999709</v>
      </c>
      <c r="I136" s="480"/>
      <c r="J136" s="552">
        <f>H136/DAY(B2)</f>
        <v>0.41774193548377708</v>
      </c>
      <c r="O136" s="382"/>
    </row>
    <row r="137" spans="1:15" ht="27.75">
      <c r="A137" s="1137" t="s">
        <v>243</v>
      </c>
      <c r="B137" s="1138"/>
      <c r="C137" s="1138"/>
      <c r="D137" s="523" t="s">
        <v>237</v>
      </c>
      <c r="E137" s="541">
        <v>23097.56</v>
      </c>
      <c r="F137" s="541">
        <v>23106.560000000001</v>
      </c>
      <c r="G137" s="473">
        <f t="shared" si="15"/>
        <v>9</v>
      </c>
      <c r="H137" s="460">
        <f>G137+'30'!H137</f>
        <v>215.06999999999971</v>
      </c>
      <c r="I137" s="480">
        <f>G135+G136+G137</f>
        <v>28</v>
      </c>
      <c r="J137" s="552">
        <f>H137/DAY(B2)</f>
        <v>6.9377419354838619</v>
      </c>
      <c r="O137" s="382"/>
    </row>
    <row r="138" spans="1:15" ht="27.75">
      <c r="A138" s="1137" t="s">
        <v>244</v>
      </c>
      <c r="B138" s="1138"/>
      <c r="C138" s="1138"/>
      <c r="D138" s="523" t="s">
        <v>237</v>
      </c>
      <c r="E138" s="541">
        <v>25119.45</v>
      </c>
      <c r="F138" s="541">
        <v>25119.45</v>
      </c>
      <c r="G138" s="473">
        <f t="shared" si="15"/>
        <v>0</v>
      </c>
      <c r="H138" s="460">
        <f>G138+'30'!H138</f>
        <v>28.290000000000873</v>
      </c>
      <c r="I138" s="480"/>
      <c r="J138" s="552">
        <f>H138/DAY(B2)</f>
        <v>0.91258064516131854</v>
      </c>
      <c r="O138" s="382"/>
    </row>
    <row r="139" spans="1:15" ht="27.75">
      <c r="A139" s="1137" t="s">
        <v>245</v>
      </c>
      <c r="B139" s="1138"/>
      <c r="C139" s="1138"/>
      <c r="D139" s="523" t="s">
        <v>237</v>
      </c>
      <c r="E139" s="541">
        <v>70516.600000000006</v>
      </c>
      <c r="F139" s="541">
        <v>70516.600000000006</v>
      </c>
      <c r="G139" s="473">
        <f t="shared" si="15"/>
        <v>0</v>
      </c>
      <c r="H139" s="460">
        <f>G139+'30'!H139</f>
        <v>15</v>
      </c>
      <c r="I139" s="480">
        <f>G138+G139</f>
        <v>0</v>
      </c>
      <c r="J139" s="552">
        <f>H139/DAY(B2)</f>
        <v>0.4838709677419355</v>
      </c>
      <c r="O139" s="382"/>
    </row>
    <row r="140" spans="1:15" ht="27.75">
      <c r="A140" s="1137" t="s">
        <v>246</v>
      </c>
      <c r="B140" s="1138"/>
      <c r="C140" s="1138"/>
      <c r="D140" s="523" t="s">
        <v>237</v>
      </c>
      <c r="E140" s="484">
        <v>2301.33</v>
      </c>
      <c r="F140" s="484">
        <v>2311.56</v>
      </c>
      <c r="G140" s="473">
        <f t="shared" si="15"/>
        <v>10.230000000000018</v>
      </c>
      <c r="H140" s="460">
        <f>G140+'30'!H140</f>
        <v>182.38000000000011</v>
      </c>
      <c r="I140" s="542"/>
      <c r="J140" s="552">
        <f>H140/DAY(B2)</f>
        <v>5.8832258064516161</v>
      </c>
      <c r="O140" s="382"/>
    </row>
    <row r="141" spans="1:15" ht="27.75">
      <c r="A141" s="1137" t="s">
        <v>247</v>
      </c>
      <c r="B141" s="1138"/>
      <c r="C141" s="1138"/>
      <c r="D141" s="523" t="s">
        <v>237</v>
      </c>
      <c r="E141" s="484">
        <v>4754</v>
      </c>
      <c r="F141" s="484">
        <v>4754</v>
      </c>
      <c r="G141" s="473">
        <f t="shared" si="15"/>
        <v>0</v>
      </c>
      <c r="H141" s="460">
        <f>G141+'30'!H141</f>
        <v>117</v>
      </c>
      <c r="I141" s="542"/>
      <c r="J141" s="552">
        <f>H141/DAY(B2)</f>
        <v>3.774193548387097</v>
      </c>
      <c r="O141" s="382"/>
    </row>
    <row r="142" spans="1:15" ht="29.25">
      <c r="A142" s="1565" t="s">
        <v>248</v>
      </c>
      <c r="B142" s="1566"/>
      <c r="C142" s="1143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62" t="s">
        <v>249</v>
      </c>
      <c r="B143" s="1563"/>
      <c r="C143" s="1564"/>
      <c r="D143" s="523" t="s">
        <v>130</v>
      </c>
      <c r="E143" s="523"/>
      <c r="F143" s="523"/>
      <c r="G143" s="460">
        <f>G35+G43+G49+G57</f>
        <v>5896</v>
      </c>
      <c r="H143" s="460">
        <f>G143+'30'!H143</f>
        <v>174229.18000000005</v>
      </c>
      <c r="I143" s="480"/>
      <c r="J143" s="552">
        <f>H143/DAY(B2)</f>
        <v>5620.2961290322601</v>
      </c>
      <c r="K143" s="380"/>
      <c r="L143" s="377"/>
      <c r="O143" s="382"/>
    </row>
    <row r="144" spans="1:15" ht="27.75">
      <c r="A144" s="1562" t="s">
        <v>250</v>
      </c>
      <c r="B144" s="1563"/>
      <c r="C144" s="1564"/>
      <c r="D144" s="523" t="s">
        <v>24</v>
      </c>
      <c r="E144" s="511"/>
      <c r="F144" s="511"/>
      <c r="G144" s="543">
        <f>G143/G7</f>
        <v>0.25413793103448273</v>
      </c>
      <c r="H144" s="460">
        <f>G144+'30'!H144</f>
        <v>7.8957990229212456</v>
      </c>
      <c r="I144" s="544"/>
      <c r="J144" s="552">
        <f>H144/DAY(B2)</f>
        <v>0.2547031942877821</v>
      </c>
      <c r="K144" s="380"/>
      <c r="L144" s="377"/>
      <c r="O144" s="382"/>
    </row>
    <row r="145" spans="1:15" ht="27.75">
      <c r="A145" s="1562" t="s">
        <v>251</v>
      </c>
      <c r="B145" s="1563"/>
      <c r="C145" s="1564"/>
      <c r="D145" s="523" t="s">
        <v>130</v>
      </c>
      <c r="E145" s="455"/>
      <c r="F145" s="455"/>
      <c r="G145" s="460">
        <f>G41+G42+G55+G56</f>
        <v>7247</v>
      </c>
      <c r="H145" s="460">
        <f>G145+'30'!H145</f>
        <v>211878.11000000002</v>
      </c>
      <c r="I145" s="480"/>
      <c r="J145" s="552">
        <f>H145/DAY(B2)</f>
        <v>6834.7777419354843</v>
      </c>
      <c r="K145" s="380"/>
      <c r="L145" s="377"/>
      <c r="O145" s="382"/>
    </row>
    <row r="146" spans="1:15" ht="27.75">
      <c r="A146" s="1562" t="s">
        <v>252</v>
      </c>
      <c r="B146" s="1563"/>
      <c r="C146" s="1564"/>
      <c r="D146" s="523" t="s">
        <v>24</v>
      </c>
      <c r="E146" s="455"/>
      <c r="F146" s="455"/>
      <c r="G146" s="543">
        <f>G145/G7</f>
        <v>0.3123706896551724</v>
      </c>
      <c r="H146" s="460">
        <f>G146+'30'!H146</f>
        <v>9.5665784654047101</v>
      </c>
      <c r="I146" s="544"/>
      <c r="J146" s="552">
        <f>H146/DAY(B2)</f>
        <v>0.30859930533563579</v>
      </c>
      <c r="K146" s="380"/>
      <c r="L146" s="377"/>
      <c r="O146" s="382"/>
    </row>
    <row r="147" spans="1:15" ht="27.75">
      <c r="A147" s="1562" t="s">
        <v>253</v>
      </c>
      <c r="B147" s="1563"/>
      <c r="C147" s="1564"/>
      <c r="D147" s="523" t="s">
        <v>130</v>
      </c>
      <c r="E147" s="455"/>
      <c r="F147" s="455"/>
      <c r="G147" s="460">
        <f>G39+G53</f>
        <v>3807</v>
      </c>
      <c r="H147" s="460">
        <f>G147+'30'!H147</f>
        <v>115654</v>
      </c>
      <c r="I147" s="545"/>
      <c r="J147" s="552">
        <f>H147/DAY(B2)</f>
        <v>3730.7741935483873</v>
      </c>
      <c r="K147" s="380"/>
      <c r="L147" s="377"/>
      <c r="O147" s="382"/>
    </row>
    <row r="148" spans="1:15" ht="27.75">
      <c r="A148" s="1562" t="s">
        <v>254</v>
      </c>
      <c r="B148" s="1563"/>
      <c r="C148" s="1564"/>
      <c r="D148" s="523" t="s">
        <v>24</v>
      </c>
      <c r="E148" s="455"/>
      <c r="F148" s="455"/>
      <c r="G148" s="543">
        <f>G147/G7</f>
        <v>0.16409482758620689</v>
      </c>
      <c r="H148" s="460">
        <f>G148+'30'!H148</f>
        <v>5.2406372643901342</v>
      </c>
      <c r="I148" s="545"/>
      <c r="J148" s="552">
        <f>H148/DAY(B2)</f>
        <v>0.1690528149803269</v>
      </c>
      <c r="O148" s="382"/>
    </row>
    <row r="149" spans="1:15" ht="27.75">
      <c r="A149" s="1562" t="s">
        <v>255</v>
      </c>
      <c r="B149" s="1563"/>
      <c r="C149" s="1564"/>
      <c r="D149" s="523" t="s">
        <v>181</v>
      </c>
      <c r="E149" s="455"/>
      <c r="F149" s="455"/>
      <c r="G149" s="460">
        <f>G38+G52</f>
        <v>1745</v>
      </c>
      <c r="H149" s="460">
        <f>G149+'30'!H149</f>
        <v>50100</v>
      </c>
      <c r="I149" s="480"/>
      <c r="J149" s="552">
        <f>H149/DAY(B2)</f>
        <v>1616.1290322580646</v>
      </c>
      <c r="K149" s="381"/>
      <c r="O149" s="382"/>
    </row>
    <row r="150" spans="1:15" ht="27.75">
      <c r="A150" s="1562" t="s">
        <v>256</v>
      </c>
      <c r="B150" s="1563"/>
      <c r="C150" s="1564"/>
      <c r="D150" s="523" t="s">
        <v>24</v>
      </c>
      <c r="E150" s="455"/>
      <c r="F150" s="455"/>
      <c r="G150" s="543">
        <f>G149/G7</f>
        <v>7.5215517241379315E-2</v>
      </c>
      <c r="H150" s="460">
        <f>G150+'30'!H150</f>
        <v>2.2660580929924814</v>
      </c>
      <c r="I150" s="545"/>
      <c r="J150" s="552">
        <f>H150/DAY(B2)</f>
        <v>7.3098648161047788E-2</v>
      </c>
      <c r="O150" s="382"/>
    </row>
    <row r="151" spans="1:15" ht="27.75">
      <c r="A151" s="1562" t="s">
        <v>257</v>
      </c>
      <c r="B151" s="1563"/>
      <c r="C151" s="1564"/>
      <c r="D151" s="523" t="s">
        <v>181</v>
      </c>
      <c r="E151" s="455"/>
      <c r="F151" s="455"/>
      <c r="G151" s="460">
        <f>G36+G50</f>
        <v>2123</v>
      </c>
      <c r="H151" s="460">
        <f>G151+'30'!H151</f>
        <v>61599</v>
      </c>
      <c r="I151" s="545"/>
      <c r="J151" s="552">
        <f>H151/DAY(B2)</f>
        <v>1987.0645161290322</v>
      </c>
      <c r="O151" s="382"/>
    </row>
    <row r="152" spans="1:15" ht="27.75">
      <c r="A152" s="1562" t="s">
        <v>258</v>
      </c>
      <c r="B152" s="1563"/>
      <c r="C152" s="1564"/>
      <c r="D152" s="523" t="s">
        <v>24</v>
      </c>
      <c r="E152" s="455"/>
      <c r="F152" s="455"/>
      <c r="G152" s="543">
        <f>G151/G7</f>
        <v>9.1508620689655179E-2</v>
      </c>
      <c r="H152" s="460">
        <f>G152+'30'!H152</f>
        <v>2.7775962300734629</v>
      </c>
      <c r="I152" s="480"/>
      <c r="J152" s="552">
        <f>H152/DAY(B2)</f>
        <v>8.959987838946655E-2</v>
      </c>
      <c r="O152" s="382"/>
    </row>
    <row r="153" spans="1:15" ht="27.75">
      <c r="A153" s="1562" t="s">
        <v>259</v>
      </c>
      <c r="B153" s="1563"/>
      <c r="C153" s="1564"/>
      <c r="D153" s="523" t="s">
        <v>181</v>
      </c>
      <c r="E153" s="455"/>
      <c r="F153" s="455"/>
      <c r="G153" s="460">
        <f>G37+G51</f>
        <v>1656</v>
      </c>
      <c r="H153" s="460">
        <f>G153+'30'!H153</f>
        <v>49603</v>
      </c>
      <c r="I153" s="480"/>
      <c r="J153" s="552">
        <f>H153/DAY(B2)</f>
        <v>1600.0967741935483</v>
      </c>
      <c r="O153" s="382"/>
    </row>
    <row r="154" spans="1:15" ht="28.5" thickBot="1">
      <c r="A154" s="1600" t="s">
        <v>260</v>
      </c>
      <c r="B154" s="1601"/>
      <c r="C154" s="1602"/>
      <c r="D154" s="625" t="s">
        <v>24</v>
      </c>
      <c r="E154" s="565"/>
      <c r="F154" s="565"/>
      <c r="G154" s="566">
        <f>G153/G7</f>
        <v>7.1379310344827585E-2</v>
      </c>
      <c r="H154" s="460">
        <f>G154+'30'!H154</f>
        <v>2.2450470599367192</v>
      </c>
      <c r="I154" s="568"/>
      <c r="J154" s="569">
        <f>H154/DAY(B2)</f>
        <v>7.2420872901184485E-2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4" t="s">
        <v>261</v>
      </c>
      <c r="B161" s="785"/>
      <c r="C161" s="785"/>
      <c r="D161" s="511" t="s">
        <v>185</v>
      </c>
      <c r="E161" s="658">
        <v>43249</v>
      </c>
      <c r="F161" s="658">
        <v>43329</v>
      </c>
      <c r="G161" s="473">
        <f t="shared" ref="G161:G164" si="16">F161-E161</f>
        <v>80</v>
      </c>
    </row>
    <row r="162" spans="1:7" ht="29.25">
      <c r="A162" s="784" t="s">
        <v>262</v>
      </c>
      <c r="B162" s="785"/>
      <c r="C162" s="785"/>
      <c r="D162" s="511" t="s">
        <v>185</v>
      </c>
      <c r="E162" s="658">
        <v>121650</v>
      </c>
      <c r="F162" s="658">
        <v>122105</v>
      </c>
      <c r="G162" s="473">
        <f t="shared" si="16"/>
        <v>455</v>
      </c>
    </row>
    <row r="163" spans="1:7" ht="29.25">
      <c r="A163" s="784" t="s">
        <v>263</v>
      </c>
      <c r="B163" s="785"/>
      <c r="C163" s="785"/>
      <c r="D163" s="511" t="s">
        <v>185</v>
      </c>
      <c r="E163" s="658">
        <v>67300</v>
      </c>
      <c r="F163" s="658">
        <v>67499</v>
      </c>
      <c r="G163" s="473">
        <f t="shared" si="16"/>
        <v>199</v>
      </c>
    </row>
    <row r="164" spans="1:7" ht="29.25">
      <c r="A164" s="784" t="s">
        <v>264</v>
      </c>
      <c r="B164" s="785"/>
      <c r="C164" s="785"/>
      <c r="D164" s="511" t="s">
        <v>185</v>
      </c>
      <c r="E164" s="658">
        <v>7129</v>
      </c>
      <c r="F164" s="658">
        <v>7139</v>
      </c>
      <c r="G164" s="473">
        <f t="shared" si="16"/>
        <v>10</v>
      </c>
    </row>
    <row r="165" spans="1:7" ht="29.25">
      <c r="A165" s="786" t="s">
        <v>97</v>
      </c>
      <c r="B165" s="604"/>
      <c r="C165" s="604"/>
      <c r="D165" s="511" t="s">
        <v>185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6" t="s">
        <v>186</v>
      </c>
      <c r="B166" s="604"/>
      <c r="C166" s="604"/>
      <c r="D166" s="511" t="s">
        <v>185</v>
      </c>
      <c r="E166" s="514">
        <v>0</v>
      </c>
      <c r="F166" s="514">
        <v>2472</v>
      </c>
      <c r="G166" s="473">
        <f t="shared" si="17"/>
        <v>2472</v>
      </c>
    </row>
    <row r="167" spans="1:7" ht="27.75">
      <c r="A167" s="1549" t="s">
        <v>98</v>
      </c>
      <c r="B167" s="1549"/>
      <c r="C167" s="1549"/>
      <c r="D167" s="523" t="s">
        <v>185</v>
      </c>
      <c r="E167" s="484">
        <v>181513</v>
      </c>
      <c r="F167" s="514">
        <f t="shared" ref="F167:F172" si="18">F64</f>
        <v>181860</v>
      </c>
      <c r="G167" s="473">
        <f t="shared" si="17"/>
        <v>347</v>
      </c>
    </row>
    <row r="168" spans="1:7" ht="27.75">
      <c r="A168" s="1549" t="s">
        <v>99</v>
      </c>
      <c r="B168" s="1549"/>
      <c r="C168" s="1549"/>
      <c r="D168" s="523" t="s">
        <v>185</v>
      </c>
      <c r="E168" s="514">
        <f t="shared" ref="E168:E172" si="19">E65</f>
        <v>181814</v>
      </c>
      <c r="F168" s="514">
        <f t="shared" si="18"/>
        <v>182209</v>
      </c>
      <c r="G168" s="473">
        <f t="shared" si="17"/>
        <v>395</v>
      </c>
    </row>
    <row r="169" spans="1:7" ht="27.75">
      <c r="A169" s="1549" t="s">
        <v>100</v>
      </c>
      <c r="B169" s="1549"/>
      <c r="C169" s="1549"/>
      <c r="D169" s="523" t="s">
        <v>185</v>
      </c>
      <c r="E169" s="514">
        <f t="shared" si="19"/>
        <v>80259</v>
      </c>
      <c r="F169" s="514">
        <f t="shared" si="18"/>
        <v>80672</v>
      </c>
      <c r="G169" s="473">
        <f t="shared" si="17"/>
        <v>413</v>
      </c>
    </row>
    <row r="170" spans="1:7" ht="27.75">
      <c r="A170" s="1549" t="s">
        <v>101</v>
      </c>
      <c r="B170" s="1549"/>
      <c r="C170" s="1549"/>
      <c r="D170" s="523" t="s">
        <v>185</v>
      </c>
      <c r="E170" s="514">
        <f t="shared" si="19"/>
        <v>279520</v>
      </c>
      <c r="F170" s="514">
        <f t="shared" si="18"/>
        <v>280058</v>
      </c>
      <c r="G170" s="473">
        <f t="shared" si="17"/>
        <v>538</v>
      </c>
    </row>
    <row r="171" spans="1:7" ht="27.75">
      <c r="A171" s="1549" t="s">
        <v>102</v>
      </c>
      <c r="B171" s="1549"/>
      <c r="C171" s="1549"/>
      <c r="D171" s="523" t="s">
        <v>185</v>
      </c>
      <c r="E171" s="514">
        <f t="shared" si="19"/>
        <v>85321</v>
      </c>
      <c r="F171" s="514">
        <f t="shared" si="18"/>
        <v>85321</v>
      </c>
      <c r="G171" s="473">
        <f t="shared" si="17"/>
        <v>0</v>
      </c>
    </row>
    <row r="172" spans="1:7" ht="27.75">
      <c r="A172" s="1549" t="s">
        <v>103</v>
      </c>
      <c r="B172" s="1549"/>
      <c r="C172" s="1549"/>
      <c r="D172" s="523" t="s">
        <v>185</v>
      </c>
      <c r="E172" s="514">
        <f t="shared" si="19"/>
        <v>96220</v>
      </c>
      <c r="F172" s="514">
        <f t="shared" si="18"/>
        <v>96557</v>
      </c>
      <c r="G172" s="473">
        <f t="shared" si="17"/>
        <v>337</v>
      </c>
    </row>
    <row r="173" spans="1:7" ht="29.25">
      <c r="G173" s="539">
        <f>SUM(G161:G172)</f>
        <v>5246</v>
      </c>
    </row>
    <row r="174" spans="1:7" ht="27.75">
      <c r="A174" s="1590" t="s">
        <v>348</v>
      </c>
      <c r="B174" s="1553"/>
      <c r="C174" s="784"/>
      <c r="D174" s="1492" t="s">
        <v>185</v>
      </c>
      <c r="E174" s="1493">
        <v>19130</v>
      </c>
      <c r="F174" s="1493">
        <v>19133</v>
      </c>
      <c r="G174" s="1494">
        <f t="shared" ref="G174:G176" si="20">F174-E174</f>
        <v>3</v>
      </c>
    </row>
    <row r="175" spans="1:7" ht="27.75">
      <c r="A175" s="1590" t="s">
        <v>349</v>
      </c>
      <c r="B175" s="1553"/>
      <c r="C175" s="454"/>
      <c r="D175" s="1492" t="s">
        <v>185</v>
      </c>
      <c r="E175" s="1497">
        <v>27788</v>
      </c>
      <c r="F175" s="1497">
        <v>27793</v>
      </c>
      <c r="G175" s="1494">
        <f t="shared" si="20"/>
        <v>5</v>
      </c>
    </row>
    <row r="176" spans="1:7" ht="27.75">
      <c r="A176" s="1590" t="s">
        <v>348</v>
      </c>
      <c r="B176" s="1553"/>
      <c r="C176" s="454"/>
      <c r="D176" s="1492" t="s">
        <v>185</v>
      </c>
      <c r="E176" s="1493">
        <v>70523</v>
      </c>
      <c r="F176" s="1493">
        <v>70529</v>
      </c>
      <c r="G176" s="1494">
        <f t="shared" si="20"/>
        <v>6</v>
      </c>
    </row>
    <row r="177" spans="1:15" ht="29.25"/>
    <row r="178" spans="1:15" ht="29.25">
      <c r="A178" s="1590"/>
      <c r="B178" s="1553"/>
      <c r="C178" s="785"/>
      <c r="D178" s="523"/>
      <c r="E178" s="532"/>
      <c r="F178" s="532"/>
      <c r="G178" s="473"/>
      <c r="N178" s="718"/>
      <c r="O178" s="723"/>
    </row>
    <row r="179" spans="1:15" ht="29.25">
      <c r="A179" s="1590"/>
      <c r="B179" s="1553"/>
      <c r="C179" s="785"/>
      <c r="D179" s="523"/>
      <c r="E179" s="532"/>
      <c r="F179" s="532"/>
      <c r="G179" s="473"/>
      <c r="N179" s="718"/>
      <c r="O179" s="723"/>
    </row>
    <row r="180" spans="1:15" ht="29.25">
      <c r="A180" s="1590"/>
      <c r="B180" s="1553"/>
      <c r="C180" s="785"/>
      <c r="D180" s="523"/>
      <c r="E180" s="532"/>
      <c r="F180" s="532"/>
      <c r="G180" s="473"/>
      <c r="N180" s="718"/>
      <c r="O180" s="723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80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24"/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</row>
    <row r="2" spans="1:15" ht="28.5" customHeight="1">
      <c r="A2" s="1" t="s">
        <v>0</v>
      </c>
      <c r="B2" s="1" t="s">
        <v>0</v>
      </c>
      <c r="C2" s="1111" t="s">
        <v>1</v>
      </c>
      <c r="D2" s="4" t="s">
        <v>4</v>
      </c>
      <c r="E2" s="1526" t="s">
        <v>7</v>
      </c>
      <c r="F2" s="1526"/>
      <c r="G2" s="1526"/>
      <c r="H2" s="1532" t="s">
        <v>15</v>
      </c>
      <c r="I2" s="1532"/>
      <c r="J2" s="1532"/>
      <c r="K2" s="1111" t="s">
        <v>16</v>
      </c>
      <c r="L2" s="1532" t="s">
        <v>17</v>
      </c>
      <c r="M2" s="1532"/>
      <c r="N2" s="1532"/>
      <c r="O2" s="1111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>
      <c r="A4" s="16">
        <v>1</v>
      </c>
      <c r="B4" s="17">
        <v>1</v>
      </c>
      <c r="C4" s="18"/>
      <c r="D4" s="19">
        <f>'1'!F8</f>
        <v>949982.79</v>
      </c>
      <c r="E4" s="19">
        <f>'1'!G97</f>
        <v>17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236.61999999999534</v>
      </c>
      <c r="J4" s="19">
        <f>'1'!G70</f>
        <v>0</v>
      </c>
      <c r="K4" s="23">
        <f>H4+I4</f>
        <v>236.61999999999534</v>
      </c>
      <c r="L4" s="19">
        <f>'1'!G71</f>
        <v>0</v>
      </c>
      <c r="M4" s="19">
        <f>'1'!G72</f>
        <v>9</v>
      </c>
      <c r="N4" s="19">
        <v>0</v>
      </c>
      <c r="O4" s="23">
        <f>L4+M4+N4</f>
        <v>9</v>
      </c>
    </row>
    <row r="5" spans="1:15">
      <c r="A5" s="16">
        <v>2</v>
      </c>
      <c r="B5" s="26">
        <v>2</v>
      </c>
      <c r="C5" s="26"/>
      <c r="D5" s="19">
        <f>'2'!F8</f>
        <v>971017.91</v>
      </c>
      <c r="E5" s="19">
        <f>'2'!G96</f>
        <v>100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241.7100000000064</v>
      </c>
      <c r="J5" s="19">
        <f>'2'!G70</f>
        <v>0</v>
      </c>
      <c r="K5" s="23">
        <f t="shared" ref="K5:K18" si="1">H5+I5</f>
        <v>241.7100000000064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1014988.6</v>
      </c>
      <c r="E6" s="19">
        <f>'3'!G96</f>
        <v>102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272.54000000000815</v>
      </c>
      <c r="J6" s="19">
        <f>'4'!G70</f>
        <v>0</v>
      </c>
      <c r="K6" s="23">
        <f t="shared" si="1"/>
        <v>272.54000000000815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993122</v>
      </c>
      <c r="E7" s="19">
        <f>'4'!G96</f>
        <v>147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275.31999999999243</v>
      </c>
      <c r="J7" s="19">
        <f>'3'!G70</f>
        <v>0</v>
      </c>
      <c r="K7" s="23">
        <f t="shared" si="1"/>
        <v>275.31999999999243</v>
      </c>
      <c r="L7" s="19">
        <f>'3'!G71</f>
        <v>0</v>
      </c>
      <c r="M7" s="19">
        <f>'3'!G72</f>
        <v>13</v>
      </c>
      <c r="N7" s="19">
        <v>0</v>
      </c>
      <c r="O7" s="23">
        <f t="shared" si="2"/>
        <v>13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55818.84</v>
      </c>
      <c r="E9" s="19">
        <f>'6'!G96</f>
        <v>59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210.34000000001106</v>
      </c>
      <c r="J9" s="19">
        <f>'6'!G70</f>
        <v>0</v>
      </c>
      <c r="K9" s="23">
        <f t="shared" si="1"/>
        <v>210.34000000001106</v>
      </c>
      <c r="L9" s="19">
        <f>'6'!G71</f>
        <v>0</v>
      </c>
      <c r="M9" s="19">
        <f>'6'!G72</f>
        <v>11</v>
      </c>
      <c r="N9" s="19">
        <v>0</v>
      </c>
      <c r="O9" s="23">
        <f t="shared" si="2"/>
        <v>11</v>
      </c>
    </row>
    <row r="10" spans="1:15">
      <c r="A10" s="16">
        <v>7</v>
      </c>
      <c r="B10" s="26">
        <v>7</v>
      </c>
      <c r="C10" s="27"/>
      <c r="D10" s="19">
        <f>'7'!F8</f>
        <v>77732.62</v>
      </c>
      <c r="E10" s="19">
        <f>'7'!G96</f>
        <v>76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221.58999999999651</v>
      </c>
      <c r="J10" s="19">
        <f>'7'!G70</f>
        <v>0</v>
      </c>
      <c r="K10" s="23">
        <f t="shared" si="1"/>
        <v>221.58999999999651</v>
      </c>
      <c r="L10" s="19">
        <f>'7'!G71</f>
        <v>0</v>
      </c>
      <c r="M10" s="19">
        <f>'7'!G72</f>
        <v>11</v>
      </c>
      <c r="N10" s="19">
        <v>0</v>
      </c>
      <c r="O10" s="23">
        <f t="shared" si="2"/>
        <v>11</v>
      </c>
    </row>
    <row r="11" spans="1:15">
      <c r="A11" s="16">
        <v>8</v>
      </c>
      <c r="B11" s="26">
        <v>8</v>
      </c>
      <c r="C11" s="18"/>
      <c r="D11" s="19">
        <f>'8'!F8</f>
        <v>99453.79</v>
      </c>
      <c r="E11" s="19">
        <f>'8'!G96</f>
        <v>80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261.61999999999534</v>
      </c>
      <c r="J11" s="19">
        <f>'8'!G70</f>
        <v>0</v>
      </c>
      <c r="K11" s="23">
        <f t="shared" si="1"/>
        <v>261.61999999999534</v>
      </c>
      <c r="L11" s="19">
        <f>'8'!G71</f>
        <v>0</v>
      </c>
      <c r="M11" s="19">
        <f>'8'!G72</f>
        <v>13</v>
      </c>
      <c r="N11" s="19">
        <v>0</v>
      </c>
      <c r="O11" s="23">
        <f t="shared" si="2"/>
        <v>13</v>
      </c>
    </row>
    <row r="12" spans="1:15">
      <c r="A12" s="16">
        <v>9</v>
      </c>
      <c r="B12" s="27">
        <v>9</v>
      </c>
      <c r="C12" s="26"/>
      <c r="D12" s="19">
        <f>'9'!F8</f>
        <v>122127</v>
      </c>
      <c r="E12" s="19">
        <f>'9'!G96</f>
        <v>93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285.94000000000233</v>
      </c>
      <c r="J12" s="19">
        <f>'9'!G70</f>
        <v>0</v>
      </c>
      <c r="K12" s="23">
        <f t="shared" si="1"/>
        <v>285.94000000000233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143229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257</v>
      </c>
      <c r="J13" s="19">
        <f>'10'!G70</f>
        <v>0</v>
      </c>
      <c r="K13" s="23">
        <f t="shared" si="1"/>
        <v>257</v>
      </c>
      <c r="L13" s="19">
        <f>'10'!G71</f>
        <v>0</v>
      </c>
      <c r="M13" s="19">
        <f>'10'!G72</f>
        <v>10</v>
      </c>
      <c r="N13" s="19">
        <v>0</v>
      </c>
      <c r="O13" s="23">
        <f t="shared" si="2"/>
        <v>10</v>
      </c>
    </row>
    <row r="14" spans="1:15">
      <c r="A14" s="16">
        <v>11</v>
      </c>
      <c r="B14" s="17">
        <v>11</v>
      </c>
      <c r="C14" s="27"/>
      <c r="D14" s="19">
        <f>'11'!F8</f>
        <v>166058.97</v>
      </c>
      <c r="E14" s="19">
        <f>'11'!G96</f>
        <v>77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281</v>
      </c>
      <c r="J14" s="19">
        <f>'11'!G70</f>
        <v>0</v>
      </c>
      <c r="K14" s="23">
        <f t="shared" si="1"/>
        <v>281</v>
      </c>
      <c r="L14" s="19">
        <f>'11'!G71</f>
        <v>0</v>
      </c>
      <c r="M14" s="19">
        <f>'11'!G72</f>
        <v>11</v>
      </c>
      <c r="N14" s="19">
        <v>0</v>
      </c>
      <c r="O14" s="23">
        <f t="shared" si="2"/>
        <v>11</v>
      </c>
    </row>
    <row r="15" spans="1:15">
      <c r="A15" s="16">
        <v>12</v>
      </c>
      <c r="B15" s="26">
        <v>12</v>
      </c>
      <c r="C15" s="27"/>
      <c r="D15" s="19">
        <f>'12'!F8</f>
        <v>187298.87</v>
      </c>
      <c r="E15" s="19">
        <f>'12'!G96</f>
        <v>91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282.99000000000524</v>
      </c>
      <c r="J15" s="19">
        <f>'12'!G70</f>
        <v>0</v>
      </c>
      <c r="K15" s="23">
        <f t="shared" si="1"/>
        <v>282.99000000000524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208910.27</v>
      </c>
      <c r="E16" s="19">
        <f>'13'!G96</f>
        <v>101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281.00999999999476</v>
      </c>
      <c r="J16" s="19">
        <f>'13'!G70</f>
        <v>0</v>
      </c>
      <c r="K16" s="23">
        <f t="shared" si="1"/>
        <v>281.00999999999476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231082.51</v>
      </c>
      <c r="E17" s="19">
        <f>'14'!G96</f>
        <v>74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275.39999999999418</v>
      </c>
      <c r="J17" s="19">
        <f>'14'!G71</f>
        <v>0</v>
      </c>
      <c r="K17" s="23">
        <f t="shared" si="1"/>
        <v>275.39999999999418</v>
      </c>
      <c r="L17" s="19">
        <f>'14'!G72</f>
        <v>14</v>
      </c>
      <c r="M17" s="19">
        <f>'14'!G73</f>
        <v>1</v>
      </c>
      <c r="N17" s="19">
        <v>0</v>
      </c>
      <c r="O17" s="23">
        <f t="shared" si="2"/>
        <v>15</v>
      </c>
    </row>
    <row r="18" spans="1:15">
      <c r="A18" s="16">
        <v>15</v>
      </c>
      <c r="B18" s="26">
        <v>15</v>
      </c>
      <c r="C18" s="18"/>
      <c r="D18" s="19">
        <f>'15'!F8</f>
        <v>253628.81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299.85000000000582</v>
      </c>
      <c r="J18" s="19">
        <f>'15'!G71</f>
        <v>0</v>
      </c>
      <c r="K18" s="23">
        <f t="shared" si="1"/>
        <v>299.85000000000582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45" t="s">
        <v>115</v>
      </c>
      <c r="B1" s="1745"/>
      <c r="C1" s="1745"/>
      <c r="D1" s="1745"/>
      <c r="E1" s="1745"/>
      <c r="F1" s="1745"/>
      <c r="G1" s="1745"/>
      <c r="H1" s="1745"/>
      <c r="I1" s="1745"/>
      <c r="J1" s="1745"/>
    </row>
    <row r="2" spans="1:12" ht="23.25" customHeight="1">
      <c r="A2" s="214" t="s">
        <v>278</v>
      </c>
      <c r="B2" s="195">
        <v>42328</v>
      </c>
      <c r="C2" s="1746" t="s">
        <v>279</v>
      </c>
      <c r="D2" s="1747"/>
      <c r="E2" s="191" t="s">
        <v>116</v>
      </c>
      <c r="F2" s="191" t="s">
        <v>6</v>
      </c>
      <c r="G2" s="191" t="s">
        <v>8</v>
      </c>
      <c r="H2" s="40" t="s">
        <v>117</v>
      </c>
      <c r="I2" s="41"/>
      <c r="J2" s="42"/>
    </row>
    <row r="3" spans="1:12" ht="18.75" customHeight="1">
      <c r="A3" s="1131" t="s">
        <v>280</v>
      </c>
      <c r="B3" s="189"/>
      <c r="C3" s="189"/>
      <c r="D3" s="1132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281</v>
      </c>
      <c r="J3" s="42" t="s">
        <v>282</v>
      </c>
      <c r="K3" s="116"/>
      <c r="L3" s="117"/>
    </row>
    <row r="4" spans="1:12" ht="18.75" customHeight="1">
      <c r="A4" s="45" t="s">
        <v>283</v>
      </c>
      <c r="B4" s="46" t="s">
        <v>284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121</v>
      </c>
      <c r="B5" s="217"/>
      <c r="C5" s="218"/>
      <c r="D5" s="219" t="s">
        <v>122</v>
      </c>
      <c r="E5" s="220" t="s">
        <v>123</v>
      </c>
      <c r="F5" s="220" t="s">
        <v>110</v>
      </c>
      <c r="G5" s="221" t="s">
        <v>124</v>
      </c>
      <c r="H5" s="222" t="s">
        <v>125</v>
      </c>
      <c r="I5" s="223" t="s">
        <v>126</v>
      </c>
      <c r="J5" s="221" t="s">
        <v>127</v>
      </c>
      <c r="K5" s="53"/>
      <c r="L5" s="117"/>
    </row>
    <row r="6" spans="1:12" ht="18.75" customHeight="1">
      <c r="A6" s="1753" t="s">
        <v>128</v>
      </c>
      <c r="B6" s="1754"/>
      <c r="C6" s="1755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129</v>
      </c>
      <c r="B7" s="251"/>
      <c r="C7" s="252"/>
      <c r="D7" s="133" t="s">
        <v>130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132</v>
      </c>
      <c r="B9" s="65"/>
      <c r="C9" s="66"/>
      <c r="D9" s="55" t="s">
        <v>130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133</v>
      </c>
      <c r="B10" s="193"/>
      <c r="C10" s="194"/>
      <c r="D10" s="55" t="s">
        <v>130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134</v>
      </c>
      <c r="B11" s="193"/>
      <c r="C11" s="194"/>
      <c r="D11" s="55" t="s">
        <v>130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135</v>
      </c>
      <c r="B12" s="193"/>
      <c r="C12" s="194"/>
      <c r="D12" s="55" t="s">
        <v>130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136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39" t="s">
        <v>137</v>
      </c>
      <c r="B14" s="1740"/>
      <c r="C14" s="1741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138</v>
      </c>
      <c r="B15" s="184"/>
      <c r="C15" s="185"/>
      <c r="D15" s="133" t="s">
        <v>139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39" t="s">
        <v>140</v>
      </c>
      <c r="B17" s="1740"/>
      <c r="C17" s="1741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3" t="s">
        <v>141</v>
      </c>
      <c r="B18" s="1724"/>
      <c r="C18" s="1725"/>
      <c r="D18" s="55" t="s">
        <v>142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3" t="s">
        <v>70</v>
      </c>
      <c r="B19" s="1724"/>
      <c r="C19" s="1725"/>
      <c r="D19" s="55" t="s">
        <v>142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143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39" t="s">
        <v>144</v>
      </c>
      <c r="B21" s="1740"/>
      <c r="C21" s="1741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28" t="s">
        <v>145</v>
      </c>
      <c r="B22" s="1129"/>
      <c r="C22" s="1130"/>
      <c r="D22" s="55" t="s">
        <v>146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28" t="s">
        <v>147</v>
      </c>
      <c r="B23" s="1129"/>
      <c r="C23" s="1130"/>
      <c r="D23" s="55" t="s">
        <v>146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148</v>
      </c>
      <c r="B24" s="171"/>
      <c r="C24" s="172"/>
      <c r="D24" s="54" t="s">
        <v>146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42" t="s">
        <v>149</v>
      </c>
      <c r="B25" s="1743"/>
      <c r="C25" s="1744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150</v>
      </c>
      <c r="B26" s="165"/>
      <c r="C26" s="166"/>
      <c r="D26" s="144" t="s">
        <v>151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130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152</v>
      </c>
      <c r="B28" s="165"/>
      <c r="C28" s="166"/>
      <c r="D28" s="146" t="s">
        <v>153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154</v>
      </c>
      <c r="B29" s="165"/>
      <c r="C29" s="166"/>
      <c r="D29" s="146" t="s">
        <v>155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157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159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48" t="s">
        <v>160</v>
      </c>
      <c r="B32" s="1749"/>
      <c r="C32" s="1749"/>
      <c r="D32" s="1749"/>
      <c r="E32" s="1749"/>
      <c r="F32" s="1749"/>
      <c r="G32" s="1749"/>
      <c r="H32" s="1749"/>
      <c r="I32" s="1749"/>
      <c r="J32" s="1750"/>
      <c r="K32" s="59"/>
      <c r="L32" s="117"/>
    </row>
    <row r="33" spans="1:12" ht="18.75" customHeight="1">
      <c r="A33" s="1144" t="s">
        <v>161</v>
      </c>
      <c r="B33" s="1145"/>
      <c r="C33" s="1146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162</v>
      </c>
      <c r="B34" s="193"/>
      <c r="C34" s="194"/>
      <c r="D34" s="55" t="s">
        <v>130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163</v>
      </c>
      <c r="B35" s="193"/>
      <c r="C35" s="194"/>
      <c r="D35" s="55" t="s">
        <v>130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164</v>
      </c>
      <c r="B36" s="193"/>
      <c r="C36" s="194"/>
      <c r="D36" s="55" t="s">
        <v>130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165</v>
      </c>
      <c r="B37" s="193"/>
      <c r="C37" s="194"/>
      <c r="D37" s="55" t="s">
        <v>130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166</v>
      </c>
      <c r="B38" s="193"/>
      <c r="C38" s="194"/>
      <c r="D38" s="55" t="s">
        <v>130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167</v>
      </c>
      <c r="B39" s="77"/>
      <c r="C39" s="78"/>
      <c r="D39" s="55" t="s">
        <v>130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168</v>
      </c>
      <c r="B40" s="193"/>
      <c r="C40" s="194"/>
      <c r="D40" s="55" t="s">
        <v>130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169</v>
      </c>
      <c r="B41" s="193"/>
      <c r="C41" s="194"/>
      <c r="D41" s="55" t="s">
        <v>130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170</v>
      </c>
      <c r="B42" s="193"/>
      <c r="C42" s="194"/>
      <c r="D42" s="55" t="s">
        <v>130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171</v>
      </c>
      <c r="B43" s="193"/>
      <c r="C43" s="194"/>
      <c r="D43" s="55" t="s">
        <v>130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172</v>
      </c>
      <c r="B44" s="193"/>
      <c r="C44" s="194"/>
      <c r="D44" s="55" t="s">
        <v>130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173</v>
      </c>
      <c r="B45" s="193"/>
      <c r="C45" s="194"/>
      <c r="D45" s="55" t="s">
        <v>130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174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4" t="s">
        <v>175</v>
      </c>
      <c r="B47" s="1145"/>
      <c r="C47" s="1146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162</v>
      </c>
      <c r="B48" s="175"/>
      <c r="C48" s="176"/>
      <c r="D48" s="55" t="s">
        <v>130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176</v>
      </c>
      <c r="B49" s="175"/>
      <c r="C49" s="176"/>
      <c r="D49" s="55" t="s">
        <v>130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164</v>
      </c>
      <c r="B50" s="175"/>
      <c r="C50" s="176"/>
      <c r="D50" s="55" t="s">
        <v>130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177</v>
      </c>
      <c r="B51" s="175"/>
      <c r="C51" s="176"/>
      <c r="D51" s="55" t="s">
        <v>130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166</v>
      </c>
      <c r="B52" s="175"/>
      <c r="C52" s="176"/>
      <c r="D52" s="55" t="s">
        <v>130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178</v>
      </c>
      <c r="B53" s="175"/>
      <c r="C53" s="176"/>
      <c r="D53" s="55" t="s">
        <v>130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179</v>
      </c>
      <c r="B54" s="175"/>
      <c r="C54" s="176"/>
      <c r="D54" s="55" t="s">
        <v>130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180</v>
      </c>
      <c r="B55" s="175"/>
      <c r="C55" s="176"/>
      <c r="D55" s="55" t="s">
        <v>181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170</v>
      </c>
      <c r="B56" s="175"/>
      <c r="C56" s="176"/>
      <c r="D56" s="55" t="s">
        <v>130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182</v>
      </c>
      <c r="B57" s="175"/>
      <c r="C57" s="176"/>
      <c r="D57" s="55" t="s">
        <v>130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174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183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184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185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186</v>
      </c>
      <c r="B62" s="244"/>
      <c r="C62" s="245"/>
      <c r="D62" s="54" t="s">
        <v>185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35" t="s">
        <v>98</v>
      </c>
      <c r="B63" s="1736"/>
      <c r="C63" s="1737"/>
      <c r="D63" s="55" t="s">
        <v>185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35" t="s">
        <v>99</v>
      </c>
      <c r="B64" s="1736"/>
      <c r="C64" s="1737"/>
      <c r="D64" s="55" t="s">
        <v>185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35" t="s">
        <v>100</v>
      </c>
      <c r="B65" s="1736"/>
      <c r="C65" s="1737"/>
      <c r="D65" s="55" t="s">
        <v>185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35" t="s">
        <v>101</v>
      </c>
      <c r="B66" s="1736"/>
      <c r="C66" s="1737"/>
      <c r="D66" s="55" t="s">
        <v>185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35" t="s">
        <v>102</v>
      </c>
      <c r="B67" s="1736"/>
      <c r="C67" s="1737"/>
      <c r="D67" s="55" t="s">
        <v>185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35" t="s">
        <v>103</v>
      </c>
      <c r="B68" s="1736"/>
      <c r="C68" s="1737"/>
      <c r="D68" s="55" t="s">
        <v>185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188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35" t="s">
        <v>189</v>
      </c>
      <c r="B70" s="1736"/>
      <c r="C70" s="1737"/>
      <c r="D70" s="55" t="s">
        <v>185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35" t="s">
        <v>190</v>
      </c>
      <c r="B71" s="1736"/>
      <c r="C71" s="1737"/>
      <c r="D71" s="55" t="s">
        <v>185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35" t="s">
        <v>191</v>
      </c>
      <c r="B72" s="1736"/>
      <c r="C72" s="1737"/>
      <c r="D72" s="55" t="s">
        <v>185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32" t="s">
        <v>192</v>
      </c>
      <c r="B73" s="1733"/>
      <c r="C73" s="1734"/>
      <c r="D73" s="55" t="s">
        <v>185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32" t="s">
        <v>193</v>
      </c>
      <c r="B74" s="1733"/>
      <c r="C74" s="1734"/>
      <c r="D74" s="55" t="s">
        <v>185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35" t="s">
        <v>194</v>
      </c>
      <c r="B75" s="1736"/>
      <c r="C75" s="1737"/>
      <c r="D75" s="55" t="s">
        <v>185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38" t="s">
        <v>91</v>
      </c>
      <c r="B76" s="1730"/>
      <c r="C76" s="1731"/>
      <c r="D76" s="81" t="s">
        <v>185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38" t="s">
        <v>196</v>
      </c>
      <c r="B77" s="1730"/>
      <c r="C77" s="1731"/>
      <c r="D77" s="81" t="s">
        <v>185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38" t="s">
        <v>197</v>
      </c>
      <c r="B78" s="1730"/>
      <c r="C78" s="1731"/>
      <c r="D78" s="81" t="s">
        <v>185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29" t="s">
        <v>92</v>
      </c>
      <c r="B79" s="1730"/>
      <c r="C79" s="1731"/>
      <c r="D79" s="207" t="s">
        <v>130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29" t="s">
        <v>198</v>
      </c>
      <c r="B80" s="1730"/>
      <c r="C80" s="1731"/>
      <c r="D80" s="208" t="s">
        <v>130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29" t="s">
        <v>285</v>
      </c>
      <c r="B81" s="1730"/>
      <c r="C81" s="1731"/>
      <c r="D81" s="209" t="s">
        <v>130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200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203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3" t="s">
        <v>205</v>
      </c>
      <c r="B84" s="1724"/>
      <c r="C84" s="1725"/>
      <c r="D84" s="55" t="s">
        <v>142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3" t="s">
        <v>207</v>
      </c>
      <c r="B85" s="1724"/>
      <c r="C85" s="1725"/>
      <c r="D85" s="55" t="s">
        <v>142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3" t="s">
        <v>208</v>
      </c>
      <c r="B86" s="1724"/>
      <c r="C86" s="1725"/>
      <c r="D86" s="55" t="s">
        <v>142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3" t="s">
        <v>209</v>
      </c>
      <c r="B87" s="1724"/>
      <c r="C87" s="1725"/>
      <c r="D87" s="55" t="s">
        <v>142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3" t="s">
        <v>210</v>
      </c>
      <c r="B88" s="1724"/>
      <c r="C88" s="1725"/>
      <c r="D88" s="55" t="s">
        <v>142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3" t="s">
        <v>211</v>
      </c>
      <c r="B89" s="1724"/>
      <c r="C89" s="1725"/>
      <c r="D89" s="55" t="s">
        <v>142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3" t="s">
        <v>212</v>
      </c>
      <c r="B90" s="1724"/>
      <c r="C90" s="1725"/>
      <c r="D90" s="55" t="s">
        <v>142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3" t="s">
        <v>217</v>
      </c>
      <c r="B91" s="1724"/>
      <c r="C91" s="1725"/>
      <c r="D91" s="55" t="s">
        <v>142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3" t="s">
        <v>76</v>
      </c>
      <c r="B92" s="1724"/>
      <c r="C92" s="1725"/>
      <c r="D92" s="55" t="s">
        <v>142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3" t="s">
        <v>77</v>
      </c>
      <c r="B93" s="1724"/>
      <c r="C93" s="1725"/>
      <c r="D93" s="55" t="s">
        <v>142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3" t="s">
        <v>204</v>
      </c>
      <c r="B94" s="1724"/>
      <c r="C94" s="1725"/>
      <c r="D94" s="55" t="s">
        <v>142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26" t="s">
        <v>228</v>
      </c>
      <c r="B95" s="1727"/>
      <c r="C95" s="1728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229</v>
      </c>
      <c r="B96" s="187"/>
      <c r="C96" s="188"/>
      <c r="D96" s="137" t="s">
        <v>139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231</v>
      </c>
      <c r="B97" s="1129"/>
      <c r="C97" s="1130"/>
      <c r="D97" s="55" t="s">
        <v>139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51" t="s">
        <v>248</v>
      </c>
      <c r="B98" s="1752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3" t="s">
        <v>249</v>
      </c>
      <c r="B99" s="1724"/>
      <c r="C99" s="1725"/>
      <c r="D99" s="55" t="s">
        <v>130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3" t="s">
        <v>250</v>
      </c>
      <c r="B100" s="1724"/>
      <c r="C100" s="172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3" t="s">
        <v>251</v>
      </c>
      <c r="B101" s="1724"/>
      <c r="C101" s="1725"/>
      <c r="D101" s="55" t="s">
        <v>130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3" t="s">
        <v>252</v>
      </c>
      <c r="B102" s="1724"/>
      <c r="C102" s="172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3" t="s">
        <v>253</v>
      </c>
      <c r="B103" s="1724"/>
      <c r="C103" s="1725"/>
      <c r="D103" s="55" t="s">
        <v>130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3" t="s">
        <v>254</v>
      </c>
      <c r="B104" s="1724"/>
      <c r="C104" s="172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3" t="s">
        <v>255</v>
      </c>
      <c r="B105" s="1724"/>
      <c r="C105" s="1725"/>
      <c r="D105" s="55" t="s">
        <v>181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3" t="s">
        <v>256</v>
      </c>
      <c r="B106" s="1724"/>
      <c r="C106" s="172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3" t="s">
        <v>257</v>
      </c>
      <c r="B107" s="1724"/>
      <c r="C107" s="1725"/>
      <c r="D107" s="55" t="s">
        <v>181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3" t="s">
        <v>258</v>
      </c>
      <c r="B108" s="1724"/>
      <c r="C108" s="172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3" t="s">
        <v>259</v>
      </c>
      <c r="B109" s="1724"/>
      <c r="C109" s="1725"/>
      <c r="D109" s="55" t="s">
        <v>181</v>
      </c>
      <c r="E109" s="70"/>
      <c r="F109" s="70"/>
      <c r="G109" s="132"/>
      <c r="H109" s="57"/>
      <c r="I109" s="86"/>
      <c r="J109" s="58"/>
    </row>
    <row r="110" spans="1:12" ht="18.75" customHeight="1">
      <c r="A110" s="1723" t="s">
        <v>260</v>
      </c>
      <c r="B110" s="1724"/>
      <c r="C110" s="172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235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236</v>
      </c>
      <c r="B112" s="197"/>
      <c r="C112" s="197"/>
      <c r="D112" s="55" t="s">
        <v>237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238</v>
      </c>
      <c r="B113" s="197"/>
      <c r="C113" s="197"/>
      <c r="D113" s="55" t="s">
        <v>237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239</v>
      </c>
      <c r="B114" s="197"/>
      <c r="C114" s="197"/>
      <c r="D114" s="55" t="s">
        <v>237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240</v>
      </c>
      <c r="B115" s="197"/>
      <c r="C115" s="197"/>
      <c r="D115" s="55" t="s">
        <v>237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241</v>
      </c>
      <c r="B116" s="197"/>
      <c r="C116" s="197"/>
      <c r="D116" s="55" t="s">
        <v>237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242</v>
      </c>
      <c r="B117" s="197"/>
      <c r="C117" s="197"/>
      <c r="D117" s="55" t="s">
        <v>237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243</v>
      </c>
      <c r="B118" s="197"/>
      <c r="C118" s="197"/>
      <c r="D118" s="55" t="s">
        <v>237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244</v>
      </c>
      <c r="B119" s="197"/>
      <c r="C119" s="197"/>
      <c r="D119" s="55" t="s">
        <v>237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245</v>
      </c>
      <c r="B120" s="197"/>
      <c r="C120" s="197"/>
      <c r="D120" s="55" t="s">
        <v>237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246</v>
      </c>
      <c r="B121" s="197"/>
      <c r="C121" s="197"/>
      <c r="D121" s="55" t="s">
        <v>237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247</v>
      </c>
      <c r="B122" s="197"/>
      <c r="C122" s="197"/>
      <c r="D122" s="55" t="s">
        <v>237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45" t="s">
        <v>115</v>
      </c>
      <c r="B1" s="1745"/>
      <c r="C1" s="1745"/>
      <c r="D1" s="1745"/>
      <c r="E1" s="1745"/>
      <c r="F1" s="1745"/>
      <c r="G1" s="1745"/>
      <c r="H1" s="1745"/>
      <c r="I1" s="1745"/>
      <c r="J1" s="1745"/>
    </row>
    <row r="2" spans="1:12" ht="23.25" customHeight="1">
      <c r="A2" s="282" t="s">
        <v>286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116</v>
      </c>
      <c r="H2" s="285" t="s">
        <v>6</v>
      </c>
      <c r="I2" s="285" t="s">
        <v>8</v>
      </c>
      <c r="J2" s="286" t="s">
        <v>117</v>
      </c>
    </row>
    <row r="3" spans="1:12" ht="23.25" customHeight="1">
      <c r="A3" s="288"/>
      <c r="B3" s="289"/>
      <c r="C3" s="1127" t="s">
        <v>118</v>
      </c>
      <c r="D3" s="386">
        <v>32</v>
      </c>
      <c r="E3" s="1759" t="s">
        <v>119</v>
      </c>
      <c r="F3" s="176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120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121</v>
      </c>
      <c r="B5" s="297"/>
      <c r="C5" s="298"/>
      <c r="D5" s="299" t="s">
        <v>122</v>
      </c>
      <c r="E5" s="300" t="s">
        <v>123</v>
      </c>
      <c r="F5" s="300" t="s">
        <v>110</v>
      </c>
      <c r="G5" s="301" t="s">
        <v>124</v>
      </c>
      <c r="H5" s="222" t="s">
        <v>125</v>
      </c>
      <c r="I5" s="223" t="s">
        <v>126</v>
      </c>
      <c r="J5" s="221" t="s">
        <v>127</v>
      </c>
      <c r="K5" s="53"/>
      <c r="L5" s="117"/>
    </row>
    <row r="6" spans="1:12" ht="23.25" customHeight="1">
      <c r="A6" s="1761" t="s">
        <v>128</v>
      </c>
      <c r="B6" s="1762"/>
      <c r="C6" s="1763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129</v>
      </c>
      <c r="B7" s="303"/>
      <c r="C7" s="304"/>
      <c r="D7" s="305" t="s">
        <v>130</v>
      </c>
      <c r="E7" s="159">
        <f>'29'!F7</f>
        <v>562268</v>
      </c>
      <c r="F7" s="306">
        <v>3615871.9</v>
      </c>
      <c r="G7" s="307">
        <f>F7-E7</f>
        <v>3053603.9</v>
      </c>
      <c r="H7" s="57">
        <f>G7+'29'!H7</f>
        <v>3693918.9</v>
      </c>
      <c r="I7" s="276">
        <f>'1'!I7</f>
        <v>12000</v>
      </c>
      <c r="J7" s="58">
        <f>H7/DAY(B2)</f>
        <v>123130.62999999999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132</v>
      </c>
      <c r="B9" s="316"/>
      <c r="C9" s="317"/>
      <c r="D9" s="268" t="s">
        <v>130</v>
      </c>
      <c r="E9" s="56">
        <f>'29'!F9</f>
        <v>2652678</v>
      </c>
      <c r="F9" s="264">
        <v>2288314.7000000002</v>
      </c>
      <c r="G9" s="318">
        <f t="shared" ref="G9:G11" si="0">F9-E9</f>
        <v>-364363.29999999981</v>
      </c>
      <c r="H9" s="57">
        <f>G9+'29'!H9</f>
        <v>257312.70000000019</v>
      </c>
      <c r="I9" s="278">
        <f>I7-J7</f>
        <v>-111130.62999999999</v>
      </c>
      <c r="J9" s="58">
        <f>H9/DAY(B2)</f>
        <v>8577.0900000000056</v>
      </c>
      <c r="K9" s="59"/>
      <c r="L9" s="117"/>
    </row>
    <row r="10" spans="1:12" ht="23.25" customHeight="1">
      <c r="A10" s="320" t="s">
        <v>133</v>
      </c>
      <c r="B10" s="321"/>
      <c r="C10" s="322"/>
      <c r="D10" s="268" t="s">
        <v>130</v>
      </c>
      <c r="E10" s="56">
        <f>'29'!F10</f>
        <v>2607</v>
      </c>
      <c r="F10" s="264">
        <v>1226059.3999999999</v>
      </c>
      <c r="G10" s="318">
        <f t="shared" si="0"/>
        <v>1223452.3999999999</v>
      </c>
      <c r="H10" s="57">
        <f>G10+'29'!H10</f>
        <v>1223453.1499999999</v>
      </c>
      <c r="I10" s="69"/>
      <c r="J10" s="58">
        <f>H10/DAY(B2)</f>
        <v>40781.77166666666</v>
      </c>
      <c r="K10" s="59"/>
      <c r="L10" s="117"/>
    </row>
    <row r="11" spans="1:12" ht="23.25" customHeight="1">
      <c r="A11" s="320" t="s">
        <v>134</v>
      </c>
      <c r="B11" s="321"/>
      <c r="C11" s="322"/>
      <c r="D11" s="268" t="s">
        <v>130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135</v>
      </c>
      <c r="B12" s="321"/>
      <c r="C12" s="322"/>
      <c r="D12" s="268" t="s">
        <v>130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136</v>
      </c>
      <c r="B13" s="401"/>
      <c r="C13" s="402"/>
      <c r="D13" s="268"/>
      <c r="E13" s="422"/>
      <c r="F13" s="279"/>
      <c r="G13" s="279">
        <f>G9+G10+G11+G12</f>
        <v>855949.10000000009</v>
      </c>
      <c r="H13" s="57">
        <f>G13+'29'!H13</f>
        <v>1457298.85</v>
      </c>
      <c r="I13" s="369">
        <f>G7-G13</f>
        <v>2197654.7999999998</v>
      </c>
      <c r="J13" s="308">
        <f>H13/DAY(B2)</f>
        <v>48576.628333333334</v>
      </c>
      <c r="K13" s="59"/>
      <c r="L13" s="117"/>
    </row>
    <row r="14" spans="1:12" ht="23.25" customHeight="1">
      <c r="A14" s="1764" t="s">
        <v>137</v>
      </c>
      <c r="B14" s="1765"/>
      <c r="C14" s="1766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138</v>
      </c>
      <c r="B15" s="324"/>
      <c r="C15" s="325"/>
      <c r="D15" s="305" t="s">
        <v>139</v>
      </c>
      <c r="E15" s="159">
        <f>'29'!F15</f>
        <v>1727705</v>
      </c>
      <c r="F15" s="266">
        <v>1040573.68</v>
      </c>
      <c r="G15" s="318">
        <f>(F15-E15)</f>
        <v>-687131.32</v>
      </c>
      <c r="H15" s="57">
        <f>G15+'29'!H15</f>
        <v>-663109.31999999995</v>
      </c>
      <c r="I15" s="276">
        <f>'1'!I15</f>
        <v>800</v>
      </c>
      <c r="J15" s="58">
        <f>H15/DAY(B2)</f>
        <v>-22103.643999999997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22903.643999999997</v>
      </c>
      <c r="J16" s="229"/>
      <c r="K16" s="59"/>
      <c r="L16" s="117"/>
    </row>
    <row r="17" spans="1:12" ht="23.25" customHeight="1">
      <c r="A17" s="1764" t="s">
        <v>140</v>
      </c>
      <c r="B17" s="1765"/>
      <c r="C17" s="1766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56" t="s">
        <v>141</v>
      </c>
      <c r="B18" s="1757"/>
      <c r="C18" s="1758"/>
      <c r="D18" s="268" t="s">
        <v>142</v>
      </c>
      <c r="E18" s="415">
        <f>'29'!F18</f>
        <v>14</v>
      </c>
      <c r="F18" s="267">
        <v>24</v>
      </c>
      <c r="G18" s="279">
        <f>F18*10</f>
        <v>240</v>
      </c>
      <c r="H18" s="57">
        <f>G18+'29'!H18</f>
        <v>3980</v>
      </c>
      <c r="I18" s="158">
        <f>'1'!I18</f>
        <v>65</v>
      </c>
      <c r="J18" s="58">
        <f>H18/DAY(B2)</f>
        <v>132.66666666666666</v>
      </c>
      <c r="K18" s="59"/>
      <c r="L18" s="117"/>
    </row>
    <row r="19" spans="1:12" ht="23.25" customHeight="1">
      <c r="A19" s="1756" t="s">
        <v>70</v>
      </c>
      <c r="B19" s="1757"/>
      <c r="C19" s="1758"/>
      <c r="D19" s="268" t="s">
        <v>142</v>
      </c>
      <c r="E19" s="56">
        <f>'29'!F19</f>
        <v>143265</v>
      </c>
      <c r="F19" s="267">
        <v>99778</v>
      </c>
      <c r="G19" s="318">
        <f t="shared" ref="G19" si="1">F19-E19</f>
        <v>-43487</v>
      </c>
      <c r="H19" s="57">
        <f>G19+'29'!H19</f>
        <v>-41717</v>
      </c>
      <c r="I19" s="80"/>
      <c r="J19" s="58">
        <f>H19/DAY(B2)</f>
        <v>-1390.5666666666666</v>
      </c>
      <c r="K19" s="59"/>
      <c r="L19" s="117"/>
    </row>
    <row r="20" spans="1:12" ht="23.25" customHeight="1">
      <c r="A20" s="400" t="s">
        <v>143</v>
      </c>
      <c r="B20" s="401"/>
      <c r="C20" s="402"/>
      <c r="D20" s="330"/>
      <c r="E20" s="421"/>
      <c r="F20" s="330"/>
      <c r="G20" s="331">
        <f>G18+G19</f>
        <v>-43247</v>
      </c>
      <c r="H20" s="57">
        <f>G20+'29'!H20</f>
        <v>-37737</v>
      </c>
      <c r="I20" s="127">
        <f>J20-I18</f>
        <v>-1322.9</v>
      </c>
      <c r="J20" s="58">
        <f>H20/DAY(B2)</f>
        <v>-1257.9000000000001</v>
      </c>
      <c r="K20" s="59"/>
      <c r="L20" s="117"/>
    </row>
    <row r="21" spans="1:12" ht="23.25" customHeight="1">
      <c r="A21" s="1764" t="s">
        <v>144</v>
      </c>
      <c r="B21" s="1765"/>
      <c r="C21" s="1766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19" t="s">
        <v>145</v>
      </c>
      <c r="B22" s="1120"/>
      <c r="C22" s="1121"/>
      <c r="D22" s="268" t="s">
        <v>146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19" t="s">
        <v>147</v>
      </c>
      <c r="B23" s="1120"/>
      <c r="C23" s="1121"/>
      <c r="D23" s="268" t="s">
        <v>146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148</v>
      </c>
      <c r="B24" s="404"/>
      <c r="C24" s="405"/>
      <c r="D24" s="269" t="s">
        <v>146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70" t="s">
        <v>149</v>
      </c>
      <c r="B25" s="1771"/>
      <c r="C25" s="1772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150</v>
      </c>
      <c r="B26" s="334"/>
      <c r="C26" s="335"/>
      <c r="D26" s="336" t="s">
        <v>151</v>
      </c>
      <c r="E26" s="337" t="s">
        <v>287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130</v>
      </c>
      <c r="E27" s="340">
        <f>G7</f>
        <v>3053603.9</v>
      </c>
      <c r="F27" s="412">
        <v>10.86</v>
      </c>
      <c r="G27" s="366">
        <f>E27*F27</f>
        <v>33162138.353999998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152</v>
      </c>
      <c r="B28" s="334"/>
      <c r="C28" s="335"/>
      <c r="D28" s="339" t="s">
        <v>153</v>
      </c>
      <c r="E28" s="341">
        <f>G15</f>
        <v>-687131.32</v>
      </c>
      <c r="F28" s="412">
        <v>44</v>
      </c>
      <c r="G28" s="366">
        <f>E28*F28</f>
        <v>-30233778.079999998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154</v>
      </c>
      <c r="B29" s="334"/>
      <c r="C29" s="335"/>
      <c r="D29" s="339" t="s">
        <v>155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157</v>
      </c>
      <c r="E30" s="342">
        <f>G20</f>
        <v>-43247</v>
      </c>
      <c r="F30" s="412">
        <v>95</v>
      </c>
      <c r="G30" s="366">
        <f>E30*F30</f>
        <v>-4108465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159</v>
      </c>
      <c r="B31" s="407"/>
      <c r="C31" s="408"/>
      <c r="D31" s="343"/>
      <c r="E31" s="343"/>
      <c r="F31" s="343"/>
      <c r="G31" s="367">
        <f>G27+G28+G29+G30</f>
        <v>-1180104.7259999998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48" t="s">
        <v>160</v>
      </c>
      <c r="B32" s="1749"/>
      <c r="C32" s="1749"/>
      <c r="D32" s="1749"/>
      <c r="E32" s="1749"/>
      <c r="F32" s="1749"/>
      <c r="G32" s="1749"/>
      <c r="H32" s="1749"/>
      <c r="I32" s="1749"/>
      <c r="J32" s="1750"/>
      <c r="K32" s="59"/>
      <c r="L32" s="117"/>
    </row>
    <row r="33" spans="1:12" ht="23.25" customHeight="1">
      <c r="A33" s="1114" t="s">
        <v>161</v>
      </c>
      <c r="B33" s="1115"/>
      <c r="C33" s="1116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162</v>
      </c>
      <c r="B34" s="321"/>
      <c r="C34" s="322"/>
      <c r="D34" s="268" t="s">
        <v>130</v>
      </c>
      <c r="E34" s="415">
        <f>'29'!F35</f>
        <v>1058597</v>
      </c>
      <c r="F34" s="344">
        <v>0</v>
      </c>
      <c r="G34" s="318">
        <f t="shared" ref="G34:G45" si="3">F34-E34</f>
        <v>-1058597</v>
      </c>
      <c r="H34" s="57">
        <f>G34+'29'!H35</f>
        <v>-1028714</v>
      </c>
      <c r="I34" s="56"/>
      <c r="J34" s="58">
        <f>H34/DAY(B2)</f>
        <v>-34290.466666666667</v>
      </c>
      <c r="K34" s="59"/>
      <c r="L34" s="117"/>
    </row>
    <row r="35" spans="1:12" ht="23.25" customHeight="1">
      <c r="A35" s="320" t="s">
        <v>163</v>
      </c>
      <c r="B35" s="321"/>
      <c r="C35" s="322"/>
      <c r="D35" s="268" t="s">
        <v>130</v>
      </c>
      <c r="E35" s="56">
        <f>'29'!F36</f>
        <v>44995</v>
      </c>
      <c r="F35" s="344">
        <v>694322.47</v>
      </c>
      <c r="G35" s="318">
        <f t="shared" si="3"/>
        <v>649327.47</v>
      </c>
      <c r="H35" s="57">
        <f>G35+'29'!H36</f>
        <v>673861.47</v>
      </c>
      <c r="I35" s="56"/>
      <c r="J35" s="58">
        <f>H35/DAY(B2)</f>
        <v>22462.048999999999</v>
      </c>
      <c r="K35" s="59"/>
      <c r="L35" s="117"/>
    </row>
    <row r="36" spans="1:12" ht="23.25" customHeight="1">
      <c r="A36" s="320" t="s">
        <v>164</v>
      </c>
      <c r="B36" s="321"/>
      <c r="C36" s="322"/>
      <c r="D36" s="268" t="s">
        <v>130</v>
      </c>
      <c r="E36" s="56">
        <f>'29'!F37</f>
        <v>222885</v>
      </c>
      <c r="F36" s="344">
        <v>392708.87</v>
      </c>
      <c r="G36" s="318">
        <f t="shared" si="3"/>
        <v>169823.87</v>
      </c>
      <c r="H36" s="57">
        <f>G36+'29'!H37</f>
        <v>216138.87</v>
      </c>
      <c r="I36" s="56"/>
      <c r="J36" s="58">
        <f>H36/DAY(B2)</f>
        <v>7204.6289999999999</v>
      </c>
      <c r="K36" s="59"/>
      <c r="L36" s="117"/>
    </row>
    <row r="37" spans="1:12" ht="23.25" customHeight="1">
      <c r="A37" s="320" t="s">
        <v>165</v>
      </c>
      <c r="B37" s="321"/>
      <c r="C37" s="322"/>
      <c r="D37" s="268" t="s">
        <v>130</v>
      </c>
      <c r="E37" s="56">
        <f>'29'!F38</f>
        <v>245114</v>
      </c>
      <c r="F37" s="345">
        <v>675505.75</v>
      </c>
      <c r="G37" s="318">
        <f t="shared" si="3"/>
        <v>430391.75</v>
      </c>
      <c r="H37" s="57">
        <f>G37+'29'!H38</f>
        <v>477046.75</v>
      </c>
      <c r="I37" s="56"/>
      <c r="J37" s="58">
        <f>H37/DAY(B2)</f>
        <v>15901.558333333332</v>
      </c>
      <c r="K37" s="59"/>
      <c r="L37" s="117"/>
    </row>
    <row r="38" spans="1:12" ht="23.25" customHeight="1">
      <c r="A38" s="320" t="s">
        <v>166</v>
      </c>
      <c r="B38" s="321"/>
      <c r="C38" s="322"/>
      <c r="D38" s="268" t="s">
        <v>130</v>
      </c>
      <c r="E38" s="56">
        <f>'29'!F39</f>
        <v>512863</v>
      </c>
      <c r="F38" s="344">
        <v>2497766.1</v>
      </c>
      <c r="G38" s="318">
        <f t="shared" si="3"/>
        <v>1984903.1</v>
      </c>
      <c r="H38" s="57">
        <f>G38+'29'!H39</f>
        <v>2092902.1</v>
      </c>
      <c r="I38" s="56"/>
      <c r="J38" s="58">
        <f>H38/DAY(B2)</f>
        <v>69763.403333333335</v>
      </c>
      <c r="K38" s="59"/>
      <c r="L38" s="117"/>
    </row>
    <row r="39" spans="1:12" ht="23.25" customHeight="1">
      <c r="A39" s="346" t="s">
        <v>167</v>
      </c>
      <c r="B39" s="347"/>
      <c r="C39" s="348"/>
      <c r="D39" s="268" t="s">
        <v>130</v>
      </c>
      <c r="E39" s="56">
        <f>'29'!F40</f>
        <v>19128</v>
      </c>
      <c r="F39" s="344">
        <v>0</v>
      </c>
      <c r="G39" s="318">
        <f t="shared" si="3"/>
        <v>-19128</v>
      </c>
      <c r="H39" s="57">
        <f>G39+'29'!H40</f>
        <v>-7113</v>
      </c>
      <c r="I39" s="56"/>
      <c r="J39" s="58">
        <f>H39/DAY(B2)</f>
        <v>-237.1</v>
      </c>
      <c r="K39" s="75"/>
      <c r="L39" s="117"/>
    </row>
    <row r="40" spans="1:12" ht="23.25" customHeight="1">
      <c r="A40" s="320" t="s">
        <v>168</v>
      </c>
      <c r="B40" s="321"/>
      <c r="C40" s="322"/>
      <c r="D40" s="268" t="s">
        <v>130</v>
      </c>
      <c r="E40" s="56">
        <f>'29'!F41</f>
        <v>366840</v>
      </c>
      <c r="F40" s="344">
        <v>1138016.5</v>
      </c>
      <c r="G40" s="318">
        <f t="shared" si="3"/>
        <v>771176.5</v>
      </c>
      <c r="H40" s="57">
        <f>G40+'29'!H41</f>
        <v>808374.5</v>
      </c>
      <c r="I40" s="56"/>
      <c r="J40" s="58">
        <f>H40/DAY(B2)</f>
        <v>26945.816666666666</v>
      </c>
      <c r="K40" s="59"/>
      <c r="L40" s="117"/>
    </row>
    <row r="41" spans="1:12" ht="23.25" customHeight="1">
      <c r="A41" s="320" t="s">
        <v>169</v>
      </c>
      <c r="B41" s="321"/>
      <c r="C41" s="322"/>
      <c r="D41" s="268" t="s">
        <v>130</v>
      </c>
      <c r="E41" s="56">
        <f>'29'!F42</f>
        <v>111473</v>
      </c>
      <c r="F41" s="344">
        <v>1251783.8</v>
      </c>
      <c r="G41" s="318">
        <f t="shared" si="3"/>
        <v>1140310.8</v>
      </c>
      <c r="H41" s="57">
        <f>G41+'29'!H42</f>
        <v>1192584.9100000001</v>
      </c>
      <c r="I41" s="56"/>
      <c r="J41" s="58">
        <f>H41/DAY(B2)</f>
        <v>39752.830333333339</v>
      </c>
      <c r="K41" s="59"/>
      <c r="L41" s="117"/>
    </row>
    <row r="42" spans="1:12" ht="23.25" customHeight="1">
      <c r="A42" s="320" t="s">
        <v>170</v>
      </c>
      <c r="B42" s="321"/>
      <c r="C42" s="322"/>
      <c r="D42" s="268" t="s">
        <v>130</v>
      </c>
      <c r="E42" s="56">
        <f>'29'!F43</f>
        <v>1198997</v>
      </c>
      <c r="F42" s="344">
        <v>1479848.9</v>
      </c>
      <c r="G42" s="318">
        <f t="shared" si="3"/>
        <v>280851.89999999991</v>
      </c>
      <c r="H42" s="57">
        <f>G42+'29'!H43</f>
        <v>359396.89999999991</v>
      </c>
      <c r="I42" s="56"/>
      <c r="J42" s="58">
        <f>H42/DAY(B2)</f>
        <v>11979.896666666664</v>
      </c>
      <c r="K42" s="59"/>
      <c r="L42" s="117"/>
    </row>
    <row r="43" spans="1:12" ht="23.25" customHeight="1">
      <c r="A43" s="320" t="s">
        <v>171</v>
      </c>
      <c r="B43" s="321"/>
      <c r="C43" s="322"/>
      <c r="D43" s="268" t="s">
        <v>130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172</v>
      </c>
      <c r="B44" s="321"/>
      <c r="C44" s="322"/>
      <c r="D44" s="268" t="s">
        <v>130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173</v>
      </c>
      <c r="B45" s="321"/>
      <c r="C45" s="322"/>
      <c r="D45" s="268" t="s">
        <v>130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00" t="s">
        <v>174</v>
      </c>
      <c r="B46" s="401"/>
      <c r="C46" s="402"/>
      <c r="D46" s="349"/>
      <c r="E46" s="414"/>
      <c r="F46" s="269"/>
      <c r="G46" s="279">
        <f>G34+G35+G36+G37+G38+G39+G40+G41+G42+G43+G44+G45</f>
        <v>4350479.3900000006</v>
      </c>
      <c r="H46" s="57">
        <f>G46+'29'!H47</f>
        <v>4786698.5000000009</v>
      </c>
      <c r="I46" s="56"/>
      <c r="J46" s="58">
        <f>H46/DAY(B2)</f>
        <v>159556.6166666667</v>
      </c>
      <c r="K46" s="59"/>
      <c r="L46" s="117"/>
    </row>
    <row r="47" spans="1:12" ht="23.25" customHeight="1">
      <c r="A47" s="1114" t="s">
        <v>175</v>
      </c>
      <c r="B47" s="1115"/>
      <c r="C47" s="1116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162</v>
      </c>
      <c r="B48" s="350"/>
      <c r="C48" s="351"/>
      <c r="D48" s="268" t="s">
        <v>130</v>
      </c>
      <c r="E48" s="415">
        <f>'29'!F49</f>
        <v>318012</v>
      </c>
      <c r="F48" s="344">
        <v>793704.71</v>
      </c>
      <c r="G48" s="318">
        <f t="shared" ref="G48:G57" si="4">F48-E48</f>
        <v>475692.70999999996</v>
      </c>
      <c r="H48" s="57">
        <f>G48+'29'!H49</f>
        <v>532940.71</v>
      </c>
      <c r="I48" s="56"/>
      <c r="J48" s="58">
        <f>H48/DAY(B2)</f>
        <v>17764.690333333332</v>
      </c>
      <c r="K48" s="59"/>
      <c r="L48" s="117"/>
    </row>
    <row r="49" spans="1:12" ht="23.25" customHeight="1">
      <c r="A49" s="320" t="s">
        <v>176</v>
      </c>
      <c r="B49" s="350"/>
      <c r="C49" s="351"/>
      <c r="D49" s="268" t="s">
        <v>130</v>
      </c>
      <c r="E49" s="56">
        <f>'29'!F50</f>
        <v>567719</v>
      </c>
      <c r="F49" s="344">
        <v>707853.75</v>
      </c>
      <c r="G49" s="318">
        <f t="shared" si="4"/>
        <v>140134.75</v>
      </c>
      <c r="H49" s="57">
        <f>G49+'29'!H50</f>
        <v>172097.75</v>
      </c>
      <c r="I49" s="56"/>
      <c r="J49" s="58">
        <f>H49/DAY(B2)</f>
        <v>5736.5916666666662</v>
      </c>
      <c r="K49" s="59"/>
      <c r="L49" s="117"/>
    </row>
    <row r="50" spans="1:12" ht="23.25" customHeight="1">
      <c r="A50" s="320" t="s">
        <v>164</v>
      </c>
      <c r="B50" s="350"/>
      <c r="C50" s="351"/>
      <c r="D50" s="268" t="s">
        <v>130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177</v>
      </c>
      <c r="B51" s="350"/>
      <c r="C51" s="351"/>
      <c r="D51" s="268" t="s">
        <v>130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166</v>
      </c>
      <c r="B52" s="350"/>
      <c r="C52" s="351"/>
      <c r="D52" s="268" t="s">
        <v>130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61571.260000000009</v>
      </c>
      <c r="I52" s="56"/>
      <c r="J52" s="58">
        <f>H52/DAY(B2)</f>
        <v>2052.3753333333339</v>
      </c>
      <c r="K52" s="59"/>
      <c r="L52" s="117"/>
    </row>
    <row r="53" spans="1:12" ht="23.25" customHeight="1">
      <c r="A53" s="320" t="s">
        <v>178</v>
      </c>
      <c r="B53" s="350"/>
      <c r="C53" s="351"/>
      <c r="D53" s="268" t="s">
        <v>130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40504.01</v>
      </c>
      <c r="I53" s="56"/>
      <c r="J53" s="58">
        <f>H53/DAY(B2)</f>
        <v>1350.1336666666668</v>
      </c>
      <c r="K53" s="59"/>
      <c r="L53" s="117"/>
    </row>
    <row r="54" spans="1:12" ht="23.25" customHeight="1">
      <c r="A54" s="320" t="s">
        <v>179</v>
      </c>
      <c r="B54" s="350"/>
      <c r="C54" s="351"/>
      <c r="D54" s="268" t="s">
        <v>130</v>
      </c>
      <c r="E54" s="56">
        <f>'29'!F55</f>
        <v>225654</v>
      </c>
      <c r="F54" s="344">
        <v>741511.59</v>
      </c>
      <c r="G54" s="318">
        <f t="shared" si="4"/>
        <v>515857.58999999997</v>
      </c>
      <c r="H54" s="57">
        <f>G54+'29'!H55</f>
        <v>618301.59</v>
      </c>
      <c r="I54" s="56"/>
      <c r="J54" s="58">
        <f>H54/DAY(B2)</f>
        <v>20610.053</v>
      </c>
      <c r="K54" s="59"/>
      <c r="L54" s="117"/>
    </row>
    <row r="55" spans="1:12" ht="23.25" customHeight="1">
      <c r="A55" s="320" t="s">
        <v>180</v>
      </c>
      <c r="B55" s="350"/>
      <c r="C55" s="351"/>
      <c r="D55" s="268" t="s">
        <v>181</v>
      </c>
      <c r="E55" s="56">
        <f>'29'!F56</f>
        <v>649338</v>
      </c>
      <c r="F55" s="344">
        <v>334966</v>
      </c>
      <c r="G55" s="318">
        <f t="shared" si="4"/>
        <v>-314372</v>
      </c>
      <c r="H55" s="57">
        <f>G55+'29'!H56</f>
        <v>-314076</v>
      </c>
      <c r="I55" s="56"/>
      <c r="J55" s="58">
        <f>H55/DAY(B2)</f>
        <v>-10469.200000000001</v>
      </c>
      <c r="K55" s="43"/>
      <c r="L55" s="117"/>
    </row>
    <row r="56" spans="1:12" ht="23.25" customHeight="1">
      <c r="A56" s="320" t="s">
        <v>170</v>
      </c>
      <c r="B56" s="350"/>
      <c r="C56" s="351"/>
      <c r="D56" s="268" t="s">
        <v>130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182</v>
      </c>
      <c r="B57" s="350"/>
      <c r="C57" s="351"/>
      <c r="D57" s="268" t="s">
        <v>130</v>
      </c>
      <c r="E57" s="56">
        <f>'29'!F58</f>
        <v>59251</v>
      </c>
      <c r="F57" s="344">
        <v>2065.9499999999998</v>
      </c>
      <c r="G57" s="318">
        <f t="shared" si="4"/>
        <v>-57185.05</v>
      </c>
      <c r="H57" s="57">
        <f>G57+'29'!H58</f>
        <v>-52114.05</v>
      </c>
      <c r="I57" s="56"/>
      <c r="J57" s="58">
        <f>H57/DAY(B2)</f>
        <v>-1737.135</v>
      </c>
      <c r="K57" s="59"/>
      <c r="L57" s="117"/>
    </row>
    <row r="58" spans="1:12" ht="23.25" customHeight="1">
      <c r="A58" s="400" t="s">
        <v>174</v>
      </c>
      <c r="B58" s="401"/>
      <c r="C58" s="402"/>
      <c r="D58" s="269"/>
      <c r="E58" s="414"/>
      <c r="F58" s="269"/>
      <c r="G58" s="279">
        <f>G48+G49+G50+G51+G52+G53+G54+G55+G56+G57</f>
        <v>1966409.7299999997</v>
      </c>
      <c r="H58" s="57">
        <f>G58+'29'!H59</f>
        <v>2163431.34</v>
      </c>
      <c r="I58" s="56">
        <f>G7-G59</f>
        <v>-3263285.22</v>
      </c>
      <c r="J58" s="58">
        <f>H58/DAY(B2)</f>
        <v>72114.377999999997</v>
      </c>
      <c r="K58" s="59"/>
      <c r="L58" s="117"/>
    </row>
    <row r="59" spans="1:12" ht="23.25" customHeight="1">
      <c r="A59" s="352"/>
      <c r="B59" s="352"/>
      <c r="C59" s="352"/>
      <c r="D59" s="269" t="s">
        <v>183</v>
      </c>
      <c r="E59" s="269"/>
      <c r="F59" s="269"/>
      <c r="G59" s="279">
        <f>G46+G58</f>
        <v>6316889.1200000001</v>
      </c>
      <c r="H59" s="57">
        <f>G59+'29'!H60</f>
        <v>6957033.1699999999</v>
      </c>
      <c r="I59" s="56">
        <f>G13-G59</f>
        <v>-5460940.0199999996</v>
      </c>
      <c r="J59" s="58">
        <f>H59/DAY(B2)</f>
        <v>231901.10566666667</v>
      </c>
      <c r="K59" s="59"/>
      <c r="L59" s="117"/>
    </row>
    <row r="60" spans="1:12" ht="23.25" customHeight="1">
      <c r="A60" s="392" t="s">
        <v>184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185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186</v>
      </c>
      <c r="B62" s="354"/>
      <c r="C62" s="355"/>
      <c r="D62" s="269" t="s">
        <v>185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73" t="s">
        <v>98</v>
      </c>
      <c r="B63" s="1774"/>
      <c r="C63" s="1775"/>
      <c r="D63" s="268" t="s">
        <v>185</v>
      </c>
      <c r="E63" s="56">
        <f>'29'!F64</f>
        <v>181134</v>
      </c>
      <c r="F63" s="267">
        <v>274089</v>
      </c>
      <c r="G63" s="318">
        <f t="shared" si="5"/>
        <v>92955</v>
      </c>
      <c r="H63" s="57">
        <f>G63+'29'!H64</f>
        <v>104067</v>
      </c>
      <c r="I63" s="69"/>
      <c r="J63" s="58">
        <f>H63/DAY(B2)</f>
        <v>3468.9</v>
      </c>
      <c r="K63" s="59"/>
      <c r="L63" s="117"/>
    </row>
    <row r="64" spans="1:12" ht="23.25" customHeight="1">
      <c r="A64" s="1773" t="s">
        <v>99</v>
      </c>
      <c r="B64" s="1774"/>
      <c r="C64" s="1775"/>
      <c r="D64" s="268" t="s">
        <v>185</v>
      </c>
      <c r="E64" s="56">
        <f>'29'!F65</f>
        <v>181412</v>
      </c>
      <c r="F64" s="267">
        <v>218102.43</v>
      </c>
      <c r="G64" s="318">
        <f t="shared" si="5"/>
        <v>36690.429999999993</v>
      </c>
      <c r="H64" s="57">
        <f>G64+'29'!H65</f>
        <v>47800.429999999993</v>
      </c>
      <c r="I64" s="80"/>
      <c r="J64" s="58">
        <f>H64/DAY(B2)</f>
        <v>1593.3476666666663</v>
      </c>
      <c r="K64" s="59"/>
      <c r="L64" s="117"/>
    </row>
    <row r="65" spans="1:12" ht="23.25" customHeight="1">
      <c r="A65" s="1773" t="s">
        <v>100</v>
      </c>
      <c r="B65" s="1774"/>
      <c r="C65" s="1775"/>
      <c r="D65" s="268" t="s">
        <v>185</v>
      </c>
      <c r="E65" s="56">
        <f>'29'!F66</f>
        <v>79841</v>
      </c>
      <c r="F65" s="267">
        <v>7977.92</v>
      </c>
      <c r="G65" s="318">
        <f t="shared" si="5"/>
        <v>-71863.08</v>
      </c>
      <c r="H65" s="57">
        <f>G65+'29'!H66</f>
        <v>-59992.08</v>
      </c>
      <c r="I65" s="69"/>
      <c r="J65" s="58">
        <f>H65/DAY(B2)</f>
        <v>-1999.7360000000001</v>
      </c>
      <c r="K65" s="59"/>
      <c r="L65" s="117"/>
    </row>
    <row r="66" spans="1:12" ht="23.25" customHeight="1">
      <c r="A66" s="1773" t="s">
        <v>101</v>
      </c>
      <c r="B66" s="1774"/>
      <c r="C66" s="1775"/>
      <c r="D66" s="268" t="s">
        <v>185</v>
      </c>
      <c r="E66" s="56">
        <f>'29'!F67</f>
        <v>278995</v>
      </c>
      <c r="F66" s="267">
        <v>350190.03</v>
      </c>
      <c r="G66" s="318">
        <f t="shared" si="5"/>
        <v>71195.030000000028</v>
      </c>
      <c r="H66" s="57">
        <f>G66+'29'!H67</f>
        <v>85231.030000000028</v>
      </c>
      <c r="I66" s="80"/>
      <c r="J66" s="58">
        <f>H66/DAY(B2)</f>
        <v>2841.0343333333344</v>
      </c>
      <c r="K66" s="75"/>
      <c r="L66" s="117"/>
    </row>
    <row r="67" spans="1:12" ht="23.25" customHeight="1">
      <c r="A67" s="1773" t="s">
        <v>102</v>
      </c>
      <c r="B67" s="1774"/>
      <c r="C67" s="1775"/>
      <c r="D67" s="268" t="s">
        <v>185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73" t="s">
        <v>103</v>
      </c>
      <c r="B68" s="1774"/>
      <c r="C68" s="1775"/>
      <c r="D68" s="268" t="s">
        <v>185</v>
      </c>
      <c r="E68" s="56">
        <f>'29'!F69</f>
        <v>95873</v>
      </c>
      <c r="F68" s="267">
        <v>156094.09</v>
      </c>
      <c r="G68" s="318">
        <f t="shared" si="5"/>
        <v>60221.09</v>
      </c>
      <c r="H68" s="57">
        <f>G68+'29'!H69</f>
        <v>68579.09</v>
      </c>
      <c r="I68" s="105"/>
      <c r="J68" s="58">
        <f>H68/DAY(B2)</f>
        <v>2285.9696666666664</v>
      </c>
      <c r="K68" s="85"/>
      <c r="L68" s="117"/>
    </row>
    <row r="69" spans="1:12" ht="23.25" customHeight="1">
      <c r="A69" s="1776" t="s">
        <v>187</v>
      </c>
      <c r="B69" s="1777"/>
      <c r="C69" s="1778"/>
      <c r="D69" s="268" t="s">
        <v>185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67" t="s">
        <v>188</v>
      </c>
      <c r="B70" s="1768"/>
      <c r="C70" s="1768"/>
      <c r="D70" s="1768"/>
      <c r="E70" s="1768"/>
      <c r="F70" s="1768"/>
      <c r="G70" s="1768"/>
      <c r="H70" s="1768"/>
      <c r="I70" s="1768"/>
      <c r="J70" s="1769"/>
      <c r="K70" s="83"/>
      <c r="L70" s="117"/>
    </row>
    <row r="71" spans="1:12" ht="23.25" customHeight="1">
      <c r="A71" s="1773" t="s">
        <v>189</v>
      </c>
      <c r="B71" s="1774"/>
      <c r="C71" s="1775"/>
      <c r="D71" s="268" t="s">
        <v>185</v>
      </c>
      <c r="E71" s="415">
        <f>'29'!F72</f>
        <v>856582</v>
      </c>
      <c r="F71" s="271">
        <v>788748</v>
      </c>
      <c r="G71" s="318">
        <f t="shared" ref="G71:G83" si="6">F71-E71</f>
        <v>-67834</v>
      </c>
      <c r="H71" s="57">
        <f>G71+'29'!H72</f>
        <v>-67487</v>
      </c>
      <c r="I71" s="69"/>
      <c r="J71" s="58">
        <f>H71/DAY(B2)</f>
        <v>-2249.5666666666666</v>
      </c>
      <c r="K71" s="85"/>
      <c r="L71" s="117"/>
    </row>
    <row r="72" spans="1:12" ht="23.25" customHeight="1">
      <c r="A72" s="1773" t="s">
        <v>190</v>
      </c>
      <c r="B72" s="1774"/>
      <c r="C72" s="1775"/>
      <c r="D72" s="268" t="s">
        <v>185</v>
      </c>
      <c r="E72" s="56">
        <f>'29'!F73</f>
        <v>886010</v>
      </c>
      <c r="F72" s="271">
        <v>883770</v>
      </c>
      <c r="G72" s="318">
        <f t="shared" si="6"/>
        <v>-2240</v>
      </c>
      <c r="H72" s="57">
        <f>G72+'29'!H73</f>
        <v>-2064</v>
      </c>
      <c r="I72" s="69"/>
      <c r="J72" s="58">
        <f>H72/DAY(B2)</f>
        <v>-68.8</v>
      </c>
      <c r="K72" s="83"/>
      <c r="L72" s="117"/>
    </row>
    <row r="73" spans="1:12" ht="23.25" customHeight="1">
      <c r="A73" s="1773" t="s">
        <v>191</v>
      </c>
      <c r="B73" s="1774"/>
      <c r="C73" s="1775"/>
      <c r="D73" s="268" t="s">
        <v>185</v>
      </c>
      <c r="E73" s="56">
        <f>'29'!F74</f>
        <v>88731</v>
      </c>
      <c r="F73" s="271">
        <v>783142</v>
      </c>
      <c r="G73" s="318">
        <f t="shared" si="6"/>
        <v>694411</v>
      </c>
      <c r="H73" s="57">
        <f>G73+'29'!H74</f>
        <v>694480</v>
      </c>
      <c r="I73" s="69"/>
      <c r="J73" s="58">
        <f>H73/DAY(B2)</f>
        <v>23149.333333333332</v>
      </c>
      <c r="K73" s="85"/>
      <c r="L73" s="117"/>
    </row>
    <row r="74" spans="1:12" ht="23.25" customHeight="1">
      <c r="A74" s="1779" t="s">
        <v>192</v>
      </c>
      <c r="B74" s="1780"/>
      <c r="C74" s="1781"/>
      <c r="D74" s="268" t="s">
        <v>185</v>
      </c>
      <c r="E74" s="56">
        <f>'29'!F75</f>
        <v>20588</v>
      </c>
      <c r="F74" s="271">
        <v>641404</v>
      </c>
      <c r="G74" s="318">
        <f t="shared" si="6"/>
        <v>620816</v>
      </c>
      <c r="H74" s="57">
        <f>G74+'29'!H75</f>
        <v>625333</v>
      </c>
      <c r="I74" s="69"/>
      <c r="J74" s="58">
        <f>H74/DAY(B2)</f>
        <v>20844.433333333334</v>
      </c>
      <c r="K74" s="83"/>
      <c r="L74" s="117"/>
    </row>
    <row r="75" spans="1:12" ht="23.25" customHeight="1">
      <c r="A75" s="1779" t="s">
        <v>193</v>
      </c>
      <c r="B75" s="1780"/>
      <c r="C75" s="1781"/>
      <c r="D75" s="268" t="s">
        <v>185</v>
      </c>
      <c r="E75" s="56">
        <f>'29'!F76</f>
        <v>11284</v>
      </c>
      <c r="F75" s="271">
        <v>615603</v>
      </c>
      <c r="G75" s="318">
        <f t="shared" si="6"/>
        <v>604319</v>
      </c>
      <c r="H75" s="57">
        <f>G75+'29'!H76</f>
        <v>607384</v>
      </c>
      <c r="I75" s="112"/>
      <c r="J75" s="58">
        <f>H75/DAY(B2)</f>
        <v>20246.133333333335</v>
      </c>
      <c r="K75" s="83"/>
      <c r="L75" s="117"/>
    </row>
    <row r="76" spans="1:12" ht="23.25" customHeight="1">
      <c r="A76" s="1773" t="s">
        <v>194</v>
      </c>
      <c r="B76" s="1774"/>
      <c r="C76" s="1775"/>
      <c r="D76" s="268" t="s">
        <v>185</v>
      </c>
      <c r="E76" s="56">
        <f>'29'!F77</f>
        <v>706327</v>
      </c>
      <c r="F76" s="271">
        <v>669905</v>
      </c>
      <c r="G76" s="318">
        <f t="shared" si="6"/>
        <v>-36422</v>
      </c>
      <c r="H76" s="57">
        <f>G76+'29'!H77</f>
        <v>-34469</v>
      </c>
      <c r="I76" s="112"/>
      <c r="J76" s="58">
        <f>H76/DAY(B2)</f>
        <v>-1148.9666666666667</v>
      </c>
      <c r="K76" s="83"/>
      <c r="L76" s="117"/>
    </row>
    <row r="77" spans="1:12" ht="23.25" customHeight="1">
      <c r="A77" s="1122" t="s">
        <v>195</v>
      </c>
      <c r="B77" s="1123"/>
      <c r="C77" s="1124"/>
      <c r="D77" s="268" t="s">
        <v>185</v>
      </c>
      <c r="E77" s="56">
        <f>'29'!F78</f>
        <v>678496</v>
      </c>
      <c r="F77" s="271">
        <v>487314</v>
      </c>
      <c r="G77" s="318">
        <f t="shared" si="6"/>
        <v>-191182</v>
      </c>
      <c r="H77" s="57">
        <f>G77+'29'!H78</f>
        <v>-188100</v>
      </c>
      <c r="I77" s="112"/>
      <c r="J77" s="58">
        <f>H77/DAY(B2)</f>
        <v>-6270</v>
      </c>
      <c r="K77" s="83"/>
      <c r="L77" s="117"/>
    </row>
    <row r="78" spans="1:12" ht="23.25" customHeight="1">
      <c r="A78" s="1782" t="s">
        <v>91</v>
      </c>
      <c r="B78" s="1783"/>
      <c r="C78" s="1784"/>
      <c r="D78" s="356" t="s">
        <v>185</v>
      </c>
      <c r="E78" s="56">
        <f>'29'!F79</f>
        <v>839915</v>
      </c>
      <c r="F78" s="271">
        <v>677157</v>
      </c>
      <c r="G78" s="318">
        <f t="shared" si="6"/>
        <v>-162758</v>
      </c>
      <c r="H78" s="57">
        <f>G78+'29'!H79</f>
        <v>-158997</v>
      </c>
      <c r="I78" s="112"/>
      <c r="J78" s="58">
        <f>H78/DAY(B2)</f>
        <v>-5299.9</v>
      </c>
      <c r="K78" s="83"/>
      <c r="L78" s="117"/>
    </row>
    <row r="79" spans="1:12" ht="23.25" customHeight="1">
      <c r="A79" s="1782" t="s">
        <v>196</v>
      </c>
      <c r="B79" s="1783"/>
      <c r="C79" s="1784"/>
      <c r="D79" s="356" t="s">
        <v>185</v>
      </c>
      <c r="E79" s="56">
        <f>'29'!F80</f>
        <v>551128</v>
      </c>
      <c r="F79" s="271">
        <v>341072.6</v>
      </c>
      <c r="G79" s="318">
        <f t="shared" si="6"/>
        <v>-210055.40000000002</v>
      </c>
      <c r="H79" s="57">
        <f>G79+'29'!H80</f>
        <v>-201318.40000000002</v>
      </c>
      <c r="I79" s="112"/>
      <c r="J79" s="58">
        <f>H79/DAY(B2)</f>
        <v>-6710.6133333333337</v>
      </c>
      <c r="K79" s="83"/>
      <c r="L79" s="117"/>
    </row>
    <row r="80" spans="1:12" ht="23.25" customHeight="1">
      <c r="A80" s="1782" t="s">
        <v>197</v>
      </c>
      <c r="B80" s="1783"/>
      <c r="C80" s="1784"/>
      <c r="D80" s="356" t="s">
        <v>185</v>
      </c>
      <c r="E80" s="56">
        <f>'29'!F81</f>
        <v>648645</v>
      </c>
      <c r="F80" s="271">
        <v>407588.2</v>
      </c>
      <c r="G80" s="318">
        <f t="shared" si="6"/>
        <v>-241056.8</v>
      </c>
      <c r="H80" s="57">
        <f>G80+'29'!H81</f>
        <v>-235396.8</v>
      </c>
      <c r="I80" s="112"/>
      <c r="J80" s="58">
        <f>H80/DAY(B2)</f>
        <v>-7846.5599999999995</v>
      </c>
      <c r="K80" s="83"/>
      <c r="L80" s="117"/>
    </row>
    <row r="81" spans="1:12" ht="23.25" customHeight="1">
      <c r="A81" s="1785" t="s">
        <v>92</v>
      </c>
      <c r="B81" s="1783"/>
      <c r="C81" s="1784"/>
      <c r="D81" s="357" t="s">
        <v>130</v>
      </c>
      <c r="E81" s="56">
        <f>'29'!F82</f>
        <v>109295</v>
      </c>
      <c r="F81" s="272">
        <v>72586.12</v>
      </c>
      <c r="G81" s="318">
        <f t="shared" si="6"/>
        <v>-36708.880000000005</v>
      </c>
      <c r="H81" s="57">
        <f>G81+'29'!H82</f>
        <v>-36094.880000000005</v>
      </c>
      <c r="I81" s="206"/>
      <c r="J81" s="58">
        <f>H81/DAY(B2)</f>
        <v>-1203.1626666666668</v>
      </c>
      <c r="K81" s="83"/>
      <c r="L81" s="117"/>
    </row>
    <row r="82" spans="1:12" ht="23.25" customHeight="1">
      <c r="A82" s="1785" t="s">
        <v>198</v>
      </c>
      <c r="B82" s="1783"/>
      <c r="C82" s="1784"/>
      <c r="D82" s="273" t="s">
        <v>130</v>
      </c>
      <c r="E82" s="56">
        <f>'29'!F83</f>
        <v>34387</v>
      </c>
      <c r="F82" s="269">
        <v>725847</v>
      </c>
      <c r="G82" s="318">
        <f t="shared" si="6"/>
        <v>691460</v>
      </c>
      <c r="H82" s="57">
        <f>G82+'29'!H83</f>
        <v>698296</v>
      </c>
      <c r="I82" s="68"/>
      <c r="J82" s="58">
        <f>H82/DAY(B2)</f>
        <v>23276.533333333333</v>
      </c>
      <c r="K82" s="75"/>
      <c r="L82" s="117"/>
    </row>
    <row r="83" spans="1:12" ht="23.25" customHeight="1">
      <c r="A83" s="1125" t="s">
        <v>199</v>
      </c>
      <c r="B83" s="1125"/>
      <c r="C83" s="1126"/>
      <c r="D83" s="358" t="s">
        <v>130</v>
      </c>
      <c r="E83" s="56">
        <f>'29'!F84</f>
        <v>545771</v>
      </c>
      <c r="F83" s="268">
        <v>960770</v>
      </c>
      <c r="G83" s="318">
        <f t="shared" si="6"/>
        <v>414999</v>
      </c>
      <c r="H83" s="57">
        <f>G83+'29'!H84</f>
        <v>437690</v>
      </c>
      <c r="I83" s="68"/>
      <c r="J83" s="58">
        <f>H83/DAY(B2)</f>
        <v>14589.666666666666</v>
      </c>
      <c r="K83" s="88"/>
      <c r="L83" s="117"/>
    </row>
    <row r="84" spans="1:12" s="38" customFormat="1" ht="23.25" customHeight="1">
      <c r="A84" s="409" t="s">
        <v>200</v>
      </c>
      <c r="B84" s="410"/>
      <c r="C84" s="410"/>
      <c r="D84" s="359"/>
      <c r="E84" s="312"/>
      <c r="F84" s="268"/>
      <c r="G84" s="368">
        <f xml:space="preserve"> SUM(G71:G83)</f>
        <v>2077747.92</v>
      </c>
      <c r="H84" s="57">
        <f>G84+'29'!H85</f>
        <v>2142129.92</v>
      </c>
      <c r="I84" s="68"/>
      <c r="J84" s="58">
        <f>H84/DAY(B2)</f>
        <v>71404.330666666661</v>
      </c>
      <c r="K84" s="88"/>
      <c r="L84" s="44"/>
    </row>
    <row r="85" spans="1:12" s="38" customFormat="1" ht="23.25" customHeight="1">
      <c r="A85" s="1117" t="s">
        <v>203</v>
      </c>
      <c r="B85" s="398"/>
      <c r="C85" s="1118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56" t="s">
        <v>204</v>
      </c>
      <c r="B86" s="1757"/>
      <c r="C86" s="1758"/>
      <c r="D86" s="268" t="s">
        <v>142</v>
      </c>
      <c r="E86" s="415">
        <f>'29'!F93</f>
        <v>250126</v>
      </c>
      <c r="F86" s="267">
        <v>175511</v>
      </c>
      <c r="G86" s="318">
        <f t="shared" ref="G86:G87" si="7">F86-E86</f>
        <v>-74615</v>
      </c>
      <c r="H86" s="57">
        <f>G86+'29'!H93</f>
        <v>-71841</v>
      </c>
      <c r="I86" s="69"/>
      <c r="J86" s="58">
        <f>H86/DAY(B2)</f>
        <v>-2394.6999999999998</v>
      </c>
      <c r="K86" s="75"/>
      <c r="L86" s="117"/>
    </row>
    <row r="87" spans="1:12" ht="23.25" customHeight="1">
      <c r="A87" s="1756" t="s">
        <v>205</v>
      </c>
      <c r="B87" s="1757"/>
      <c r="C87" s="1758"/>
      <c r="D87" s="268" t="s">
        <v>142</v>
      </c>
      <c r="E87" s="56">
        <f>'29'!F94</f>
        <v>192719</v>
      </c>
      <c r="F87" s="267">
        <v>60336</v>
      </c>
      <c r="G87" s="318">
        <f t="shared" si="7"/>
        <v>-132383</v>
      </c>
      <c r="H87" s="57">
        <f>G87+'29'!H94</f>
        <v>-129118</v>
      </c>
      <c r="I87" s="69"/>
      <c r="J87" s="58">
        <f>H87/DAY(B2)</f>
        <v>-4303.9333333333334</v>
      </c>
      <c r="K87" s="88"/>
      <c r="L87" s="117"/>
    </row>
    <row r="88" spans="1:12" ht="23.25" customHeight="1">
      <c r="A88" s="1786" t="s">
        <v>206</v>
      </c>
      <c r="B88" s="1787"/>
      <c r="C88" s="1788"/>
      <c r="D88" s="268"/>
      <c r="E88" s="56">
        <f>'29'!F95</f>
        <v>3</v>
      </c>
      <c r="F88" s="267"/>
      <c r="G88" s="318">
        <f>G86+G87</f>
        <v>-206998</v>
      </c>
      <c r="H88" s="57">
        <f>G88+'29'!H95</f>
        <v>-201145</v>
      </c>
      <c r="I88" s="69"/>
      <c r="J88" s="58">
        <f>H88/DAY(B2)</f>
        <v>-6704.833333333333</v>
      </c>
      <c r="K88" s="88"/>
      <c r="L88" s="117"/>
    </row>
    <row r="89" spans="1:12" ht="23.25" customHeight="1">
      <c r="A89" s="1756" t="s">
        <v>207</v>
      </c>
      <c r="B89" s="1757"/>
      <c r="C89" s="1758"/>
      <c r="D89" s="268" t="s">
        <v>142</v>
      </c>
      <c r="E89" s="56">
        <f>'29'!F96</f>
        <v>418383</v>
      </c>
      <c r="F89" s="267">
        <v>351186</v>
      </c>
      <c r="G89" s="318">
        <f t="shared" ref="G89:G94" si="8">F89-E89</f>
        <v>-67197</v>
      </c>
      <c r="H89" s="57">
        <f>G89+'29'!H96</f>
        <v>-64813</v>
      </c>
      <c r="I89" s="69"/>
      <c r="J89" s="58">
        <f>H89/DAY(B2)</f>
        <v>-2160.4333333333334</v>
      </c>
      <c r="K89" s="88"/>
      <c r="L89" s="117"/>
    </row>
    <row r="90" spans="1:12" ht="23.25" customHeight="1">
      <c r="A90" s="1119" t="s">
        <v>208</v>
      </c>
      <c r="B90" s="1120"/>
      <c r="C90" s="1121"/>
      <c r="D90" s="268" t="s">
        <v>142</v>
      </c>
      <c r="E90" s="56">
        <v>72</v>
      </c>
      <c r="F90" s="267">
        <v>84</v>
      </c>
      <c r="G90" s="318">
        <f t="shared" si="8"/>
        <v>12</v>
      </c>
      <c r="H90" s="57">
        <f>G90+'29'!H97</f>
        <v>651</v>
      </c>
      <c r="I90" s="69"/>
      <c r="J90" s="58">
        <f>H90/DAY(B2)</f>
        <v>21.7</v>
      </c>
      <c r="K90" s="43"/>
      <c r="L90" s="117"/>
    </row>
    <row r="91" spans="1:12" ht="23.25" customHeight="1">
      <c r="A91" s="1119" t="s">
        <v>209</v>
      </c>
      <c r="B91" s="1120"/>
      <c r="C91" s="1121"/>
      <c r="D91" s="268" t="s">
        <v>142</v>
      </c>
      <c r="E91" s="56">
        <f>'29'!F98</f>
        <v>99391</v>
      </c>
      <c r="F91" s="267">
        <v>82333</v>
      </c>
      <c r="G91" s="318">
        <f t="shared" si="8"/>
        <v>-17058</v>
      </c>
      <c r="H91" s="57">
        <f>G91+'29'!H98</f>
        <v>-16324</v>
      </c>
      <c r="I91" s="69"/>
      <c r="J91" s="58">
        <f>H91/DAY(B2)</f>
        <v>-544.13333333333333</v>
      </c>
      <c r="K91" s="51"/>
      <c r="L91" s="117"/>
    </row>
    <row r="92" spans="1:12" ht="23.25" customHeight="1">
      <c r="A92" s="1119" t="s">
        <v>210</v>
      </c>
      <c r="B92" s="1120"/>
      <c r="C92" s="1121"/>
      <c r="D92" s="268" t="s">
        <v>142</v>
      </c>
      <c r="E92" s="56">
        <f>'29'!F99</f>
        <v>151213</v>
      </c>
      <c r="F92" s="267">
        <v>115948</v>
      </c>
      <c r="G92" s="318">
        <f t="shared" si="8"/>
        <v>-35265</v>
      </c>
      <c r="H92" s="57">
        <f>G92+'29'!H99</f>
        <v>-34457</v>
      </c>
      <c r="I92" s="69"/>
      <c r="J92" s="58">
        <f>H92/DAY(B2)</f>
        <v>-1148.5666666666666</v>
      </c>
      <c r="K92" s="88"/>
      <c r="L92" s="117"/>
    </row>
    <row r="93" spans="1:12" ht="23.25" customHeight="1">
      <c r="A93" s="1119" t="s">
        <v>211</v>
      </c>
      <c r="B93" s="1120"/>
      <c r="C93" s="1121"/>
      <c r="D93" s="268" t="s">
        <v>142</v>
      </c>
      <c r="E93" s="56">
        <f>'29'!F100</f>
        <v>8131</v>
      </c>
      <c r="F93" s="267">
        <v>2658</v>
      </c>
      <c r="G93" s="318">
        <f t="shared" si="8"/>
        <v>-5473</v>
      </c>
      <c r="H93" s="57">
        <f>G93+'29'!H100</f>
        <v>-5139</v>
      </c>
      <c r="I93" s="69"/>
      <c r="J93" s="58">
        <f>H93/DAY(B2)</f>
        <v>-171.3</v>
      </c>
      <c r="K93" s="88"/>
      <c r="L93" s="117"/>
    </row>
    <row r="94" spans="1:12" ht="23.25" customHeight="1">
      <c r="A94" s="1119" t="s">
        <v>212</v>
      </c>
      <c r="B94" s="1120"/>
      <c r="C94" s="1121"/>
      <c r="D94" s="268" t="s">
        <v>142</v>
      </c>
      <c r="E94" s="56">
        <f>'29'!F101</f>
        <v>5967</v>
      </c>
      <c r="F94" s="267">
        <v>2507</v>
      </c>
      <c r="G94" s="318">
        <f t="shared" si="8"/>
        <v>-3460</v>
      </c>
      <c r="H94" s="57">
        <f>G94+'29'!H101</f>
        <v>-3167</v>
      </c>
      <c r="I94" s="69"/>
      <c r="J94" s="58">
        <f>H94/DAY(B2)</f>
        <v>-105.56666666666666</v>
      </c>
      <c r="K94" s="88"/>
      <c r="L94" s="117"/>
    </row>
    <row r="95" spans="1:12" ht="23.25" customHeight="1">
      <c r="A95" s="1786" t="s">
        <v>214</v>
      </c>
      <c r="B95" s="1787"/>
      <c r="C95" s="1788"/>
      <c r="D95" s="274"/>
      <c r="E95" s="416"/>
      <c r="F95" s="274"/>
      <c r="G95" s="411">
        <f>SUM(G89:G94)</f>
        <v>-128441</v>
      </c>
      <c r="H95" s="57">
        <f>G95+'29'!H102</f>
        <v>-123249</v>
      </c>
      <c r="I95" s="140"/>
      <c r="J95" s="58">
        <f>H95/DAY(B2)</f>
        <v>-4108.3</v>
      </c>
      <c r="K95" s="88"/>
      <c r="L95" s="117"/>
    </row>
    <row r="96" spans="1:12" ht="23.25" customHeight="1">
      <c r="A96" s="1789" t="s">
        <v>228</v>
      </c>
      <c r="B96" s="1790"/>
      <c r="C96" s="1791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229</v>
      </c>
      <c r="B97" s="361"/>
      <c r="C97" s="362"/>
      <c r="D97" s="312" t="s">
        <v>139</v>
      </c>
      <c r="E97" s="415">
        <f>'29'!F124</f>
        <v>847445</v>
      </c>
      <c r="F97" s="275">
        <v>650192.71</v>
      </c>
      <c r="G97" s="318">
        <f t="shared" ref="G97:G101" si="9">F97-E97</f>
        <v>-197252.29000000004</v>
      </c>
      <c r="H97" s="57">
        <f>G97+'29'!H124</f>
        <v>-189477.29000000004</v>
      </c>
      <c r="I97" s="87"/>
      <c r="J97" s="58">
        <f>H97/DAY(B2)</f>
        <v>-6315.9096666666683</v>
      </c>
      <c r="K97" s="88"/>
      <c r="L97" s="117"/>
    </row>
    <row r="98" spans="1:12" ht="23.25" customHeight="1">
      <c r="A98" s="360" t="s">
        <v>230</v>
      </c>
      <c r="B98" s="361"/>
      <c r="C98" s="362"/>
      <c r="D98" s="312" t="s">
        <v>139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73" t="s">
        <v>231</v>
      </c>
      <c r="B99" s="1774"/>
      <c r="C99" s="1775"/>
      <c r="D99" s="268" t="s">
        <v>139</v>
      </c>
      <c r="E99" s="56">
        <f>'29'!F126</f>
        <v>151138</v>
      </c>
      <c r="F99" s="264">
        <v>83294.490000000005</v>
      </c>
      <c r="G99" s="318">
        <f t="shared" si="9"/>
        <v>-67843.509999999995</v>
      </c>
      <c r="H99" s="57">
        <f>G99+'29'!H126</f>
        <v>-65302.509999999995</v>
      </c>
      <c r="I99" s="363"/>
      <c r="J99" s="58">
        <f>H99/DAY(B2)</f>
        <v>-2176.7503333333329</v>
      </c>
      <c r="K99" s="88"/>
      <c r="L99" s="117"/>
    </row>
    <row r="100" spans="1:12" ht="23.25" customHeight="1">
      <c r="A100" s="385" t="s">
        <v>232</v>
      </c>
      <c r="B100" s="1120"/>
      <c r="C100" s="1121"/>
      <c r="D100" s="268" t="s">
        <v>139</v>
      </c>
      <c r="E100" s="56">
        <f>'29'!F127</f>
        <v>33196</v>
      </c>
      <c r="F100" s="264">
        <v>39666</v>
      </c>
      <c r="G100" s="318">
        <f t="shared" si="9"/>
        <v>6470</v>
      </c>
      <c r="H100" s="57">
        <f>G100+'29'!H127</f>
        <v>7595</v>
      </c>
      <c r="I100" s="363"/>
      <c r="J100" s="58">
        <f>H100/DAY(B2)</f>
        <v>253.16666666666666</v>
      </c>
      <c r="K100" s="88"/>
      <c r="L100" s="117"/>
    </row>
    <row r="101" spans="1:12" ht="23.25" customHeight="1">
      <c r="A101" s="385" t="s">
        <v>233</v>
      </c>
      <c r="B101" s="1120"/>
      <c r="C101" s="1121"/>
      <c r="D101" s="268" t="s">
        <v>139</v>
      </c>
      <c r="E101" s="56">
        <f>'29'!F128</f>
        <v>9105</v>
      </c>
      <c r="F101" s="264">
        <v>6221.3</v>
      </c>
      <c r="G101" s="318">
        <f t="shared" si="9"/>
        <v>-2883.7</v>
      </c>
      <c r="H101" s="57">
        <f>G101+'29'!H128</f>
        <v>-2790.7</v>
      </c>
      <c r="I101" s="319"/>
      <c r="J101" s="308">
        <f>H101/DAY(B2)</f>
        <v>-93.023333333333326</v>
      </c>
      <c r="K101" s="88"/>
      <c r="L101" s="117"/>
    </row>
    <row r="102" spans="1:12" ht="23.25" customHeight="1">
      <c r="A102" s="1792" t="s">
        <v>248</v>
      </c>
      <c r="B102" s="1793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56" t="s">
        <v>249</v>
      </c>
      <c r="B103" s="1757"/>
      <c r="C103" s="1758"/>
      <c r="D103" s="268" t="s">
        <v>130</v>
      </c>
      <c r="E103" s="268"/>
      <c r="F103" s="268"/>
      <c r="G103" s="277">
        <f>G34+G42+G48+G56</f>
        <v>-309763.39000000013</v>
      </c>
      <c r="H103" s="57">
        <f>G103+'29'!H143</f>
        <v>-147074.21000000008</v>
      </c>
      <c r="I103" s="69"/>
      <c r="J103" s="58">
        <f>H103/DAY(B2)</f>
        <v>-4902.4736666666695</v>
      </c>
      <c r="K103" s="88"/>
      <c r="L103" s="117"/>
    </row>
    <row r="104" spans="1:12" ht="23.25" customHeight="1">
      <c r="A104" s="1756" t="s">
        <v>250</v>
      </c>
      <c r="B104" s="1757"/>
      <c r="C104" s="1758"/>
      <c r="D104" s="268" t="s">
        <v>24</v>
      </c>
      <c r="E104" s="269"/>
      <c r="F104" s="269"/>
      <c r="G104" s="280">
        <f>G103/G7</f>
        <v>-0.10144190279557874</v>
      </c>
      <c r="H104" s="57">
        <f>G104+'29'!H144</f>
        <v>7.2860422019261311</v>
      </c>
      <c r="I104" s="84"/>
      <c r="J104" s="58">
        <f>H104/DAY(B2)</f>
        <v>0.24286807339753771</v>
      </c>
      <c r="K104" s="111"/>
      <c r="L104" s="117"/>
    </row>
    <row r="105" spans="1:12" ht="23.25" customHeight="1">
      <c r="A105" s="1756" t="s">
        <v>251</v>
      </c>
      <c r="B105" s="1757"/>
      <c r="C105" s="1758"/>
      <c r="D105" s="268" t="s">
        <v>130</v>
      </c>
      <c r="E105" s="265"/>
      <c r="F105" s="265"/>
      <c r="G105" s="277">
        <f>G40+G41+G54+G55</f>
        <v>2112972.89</v>
      </c>
      <c r="H105" s="57">
        <f>G105+'29'!H145</f>
        <v>2310769</v>
      </c>
      <c r="I105" s="69"/>
      <c r="J105" s="58">
        <f>H105/DAY(B2)</f>
        <v>77025.633333333331</v>
      </c>
      <c r="K105" s="111"/>
      <c r="L105" s="117"/>
    </row>
    <row r="106" spans="1:12" ht="23.25" customHeight="1">
      <c r="A106" s="1756" t="s">
        <v>252</v>
      </c>
      <c r="B106" s="1757"/>
      <c r="C106" s="1758"/>
      <c r="D106" s="268" t="s">
        <v>24</v>
      </c>
      <c r="E106" s="265"/>
      <c r="F106" s="265"/>
      <c r="G106" s="280">
        <f>G105/G7</f>
        <v>0.69196037180853753</v>
      </c>
      <c r="H106" s="57">
        <f>G106+'29'!H146</f>
        <v>9.6383545920525595</v>
      </c>
      <c r="I106" s="84"/>
      <c r="J106" s="58">
        <f>H106/DAY(B2)</f>
        <v>0.32127848640175199</v>
      </c>
      <c r="K106" s="111"/>
      <c r="L106" s="117"/>
    </row>
    <row r="107" spans="1:12" ht="23.25" customHeight="1">
      <c r="A107" s="1756" t="s">
        <v>253</v>
      </c>
      <c r="B107" s="1757"/>
      <c r="C107" s="1758"/>
      <c r="D107" s="268" t="s">
        <v>130</v>
      </c>
      <c r="E107" s="265"/>
      <c r="F107" s="265"/>
      <c r="G107" s="277">
        <f>G38+G52</f>
        <v>2046474.6900000002</v>
      </c>
      <c r="H107" s="57">
        <f>G107+'29'!H147</f>
        <v>2154473.6900000004</v>
      </c>
      <c r="I107" s="86"/>
      <c r="J107" s="58">
        <f>H107/DAY(B2)</f>
        <v>71815.789666666678</v>
      </c>
      <c r="K107" s="111"/>
      <c r="L107" s="117"/>
    </row>
    <row r="108" spans="1:12" ht="23.25" customHeight="1">
      <c r="A108" s="1756" t="s">
        <v>254</v>
      </c>
      <c r="B108" s="1757"/>
      <c r="C108" s="1758"/>
      <c r="D108" s="268" t="s">
        <v>24</v>
      </c>
      <c r="E108" s="265"/>
      <c r="F108" s="265"/>
      <c r="G108" s="280">
        <f>G107/G7</f>
        <v>0.67018341507881896</v>
      </c>
      <c r="H108" s="57">
        <f>G108+'29'!H148</f>
        <v>5.5734315487978554</v>
      </c>
      <c r="I108" s="86"/>
      <c r="J108" s="58">
        <f>H108/DAY(B2)</f>
        <v>0.18578105162659517</v>
      </c>
    </row>
    <row r="109" spans="1:12" ht="23.25" customHeight="1">
      <c r="A109" s="1756" t="s">
        <v>255</v>
      </c>
      <c r="B109" s="1757"/>
      <c r="C109" s="1758"/>
      <c r="D109" s="268" t="s">
        <v>181</v>
      </c>
      <c r="E109" s="265"/>
      <c r="F109" s="265"/>
      <c r="G109" s="277">
        <f>G37+G51</f>
        <v>1134846.6800000002</v>
      </c>
      <c r="H109" s="57">
        <f>G109+'29'!H149</f>
        <v>1181501.75</v>
      </c>
      <c r="I109" s="69"/>
      <c r="J109" s="58">
        <f>H109/DAY(B2)</f>
        <v>39383.39166666667</v>
      </c>
      <c r="K109" s="153"/>
    </row>
    <row r="110" spans="1:12" ht="23.25" customHeight="1">
      <c r="A110" s="1756" t="s">
        <v>256</v>
      </c>
      <c r="B110" s="1757"/>
      <c r="C110" s="1758"/>
      <c r="D110" s="268" t="s">
        <v>24</v>
      </c>
      <c r="E110" s="265"/>
      <c r="F110" s="265"/>
      <c r="G110" s="280">
        <f>G109/G7</f>
        <v>0.37164174436638631</v>
      </c>
      <c r="H110" s="57">
        <f>G110+'29'!H150</f>
        <v>2.4859281390771795</v>
      </c>
      <c r="I110" s="86"/>
      <c r="J110" s="58">
        <f>H110/DAY(B2)</f>
        <v>8.2864271302572651E-2</v>
      </c>
    </row>
    <row r="111" spans="1:12" ht="23.25" customHeight="1">
      <c r="A111" s="1756" t="s">
        <v>257</v>
      </c>
      <c r="B111" s="1757"/>
      <c r="C111" s="1758"/>
      <c r="D111" s="268" t="s">
        <v>181</v>
      </c>
      <c r="E111" s="265"/>
      <c r="F111" s="265"/>
      <c r="G111" s="277">
        <f>G35+G49</f>
        <v>789462.22</v>
      </c>
      <c r="H111" s="57">
        <f>G111+'29'!H151</f>
        <v>847052.22</v>
      </c>
      <c r="I111" s="86"/>
      <c r="J111" s="58">
        <f>H111/DAY(B2)</f>
        <v>28235.074000000001</v>
      </c>
    </row>
    <row r="112" spans="1:12" ht="23.25" customHeight="1">
      <c r="A112" s="1756" t="s">
        <v>258</v>
      </c>
      <c r="B112" s="1757"/>
      <c r="C112" s="1758"/>
      <c r="D112" s="268" t="s">
        <v>24</v>
      </c>
      <c r="E112" s="265"/>
      <c r="F112" s="265"/>
      <c r="G112" s="280">
        <f>G111/G7</f>
        <v>0.25853458596905776</v>
      </c>
      <c r="H112" s="57">
        <f>G112+'29'!H152</f>
        <v>2.8596863700882853</v>
      </c>
      <c r="I112" s="69"/>
      <c r="J112" s="58">
        <f>H112/DAY(B2)</f>
        <v>9.532287900294284E-2</v>
      </c>
    </row>
    <row r="113" spans="1:10" ht="23.25" customHeight="1">
      <c r="A113" s="1756" t="s">
        <v>259</v>
      </c>
      <c r="B113" s="1757"/>
      <c r="C113" s="1758"/>
      <c r="D113" s="268" t="s">
        <v>181</v>
      </c>
      <c r="E113" s="265"/>
      <c r="F113" s="265"/>
      <c r="G113" s="277">
        <f>G36+G50</f>
        <v>577286.06999999995</v>
      </c>
      <c r="H113" s="57">
        <f>G113+'29'!H153</f>
        <v>623600.93999999994</v>
      </c>
      <c r="I113" s="69"/>
      <c r="J113" s="58">
        <f>H113/DAY(B2)</f>
        <v>20786.697999999997</v>
      </c>
    </row>
    <row r="114" spans="1:10" ht="23.25" customHeight="1">
      <c r="A114" s="1756" t="s">
        <v>260</v>
      </c>
      <c r="B114" s="1757"/>
      <c r="C114" s="1758"/>
      <c r="D114" s="268" t="s">
        <v>24</v>
      </c>
      <c r="E114" s="265"/>
      <c r="F114" s="265"/>
      <c r="G114" s="280">
        <f>G113/G7</f>
        <v>0.18905073772010836</v>
      </c>
      <c r="H114" s="57">
        <f>G114+'29'!H154</f>
        <v>2.2892156726306219</v>
      </c>
      <c r="I114" s="69"/>
      <c r="J114" s="58">
        <f>H114/DAY(B2)</f>
        <v>7.6307189087687397E-2</v>
      </c>
    </row>
    <row r="115" spans="1:10" ht="23.25" customHeight="1">
      <c r="A115" s="388" t="s">
        <v>235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236</v>
      </c>
      <c r="B116" s="436"/>
      <c r="C116" s="436"/>
      <c r="D116" s="268" t="s">
        <v>237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238</v>
      </c>
      <c r="B117" s="436"/>
      <c r="C117" s="436"/>
      <c r="D117" s="268" t="s">
        <v>237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239</v>
      </c>
      <c r="B118" s="436"/>
      <c r="C118" s="436"/>
      <c r="D118" s="268" t="s">
        <v>237</v>
      </c>
      <c r="E118" s="56">
        <f>'29'!F133</f>
        <v>40619</v>
      </c>
      <c r="F118" s="267">
        <v>36196</v>
      </c>
      <c r="G118" s="318">
        <f t="shared" si="10"/>
        <v>-4423</v>
      </c>
      <c r="H118" s="57">
        <f>G118+'29'!H133</f>
        <v>-4257</v>
      </c>
      <c r="I118" s="69"/>
      <c r="J118" s="58">
        <f>H118/DAY(B2)</f>
        <v>-141.9</v>
      </c>
    </row>
    <row r="119" spans="1:10" ht="23.25" customHeight="1">
      <c r="A119" s="436" t="s">
        <v>240</v>
      </c>
      <c r="B119" s="436"/>
      <c r="C119" s="436"/>
      <c r="D119" s="268" t="s">
        <v>237</v>
      </c>
      <c r="E119" s="56">
        <f>'29'!F134</f>
        <v>554</v>
      </c>
      <c r="F119" s="267">
        <v>32397.32</v>
      </c>
      <c r="G119" s="318">
        <f t="shared" si="10"/>
        <v>31843.32</v>
      </c>
      <c r="H119" s="57">
        <f>G119+'29'!H134</f>
        <v>32097.32</v>
      </c>
      <c r="I119" s="69">
        <f>G116+G117+G118+G119</f>
        <v>27420.32</v>
      </c>
      <c r="J119" s="58">
        <f>H119/DAY(B2)</f>
        <v>1069.9106666666667</v>
      </c>
    </row>
    <row r="120" spans="1:10" ht="23.25" customHeight="1">
      <c r="A120" s="436" t="s">
        <v>241</v>
      </c>
      <c r="B120" s="436"/>
      <c r="C120" s="436"/>
      <c r="D120" s="268" t="s">
        <v>237</v>
      </c>
      <c r="E120" s="56">
        <f>'29'!F135</f>
        <v>42456</v>
      </c>
      <c r="F120" s="267">
        <v>30495.25</v>
      </c>
      <c r="G120" s="318">
        <f t="shared" si="10"/>
        <v>-11960.75</v>
      </c>
      <c r="H120" s="57">
        <f>G120+'29'!H135</f>
        <v>-11842.86</v>
      </c>
      <c r="I120" s="69"/>
      <c r="J120" s="58">
        <f>H120/DAY(B2)</f>
        <v>-394.762</v>
      </c>
    </row>
    <row r="121" spans="1:10" ht="23.25" customHeight="1">
      <c r="A121" s="436" t="s">
        <v>242</v>
      </c>
      <c r="B121" s="436"/>
      <c r="C121" s="436"/>
      <c r="D121" s="268" t="s">
        <v>237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243</v>
      </c>
      <c r="B122" s="436"/>
      <c r="C122" s="436"/>
      <c r="D122" s="268" t="s">
        <v>237</v>
      </c>
      <c r="E122" s="56">
        <f>'29'!F137</f>
        <v>23097.56</v>
      </c>
      <c r="F122" s="267">
        <v>21285.49</v>
      </c>
      <c r="G122" s="318">
        <f t="shared" si="10"/>
        <v>-1812.0699999999997</v>
      </c>
      <c r="H122" s="57">
        <f>G122+'29'!H137</f>
        <v>-1606</v>
      </c>
      <c r="I122" s="69">
        <f>G120+G121+G122</f>
        <v>-20963.560000000001</v>
      </c>
      <c r="J122" s="58">
        <f>H122/DAY(B2)</f>
        <v>-53.533333333333331</v>
      </c>
    </row>
    <row r="123" spans="1:10" ht="23.25" customHeight="1">
      <c r="A123" s="436" t="s">
        <v>244</v>
      </c>
      <c r="B123" s="436"/>
      <c r="C123" s="436"/>
      <c r="D123" s="268" t="s">
        <v>237</v>
      </c>
      <c r="E123" s="56">
        <f>'29'!F138</f>
        <v>25109.95</v>
      </c>
      <c r="F123" s="267">
        <v>22354.720000000001</v>
      </c>
      <c r="G123" s="318">
        <f t="shared" si="10"/>
        <v>-2755.2299999999996</v>
      </c>
      <c r="H123" s="57">
        <f>G123+'29'!H138</f>
        <v>-2736.4399999999987</v>
      </c>
      <c r="I123" s="69"/>
      <c r="J123" s="58">
        <f>H123/DAY(B2)</f>
        <v>-91.214666666666616</v>
      </c>
    </row>
    <row r="124" spans="1:10" ht="23.25" customHeight="1">
      <c r="A124" s="436" t="s">
        <v>245</v>
      </c>
      <c r="B124" s="436"/>
      <c r="C124" s="436"/>
      <c r="D124" s="268" t="s">
        <v>237</v>
      </c>
      <c r="E124" s="56">
        <f>'29'!F139</f>
        <v>70517</v>
      </c>
      <c r="F124" s="267">
        <v>64789.37</v>
      </c>
      <c r="G124" s="318">
        <f t="shared" si="10"/>
        <v>-5727.6299999999974</v>
      </c>
      <c r="H124" s="57">
        <f>G124+'29'!H139</f>
        <v>-5712.2300000000032</v>
      </c>
      <c r="I124" s="69">
        <f>G123+G124</f>
        <v>-8482.8599999999969</v>
      </c>
      <c r="J124" s="58">
        <f>H124/DAY(B2)</f>
        <v>-190.40766666666678</v>
      </c>
    </row>
    <row r="125" spans="1:10" ht="23.25" customHeight="1">
      <c r="A125" s="436" t="s">
        <v>246</v>
      </c>
      <c r="B125" s="436"/>
      <c r="C125" s="436"/>
      <c r="D125" s="268" t="s">
        <v>237</v>
      </c>
      <c r="E125" s="56">
        <f>'29'!F140</f>
        <v>2292.4899999999998</v>
      </c>
      <c r="F125" s="267">
        <v>17.899999999999999</v>
      </c>
      <c r="G125" s="318">
        <f t="shared" si="10"/>
        <v>-2274.5899999999997</v>
      </c>
      <c r="H125" s="57">
        <f>G125+'29'!H140</f>
        <v>-2111.2799999999997</v>
      </c>
      <c r="J125" s="58">
        <f>H125/DAY(B2)</f>
        <v>-70.375999999999991</v>
      </c>
    </row>
    <row r="126" spans="1:10" ht="23.25" customHeight="1" thickBot="1">
      <c r="A126" s="436" t="s">
        <v>247</v>
      </c>
      <c r="B126" s="436"/>
      <c r="C126" s="436"/>
      <c r="D126" s="268" t="s">
        <v>237</v>
      </c>
      <c r="E126" s="418">
        <f>'29'!F141</f>
        <v>4754</v>
      </c>
      <c r="F126" s="267">
        <v>603.07000000000005</v>
      </c>
      <c r="G126" s="318">
        <f t="shared" si="10"/>
        <v>-4150.93</v>
      </c>
      <c r="H126" s="57">
        <f>G126+'29'!H141</f>
        <v>-4033.9300000000003</v>
      </c>
      <c r="J126" s="58">
        <f>H126/DAY(B2)</f>
        <v>-134.46433333333334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23102.75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20930</v>
      </c>
      <c r="B4" s="213"/>
    </row>
    <row r="5" spans="1:9">
      <c r="A5" s="213">
        <f>'3'!G7</f>
        <v>22034.25</v>
      </c>
    </row>
    <row r="6" spans="1:9">
      <c r="A6" s="213">
        <f>'4'!G7</f>
        <v>21708.650000000023</v>
      </c>
    </row>
    <row r="7" spans="1:9">
      <c r="A7" s="213">
        <f>'5'!G7</f>
        <v>20879.79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2021-08-04T06:19:42Z</dcterms:modified>
</cp:coreProperties>
</file>