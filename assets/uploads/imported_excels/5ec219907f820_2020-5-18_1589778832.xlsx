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8" i="1"/>
  <c r="T29"/>
  <c r="T30"/>
  <c r="T31"/>
  <c r="T32"/>
  <c r="T33"/>
  <c r="T34"/>
  <c r="T35"/>
  <c r="T36"/>
  <c r="T37"/>
  <c r="T38"/>
  <c r="T39"/>
  <c r="T40"/>
  <c r="T41"/>
  <c r="T46"/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34" i="18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<sst xmlns="http://schemas.openxmlformats.org/spreadsheetml/2006/main" count="532" uniqueCount="320">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</sst>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603.86</c:v>
                </c:pt>
                <c:pt idx="14">
                  <c:v>635.49</c:v>
                </c:pt>
                <c:pt idx="15">
                  <c:v>626.41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360127872"/>
        <c:axId val="3601337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360135296"/>
        <c:axId val="360141184"/>
      </c:lineChart>
      <c:catAx>
        <c:axId val="36012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33760"/>
        <c:crosses val="autoZero"/>
        <c:auto val="1"/>
        <c:lblAlgn val="ctr"/>
        <c:lblOffset val="100"/>
      </c:catAx>
      <c:valAx>
        <c:axId val="3601337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27872"/>
        <c:crosses val="autoZero"/>
        <c:crossBetween val="between"/>
        <c:majorUnit val="200"/>
      </c:valAx>
      <c:catAx>
        <c:axId val="360135296"/>
        <c:scaling>
          <c:orientation val="minMax"/>
        </c:scaling>
        <c:delete val="1"/>
        <c:axPos val="b"/>
        <c:tickLblPos val="none"/>
        <c:crossAx val="360141184"/>
        <c:crosses val="autoZero"/>
        <c:auto val="1"/>
        <c:lblAlgn val="ctr"/>
        <c:lblOffset val="100"/>
      </c:catAx>
      <c:valAx>
        <c:axId val="360141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35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360171008"/>
        <c:axId val="3601725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360182528"/>
        <c:axId val="360184064"/>
      </c:lineChart>
      <c:catAx>
        <c:axId val="36017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72544"/>
        <c:crosses val="autoZero"/>
        <c:auto val="1"/>
        <c:lblAlgn val="ctr"/>
        <c:lblOffset val="100"/>
      </c:catAx>
      <c:valAx>
        <c:axId val="36017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71008"/>
        <c:crosses val="autoZero"/>
        <c:crossBetween val="between"/>
        <c:majorUnit val="200"/>
      </c:valAx>
      <c:catAx>
        <c:axId val="360182528"/>
        <c:scaling>
          <c:orientation val="minMax"/>
        </c:scaling>
        <c:delete val="1"/>
        <c:axPos val="b"/>
        <c:tickLblPos val="none"/>
        <c:crossAx val="360184064"/>
        <c:crosses val="autoZero"/>
        <c:auto val="1"/>
        <c:lblAlgn val="ctr"/>
        <c:lblOffset val="100"/>
      </c:catAx>
      <c:valAx>
        <c:axId val="360184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0182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626.41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376678656"/>
        <c:axId val="376684544"/>
      </c:lineChart>
      <c:catAx>
        <c:axId val="3766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6684544"/>
        <c:crosses val="autoZero"/>
        <c:auto val="1"/>
        <c:lblAlgn val="ctr"/>
        <c:lblOffset val="200"/>
        <c:tickLblSkip val="1"/>
      </c:catAx>
      <c:valAx>
        <c:axId val="376684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66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376741888"/>
        <c:axId val="376743424"/>
      </c:lineChart>
      <c:catAx>
        <c:axId val="37674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6743424"/>
        <c:crosses val="autoZero"/>
        <c:auto val="1"/>
        <c:lblAlgn val="ctr"/>
        <c:lblOffset val="100"/>
      </c:catAx>
      <c:valAx>
        <c:axId val="3767434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674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401360384"/>
        <c:axId val="401362304"/>
      </c:lineChart>
      <c:catAx>
        <c:axId val="401360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1362304"/>
        <c:crosses val="autoZero"/>
        <c:auto val="1"/>
        <c:lblAlgn val="ctr"/>
        <c:lblOffset val="100"/>
      </c:catAx>
      <c:valAx>
        <c:axId val="401362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1360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403439616"/>
        <c:axId val="403441536"/>
      </c:lineChart>
      <c:catAx>
        <c:axId val="403439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41536"/>
        <c:crosses val="autoZero"/>
        <c:auto val="1"/>
        <c:lblAlgn val="ctr"/>
        <c:lblOffset val="100"/>
      </c:catAx>
      <c:valAx>
        <c:axId val="403441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39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-313635.38800000004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403470592"/>
        <c:axId val="403484672"/>
      </c:lineChart>
      <c:catAx>
        <c:axId val="4034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84672"/>
        <c:crosses val="autoZero"/>
        <c:auto val="1"/>
        <c:lblAlgn val="ctr"/>
        <c:lblOffset val="100"/>
      </c:catAx>
      <c:valAx>
        <c:axId val="403484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34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407515904"/>
        <c:axId val="407517440"/>
      </c:lineChart>
      <c:catAx>
        <c:axId val="4075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7517440"/>
        <c:crosses val="autoZero"/>
        <c:auto val="1"/>
        <c:lblAlgn val="ctr"/>
        <c:lblOffset val="100"/>
      </c:catAx>
      <c:valAx>
        <c:axId val="40751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75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626.41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407549824"/>
        <c:axId val="407551360"/>
      </c:lineChart>
      <c:catAx>
        <c:axId val="4075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7551360"/>
        <c:crosses val="autoZero"/>
        <c:auto val="1"/>
        <c:lblAlgn val="ctr"/>
        <c:lblOffset val="100"/>
      </c:catAx>
      <c:valAx>
        <c:axId val="40755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75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809"/>
          <c:y val="7.47132470511079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435555712"/>
        <c:axId val="435573888"/>
      </c:lineChart>
      <c:catAx>
        <c:axId val="4355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573888"/>
        <c:crosses val="autoZero"/>
        <c:auto val="1"/>
        <c:lblAlgn val="ctr"/>
        <c:lblOffset val="200"/>
        <c:tickLblSkip val="1"/>
      </c:catAx>
      <c:valAx>
        <c:axId val="435573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5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435750400"/>
        <c:axId val="435751936"/>
      </c:lineChart>
      <c:catAx>
        <c:axId val="4357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751936"/>
        <c:crosses val="autoZero"/>
        <c:auto val="1"/>
        <c:lblAlgn val="ctr"/>
        <c:lblOffset val="100"/>
      </c:catAx>
      <c:valAx>
        <c:axId val="43575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7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435776512"/>
        <c:axId val="436941952"/>
      </c:lineChart>
      <c:catAx>
        <c:axId val="435776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41952"/>
        <c:crosses val="autoZero"/>
        <c:auto val="1"/>
        <c:lblAlgn val="ctr"/>
        <c:lblOffset val="100"/>
      </c:catAx>
      <c:valAx>
        <c:axId val="436941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776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436975104"/>
        <c:axId val="436977024"/>
      </c:lineChart>
      <c:catAx>
        <c:axId val="436975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77024"/>
        <c:crosses val="autoZero"/>
        <c:auto val="1"/>
        <c:lblAlgn val="ctr"/>
        <c:lblOffset val="100"/>
      </c:catAx>
      <c:valAx>
        <c:axId val="436977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75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437026816"/>
        <c:axId val="437028352"/>
      </c:lineChart>
      <c:catAx>
        <c:axId val="43702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028352"/>
        <c:crosses val="autoZero"/>
        <c:auto val="1"/>
        <c:lblAlgn val="ctr"/>
        <c:lblOffset val="100"/>
      </c:catAx>
      <c:valAx>
        <c:axId val="43702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02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436930816"/>
        <c:axId val="438185984"/>
      </c:lineChart>
      <c:catAx>
        <c:axId val="43693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185984"/>
        <c:crosses val="autoZero"/>
        <c:auto val="1"/>
        <c:lblAlgn val="ctr"/>
        <c:lblOffset val="100"/>
      </c:catAx>
      <c:valAx>
        <c:axId val="43818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438209920"/>
        <c:axId val="438228096"/>
      </c:lineChart>
      <c:catAx>
        <c:axId val="43820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228096"/>
        <c:crosses val="autoZero"/>
        <c:auto val="1"/>
        <c:lblAlgn val="ctr"/>
        <c:lblOffset val="100"/>
      </c:catAx>
      <c:valAx>
        <c:axId val="43822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2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109"/>
          <c:y val="7.47132470511083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440984704"/>
        <c:axId val="4409862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442646912"/>
        <c:axId val="442648448"/>
      </c:lineChart>
      <c:catAx>
        <c:axId val="440984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986240"/>
        <c:crosses val="autoZero"/>
        <c:lblAlgn val="ctr"/>
        <c:lblOffset val="100"/>
        <c:tickMarkSkip val="1"/>
      </c:catAx>
      <c:valAx>
        <c:axId val="44098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984704"/>
        <c:crosses val="autoZero"/>
        <c:crossBetween val="between"/>
      </c:valAx>
      <c:catAx>
        <c:axId val="442646912"/>
        <c:scaling>
          <c:orientation val="minMax"/>
        </c:scaling>
        <c:delete val="1"/>
        <c:axPos val="b"/>
        <c:numFmt formatCode="[$-409]d\-mmm\-yy;@" sourceLinked="1"/>
        <c:tickLblPos val="none"/>
        <c:crossAx val="442648448"/>
        <c:crosses val="autoZero"/>
        <c:lblAlgn val="ctr"/>
        <c:lblOffset val="100"/>
      </c:catAx>
      <c:valAx>
        <c:axId val="4426484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646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442677120"/>
        <c:axId val="442678656"/>
      </c:lineChart>
      <c:catAx>
        <c:axId val="4426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678656"/>
        <c:crosses val="autoZero"/>
        <c:auto val="1"/>
        <c:lblAlgn val="ctr"/>
        <c:lblOffset val="100"/>
      </c:catAx>
      <c:valAx>
        <c:axId val="4426786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6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0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446782848"/>
        <c:axId val="446813312"/>
      </c:lineChart>
      <c:catAx>
        <c:axId val="44678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813312"/>
        <c:crosses val="autoZero"/>
        <c:auto val="1"/>
        <c:lblAlgn val="ctr"/>
        <c:lblOffset val="100"/>
      </c:catAx>
      <c:valAx>
        <c:axId val="4468133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78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446971264"/>
        <c:axId val="4469771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446978688"/>
        <c:axId val="446980480"/>
      </c:lineChart>
      <c:catAx>
        <c:axId val="446971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77152"/>
        <c:crosses val="autoZero"/>
        <c:lblAlgn val="ctr"/>
        <c:lblOffset val="100"/>
        <c:tickMarkSkip val="1"/>
      </c:catAx>
      <c:valAx>
        <c:axId val="44697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71264"/>
        <c:crosses val="autoZero"/>
        <c:crossBetween val="between"/>
      </c:valAx>
      <c:catAx>
        <c:axId val="446978688"/>
        <c:scaling>
          <c:orientation val="minMax"/>
        </c:scaling>
        <c:delete val="1"/>
        <c:axPos val="b"/>
        <c:numFmt formatCode="General" sourceLinked="1"/>
        <c:tickLblPos val="none"/>
        <c:crossAx val="446980480"/>
        <c:crosses val="autoZero"/>
        <c:lblAlgn val="ctr"/>
        <c:lblOffset val="100"/>
      </c:catAx>
      <c:valAx>
        <c:axId val="4469804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978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447311872"/>
        <c:axId val="447313408"/>
      </c:lineChart>
      <c:catAx>
        <c:axId val="4473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313408"/>
        <c:crosses val="autoZero"/>
        <c:auto val="1"/>
        <c:lblAlgn val="ctr"/>
        <c:lblOffset val="100"/>
      </c:catAx>
      <c:valAx>
        <c:axId val="44731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31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4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447612416"/>
        <c:axId val="447613952"/>
      </c:lineChart>
      <c:catAx>
        <c:axId val="4476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613952"/>
        <c:crosses val="autoZero"/>
        <c:auto val="1"/>
        <c:lblAlgn val="ctr"/>
        <c:lblOffset val="100"/>
      </c:catAx>
      <c:valAx>
        <c:axId val="44761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6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448153856"/>
        <c:axId val="4481638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448165376"/>
        <c:axId val="448166912"/>
      </c:lineChart>
      <c:catAx>
        <c:axId val="4481538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163840"/>
        <c:crosses val="autoZero"/>
        <c:lblAlgn val="ctr"/>
        <c:lblOffset val="100"/>
        <c:tickMarkSkip val="1"/>
      </c:catAx>
      <c:valAx>
        <c:axId val="448163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153856"/>
        <c:crosses val="autoZero"/>
        <c:crossBetween val="between"/>
      </c:valAx>
      <c:catAx>
        <c:axId val="448165376"/>
        <c:scaling>
          <c:orientation val="minMax"/>
        </c:scaling>
        <c:delete val="1"/>
        <c:axPos val="b"/>
        <c:numFmt formatCode="[$-409]d\-mmm\-yy;@" sourceLinked="1"/>
        <c:tickLblPos val="none"/>
        <c:crossAx val="448166912"/>
        <c:crosses val="autoZero"/>
        <c:lblAlgn val="ctr"/>
        <c:lblOffset val="100"/>
      </c:catAx>
      <c:valAx>
        <c:axId val="448166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165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448275200"/>
        <c:axId val="448276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448282624"/>
        <c:axId val="448284160"/>
      </c:lineChart>
      <c:catAx>
        <c:axId val="448275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6736"/>
        <c:crosses val="autoZero"/>
        <c:lblAlgn val="ctr"/>
        <c:lblOffset val="100"/>
        <c:tickMarkSkip val="1"/>
      </c:catAx>
      <c:valAx>
        <c:axId val="44827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75200"/>
        <c:crosses val="autoZero"/>
        <c:crossBetween val="between"/>
      </c:valAx>
      <c:catAx>
        <c:axId val="448282624"/>
        <c:scaling>
          <c:orientation val="minMax"/>
        </c:scaling>
        <c:delete val="1"/>
        <c:axPos val="b"/>
        <c:numFmt formatCode="General" sourceLinked="1"/>
        <c:tickLblPos val="none"/>
        <c:crossAx val="448284160"/>
        <c:crosses val="autoZero"/>
        <c:lblAlgn val="ctr"/>
        <c:lblOffset val="100"/>
      </c:catAx>
      <c:valAx>
        <c:axId val="448284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282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477036544"/>
        <c:axId val="4770380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477039616"/>
        <c:axId val="477053696"/>
      </c:lineChart>
      <c:catAx>
        <c:axId val="477036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38080"/>
        <c:crosses val="autoZero"/>
        <c:lblAlgn val="ctr"/>
        <c:lblOffset val="100"/>
        <c:tickMarkSkip val="1"/>
      </c:catAx>
      <c:valAx>
        <c:axId val="477038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36544"/>
        <c:crosses val="autoZero"/>
        <c:crossBetween val="between"/>
      </c:valAx>
      <c:catAx>
        <c:axId val="477039616"/>
        <c:scaling>
          <c:orientation val="minMax"/>
        </c:scaling>
        <c:delete val="1"/>
        <c:axPos val="b"/>
        <c:numFmt formatCode="[$-409]d\-mmm\-yy;@" sourceLinked="1"/>
        <c:tickLblPos val="none"/>
        <c:crossAx val="477053696"/>
        <c:crosses val="autoZero"/>
        <c:lblAlgn val="ctr"/>
        <c:lblOffset val="100"/>
      </c:catAx>
      <c:valAx>
        <c:axId val="4770536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39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477083904"/>
        <c:axId val="4770856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477087232"/>
        <c:axId val="477088768"/>
      </c:lineChart>
      <c:catAx>
        <c:axId val="477083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85696"/>
        <c:crosses val="autoZero"/>
        <c:lblAlgn val="ctr"/>
        <c:lblOffset val="100"/>
        <c:tickMarkSkip val="1"/>
      </c:catAx>
      <c:valAx>
        <c:axId val="47708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83904"/>
        <c:crosses val="autoZero"/>
        <c:crossBetween val="between"/>
      </c:valAx>
      <c:catAx>
        <c:axId val="477087232"/>
        <c:scaling>
          <c:orientation val="minMax"/>
        </c:scaling>
        <c:delete val="1"/>
        <c:axPos val="b"/>
        <c:numFmt formatCode="General" sourceLinked="1"/>
        <c:tickLblPos val="none"/>
        <c:crossAx val="477088768"/>
        <c:crosses val="autoZero"/>
        <c:lblAlgn val="ctr"/>
        <c:lblOffset val="100"/>
      </c:catAx>
      <c:valAx>
        <c:axId val="477088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087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433085824"/>
        <c:axId val="433116672"/>
      </c:lineChart>
      <c:catAx>
        <c:axId val="43308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3116672"/>
        <c:crosses val="autoZero"/>
        <c:auto val="1"/>
        <c:lblAlgn val="ctr"/>
        <c:lblOffset val="100"/>
      </c:catAx>
      <c:valAx>
        <c:axId val="433116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3085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442582912"/>
        <c:axId val="442593280"/>
      </c:lineChart>
      <c:catAx>
        <c:axId val="442582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593280"/>
        <c:crosses val="autoZero"/>
        <c:auto val="1"/>
        <c:lblAlgn val="ctr"/>
        <c:lblOffset val="100"/>
      </c:catAx>
      <c:valAx>
        <c:axId val="442593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582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626.41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443285888"/>
        <c:axId val="443287424"/>
      </c:lineChart>
      <c:catAx>
        <c:axId val="44328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287424"/>
        <c:crosses val="autoZero"/>
        <c:auto val="1"/>
        <c:lblAlgn val="ctr"/>
        <c:lblOffset val="200"/>
        <c:tickLblSkip val="1"/>
      </c:catAx>
      <c:valAx>
        <c:axId val="443287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2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443320192"/>
        <c:axId val="443321728"/>
      </c:lineChart>
      <c:catAx>
        <c:axId val="4433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321728"/>
        <c:crosses val="autoZero"/>
        <c:auto val="1"/>
        <c:lblAlgn val="ctr"/>
        <c:lblOffset val="100"/>
      </c:catAx>
      <c:valAx>
        <c:axId val="443321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3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-313635.38800000004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443350400"/>
        <c:axId val="444343424"/>
      </c:lineChart>
      <c:catAx>
        <c:axId val="4433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343424"/>
        <c:crosses val="autoZero"/>
        <c:auto val="1"/>
        <c:lblAlgn val="ctr"/>
        <c:lblOffset val="100"/>
      </c:catAx>
      <c:valAx>
        <c:axId val="444343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3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444925056"/>
        <c:axId val="444926976"/>
      </c:lineChart>
      <c:catAx>
        <c:axId val="444925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6976"/>
        <c:crosses val="autoZero"/>
        <c:auto val="1"/>
        <c:lblAlgn val="ctr"/>
        <c:lblOffset val="100"/>
      </c:catAx>
      <c:valAx>
        <c:axId val="4449269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5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444947840"/>
        <c:axId val="444974592"/>
      </c:lineChart>
      <c:catAx>
        <c:axId val="44494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74592"/>
        <c:crosses val="autoZero"/>
        <c:auto val="1"/>
        <c:lblAlgn val="ctr"/>
        <c:lblOffset val="100"/>
      </c:catAx>
      <c:valAx>
        <c:axId val="444974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4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626.41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445994880"/>
        <c:axId val="445996416"/>
      </c:lineChart>
      <c:catAx>
        <c:axId val="4459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996416"/>
        <c:crosses val="autoZero"/>
        <c:auto val="1"/>
        <c:lblAlgn val="ctr"/>
        <c:lblOffset val="200"/>
        <c:tickLblSkip val="1"/>
      </c:catAx>
      <c:valAx>
        <c:axId val="445996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9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446029184"/>
        <c:axId val="446035072"/>
      </c:lineChart>
      <c:catAx>
        <c:axId val="44602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035072"/>
        <c:crosses val="autoZero"/>
        <c:auto val="1"/>
        <c:lblAlgn val="ctr"/>
        <c:lblOffset val="100"/>
      </c:catAx>
      <c:valAx>
        <c:axId val="4460350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02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-313635.38800000004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446280832"/>
        <c:axId val="446282368"/>
      </c:lineChart>
      <c:catAx>
        <c:axId val="44628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282368"/>
        <c:crosses val="autoZero"/>
        <c:auto val="1"/>
        <c:lblAlgn val="ctr"/>
        <c:lblOffset val="100"/>
      </c:catAx>
      <c:valAx>
        <c:axId val="446282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28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477117056"/>
        <c:axId val="477131520"/>
      </c:lineChart>
      <c:catAx>
        <c:axId val="477117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131520"/>
        <c:crosses val="autoZero"/>
        <c:auto val="1"/>
        <c:lblAlgn val="ctr"/>
        <c:lblOffset val="100"/>
      </c:catAx>
      <c:valAx>
        <c:axId val="477131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117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477165056"/>
        <c:axId val="477166592"/>
      </c:lineChart>
      <c:catAx>
        <c:axId val="477165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166592"/>
        <c:crosses val="autoZero"/>
        <c:auto val="1"/>
        <c:lblAlgn val="ctr"/>
        <c:lblOffset val="100"/>
      </c:catAx>
      <c:valAx>
        <c:axId val="477166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165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477158784"/>
        <c:axId val="520987776"/>
      </c:lineChart>
      <c:catAx>
        <c:axId val="4771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0987776"/>
        <c:crosses val="autoZero"/>
        <c:auto val="1"/>
        <c:lblAlgn val="ctr"/>
        <c:lblOffset val="200"/>
        <c:tickLblSkip val="1"/>
      </c:catAx>
      <c:valAx>
        <c:axId val="520987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1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627651712"/>
        <c:axId val="627653248"/>
      </c:lineChart>
      <c:catAx>
        <c:axId val="6276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7653248"/>
        <c:crosses val="autoZero"/>
        <c:auto val="1"/>
        <c:lblAlgn val="ctr"/>
        <c:lblOffset val="100"/>
      </c:catAx>
      <c:valAx>
        <c:axId val="62765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76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627677824"/>
        <c:axId val="627700096"/>
      </c:lineChart>
      <c:catAx>
        <c:axId val="6276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7700096"/>
        <c:crosses val="autoZero"/>
        <c:auto val="1"/>
        <c:lblAlgn val="ctr"/>
        <c:lblOffset val="100"/>
      </c:catAx>
      <c:valAx>
        <c:axId val="62770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76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524988800"/>
        <c:axId val="524990720"/>
      </c:lineChart>
      <c:catAx>
        <c:axId val="524988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4990720"/>
        <c:crosses val="autoZero"/>
        <c:auto val="1"/>
        <c:lblAlgn val="ctr"/>
        <c:lblOffset val="100"/>
      </c:catAx>
      <c:valAx>
        <c:axId val="5249907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4988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631712384"/>
        <c:axId val="631739136"/>
      </c:lineChart>
      <c:catAx>
        <c:axId val="631712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739136"/>
        <c:crosses val="autoZero"/>
        <c:auto val="1"/>
        <c:lblAlgn val="ctr"/>
        <c:lblOffset val="100"/>
      </c:catAx>
      <c:valAx>
        <c:axId val="631739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712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631903360"/>
        <c:axId val="631904896"/>
      </c:lineChart>
      <c:catAx>
        <c:axId val="63190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04896"/>
        <c:crosses val="autoZero"/>
        <c:auto val="1"/>
        <c:lblAlgn val="ctr"/>
        <c:lblOffset val="200"/>
        <c:tickLblSkip val="1"/>
      </c:catAx>
      <c:valAx>
        <c:axId val="631904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0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631925376"/>
        <c:axId val="631927168"/>
      </c:lineChart>
      <c:catAx>
        <c:axId val="63192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27168"/>
        <c:crosses val="autoZero"/>
        <c:auto val="1"/>
        <c:lblAlgn val="ctr"/>
        <c:lblOffset val="100"/>
      </c:catAx>
      <c:valAx>
        <c:axId val="63192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631955840"/>
        <c:axId val="631957376"/>
      </c:lineChart>
      <c:catAx>
        <c:axId val="63195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57376"/>
        <c:crosses val="autoZero"/>
        <c:auto val="1"/>
        <c:lblAlgn val="ctr"/>
        <c:lblOffset val="100"/>
      </c:catAx>
      <c:valAx>
        <c:axId val="63195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195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0.45677760968229958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1408</v>
      </c>
      <c r="F18" s="490">
        <f>('UTILITY REPORT 1'!E19*'UTILITY REPORT 1'!D19)/'UTILITY REPORT 1'!F19</f>
        <v>0.4448934659090909</v>
      </c>
      <c r="G18" s="490">
        <f>IF('Utility summery'!M22&lt;0,"0",'Utility summery'!M22)</f>
        <v>28.512000000046104</v>
      </c>
      <c r="H18" s="499">
        <v>0</v>
      </c>
      <c r="I18" s="490">
        <f>IF('UTILITY REPORT 1'!G19&lt;0,"0",'UTILITY REPORT 1'!G19)</f>
        <v>52</v>
      </c>
      <c r="J18" s="499">
        <v>0</v>
      </c>
      <c r="K18" s="489">
        <f>'UTILITY REPORT 1'!C19</f>
        <v>0</v>
      </c>
      <c r="L18" s="491" t="e">
        <f>E18*F18+G18*H18+#REF!*#REF!+I18*J18</f>
        <v>#REF!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 t="str">
        <f>IF('Utility summery'!M23&lt;0,"0",'Utility summery'!M23)</f>
        <v>0</v>
      </c>
      <c r="H19" s="499">
        <v>0</v>
      </c>
      <c r="I19" s="490" t="str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603.86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626.41</v>
      </c>
      <c r="G18" s="549">
        <f>'UTILITY REPORT 1'!F19</f>
        <v>1408</v>
      </c>
      <c r="H18" s="548">
        <f>IF('Kit report'!F20&lt;0,"0",'Kit report'!F20)</f>
        <v>107.99999999995634</v>
      </c>
      <c r="I18" s="548">
        <f>IF('Kit report'!X20&lt;0,"0",'Kit report'!X20)</f>
        <v>0</v>
      </c>
      <c r="J18" s="548">
        <f>IF('Utility summery'!H22&lt;0,"0",'Utility summery'!H22)</f>
        <v>35</v>
      </c>
      <c r="K18" s="549">
        <f>IF('UTILITY REPORT 1'!H19&lt;0,"0",'UTILITY REPORT 1'!H19)</f>
        <v>0</v>
      </c>
      <c r="L18" s="548">
        <f>'Water-Meter'!K22</f>
        <v>1</v>
      </c>
      <c r="M18" s="549">
        <f>'Water-Meter'!H22</f>
        <v>0</v>
      </c>
      <c r="N18" s="549">
        <f>'Water-Meter'!Q22</f>
        <v>1</v>
      </c>
      <c r="O18" s="548" t="e">
        <f>K18*E18+H18*I18+#REF!*#REF!+J18*L18</f>
        <v>#REF!</v>
      </c>
      <c r="P18" s="555">
        <f>'Water-Meter'!E22</f>
        <v>52</v>
      </c>
      <c r="Q18" s="291">
        <f>IF('Water-Meter'!U22&lt;0,"0",'Water-Meter'!U22)</f>
        <v>51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 t="str">
        <f>IF('Water-Meter'!AJ22&lt;0,"0",'Water-Meter'!AJ22)</f>
        <v>0</v>
      </c>
      <c r="W18" s="31">
        <f>'Water-Meter'!AN22</f>
        <v>51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 t="str">
        <f>IF('Kit report'!F21&lt;0,"0",'Kit report'!F21)</f>
        <v>0</v>
      </c>
      <c r="I19" s="548" t="str">
        <f>IF('Kit report'!X21&lt;0,"0",'Kit report'!X21)</f>
        <v>0</v>
      </c>
      <c r="J19" s="548" t="str">
        <f>IF('Utility summery'!H23&lt;0,"0",'Utility summery'!H23)</f>
        <v>0</v>
      </c>
      <c r="K19" s="549" t="str">
        <f>IF('UTILITY REPORT 1'!H20&lt;0,"0",'UTILITY REPORT 1'!H20)</f>
        <v>0</v>
      </c>
      <c r="L19" s="548" t="str">
        <f>'Water-Meter'!K23</f>
        <v>0</v>
      </c>
      <c r="M19" s="549" t="str">
        <f>'Water-Meter'!H23</f>
        <v>0</v>
      </c>
      <c r="N19" s="549" t="str">
        <f>'Water-Meter'!Q23</f>
        <v>0</v>
      </c>
      <c r="O19" s="548" t="e">
        <f>K19*E19+H19*I19+#REF!*#REF!+J19*L19</f>
        <v>#REF!</v>
      </c>
      <c r="P19" s="555" t="str">
        <f>'Water-Meter'!E23</f>
        <v>0</v>
      </c>
      <c r="Q19" s="291" t="str">
        <f>IF('Water-Meter'!U23&lt;0,"0",'Water-Meter'!U23)</f>
        <v>0</v>
      </c>
      <c r="R19" s="291" t="str">
        <f>IF('Water-Meter'!X23&lt;0,"0",'Water-Meter'!X23)</f>
        <v>0</v>
      </c>
      <c r="S19" s="291" t="str">
        <f>IF('Water-Meter'!AA23&lt;0,"0",'Water-Meter'!AA23)</f>
        <v>0</v>
      </c>
      <c r="T19" s="291" t="str">
        <f>IF('Water-Meter'!AD23&lt;0,"0",'Water-Meter'!AD23)</f>
        <v>0</v>
      </c>
      <c r="U19" s="291" t="str">
        <f>IF('Water-Meter'!AG23&lt;0,"0",'Water-Meter'!AG23)</f>
        <v>0</v>
      </c>
      <c r="V19" s="291" t="str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3" t="s">
        <v>305</v>
      </c>
      <c r="B1" s="793"/>
      <c r="C1" s="793"/>
      <c r="D1" s="793"/>
      <c r="E1" s="793"/>
      <c r="F1" s="793"/>
      <c r="G1" s="793"/>
      <c r="H1" s="793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603.86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626.41</v>
      </c>
      <c r="F19" s="477">
        <f>Gen!U27</f>
        <v>1408</v>
      </c>
      <c r="G19" s="477">
        <f>'Water-Meter'!E22</f>
        <v>52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 t="str">
        <f>'Water-Meter'!E23</f>
        <v>0</v>
      </c>
      <c r="H20" s="477">
        <f>'Utility report '!AC23</f>
        <v>-32087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4" t="s">
        <v>135</v>
      </c>
      <c r="E4" s="794"/>
      <c r="F4" s="794"/>
      <c r="G4" s="795" t="s">
        <v>20</v>
      </c>
      <c r="H4" s="795"/>
      <c r="I4" s="795"/>
      <c r="J4" s="796" t="s">
        <v>54</v>
      </c>
      <c r="K4" s="796"/>
      <c r="L4" s="796"/>
      <c r="M4" s="796"/>
      <c r="N4" s="797" t="s">
        <v>143</v>
      </c>
      <c r="O4" s="797"/>
      <c r="P4" s="797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603.86</v>
      </c>
      <c r="E20" s="179">
        <f>Gen!AK25</f>
        <v>3.78</v>
      </c>
      <c r="F20" s="179">
        <f>Gen!AS25</f>
        <v>607.64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845.404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1408</v>
      </c>
      <c r="D22" s="179">
        <f>Gen!T27</f>
        <v>626.41</v>
      </c>
      <c r="E22" s="179">
        <f>Gen!AK27</f>
        <v>0</v>
      </c>
      <c r="F22" s="179">
        <f>Gen!AS27</f>
        <v>626.41</v>
      </c>
      <c r="G22" s="182">
        <f>'Utility report '!AC22</f>
        <v>0</v>
      </c>
      <c r="H22" s="182">
        <f>'Utility report '!AE22</f>
        <v>35</v>
      </c>
      <c r="I22" s="352">
        <f>'Water-Meter'!E22</f>
        <v>52</v>
      </c>
      <c r="J22" s="184">
        <f>'Lpg (2)'!B26</f>
        <v>85</v>
      </c>
      <c r="K22" s="184">
        <f>'Lpg (2)'!C26</f>
        <v>83</v>
      </c>
      <c r="L22" s="184">
        <f>'Lpg (2)'!D26</f>
        <v>12</v>
      </c>
      <c r="M22" s="536">
        <f>'Lpg (2)'!G26</f>
        <v>28.512000000046104</v>
      </c>
      <c r="N22" s="177">
        <f t="shared" si="2"/>
        <v>876.97399999999993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-32087</v>
      </c>
      <c r="H23" s="182">
        <f>'Utility report '!AE23</f>
        <v>-201460</v>
      </c>
      <c r="I23" s="352" t="str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-313635.38800000004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22548</v>
      </c>
      <c r="D39" s="545">
        <f>SUM(D7:D35)</f>
        <v>10421.210000000001</v>
      </c>
      <c r="E39" s="545">
        <f t="shared" ref="E39:S39" si="3">SUM(E7:E35)</f>
        <v>247.17999999999998</v>
      </c>
      <c r="F39" s="545">
        <f t="shared" si="3"/>
        <v>10668.39</v>
      </c>
      <c r="G39" s="545">
        <f t="shared" si="3"/>
        <v>-31574</v>
      </c>
      <c r="H39" s="545">
        <f t="shared" si="3"/>
        <v>-200803</v>
      </c>
      <c r="I39" s="545">
        <f t="shared" si="3"/>
        <v>674</v>
      </c>
      <c r="J39" s="545">
        <f t="shared" si="3"/>
        <v>1360</v>
      </c>
      <c r="K39" s="545">
        <f t="shared" si="3"/>
        <v>1328</v>
      </c>
      <c r="L39" s="545">
        <f t="shared" si="3"/>
        <v>411</v>
      </c>
      <c r="M39" s="545">
        <f t="shared" si="3"/>
        <v>-313165.51199999999</v>
      </c>
      <c r="N39" s="545">
        <f t="shared" si="3"/>
        <v>14589.693999999998</v>
      </c>
      <c r="O39" s="545">
        <f t="shared" si="3"/>
        <v>346.05199999999996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5" zoomScale="85" zoomScalePageLayoutView="85" workbookViewId="0">
      <selection activeCell="AB23" sqref="AB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6" t="s">
        <v>318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8"/>
    </row>
    <row r="2" spans="1:37" ht="61.5" customHeight="1" thickBot="1">
      <c r="A2" s="150" t="s">
        <v>98</v>
      </c>
      <c r="B2" s="809" t="s">
        <v>99</v>
      </c>
      <c r="C2" s="810"/>
      <c r="D2" s="811"/>
      <c r="E2" s="151"/>
      <c r="F2" s="151"/>
      <c r="G2" s="151"/>
      <c r="H2" s="148" t="s">
        <v>124</v>
      </c>
      <c r="I2" s="338" t="s">
        <v>100</v>
      </c>
      <c r="J2" s="814" t="s">
        <v>122</v>
      </c>
      <c r="K2" s="493"/>
      <c r="L2" s="816" t="s">
        <v>123</v>
      </c>
      <c r="M2" s="492" t="s">
        <v>101</v>
      </c>
      <c r="N2" s="814" t="s">
        <v>102</v>
      </c>
      <c r="O2" s="798" t="s">
        <v>103</v>
      </c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339" t="s">
        <v>104</v>
      </c>
      <c r="AB2" s="809" t="s">
        <v>164</v>
      </c>
      <c r="AC2" s="811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12">
        <f>SUM(D3/B3)</f>
        <v>1.3262195121951219</v>
      </c>
      <c r="G3" s="813"/>
      <c r="H3" s="131">
        <f>Gen!D11</f>
        <v>43367.69</v>
      </c>
      <c r="I3" s="141"/>
      <c r="J3" s="814"/>
      <c r="K3" s="493" t="s">
        <v>165</v>
      </c>
      <c r="L3" s="816"/>
      <c r="M3" s="340" t="s">
        <v>111</v>
      </c>
      <c r="N3" s="814"/>
      <c r="O3" s="798" t="s">
        <v>112</v>
      </c>
      <c r="P3" s="799"/>
      <c r="Q3" s="799"/>
      <c r="R3" s="799"/>
      <c r="S3" s="800" t="s">
        <v>113</v>
      </c>
      <c r="T3" s="801"/>
      <c r="U3" s="801"/>
      <c r="V3" s="802"/>
      <c r="W3" s="803" t="s">
        <v>114</v>
      </c>
      <c r="X3" s="804"/>
      <c r="Y3" s="804"/>
      <c r="Z3" s="805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4"/>
      <c r="K4" s="493"/>
      <c r="L4" s="816"/>
      <c r="M4" s="143"/>
      <c r="N4" s="815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90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790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790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790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790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790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790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790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790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790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440.51246114170613</v>
      </c>
      <c r="N15" s="203">
        <f>'Water-Meter'!E15</f>
        <v>51</v>
      </c>
      <c r="O15" s="214"/>
      <c r="P15" s="790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790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46005.94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790">
        <v>19030</v>
      </c>
      <c r="Q17" s="506">
        <f>SUM(P18-P16)</f>
        <v>0</v>
      </c>
      <c r="R17" s="507">
        <f t="shared" si="5"/>
        <v>0</v>
      </c>
      <c r="S17" s="452"/>
      <c r="T17" s="575">
        <v>24506</v>
      </c>
      <c r="U17" s="506">
        <f t="shared" si="6"/>
        <v>7</v>
      </c>
      <c r="V17" s="508">
        <f t="shared" ref="V17:V36" si="18">SUM(U17*S17)</f>
        <v>0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(2)'!C22*1000/85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45180.04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790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 t="e">
        <f>'Lpg (2)'!#REF!*1000/85</f>
        <v>#REF!</v>
      </c>
      <c r="AH18" s="319">
        <f>'Lpg (2)'!D22*1000/85</f>
        <v>211.76470588235293</v>
      </c>
      <c r="AI18" s="511" t="e">
        <f t="shared" si="17"/>
        <v>#REF!</v>
      </c>
      <c r="AJ18" s="510" t="e">
        <f t="shared" si="4"/>
        <v>#REF!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44523.85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790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 t="e">
        <f t="shared" si="4"/>
        <v>#REF!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43890.77</v>
      </c>
      <c r="I20" s="505">
        <f>Gen!F25</f>
        <v>0</v>
      </c>
      <c r="J20" s="142">
        <f>Gen!T25</f>
        <v>603.86</v>
      </c>
      <c r="K20" s="142">
        <f>Gen!AK25</f>
        <v>3.78</v>
      </c>
      <c r="L20" s="142">
        <f t="shared" si="1"/>
        <v>607.64</v>
      </c>
      <c r="M20" s="535">
        <f>'Water-Meter'!K60</f>
        <v>523.93294537575889</v>
      </c>
      <c r="N20" s="203">
        <f>'Water-Meter'!E20</f>
        <v>38</v>
      </c>
      <c r="O20" s="214"/>
      <c r="P20" s="790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43283.13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790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>T22-T20</f>
        <v>0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42647.64</v>
      </c>
      <c r="I22" s="505">
        <f>Gen!F27</f>
        <v>0</v>
      </c>
      <c r="J22" s="142">
        <f>Gen!T27</f>
        <v>626.41</v>
      </c>
      <c r="K22" s="142">
        <f>Gen!AK27</f>
        <v>0</v>
      </c>
      <c r="L22" s="142">
        <f t="shared" si="1"/>
        <v>626.41</v>
      </c>
      <c r="M22" s="535">
        <f>'Water-Meter'!K62</f>
        <v>387.74850959438766</v>
      </c>
      <c r="N22" s="203">
        <f>'Water-Meter'!E22</f>
        <v>52</v>
      </c>
      <c r="O22" s="214"/>
      <c r="P22" s="790">
        <v>19030</v>
      </c>
      <c r="Q22" s="506">
        <f t="shared" si="2"/>
        <v>0</v>
      </c>
      <c r="R22" s="507">
        <f t="shared" si="5"/>
        <v>0</v>
      </c>
      <c r="S22" s="452"/>
      <c r="T22" s="575">
        <v>24506</v>
      </c>
      <c r="U22" s="506" t="e">
        <f>#REF!-T22</f>
        <v>#REF!</v>
      </c>
      <c r="V22" s="508" t="e">
        <f t="shared" si="18"/>
        <v>#REF!</v>
      </c>
      <c r="W22" s="452"/>
      <c r="X22" s="573">
        <v>16233</v>
      </c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>
        <v>32087</v>
      </c>
      <c r="AC22" s="138">
        <f t="shared" si="11"/>
        <v>0</v>
      </c>
      <c r="AD22" s="574">
        <v>201460</v>
      </c>
      <c r="AE22" s="221">
        <f t="shared" si="15"/>
        <v>35</v>
      </c>
      <c r="AF22" s="317">
        <f>'Lpg (2)'!B26*2000/85</f>
        <v>2000</v>
      </c>
      <c r="AG22" s="318">
        <f>'Lpg (2)'!C26*1000/85</f>
        <v>976.47058823529414</v>
      </c>
      <c r="AH22" s="319">
        <f>'Lpg (2)'!D26*1000/85</f>
        <v>141.1764705882353</v>
      </c>
      <c r="AI22" s="511">
        <f t="shared" si="17"/>
        <v>5117647.0588235296</v>
      </c>
      <c r="AJ22" s="510">
        <f t="shared" si="4"/>
        <v>11764.705882352777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42021.229999999996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446.84905601468114</v>
      </c>
      <c r="N23" s="203" t="str">
        <f>'Water-Meter'!E23</f>
        <v>0</v>
      </c>
      <c r="O23" s="214"/>
      <c r="P23" s="790"/>
      <c r="Q23" s="506">
        <f t="shared" si="2"/>
        <v>-19030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-16233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-32087</v>
      </c>
      <c r="AD23" s="574"/>
      <c r="AE23" s="221">
        <f t="shared" si="15"/>
        <v>-201460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5117647.0588235296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42021.229999999996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790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574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42021.229999999996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790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574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42021.229999999996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790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574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42021.229999999996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790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574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42021.229999999996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790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574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42021.229999999996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790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574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42021.229999999996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790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574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42021.229999999996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790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574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42021.229999999996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790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574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42021.229999999996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790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574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42021.229999999996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790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574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42021.229999999996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790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574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42021.229999999996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574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11099.28</v>
      </c>
      <c r="K37" s="165"/>
      <c r="L37" s="142">
        <f t="shared" si="1"/>
        <v>11099.28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791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4" sqref="E2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7" t="s">
        <v>150</v>
      </c>
      <c r="C1" s="818"/>
      <c r="D1" s="818"/>
      <c r="E1" s="818"/>
      <c r="F1" s="819"/>
      <c r="G1" s="189"/>
      <c r="H1" s="817" t="s">
        <v>151</v>
      </c>
      <c r="I1" s="818"/>
      <c r="J1" s="818"/>
      <c r="K1" s="818"/>
      <c r="L1" s="819"/>
      <c r="M1" s="817" t="s">
        <v>170</v>
      </c>
      <c r="N1" s="818"/>
      <c r="O1" s="818"/>
      <c r="P1" s="818"/>
      <c r="Q1" s="819"/>
      <c r="R1" s="189"/>
      <c r="T1" s="817" t="s">
        <v>166</v>
      </c>
      <c r="U1" s="818"/>
      <c r="V1" s="818"/>
      <c r="W1" s="818"/>
      <c r="X1" s="819"/>
      <c r="Y1" s="817" t="s">
        <v>169</v>
      </c>
      <c r="Z1" s="818"/>
      <c r="AA1" s="818"/>
      <c r="AB1" s="818"/>
      <c r="AC1" s="819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20" t="s">
        <v>156</v>
      </c>
      <c r="C3" s="821"/>
      <c r="D3" s="198"/>
      <c r="E3" s="735">
        <v>8666.6</v>
      </c>
      <c r="F3" s="736" t="s">
        <v>157</v>
      </c>
      <c r="G3" s="737"/>
      <c r="H3" s="820" t="s">
        <v>156</v>
      </c>
      <c r="I3" s="821"/>
      <c r="J3" s="290"/>
      <c r="K3" s="738">
        <f>'Water-Meter'!G5</f>
        <v>38000</v>
      </c>
      <c r="L3" s="290"/>
      <c r="M3" s="820" t="s">
        <v>156</v>
      </c>
      <c r="N3" s="821"/>
      <c r="O3" s="198"/>
      <c r="P3" s="739">
        <f>'Water-Meter'!J5</f>
        <v>7903</v>
      </c>
      <c r="Q3" s="197"/>
      <c r="R3" s="724"/>
      <c r="S3" s="725"/>
      <c r="T3" s="820" t="s">
        <v>156</v>
      </c>
      <c r="U3" s="821"/>
      <c r="V3" s="198"/>
      <c r="W3" s="740">
        <v>7804.5</v>
      </c>
      <c r="X3" s="741">
        <f t="shared" ref="X3:X35" si="0">(W3-V3)*200</f>
        <v>1560900</v>
      </c>
      <c r="Y3" s="820" t="s">
        <v>156</v>
      </c>
      <c r="Z3" s="821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603.86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>
        <v>8680.2000000000007</v>
      </c>
      <c r="F19" s="732">
        <f t="shared" si="15"/>
        <v>96.000000000130967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38000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7912</v>
      </c>
      <c r="Q19" s="758">
        <f t="shared" si="6"/>
        <v>0</v>
      </c>
      <c r="R19" s="784">
        <f t="shared" si="7"/>
        <v>0</v>
      </c>
      <c r="S19" s="785">
        <f>Gen!T26</f>
        <v>635.49</v>
      </c>
      <c r="T19" s="769">
        <f t="shared" si="12"/>
        <v>43967</v>
      </c>
      <c r="U19" s="729"/>
      <c r="V19" s="732">
        <f t="shared" si="8"/>
        <v>7805.3</v>
      </c>
      <c r="W19" s="728">
        <v>7805.4</v>
      </c>
      <c r="X19" s="772">
        <f t="shared" si="0"/>
        <v>19.999999999890861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20140</v>
      </c>
      <c r="AC19" s="763">
        <f t="shared" si="9"/>
        <v>1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8680.2000000000007</v>
      </c>
      <c r="E20" s="727">
        <v>8681.1</v>
      </c>
      <c r="F20" s="732">
        <f t="shared" si="15"/>
        <v>107.99999999995634</v>
      </c>
      <c r="G20" s="726"/>
      <c r="H20" s="752">
        <f t="shared" si="10"/>
        <v>43968</v>
      </c>
      <c r="I20" s="745"/>
      <c r="J20" s="726">
        <f t="shared" si="3"/>
        <v>38000</v>
      </c>
      <c r="K20" s="731">
        <f>'Water-Meter'!G22</f>
        <v>38000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7912</v>
      </c>
      <c r="P20" s="730">
        <f>'Water-Meter'!J22</f>
        <v>7913</v>
      </c>
      <c r="Q20" s="758">
        <f t="shared" si="6"/>
        <v>1</v>
      </c>
      <c r="R20" s="784">
        <f t="shared" si="7"/>
        <v>6.1919504643962852E-4</v>
      </c>
      <c r="S20" s="785">
        <f>Gen!T27</f>
        <v>626.41</v>
      </c>
      <c r="T20" s="769">
        <f t="shared" si="12"/>
        <v>43968</v>
      </c>
      <c r="U20" s="729"/>
      <c r="V20" s="732">
        <f t="shared" si="8"/>
        <v>7805.4</v>
      </c>
      <c r="W20" s="728">
        <v>7805.4</v>
      </c>
      <c r="X20" s="772">
        <f t="shared" si="0"/>
        <v>0</v>
      </c>
      <c r="Y20" s="762">
        <f t="shared" si="13"/>
        <v>43968</v>
      </c>
      <c r="Z20" s="729"/>
      <c r="AA20" s="726">
        <f t="shared" si="14"/>
        <v>20140</v>
      </c>
      <c r="AB20" s="730">
        <f>'Water-Meter'!P22</f>
        <v>20141</v>
      </c>
      <c r="AC20" s="763">
        <f t="shared" si="9"/>
        <v>1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8681.1</v>
      </c>
      <c r="E21" s="727"/>
      <c r="F21" s="732">
        <f t="shared" si="15"/>
        <v>-1041732</v>
      </c>
      <c r="G21" s="726"/>
      <c r="H21" s="752">
        <f t="shared" si="10"/>
        <v>43969</v>
      </c>
      <c r="I21" s="745"/>
      <c r="J21" s="726">
        <f t="shared" si="3"/>
        <v>38000</v>
      </c>
      <c r="K21" s="731">
        <f>'Water-Meter'!G23</f>
        <v>0</v>
      </c>
      <c r="L21" s="758">
        <f t="shared" si="4"/>
        <v>-38000</v>
      </c>
      <c r="M21" s="762">
        <f t="shared" si="11"/>
        <v>43969</v>
      </c>
      <c r="N21" s="729"/>
      <c r="O21" s="726">
        <f t="shared" si="5"/>
        <v>7913</v>
      </c>
      <c r="P21" s="730">
        <f>'Water-Meter'!J23</f>
        <v>0</v>
      </c>
      <c r="Q21" s="758">
        <f t="shared" si="6"/>
        <v>-7913</v>
      </c>
      <c r="R21" s="784">
        <f t="shared" ref="R21:R35" si="16">SUM(Q21/1615)</f>
        <v>-4.8996904024767804</v>
      </c>
      <c r="S21" s="785">
        <f>Gen!T28</f>
        <v>0</v>
      </c>
      <c r="T21" s="769">
        <f t="shared" si="12"/>
        <v>43969</v>
      </c>
      <c r="U21" s="729"/>
      <c r="V21" s="732">
        <f t="shared" si="8"/>
        <v>7805.4</v>
      </c>
      <c r="W21" s="728"/>
      <c r="X21" s="772">
        <f t="shared" si="0"/>
        <v>-1561080</v>
      </c>
      <c r="Y21" s="762">
        <f t="shared" si="13"/>
        <v>43969</v>
      </c>
      <c r="Z21" s="729"/>
      <c r="AA21" s="726">
        <f t="shared" si="14"/>
        <v>20141</v>
      </c>
      <c r="AB21" s="730">
        <f>'Water-Meter'!P23</f>
        <v>0</v>
      </c>
      <c r="AC21" s="763">
        <f t="shared" si="9"/>
        <v>-20141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22" t="s">
        <v>316</v>
      </c>
      <c r="B2" s="823"/>
      <c r="C2" s="823"/>
      <c r="D2" s="823"/>
      <c r="E2" s="824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46005.94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45180.04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44523.85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43890.77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43283.13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24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603.86</v>
      </c>
      <c r="H21" s="87">
        <f>Gen!AK27</f>
        <v>0</v>
      </c>
      <c r="I21" s="87">
        <f t="shared" si="1"/>
        <v>603.86</v>
      </c>
      <c r="J21" s="533">
        <f>Gen!D27</f>
        <v>42647.64</v>
      </c>
      <c r="K21" s="351">
        <f>'Water-Meter'!E22</f>
        <v>52</v>
      </c>
      <c r="L21" s="534">
        <f>'Lpg (2)'!G26</f>
        <v>28.512000000046104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-151035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0</v>
      </c>
      <c r="I22" s="87">
        <f t="shared" si="1"/>
        <v>635.49</v>
      </c>
      <c r="J22" s="533">
        <f>Gen!D28</f>
        <v>42021.229999999996</v>
      </c>
      <c r="K22" s="351" t="str">
        <f>'Water-Meter'!E23</f>
        <v>0</v>
      </c>
      <c r="L22" s="534">
        <f>'Lpg (2)'!G27</f>
        <v>-313635.38800000004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1408</v>
      </c>
      <c r="G23" s="87">
        <f>Gen!T27</f>
        <v>626.41</v>
      </c>
      <c r="H23" s="87">
        <f>Gen!AK29</f>
        <v>0</v>
      </c>
      <c r="I23" s="87">
        <f t="shared" si="1"/>
        <v>626.41</v>
      </c>
      <c r="J23" s="533">
        <f>Gen!D29</f>
        <v>42021.229999999996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42021.229999999996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42021.229999999996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42021.229999999996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42021.229999999996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42021.229999999996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42021.229999999996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42021.229999999996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42021.229999999996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42021.229999999996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42021.229999999996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42021.229999999996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42021.229999999996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42021.229999999996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G1" workbookViewId="0">
      <selection activeCell="U25" sqref="U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5">
        <v>43952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20"/>
    </row>
    <row r="2" spans="1:29" ht="12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7" t="s">
        <v>299</v>
      </c>
      <c r="L3" s="828"/>
      <c r="M3" s="829"/>
      <c r="N3" s="827" t="s">
        <v>300</v>
      </c>
      <c r="O3" s="828"/>
      <c r="P3" s="829"/>
      <c r="Q3" s="827" t="s">
        <v>301</v>
      </c>
      <c r="R3" s="828"/>
      <c r="S3" s="829"/>
      <c r="T3" s="827" t="s">
        <v>302</v>
      </c>
      <c r="U3" s="828"/>
      <c r="V3" s="829"/>
      <c r="W3" s="827" t="s">
        <v>303</v>
      </c>
      <c r="X3" s="828"/>
      <c r="Y3" s="829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603.86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>
        <v>30664.1</v>
      </c>
      <c r="J22" s="364">
        <v>20296.3</v>
      </c>
      <c r="K22" s="363">
        <f t="shared" si="0"/>
        <v>34426</v>
      </c>
      <c r="L22" s="364">
        <v>34437</v>
      </c>
      <c r="M22" s="363">
        <f t="shared" si="1"/>
        <v>11</v>
      </c>
      <c r="N22" s="365">
        <f t="shared" si="2"/>
        <v>29533</v>
      </c>
      <c r="O22" s="364">
        <v>29546</v>
      </c>
      <c r="P22" s="363">
        <f t="shared" si="3"/>
        <v>13</v>
      </c>
      <c r="Q22" s="363">
        <f t="shared" si="4"/>
        <v>34808</v>
      </c>
      <c r="R22" s="364">
        <v>34808</v>
      </c>
      <c r="S22" s="363">
        <f t="shared" si="5"/>
        <v>0</v>
      </c>
      <c r="T22" s="363">
        <f t="shared" si="6"/>
        <v>32182</v>
      </c>
      <c r="U22" s="364">
        <v>32182</v>
      </c>
      <c r="V22" s="363">
        <f t="shared" si="7"/>
        <v>0</v>
      </c>
      <c r="W22" s="365">
        <f t="shared" si="8"/>
        <v>20062</v>
      </c>
      <c r="X22" s="364">
        <v>20062</v>
      </c>
      <c r="Y22" s="363">
        <f t="shared" si="9"/>
        <v>0</v>
      </c>
      <c r="Z22" s="366">
        <f t="shared" si="10"/>
        <v>24</v>
      </c>
      <c r="AA22" s="128">
        <v>160</v>
      </c>
      <c r="AB22" s="128">
        <v>76</v>
      </c>
      <c r="AC22" s="315">
        <f>Gen!T27</f>
        <v>626.41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>
        <v>16025.03</v>
      </c>
      <c r="D23" s="364">
        <v>25996.2</v>
      </c>
      <c r="E23" s="610"/>
      <c r="F23" s="364"/>
      <c r="G23" s="364"/>
      <c r="H23" s="364"/>
      <c r="I23" s="364"/>
      <c r="J23" s="364"/>
      <c r="K23" s="363">
        <f t="shared" si="0"/>
        <v>34437</v>
      </c>
      <c r="L23" s="364"/>
      <c r="M23" s="363">
        <f t="shared" si="1"/>
        <v>-34437</v>
      </c>
      <c r="N23" s="365">
        <f t="shared" si="2"/>
        <v>29546</v>
      </c>
      <c r="O23" s="364"/>
      <c r="P23" s="363">
        <f t="shared" si="3"/>
        <v>-29546</v>
      </c>
      <c r="Q23" s="363">
        <f t="shared" si="4"/>
        <v>34808</v>
      </c>
      <c r="R23" s="364"/>
      <c r="S23" s="363">
        <f t="shared" si="5"/>
        <v>-34808</v>
      </c>
      <c r="T23" s="363">
        <f t="shared" si="6"/>
        <v>32182</v>
      </c>
      <c r="U23" s="364"/>
      <c r="V23" s="363">
        <f t="shared" si="7"/>
        <v>-32182</v>
      </c>
      <c r="W23" s="365">
        <f t="shared" si="8"/>
        <v>20062</v>
      </c>
      <c r="X23" s="364"/>
      <c r="Y23" s="363">
        <f t="shared" si="9"/>
        <v>-20062</v>
      </c>
      <c r="Z23" s="366">
        <f t="shared" si="10"/>
        <v>-151035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4" zoomScale="110" zoomScaleNormal="110" workbookViewId="0">
      <pane xSplit="2" topLeftCell="C1" activePane="topRight" state="frozen"/>
      <selection pane="topRight" activeCell="O33" sqref="O33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6"/>
      <c r="C1" s="836"/>
    </row>
    <row r="2" spans="2:47" ht="26.25">
      <c r="B2" s="836"/>
      <c r="C2" s="836"/>
      <c r="E2" s="837" t="s">
        <v>314</v>
      </c>
      <c r="F2" s="837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838"/>
      <c r="AS2" s="838"/>
      <c r="AT2" s="838"/>
      <c r="AU2" s="838"/>
    </row>
    <row r="3" spans="2:47">
      <c r="B3" s="836"/>
      <c r="C3" s="836"/>
      <c r="L3" s="226"/>
      <c r="R3" s="226"/>
    </row>
    <row r="4" spans="2:47">
      <c r="B4" s="836"/>
      <c r="C4" s="836"/>
      <c r="L4" s="226"/>
      <c r="R4" s="226"/>
    </row>
    <row r="5" spans="2:47" ht="12" thickBot="1">
      <c r="B5" s="836"/>
      <c r="C5" s="836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6"/>
      <c r="C6" s="836"/>
      <c r="D6" s="231"/>
      <c r="G6" s="845" t="s">
        <v>57</v>
      </c>
      <c r="H6" s="846"/>
      <c r="I6" s="846"/>
      <c r="J6" s="846"/>
      <c r="K6" s="846"/>
      <c r="L6" s="846"/>
      <c r="M6" s="847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9" t="s">
        <v>201</v>
      </c>
      <c r="H7" s="840"/>
      <c r="I7" s="840"/>
      <c r="J7" s="840"/>
      <c r="K7" s="840"/>
      <c r="L7" s="840"/>
      <c r="M7" s="841"/>
      <c r="N7" s="842" t="s">
        <v>40</v>
      </c>
      <c r="O7" s="843"/>
      <c r="P7" s="843"/>
      <c r="Q7" s="843"/>
      <c r="R7" s="843"/>
      <c r="S7" s="844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46005.94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46005.94</v>
      </c>
    </row>
    <row r="23" spans="2:47" ht="14.25">
      <c r="B23" s="723">
        <v>43964</v>
      </c>
      <c r="C23" s="710"/>
      <c r="D23" s="719">
        <f t="shared" si="6"/>
        <v>45180.04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45180.04</v>
      </c>
    </row>
    <row r="24" spans="2:47" ht="14.25">
      <c r="B24" s="723">
        <v>43965</v>
      </c>
      <c r="C24" s="710"/>
      <c r="D24" s="719">
        <f t="shared" si="6"/>
        <v>44523.85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44523.85</v>
      </c>
    </row>
    <row r="25" spans="2:47" ht="14.25">
      <c r="B25" s="723">
        <v>43966</v>
      </c>
      <c r="C25" s="710"/>
      <c r="D25" s="719">
        <f t="shared" si="6"/>
        <v>43890.77</v>
      </c>
      <c r="E25" s="271"/>
      <c r="F25" s="718"/>
      <c r="G25" s="712"/>
      <c r="H25" s="691"/>
      <c r="I25" s="267">
        <v>266.05</v>
      </c>
      <c r="J25" s="272"/>
      <c r="K25" s="252"/>
      <c r="L25" s="252"/>
      <c r="M25" s="654">
        <v>337.81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603.86</v>
      </c>
      <c r="U25" s="266">
        <f t="shared" si="1"/>
        <v>1322</v>
      </c>
      <c r="V25" s="705">
        <f t="shared" si="4"/>
        <v>0.45677760968229958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607.64</v>
      </c>
      <c r="AT25" s="269">
        <f t="shared" si="7"/>
        <v>0</v>
      </c>
      <c r="AU25" s="337">
        <f t="shared" si="5"/>
        <v>43890.77</v>
      </c>
    </row>
    <row r="26" spans="2:47" ht="14.25">
      <c r="B26" s="723">
        <v>43967</v>
      </c>
      <c r="C26" s="710"/>
      <c r="D26" s="719">
        <f t="shared" si="6"/>
        <v>43283.13</v>
      </c>
      <c r="E26" s="271"/>
      <c r="F26" s="718"/>
      <c r="G26" s="712"/>
      <c r="H26" s="691">
        <v>335.49</v>
      </c>
      <c r="I26" s="267"/>
      <c r="J26" s="272"/>
      <c r="K26" s="252"/>
      <c r="L26" s="252"/>
      <c r="M26" s="654">
        <v>300</v>
      </c>
      <c r="N26" s="354">
        <v>894</v>
      </c>
      <c r="O26" s="254"/>
      <c r="P26" s="254"/>
      <c r="Q26" s="254"/>
      <c r="R26" s="254"/>
      <c r="S26" s="696">
        <v>780</v>
      </c>
      <c r="T26" s="704">
        <f t="shared" si="0"/>
        <v>635.49</v>
      </c>
      <c r="U26" s="266">
        <f t="shared" si="1"/>
        <v>1674</v>
      </c>
      <c r="V26" s="705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43283.13</v>
      </c>
    </row>
    <row r="27" spans="2:47" ht="14.25">
      <c r="B27" s="723">
        <v>43968</v>
      </c>
      <c r="C27" s="710"/>
      <c r="D27" s="719">
        <f t="shared" si="6"/>
        <v>42647.64</v>
      </c>
      <c r="E27" s="271"/>
      <c r="F27" s="718"/>
      <c r="G27" s="712"/>
      <c r="H27" s="691">
        <v>296.89</v>
      </c>
      <c r="I27" s="267">
        <v>329.52</v>
      </c>
      <c r="J27" s="272"/>
      <c r="K27" s="252"/>
      <c r="L27" s="252"/>
      <c r="M27" s="654"/>
      <c r="N27" s="354">
        <v>629</v>
      </c>
      <c r="O27" s="254">
        <v>779</v>
      </c>
      <c r="P27" s="254"/>
      <c r="Q27" s="254"/>
      <c r="R27" s="254"/>
      <c r="S27" s="696"/>
      <c r="T27" s="704">
        <f t="shared" si="0"/>
        <v>626.41</v>
      </c>
      <c r="U27" s="266">
        <f t="shared" si="1"/>
        <v>1408</v>
      </c>
      <c r="V27" s="705">
        <f t="shared" si="4"/>
        <v>0.4448934659090909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626.41</v>
      </c>
      <c r="AT27" s="269">
        <f t="shared" si="7"/>
        <v>0</v>
      </c>
      <c r="AU27" s="337">
        <f t="shared" si="5"/>
        <v>42647.64</v>
      </c>
    </row>
    <row r="28" spans="2:47" ht="14.25">
      <c r="B28" s="723">
        <v>43969</v>
      </c>
      <c r="C28" s="710"/>
      <c r="D28" s="719">
        <f t="shared" si="6"/>
        <v>42021.229999999996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42021.229999999996</v>
      </c>
    </row>
    <row r="29" spans="2:47" ht="14.25">
      <c r="B29" s="723">
        <v>43970</v>
      </c>
      <c r="C29" s="710"/>
      <c r="D29" s="719">
        <f t="shared" si="6"/>
        <v>42021.229999999996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42021.229999999996</v>
      </c>
    </row>
    <row r="30" spans="2:47" ht="14.25">
      <c r="B30" s="723">
        <v>43971</v>
      </c>
      <c r="C30" s="710"/>
      <c r="D30" s="719">
        <f t="shared" si="6"/>
        <v>42021.229999999996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42021.229999999996</v>
      </c>
    </row>
    <row r="31" spans="2:47" ht="14.25">
      <c r="B31" s="723">
        <v>43972</v>
      </c>
      <c r="C31" s="710"/>
      <c r="D31" s="719">
        <f t="shared" si="6"/>
        <v>42021.229999999996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42021.229999999996</v>
      </c>
    </row>
    <row r="32" spans="2:47" ht="14.25">
      <c r="B32" s="723">
        <v>43973</v>
      </c>
      <c r="C32" s="710"/>
      <c r="D32" s="719">
        <f t="shared" si="6"/>
        <v>42021.229999999996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42021.229999999996</v>
      </c>
    </row>
    <row r="33" spans="2:48" ht="14.25">
      <c r="B33" s="723">
        <v>43974</v>
      </c>
      <c r="C33" s="710"/>
      <c r="D33" s="719">
        <f t="shared" si="6"/>
        <v>42021.229999999996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42021.229999999996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42021.229999999996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42021.229999999996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42021.229999999996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42021.229999999996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42021.229999999996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42021.229999999996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42021.229999999996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42021.229999999996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42021.229999999996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42021.229999999996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42021.229999999996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42021.229999999996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42021.229999999996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42021.229999999996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42021.229999999996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42021.229999999996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42021.229999999996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42021.229999999996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42021.229999999996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42021.229999999996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3323.7099999999996</v>
      </c>
      <c r="I45" s="367">
        <f t="shared" ref="I45:P45" si="10">SUM(I11:I44)</f>
        <v>4317.99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3457.58</v>
      </c>
      <c r="N45" s="372">
        <f t="shared" si="10"/>
        <v>8099</v>
      </c>
      <c r="O45" s="684">
        <f t="shared" si="10"/>
        <v>7836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8233</v>
      </c>
      <c r="T45" s="681">
        <f t="shared" si="0"/>
        <v>11099.279999999999</v>
      </c>
      <c r="U45" s="367">
        <f>SUM(N45:S45)</f>
        <v>24168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78.849999999999994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247.17999999999998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11346.46</v>
      </c>
      <c r="AT45" s="679">
        <f>SUM(AT11:AT44)</f>
        <v>0</v>
      </c>
      <c r="AU45" s="680"/>
    </row>
    <row r="46" spans="2:48" ht="14.25" thickBot="1">
      <c r="B46" s="497" t="s">
        <v>67</v>
      </c>
      <c r="T46" s="792">
        <f>AVERAGE(T11:T26)</f>
        <v>654.55437500000005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25694833.199999996</v>
      </c>
      <c r="V47" s="377" t="s">
        <v>244</v>
      </c>
      <c r="AS47" s="644">
        <f>AS45*2143</f>
        <v>24315463.779999997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11225.353079947574</v>
      </c>
      <c r="V48" s="377" t="s">
        <v>245</v>
      </c>
      <c r="X48" s="236"/>
      <c r="Y48" s="236"/>
      <c r="Z48" s="236"/>
      <c r="AA48" s="236"/>
      <c r="AB48" s="236"/>
      <c r="AS48" s="376">
        <f>AS47/2289</f>
        <v>10622.745207514197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30" t="s">
        <v>241</v>
      </c>
      <c r="D50" s="831"/>
      <c r="E50" s="831"/>
      <c r="F50" s="831"/>
      <c r="G50" s="832"/>
      <c r="H50" s="655"/>
      <c r="I50" s="833" t="s">
        <v>213</v>
      </c>
      <c r="J50" s="834"/>
      <c r="K50" s="834"/>
      <c r="L50" s="834"/>
      <c r="M50" s="835"/>
      <c r="N50" s="655"/>
      <c r="O50" s="848" t="s">
        <v>311</v>
      </c>
      <c r="P50" s="849"/>
      <c r="Q50" s="849"/>
      <c r="R50" s="849"/>
      <c r="S50" s="850"/>
      <c r="U50" s="851" t="s">
        <v>226</v>
      </c>
      <c r="V50" s="852"/>
      <c r="W50" s="852"/>
      <c r="X50" s="852"/>
      <c r="Y50" s="852"/>
      <c r="Z50" s="853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4" sqref="F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5"/>
      <c r="D6" s="856"/>
      <c r="E6" s="857"/>
      <c r="F6" s="857"/>
      <c r="G6" s="49" t="s">
        <v>4</v>
      </c>
      <c r="H6" s="47" t="s">
        <v>14</v>
      </c>
      <c r="I6" s="42"/>
      <c r="J6" s="116"/>
    </row>
    <row r="7" spans="1:15" ht="18" customHeight="1">
      <c r="A7" s="858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9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>
        <v>85</v>
      </c>
      <c r="C26" s="321">
        <v>83</v>
      </c>
      <c r="D26" s="321">
        <v>12</v>
      </c>
      <c r="E26" s="321"/>
      <c r="F26" s="321">
        <v>71280.77</v>
      </c>
      <c r="G26" s="321">
        <f t="shared" si="0"/>
        <v>28.512000000046104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-313635.38800000004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4" t="s">
        <v>6</v>
      </c>
      <c r="D42" s="854"/>
      <c r="E42" s="2">
        <f t="shared" ref="E42:F42" si="4">SUM(E10:E40)</f>
        <v>0</v>
      </c>
      <c r="F42" s="2">
        <f t="shared" si="4"/>
        <v>1210817.3900000001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3" zoomScale="94" zoomScaleNormal="94" workbookViewId="0">
      <pane xSplit="1" topLeftCell="B1" activePane="topRight" state="frozen"/>
      <selection pane="topRight" activeCell="G70" sqref="G7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9" t="s">
        <v>315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  <c r="AE1" s="880"/>
      <c r="AF1" s="880"/>
      <c r="AG1" s="880"/>
      <c r="AH1" s="880"/>
      <c r="AI1" s="880"/>
      <c r="AJ1" s="880"/>
      <c r="AK1" s="880"/>
      <c r="AL1" s="880"/>
      <c r="AM1" s="880"/>
      <c r="AN1" s="880"/>
    </row>
    <row r="2" spans="1:40" ht="13.5" customHeight="1" thickTop="1">
      <c r="A2" s="30"/>
      <c r="B2" s="30"/>
      <c r="C2" s="878" t="s">
        <v>52</v>
      </c>
      <c r="D2" s="878"/>
      <c r="E2" s="878"/>
      <c r="F2" s="878" t="s">
        <v>17</v>
      </c>
      <c r="G2" s="878"/>
      <c r="H2" s="878"/>
      <c r="I2" s="878" t="s">
        <v>131</v>
      </c>
      <c r="J2" s="878"/>
      <c r="K2" s="878"/>
      <c r="L2" s="878" t="s">
        <v>134</v>
      </c>
      <c r="M2" s="878"/>
      <c r="N2" s="878"/>
      <c r="O2" s="878" t="s">
        <v>132</v>
      </c>
      <c r="P2" s="878"/>
      <c r="Q2" s="878"/>
      <c r="R2" s="301"/>
      <c r="S2" s="887" t="s">
        <v>181</v>
      </c>
      <c r="T2" s="888"/>
      <c r="U2" s="889"/>
      <c r="V2" s="887" t="s">
        <v>182</v>
      </c>
      <c r="W2" s="888"/>
      <c r="X2" s="889"/>
      <c r="Y2" s="887" t="s">
        <v>183</v>
      </c>
      <c r="Z2" s="888"/>
      <c r="AA2" s="889"/>
      <c r="AB2" s="887" t="s">
        <v>184</v>
      </c>
      <c r="AC2" s="888"/>
      <c r="AD2" s="889"/>
      <c r="AE2" s="881" t="s">
        <v>239</v>
      </c>
      <c r="AF2" s="882"/>
      <c r="AG2" s="893"/>
      <c r="AH2" s="881" t="s">
        <v>243</v>
      </c>
      <c r="AI2" s="882"/>
      <c r="AJ2" s="893"/>
      <c r="AK2" s="881" t="s">
        <v>240</v>
      </c>
      <c r="AL2" s="882"/>
      <c r="AM2" s="882"/>
      <c r="AN2" s="885" t="s">
        <v>189</v>
      </c>
    </row>
    <row r="3" spans="1:40" ht="21.75" customHeight="1" thickBot="1">
      <c r="A3" s="876" t="s">
        <v>7</v>
      </c>
      <c r="B3" s="30"/>
      <c r="C3" s="878" t="s">
        <v>133</v>
      </c>
      <c r="D3" s="878" t="s">
        <v>15</v>
      </c>
      <c r="E3" s="878" t="s">
        <v>16</v>
      </c>
      <c r="F3" s="878" t="s">
        <v>133</v>
      </c>
      <c r="G3" s="878" t="s">
        <v>15</v>
      </c>
      <c r="H3" s="878" t="s">
        <v>16</v>
      </c>
      <c r="I3" s="878" t="s">
        <v>133</v>
      </c>
      <c r="J3" s="878" t="s">
        <v>15</v>
      </c>
      <c r="K3" s="878" t="s">
        <v>16</v>
      </c>
      <c r="L3" s="878" t="s">
        <v>133</v>
      </c>
      <c r="M3" s="878" t="s">
        <v>15</v>
      </c>
      <c r="N3" s="878" t="s">
        <v>16</v>
      </c>
      <c r="O3" s="878" t="s">
        <v>133</v>
      </c>
      <c r="P3" s="878" t="s">
        <v>15</v>
      </c>
      <c r="Q3" s="878" t="s">
        <v>16</v>
      </c>
      <c r="R3" s="895" t="s">
        <v>185</v>
      </c>
      <c r="S3" s="890"/>
      <c r="T3" s="891"/>
      <c r="U3" s="892"/>
      <c r="V3" s="890"/>
      <c r="W3" s="891"/>
      <c r="X3" s="892"/>
      <c r="Y3" s="890"/>
      <c r="Z3" s="891"/>
      <c r="AA3" s="892"/>
      <c r="AB3" s="890"/>
      <c r="AC3" s="891"/>
      <c r="AD3" s="892"/>
      <c r="AE3" s="883"/>
      <c r="AF3" s="884"/>
      <c r="AG3" s="894"/>
      <c r="AH3" s="883"/>
      <c r="AI3" s="884"/>
      <c r="AJ3" s="894"/>
      <c r="AK3" s="883"/>
      <c r="AL3" s="884"/>
      <c r="AM3" s="884"/>
      <c r="AN3" s="886"/>
    </row>
    <row r="4" spans="1:40" ht="15.75" thickTop="1">
      <c r="A4" s="877"/>
      <c r="B4" s="293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9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>IF((AI17-AI15)&lt;0,"0",(AI17-AI15))</f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>IF((AI18-AI16)&lt;0,"0",(AI18-AI16))</f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>IF((AI19-AI17)&lt;0,"0",(AI19-AI17))</f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>IF((AI20-AI18)&lt;0,"0",(AI20-AI18))</f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6">
        <v>24546</v>
      </c>
      <c r="AJ21" s="568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>
        <v>234500</v>
      </c>
      <c r="E22" s="567">
        <f t="shared" si="26"/>
        <v>52</v>
      </c>
      <c r="F22" s="98">
        <f t="shared" si="2"/>
        <v>38000</v>
      </c>
      <c r="G22" s="458">
        <v>38000</v>
      </c>
      <c r="H22" s="567">
        <f t="shared" si="3"/>
        <v>0</v>
      </c>
      <c r="I22" s="98">
        <f t="shared" si="4"/>
        <v>7912</v>
      </c>
      <c r="J22" s="1">
        <v>7913</v>
      </c>
      <c r="K22" s="567">
        <f t="shared" si="5"/>
        <v>1</v>
      </c>
      <c r="L22" s="98">
        <f t="shared" si="6"/>
        <v>11978</v>
      </c>
      <c r="M22" s="1">
        <v>11978</v>
      </c>
      <c r="N22" s="567">
        <f t="shared" si="7"/>
        <v>0</v>
      </c>
      <c r="O22" s="98">
        <f t="shared" si="8"/>
        <v>20140</v>
      </c>
      <c r="P22" s="454">
        <v>20141</v>
      </c>
      <c r="Q22" s="567">
        <f t="shared" si="9"/>
        <v>1</v>
      </c>
      <c r="R22" s="299"/>
      <c r="S22" s="294">
        <f t="shared" si="16"/>
        <v>52847</v>
      </c>
      <c r="T22" s="455">
        <v>52898</v>
      </c>
      <c r="U22" s="568">
        <f t="shared" si="17"/>
        <v>51</v>
      </c>
      <c r="V22" s="294">
        <f t="shared" si="28"/>
        <v>71260</v>
      </c>
      <c r="W22" s="455">
        <v>71260</v>
      </c>
      <c r="X22" s="568">
        <f t="shared" si="18"/>
        <v>0</v>
      </c>
      <c r="Y22" s="294">
        <f t="shared" si="11"/>
        <v>80591</v>
      </c>
      <c r="Z22" s="455">
        <v>80591</v>
      </c>
      <c r="AA22" s="568">
        <f t="shared" si="19"/>
        <v>0</v>
      </c>
      <c r="AB22" s="294">
        <f t="shared" si="12"/>
        <v>13889</v>
      </c>
      <c r="AC22" s="572">
        <v>13889</v>
      </c>
      <c r="AD22" s="568">
        <f t="shared" si="20"/>
        <v>0</v>
      </c>
      <c r="AE22" s="294">
        <f t="shared" si="13"/>
        <v>17976</v>
      </c>
      <c r="AF22" s="456">
        <v>17976</v>
      </c>
      <c r="AG22" s="568">
        <f t="shared" si="21"/>
        <v>0</v>
      </c>
      <c r="AH22" s="294">
        <f t="shared" si="14"/>
        <v>24546</v>
      </c>
      <c r="AI22" s="636">
        <v>24546</v>
      </c>
      <c r="AJ22" s="568" t="str">
        <f t="shared" si="23"/>
        <v>0</v>
      </c>
      <c r="AK22" s="375">
        <f t="shared" si="15"/>
        <v>15154</v>
      </c>
      <c r="AL22" s="455">
        <v>15154</v>
      </c>
      <c r="AM22" s="568">
        <f t="shared" si="27"/>
        <v>0</v>
      </c>
      <c r="AN22" s="460">
        <f t="shared" si="24"/>
        <v>51</v>
      </c>
    </row>
    <row r="23" spans="1:40" ht="23.1" customHeight="1">
      <c r="A23" s="58">
        <f>Gen!B28</f>
        <v>43969</v>
      </c>
      <c r="B23" s="4"/>
      <c r="C23" s="98">
        <f t="shared" si="0"/>
        <v>234500</v>
      </c>
      <c r="D23" s="1"/>
      <c r="E23" s="567" t="str">
        <f t="shared" si="26"/>
        <v>0</v>
      </c>
      <c r="F23" s="98">
        <f t="shared" si="2"/>
        <v>38000</v>
      </c>
      <c r="G23" s="458"/>
      <c r="H23" s="567" t="str">
        <f t="shared" si="3"/>
        <v>0</v>
      </c>
      <c r="I23" s="98">
        <f t="shared" si="4"/>
        <v>7913</v>
      </c>
      <c r="J23" s="1"/>
      <c r="K23" s="567" t="str">
        <f t="shared" si="5"/>
        <v>0</v>
      </c>
      <c r="L23" s="98">
        <f t="shared" si="6"/>
        <v>11978</v>
      </c>
      <c r="M23" s="1"/>
      <c r="N23" s="567" t="str">
        <f t="shared" si="7"/>
        <v>0</v>
      </c>
      <c r="O23" s="98">
        <f t="shared" si="8"/>
        <v>20141</v>
      </c>
      <c r="P23" s="454"/>
      <c r="Q23" s="567" t="str">
        <f t="shared" si="9"/>
        <v>0</v>
      </c>
      <c r="R23" s="299"/>
      <c r="S23" s="294">
        <f t="shared" si="16"/>
        <v>52898</v>
      </c>
      <c r="T23" s="455"/>
      <c r="U23" s="568" t="str">
        <f t="shared" si="17"/>
        <v>0</v>
      </c>
      <c r="V23" s="294">
        <f t="shared" si="28"/>
        <v>71260</v>
      </c>
      <c r="W23" s="455"/>
      <c r="X23" s="568" t="str">
        <f t="shared" si="18"/>
        <v>0</v>
      </c>
      <c r="Y23" s="294">
        <f t="shared" si="11"/>
        <v>80591</v>
      </c>
      <c r="Z23" s="455"/>
      <c r="AA23" s="568" t="str">
        <f t="shared" si="19"/>
        <v>0</v>
      </c>
      <c r="AB23" s="294">
        <f t="shared" si="12"/>
        <v>13889</v>
      </c>
      <c r="AC23" s="295"/>
      <c r="AD23" s="568" t="str">
        <f t="shared" si="20"/>
        <v>0</v>
      </c>
      <c r="AE23" s="294">
        <f t="shared" si="13"/>
        <v>17976</v>
      </c>
      <c r="AF23" s="456"/>
      <c r="AG23" s="568" t="str">
        <f t="shared" si="21"/>
        <v>0</v>
      </c>
      <c r="AH23" s="294">
        <f t="shared" si="14"/>
        <v>24546</v>
      </c>
      <c r="AI23" s="456"/>
      <c r="AJ23" s="568" t="str">
        <f t="shared" si="23"/>
        <v>0</v>
      </c>
      <c r="AK23" s="375">
        <f t="shared" si="15"/>
        <v>15154</v>
      </c>
      <c r="AL23" s="455"/>
      <c r="AM23" s="568" t="str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436</v>
      </c>
    </row>
    <row r="38" spans="1:41" ht="17.25">
      <c r="A38" s="58"/>
      <c r="B38" s="22"/>
      <c r="C38" s="896" t="s">
        <v>6</v>
      </c>
      <c r="D38" s="896"/>
      <c r="E38" s="23">
        <f>SUM(E6:E36)</f>
        <v>705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10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705</v>
      </c>
      <c r="S38" s="296"/>
      <c r="T38" s="296"/>
      <c r="U38" s="306">
        <f>SUM(U6:U37)</f>
        <v>436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436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5"/>
      <c r="B42" s="331"/>
      <c r="C42" s="862" t="s">
        <v>222</v>
      </c>
      <c r="D42" s="863"/>
      <c r="E42" s="863"/>
      <c r="F42" s="863"/>
      <c r="G42" s="863"/>
      <c r="H42" s="863"/>
      <c r="I42" s="863"/>
      <c r="J42" s="863"/>
      <c r="K42" s="864"/>
      <c r="R42" s="20"/>
    </row>
    <row r="43" spans="1:41" ht="24.75" customHeight="1">
      <c r="A43" s="866"/>
      <c r="B43" s="20"/>
      <c r="C43" s="868" t="s">
        <v>216</v>
      </c>
      <c r="D43" s="869"/>
      <c r="E43" s="870" t="s">
        <v>237</v>
      </c>
      <c r="F43" s="871"/>
      <c r="G43" s="872" t="s">
        <v>217</v>
      </c>
      <c r="H43" s="873"/>
      <c r="I43" s="872" t="s">
        <v>238</v>
      </c>
      <c r="J43" s="873"/>
      <c r="K43" s="860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6"/>
      <c r="B44" s="20"/>
      <c r="C44" s="874" t="s">
        <v>218</v>
      </c>
      <c r="D44" s="875"/>
      <c r="E44" s="874" t="s">
        <v>219</v>
      </c>
      <c r="F44" s="875"/>
      <c r="G44" s="874" t="s">
        <v>220</v>
      </c>
      <c r="H44" s="875"/>
      <c r="I44" s="874" t="s">
        <v>221</v>
      </c>
      <c r="J44" s="875"/>
      <c r="K44" s="861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7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240</v>
      </c>
      <c r="H55" s="386">
        <f t="shared" si="45"/>
        <v>91.488250652741513</v>
      </c>
      <c r="I55" s="6">
        <v>285</v>
      </c>
      <c r="J55" s="386">
        <f t="shared" si="46"/>
        <v>197.09415584415584</v>
      </c>
      <c r="K55" s="392">
        <f t="shared" si="47"/>
        <v>440.51246114170613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255</v>
      </c>
      <c r="H62" s="386">
        <f t="shared" si="45"/>
        <v>97.206266318537857</v>
      </c>
      <c r="I62" s="6">
        <v>285</v>
      </c>
      <c r="J62" s="386">
        <f t="shared" si="46"/>
        <v>197.09415584415584</v>
      </c>
      <c r="K62" s="392">
        <f t="shared" si="47"/>
        <v>387.74850959438766</v>
      </c>
    </row>
    <row r="63" spans="1:15" ht="13.5">
      <c r="A63" s="349">
        <f>Gen!B28</f>
        <v>43969</v>
      </c>
      <c r="B63" s="20"/>
      <c r="C63" s="63">
        <v>200</v>
      </c>
      <c r="D63" s="386">
        <f t="shared" si="43"/>
        <v>144.66666666666666</v>
      </c>
      <c r="E63" s="6">
        <v>160</v>
      </c>
      <c r="F63" s="386">
        <f t="shared" si="44"/>
        <v>48.26229508196721</v>
      </c>
      <c r="G63" s="570">
        <v>140</v>
      </c>
      <c r="H63" s="386">
        <f t="shared" si="45"/>
        <v>53.36814621409922</v>
      </c>
      <c r="I63" s="6">
        <v>290</v>
      </c>
      <c r="J63" s="386">
        <f t="shared" si="46"/>
        <v>200.55194805194805</v>
      </c>
      <c r="K63" s="392">
        <f t="shared" si="47"/>
        <v>446.84905601468114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7" t="s">
        <v>180</v>
      </c>
      <c r="B1" s="898"/>
      <c r="C1" s="898"/>
      <c r="D1" s="898"/>
      <c r="E1" s="898"/>
      <c r="F1" s="898"/>
      <c r="G1" s="899"/>
    </row>
    <row r="2" spans="1:7" ht="13.5" thickBot="1">
      <c r="A2" s="358"/>
      <c r="B2" s="900" t="s">
        <v>175</v>
      </c>
      <c r="C2" s="901"/>
      <c r="D2" s="902"/>
      <c r="E2" s="900" t="s">
        <v>176</v>
      </c>
      <c r="F2" s="901"/>
      <c r="G2" s="902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7" t="s">
        <v>230</v>
      </c>
      <c r="B1" s="898"/>
      <c r="C1" s="898"/>
      <c r="D1" s="898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6" sqref="O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3" t="s">
        <v>255</v>
      </c>
      <c r="B1" s="903"/>
      <c r="C1" s="903"/>
      <c r="D1" s="903"/>
      <c r="E1" s="903"/>
      <c r="F1" s="903"/>
      <c r="G1" s="903"/>
      <c r="H1" s="903"/>
      <c r="I1" s="903"/>
      <c r="J1" s="903"/>
    </row>
    <row r="2" spans="1:10" ht="19.5" thickBot="1">
      <c r="A2" s="912">
        <v>43952</v>
      </c>
      <c r="B2" s="913"/>
      <c r="C2" s="913"/>
      <c r="D2" s="913"/>
      <c r="E2" s="913"/>
      <c r="F2" s="913"/>
      <c r="G2" s="913"/>
      <c r="H2" s="913"/>
      <c r="I2" s="913"/>
      <c r="J2" s="913"/>
    </row>
    <row r="3" spans="1:10" ht="15.75" thickBot="1">
      <c r="A3" s="904" t="s">
        <v>7</v>
      </c>
      <c r="B3" s="906" t="s">
        <v>256</v>
      </c>
      <c r="C3" s="526"/>
      <c r="D3" s="908" t="s">
        <v>257</v>
      </c>
      <c r="E3" s="909"/>
      <c r="F3" s="910" t="s">
        <v>258</v>
      </c>
      <c r="G3" s="911"/>
      <c r="H3" s="909"/>
      <c r="I3" s="910" t="s">
        <v>259</v>
      </c>
      <c r="J3" s="909"/>
    </row>
    <row r="4" spans="1:10" ht="30.75" thickBot="1">
      <c r="A4" s="905"/>
      <c r="B4" s="907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46005.94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45180.04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44523.85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603.86</v>
      </c>
      <c r="E19" s="466">
        <f>Gen!D25</f>
        <v>43890.77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43283.13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626.41</v>
      </c>
      <c r="E21" s="466">
        <f>Gen!D27</f>
        <v>42647.64</v>
      </c>
      <c r="F21" s="467">
        <f>'Water-Meter'!E22</f>
        <v>52</v>
      </c>
      <c r="G21" s="468">
        <f>'Water-Meter'!AN22</f>
        <v>51</v>
      </c>
      <c r="H21" s="466">
        <f>'Utility report '!AC22</f>
        <v>0</v>
      </c>
      <c r="I21" s="465">
        <f>'Kit report'!F20</f>
        <v>107.99999999995634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42021.229999999996</v>
      </c>
      <c r="F22" s="467" t="str">
        <f>'Water-Meter'!E23</f>
        <v>0</v>
      </c>
      <c r="G22" s="468">
        <f>'Water-Meter'!AN23</f>
        <v>0</v>
      </c>
      <c r="H22" s="466">
        <f>'Utility report '!AC23</f>
        <v>-32087</v>
      </c>
      <c r="I22" s="465">
        <f>'Kit report'!F21</f>
        <v>-1041732</v>
      </c>
      <c r="J22" s="466">
        <f>'Kit report'!X21</f>
        <v>-1561080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42021.229999999996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42021.229999999996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42021.229999999996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42021.229999999996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42021.229999999996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42021.229999999996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42021.229999999996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42021.229999999996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42021.229999999996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42021.229999999996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42021.229999999996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42021.229999999996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42021.229999999996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42021.229999999996</v>
      </c>
      <c r="F36" s="467">
        <f>'Water-Meter'!E37</f>
        <v>0</v>
      </c>
      <c r="G36" s="468">
        <f>'Water-Meter'!AN37</f>
        <v>436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2020-05-18T05:12:39Z</dcterms:modified>
</cp:coreProperties>
</file>