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 codeName="ThisWorkbook"/>
  <xr:revisionPtr revIDLastSave="0" documentId="8_{320E3AF5-6F08-48A3-9A78-5379E38EF704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2" sheetId="631" r:id="rId1"/>
    <sheet name="Sheet1" sheetId="630" r:id="rId2"/>
    <sheet name="Daily Meter" sheetId="460" r:id="rId3"/>
    <sheet name="1" sheetId="582" r:id="rId4"/>
    <sheet name="2" sheetId="584" r:id="rId5"/>
    <sheet name="3" sheetId="583" r:id="rId6"/>
    <sheet name="4" sheetId="585" r:id="rId7"/>
    <sheet name="5" sheetId="586" r:id="rId8"/>
    <sheet name="6" sheetId="587" r:id="rId9"/>
    <sheet name="7" sheetId="588" r:id="rId10"/>
    <sheet name="8" sheetId="589" r:id="rId11"/>
    <sheet name="9" sheetId="590" r:id="rId12"/>
    <sheet name="10" sheetId="591" r:id="rId13"/>
    <sheet name="11" sheetId="592" r:id="rId14"/>
    <sheet name="12" sheetId="593" r:id="rId15"/>
    <sheet name="13" sheetId="594" r:id="rId16"/>
    <sheet name="14" sheetId="595" r:id="rId17"/>
    <sheet name="15" sheetId="596" r:id="rId18"/>
    <sheet name="16" sheetId="597" r:id="rId19"/>
    <sheet name="17" sheetId="598" r:id="rId20"/>
    <sheet name="18" sheetId="599" r:id="rId21"/>
    <sheet name="19" sheetId="600" r:id="rId22"/>
    <sheet name="20" sheetId="601" r:id="rId23"/>
    <sheet name="21" sheetId="602" r:id="rId24"/>
    <sheet name="22" sheetId="603" r:id="rId25"/>
    <sheet name="23" sheetId="604" r:id="rId26"/>
    <sheet name="24" sheetId="605" r:id="rId27"/>
    <sheet name="25" sheetId="606" r:id="rId28"/>
    <sheet name="26" sheetId="607" r:id="rId29"/>
    <sheet name="27" sheetId="608" r:id="rId30"/>
    <sheet name="28" sheetId="609" r:id="rId31"/>
    <sheet name="29" sheetId="610" r:id="rId32"/>
    <sheet name="30" sheetId="611" r:id="rId33"/>
    <sheet name="31" sheetId="612" r:id="rId34"/>
    <sheet name="dec. 20 to jan. 23" sheetId="613" r:id="rId35"/>
    <sheet name="jan. 1 to 31" sheetId="614" r:id="rId36"/>
    <sheet name="board 1 - 31" sheetId="619" r:id="rId37"/>
    <sheet name="DAILY PRINTING" sheetId="628" r:id="rId38"/>
    <sheet name="DAILY PRINTING (2)" sheetId="629" r:id="rId39"/>
  </sheets>
  <definedNames>
    <definedName name="_xlnm.Print_Area" localSheetId="36">'board 1 - 31'!$L$3:$L$20</definedName>
    <definedName name="_xlnm.Print_Area" localSheetId="37">'DAILY PRINTING'!$A$1:$B$5</definedName>
    <definedName name="_xlnm.Print_Area" localSheetId="38">'DAILY PRINTING (2)'!$F$2:$G$6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630" l="1"/>
  <c r="N4" i="630"/>
  <c r="N5" i="630"/>
  <c r="N6" i="630"/>
  <c r="N7" i="630"/>
  <c r="N8" i="630"/>
  <c r="N9" i="630"/>
  <c r="N10" i="630"/>
  <c r="N11" i="630"/>
  <c r="N12" i="630"/>
  <c r="N13" i="630"/>
  <c r="N14" i="630"/>
  <c r="N15" i="630"/>
  <c r="N16" i="630"/>
  <c r="N17" i="630"/>
  <c r="N18" i="630"/>
  <c r="N19" i="630"/>
  <c r="N20" i="630"/>
  <c r="N21" i="630"/>
  <c r="N22" i="630"/>
  <c r="N23" i="630"/>
  <c r="N24" i="630"/>
  <c r="N25" i="630"/>
  <c r="N26" i="630"/>
  <c r="N27" i="630"/>
  <c r="N28" i="630"/>
  <c r="N29" i="630"/>
  <c r="N30" i="630"/>
  <c r="N31" i="630"/>
  <c r="N32" i="630"/>
  <c r="N2" i="630"/>
  <c r="M3" i="631"/>
  <c r="M4" i="631"/>
  <c r="M5" i="631"/>
  <c r="M6" i="631"/>
  <c r="M7" i="631"/>
  <c r="M8" i="631"/>
  <c r="M9" i="631"/>
  <c r="M10" i="631"/>
  <c r="M11" i="631"/>
  <c r="M12" i="631"/>
  <c r="M13" i="631"/>
  <c r="M14" i="631"/>
  <c r="M15" i="631"/>
  <c r="M16" i="631"/>
  <c r="M17" i="631"/>
  <c r="M18" i="631"/>
  <c r="M19" i="631"/>
  <c r="M20" i="631"/>
  <c r="M21" i="631"/>
  <c r="M22" i="631"/>
  <c r="M23" i="631"/>
  <c r="M24" i="631"/>
  <c r="M25" i="631"/>
  <c r="M26" i="631"/>
  <c r="M27" i="631"/>
  <c r="M28" i="631"/>
  <c r="M29" i="631"/>
  <c r="M30" i="631"/>
  <c r="M31" i="631"/>
  <c r="M32" i="631"/>
  <c r="M2" i="631"/>
  <c r="K4" i="631"/>
  <c r="K5" i="631"/>
  <c r="K6" i="631"/>
  <c r="K7" i="631"/>
  <c r="K8" i="631"/>
  <c r="K9" i="631"/>
  <c r="K10" i="631"/>
  <c r="K11" i="631"/>
  <c r="K12" i="631"/>
  <c r="K13" i="631"/>
  <c r="K14" i="631"/>
  <c r="K15" i="631"/>
  <c r="K16" i="631"/>
  <c r="K17" i="631"/>
  <c r="K18" i="631"/>
  <c r="K19" i="631"/>
  <c r="K20" i="631"/>
  <c r="K21" i="631"/>
  <c r="K22" i="631"/>
  <c r="K23" i="631"/>
  <c r="K24" i="631"/>
  <c r="K25" i="631"/>
  <c r="K26" i="631"/>
  <c r="K27" i="631"/>
  <c r="K28" i="631"/>
  <c r="K29" i="631"/>
  <c r="K30" i="631"/>
  <c r="K31" i="631"/>
  <c r="K32" i="631"/>
  <c r="K3" i="631"/>
  <c r="K2" i="631"/>
  <c r="I4" i="631"/>
  <c r="I5" i="631"/>
  <c r="I6" i="631"/>
  <c r="I7" i="631"/>
  <c r="I8" i="631"/>
  <c r="I9" i="631"/>
  <c r="I10" i="631"/>
  <c r="I11" i="631"/>
  <c r="I12" i="631"/>
  <c r="I13" i="631"/>
  <c r="I14" i="631"/>
  <c r="I15" i="631"/>
  <c r="I16" i="631"/>
  <c r="I17" i="631"/>
  <c r="I18" i="631"/>
  <c r="I19" i="631"/>
  <c r="I20" i="631"/>
  <c r="I21" i="631"/>
  <c r="I22" i="631"/>
  <c r="I23" i="631"/>
  <c r="I24" i="631"/>
  <c r="I25" i="631"/>
  <c r="I26" i="631"/>
  <c r="I27" i="631"/>
  <c r="I28" i="631"/>
  <c r="I29" i="631"/>
  <c r="I30" i="631"/>
  <c r="I31" i="631"/>
  <c r="I32" i="631"/>
  <c r="I3" i="631"/>
  <c r="I2" i="631"/>
  <c r="G4" i="631"/>
  <c r="G5" i="631"/>
  <c r="G6" i="631"/>
  <c r="G7" i="631"/>
  <c r="G8" i="631"/>
  <c r="G9" i="631"/>
  <c r="G10" i="631"/>
  <c r="G11" i="631"/>
  <c r="G12" i="631"/>
  <c r="G13" i="631"/>
  <c r="G14" i="631"/>
  <c r="G15" i="631"/>
  <c r="G16" i="631"/>
  <c r="G17" i="631"/>
  <c r="G18" i="631"/>
  <c r="G19" i="631"/>
  <c r="G20" i="631"/>
  <c r="G21" i="631"/>
  <c r="G22" i="631"/>
  <c r="G23" i="631"/>
  <c r="G24" i="631"/>
  <c r="G25" i="631"/>
  <c r="G26" i="631"/>
  <c r="G27" i="631"/>
  <c r="G28" i="631"/>
  <c r="G29" i="631"/>
  <c r="G30" i="631"/>
  <c r="G31" i="631"/>
  <c r="G32" i="631"/>
  <c r="G3" i="631"/>
  <c r="G2" i="631"/>
  <c r="E4" i="631"/>
  <c r="E5" i="631"/>
  <c r="E6" i="631"/>
  <c r="E7" i="631"/>
  <c r="E8" i="631"/>
  <c r="E9" i="631"/>
  <c r="E10" i="631"/>
  <c r="E11" i="631"/>
  <c r="E12" i="631"/>
  <c r="E13" i="631"/>
  <c r="E14" i="631"/>
  <c r="E15" i="631"/>
  <c r="E16" i="631"/>
  <c r="E17" i="631"/>
  <c r="E18" i="631"/>
  <c r="E19" i="631"/>
  <c r="E20" i="631"/>
  <c r="E21" i="631"/>
  <c r="E22" i="631"/>
  <c r="E23" i="631"/>
  <c r="E24" i="631"/>
  <c r="E25" i="631"/>
  <c r="E26" i="631"/>
  <c r="E27" i="631"/>
  <c r="E28" i="631"/>
  <c r="E29" i="631"/>
  <c r="E30" i="631"/>
  <c r="E31" i="631"/>
  <c r="E32" i="631"/>
  <c r="E3" i="631"/>
  <c r="E2" i="631"/>
  <c r="D20" i="582"/>
  <c r="L32" i="631"/>
  <c r="L31" i="631"/>
  <c r="L30" i="631"/>
  <c r="L29" i="631"/>
  <c r="L28" i="631"/>
  <c r="L27" i="631"/>
  <c r="L26" i="631"/>
  <c r="L25" i="631"/>
  <c r="L24" i="631"/>
  <c r="L23" i="631"/>
  <c r="L22" i="631"/>
  <c r="L21" i="631"/>
  <c r="L20" i="631"/>
  <c r="L19" i="631"/>
  <c r="L18" i="631"/>
  <c r="L17" i="631"/>
  <c r="L16" i="631"/>
  <c r="L15" i="631"/>
  <c r="L14" i="631"/>
  <c r="L13" i="631"/>
  <c r="L12" i="631"/>
  <c r="L11" i="631"/>
  <c r="L10" i="631"/>
  <c r="L9" i="631"/>
  <c r="L8" i="631"/>
  <c r="L7" i="631"/>
  <c r="L6" i="631"/>
  <c r="L5" i="631"/>
  <c r="L4" i="631"/>
  <c r="B4" i="631"/>
  <c r="B5" i="631" s="1"/>
  <c r="B6" i="631" s="1"/>
  <c r="B7" i="631" s="1"/>
  <c r="B8" i="631" s="1"/>
  <c r="B9" i="631" s="1"/>
  <c r="B10" i="631" s="1"/>
  <c r="B11" i="631" s="1"/>
  <c r="B12" i="631" s="1"/>
  <c r="B13" i="631" s="1"/>
  <c r="B14" i="631" s="1"/>
  <c r="B15" i="631" s="1"/>
  <c r="B16" i="631" s="1"/>
  <c r="B17" i="631" s="1"/>
  <c r="B18" i="631" s="1"/>
  <c r="B19" i="631" s="1"/>
  <c r="B20" i="631" s="1"/>
  <c r="B21" i="631" s="1"/>
  <c r="B22" i="631" s="1"/>
  <c r="B23" i="631" s="1"/>
  <c r="B24" i="631" s="1"/>
  <c r="B25" i="631" s="1"/>
  <c r="B26" i="631" s="1"/>
  <c r="B27" i="631" s="1"/>
  <c r="B28" i="631" s="1"/>
  <c r="B29" i="631" s="1"/>
  <c r="B30" i="631" s="1"/>
  <c r="B31" i="631" s="1"/>
  <c r="B32" i="631" s="1"/>
  <c r="L3" i="631"/>
  <c r="B3" i="631"/>
  <c r="L2" i="631"/>
  <c r="B9" i="630"/>
  <c r="B10" i="630" s="1"/>
  <c r="B11" i="630" s="1"/>
  <c r="B12" i="630" s="1"/>
  <c r="B13" i="630" s="1"/>
  <c r="B14" i="630" s="1"/>
  <c r="B15" i="630" s="1"/>
  <c r="B16" i="630" s="1"/>
  <c r="B17" i="630" s="1"/>
  <c r="B18" i="630" s="1"/>
  <c r="B19" i="630" s="1"/>
  <c r="B20" i="630" s="1"/>
  <c r="B21" i="630" s="1"/>
  <c r="B22" i="630" s="1"/>
  <c r="B23" i="630" s="1"/>
  <c r="B24" i="630" s="1"/>
  <c r="B25" i="630" s="1"/>
  <c r="B26" i="630" s="1"/>
  <c r="B27" i="630" s="1"/>
  <c r="B28" i="630" s="1"/>
  <c r="B29" i="630" s="1"/>
  <c r="B30" i="630" s="1"/>
  <c r="B31" i="630" s="1"/>
  <c r="B32" i="630" s="1"/>
  <c r="B8" i="630"/>
  <c r="B7" i="630"/>
  <c r="B6" i="630"/>
  <c r="B5" i="630"/>
  <c r="B4" i="630"/>
  <c r="B3" i="630"/>
  <c r="G14" i="613" l="1"/>
  <c r="G14" i="614"/>
  <c r="F13" i="613" l="1"/>
  <c r="AF12" i="619" l="1"/>
  <c r="AE12" i="619"/>
  <c r="AD12" i="619"/>
  <c r="AC12" i="619"/>
  <c r="AB12" i="619"/>
  <c r="AA12" i="619"/>
  <c r="Z12" i="619"/>
  <c r="Y12" i="619"/>
  <c r="X12" i="619"/>
  <c r="W12" i="619"/>
  <c r="V12" i="619"/>
  <c r="U12" i="619"/>
  <c r="T12" i="619"/>
  <c r="S12" i="619"/>
  <c r="R12" i="619"/>
  <c r="Q12" i="619"/>
  <c r="P12" i="619"/>
  <c r="O12" i="619"/>
  <c r="N12" i="619"/>
  <c r="M12" i="619"/>
  <c r="L12" i="619"/>
  <c r="K12" i="619"/>
  <c r="J12" i="619"/>
  <c r="I12" i="619"/>
  <c r="H12" i="619"/>
  <c r="G12" i="619"/>
  <c r="F12" i="619"/>
  <c r="E12" i="619"/>
  <c r="D12" i="619"/>
  <c r="C12" i="619"/>
  <c r="B12" i="619"/>
  <c r="F13" i="614" l="1"/>
  <c r="F40" i="614" l="1"/>
  <c r="F30" i="614"/>
  <c r="F29" i="614"/>
  <c r="F28" i="614"/>
  <c r="F27" i="614"/>
  <c r="F26" i="614"/>
  <c r="F25" i="614"/>
  <c r="F16" i="614"/>
  <c r="F17" i="614" s="1"/>
  <c r="F8" i="614"/>
  <c r="F9" i="614" s="1"/>
  <c r="F11" i="614" s="1"/>
  <c r="H29" i="614" l="1"/>
  <c r="O25" i="614" s="1"/>
  <c r="O28" i="614" s="1"/>
  <c r="O27" i="614"/>
  <c r="K27" i="614"/>
  <c r="H25" i="614"/>
  <c r="K25" i="614" s="1"/>
  <c r="K28" i="614" s="1"/>
  <c r="H26" i="614"/>
  <c r="L25" i="614" s="1"/>
  <c r="L27" i="614"/>
  <c r="M27" i="614"/>
  <c r="H27" i="614"/>
  <c r="M25" i="614" s="1"/>
  <c r="M28" i="614" s="1"/>
  <c r="H28" i="614"/>
  <c r="N25" i="614" s="1"/>
  <c r="N28" i="614" s="1"/>
  <c r="N27" i="614"/>
  <c r="H30" i="614"/>
  <c r="P25" i="614" s="1"/>
  <c r="P27" i="614"/>
  <c r="D49" i="614"/>
  <c r="F41" i="614"/>
  <c r="F42" i="614" s="1"/>
  <c r="F31" i="614"/>
  <c r="E49" i="614"/>
  <c r="F10" i="614"/>
  <c r="D46" i="614"/>
  <c r="F22" i="614"/>
  <c r="F21" i="614"/>
  <c r="F20" i="614"/>
  <c r="D47" i="614"/>
  <c r="F36" i="614"/>
  <c r="F35" i="614"/>
  <c r="D48" i="614"/>
  <c r="P28" i="614" l="1"/>
  <c r="L28" i="614"/>
  <c r="F37" i="614"/>
  <c r="E48" i="614" s="1"/>
  <c r="F12" i="614"/>
  <c r="F14" i="614" s="1"/>
  <c r="F23" i="614"/>
  <c r="E47" i="614" s="1"/>
  <c r="E46" i="614" l="1"/>
  <c r="E50" i="614" s="1"/>
  <c r="B4" i="612" l="1"/>
  <c r="F40" i="613" l="1"/>
  <c r="F30" i="613"/>
  <c r="F29" i="613"/>
  <c r="F28" i="613"/>
  <c r="F27" i="613"/>
  <c r="F26" i="613"/>
  <c r="F25" i="613"/>
  <c r="F16" i="613"/>
  <c r="F17" i="613" s="1"/>
  <c r="F20" i="613" s="1"/>
  <c r="F8" i="613"/>
  <c r="F9" i="613" s="1"/>
  <c r="F11" i="613" s="1"/>
  <c r="D49" i="613" l="1"/>
  <c r="F41" i="613"/>
  <c r="F42" i="613" s="1"/>
  <c r="F21" i="613"/>
  <c r="F22" i="613"/>
  <c r="E49" i="613"/>
  <c r="F31" i="613"/>
  <c r="D47" i="613"/>
  <c r="F10" i="613"/>
  <c r="D46" i="613"/>
  <c r="F23" i="613" l="1"/>
  <c r="E47" i="613" s="1"/>
  <c r="F36" i="613"/>
  <c r="F35" i="613"/>
  <c r="D48" i="613"/>
  <c r="F12" i="613"/>
  <c r="F14" i="613" s="1"/>
  <c r="E46" i="613" l="1"/>
  <c r="F37" i="613"/>
  <c r="E48" i="613" s="1"/>
  <c r="E50" i="613" l="1"/>
  <c r="F17" i="582"/>
  <c r="F17" i="598" l="1"/>
  <c r="E17" i="598"/>
  <c r="F23" i="598" l="1"/>
  <c r="E23" i="598"/>
  <c r="F19" i="598"/>
  <c r="E19" i="598"/>
  <c r="F18" i="598"/>
  <c r="E18" i="598"/>
  <c r="F15" i="598"/>
  <c r="E15" i="598"/>
  <c r="F14" i="598"/>
  <c r="E14" i="598"/>
  <c r="F11" i="598"/>
  <c r="E11" i="598"/>
  <c r="E8" i="598"/>
  <c r="F8" i="598"/>
  <c r="F23" i="612" l="1"/>
  <c r="E23" i="612"/>
  <c r="F19" i="612"/>
  <c r="E19" i="612"/>
  <c r="F18" i="612"/>
  <c r="E18" i="612"/>
  <c r="F17" i="612"/>
  <c r="E17" i="612"/>
  <c r="F16" i="612"/>
  <c r="E16" i="612"/>
  <c r="F15" i="612"/>
  <c r="E15" i="612"/>
  <c r="F14" i="612"/>
  <c r="E14" i="612"/>
  <c r="F11" i="612"/>
  <c r="E11" i="612"/>
  <c r="F8" i="612"/>
  <c r="E8" i="612"/>
  <c r="F23" i="611"/>
  <c r="E23" i="611"/>
  <c r="F19" i="611"/>
  <c r="E19" i="611"/>
  <c r="F18" i="611"/>
  <c r="D18" i="612" s="1"/>
  <c r="E18" i="611"/>
  <c r="F17" i="611"/>
  <c r="D17" i="612" s="1"/>
  <c r="E17" i="611"/>
  <c r="F16" i="611"/>
  <c r="D16" i="612" s="1"/>
  <c r="E16" i="611"/>
  <c r="F15" i="611"/>
  <c r="E15" i="611"/>
  <c r="F14" i="611"/>
  <c r="D14" i="612" s="1"/>
  <c r="E14" i="611"/>
  <c r="F11" i="611"/>
  <c r="D11" i="612" s="1"/>
  <c r="E11" i="611"/>
  <c r="F8" i="611"/>
  <c r="D8" i="612" s="1"/>
  <c r="E8" i="611"/>
  <c r="B4" i="611"/>
  <c r="F23" i="610"/>
  <c r="D23" i="611" s="1"/>
  <c r="E23" i="610"/>
  <c r="F19" i="610"/>
  <c r="D19" i="611" s="1"/>
  <c r="E19" i="610"/>
  <c r="F18" i="610"/>
  <c r="D18" i="611" s="1"/>
  <c r="E18" i="610"/>
  <c r="F17" i="610"/>
  <c r="E17" i="610"/>
  <c r="F16" i="610"/>
  <c r="E16" i="610"/>
  <c r="F15" i="610"/>
  <c r="D15" i="611" s="1"/>
  <c r="E15" i="610"/>
  <c r="F14" i="610"/>
  <c r="D14" i="611" s="1"/>
  <c r="E14" i="610"/>
  <c r="F11" i="610"/>
  <c r="D11" i="611" s="1"/>
  <c r="E11" i="610"/>
  <c r="F8" i="610"/>
  <c r="D8" i="611" s="1"/>
  <c r="E8" i="610"/>
  <c r="B4" i="610"/>
  <c r="B4" i="609"/>
  <c r="B4" i="608"/>
  <c r="B4" i="607"/>
  <c r="B4" i="606"/>
  <c r="B4" i="605"/>
  <c r="B4" i="604"/>
  <c r="B4" i="603"/>
  <c r="B4" i="597"/>
  <c r="F23" i="609"/>
  <c r="D23" i="610" s="1"/>
  <c r="E23" i="609"/>
  <c r="F19" i="609"/>
  <c r="D19" i="610" s="1"/>
  <c r="E19" i="609"/>
  <c r="F18" i="609"/>
  <c r="E18" i="609"/>
  <c r="F17" i="609"/>
  <c r="D17" i="610" s="1"/>
  <c r="E17" i="609"/>
  <c r="F16" i="609"/>
  <c r="D16" i="610" s="1"/>
  <c r="E16" i="609"/>
  <c r="F15" i="609"/>
  <c r="D15" i="610" s="1"/>
  <c r="E15" i="609"/>
  <c r="F14" i="609"/>
  <c r="D14" i="610" s="1"/>
  <c r="E14" i="609"/>
  <c r="F11" i="609"/>
  <c r="D11" i="610" s="1"/>
  <c r="E11" i="609"/>
  <c r="F8" i="609"/>
  <c r="D8" i="610" s="1"/>
  <c r="E8" i="609"/>
  <c r="F23" i="608"/>
  <c r="D23" i="609" s="1"/>
  <c r="E23" i="608"/>
  <c r="F19" i="608"/>
  <c r="E19" i="608"/>
  <c r="F18" i="608"/>
  <c r="D18" i="609" s="1"/>
  <c r="E18" i="608"/>
  <c r="F17" i="608"/>
  <c r="D17" i="609" s="1"/>
  <c r="E17" i="608"/>
  <c r="F16" i="608"/>
  <c r="E16" i="608"/>
  <c r="F15" i="608"/>
  <c r="E15" i="608"/>
  <c r="F14" i="608"/>
  <c r="D14" i="609" s="1"/>
  <c r="E14" i="608"/>
  <c r="F11" i="608"/>
  <c r="E11" i="608"/>
  <c r="F8" i="608"/>
  <c r="D8" i="609" s="1"/>
  <c r="E8" i="608"/>
  <c r="F23" i="607"/>
  <c r="D23" i="608" s="1"/>
  <c r="E23" i="607"/>
  <c r="F19" i="607"/>
  <c r="D19" i="608" s="1"/>
  <c r="E19" i="607"/>
  <c r="F18" i="607"/>
  <c r="D18" i="608" s="1"/>
  <c r="E18" i="607"/>
  <c r="F17" i="607"/>
  <c r="D17" i="608" s="1"/>
  <c r="E17" i="607"/>
  <c r="F16" i="607"/>
  <c r="D16" i="608" s="1"/>
  <c r="E16" i="607"/>
  <c r="F15" i="607"/>
  <c r="D15" i="608" s="1"/>
  <c r="E15" i="607"/>
  <c r="F14" i="607"/>
  <c r="D14" i="608" s="1"/>
  <c r="E14" i="607"/>
  <c r="F11" i="607"/>
  <c r="D11" i="608" s="1"/>
  <c r="E11" i="607"/>
  <c r="F8" i="607"/>
  <c r="D8" i="608" s="1"/>
  <c r="E8" i="607"/>
  <c r="F23" i="606"/>
  <c r="D23" i="607" s="1"/>
  <c r="E23" i="606"/>
  <c r="F19" i="606"/>
  <c r="D19" i="607" s="1"/>
  <c r="E19" i="606"/>
  <c r="F18" i="606"/>
  <c r="D18" i="607" s="1"/>
  <c r="E18" i="606"/>
  <c r="F17" i="606"/>
  <c r="D17" i="607" s="1"/>
  <c r="E17" i="606"/>
  <c r="F16" i="606"/>
  <c r="D16" i="607" s="1"/>
  <c r="E16" i="606"/>
  <c r="F15" i="606"/>
  <c r="D15" i="607" s="1"/>
  <c r="E15" i="606"/>
  <c r="F14" i="606"/>
  <c r="E14" i="606"/>
  <c r="F11" i="606"/>
  <c r="D11" i="607" s="1"/>
  <c r="E11" i="606"/>
  <c r="F8" i="606"/>
  <c r="D8" i="607" s="1"/>
  <c r="E8" i="606"/>
  <c r="F23" i="605"/>
  <c r="E23" i="605"/>
  <c r="F19" i="605"/>
  <c r="D19" i="606" s="1"/>
  <c r="E19" i="605"/>
  <c r="F18" i="605"/>
  <c r="D18" i="606" s="1"/>
  <c r="E18" i="605"/>
  <c r="F17" i="605"/>
  <c r="D17" i="606" s="1"/>
  <c r="E17" i="605"/>
  <c r="F16" i="605"/>
  <c r="D16" i="606" s="1"/>
  <c r="E16" i="605"/>
  <c r="F15" i="605"/>
  <c r="D15" i="606" s="1"/>
  <c r="E15" i="605"/>
  <c r="F14" i="605"/>
  <c r="E14" i="605"/>
  <c r="F11" i="605"/>
  <c r="D11" i="606" s="1"/>
  <c r="E11" i="605"/>
  <c r="F8" i="605"/>
  <c r="D8" i="606" s="1"/>
  <c r="E8" i="605"/>
  <c r="F23" i="604"/>
  <c r="D23" i="605" s="1"/>
  <c r="E23" i="604"/>
  <c r="F19" i="604"/>
  <c r="D19" i="605" s="1"/>
  <c r="E19" i="604"/>
  <c r="F18" i="604"/>
  <c r="D18" i="605" s="1"/>
  <c r="E18" i="604"/>
  <c r="F17" i="604"/>
  <c r="D17" i="605" s="1"/>
  <c r="E17" i="604"/>
  <c r="F16" i="604"/>
  <c r="D16" i="605" s="1"/>
  <c r="E16" i="604"/>
  <c r="F15" i="604"/>
  <c r="D15" i="605" s="1"/>
  <c r="E15" i="604"/>
  <c r="F14" i="604"/>
  <c r="D14" i="605" s="1"/>
  <c r="E14" i="604"/>
  <c r="F11" i="604"/>
  <c r="D11" i="605" s="1"/>
  <c r="E11" i="604"/>
  <c r="F8" i="604"/>
  <c r="D8" i="605" s="1"/>
  <c r="E8" i="604"/>
  <c r="H19" i="610" l="1"/>
  <c r="H8" i="612"/>
  <c r="H9" i="612" s="1"/>
  <c r="I9" i="612" s="1"/>
  <c r="G29" i="612" s="1"/>
  <c r="H23" i="607"/>
  <c r="G11" i="610"/>
  <c r="G12" i="610" s="1"/>
  <c r="H19" i="607"/>
  <c r="H16" i="608"/>
  <c r="G16" i="610"/>
  <c r="H15" i="610"/>
  <c r="H19" i="606"/>
  <c r="G16" i="608"/>
  <c r="H23" i="608"/>
  <c r="G15" i="609"/>
  <c r="H16" i="612"/>
  <c r="G16" i="612"/>
  <c r="G23" i="611"/>
  <c r="H14" i="611"/>
  <c r="H15" i="611"/>
  <c r="G15" i="610"/>
  <c r="H14" i="608"/>
  <c r="G15" i="607"/>
  <c r="H15" i="608"/>
  <c r="H11" i="608"/>
  <c r="H12" i="608" s="1"/>
  <c r="F30" i="608" s="1"/>
  <c r="H17" i="610"/>
  <c r="H14" i="612"/>
  <c r="H14" i="605"/>
  <c r="H23" i="605"/>
  <c r="H24" i="605" s="1"/>
  <c r="I24" i="605" s="1"/>
  <c r="H16" i="607"/>
  <c r="G11" i="608"/>
  <c r="G12" i="608" s="1"/>
  <c r="D15" i="612"/>
  <c r="H15" i="612" s="1"/>
  <c r="H19" i="611"/>
  <c r="H19" i="608"/>
  <c r="H15" i="605"/>
  <c r="G19" i="606"/>
  <c r="H18" i="609"/>
  <c r="D18" i="610"/>
  <c r="H18" i="610" s="1"/>
  <c r="D14" i="606"/>
  <c r="H14" i="606" s="1"/>
  <c r="D19" i="612"/>
  <c r="H19" i="612" s="1"/>
  <c r="D11" i="609"/>
  <c r="H11" i="609" s="1"/>
  <c r="H12" i="609" s="1"/>
  <c r="D16" i="611"/>
  <c r="H16" i="611" s="1"/>
  <c r="D23" i="612"/>
  <c r="H23" i="612" s="1"/>
  <c r="H17" i="612"/>
  <c r="D17" i="611"/>
  <c r="H17" i="611" s="1"/>
  <c r="H11" i="607"/>
  <c r="H12" i="607" s="1"/>
  <c r="I12" i="607" s="1"/>
  <c r="G30" i="607" s="1"/>
  <c r="D15" i="609"/>
  <c r="H15" i="609" s="1"/>
  <c r="D14" i="607"/>
  <c r="H14" i="607" s="1"/>
  <c r="D16" i="609"/>
  <c r="H16" i="609" s="1"/>
  <c r="H16" i="610"/>
  <c r="H11" i="612"/>
  <c r="H12" i="612" s="1"/>
  <c r="F30" i="612" s="1"/>
  <c r="H11" i="605"/>
  <c r="H12" i="605" s="1"/>
  <c r="F30" i="605" s="1"/>
  <c r="D23" i="606"/>
  <c r="H23" i="606" s="1"/>
  <c r="H15" i="607"/>
  <c r="H8" i="608"/>
  <c r="H9" i="608" s="1"/>
  <c r="F29" i="608" s="1"/>
  <c r="D19" i="609"/>
  <c r="H19" i="609" s="1"/>
  <c r="H8" i="611"/>
  <c r="H9" i="611" s="1"/>
  <c r="I9" i="611" s="1"/>
  <c r="G29" i="611" s="1"/>
  <c r="G15" i="612"/>
  <c r="G11" i="612"/>
  <c r="G12" i="612" s="1"/>
  <c r="H18" i="612"/>
  <c r="G14" i="612"/>
  <c r="G19" i="612"/>
  <c r="G8" i="612"/>
  <c r="G9" i="612" s="1"/>
  <c r="G18" i="612"/>
  <c r="G17" i="612"/>
  <c r="G23" i="612"/>
  <c r="G14" i="611"/>
  <c r="H18" i="611"/>
  <c r="G18" i="611"/>
  <c r="G17" i="611"/>
  <c r="G15" i="611"/>
  <c r="G8" i="611"/>
  <c r="G9" i="611" s="1"/>
  <c r="H23" i="611"/>
  <c r="H24" i="611" s="1"/>
  <c r="I24" i="611" s="1"/>
  <c r="H11" i="611"/>
  <c r="H12" i="611" s="1"/>
  <c r="I12" i="611" s="1"/>
  <c r="G30" i="611" s="1"/>
  <c r="G11" i="611"/>
  <c r="G12" i="611" s="1"/>
  <c r="G16" i="611"/>
  <c r="G19" i="611"/>
  <c r="G14" i="610"/>
  <c r="H11" i="610"/>
  <c r="H12" i="610" s="1"/>
  <c r="F30" i="610" s="1"/>
  <c r="H23" i="610"/>
  <c r="H24" i="610" s="1"/>
  <c r="I24" i="610" s="1"/>
  <c r="H8" i="610"/>
  <c r="H9" i="610" s="1"/>
  <c r="F29" i="610" s="1"/>
  <c r="B4" i="586"/>
  <c r="B4" i="592"/>
  <c r="B4" i="598"/>
  <c r="B4" i="587"/>
  <c r="B4" i="593"/>
  <c r="B4" i="599"/>
  <c r="B4" i="588"/>
  <c r="B4" i="594"/>
  <c r="B4" i="600"/>
  <c r="B4" i="584"/>
  <c r="B4" i="589"/>
  <c r="B4" i="595"/>
  <c r="B4" i="601"/>
  <c r="B4" i="583"/>
  <c r="B4" i="590"/>
  <c r="B4" i="596"/>
  <c r="B4" i="602"/>
  <c r="B4" i="585"/>
  <c r="C5" i="591"/>
  <c r="H14" i="610"/>
  <c r="G19" i="610"/>
  <c r="G8" i="610"/>
  <c r="G9" i="610" s="1"/>
  <c r="G18" i="610"/>
  <c r="G17" i="610"/>
  <c r="G23" i="610"/>
  <c r="G16" i="609"/>
  <c r="G11" i="609"/>
  <c r="G12" i="609" s="1"/>
  <c r="H23" i="609"/>
  <c r="H24" i="609" s="1"/>
  <c r="I24" i="609" s="1"/>
  <c r="H17" i="609"/>
  <c r="H14" i="609"/>
  <c r="H8" i="609"/>
  <c r="H9" i="609" s="1"/>
  <c r="F29" i="609" s="1"/>
  <c r="G14" i="609"/>
  <c r="G19" i="609"/>
  <c r="G8" i="609"/>
  <c r="G9" i="609" s="1"/>
  <c r="G18" i="609"/>
  <c r="G17" i="609"/>
  <c r="G23" i="609"/>
  <c r="G15" i="608"/>
  <c r="H18" i="608"/>
  <c r="H17" i="608"/>
  <c r="G14" i="608"/>
  <c r="G19" i="608"/>
  <c r="G8" i="608"/>
  <c r="G9" i="608" s="1"/>
  <c r="G18" i="608"/>
  <c r="G17" i="608"/>
  <c r="G23" i="608"/>
  <c r="G19" i="607"/>
  <c r="G18" i="607"/>
  <c r="G14" i="607"/>
  <c r="H17" i="607"/>
  <c r="H8" i="607"/>
  <c r="H9" i="607" s="1"/>
  <c r="F29" i="607" s="1"/>
  <c r="G8" i="607"/>
  <c r="G9" i="607" s="1"/>
  <c r="G17" i="607"/>
  <c r="H18" i="607"/>
  <c r="G23" i="607"/>
  <c r="G11" i="607"/>
  <c r="G12" i="607" s="1"/>
  <c r="G16" i="607"/>
  <c r="G23" i="606"/>
  <c r="G17" i="606"/>
  <c r="G14" i="606"/>
  <c r="G11" i="606"/>
  <c r="G12" i="606" s="1"/>
  <c r="G8" i="606"/>
  <c r="G9" i="606" s="1"/>
  <c r="H18" i="606"/>
  <c r="H16" i="606"/>
  <c r="H15" i="606"/>
  <c r="H8" i="606"/>
  <c r="H9" i="606" s="1"/>
  <c r="G16" i="606"/>
  <c r="H17" i="606"/>
  <c r="H11" i="606"/>
  <c r="H12" i="606" s="1"/>
  <c r="G15" i="606"/>
  <c r="G18" i="606"/>
  <c r="H16" i="605"/>
  <c r="G16" i="605"/>
  <c r="G15" i="605"/>
  <c r="G11" i="605"/>
  <c r="G12" i="605" s="1"/>
  <c r="H19" i="605"/>
  <c r="H18" i="605"/>
  <c r="H17" i="605"/>
  <c r="H8" i="605"/>
  <c r="H9" i="605" s="1"/>
  <c r="F29" i="605" s="1"/>
  <c r="G14" i="605"/>
  <c r="G19" i="605"/>
  <c r="G8" i="605"/>
  <c r="G9" i="605" s="1"/>
  <c r="G18" i="605"/>
  <c r="G17" i="605"/>
  <c r="G23" i="605"/>
  <c r="G16" i="604"/>
  <c r="G15" i="604"/>
  <c r="G11" i="604"/>
  <c r="G12" i="604" s="1"/>
  <c r="F23" i="603"/>
  <c r="D23" i="604" s="1"/>
  <c r="H23" i="604" s="1"/>
  <c r="E23" i="603"/>
  <c r="F19" i="603"/>
  <c r="D19" i="604" s="1"/>
  <c r="H19" i="604" s="1"/>
  <c r="E19" i="603"/>
  <c r="F18" i="603"/>
  <c r="D18" i="604" s="1"/>
  <c r="H18" i="604" s="1"/>
  <c r="E18" i="603"/>
  <c r="F17" i="603"/>
  <c r="E17" i="603"/>
  <c r="F16" i="603"/>
  <c r="D16" i="604" s="1"/>
  <c r="H16" i="604" s="1"/>
  <c r="E16" i="603"/>
  <c r="F15" i="603"/>
  <c r="E15" i="603"/>
  <c r="F14" i="603"/>
  <c r="E14" i="603"/>
  <c r="F11" i="603"/>
  <c r="D11" i="604" s="1"/>
  <c r="H11" i="604" s="1"/>
  <c r="H12" i="604" s="1"/>
  <c r="E11" i="603"/>
  <c r="F8" i="603"/>
  <c r="E8" i="603"/>
  <c r="F23" i="602"/>
  <c r="D23" i="603" s="1"/>
  <c r="E23" i="602"/>
  <c r="F19" i="602"/>
  <c r="D19" i="603" s="1"/>
  <c r="E19" i="602"/>
  <c r="F18" i="602"/>
  <c r="D18" i="603" s="1"/>
  <c r="E18" i="602"/>
  <c r="F17" i="602"/>
  <c r="E17" i="602"/>
  <c r="F16" i="602"/>
  <c r="D16" i="603" s="1"/>
  <c r="E16" i="602"/>
  <c r="F15" i="602"/>
  <c r="D15" i="603" s="1"/>
  <c r="E15" i="602"/>
  <c r="F14" i="602"/>
  <c r="D14" i="603" s="1"/>
  <c r="E14" i="602"/>
  <c r="F11" i="602"/>
  <c r="D11" i="603" s="1"/>
  <c r="E11" i="602"/>
  <c r="F8" i="602"/>
  <c r="E8" i="602"/>
  <c r="F23" i="601"/>
  <c r="D23" i="602" s="1"/>
  <c r="E23" i="601"/>
  <c r="F19" i="601"/>
  <c r="D19" i="602" s="1"/>
  <c r="E19" i="601"/>
  <c r="F18" i="601"/>
  <c r="D18" i="602" s="1"/>
  <c r="E18" i="601"/>
  <c r="F17" i="601"/>
  <c r="D17" i="602" s="1"/>
  <c r="E17" i="601"/>
  <c r="F16" i="601"/>
  <c r="D16" i="602" s="1"/>
  <c r="E16" i="601"/>
  <c r="F15" i="601"/>
  <c r="E15" i="601"/>
  <c r="F14" i="601"/>
  <c r="E14" i="601"/>
  <c r="F11" i="601"/>
  <c r="E11" i="601"/>
  <c r="F8" i="601"/>
  <c r="D8" i="602" s="1"/>
  <c r="E8" i="601"/>
  <c r="F23" i="600"/>
  <c r="D23" i="601" s="1"/>
  <c r="E23" i="600"/>
  <c r="F19" i="600"/>
  <c r="D19" i="601" s="1"/>
  <c r="E19" i="600"/>
  <c r="F18" i="600"/>
  <c r="D18" i="601" s="1"/>
  <c r="E18" i="600"/>
  <c r="F17" i="600"/>
  <c r="D17" i="601" s="1"/>
  <c r="E17" i="600"/>
  <c r="F16" i="600"/>
  <c r="D16" i="601" s="1"/>
  <c r="E16" i="600"/>
  <c r="F15" i="600"/>
  <c r="D15" i="601" s="1"/>
  <c r="E15" i="600"/>
  <c r="F14" i="600"/>
  <c r="E14" i="600"/>
  <c r="F11" i="600"/>
  <c r="D11" i="601" s="1"/>
  <c r="E11" i="600"/>
  <c r="F8" i="600"/>
  <c r="D8" i="601" s="1"/>
  <c r="E8" i="600"/>
  <c r="F23" i="599"/>
  <c r="D23" i="600" s="1"/>
  <c r="E23" i="599"/>
  <c r="F19" i="599"/>
  <c r="D19" i="600" s="1"/>
  <c r="E19" i="599"/>
  <c r="F18" i="599"/>
  <c r="E18" i="599"/>
  <c r="F17" i="599"/>
  <c r="D17" i="600" s="1"/>
  <c r="E17" i="599"/>
  <c r="F16" i="599"/>
  <c r="D16" i="600" s="1"/>
  <c r="E16" i="599"/>
  <c r="F15" i="599"/>
  <c r="D15" i="600" s="1"/>
  <c r="E15" i="599"/>
  <c r="F14" i="599"/>
  <c r="E14" i="599"/>
  <c r="F11" i="599"/>
  <c r="E11" i="599"/>
  <c r="F8" i="599"/>
  <c r="D8" i="600" s="1"/>
  <c r="E8" i="599"/>
  <c r="H24" i="608" l="1"/>
  <c r="I24" i="608" s="1"/>
  <c r="G32" i="608" s="1"/>
  <c r="H24" i="604"/>
  <c r="I24" i="604" s="1"/>
  <c r="G32" i="604" s="1"/>
  <c r="H24" i="612"/>
  <c r="I24" i="612" s="1"/>
  <c r="G32" i="612" s="1"/>
  <c r="G32" i="607"/>
  <c r="H24" i="607"/>
  <c r="I24" i="607" s="1"/>
  <c r="H24" i="606"/>
  <c r="I24" i="606" s="1"/>
  <c r="G32" i="606" s="1"/>
  <c r="F29" i="612"/>
  <c r="F32" i="607"/>
  <c r="F32" i="608"/>
  <c r="H17" i="600"/>
  <c r="G23" i="602"/>
  <c r="I12" i="608"/>
  <c r="G30" i="608" s="1"/>
  <c r="G14" i="602"/>
  <c r="G11" i="601"/>
  <c r="G12" i="601" s="1"/>
  <c r="H20" i="608"/>
  <c r="F31" i="608" s="1"/>
  <c r="H8" i="601"/>
  <c r="H9" i="601" s="1"/>
  <c r="F29" i="601" s="1"/>
  <c r="G15" i="600"/>
  <c r="I9" i="608"/>
  <c r="G29" i="608" s="1"/>
  <c r="F30" i="611"/>
  <c r="F32" i="611"/>
  <c r="G32" i="611"/>
  <c r="G32" i="610"/>
  <c r="F29" i="611"/>
  <c r="H20" i="610"/>
  <c r="F31" i="610" s="1"/>
  <c r="F32" i="610"/>
  <c r="G32" i="609"/>
  <c r="F30" i="607"/>
  <c r="F32" i="605"/>
  <c r="G32" i="605"/>
  <c r="I12" i="605"/>
  <c r="G30" i="605" s="1"/>
  <c r="H16" i="603"/>
  <c r="G17" i="602"/>
  <c r="H16" i="601"/>
  <c r="H15" i="600"/>
  <c r="H11" i="601"/>
  <c r="H12" i="601" s="1"/>
  <c r="F30" i="601" s="1"/>
  <c r="F32" i="612"/>
  <c r="F30" i="609"/>
  <c r="I12" i="609"/>
  <c r="G30" i="609" s="1"/>
  <c r="H20" i="611"/>
  <c r="I20" i="611" s="1"/>
  <c r="G31" i="611" s="1"/>
  <c r="D17" i="603"/>
  <c r="H17" i="603" s="1"/>
  <c r="D11" i="600"/>
  <c r="H11" i="600" s="1"/>
  <c r="H12" i="600" s="1"/>
  <c r="D14" i="601"/>
  <c r="H14" i="601" s="1"/>
  <c r="D14" i="600"/>
  <c r="H14" i="600" s="1"/>
  <c r="H8" i="602"/>
  <c r="H9" i="602" s="1"/>
  <c r="I9" i="602" s="1"/>
  <c r="G29" i="602" s="1"/>
  <c r="H18" i="602"/>
  <c r="I12" i="612"/>
  <c r="G30" i="612" s="1"/>
  <c r="H15" i="603"/>
  <c r="D15" i="604"/>
  <c r="H15" i="604" s="1"/>
  <c r="G15" i="599"/>
  <c r="H15" i="601"/>
  <c r="D17" i="604"/>
  <c r="H17" i="604" s="1"/>
  <c r="D18" i="600"/>
  <c r="H18" i="600" s="1"/>
  <c r="D14" i="602"/>
  <c r="H14" i="602" s="1"/>
  <c r="H23" i="602"/>
  <c r="H24" i="602" s="1"/>
  <c r="I24" i="602" s="1"/>
  <c r="H8" i="600"/>
  <c r="H9" i="600" s="1"/>
  <c r="I9" i="600" s="1"/>
  <c r="G29" i="600" s="1"/>
  <c r="D15" i="602"/>
  <c r="H15" i="602" s="1"/>
  <c r="D8" i="603"/>
  <c r="H8" i="603" s="1"/>
  <c r="H9" i="603" s="1"/>
  <c r="H19" i="602"/>
  <c r="D11" i="602"/>
  <c r="H11" i="602" s="1"/>
  <c r="H12" i="602" s="1"/>
  <c r="I12" i="602" s="1"/>
  <c r="G30" i="602" s="1"/>
  <c r="D8" i="604"/>
  <c r="H8" i="604" s="1"/>
  <c r="H9" i="604" s="1"/>
  <c r="F29" i="604" s="1"/>
  <c r="H18" i="601"/>
  <c r="H14" i="603"/>
  <c r="D14" i="604"/>
  <c r="H14" i="604" s="1"/>
  <c r="H20" i="612"/>
  <c r="I20" i="612" s="1"/>
  <c r="G31" i="612" s="1"/>
  <c r="G20" i="612"/>
  <c r="G20" i="611"/>
  <c r="I12" i="610"/>
  <c r="G30" i="610" s="1"/>
  <c r="G20" i="610"/>
  <c r="I9" i="610"/>
  <c r="G29" i="610" s="1"/>
  <c r="F32" i="609"/>
  <c r="I9" i="609"/>
  <c r="G29" i="609" s="1"/>
  <c r="H20" i="609"/>
  <c r="I20" i="609" s="1"/>
  <c r="G31" i="609" s="1"/>
  <c r="G20" i="609"/>
  <c r="G20" i="608"/>
  <c r="G20" i="607"/>
  <c r="I9" i="607"/>
  <c r="G29" i="607" s="1"/>
  <c r="H20" i="607"/>
  <c r="F31" i="607" s="1"/>
  <c r="H20" i="606"/>
  <c r="I20" i="606" s="1"/>
  <c r="G31" i="606" s="1"/>
  <c r="G20" i="606"/>
  <c r="F29" i="606"/>
  <c r="I9" i="606"/>
  <c r="G29" i="606" s="1"/>
  <c r="F30" i="606"/>
  <c r="I12" i="606"/>
  <c r="G30" i="606" s="1"/>
  <c r="F32" i="606"/>
  <c r="I9" i="605"/>
  <c r="G29" i="605" s="1"/>
  <c r="H20" i="605"/>
  <c r="F31" i="605" s="1"/>
  <c r="G20" i="605"/>
  <c r="F30" i="604"/>
  <c r="I12" i="604"/>
  <c r="G30" i="604" s="1"/>
  <c r="F32" i="604"/>
  <c r="G14" i="604"/>
  <c r="G19" i="604"/>
  <c r="G8" i="604"/>
  <c r="G9" i="604" s="1"/>
  <c r="G18" i="604"/>
  <c r="G17" i="604"/>
  <c r="G23" i="604"/>
  <c r="G16" i="603"/>
  <c r="G15" i="603"/>
  <c r="H11" i="603"/>
  <c r="H12" i="603" s="1"/>
  <c r="F30" i="603" s="1"/>
  <c r="G11" i="603"/>
  <c r="G12" i="603" s="1"/>
  <c r="H23" i="603"/>
  <c r="H24" i="603" s="1"/>
  <c r="I24" i="603" s="1"/>
  <c r="H19" i="603"/>
  <c r="H18" i="603"/>
  <c r="G14" i="603"/>
  <c r="G19" i="603"/>
  <c r="G8" i="603"/>
  <c r="G9" i="603" s="1"/>
  <c r="G18" i="603"/>
  <c r="G17" i="603"/>
  <c r="G23" i="603"/>
  <c r="G18" i="602"/>
  <c r="H17" i="602"/>
  <c r="G8" i="602"/>
  <c r="G9" i="602" s="1"/>
  <c r="H16" i="602"/>
  <c r="G11" i="602"/>
  <c r="G12" i="602" s="1"/>
  <c r="G16" i="602"/>
  <c r="G15" i="602"/>
  <c r="G19" i="602"/>
  <c r="G16" i="601"/>
  <c r="G15" i="601"/>
  <c r="H23" i="601"/>
  <c r="H24" i="601" s="1"/>
  <c r="I24" i="601" s="1"/>
  <c r="H19" i="601"/>
  <c r="H17" i="601"/>
  <c r="G14" i="601"/>
  <c r="G19" i="601"/>
  <c r="G8" i="601"/>
  <c r="G9" i="601" s="1"/>
  <c r="G18" i="601"/>
  <c r="G17" i="601"/>
  <c r="G23" i="601"/>
  <c r="H23" i="600"/>
  <c r="H24" i="600" s="1"/>
  <c r="I24" i="600" s="1"/>
  <c r="H19" i="600"/>
  <c r="H16" i="600"/>
  <c r="G16" i="600"/>
  <c r="G11" i="600"/>
  <c r="G12" i="600" s="1"/>
  <c r="G14" i="600"/>
  <c r="G19" i="600"/>
  <c r="G8" i="600"/>
  <c r="G9" i="600" s="1"/>
  <c r="G18" i="600"/>
  <c r="G17" i="600"/>
  <c r="G23" i="600"/>
  <c r="G16" i="599"/>
  <c r="G11" i="599"/>
  <c r="G12" i="599" s="1"/>
  <c r="G14" i="599"/>
  <c r="G19" i="599"/>
  <c r="G8" i="599"/>
  <c r="G9" i="599" s="1"/>
  <c r="G18" i="599"/>
  <c r="G17" i="599"/>
  <c r="G23" i="599"/>
  <c r="I9" i="601" l="1"/>
  <c r="G29" i="601" s="1"/>
  <c r="F31" i="612"/>
  <c r="I20" i="608"/>
  <c r="G31" i="608" s="1"/>
  <c r="G33" i="608" s="1"/>
  <c r="I20" i="610"/>
  <c r="G31" i="610" s="1"/>
  <c r="G33" i="610" s="1"/>
  <c r="I12" i="601"/>
  <c r="G30" i="601" s="1"/>
  <c r="F29" i="602"/>
  <c r="H20" i="600"/>
  <c r="F31" i="600" s="1"/>
  <c r="G33" i="609"/>
  <c r="H20" i="602"/>
  <c r="F31" i="602" s="1"/>
  <c r="G33" i="612"/>
  <c r="G33" i="611"/>
  <c r="F31" i="611"/>
  <c r="F31" i="606"/>
  <c r="H20" i="604"/>
  <c r="F31" i="604" s="1"/>
  <c r="F32" i="603"/>
  <c r="G32" i="603"/>
  <c r="H20" i="603"/>
  <c r="F31" i="603" s="1"/>
  <c r="I12" i="603"/>
  <c r="G30" i="603" s="1"/>
  <c r="F32" i="602"/>
  <c r="G32" i="602"/>
  <c r="F32" i="601"/>
  <c r="G32" i="601"/>
  <c r="F32" i="600"/>
  <c r="G32" i="600"/>
  <c r="F29" i="600"/>
  <c r="F30" i="600"/>
  <c r="I12" i="600"/>
  <c r="G30" i="600" s="1"/>
  <c r="I9" i="603"/>
  <c r="G29" i="603" s="1"/>
  <c r="F29" i="603"/>
  <c r="I9" i="604"/>
  <c r="G29" i="604" s="1"/>
  <c r="F31" i="609"/>
  <c r="I20" i="607"/>
  <c r="G31" i="607" s="1"/>
  <c r="G33" i="607" s="1"/>
  <c r="G33" i="606"/>
  <c r="I20" i="605"/>
  <c r="G31" i="605" s="1"/>
  <c r="G33" i="605" s="1"/>
  <c r="G20" i="604"/>
  <c r="G20" i="603"/>
  <c r="G20" i="602"/>
  <c r="F30" i="602"/>
  <c r="H20" i="601"/>
  <c r="F31" i="601" s="1"/>
  <c r="G20" i="601"/>
  <c r="G20" i="600"/>
  <c r="G20" i="599"/>
  <c r="I20" i="604" l="1"/>
  <c r="G31" i="604" s="1"/>
  <c r="G33" i="604" s="1"/>
  <c r="I20" i="602"/>
  <c r="G31" i="602" s="1"/>
  <c r="G33" i="602" s="1"/>
  <c r="I20" i="600"/>
  <c r="G31" i="600" s="1"/>
  <c r="G33" i="600" s="1"/>
  <c r="I20" i="603"/>
  <c r="G31" i="603" s="1"/>
  <c r="G33" i="603" s="1"/>
  <c r="I20" i="601"/>
  <c r="G31" i="601" s="1"/>
  <c r="G33" i="601" s="1"/>
  <c r="D17" i="599"/>
  <c r="H17" i="599" s="1"/>
  <c r="F16" i="598"/>
  <c r="E16" i="598"/>
  <c r="D14" i="599"/>
  <c r="H14" i="599" s="1"/>
  <c r="D11" i="599"/>
  <c r="H11" i="599" s="1"/>
  <c r="H12" i="599" s="1"/>
  <c r="D8" i="599"/>
  <c r="H8" i="599" s="1"/>
  <c r="H9" i="599" s="1"/>
  <c r="G17" i="598" l="1"/>
  <c r="G14" i="598"/>
  <c r="G19" i="598"/>
  <c r="D19" i="599"/>
  <c r="H19" i="599" s="1"/>
  <c r="D18" i="599"/>
  <c r="H18" i="599" s="1"/>
  <c r="D15" i="599"/>
  <c r="H15" i="599" s="1"/>
  <c r="G8" i="598"/>
  <c r="G9" i="598" s="1"/>
  <c r="G16" i="598"/>
  <c r="D16" i="599"/>
  <c r="H16" i="599" s="1"/>
  <c r="G23" i="598"/>
  <c r="D23" i="599"/>
  <c r="H23" i="599" s="1"/>
  <c r="I12" i="599"/>
  <c r="G30" i="599" s="1"/>
  <c r="F30" i="599"/>
  <c r="F29" i="599"/>
  <c r="I9" i="599"/>
  <c r="G29" i="599" s="1"/>
  <c r="G11" i="598"/>
  <c r="G12" i="598" s="1"/>
  <c r="G15" i="598"/>
  <c r="G18" i="598"/>
  <c r="F23" i="597"/>
  <c r="D23" i="598" s="1"/>
  <c r="H23" i="598" s="1"/>
  <c r="E23" i="597"/>
  <c r="F19" i="597"/>
  <c r="D19" i="598" s="1"/>
  <c r="E19" i="597"/>
  <c r="F18" i="597"/>
  <c r="E18" i="597"/>
  <c r="F17" i="597"/>
  <c r="E17" i="597"/>
  <c r="F16" i="597"/>
  <c r="E16" i="597"/>
  <c r="F14" i="597"/>
  <c r="D14" i="598" s="1"/>
  <c r="H14" i="598" s="1"/>
  <c r="F15" i="597"/>
  <c r="E15" i="597"/>
  <c r="E14" i="597"/>
  <c r="F11" i="597"/>
  <c r="D11" i="598" s="1"/>
  <c r="H11" i="598" s="1"/>
  <c r="H12" i="598" s="1"/>
  <c r="F30" i="598" s="1"/>
  <c r="E11" i="597"/>
  <c r="F8" i="597"/>
  <c r="D8" i="598" s="1"/>
  <c r="E8" i="597"/>
  <c r="F23" i="596"/>
  <c r="E23" i="596"/>
  <c r="F19" i="596"/>
  <c r="D19" i="597" s="1"/>
  <c r="E19" i="596"/>
  <c r="F18" i="596"/>
  <c r="E18" i="596"/>
  <c r="F17" i="596"/>
  <c r="E17" i="596"/>
  <c r="F16" i="596"/>
  <c r="E16" i="596"/>
  <c r="F15" i="596"/>
  <c r="E15" i="596"/>
  <c r="F14" i="596"/>
  <c r="D14" i="597" s="1"/>
  <c r="E14" i="596"/>
  <c r="F11" i="596"/>
  <c r="E11" i="596"/>
  <c r="F8" i="596"/>
  <c r="E8" i="596"/>
  <c r="F23" i="595"/>
  <c r="D23" i="596" s="1"/>
  <c r="E23" i="595"/>
  <c r="F19" i="595"/>
  <c r="D19" i="596" s="1"/>
  <c r="E19" i="595"/>
  <c r="F18" i="595"/>
  <c r="E18" i="595"/>
  <c r="F17" i="595"/>
  <c r="D17" i="596" s="1"/>
  <c r="E17" i="595"/>
  <c r="F16" i="595"/>
  <c r="D16" i="596" s="1"/>
  <c r="E16" i="595"/>
  <c r="F15" i="595"/>
  <c r="E15" i="595"/>
  <c r="F14" i="595"/>
  <c r="E14" i="595"/>
  <c r="F11" i="595"/>
  <c r="E11" i="595"/>
  <c r="F8" i="595"/>
  <c r="E8" i="595"/>
  <c r="F23" i="594"/>
  <c r="E23" i="594"/>
  <c r="F19" i="594"/>
  <c r="E19" i="594"/>
  <c r="F18" i="594"/>
  <c r="E18" i="594"/>
  <c r="F17" i="594"/>
  <c r="E17" i="594"/>
  <c r="F16" i="594"/>
  <c r="D16" i="595" s="1"/>
  <c r="E16" i="594"/>
  <c r="F15" i="594"/>
  <c r="E15" i="594"/>
  <c r="F14" i="594"/>
  <c r="E14" i="594"/>
  <c r="F11" i="594"/>
  <c r="D11" i="595" s="1"/>
  <c r="E11" i="594"/>
  <c r="F8" i="594"/>
  <c r="E8" i="594"/>
  <c r="F23" i="593"/>
  <c r="E23" i="593"/>
  <c r="F19" i="593"/>
  <c r="E19" i="593"/>
  <c r="F18" i="593"/>
  <c r="E18" i="593"/>
  <c r="F17" i="593"/>
  <c r="D17" i="594" s="1"/>
  <c r="E17" i="593"/>
  <c r="F16" i="593"/>
  <c r="D16" i="594" s="1"/>
  <c r="E16" i="593"/>
  <c r="F15" i="593"/>
  <c r="D15" i="594" s="1"/>
  <c r="E15" i="593"/>
  <c r="F14" i="593"/>
  <c r="D14" i="594" s="1"/>
  <c r="E14" i="593"/>
  <c r="F11" i="593"/>
  <c r="E11" i="593"/>
  <c r="F8" i="593"/>
  <c r="E8" i="593"/>
  <c r="F23" i="592"/>
  <c r="D23" i="593" s="1"/>
  <c r="E23" i="592"/>
  <c r="F19" i="592"/>
  <c r="E19" i="592"/>
  <c r="F18" i="592"/>
  <c r="E18" i="592"/>
  <c r="F17" i="592"/>
  <c r="E17" i="592"/>
  <c r="F16" i="592"/>
  <c r="D16" i="593" s="1"/>
  <c r="E16" i="592"/>
  <c r="F15" i="592"/>
  <c r="D15" i="593" s="1"/>
  <c r="E15" i="592"/>
  <c r="F14" i="592"/>
  <c r="E14" i="592"/>
  <c r="F11" i="592"/>
  <c r="E11" i="592"/>
  <c r="F8" i="592"/>
  <c r="E8" i="592"/>
  <c r="F23" i="591"/>
  <c r="D23" i="592" s="1"/>
  <c r="E23" i="591"/>
  <c r="F19" i="591"/>
  <c r="D19" i="592" s="1"/>
  <c r="E19" i="591"/>
  <c r="F18" i="591"/>
  <c r="D18" i="592" s="1"/>
  <c r="E18" i="591"/>
  <c r="F17" i="591"/>
  <c r="D17" i="592" s="1"/>
  <c r="E17" i="591"/>
  <c r="F16" i="591"/>
  <c r="D16" i="592" s="1"/>
  <c r="E16" i="591"/>
  <c r="F15" i="591"/>
  <c r="E15" i="591"/>
  <c r="F14" i="591"/>
  <c r="E14" i="591"/>
  <c r="F11" i="591"/>
  <c r="E11" i="591"/>
  <c r="F8" i="591"/>
  <c r="D8" i="592" s="1"/>
  <c r="E8" i="591"/>
  <c r="F23" i="590"/>
  <c r="D23" i="591" s="1"/>
  <c r="E23" i="590"/>
  <c r="F19" i="590"/>
  <c r="D19" i="591" s="1"/>
  <c r="E19" i="590"/>
  <c r="F18" i="590"/>
  <c r="E18" i="590"/>
  <c r="F17" i="590"/>
  <c r="D17" i="591" s="1"/>
  <c r="E17" i="590"/>
  <c r="F16" i="590"/>
  <c r="E16" i="590"/>
  <c r="F15" i="590"/>
  <c r="E15" i="590"/>
  <c r="F14" i="590"/>
  <c r="D14" i="591" s="1"/>
  <c r="E14" i="590"/>
  <c r="F11" i="590"/>
  <c r="E11" i="590"/>
  <c r="F8" i="590"/>
  <c r="E8" i="590"/>
  <c r="F23" i="589"/>
  <c r="D23" i="590" s="1"/>
  <c r="E23" i="589"/>
  <c r="F19" i="589"/>
  <c r="D19" i="590" s="1"/>
  <c r="E19" i="589"/>
  <c r="F18" i="589"/>
  <c r="D18" i="590" s="1"/>
  <c r="E18" i="589"/>
  <c r="F17" i="589"/>
  <c r="D17" i="590" s="1"/>
  <c r="E17" i="589"/>
  <c r="F16" i="589"/>
  <c r="E16" i="589"/>
  <c r="F15" i="589"/>
  <c r="D15" i="590" s="1"/>
  <c r="E15" i="589"/>
  <c r="F14" i="589"/>
  <c r="D14" i="590" s="1"/>
  <c r="E14" i="589"/>
  <c r="F11" i="589"/>
  <c r="D11" i="590" s="1"/>
  <c r="E11" i="589"/>
  <c r="F8" i="589"/>
  <c r="D8" i="590" s="1"/>
  <c r="E8" i="589"/>
  <c r="F23" i="588"/>
  <c r="E23" i="588"/>
  <c r="F19" i="588"/>
  <c r="D19" i="589" s="1"/>
  <c r="E19" i="588"/>
  <c r="F18" i="588"/>
  <c r="E18" i="588"/>
  <c r="F17" i="588"/>
  <c r="E17" i="588"/>
  <c r="F15" i="588"/>
  <c r="D15" i="589" s="1"/>
  <c r="F16" i="588"/>
  <c r="D16" i="589" s="1"/>
  <c r="E16" i="588"/>
  <c r="E15" i="588"/>
  <c r="F14" i="588"/>
  <c r="E14" i="588"/>
  <c r="F11" i="588"/>
  <c r="E11" i="588"/>
  <c r="F8" i="588"/>
  <c r="E8" i="588"/>
  <c r="F23" i="587"/>
  <c r="D23" i="588" s="1"/>
  <c r="E23" i="587"/>
  <c r="F19" i="587"/>
  <c r="E19" i="587"/>
  <c r="F18" i="587"/>
  <c r="E18" i="587"/>
  <c r="F17" i="587"/>
  <c r="E17" i="587"/>
  <c r="F16" i="587"/>
  <c r="E16" i="587"/>
  <c r="F15" i="587"/>
  <c r="E15" i="587"/>
  <c r="F14" i="587"/>
  <c r="D14" i="588" s="1"/>
  <c r="E14" i="587"/>
  <c r="F11" i="587"/>
  <c r="E11" i="587"/>
  <c r="F8" i="587"/>
  <c r="E8" i="587"/>
  <c r="F23" i="586"/>
  <c r="D23" i="587" s="1"/>
  <c r="E23" i="586"/>
  <c r="F19" i="586"/>
  <c r="D19" i="587" s="1"/>
  <c r="E19" i="586"/>
  <c r="F18" i="586"/>
  <c r="D18" i="587" s="1"/>
  <c r="E18" i="586"/>
  <c r="F17" i="586"/>
  <c r="D17" i="587" s="1"/>
  <c r="E17" i="586"/>
  <c r="F16" i="586"/>
  <c r="D16" i="587" s="1"/>
  <c r="E16" i="586"/>
  <c r="F15" i="586"/>
  <c r="D15" i="587" s="1"/>
  <c r="E15" i="586"/>
  <c r="F14" i="586"/>
  <c r="D14" i="587" s="1"/>
  <c r="E14" i="586"/>
  <c r="F11" i="586"/>
  <c r="D11" i="587" s="1"/>
  <c r="E11" i="586"/>
  <c r="F8" i="586"/>
  <c r="D8" i="587" s="1"/>
  <c r="E8" i="586"/>
  <c r="F23" i="585"/>
  <c r="D23" i="586" s="1"/>
  <c r="E23" i="585"/>
  <c r="F19" i="585"/>
  <c r="D19" i="586" s="1"/>
  <c r="E19" i="585"/>
  <c r="F18" i="585"/>
  <c r="D18" i="586" s="1"/>
  <c r="E18" i="585"/>
  <c r="F17" i="585"/>
  <c r="D17" i="586" s="1"/>
  <c r="E17" i="585"/>
  <c r="F16" i="585"/>
  <c r="E16" i="585"/>
  <c r="F15" i="585"/>
  <c r="D15" i="586" s="1"/>
  <c r="E15" i="585"/>
  <c r="F14" i="585"/>
  <c r="D14" i="586" s="1"/>
  <c r="E14" i="585"/>
  <c r="F11" i="585"/>
  <c r="D11" i="586" s="1"/>
  <c r="E11" i="585"/>
  <c r="F8" i="585"/>
  <c r="D8" i="586" s="1"/>
  <c r="E8" i="585"/>
  <c r="E23" i="583"/>
  <c r="F23" i="583"/>
  <c r="D23" i="585" s="1"/>
  <c r="F19" i="583"/>
  <c r="D19" i="585" s="1"/>
  <c r="F18" i="583"/>
  <c r="D18" i="585" s="1"/>
  <c r="F17" i="583"/>
  <c r="D17" i="585" s="1"/>
  <c r="F16" i="583"/>
  <c r="D16" i="585" s="1"/>
  <c r="F15" i="583"/>
  <c r="D15" i="585" s="1"/>
  <c r="F14" i="583"/>
  <c r="D14" i="585" s="1"/>
  <c r="E19" i="583"/>
  <c r="E18" i="583"/>
  <c r="E17" i="583"/>
  <c r="E16" i="583"/>
  <c r="E15" i="583"/>
  <c r="E14" i="583"/>
  <c r="F11" i="583"/>
  <c r="D11" i="585" s="1"/>
  <c r="E11" i="583"/>
  <c r="F8" i="583"/>
  <c r="D8" i="585" s="1"/>
  <c r="E8" i="583"/>
  <c r="F23" i="584"/>
  <c r="D23" i="583" s="1"/>
  <c r="E23" i="584"/>
  <c r="F19" i="584"/>
  <c r="D19" i="583" s="1"/>
  <c r="F18" i="584"/>
  <c r="D18" i="583" s="1"/>
  <c r="F17" i="584"/>
  <c r="D17" i="583" s="1"/>
  <c r="F16" i="584"/>
  <c r="D16" i="583" s="1"/>
  <c r="F15" i="584"/>
  <c r="D15" i="583" s="1"/>
  <c r="F14" i="584"/>
  <c r="D14" i="583" s="1"/>
  <c r="E19" i="584"/>
  <c r="E18" i="584"/>
  <c r="E17" i="584"/>
  <c r="E16" i="584"/>
  <c r="E15" i="584"/>
  <c r="E14" i="584"/>
  <c r="F11" i="584"/>
  <c r="D11" i="583" s="1"/>
  <c r="E11" i="584"/>
  <c r="F8" i="584"/>
  <c r="D8" i="583" s="1"/>
  <c r="E8" i="584"/>
  <c r="F19" i="582"/>
  <c r="D19" i="584" s="1"/>
  <c r="D17" i="584"/>
  <c r="F16" i="582"/>
  <c r="D16" i="584" s="1"/>
  <c r="F15" i="582"/>
  <c r="D15" i="584" s="1"/>
  <c r="F14" i="582"/>
  <c r="D14" i="584" s="1"/>
  <c r="F11" i="582"/>
  <c r="D11" i="584" s="1"/>
  <c r="F8" i="582"/>
  <c r="D8" i="584" s="1"/>
  <c r="F23" i="582"/>
  <c r="D23" i="584" s="1"/>
  <c r="E23" i="582"/>
  <c r="E19" i="582"/>
  <c r="E18" i="582"/>
  <c r="E17" i="582"/>
  <c r="E16" i="582"/>
  <c r="E15" i="582"/>
  <c r="E14" i="582"/>
  <c r="E11" i="582"/>
  <c r="E8" i="582"/>
  <c r="H24" i="599" l="1"/>
  <c r="I24" i="599" s="1"/>
  <c r="G32" i="599" s="1"/>
  <c r="H24" i="598"/>
  <c r="I24" i="598" s="1"/>
  <c r="G32" i="598" s="1"/>
  <c r="H17" i="591"/>
  <c r="H19" i="590"/>
  <c r="H16" i="593"/>
  <c r="H19" i="596"/>
  <c r="G17" i="586"/>
  <c r="H17" i="586"/>
  <c r="H16" i="585"/>
  <c r="D16" i="586"/>
  <c r="H16" i="586" s="1"/>
  <c r="H15" i="586"/>
  <c r="H15" i="585"/>
  <c r="H14" i="586"/>
  <c r="H8" i="586"/>
  <c r="H9" i="586" s="1"/>
  <c r="H23" i="586"/>
  <c r="H18" i="586"/>
  <c r="H19" i="585"/>
  <c r="H19" i="586"/>
  <c r="H11" i="585"/>
  <c r="H12" i="585" s="1"/>
  <c r="H11" i="586"/>
  <c r="H12" i="586" s="1"/>
  <c r="H23" i="585"/>
  <c r="H17" i="585"/>
  <c r="H14" i="585"/>
  <c r="H8" i="585"/>
  <c r="H9" i="585" s="1"/>
  <c r="H14" i="590"/>
  <c r="G15" i="586"/>
  <c r="H14" i="587"/>
  <c r="H19" i="591"/>
  <c r="H23" i="587"/>
  <c r="H24" i="587" s="1"/>
  <c r="I24" i="587" s="1"/>
  <c r="H23" i="591"/>
  <c r="H16" i="592"/>
  <c r="G23" i="590"/>
  <c r="H20" i="599"/>
  <c r="F31" i="599" s="1"/>
  <c r="G20" i="598"/>
  <c r="H17" i="590"/>
  <c r="H19" i="589"/>
  <c r="F32" i="598"/>
  <c r="D16" i="591"/>
  <c r="H16" i="591" s="1"/>
  <c r="H16" i="589"/>
  <c r="D16" i="590"/>
  <c r="H16" i="590" s="1"/>
  <c r="G17" i="590"/>
  <c r="H23" i="593"/>
  <c r="H24" i="593" s="1"/>
  <c r="I24" i="593" s="1"/>
  <c r="D23" i="594"/>
  <c r="H23" i="594" s="1"/>
  <c r="D8" i="597"/>
  <c r="H8" i="597" s="1"/>
  <c r="H9" i="597" s="1"/>
  <c r="I9" i="597" s="1"/>
  <c r="G29" i="597" s="1"/>
  <c r="D18" i="597"/>
  <c r="H18" i="597" s="1"/>
  <c r="D11" i="594"/>
  <c r="H11" i="594" s="1"/>
  <c r="H12" i="594" s="1"/>
  <c r="F30" i="594" s="1"/>
  <c r="H18" i="592"/>
  <c r="D18" i="593"/>
  <c r="H18" i="593" s="1"/>
  <c r="H17" i="587"/>
  <c r="D17" i="588"/>
  <c r="H17" i="588" s="1"/>
  <c r="D11" i="593"/>
  <c r="H11" i="593" s="1"/>
  <c r="H12" i="593" s="1"/>
  <c r="H19" i="592"/>
  <c r="D19" i="593"/>
  <c r="H19" i="593" s="1"/>
  <c r="H17" i="594"/>
  <c r="D17" i="595"/>
  <c r="H17" i="595" s="1"/>
  <c r="D8" i="596"/>
  <c r="H8" i="596" s="1"/>
  <c r="H9" i="596" s="1"/>
  <c r="D18" i="596"/>
  <c r="H18" i="596" s="1"/>
  <c r="G15" i="589"/>
  <c r="D11" i="597"/>
  <c r="H11" i="597" s="1"/>
  <c r="H12" i="597" s="1"/>
  <c r="D15" i="598"/>
  <c r="H15" i="598" s="1"/>
  <c r="D19" i="594"/>
  <c r="H19" i="594" s="1"/>
  <c r="H8" i="587"/>
  <c r="H9" i="587" s="1"/>
  <c r="D8" i="588"/>
  <c r="H8" i="588" s="1"/>
  <c r="H9" i="588" s="1"/>
  <c r="H18" i="587"/>
  <c r="D18" i="588"/>
  <c r="H18" i="588" s="1"/>
  <c r="H8" i="590"/>
  <c r="H9" i="590" s="1"/>
  <c r="D8" i="591"/>
  <c r="H8" i="591" s="1"/>
  <c r="H9" i="591" s="1"/>
  <c r="H18" i="590"/>
  <c r="D18" i="591"/>
  <c r="H18" i="591" s="1"/>
  <c r="D14" i="593"/>
  <c r="H14" i="593" s="1"/>
  <c r="D8" i="595"/>
  <c r="H8" i="595" s="1"/>
  <c r="H9" i="595" s="1"/>
  <c r="D18" i="595"/>
  <c r="H18" i="595" s="1"/>
  <c r="H11" i="595"/>
  <c r="H12" i="595" s="1"/>
  <c r="F30" i="595" s="1"/>
  <c r="D11" i="596"/>
  <c r="H11" i="596" s="1"/>
  <c r="H12" i="596" s="1"/>
  <c r="G11" i="590"/>
  <c r="G12" i="590" s="1"/>
  <c r="D11" i="592"/>
  <c r="H11" i="592" s="1"/>
  <c r="H12" i="592" s="1"/>
  <c r="F30" i="592" s="1"/>
  <c r="G15" i="592"/>
  <c r="G23" i="596"/>
  <c r="D23" i="597"/>
  <c r="H23" i="597" s="1"/>
  <c r="H16" i="587"/>
  <c r="D16" i="588"/>
  <c r="H16" i="588" s="1"/>
  <c r="H19" i="597"/>
  <c r="H19" i="598"/>
  <c r="H11" i="587"/>
  <c r="H12" i="587" s="1"/>
  <c r="D11" i="588"/>
  <c r="H11" i="588" s="1"/>
  <c r="H12" i="588" s="1"/>
  <c r="H19" i="587"/>
  <c r="D19" i="588"/>
  <c r="H19" i="588" s="1"/>
  <c r="H11" i="590"/>
  <c r="H12" i="590" s="1"/>
  <c r="D11" i="591"/>
  <c r="H11" i="591" s="1"/>
  <c r="H12" i="591" s="1"/>
  <c r="F30" i="591" s="1"/>
  <c r="D19" i="595"/>
  <c r="H19" i="595" s="1"/>
  <c r="D14" i="596"/>
  <c r="H14" i="596" s="1"/>
  <c r="H14" i="591"/>
  <c r="D14" i="592"/>
  <c r="H14" i="592" s="1"/>
  <c r="G11" i="596"/>
  <c r="G12" i="596" s="1"/>
  <c r="D15" i="597"/>
  <c r="H15" i="597" s="1"/>
  <c r="H14" i="597"/>
  <c r="I12" i="598"/>
  <c r="G30" i="598" s="1"/>
  <c r="H17" i="596"/>
  <c r="D17" i="597"/>
  <c r="H17" i="597" s="1"/>
  <c r="H14" i="594"/>
  <c r="D14" i="595"/>
  <c r="H14" i="595" s="1"/>
  <c r="D23" i="595"/>
  <c r="H23" i="595" s="1"/>
  <c r="H24" i="595" s="1"/>
  <c r="I24" i="595" s="1"/>
  <c r="D15" i="596"/>
  <c r="H15" i="596" s="1"/>
  <c r="G14" i="596"/>
  <c r="D17" i="598"/>
  <c r="H17" i="598" s="1"/>
  <c r="H8" i="592"/>
  <c r="H9" i="592" s="1"/>
  <c r="F29" i="592" s="1"/>
  <c r="D8" i="593"/>
  <c r="H8" i="593" s="1"/>
  <c r="H9" i="593" s="1"/>
  <c r="D15" i="592"/>
  <c r="H15" i="592" s="1"/>
  <c r="D8" i="594"/>
  <c r="H8" i="594" s="1"/>
  <c r="H9" i="594" s="1"/>
  <c r="D18" i="594"/>
  <c r="H18" i="594" s="1"/>
  <c r="G17" i="595"/>
  <c r="H16" i="596"/>
  <c r="D16" i="597"/>
  <c r="H15" i="587"/>
  <c r="D15" i="588"/>
  <c r="H15" i="588" s="1"/>
  <c r="H15" i="590"/>
  <c r="D15" i="591"/>
  <c r="H15" i="591" s="1"/>
  <c r="H23" i="592"/>
  <c r="H24" i="592" s="1"/>
  <c r="I24" i="592" s="1"/>
  <c r="H17" i="592"/>
  <c r="D17" i="593"/>
  <c r="H17" i="593" s="1"/>
  <c r="H15" i="594"/>
  <c r="D15" i="595"/>
  <c r="H15" i="595" s="1"/>
  <c r="G19" i="596"/>
  <c r="H8" i="598"/>
  <c r="H9" i="598" s="1"/>
  <c r="D18" i="598"/>
  <c r="H18" i="598" s="1"/>
  <c r="F32" i="599"/>
  <c r="H23" i="588"/>
  <c r="D23" i="589"/>
  <c r="H23" i="589" s="1"/>
  <c r="H24" i="589" s="1"/>
  <c r="I24" i="589" s="1"/>
  <c r="D18" i="589"/>
  <c r="H18" i="589" s="1"/>
  <c r="D17" i="589"/>
  <c r="H17" i="589" s="1"/>
  <c r="H15" i="589"/>
  <c r="H14" i="588"/>
  <c r="D14" i="589"/>
  <c r="H14" i="589" s="1"/>
  <c r="D11" i="589"/>
  <c r="H11" i="589" s="1"/>
  <c r="H12" i="589" s="1"/>
  <c r="F30" i="589" s="1"/>
  <c r="D8" i="589"/>
  <c r="H8" i="589" s="1"/>
  <c r="H9" i="589" s="1"/>
  <c r="G18" i="597"/>
  <c r="G23" i="597"/>
  <c r="G15" i="597"/>
  <c r="G8" i="597"/>
  <c r="G9" i="597" s="1"/>
  <c r="G11" i="597"/>
  <c r="G12" i="597" s="1"/>
  <c r="G14" i="597"/>
  <c r="G17" i="597"/>
  <c r="G16" i="597"/>
  <c r="G19" i="597"/>
  <c r="G8" i="596"/>
  <c r="G9" i="596" s="1"/>
  <c r="H23" i="596"/>
  <c r="G17" i="596"/>
  <c r="G16" i="596"/>
  <c r="G15" i="596"/>
  <c r="G18" i="596"/>
  <c r="G8" i="595"/>
  <c r="G9" i="595" s="1"/>
  <c r="G16" i="595"/>
  <c r="G14" i="595"/>
  <c r="G11" i="595"/>
  <c r="G12" i="595" s="1"/>
  <c r="G19" i="595"/>
  <c r="G23" i="595"/>
  <c r="H16" i="595"/>
  <c r="G15" i="595"/>
  <c r="G18" i="595"/>
  <c r="G18" i="594"/>
  <c r="G16" i="594"/>
  <c r="G15" i="594"/>
  <c r="G8" i="594"/>
  <c r="G9" i="594" s="1"/>
  <c r="G11" i="594"/>
  <c r="G12" i="594" s="1"/>
  <c r="G14" i="594"/>
  <c r="G17" i="594"/>
  <c r="G19" i="594"/>
  <c r="G23" i="594"/>
  <c r="H16" i="594"/>
  <c r="G15" i="593"/>
  <c r="H15" i="593"/>
  <c r="G18" i="593"/>
  <c r="G8" i="593"/>
  <c r="G9" i="593" s="1"/>
  <c r="G11" i="593"/>
  <c r="G12" i="593" s="1"/>
  <c r="G14" i="593"/>
  <c r="G17" i="593"/>
  <c r="G16" i="593"/>
  <c r="G19" i="593"/>
  <c r="G23" i="593"/>
  <c r="G18" i="592"/>
  <c r="G8" i="592"/>
  <c r="G9" i="592" s="1"/>
  <c r="G11" i="592"/>
  <c r="G12" i="592" s="1"/>
  <c r="G14" i="592"/>
  <c r="G17" i="592"/>
  <c r="G16" i="592"/>
  <c r="G19" i="592"/>
  <c r="G23" i="592"/>
  <c r="G18" i="591"/>
  <c r="G15" i="591"/>
  <c r="G8" i="591"/>
  <c r="G9" i="591" s="1"/>
  <c r="G11" i="591"/>
  <c r="G12" i="591" s="1"/>
  <c r="G14" i="591"/>
  <c r="G17" i="591"/>
  <c r="G16" i="591"/>
  <c r="G19" i="591"/>
  <c r="G23" i="591"/>
  <c r="G8" i="590"/>
  <c r="G9" i="590" s="1"/>
  <c r="G14" i="590"/>
  <c r="G16" i="590"/>
  <c r="G19" i="590"/>
  <c r="H23" i="590"/>
  <c r="G15" i="590"/>
  <c r="G18" i="590"/>
  <c r="G18" i="589"/>
  <c r="G8" i="589"/>
  <c r="G9" i="589" s="1"/>
  <c r="G11" i="589"/>
  <c r="G12" i="589" s="1"/>
  <c r="G14" i="589"/>
  <c r="G17" i="589"/>
  <c r="G16" i="589"/>
  <c r="G19" i="589"/>
  <c r="G23" i="589"/>
  <c r="G18" i="588"/>
  <c r="G15" i="588"/>
  <c r="G8" i="588"/>
  <c r="G9" i="588" s="1"/>
  <c r="G11" i="588"/>
  <c r="G12" i="588" s="1"/>
  <c r="G14" i="588"/>
  <c r="G17" i="588"/>
  <c r="G16" i="588"/>
  <c r="G19" i="588"/>
  <c r="G23" i="588"/>
  <c r="G18" i="587"/>
  <c r="G15" i="587"/>
  <c r="G8" i="587"/>
  <c r="G9" i="587" s="1"/>
  <c r="G11" i="587"/>
  <c r="G12" i="587" s="1"/>
  <c r="G14" i="587"/>
  <c r="G17" i="587"/>
  <c r="G16" i="587"/>
  <c r="G19" i="587"/>
  <c r="G23" i="587"/>
  <c r="G18" i="586"/>
  <c r="G14" i="586"/>
  <c r="G11" i="586"/>
  <c r="G12" i="586" s="1"/>
  <c r="G8" i="586"/>
  <c r="G9" i="586" s="1"/>
  <c r="G16" i="586"/>
  <c r="G19" i="586"/>
  <c r="G23" i="586"/>
  <c r="G18" i="585"/>
  <c r="H18" i="585"/>
  <c r="G15" i="585"/>
  <c r="H23" i="584"/>
  <c r="H24" i="584" s="1"/>
  <c r="I24" i="584" s="1"/>
  <c r="H17" i="584"/>
  <c r="G8" i="585"/>
  <c r="G9" i="585" s="1"/>
  <c r="G11" i="585"/>
  <c r="G12" i="585" s="1"/>
  <c r="G14" i="585"/>
  <c r="G17" i="585"/>
  <c r="G16" i="585"/>
  <c r="G19" i="585"/>
  <c r="G23" i="585"/>
  <c r="H19" i="584"/>
  <c r="H16" i="584"/>
  <c r="H14" i="584"/>
  <c r="H11" i="584"/>
  <c r="H12" i="584" s="1"/>
  <c r="H8" i="584"/>
  <c r="H9" i="584" s="1"/>
  <c r="G15" i="584"/>
  <c r="H15" i="584"/>
  <c r="G18" i="584"/>
  <c r="G8" i="584"/>
  <c r="G9" i="584" s="1"/>
  <c r="G11" i="584"/>
  <c r="G12" i="584" s="1"/>
  <c r="G14" i="584"/>
  <c r="G17" i="584"/>
  <c r="G16" i="584"/>
  <c r="G19" i="584"/>
  <c r="G23" i="584"/>
  <c r="H11" i="583"/>
  <c r="H14" i="583"/>
  <c r="H17" i="583"/>
  <c r="H18" i="583"/>
  <c r="H23" i="583"/>
  <c r="H24" i="583" s="1"/>
  <c r="I24" i="583" s="1"/>
  <c r="G16" i="583"/>
  <c r="H19" i="583"/>
  <c r="G19" i="583"/>
  <c r="H16" i="583"/>
  <c r="H15" i="583"/>
  <c r="H8" i="583"/>
  <c r="H9" i="583" s="1"/>
  <c r="H24" i="588" l="1"/>
  <c r="I24" i="588" s="1"/>
  <c r="G32" i="588" s="1"/>
  <c r="H24" i="597"/>
  <c r="I24" i="597" s="1"/>
  <c r="G32" i="597" s="1"/>
  <c r="H24" i="594"/>
  <c r="I24" i="594" s="1"/>
  <c r="G32" i="594" s="1"/>
  <c r="G32" i="585"/>
  <c r="H24" i="585"/>
  <c r="I24" i="585" s="1"/>
  <c r="H24" i="591"/>
  <c r="I24" i="591" s="1"/>
  <c r="G32" i="591" s="1"/>
  <c r="H24" i="590"/>
  <c r="I24" i="590" s="1"/>
  <c r="G32" i="590" s="1"/>
  <c r="F32" i="586"/>
  <c r="H24" i="586"/>
  <c r="I24" i="586" s="1"/>
  <c r="H24" i="596"/>
  <c r="I24" i="596" s="1"/>
  <c r="G32" i="596" s="1"/>
  <c r="F29" i="586"/>
  <c r="G29" i="586" s="1"/>
  <c r="I9" i="586"/>
  <c r="F29" i="584"/>
  <c r="G29" i="584" s="1"/>
  <c r="I9" i="584"/>
  <c r="F29" i="587"/>
  <c r="G29" i="587" s="1"/>
  <c r="I9" i="587"/>
  <c r="F30" i="587"/>
  <c r="G30" i="587" s="1"/>
  <c r="I12" i="587"/>
  <c r="F29" i="585"/>
  <c r="G29" i="585" s="1"/>
  <c r="I9" i="585"/>
  <c r="F30" i="584"/>
  <c r="G30" i="584" s="1"/>
  <c r="I12" i="584"/>
  <c r="F30" i="586"/>
  <c r="G30" i="586" s="1"/>
  <c r="I12" i="586"/>
  <c r="F30" i="585"/>
  <c r="G30" i="585" s="1"/>
  <c r="I12" i="585"/>
  <c r="F29" i="583"/>
  <c r="G29" i="583" s="1"/>
  <c r="I9" i="583"/>
  <c r="G32" i="586"/>
  <c r="H20" i="585"/>
  <c r="H20" i="586"/>
  <c r="F32" i="585"/>
  <c r="F32" i="591"/>
  <c r="F32" i="584"/>
  <c r="G32" i="584"/>
  <c r="F32" i="587"/>
  <c r="G32" i="587"/>
  <c r="F32" i="583"/>
  <c r="G32" i="583"/>
  <c r="H16" i="597"/>
  <c r="H20" i="597" s="1"/>
  <c r="F31" i="597" s="1"/>
  <c r="D16" i="598"/>
  <c r="H16" i="598" s="1"/>
  <c r="H20" i="598" s="1"/>
  <c r="F31" i="598" s="1"/>
  <c r="H20" i="587"/>
  <c r="I20" i="599"/>
  <c r="G31" i="599" s="1"/>
  <c r="G33" i="599" s="1"/>
  <c r="I12" i="594"/>
  <c r="G30" i="594" s="1"/>
  <c r="F29" i="597"/>
  <c r="F30" i="596"/>
  <c r="I12" i="596"/>
  <c r="G30" i="596" s="1"/>
  <c r="F32" i="595"/>
  <c r="G32" i="595"/>
  <c r="H20" i="596"/>
  <c r="F31" i="596" s="1"/>
  <c r="I12" i="595"/>
  <c r="G30" i="595" s="1"/>
  <c r="G32" i="593"/>
  <c r="H20" i="593"/>
  <c r="I20" i="593" s="1"/>
  <c r="G31" i="593" s="1"/>
  <c r="F29" i="593"/>
  <c r="I9" i="593"/>
  <c r="G29" i="593" s="1"/>
  <c r="F32" i="592"/>
  <c r="G32" i="592"/>
  <c r="F32" i="593"/>
  <c r="I9" i="592"/>
  <c r="G29" i="592" s="1"/>
  <c r="H20" i="592"/>
  <c r="I20" i="592" s="1"/>
  <c r="G31" i="592" s="1"/>
  <c r="H20" i="591"/>
  <c r="F31" i="591" s="1"/>
  <c r="F32" i="589"/>
  <c r="G32" i="589"/>
  <c r="H20" i="590"/>
  <c r="F31" i="590" s="1"/>
  <c r="F32" i="594"/>
  <c r="F29" i="596"/>
  <c r="I9" i="596"/>
  <c r="G29" i="596" s="1"/>
  <c r="F30" i="593"/>
  <c r="I12" i="593"/>
  <c r="G30" i="593" s="1"/>
  <c r="F29" i="595"/>
  <c r="I9" i="595"/>
  <c r="G29" i="595" s="1"/>
  <c r="F30" i="597"/>
  <c r="I12" i="597"/>
  <c r="G30" i="597" s="1"/>
  <c r="F29" i="594"/>
  <c r="I9" i="594"/>
  <c r="G29" i="594" s="1"/>
  <c r="F29" i="591"/>
  <c r="I9" i="591"/>
  <c r="G29" i="591" s="1"/>
  <c r="H20" i="588"/>
  <c r="F31" i="588" s="1"/>
  <c r="F30" i="590"/>
  <c r="I12" i="590"/>
  <c r="G30" i="590" s="1"/>
  <c r="F32" i="590"/>
  <c r="I12" i="592"/>
  <c r="G30" i="592" s="1"/>
  <c r="F29" i="590"/>
  <c r="I9" i="590"/>
  <c r="G29" i="590" s="1"/>
  <c r="H20" i="594"/>
  <c r="F31" i="594" s="1"/>
  <c r="H20" i="595"/>
  <c r="F31" i="595" s="1"/>
  <c r="G20" i="586"/>
  <c r="F29" i="598"/>
  <c r="I9" i="598"/>
  <c r="G29" i="598" s="1"/>
  <c r="I12" i="591"/>
  <c r="G30" i="591" s="1"/>
  <c r="F32" i="588"/>
  <c r="H20" i="589"/>
  <c r="I20" i="589" s="1"/>
  <c r="G31" i="589" s="1"/>
  <c r="I12" i="589"/>
  <c r="G30" i="589" s="1"/>
  <c r="F30" i="588"/>
  <c r="I12" i="588"/>
  <c r="G30" i="588" s="1"/>
  <c r="F29" i="589"/>
  <c r="I9" i="589"/>
  <c r="G29" i="589" s="1"/>
  <c r="F29" i="588"/>
  <c r="I9" i="588"/>
  <c r="G29" i="588" s="1"/>
  <c r="F32" i="597"/>
  <c r="F32" i="596"/>
  <c r="G20" i="597"/>
  <c r="G20" i="596"/>
  <c r="G20" i="595"/>
  <c r="G20" i="594"/>
  <c r="G20" i="593"/>
  <c r="G20" i="592"/>
  <c r="G20" i="591"/>
  <c r="G20" i="590"/>
  <c r="G20" i="589"/>
  <c r="G20" i="588"/>
  <c r="G20" i="587"/>
  <c r="G20" i="585"/>
  <c r="H12" i="583"/>
  <c r="G20" i="584"/>
  <c r="G15" i="583"/>
  <c r="G18" i="583"/>
  <c r="G23" i="583"/>
  <c r="H20" i="583"/>
  <c r="G8" i="583"/>
  <c r="G9" i="583" s="1"/>
  <c r="G11" i="583"/>
  <c r="G12" i="583" s="1"/>
  <c r="G14" i="583"/>
  <c r="G17" i="583"/>
  <c r="F18" i="582"/>
  <c r="D18" i="584" s="1"/>
  <c r="H18" i="584" s="1"/>
  <c r="H20" i="584" s="1"/>
  <c r="F31" i="586" l="1"/>
  <c r="G31" i="586" s="1"/>
  <c r="G33" i="586" s="1"/>
  <c r="I20" i="586"/>
  <c r="F31" i="587"/>
  <c r="G31" i="587" s="1"/>
  <c r="G33" i="587" s="1"/>
  <c r="I20" i="587"/>
  <c r="F31" i="585"/>
  <c r="G31" i="585" s="1"/>
  <c r="G33" i="585" s="1"/>
  <c r="I20" i="585"/>
  <c r="F31" i="584"/>
  <c r="G31" i="584" s="1"/>
  <c r="G33" i="584" s="1"/>
  <c r="I20" i="584"/>
  <c r="F31" i="583"/>
  <c r="G31" i="583" s="1"/>
  <c r="I20" i="583"/>
  <c r="F30" i="583"/>
  <c r="G30" i="583" s="1"/>
  <c r="I12" i="583"/>
  <c r="I20" i="588"/>
  <c r="G31" i="588" s="1"/>
  <c r="G33" i="588" s="1"/>
  <c r="I20" i="594"/>
  <c r="G31" i="594" s="1"/>
  <c r="G33" i="594" s="1"/>
  <c r="I20" i="598"/>
  <c r="G31" i="598" s="1"/>
  <c r="G33" i="598" s="1"/>
  <c r="F31" i="593"/>
  <c r="F31" i="592"/>
  <c r="I20" i="591"/>
  <c r="G31" i="591" s="1"/>
  <c r="G33" i="591" s="1"/>
  <c r="I20" i="597"/>
  <c r="G31" i="597" s="1"/>
  <c r="G33" i="597" s="1"/>
  <c r="I20" i="595"/>
  <c r="G31" i="595" s="1"/>
  <c r="G33" i="595" s="1"/>
  <c r="I20" i="596"/>
  <c r="G31" i="596" s="1"/>
  <c r="G33" i="596" s="1"/>
  <c r="I20" i="590"/>
  <c r="G31" i="590" s="1"/>
  <c r="G33" i="590" s="1"/>
  <c r="G33" i="592"/>
  <c r="G33" i="593"/>
  <c r="F31" i="589"/>
  <c r="G33" i="589"/>
  <c r="G20" i="583"/>
  <c r="H23" i="582"/>
  <c r="H24" i="582" s="1"/>
  <c r="I24" i="582" s="1"/>
  <c r="H19" i="582"/>
  <c r="G18" i="582"/>
  <c r="H17" i="582"/>
  <c r="H16" i="582"/>
  <c r="H15" i="582"/>
  <c r="H14" i="582"/>
  <c r="H11" i="582"/>
  <c r="G8" i="582"/>
  <c r="G9" i="582" s="1"/>
  <c r="G33" i="583" l="1"/>
  <c r="F32" i="582"/>
  <c r="G32" i="582"/>
  <c r="H12" i="582"/>
  <c r="G15" i="582"/>
  <c r="H18" i="582"/>
  <c r="H20" i="582" s="1"/>
  <c r="G11" i="582"/>
  <c r="G12" i="582" s="1"/>
  <c r="G14" i="582"/>
  <c r="G17" i="582"/>
  <c r="H8" i="582"/>
  <c r="H9" i="582" s="1"/>
  <c r="G16" i="582"/>
  <c r="G19" i="582"/>
  <c r="G23" i="582"/>
  <c r="F29" i="582" l="1"/>
  <c r="G29" i="582" s="1"/>
  <c r="I9" i="582"/>
  <c r="F31" i="582"/>
  <c r="G31" i="582" s="1"/>
  <c r="I20" i="582"/>
  <c r="F30" i="582"/>
  <c r="G30" i="582" s="1"/>
  <c r="I12" i="582"/>
  <c r="G20" i="582"/>
  <c r="G33" i="582" l="1"/>
</calcChain>
</file>

<file path=xl/sharedStrings.xml><?xml version="1.0" encoding="utf-8"?>
<sst xmlns="http://schemas.openxmlformats.org/spreadsheetml/2006/main" count="2594" uniqueCount="169">
  <si>
    <t>ENGINEERING DEPARTMENT</t>
  </si>
  <si>
    <t>SR.NO</t>
  </si>
  <si>
    <t>ITEM MEASURED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</si>
  <si>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</si>
  <si>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</si>
  <si>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</si>
  <si>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</si>
  <si>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</si>
  <si>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</si>
  <si>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</si>
  <si>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</si>
  <si>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imp. Gallon</t>
  </si>
  <si>
    <t>IV</t>
  </si>
  <si>
    <t>ELECTRICAL METERS</t>
  </si>
  <si>
    <t>TOTAL ELECTRICAL CONS.(kWh)</t>
  </si>
  <si>
    <t>V</t>
  </si>
  <si>
    <t>GAS CONSUMPTION</t>
  </si>
  <si>
    <t>MAIN LPG METER</t>
  </si>
  <si>
    <t>M3</t>
  </si>
  <si>
    <t xml:space="preserve"> 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</si>
  <si>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</si>
  <si>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</si>
  <si>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</si>
  <si>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</si>
  <si>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</si>
  <si>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</si>
  <si>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</si>
  <si>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Electricity</t>
  </si>
  <si>
    <t xml:space="preserve">Gas </t>
  </si>
  <si>
    <t>Total cost</t>
  </si>
  <si>
    <t>Meter 1</t>
  </si>
  <si>
    <t>Meter 2</t>
  </si>
  <si>
    <t>Meter 3</t>
  </si>
  <si>
    <t>Previous Reading</t>
  </si>
  <si>
    <t>UTILITY CONSUMPTION  SHEET</t>
  </si>
  <si>
    <t>kW x 480</t>
  </si>
  <si>
    <t>2nd Reading (5pm)</t>
  </si>
  <si>
    <t>m3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</si>
  <si>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</si>
  <si>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</si>
  <si>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</si>
  <si>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</si>
  <si>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</si>
  <si>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</si>
  <si>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18E0300032</t>
  </si>
  <si>
    <t>18E0300060</t>
  </si>
  <si>
    <t>18E0300057</t>
  </si>
  <si>
    <t>Date</t>
  </si>
  <si>
    <t>5pm</t>
  </si>
  <si>
    <t xml:space="preserve"> 24hrs CONSUMPTION</t>
  </si>
  <si>
    <t>BTU Meter</t>
  </si>
  <si>
    <t>kwh</t>
  </si>
  <si>
    <t>77092321/2019</t>
  </si>
  <si>
    <t>P103FF043BC</t>
  </si>
  <si>
    <t>Water</t>
  </si>
  <si>
    <t>Meter 4</t>
  </si>
  <si>
    <t>Meter 6</t>
  </si>
  <si>
    <t>Meter 7</t>
  </si>
  <si>
    <t>Gas</t>
  </si>
  <si>
    <t>Electric</t>
  </si>
  <si>
    <t>IG</t>
  </si>
  <si>
    <r>
      <t>Imperial Gallon =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x 219.969</t>
    </r>
  </si>
  <si>
    <t>NOVEMBER</t>
  </si>
  <si>
    <t>L = m³ x 2.71</t>
  </si>
  <si>
    <t>L</t>
  </si>
  <si>
    <r>
      <t>m</t>
    </r>
    <r>
      <rPr>
        <sz val="11"/>
        <rFont val="Calibri"/>
        <family val="2"/>
      </rPr>
      <t>ᶟ</t>
    </r>
  </si>
  <si>
    <t>5AM</t>
  </si>
  <si>
    <t>1st Reading (5am)</t>
  </si>
  <si>
    <t>12hrs CONSUMPTION</t>
  </si>
  <si>
    <t>Total Consumption</t>
  </si>
  <si>
    <t>RTH (MWH X 284.35)</t>
  </si>
  <si>
    <t>Cost (Consumption Charges: 0.568 aed)</t>
  </si>
  <si>
    <t>Total Cost</t>
  </si>
  <si>
    <t>TOTAL ELECTRICAL CONS. (kWh)</t>
  </si>
  <si>
    <t>m³</t>
  </si>
  <si>
    <t>AED (w/o VAT)</t>
  </si>
  <si>
    <t>Imperial Gallon</t>
  </si>
  <si>
    <t>kWh</t>
  </si>
  <si>
    <t>Total Cost:</t>
  </si>
  <si>
    <t>9am</t>
  </si>
  <si>
    <t>Cost (Fuel Charges: 0.006 aed)</t>
  </si>
  <si>
    <t>Cost (Sewerage Fee: 0.005 aed)</t>
  </si>
  <si>
    <t>Cost (first 10,000: .0350 aed)</t>
  </si>
  <si>
    <t>Cost (second 10,000: .040 aed)</t>
  </si>
  <si>
    <t>Cost (above 20,000: .046 aed)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</si>
  <si>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</si>
  <si>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</si>
  <si>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</si>
  <si>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</si>
  <si>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</si>
  <si>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plus contracted load (aed 3,200 per mo.)</t>
  </si>
  <si>
    <t>1st</t>
  </si>
  <si>
    <t>ELECTRICITY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</si>
  <si>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</si>
  <si>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</si>
  <si>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</si>
  <si>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</si>
  <si>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</si>
  <si>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</si>
  <si>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% OCCUPANCY</t>
  </si>
  <si>
    <t>WATER</t>
  </si>
  <si>
    <t>EMPOWER</t>
  </si>
  <si>
    <t>LPG</t>
  </si>
  <si>
    <t>METER: 18E0300032</t>
  </si>
  <si>
    <t>RTH</t>
  </si>
  <si>
    <t>LITRES</t>
  </si>
  <si>
    <t>daily reading</t>
  </si>
  <si>
    <t>%</t>
  </si>
  <si>
    <t>OCC.</t>
  </si>
  <si>
    <t>DAILY</t>
  </si>
  <si>
    <t>Cost (Fuel Charges: 0.075 aed)</t>
  </si>
  <si>
    <t>JANUARY</t>
  </si>
  <si>
    <t>JANUARY 2023 UTILITY READING</t>
  </si>
  <si>
    <t>Previous Reading (Dec. 20, 2022)</t>
  </si>
  <si>
    <t xml:space="preserve">Total Occ. Rooms: </t>
  </si>
  <si>
    <t>Date: JAN. 1 - 31, 2023</t>
  </si>
  <si>
    <t>Previous Reading (Dec. 31)</t>
  </si>
  <si>
    <t>Current Month Reading (Jan. 31)</t>
  </si>
  <si>
    <t>BTU METER: P103FF043BC</t>
  </si>
  <si>
    <t>METER: 77192321/2019</t>
  </si>
  <si>
    <t>total electricty: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</si>
  <si>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</si>
  <si>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</si>
  <si>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</si>
  <si>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</si>
  <si>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</si>
  <si>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</si>
  <si>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WATER (IG):</t>
  </si>
  <si>
    <t>ELECTRICITY (kWh):</t>
  </si>
  <si>
    <t>COOLING (RTH):</t>
  </si>
  <si>
    <t>LPG (LITRES:)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</si>
  <si>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</si>
  <si>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</si>
  <si>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</si>
  <si>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</si>
  <si>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</si>
  <si>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</si>
  <si>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</si>
  <si>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</si>
  <si>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</si>
  <si>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</si>
  <si>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</si>
  <si>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Current Month Reading (Jan. 23, 2023)</t>
  </si>
  <si>
    <t>Date: Dec. 20, 2022 to Jan. 23, 2023</t>
  </si>
  <si>
    <t>Imperial Gallon (M: m3 x 219.969)</t>
  </si>
  <si>
    <t>.</t>
  </si>
  <si>
    <t>%Occupancy:     72.23%</t>
  </si>
  <si>
    <t>72.23</t>
  </si>
  <si>
    <t>vs. MONTHLY TARGET</t>
  </si>
  <si>
    <t>Cost (Consumption Charges: 1.79 aed)</t>
  </si>
  <si>
    <r>
      <t>Liters (m</t>
    </r>
    <r>
      <rPr>
        <sz val="10"/>
        <rFont val="Calibri"/>
        <family val="2"/>
      </rPr>
      <t>³</t>
    </r>
    <r>
      <rPr>
        <sz val="10"/>
        <rFont val="Arial Rounded MT Bold"/>
        <family val="2"/>
      </rPr>
      <t xml:space="preserve"> X 3.70)</t>
    </r>
  </si>
  <si>
    <t>Imperial Gallon (M: m3 X 219.969)</t>
  </si>
  <si>
    <t>L = m³ x 3.7</t>
  </si>
  <si>
    <t>Site Name</t>
  </si>
  <si>
    <t>Day</t>
  </si>
  <si>
    <t>Month</t>
  </si>
  <si>
    <t>Year</t>
  </si>
  <si>
    <t>District Cooling</t>
  </si>
  <si>
    <t xml:space="preserve">Room Nights </t>
  </si>
  <si>
    <t xml:space="preserve">Total Guests </t>
  </si>
  <si>
    <t>25hours Dubai One Central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</si>
  <si>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</si>
  <si>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</si>
  <si>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</si>
  <si>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</si>
  <si>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</si>
  <si>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</si>
  <si>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>District Energy Cooling RTH</t>
  </si>
  <si>
    <t>District Energy Cooling $/RTH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</si>
</sst>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0.0"/>
    <numFmt numFmtId="167" formatCode="[$AED]\ #,##0.00_);\([$AED]\ #,##0.00\)"/>
    <numFmt numFmtId="168" formatCode="0.000E+00"/>
    <numFmt numFmtId="169" formatCode="&quot;AED&quot;#,##0.00"/>
    <numFmt numFmtId="170" formatCode="#,##0.0"/>
    <numFmt numFmtId="171" formatCode="0.000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3"/>
      <name val="Arial"/>
      <family val="2"/>
    </font>
    <font>
      <b/>
      <sz val="9"/>
      <name val="Arial"/>
      <family val="2"/>
    </font>
    <font>
      <i/>
      <sz val="11"/>
      <name val="Arial"/>
      <family val="2"/>
    </font>
    <font>
      <sz val="1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sz val="16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u/>
      <sz val="20"/>
      <color theme="10"/>
      <name val="Trade Gothic LT Std Cn"/>
      <family val="3"/>
    </font>
    <font>
      <b/>
      <sz val="20"/>
      <color theme="1"/>
      <name val="Trade Gothic LT Std Cn"/>
      <family val="3"/>
    </font>
    <font>
      <b/>
      <u/>
      <sz val="20"/>
      <color theme="1"/>
      <name val="Trade Gothic LT Std Cn"/>
      <family val="3"/>
    </font>
    <font>
      <b/>
      <sz val="40"/>
      <color theme="1"/>
      <name val="Trade Gothic LT Std Cn"/>
      <family val="3"/>
    </font>
    <font>
      <b/>
      <u/>
      <sz val="30"/>
      <color theme="1"/>
      <name val="Trade Gothic LT Std Cn"/>
      <family val="3"/>
    </font>
    <font>
      <b/>
      <u/>
      <sz val="28"/>
      <color theme="1"/>
      <name val="Trade Gothic LT Std Cn"/>
      <family val="3"/>
    </font>
    <font>
      <b/>
      <sz val="28"/>
      <color theme="1"/>
      <name val="Trade Gothic LT Std Cn"/>
      <family val="3"/>
    </font>
    <font>
      <b/>
      <u/>
      <sz val="35"/>
      <color theme="1"/>
      <name val="Trade Gothic LT Std Cn"/>
      <family val="3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362">
    <xf numFmtId="0" fontId="0" fillId="0" borderId="0" xfId="0"/>
    <xf numFmtId="43" fontId="6" fillId="2" borderId="3" xfId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43" fontId="0" fillId="2" borderId="0" xfId="0" applyNumberFormat="1" applyFill="1"/>
    <xf numFmtId="1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/>
    </xf>
    <xf numFmtId="43" fontId="2" fillId="2" borderId="4" xfId="0" applyNumberFormat="1" applyFont="1" applyFill="1" applyBorder="1" applyAlignment="1">
      <alignment horizontal="center"/>
    </xf>
    <xf numFmtId="43" fontId="2" fillId="2" borderId="4" xfId="1" applyFont="1" applyFill="1" applyBorder="1" applyAlignment="1">
      <alignment horizontal="center"/>
    </xf>
    <xf numFmtId="43" fontId="15" fillId="2" borderId="0" xfId="0" applyNumberFormat="1" applyFont="1" applyFill="1" applyAlignment="1">
      <alignment vertical="center"/>
    </xf>
    <xf numFmtId="43" fontId="2" fillId="2" borderId="0" xfId="1" applyFont="1" applyFill="1" applyBorder="1" applyAlignment="1">
      <alignment horizontal="center"/>
    </xf>
    <xf numFmtId="43" fontId="16" fillId="2" borderId="0" xfId="0" applyNumberFormat="1" applyFont="1" applyFill="1"/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4" xfId="0" applyFont="1" applyFill="1" applyBorder="1"/>
    <xf numFmtId="43" fontId="2" fillId="2" borderId="4" xfId="0" applyNumberFormat="1" applyFont="1" applyFill="1" applyBorder="1"/>
    <xf numFmtId="43" fontId="6" fillId="2" borderId="3" xfId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1" fontId="0" fillId="0" borderId="14" xfId="0" applyNumberFormat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11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21" xfId="0" applyNumberFormat="1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3" fontId="0" fillId="2" borderId="0" xfId="0" applyNumberForma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43" fontId="2" fillId="2" borderId="4" xfId="0" applyNumberFormat="1" applyFont="1" applyFill="1" applyBorder="1" applyAlignment="1">
      <alignment vertical="center"/>
    </xf>
    <xf numFmtId="43" fontId="16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7" fontId="2" fillId="2" borderId="4" xfId="1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/>
    <xf numFmtId="0" fontId="5" fillId="2" borderId="4" xfId="0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 wrapText="1"/>
    </xf>
    <xf numFmtId="0" fontId="5" fillId="2" borderId="4" xfId="0" applyFont="1" applyFill="1" applyBorder="1"/>
    <xf numFmtId="43" fontId="6" fillId="2" borderId="4" xfId="1" applyFont="1" applyFill="1" applyBorder="1" applyAlignment="1">
      <alignment horizontal="center"/>
    </xf>
    <xf numFmtId="0" fontId="7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43" fontId="8" fillId="2" borderId="4" xfId="1" applyFont="1" applyFill="1" applyBorder="1"/>
    <xf numFmtId="43" fontId="17" fillId="2" borderId="4" xfId="1" applyFont="1" applyFill="1" applyBorder="1"/>
    <xf numFmtId="43" fontId="9" fillId="2" borderId="4" xfId="1" applyFont="1" applyFill="1" applyBorder="1" applyAlignment="1">
      <alignment horizontal="center" vertical="center"/>
    </xf>
    <xf numFmtId="43" fontId="9" fillId="2" borderId="4" xfId="1" applyFont="1" applyFill="1" applyBorder="1"/>
    <xf numFmtId="0" fontId="9" fillId="2" borderId="4" xfId="0" applyFont="1" applyFill="1" applyBorder="1" applyAlignment="1">
      <alignment horizontal="center"/>
    </xf>
    <xf numFmtId="43" fontId="20" fillId="2" borderId="4" xfId="1" applyFont="1" applyFill="1" applyBorder="1" applyAlignment="1">
      <alignment vertical="center"/>
    </xf>
    <xf numFmtId="167" fontId="6" fillId="2" borderId="4" xfId="1" applyNumberFormat="1" applyFont="1" applyFill="1" applyBorder="1"/>
    <xf numFmtId="43" fontId="10" fillId="0" borderId="4" xfId="1" applyFont="1" applyFill="1" applyBorder="1"/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43" fontId="10" fillId="2" borderId="4" xfId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 wrapText="1"/>
    </xf>
    <xf numFmtId="4" fontId="9" fillId="2" borderId="4" xfId="1" applyNumberFormat="1" applyFont="1" applyFill="1" applyBorder="1" applyAlignment="1">
      <alignment horizontal="center" vertical="center"/>
    </xf>
    <xf numFmtId="4" fontId="9" fillId="2" borderId="4" xfId="1" applyNumberFormat="1" applyFont="1" applyFill="1" applyBorder="1" applyAlignment="1">
      <alignment vertical="center"/>
    </xf>
    <xf numFmtId="4" fontId="19" fillId="0" borderId="4" xfId="1" applyNumberFormat="1" applyFont="1" applyFill="1" applyBorder="1" applyAlignment="1">
      <alignment vertical="center"/>
    </xf>
    <xf numFmtId="167" fontId="18" fillId="2" borderId="4" xfId="1" applyNumberFormat="1" applyFont="1" applyFill="1" applyBorder="1" applyAlignment="1">
      <alignment horizontal="center" vertical="center"/>
    </xf>
    <xf numFmtId="43" fontId="8" fillId="0" borderId="4" xfId="1" applyFont="1" applyFill="1" applyBorder="1"/>
    <xf numFmtId="43" fontId="17" fillId="0" borderId="4" xfId="1" applyFont="1" applyFill="1" applyBorder="1"/>
    <xf numFmtId="43" fontId="9" fillId="0" borderId="4" xfId="1" applyFont="1" applyFill="1" applyBorder="1"/>
    <xf numFmtId="0" fontId="12" fillId="2" borderId="4" xfId="0" applyFont="1" applyFill="1" applyBorder="1"/>
    <xf numFmtId="43" fontId="6" fillId="0" borderId="4" xfId="1" applyFont="1" applyFill="1" applyBorder="1"/>
    <xf numFmtId="43" fontId="13" fillId="2" borderId="4" xfId="1" applyFont="1" applyFill="1" applyBorder="1" applyAlignment="1">
      <alignment horizontal="center" vertical="center"/>
    </xf>
    <xf numFmtId="43" fontId="11" fillId="0" borderId="4" xfId="1" applyFont="1" applyFill="1" applyBorder="1"/>
    <xf numFmtId="43" fontId="10" fillId="2" borderId="4" xfId="1" applyFont="1" applyFill="1" applyBorder="1"/>
    <xf numFmtId="165" fontId="9" fillId="2" borderId="4" xfId="1" applyNumberFormat="1" applyFont="1" applyFill="1" applyBorder="1" applyAlignment="1">
      <alignment horizontal="center" vertical="center"/>
    </xf>
    <xf numFmtId="0" fontId="14" fillId="2" borderId="4" xfId="0" applyFont="1" applyFill="1" applyBorder="1"/>
    <xf numFmtId="0" fontId="14" fillId="2" borderId="4" xfId="0" applyFont="1" applyFill="1" applyBorder="1" applyAlignment="1">
      <alignment horizontal="center"/>
    </xf>
    <xf numFmtId="39" fontId="6" fillId="2" borderId="4" xfId="1" applyNumberFormat="1" applyFont="1" applyFill="1" applyBorder="1"/>
    <xf numFmtId="167" fontId="18" fillId="2" borderId="4" xfId="1" applyNumberFormat="1" applyFont="1" applyFill="1" applyBorder="1"/>
    <xf numFmtId="43" fontId="6" fillId="2" borderId="4" xfId="1" applyFont="1" applyFill="1" applyBorder="1"/>
    <xf numFmtId="43" fontId="18" fillId="2" borderId="4" xfId="1" applyFont="1" applyFill="1" applyBorder="1"/>
    <xf numFmtId="43" fontId="6" fillId="2" borderId="4" xfId="0" applyNumberFormat="1" applyFont="1" applyFill="1" applyBorder="1"/>
    <xf numFmtId="0" fontId="7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167" fontId="18" fillId="2" borderId="4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6" fillId="2" borderId="4" xfId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168" fontId="0" fillId="0" borderId="16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43" fontId="6" fillId="2" borderId="11" xfId="1" applyFont="1" applyFill="1" applyBorder="1" applyAlignment="1">
      <alignment horizontal="center" vertical="center"/>
    </xf>
    <xf numFmtId="43" fontId="6" fillId="2" borderId="27" xfId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43" fontId="8" fillId="2" borderId="4" xfId="1" applyFont="1" applyFill="1" applyBorder="1" applyAlignment="1">
      <alignment vertical="center"/>
    </xf>
    <xf numFmtId="43" fontId="17" fillId="2" borderId="4" xfId="1" applyFont="1" applyFill="1" applyBorder="1" applyAlignment="1">
      <alignment vertical="center"/>
    </xf>
    <xf numFmtId="43" fontId="9" fillId="2" borderId="4" xfId="1" applyFont="1" applyFill="1" applyBorder="1" applyAlignment="1">
      <alignment vertical="center"/>
    </xf>
    <xf numFmtId="4" fontId="20" fillId="2" borderId="4" xfId="1" applyNumberFormat="1" applyFont="1" applyFill="1" applyBorder="1" applyAlignment="1">
      <alignment vertical="center"/>
    </xf>
    <xf numFmtId="4" fontId="10" fillId="0" borderId="4" xfId="1" applyNumberFormat="1" applyFont="1" applyFill="1" applyBorder="1" applyAlignment="1">
      <alignment vertical="center"/>
    </xf>
    <xf numFmtId="4" fontId="8" fillId="0" borderId="4" xfId="1" applyNumberFormat="1" applyFont="1" applyFill="1" applyBorder="1" applyAlignment="1">
      <alignment vertical="center"/>
    </xf>
    <xf numFmtId="4" fontId="17" fillId="0" borderId="4" xfId="1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vertical="center"/>
    </xf>
    <xf numFmtId="0" fontId="12" fillId="2" borderId="4" xfId="0" applyFont="1" applyFill="1" applyBorder="1" applyAlignment="1">
      <alignment vertical="center"/>
    </xf>
    <xf numFmtId="4" fontId="6" fillId="0" borderId="4" xfId="1" applyNumberFormat="1" applyFont="1" applyFill="1" applyBorder="1" applyAlignment="1">
      <alignment vertical="center"/>
    </xf>
    <xf numFmtId="4" fontId="13" fillId="2" borderId="4" xfId="1" applyNumberFormat="1" applyFont="1" applyFill="1" applyBorder="1" applyAlignment="1">
      <alignment horizontal="center" vertical="center"/>
    </xf>
    <xf numFmtId="4" fontId="11" fillId="0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4" fontId="6" fillId="2" borderId="4" xfId="1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/>
    </xf>
    <xf numFmtId="43" fontId="10" fillId="0" borderId="4" xfId="1" applyFont="1" applyFill="1" applyBorder="1" applyAlignment="1">
      <alignment vertical="center"/>
    </xf>
    <xf numFmtId="43" fontId="6" fillId="2" borderId="4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43" fontId="6" fillId="0" borderId="4" xfId="1" applyFont="1" applyFill="1" applyBorder="1" applyAlignment="1">
      <alignment horizontal="center" vertical="center"/>
    </xf>
    <xf numFmtId="43" fontId="8" fillId="0" borderId="4" xfId="1" applyFont="1" applyFill="1" applyBorder="1" applyAlignment="1">
      <alignment vertical="center"/>
    </xf>
    <xf numFmtId="43" fontId="17" fillId="0" borderId="4" xfId="1" applyFont="1" applyFill="1" applyBorder="1" applyAlignment="1">
      <alignment vertical="center"/>
    </xf>
    <xf numFmtId="43" fontId="6" fillId="0" borderId="4" xfId="1" applyFont="1" applyFill="1" applyBorder="1" applyAlignment="1">
      <alignment vertical="center"/>
    </xf>
    <xf numFmtId="43" fontId="11" fillId="0" borderId="4" xfId="1" applyFont="1" applyFill="1" applyBorder="1" applyAlignment="1">
      <alignment vertical="center"/>
    </xf>
    <xf numFmtId="39" fontId="6" fillId="2" borderId="4" xfId="1" applyNumberFormat="1" applyFont="1" applyFill="1" applyBorder="1" applyAlignment="1">
      <alignment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1" fontId="0" fillId="0" borderId="31" xfId="0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6" fontId="0" fillId="0" borderId="31" xfId="0" applyNumberForma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43" fontId="6" fillId="2" borderId="9" xfId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3" fontId="17" fillId="2" borderId="9" xfId="1" applyFont="1" applyFill="1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43" fontId="9" fillId="2" borderId="9" xfId="1" applyFont="1" applyFill="1" applyBorder="1" applyAlignment="1">
      <alignment vertical="center"/>
    </xf>
    <xf numFmtId="43" fontId="23" fillId="2" borderId="4" xfId="1" applyFont="1" applyFill="1" applyBorder="1" applyAlignment="1">
      <alignment vertical="center"/>
    </xf>
    <xf numFmtId="43" fontId="6" fillId="2" borderId="9" xfId="1" applyFont="1" applyFill="1" applyBorder="1" applyAlignment="1">
      <alignment vertical="center"/>
    </xf>
    <xf numFmtId="0" fontId="17" fillId="8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/>
    </xf>
    <xf numFmtId="43" fontId="23" fillId="8" borderId="4" xfId="1" applyFont="1" applyFill="1" applyBorder="1" applyAlignment="1">
      <alignment vertical="center"/>
    </xf>
    <xf numFmtId="167" fontId="6" fillId="8" borderId="9" xfId="1" applyNumberFormat="1" applyFont="1" applyFill="1" applyBorder="1" applyAlignment="1">
      <alignment vertical="center"/>
    </xf>
    <xf numFmtId="0" fontId="17" fillId="9" borderId="4" xfId="0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/>
    </xf>
    <xf numFmtId="43" fontId="23" fillId="9" borderId="4" xfId="1" applyFont="1" applyFill="1" applyBorder="1" applyAlignment="1">
      <alignment vertical="center"/>
    </xf>
    <xf numFmtId="167" fontId="6" fillId="9" borderId="9" xfId="1" applyNumberFormat="1" applyFont="1" applyFill="1" applyBorder="1" applyAlignment="1">
      <alignment vertical="center"/>
    </xf>
    <xf numFmtId="167" fontId="6" fillId="10" borderId="9" xfId="1" applyNumberFormat="1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43" fontId="10" fillId="0" borderId="9" xfId="1" applyFont="1" applyFill="1" applyBorder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43" fontId="18" fillId="0" borderId="9" xfId="1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 wrapText="1"/>
    </xf>
    <xf numFmtId="43" fontId="6" fillId="8" borderId="4" xfId="1" applyFont="1" applyFill="1" applyBorder="1" applyAlignment="1">
      <alignment horizontal="center" vertical="center"/>
    </xf>
    <xf numFmtId="167" fontId="18" fillId="8" borderId="9" xfId="1" applyNumberFormat="1" applyFont="1" applyFill="1" applyBorder="1" applyAlignment="1">
      <alignment vertical="center"/>
    </xf>
    <xf numFmtId="0" fontId="6" fillId="9" borderId="4" xfId="0" applyFont="1" applyFill="1" applyBorder="1" applyAlignment="1">
      <alignment horizontal="center" vertical="center" wrapText="1"/>
    </xf>
    <xf numFmtId="43" fontId="6" fillId="9" borderId="4" xfId="1" applyFont="1" applyFill="1" applyBorder="1" applyAlignment="1">
      <alignment horizontal="center" vertical="center"/>
    </xf>
    <xf numFmtId="167" fontId="18" fillId="9" borderId="9" xfId="1" applyNumberFormat="1" applyFont="1" applyFill="1" applyBorder="1" applyAlignment="1">
      <alignment vertical="center"/>
    </xf>
    <xf numFmtId="43" fontId="17" fillId="0" borderId="9" xfId="1" applyFont="1" applyFill="1" applyBorder="1" applyAlignment="1">
      <alignment vertical="center"/>
    </xf>
    <xf numFmtId="43" fontId="6" fillId="0" borderId="9" xfId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43" fontId="13" fillId="8" borderId="4" xfId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43" fontId="13" fillId="9" borderId="4" xfId="1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7" fillId="9" borderId="16" xfId="0" applyFont="1" applyFill="1" applyBorder="1" applyAlignment="1">
      <alignment vertical="center"/>
    </xf>
    <xf numFmtId="0" fontId="0" fillId="9" borderId="16" xfId="0" applyFill="1" applyBorder="1" applyAlignment="1">
      <alignment horizontal="center" vertical="center"/>
    </xf>
    <xf numFmtId="43" fontId="13" fillId="9" borderId="16" xfId="1" applyFont="1" applyFill="1" applyBorder="1" applyAlignment="1">
      <alignment horizontal="center" vertical="center"/>
    </xf>
    <xf numFmtId="167" fontId="6" fillId="9" borderId="15" xfId="1" applyNumberFormat="1" applyFont="1" applyFill="1" applyBorder="1" applyAlignment="1">
      <alignment vertical="center"/>
    </xf>
    <xf numFmtId="0" fontId="21" fillId="5" borderId="4" xfId="0" applyFont="1" applyFill="1" applyBorder="1"/>
    <xf numFmtId="167" fontId="21" fillId="5" borderId="4" xfId="0" applyNumberFormat="1" applyFont="1" applyFill="1" applyBorder="1" applyAlignment="1">
      <alignment horizontal="center" vertical="center"/>
    </xf>
    <xf numFmtId="169" fontId="6" fillId="10" borderId="9" xfId="1" applyNumberFormat="1" applyFont="1" applyFill="1" applyBorder="1" applyAlignment="1">
      <alignment vertical="center"/>
    </xf>
    <xf numFmtId="0" fontId="26" fillId="2" borderId="4" xfId="0" applyFont="1" applyFill="1" applyBorder="1" applyAlignment="1">
      <alignment horizontal="center" vertical="center"/>
    </xf>
    <xf numFmtId="0" fontId="28" fillId="0" borderId="0" xfId="2" applyAlignment="1">
      <alignment horizontal="center" vertical="center"/>
    </xf>
    <xf numFmtId="0" fontId="0" fillId="0" borderId="19" xfId="0" applyBorder="1" applyAlignment="1">
      <alignment horizontal="center"/>
    </xf>
    <xf numFmtId="0" fontId="14" fillId="2" borderId="11" xfId="0" applyFont="1" applyFill="1" applyBorder="1" applyAlignment="1">
      <alignment vertical="center"/>
    </xf>
    <xf numFmtId="0" fontId="14" fillId="2" borderId="35" xfId="0" applyFont="1" applyFill="1" applyBorder="1" applyAlignment="1">
      <alignment vertical="center"/>
    </xf>
    <xf numFmtId="0" fontId="14" fillId="2" borderId="27" xfId="0" applyFont="1" applyFill="1" applyBorder="1" applyAlignment="1">
      <alignment vertical="center"/>
    </xf>
    <xf numFmtId="0" fontId="29" fillId="2" borderId="4" xfId="0" applyFont="1" applyFill="1" applyBorder="1" applyAlignmen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70" fontId="0" fillId="0" borderId="21" xfId="0" applyNumberFormat="1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5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30" fillId="0" borderId="0" xfId="2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0" fontId="31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10" fontId="31" fillId="0" borderId="4" xfId="0" applyNumberFormat="1" applyFont="1" applyBorder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0" fontId="32" fillId="0" borderId="4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3" fontId="31" fillId="0" borderId="4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4" fontId="31" fillId="0" borderId="4" xfId="0" applyNumberFormat="1" applyFont="1" applyBorder="1" applyAlignment="1">
      <alignment vertical="center"/>
    </xf>
    <xf numFmtId="4" fontId="31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2" fillId="11" borderId="0" xfId="0" applyFont="1" applyFill="1" applyAlignment="1">
      <alignment vertical="center"/>
    </xf>
    <xf numFmtId="0" fontId="32" fillId="11" borderId="0" xfId="0" applyFont="1" applyFill="1" applyAlignment="1">
      <alignment horizontal="right" vertical="center"/>
    </xf>
    <xf numFmtId="3" fontId="32" fillId="11" borderId="0" xfId="0" applyNumberFormat="1" applyFont="1" applyFill="1" applyAlignment="1">
      <alignment vertical="center"/>
    </xf>
    <xf numFmtId="10" fontId="33" fillId="0" borderId="3" xfId="0" applyNumberFormat="1" applyFont="1" applyBorder="1" applyAlignment="1">
      <alignment horizontal="center" vertical="center"/>
    </xf>
    <xf numFmtId="4" fontId="33" fillId="0" borderId="3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3" fontId="33" fillId="0" borderId="3" xfId="0" applyNumberFormat="1" applyFont="1" applyBorder="1" applyAlignment="1">
      <alignment horizontal="center" vertical="center"/>
    </xf>
    <xf numFmtId="3" fontId="33" fillId="0" borderId="0" xfId="0" applyNumberFormat="1" applyFont="1" applyAlignment="1">
      <alignment horizontal="center" vertical="center"/>
    </xf>
    <xf numFmtId="4" fontId="33" fillId="0" borderId="38" xfId="0" applyNumberFormat="1" applyFont="1" applyBorder="1" applyAlignment="1">
      <alignment horizontal="center" vertical="center"/>
    </xf>
    <xf numFmtId="4" fontId="33" fillId="0" borderId="27" xfId="0" applyNumberFormat="1" applyFont="1" applyBorder="1" applyAlignment="1">
      <alignment horizontal="center" vertical="center"/>
    </xf>
    <xf numFmtId="3" fontId="33" fillId="0" borderId="27" xfId="0" applyNumberFormat="1" applyFont="1" applyBorder="1" applyAlignment="1">
      <alignment horizontal="center" vertical="center"/>
    </xf>
    <xf numFmtId="0" fontId="34" fillId="0" borderId="4" xfId="0" applyFont="1" applyBorder="1" applyAlignment="1">
      <alignment horizontal="left" vertical="center" wrapText="1"/>
    </xf>
    <xf numFmtId="0" fontId="34" fillId="0" borderId="4" xfId="0" applyFont="1" applyBorder="1" applyAlignment="1">
      <alignment vertical="center" wrapText="1"/>
    </xf>
    <xf numFmtId="0" fontId="34" fillId="0" borderId="2" xfId="0" applyFont="1" applyBorder="1" applyAlignment="1">
      <alignment horizontal="left" vertical="center" wrapText="1"/>
    </xf>
    <xf numFmtId="0" fontId="33" fillId="0" borderId="39" xfId="0" applyFont="1" applyBorder="1" applyAlignment="1">
      <alignment vertical="center"/>
    </xf>
    <xf numFmtId="0" fontId="35" fillId="0" borderId="2" xfId="0" applyFont="1" applyBorder="1" applyAlignment="1">
      <alignment horizontal="left" vertical="center" wrapText="1"/>
    </xf>
    <xf numFmtId="0" fontId="36" fillId="0" borderId="2" xfId="0" applyFont="1" applyBorder="1" applyAlignment="1">
      <alignment vertical="center"/>
    </xf>
    <xf numFmtId="0" fontId="36" fillId="0" borderId="2" xfId="0" applyFont="1" applyBorder="1" applyAlignment="1">
      <alignment vertical="center" wrapText="1"/>
    </xf>
    <xf numFmtId="0" fontId="37" fillId="0" borderId="4" xfId="0" applyFont="1" applyBorder="1" applyAlignment="1">
      <alignment horizontal="center" vertical="center" wrapText="1"/>
    </xf>
    <xf numFmtId="4" fontId="33" fillId="0" borderId="0" xfId="0" applyNumberFormat="1" applyFont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170" fontId="0" fillId="7" borderId="8" xfId="0" applyNumberForma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7" fontId="6" fillId="0" borderId="4" xfId="1" applyNumberFormat="1" applyFont="1" applyFill="1" applyBorder="1" applyAlignment="1">
      <alignment vertical="center"/>
    </xf>
    <xf numFmtId="167" fontId="6" fillId="5" borderId="4" xfId="1" applyNumberFormat="1" applyFont="1" applyFill="1" applyBorder="1" applyAlignment="1">
      <alignment vertical="center"/>
    </xf>
    <xf numFmtId="43" fontId="18" fillId="0" borderId="4" xfId="1" applyFont="1" applyFill="1" applyBorder="1" applyAlignment="1">
      <alignment vertical="center"/>
    </xf>
    <xf numFmtId="167" fontId="18" fillId="0" borderId="4" xfId="1" applyNumberFormat="1" applyFont="1" applyFill="1" applyBorder="1" applyAlignment="1">
      <alignment vertical="center"/>
    </xf>
    <xf numFmtId="167" fontId="18" fillId="5" borderId="4" xfId="1" applyNumberFormat="1" applyFon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43" fontId="6" fillId="2" borderId="23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 wrapText="1"/>
    </xf>
    <xf numFmtId="0" fontId="27" fillId="2" borderId="2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35" xfId="0" applyFont="1" applyFill="1" applyBorder="1" applyAlignment="1">
      <alignment horizontal="center" vertical="center" wrapText="1"/>
    </xf>
    <xf numFmtId="0" fontId="6" fillId="9" borderId="27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/>
    </xf>
    <xf numFmtId="0" fontId="0" fillId="9" borderId="35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1" fillId="6" borderId="0" xfId="0" applyFont="1" applyFill="1" applyAlignment="1">
      <alignment horizontal="center" vertical="center" wrapText="1"/>
    </xf>
    <xf numFmtId="0" fontId="0" fillId="12" borderId="34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4" fontId="33" fillId="0" borderId="2" xfId="0" applyNumberFormat="1" applyFont="1" applyBorder="1" applyAlignment="1">
      <alignment horizontal="center" vertical="center"/>
    </xf>
    <xf numFmtId="4" fontId="33" fillId="0" borderId="39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49" fontId="33" fillId="0" borderId="2" xfId="0" applyNumberFormat="1" applyFont="1" applyBorder="1" applyAlignment="1">
      <alignment horizontal="center" vertical="center"/>
    </xf>
    <xf numFmtId="49" fontId="33" fillId="0" borderId="39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38" fillId="0" borderId="0" xfId="0" applyFont="1" applyAlignment="1">
      <alignment horizontal="center" wrapText="1"/>
    </xf>
    <xf numFmtId="0" fontId="40" fillId="0" borderId="0" xfId="0" applyFont="1" applyAlignment="1">
      <alignment horizontal="center" wrapText="1"/>
    </xf>
    <xf numFmtId="1" fontId="38" fillId="0" borderId="0" xfId="0" applyNumberFormat="1" applyFont="1" applyAlignment="1">
      <alignment horizontal="center" wrapText="1"/>
    </xf>
    <xf numFmtId="0" fontId="38" fillId="0" borderId="0" xfId="0" applyFont="1"/>
    <xf numFmtId="0" fontId="4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2" fillId="0" borderId="0" xfId="0" applyFont="1" applyAlignment="1">
      <alignment horizontal="center"/>
    </xf>
    <xf numFmtId="171" fontId="40" fillId="0" borderId="0" xfId="0" applyNumberFormat="1" applyFont="1" applyAlignment="1">
      <alignment horizontal="center" wrapText="1"/>
    </xf>
    <xf numFmtId="1" fontId="43" fillId="0" borderId="0" xfId="0" applyNumberFormat="1" applyFont="1" applyAlignment="1">
      <alignment horizontal="center" wrapText="1"/>
    </xf>
    <xf numFmtId="171" fontId="42" fillId="0" borderId="0" xfId="0" applyNumberFormat="1" applyFont="1" applyAlignment="1">
      <alignment horizontal="center"/>
    </xf>
    <xf numFmtId="2" fontId="42" fillId="0" borderId="0" xfId="0" applyNumberFormat="1" applyFont="1" applyAlignment="1">
      <alignment horizontal="center"/>
    </xf>
    <xf numFmtId="1" fontId="44" fillId="0" borderId="0" xfId="0" applyNumberFormat="1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44467" cy="5429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44467" cy="542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729503</xdr:colOff>
      <xdr:row>0</xdr:row>
      <xdr:rowOff>0</xdr:rowOff>
    </xdr:from>
    <xdr:ext cx="593911" cy="59222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59353" y="0"/>
          <a:ext cx="593911" cy="592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6FF7-8192-4A41-B925-063B154F6BAA}">
  <dimension ref="A1:O32"/>
  <sheetViews>
    <sheetView tabSelected="1" topLeftCell="B1" workbookViewId="0">
      <selection activeCell="E13" sqref="E13"/>
    </sheetView>
  </sheetViews>
  <sheetFormatPr defaultColWidth="11.578125" defaultRowHeight="14.4"/>
  <cols>
    <col min="1" max="1" width="23" style="28" customWidth="1"/>
    <col min="2" max="2" width="11.578125" style="28"/>
    <col min="3" max="3" width="11.578125" style="354"/>
    <col min="4" max="4" width="13.41796875" style="28" customWidth="1"/>
    <col min="5" max="5" width="12.578125" style="28" customWidth="1"/>
    <col min="6" max="6" width="12.578125" style="356" customWidth="1"/>
    <col min="7" max="7" width="11.578125" style="28"/>
    <col min="8" max="8" width="11.578125" style="356"/>
    <col min="9" max="9" width="11.578125" style="28"/>
    <col min="10" max="10" width="11.578125" style="359"/>
    <col min="11" max="11" width="11.578125" style="361"/>
    <col min="12" max="12" width="11.578125" style="359"/>
    <col min="13" max="13" width="11.578125" style="355"/>
    <col min="14" max="16384" width="11.578125" style="28"/>
  </cols>
  <sheetData>
    <row r="1" spans="1:15" s="348" customFormat="1" ht="57.6">
      <c r="A1" s="348" t="s">
        <v>153</v>
      </c>
      <c r="B1" s="348" t="s">
        <v>154</v>
      </c>
      <c r="C1" s="349" t="s">
        <v>155</v>
      </c>
      <c r="D1" s="348" t="s">
        <v>156</v>
      </c>
      <c r="E1" s="350" t="s">
        <v>161</v>
      </c>
      <c r="F1" s="351" t="s">
        <v>162</v>
      </c>
      <c r="G1" s="350" t="s">
        <v>163</v>
      </c>
      <c r="H1" s="351" t="s">
        <v>164</v>
      </c>
      <c r="I1" s="350" t="s">
        <v>165</v>
      </c>
      <c r="J1" s="357" t="s">
        <v>166</v>
      </c>
      <c r="K1" s="358" t="s">
        <v>167</v>
      </c>
      <c r="L1" s="357" t="s">
        <v>168</v>
      </c>
      <c r="M1" s="352" t="s">
        <v>158</v>
      </c>
      <c r="N1" s="350" t="s">
        <v>159</v>
      </c>
    </row>
    <row r="2" spans="1:15">
      <c r="A2" s="28" t="s">
        <v>160</v>
      </c>
      <c r="B2" s="28">
        <v>1</v>
      </c>
      <c r="C2" s="354">
        <v>1</v>
      </c>
      <c r="D2" s="28">
        <v>2023</v>
      </c>
      <c r="E2" s="355">
        <f>('Daily Meter'!K6+'Daily Meter'!M6+'Daily Meter'!O6+'Daily Meter'!Q6+'Daily Meter'!S6+'Daily Meter'!U6-'1'!D20)*480</f>
        <v>13871.999999998952</v>
      </c>
      <c r="F2" s="359">
        <v>0.44</v>
      </c>
      <c r="G2" s="355">
        <f>'Daily Meter'!W6-'1'!D23</f>
        <v>122.5</v>
      </c>
      <c r="H2" s="360">
        <v>2.5</v>
      </c>
      <c r="I2" s="355">
        <f>('Daily Meter'!E6-'1'!D11)*219.969</f>
        <v>36074.915999999997</v>
      </c>
      <c r="J2" s="359">
        <v>0.06</v>
      </c>
      <c r="K2" s="361">
        <f>('Daily Meter'!C6-'1'!D8)*284.34</f>
        <v>4833.78</v>
      </c>
      <c r="L2" s="359">
        <f>0.568+0.075</f>
        <v>0.6429999999999999</v>
      </c>
      <c r="M2" s="355">
        <f>INT('Daily Meter'!X6*434/100)</f>
        <v>326</v>
      </c>
      <c r="N2" s="28" t="s">
        <v>19</v>
      </c>
      <c r="O2" s="348"/>
    </row>
    <row r="3" spans="1:15">
      <c r="A3" s="28" t="s">
        <v>160</v>
      </c>
      <c r="B3" s="28">
        <f t="shared" ref="B3:B32" si="0">B2+1</f>
        <v>2</v>
      </c>
      <c r="C3" s="354">
        <v>1</v>
      </c>
      <c r="D3" s="28">
        <v>2023</v>
      </c>
      <c r="E3" s="355">
        <f>('Daily Meter'!K7-'Daily Meter'!K6+'Daily Meter'!M7-'Daily Meter'!M6+'Daily Meter'!O7-'Daily Meter'!O6+'Daily Meter'!Q7-'Daily Meter'!Q6+'Daily Meter'!S7-'Daily Meter'!S6+'Daily Meter'!U7-'Daily Meter'!U6)*480</f>
        <v>17231.999999999825</v>
      </c>
      <c r="F3" s="359">
        <v>0.44</v>
      </c>
      <c r="G3" s="355">
        <f>'Daily Meter'!W7-'Daily Meter'!W6</f>
        <v>136.09999999999854</v>
      </c>
      <c r="H3" s="360">
        <v>2.5</v>
      </c>
      <c r="I3" s="355">
        <f>('Daily Meter'!E7-'Daily Meter'!E6)*219.969</f>
        <v>47953.241999999998</v>
      </c>
      <c r="J3" s="359">
        <v>0.06</v>
      </c>
      <c r="K3" s="361">
        <f>('Daily Meter'!C7-'Daily Meter'!C6)*284.34</f>
        <v>5715.2339999995856</v>
      </c>
      <c r="L3" s="359">
        <f t="shared" ref="L3:L32" si="1">0.568+0.075</f>
        <v>0.6429999999999999</v>
      </c>
      <c r="M3" s="355">
        <f>INT('Daily Meter'!X7*434/100)</f>
        <v>272</v>
      </c>
      <c r="N3" s="28" t="s">
        <v>19</v>
      </c>
      <c r="O3" s="348"/>
    </row>
    <row r="4" spans="1:15">
      <c r="A4" s="28" t="s">
        <v>160</v>
      </c>
      <c r="B4" s="28">
        <f t="shared" si="0"/>
        <v>3</v>
      </c>
      <c r="C4" s="354">
        <v>1</v>
      </c>
      <c r="D4" s="28">
        <v>2023</v>
      </c>
      <c r="E4" s="355">
        <f>('Daily Meter'!K8-'Daily Meter'!K7+'Daily Meter'!M8-'Daily Meter'!M7+'Daily Meter'!O8-'Daily Meter'!O7+'Daily Meter'!Q8-'Daily Meter'!Q7+'Daily Meter'!S8-'Daily Meter'!S7+'Daily Meter'!U8-'Daily Meter'!U7)*480</f>
        <v>17232.000000000698</v>
      </c>
      <c r="F4" s="359">
        <v>0.44</v>
      </c>
      <c r="G4" s="355">
        <f>'Daily Meter'!W8-'Daily Meter'!W7</f>
        <v>140.79999999999563</v>
      </c>
      <c r="H4" s="360">
        <v>2.5</v>
      </c>
      <c r="I4" s="355">
        <f>('Daily Meter'!E8-'Daily Meter'!E7)*219.969</f>
        <v>30135.753000000001</v>
      </c>
      <c r="J4" s="359">
        <v>0.06</v>
      </c>
      <c r="K4" s="361">
        <f>('Daily Meter'!C8-'Daily Meter'!C7)*284.34</f>
        <v>5516.1960000004137</v>
      </c>
      <c r="L4" s="359">
        <f t="shared" si="1"/>
        <v>0.6429999999999999</v>
      </c>
      <c r="M4" s="355">
        <f>INT('Daily Meter'!X8*434/100)</f>
        <v>283</v>
      </c>
      <c r="N4" s="28" t="s">
        <v>19</v>
      </c>
      <c r="O4" s="348"/>
    </row>
    <row r="5" spans="1:15">
      <c r="A5" s="28" t="s">
        <v>160</v>
      </c>
      <c r="B5" s="28">
        <f t="shared" si="0"/>
        <v>4</v>
      </c>
      <c r="C5" s="354">
        <v>1</v>
      </c>
      <c r="D5" s="28">
        <v>2023</v>
      </c>
      <c r="E5" s="355">
        <f>('Daily Meter'!K9-'Daily Meter'!K8+'Daily Meter'!M9-'Daily Meter'!M8+'Daily Meter'!O9-'Daily Meter'!O8+'Daily Meter'!Q9-'Daily Meter'!Q8+'Daily Meter'!S9-'Daily Meter'!S8+'Daily Meter'!U9-'Daily Meter'!U8)*480</f>
        <v>17136.000000000349</v>
      </c>
      <c r="F5" s="359">
        <v>0.44</v>
      </c>
      <c r="G5" s="355">
        <f>'Daily Meter'!W9-'Daily Meter'!W8</f>
        <v>135.30000000000291</v>
      </c>
      <c r="H5" s="360">
        <v>2.5</v>
      </c>
      <c r="I5" s="355">
        <f>('Daily Meter'!E9-'Daily Meter'!E8)*219.969</f>
        <v>80288.684999999998</v>
      </c>
      <c r="J5" s="359">
        <v>0.06</v>
      </c>
      <c r="K5" s="361">
        <f>('Daily Meter'!C9-'Daily Meter'!C8)*284.34</f>
        <v>5601.497999999172</v>
      </c>
      <c r="L5" s="359">
        <f t="shared" si="1"/>
        <v>0.6429999999999999</v>
      </c>
      <c r="M5" s="355">
        <f>INT('Daily Meter'!X9*434/100)</f>
        <v>278</v>
      </c>
      <c r="N5" s="28" t="s">
        <v>19</v>
      </c>
      <c r="O5" s="348"/>
    </row>
    <row r="6" spans="1:15">
      <c r="A6" s="28" t="s">
        <v>160</v>
      </c>
      <c r="B6" s="28">
        <f t="shared" si="0"/>
        <v>5</v>
      </c>
      <c r="C6" s="354">
        <v>1</v>
      </c>
      <c r="D6" s="28">
        <v>2023</v>
      </c>
      <c r="E6" s="355">
        <f>('Daily Meter'!K10-'Daily Meter'!K9+'Daily Meter'!M10-'Daily Meter'!M9+'Daily Meter'!O10-'Daily Meter'!O9+'Daily Meter'!Q10-'Daily Meter'!Q9+'Daily Meter'!S10-'Daily Meter'!S9+'Daily Meter'!U10-'Daily Meter'!U9)*480</f>
        <v>16511.999999998952</v>
      </c>
      <c r="F6" s="359">
        <v>0.44</v>
      </c>
      <c r="G6" s="355">
        <f>'Daily Meter'!W10-'Daily Meter'!W9</f>
        <v>127.5</v>
      </c>
      <c r="H6" s="360">
        <v>2.5</v>
      </c>
      <c r="I6" s="355">
        <f>('Daily Meter'!E10-'Daily Meter'!E9)*219.969</f>
        <v>71929.862999999998</v>
      </c>
      <c r="J6" s="359">
        <v>0.06</v>
      </c>
      <c r="K6" s="361">
        <f>('Daily Meter'!C10-'Daily Meter'!C9)*284.34</f>
        <v>5715.2340000016547</v>
      </c>
      <c r="L6" s="359">
        <f t="shared" si="1"/>
        <v>0.6429999999999999</v>
      </c>
      <c r="M6" s="355">
        <f>INT('Daily Meter'!X10*434/100)</f>
        <v>270</v>
      </c>
      <c r="N6" s="28" t="s">
        <v>19</v>
      </c>
      <c r="O6" s="348"/>
    </row>
    <row r="7" spans="1:15">
      <c r="A7" s="28" t="s">
        <v>160</v>
      </c>
      <c r="B7" s="28">
        <f t="shared" si="0"/>
        <v>6</v>
      </c>
      <c r="C7" s="354">
        <v>1</v>
      </c>
      <c r="D7" s="28">
        <v>2023</v>
      </c>
      <c r="E7" s="355">
        <f>('Daily Meter'!K11-'Daily Meter'!K10+'Daily Meter'!M11-'Daily Meter'!M10+'Daily Meter'!O11-'Daily Meter'!O10+'Daily Meter'!Q11-'Daily Meter'!Q10+'Daily Meter'!S11-'Daily Meter'!S10+'Daily Meter'!U11-'Daily Meter'!U10)*480</f>
        <v>18720</v>
      </c>
      <c r="F7" s="359">
        <v>0.44</v>
      </c>
      <c r="G7" s="355">
        <f>'Daily Meter'!W11-'Daily Meter'!W10</f>
        <v>156</v>
      </c>
      <c r="H7" s="360">
        <v>2.5</v>
      </c>
      <c r="I7" s="355">
        <f>('Daily Meter'!E11-'Daily Meter'!E10)*219.969</f>
        <v>66430.637999999992</v>
      </c>
      <c r="J7" s="359">
        <v>0.06</v>
      </c>
      <c r="K7" s="361">
        <f>('Daily Meter'!C11-'Daily Meter'!C10)*284.34</f>
        <v>6852.5939999995853</v>
      </c>
      <c r="L7" s="359">
        <f t="shared" si="1"/>
        <v>0.6429999999999999</v>
      </c>
      <c r="M7" s="355">
        <f>INT('Daily Meter'!X11*434/100)</f>
        <v>264</v>
      </c>
      <c r="N7" s="28" t="s">
        <v>19</v>
      </c>
    </row>
    <row r="8" spans="1:15">
      <c r="A8" s="28" t="s">
        <v>160</v>
      </c>
      <c r="B8" s="28">
        <f t="shared" si="0"/>
        <v>7</v>
      </c>
      <c r="C8" s="354">
        <v>1</v>
      </c>
      <c r="D8" s="28">
        <v>2023</v>
      </c>
      <c r="E8" s="355">
        <f>('Daily Meter'!K12-'Daily Meter'!K11+'Daily Meter'!M12-'Daily Meter'!M11+'Daily Meter'!O12-'Daily Meter'!O11+'Daily Meter'!Q12-'Daily Meter'!Q11+'Daily Meter'!S12-'Daily Meter'!S11+'Daily Meter'!U12-'Daily Meter'!U11)*480</f>
        <v>17424.000000000524</v>
      </c>
      <c r="F8" s="359">
        <v>0.44</v>
      </c>
      <c r="G8" s="355">
        <f>'Daily Meter'!W12-'Daily Meter'!W11</f>
        <v>153</v>
      </c>
      <c r="H8" s="360">
        <v>2.5</v>
      </c>
      <c r="I8" s="355">
        <f>('Daily Meter'!E12-'Daily Meter'!E11)*219.969</f>
        <v>43113.923999999999</v>
      </c>
      <c r="J8" s="359">
        <v>0.06</v>
      </c>
      <c r="K8" s="361">
        <f>('Daily Meter'!C12-'Daily Meter'!C11)*284.34</f>
        <v>5715.2339999995856</v>
      </c>
      <c r="L8" s="359">
        <f t="shared" si="1"/>
        <v>0.6429999999999999</v>
      </c>
      <c r="M8" s="355">
        <f>INT('Daily Meter'!X12*434/100)</f>
        <v>223</v>
      </c>
      <c r="N8" s="28" t="s">
        <v>19</v>
      </c>
    </row>
    <row r="9" spans="1:15">
      <c r="A9" s="28" t="s">
        <v>160</v>
      </c>
      <c r="B9" s="28">
        <f t="shared" si="0"/>
        <v>8</v>
      </c>
      <c r="C9" s="354">
        <v>1</v>
      </c>
      <c r="D9" s="28">
        <v>2023</v>
      </c>
      <c r="E9" s="355">
        <f>('Daily Meter'!K13-'Daily Meter'!K12+'Daily Meter'!M13-'Daily Meter'!M12+'Daily Meter'!O13-'Daily Meter'!O12+'Daily Meter'!Q13-'Daily Meter'!Q12+'Daily Meter'!S13-'Daily Meter'!S12+'Daily Meter'!U13-'Daily Meter'!U12)*480</f>
        <v>13440</v>
      </c>
      <c r="F9" s="359">
        <v>0.44</v>
      </c>
      <c r="G9" s="355">
        <f>'Daily Meter'!W13-'Daily Meter'!W12</f>
        <v>113.40000000000146</v>
      </c>
      <c r="H9" s="360">
        <v>2.5</v>
      </c>
      <c r="I9" s="355">
        <f>('Daily Meter'!E13-'Daily Meter'!E12)*219.969</f>
        <v>60491.474999999999</v>
      </c>
      <c r="J9" s="359">
        <v>0.06</v>
      </c>
      <c r="K9" s="361">
        <f>('Daily Meter'!C13-'Daily Meter'!C12)*284.34</f>
        <v>4151.3639999995858</v>
      </c>
      <c r="L9" s="359">
        <f t="shared" si="1"/>
        <v>0.6429999999999999</v>
      </c>
      <c r="M9" s="355">
        <f>INT('Daily Meter'!X13*434/100)</f>
        <v>161</v>
      </c>
      <c r="N9" s="28" t="s">
        <v>19</v>
      </c>
    </row>
    <row r="10" spans="1:15">
      <c r="A10" s="28" t="s">
        <v>160</v>
      </c>
      <c r="B10" s="28">
        <f t="shared" si="0"/>
        <v>9</v>
      </c>
      <c r="C10" s="354">
        <v>1</v>
      </c>
      <c r="D10" s="28">
        <v>2023</v>
      </c>
      <c r="E10" s="355">
        <f>('Daily Meter'!K14-'Daily Meter'!K13+'Daily Meter'!M14-'Daily Meter'!M13+'Daily Meter'!O14-'Daily Meter'!O13+'Daily Meter'!Q14-'Daily Meter'!Q13+'Daily Meter'!S14-'Daily Meter'!S13+'Daily Meter'!U14-'Daily Meter'!U13)*480</f>
        <v>18191.999999999825</v>
      </c>
      <c r="F10" s="359">
        <v>0.44</v>
      </c>
      <c r="G10" s="355">
        <f>'Daily Meter'!W14-'Daily Meter'!W13</f>
        <v>135.09999999999854</v>
      </c>
      <c r="H10" s="360">
        <v>2.5</v>
      </c>
      <c r="I10" s="355">
        <f>('Daily Meter'!E14-'Daily Meter'!E13)*219.969</f>
        <v>13858.047</v>
      </c>
      <c r="J10" s="359">
        <v>0.06</v>
      </c>
      <c r="K10" s="361">
        <f>('Daily Meter'!C14-'Daily Meter'!C13)*284.34</f>
        <v>4776.912000000827</v>
      </c>
      <c r="L10" s="359">
        <f t="shared" si="1"/>
        <v>0.6429999999999999</v>
      </c>
      <c r="M10" s="355">
        <f>INT('Daily Meter'!X14*434/100)</f>
        <v>310</v>
      </c>
      <c r="N10" s="28" t="s">
        <v>19</v>
      </c>
    </row>
    <row r="11" spans="1:15">
      <c r="A11" s="28" t="s">
        <v>160</v>
      </c>
      <c r="B11" s="28">
        <f t="shared" si="0"/>
        <v>10</v>
      </c>
      <c r="C11" s="354">
        <v>1</v>
      </c>
      <c r="D11" s="28">
        <v>2023</v>
      </c>
      <c r="E11" s="355">
        <f>('Daily Meter'!K15-'Daily Meter'!K14+'Daily Meter'!M15-'Daily Meter'!M14+'Daily Meter'!O15-'Daily Meter'!O14+'Daily Meter'!Q15-'Daily Meter'!Q14+'Daily Meter'!S15-'Daily Meter'!S14+'Daily Meter'!U15-'Daily Meter'!U14)*480</f>
        <v>16512.000000000698</v>
      </c>
      <c r="F11" s="359">
        <v>0.44</v>
      </c>
      <c r="G11" s="355">
        <f>'Daily Meter'!W15-'Daily Meter'!W14</f>
        <v>150.19999999999709</v>
      </c>
      <c r="H11" s="360">
        <v>2.5</v>
      </c>
      <c r="I11" s="355">
        <f>('Daily Meter'!E15-'Daily Meter'!E14)*219.969</f>
        <v>46193.49</v>
      </c>
      <c r="J11" s="359">
        <v>0.06</v>
      </c>
      <c r="K11" s="361">
        <f>('Daily Meter'!C15-'Daily Meter'!C14)*284.34</f>
        <v>6369.2160000004133</v>
      </c>
      <c r="L11" s="359">
        <f t="shared" si="1"/>
        <v>0.6429999999999999</v>
      </c>
      <c r="M11" s="355">
        <f>INT('Daily Meter'!X15*434/100)</f>
        <v>365</v>
      </c>
      <c r="N11" s="28" t="s">
        <v>19</v>
      </c>
    </row>
    <row r="12" spans="1:15">
      <c r="A12" s="28" t="s">
        <v>160</v>
      </c>
      <c r="B12" s="28">
        <f t="shared" si="0"/>
        <v>11</v>
      </c>
      <c r="C12" s="354">
        <v>1</v>
      </c>
      <c r="D12" s="28">
        <v>2023</v>
      </c>
      <c r="E12" s="355">
        <f>('Daily Meter'!K16-'Daily Meter'!K15+'Daily Meter'!M16-'Daily Meter'!M15+'Daily Meter'!O16-'Daily Meter'!O15+'Daily Meter'!Q16-'Daily Meter'!Q15+'Daily Meter'!S16-'Daily Meter'!S15+'Daily Meter'!U16-'Daily Meter'!U15)*480</f>
        <v>17040</v>
      </c>
      <c r="F12" s="359">
        <v>0.44</v>
      </c>
      <c r="G12" s="355">
        <f>'Daily Meter'!W16-'Daily Meter'!W15</f>
        <v>151</v>
      </c>
      <c r="H12" s="360">
        <v>2.5</v>
      </c>
      <c r="I12" s="355">
        <f>('Daily Meter'!E16-'Daily Meter'!E15)*219.969</f>
        <v>64230.947999999997</v>
      </c>
      <c r="J12" s="359">
        <v>0.06</v>
      </c>
      <c r="K12" s="361">
        <f>('Daily Meter'!C16-'Daily Meter'!C15)*284.34</f>
        <v>6056.4419999987585</v>
      </c>
      <c r="L12" s="359">
        <f t="shared" si="1"/>
        <v>0.6429999999999999</v>
      </c>
      <c r="M12" s="355">
        <f>INT('Daily Meter'!X16*434/100)</f>
        <v>365</v>
      </c>
      <c r="N12" s="28" t="s">
        <v>19</v>
      </c>
    </row>
    <row r="13" spans="1:15">
      <c r="A13" s="28" t="s">
        <v>160</v>
      </c>
      <c r="B13" s="28">
        <f t="shared" si="0"/>
        <v>12</v>
      </c>
      <c r="C13" s="354">
        <v>1</v>
      </c>
      <c r="D13" s="28">
        <v>2023</v>
      </c>
      <c r="E13" s="355">
        <f>('Daily Meter'!K17-'Daily Meter'!K16+'Daily Meter'!M17-'Daily Meter'!M16+'Daily Meter'!O17-'Daily Meter'!O16+'Daily Meter'!Q17-'Daily Meter'!Q16+'Daily Meter'!S17-'Daily Meter'!S16+'Daily Meter'!U17-'Daily Meter'!U16)*480</f>
        <v>17231.999999999825</v>
      </c>
      <c r="F13" s="359">
        <v>0.44</v>
      </c>
      <c r="G13" s="355">
        <f>'Daily Meter'!W17-'Daily Meter'!W16</f>
        <v>145.80000000000291</v>
      </c>
      <c r="H13" s="360">
        <v>2.5</v>
      </c>
      <c r="I13" s="355">
        <f>('Daily Meter'!E17-'Daily Meter'!E16)*219.969</f>
        <v>68410.358999999997</v>
      </c>
      <c r="J13" s="359">
        <v>0.06</v>
      </c>
      <c r="K13" s="361">
        <f>('Daily Meter'!C17-'Daily Meter'!C16)*284.34</f>
        <v>5032.8180000012408</v>
      </c>
      <c r="L13" s="359">
        <f t="shared" si="1"/>
        <v>0.6429999999999999</v>
      </c>
      <c r="M13" s="355">
        <f>INT('Daily Meter'!X17*434/100)</f>
        <v>290</v>
      </c>
      <c r="N13" s="28" t="s">
        <v>19</v>
      </c>
    </row>
    <row r="14" spans="1:15">
      <c r="A14" s="28" t="s">
        <v>160</v>
      </c>
      <c r="B14" s="28">
        <f t="shared" si="0"/>
        <v>13</v>
      </c>
      <c r="C14" s="354">
        <v>1</v>
      </c>
      <c r="D14" s="28">
        <v>2023</v>
      </c>
      <c r="E14" s="355">
        <f>('Daily Meter'!K18-'Daily Meter'!K17+'Daily Meter'!M18-'Daily Meter'!M17+'Daily Meter'!O18-'Daily Meter'!O17+'Daily Meter'!Q18-'Daily Meter'!Q17+'Daily Meter'!S18-'Daily Meter'!S17+'Daily Meter'!U18-'Daily Meter'!U17)*480</f>
        <v>17376.000000000349</v>
      </c>
      <c r="F14" s="359">
        <v>0.44</v>
      </c>
      <c r="G14" s="355">
        <f>'Daily Meter'!W18-'Daily Meter'!W17</f>
        <v>140.5</v>
      </c>
      <c r="H14" s="360">
        <v>2.5</v>
      </c>
      <c r="I14" s="355">
        <f>('Daily Meter'!E18-'Daily Meter'!E17)*219.969</f>
        <v>50812.839</v>
      </c>
      <c r="J14" s="359">
        <v>0.06</v>
      </c>
      <c r="K14" s="361">
        <f>('Daily Meter'!C18-'Daily Meter'!C17)*284.34</f>
        <v>4634.7419999987587</v>
      </c>
      <c r="L14" s="359">
        <f t="shared" si="1"/>
        <v>0.6429999999999999</v>
      </c>
      <c r="M14" s="355">
        <f>INT('Daily Meter'!X18*434/100)</f>
        <v>304</v>
      </c>
      <c r="N14" s="28" t="s">
        <v>19</v>
      </c>
    </row>
    <row r="15" spans="1:15">
      <c r="A15" s="28" t="s">
        <v>160</v>
      </c>
      <c r="B15" s="28">
        <f t="shared" si="0"/>
        <v>14</v>
      </c>
      <c r="C15" s="354">
        <v>1</v>
      </c>
      <c r="D15" s="28">
        <v>2023</v>
      </c>
      <c r="E15" s="355">
        <f>('Daily Meter'!K19-'Daily Meter'!K18+'Daily Meter'!M19-'Daily Meter'!M18+'Daily Meter'!O19-'Daily Meter'!O18+'Daily Meter'!Q19-'Daily Meter'!Q18+'Daily Meter'!S19-'Daily Meter'!S18+'Daily Meter'!U19-'Daily Meter'!U18)*480</f>
        <v>17088.000000000175</v>
      </c>
      <c r="F15" s="359">
        <v>0.44</v>
      </c>
      <c r="G15" s="355">
        <f>'Daily Meter'!W19-'Daily Meter'!W18</f>
        <v>145.09999999999854</v>
      </c>
      <c r="H15" s="360">
        <v>2.5</v>
      </c>
      <c r="I15" s="355">
        <f>('Daily Meter'!E19-'Daily Meter'!E18)*219.969</f>
        <v>49493.025000000001</v>
      </c>
      <c r="J15" s="359">
        <v>0.06</v>
      </c>
      <c r="K15" s="361">
        <f>('Daily Meter'!C19-'Daily Meter'!C18)*284.34</f>
        <v>4492.5720000008268</v>
      </c>
      <c r="L15" s="359">
        <f t="shared" si="1"/>
        <v>0.6429999999999999</v>
      </c>
      <c r="M15" s="355">
        <f>INT('Daily Meter'!X19*434/100)</f>
        <v>233</v>
      </c>
      <c r="N15" s="28" t="s">
        <v>19</v>
      </c>
    </row>
    <row r="16" spans="1:15">
      <c r="A16" s="28" t="s">
        <v>160</v>
      </c>
      <c r="B16" s="28">
        <f t="shared" si="0"/>
        <v>15</v>
      </c>
      <c r="C16" s="354">
        <v>1</v>
      </c>
      <c r="D16" s="28">
        <v>2023</v>
      </c>
      <c r="E16" s="355">
        <f>('Daily Meter'!K20-'Daily Meter'!K19+'Daily Meter'!M20-'Daily Meter'!M19+'Daily Meter'!O20-'Daily Meter'!O19+'Daily Meter'!Q20-'Daily Meter'!Q19+'Daily Meter'!S20-'Daily Meter'!S19+'Daily Meter'!U20-'Daily Meter'!U19)*480</f>
        <v>16368.000000000175</v>
      </c>
      <c r="F16" s="359">
        <v>0.44</v>
      </c>
      <c r="G16" s="355">
        <f>'Daily Meter'!W20-'Daily Meter'!W19</f>
        <v>137.70000000000437</v>
      </c>
      <c r="H16" s="360">
        <v>2.5</v>
      </c>
      <c r="I16" s="355">
        <f>('Daily Meter'!E20-'Daily Meter'!E19)*219.969</f>
        <v>65330.792999999998</v>
      </c>
      <c r="J16" s="359">
        <v>0.06</v>
      </c>
      <c r="K16" s="361">
        <f>('Daily Meter'!C20-'Daily Meter'!C19)*284.34</f>
        <v>4577.873999999586</v>
      </c>
      <c r="L16" s="359">
        <f t="shared" si="1"/>
        <v>0.6429999999999999</v>
      </c>
      <c r="M16" s="355">
        <f>INT('Daily Meter'!X20*434/100)</f>
        <v>178</v>
      </c>
      <c r="N16" s="28" t="s">
        <v>19</v>
      </c>
    </row>
    <row r="17" spans="1:14">
      <c r="A17" s="28" t="s">
        <v>160</v>
      </c>
      <c r="B17" s="28">
        <f t="shared" si="0"/>
        <v>16</v>
      </c>
      <c r="C17" s="354">
        <v>1</v>
      </c>
      <c r="D17" s="28">
        <v>2023</v>
      </c>
      <c r="E17" s="355">
        <f>('Daily Meter'!K21-'Daily Meter'!K20+'Daily Meter'!M21-'Daily Meter'!M20+'Daily Meter'!O21-'Daily Meter'!O20+'Daily Meter'!Q21-'Daily Meter'!Q20+'Daily Meter'!S21-'Daily Meter'!S20+'Daily Meter'!U21-'Daily Meter'!U20)*480</f>
        <v>15887.999999999302</v>
      </c>
      <c r="F17" s="359">
        <v>0.44</v>
      </c>
      <c r="G17" s="355">
        <f>'Daily Meter'!W21-'Daily Meter'!W20</f>
        <v>126.5</v>
      </c>
      <c r="H17" s="360">
        <v>2.5</v>
      </c>
      <c r="I17" s="355">
        <f>('Daily Meter'!E21-'Daily Meter'!E20)*219.969</f>
        <v>50812.839</v>
      </c>
      <c r="J17" s="359">
        <v>0.06</v>
      </c>
      <c r="K17" s="361">
        <f>('Daily Meter'!C21-'Daily Meter'!C20)*284.34</f>
        <v>4805.3460000004134</v>
      </c>
      <c r="L17" s="359">
        <f t="shared" si="1"/>
        <v>0.6429999999999999</v>
      </c>
      <c r="M17" s="355">
        <f>INT('Daily Meter'!X21*434/100)</f>
        <v>344</v>
      </c>
      <c r="N17" s="28" t="s">
        <v>19</v>
      </c>
    </row>
    <row r="18" spans="1:14">
      <c r="A18" s="28" t="s">
        <v>160</v>
      </c>
      <c r="B18" s="28">
        <f t="shared" si="0"/>
        <v>17</v>
      </c>
      <c r="C18" s="354">
        <v>1</v>
      </c>
      <c r="D18" s="28">
        <v>2023</v>
      </c>
      <c r="E18" s="355">
        <f>('Daily Meter'!K22-'Daily Meter'!K21+'Daily Meter'!M22-'Daily Meter'!M21+'Daily Meter'!O22-'Daily Meter'!O21+'Daily Meter'!Q22-'Daily Meter'!Q21+'Daily Meter'!S22-'Daily Meter'!S21+'Daily Meter'!U22-'Daily Meter'!U21)*480</f>
        <v>18768.000000000175</v>
      </c>
      <c r="F18" s="359">
        <v>0.44</v>
      </c>
      <c r="G18" s="355">
        <f>'Daily Meter'!W22-'Daily Meter'!W21</f>
        <v>166.79999999999563</v>
      </c>
      <c r="H18" s="360">
        <v>2.5</v>
      </c>
      <c r="I18" s="355">
        <f>('Daily Meter'!E22-'Daily Meter'!E21)*219.969</f>
        <v>35854.947</v>
      </c>
      <c r="J18" s="359">
        <v>0.06</v>
      </c>
      <c r="K18" s="361">
        <f>('Daily Meter'!C22-'Daily Meter'!C21)*284.34</f>
        <v>5942.706000000413</v>
      </c>
      <c r="L18" s="359">
        <f t="shared" si="1"/>
        <v>0.6429999999999999</v>
      </c>
      <c r="M18" s="355">
        <f>INT('Daily Meter'!X22*434/100)</f>
        <v>405</v>
      </c>
      <c r="N18" s="28" t="s">
        <v>19</v>
      </c>
    </row>
    <row r="19" spans="1:14">
      <c r="A19" s="28" t="s">
        <v>160</v>
      </c>
      <c r="B19" s="28">
        <f t="shared" si="0"/>
        <v>18</v>
      </c>
      <c r="C19" s="354">
        <v>1</v>
      </c>
      <c r="D19" s="28">
        <v>2023</v>
      </c>
      <c r="E19" s="355">
        <f>('Daily Meter'!K23-'Daily Meter'!K22+'Daily Meter'!M23-'Daily Meter'!M22+'Daily Meter'!O23-'Daily Meter'!O22+'Daily Meter'!Q23-'Daily Meter'!Q22+'Daily Meter'!S23-'Daily Meter'!S22+'Daily Meter'!U23-'Daily Meter'!U22)*480</f>
        <v>14352.000000000698</v>
      </c>
      <c r="F19" s="359">
        <v>0.44</v>
      </c>
      <c r="G19" s="355">
        <f>'Daily Meter'!W23-'Daily Meter'!W22</f>
        <v>128.80000000000291</v>
      </c>
      <c r="H19" s="360">
        <v>2.5</v>
      </c>
      <c r="I19" s="355">
        <f>('Daily Meter'!E23-'Daily Meter'!E22)*219.969</f>
        <v>51692.714999999997</v>
      </c>
      <c r="J19" s="359">
        <v>0.06</v>
      </c>
      <c r="K19" s="361">
        <f>('Daily Meter'!C23-'Daily Meter'!C22)*284.34</f>
        <v>4208.2319999987585</v>
      </c>
      <c r="L19" s="359">
        <f t="shared" si="1"/>
        <v>0.6429999999999999</v>
      </c>
      <c r="M19" s="355">
        <f>INT('Daily Meter'!X23*434/100)</f>
        <v>428</v>
      </c>
      <c r="N19" s="28" t="s">
        <v>19</v>
      </c>
    </row>
    <row r="20" spans="1:14">
      <c r="A20" s="28" t="s">
        <v>160</v>
      </c>
      <c r="B20" s="28">
        <f t="shared" si="0"/>
        <v>19</v>
      </c>
      <c r="C20" s="354">
        <v>1</v>
      </c>
      <c r="D20" s="28">
        <v>2023</v>
      </c>
      <c r="E20" s="355">
        <f>('Daily Meter'!K24-'Daily Meter'!K23+'Daily Meter'!M24-'Daily Meter'!M23+'Daily Meter'!O24-'Daily Meter'!O23+'Daily Meter'!Q24-'Daily Meter'!Q23+'Daily Meter'!S24-'Daily Meter'!S23+'Daily Meter'!U24-'Daily Meter'!U23)*480</f>
        <v>17471.999999998952</v>
      </c>
      <c r="F20" s="359">
        <v>0.44</v>
      </c>
      <c r="G20" s="355">
        <f>'Daily Meter'!W24-'Daily Meter'!W23</f>
        <v>157</v>
      </c>
      <c r="H20" s="360">
        <v>2.5</v>
      </c>
      <c r="I20" s="355">
        <f>('Daily Meter'!E24-'Daily Meter'!E23)*219.969</f>
        <v>78748.902000000002</v>
      </c>
      <c r="J20" s="359">
        <v>0.06</v>
      </c>
      <c r="K20" s="361">
        <f>('Daily Meter'!C24-'Daily Meter'!C23)*284.34</f>
        <v>4919.0820000008271</v>
      </c>
      <c r="L20" s="359">
        <f t="shared" si="1"/>
        <v>0.6429999999999999</v>
      </c>
      <c r="M20" s="355">
        <f>INT('Daily Meter'!X24*434/100)</f>
        <v>409</v>
      </c>
      <c r="N20" s="28" t="s">
        <v>19</v>
      </c>
    </row>
    <row r="21" spans="1:14">
      <c r="A21" s="28" t="s">
        <v>160</v>
      </c>
      <c r="B21" s="28">
        <f t="shared" si="0"/>
        <v>20</v>
      </c>
      <c r="C21" s="354">
        <v>1</v>
      </c>
      <c r="D21" s="28">
        <v>2023</v>
      </c>
      <c r="E21" s="355">
        <f>('Daily Meter'!K25-'Daily Meter'!K24+'Daily Meter'!M25-'Daily Meter'!M24+'Daily Meter'!O25-'Daily Meter'!O24+'Daily Meter'!Q25-'Daily Meter'!Q24+'Daily Meter'!S25-'Daily Meter'!S24+'Daily Meter'!U25-'Daily Meter'!U24)*480</f>
        <v>21600</v>
      </c>
      <c r="F21" s="359">
        <v>0.44</v>
      </c>
      <c r="G21" s="355">
        <f>'Daily Meter'!W25-'Daily Meter'!W24</f>
        <v>192.90000000000146</v>
      </c>
      <c r="H21" s="360">
        <v>2.5</v>
      </c>
      <c r="I21" s="355">
        <f>('Daily Meter'!E25-'Daily Meter'!E24)*219.969</f>
        <v>63571.040999999997</v>
      </c>
      <c r="J21" s="359">
        <v>0.06</v>
      </c>
      <c r="K21" s="361">
        <f>('Daily Meter'!C25-'Daily Meter'!C24)*284.34</f>
        <v>5828.9699999999993</v>
      </c>
      <c r="L21" s="359">
        <f t="shared" si="1"/>
        <v>0.6429999999999999</v>
      </c>
      <c r="M21" s="355">
        <f>INT('Daily Meter'!X25*434/100)</f>
        <v>398</v>
      </c>
      <c r="N21" s="28" t="s">
        <v>19</v>
      </c>
    </row>
    <row r="22" spans="1:14">
      <c r="A22" s="28" t="s">
        <v>160</v>
      </c>
      <c r="B22" s="28">
        <f t="shared" si="0"/>
        <v>21</v>
      </c>
      <c r="C22" s="354">
        <v>1</v>
      </c>
      <c r="D22" s="28">
        <v>2023</v>
      </c>
      <c r="E22" s="355">
        <f>('Daily Meter'!K26-'Daily Meter'!K25+'Daily Meter'!M26-'Daily Meter'!M25+'Daily Meter'!O26-'Daily Meter'!O25+'Daily Meter'!Q26-'Daily Meter'!Q25+'Daily Meter'!S26-'Daily Meter'!S25+'Daily Meter'!U26-'Daily Meter'!U25)*480</f>
        <v>13440</v>
      </c>
      <c r="F22" s="359">
        <v>0.44</v>
      </c>
      <c r="G22" s="355">
        <f>'Daily Meter'!W26-'Daily Meter'!W25</f>
        <v>113.79999999999563</v>
      </c>
      <c r="H22" s="360">
        <v>2.5</v>
      </c>
      <c r="I22" s="355">
        <f>('Daily Meter'!E26-'Daily Meter'!E25)*219.969</f>
        <v>47733.273000000001</v>
      </c>
      <c r="J22" s="359">
        <v>0.06</v>
      </c>
      <c r="K22" s="361">
        <f>('Daily Meter'!C26-'Daily Meter'!C25)*284.34</f>
        <v>3383.6460000004136</v>
      </c>
      <c r="L22" s="359">
        <f t="shared" si="1"/>
        <v>0.6429999999999999</v>
      </c>
      <c r="M22" s="355">
        <f>INT('Daily Meter'!X26*434/100)</f>
        <v>279</v>
      </c>
      <c r="N22" s="28" t="s">
        <v>19</v>
      </c>
    </row>
    <row r="23" spans="1:14">
      <c r="A23" s="28" t="s">
        <v>160</v>
      </c>
      <c r="B23" s="28">
        <f t="shared" si="0"/>
        <v>22</v>
      </c>
      <c r="C23" s="354">
        <v>1</v>
      </c>
      <c r="D23" s="28">
        <v>2023</v>
      </c>
      <c r="E23" s="355">
        <f>('Daily Meter'!K27-'Daily Meter'!K26+'Daily Meter'!M27-'Daily Meter'!M26+'Daily Meter'!O27-'Daily Meter'!O26+'Daily Meter'!Q27-'Daily Meter'!Q26+'Daily Meter'!S27-'Daily Meter'!S26+'Daily Meter'!U27-'Daily Meter'!U26)*480</f>
        <v>16463.999999999651</v>
      </c>
      <c r="F23" s="359">
        <v>0.44</v>
      </c>
      <c r="G23" s="355">
        <f>'Daily Meter'!W27-'Daily Meter'!W26</f>
        <v>155.40000000000146</v>
      </c>
      <c r="H23" s="360">
        <v>2.5</v>
      </c>
      <c r="I23" s="355">
        <f>('Daily Meter'!E27-'Daily Meter'!E26)*219.969</f>
        <v>50152.932000000001</v>
      </c>
      <c r="J23" s="359">
        <v>0.06</v>
      </c>
      <c r="K23" s="361">
        <f>('Daily Meter'!C27-'Daily Meter'!C26)*284.34</f>
        <v>4862.2139999995861</v>
      </c>
      <c r="L23" s="359">
        <f t="shared" si="1"/>
        <v>0.6429999999999999</v>
      </c>
      <c r="M23" s="355">
        <f>INT('Daily Meter'!X27*434/100)</f>
        <v>207</v>
      </c>
      <c r="N23" s="28" t="s">
        <v>19</v>
      </c>
    </row>
    <row r="24" spans="1:14">
      <c r="A24" s="28" t="s">
        <v>160</v>
      </c>
      <c r="B24" s="28">
        <f t="shared" si="0"/>
        <v>23</v>
      </c>
      <c r="C24" s="354">
        <v>1</v>
      </c>
      <c r="D24" s="28">
        <v>2023</v>
      </c>
      <c r="E24" s="355">
        <f>('Daily Meter'!K28-'Daily Meter'!K27+'Daily Meter'!M28-'Daily Meter'!M27+'Daily Meter'!O28-'Daily Meter'!O27+'Daily Meter'!Q28-'Daily Meter'!Q27+'Daily Meter'!S28-'Daily Meter'!S27+'Daily Meter'!U28-'Daily Meter'!U27)*480</f>
        <v>18240</v>
      </c>
      <c r="F24" s="359">
        <v>0.44</v>
      </c>
      <c r="G24" s="355">
        <f>'Daily Meter'!W28-'Daily Meter'!W27</f>
        <v>162.59999999999854</v>
      </c>
      <c r="H24" s="360">
        <v>2.5</v>
      </c>
      <c r="I24" s="355">
        <f>('Daily Meter'!E28-'Daily Meter'!E27)*219.969</f>
        <v>35415.008999999998</v>
      </c>
      <c r="J24" s="359">
        <v>0.06</v>
      </c>
      <c r="K24" s="361">
        <f>('Daily Meter'!C28-'Daily Meter'!C27)*284.34</f>
        <v>4947.5160000004134</v>
      </c>
      <c r="L24" s="359">
        <f t="shared" si="1"/>
        <v>0.6429999999999999</v>
      </c>
      <c r="M24" s="355">
        <f>INT('Daily Meter'!X28*434/100)</f>
        <v>270</v>
      </c>
      <c r="N24" s="28" t="s">
        <v>19</v>
      </c>
    </row>
    <row r="25" spans="1:14">
      <c r="A25" s="28" t="s">
        <v>160</v>
      </c>
      <c r="B25" s="28">
        <f t="shared" si="0"/>
        <v>24</v>
      </c>
      <c r="C25" s="354">
        <v>1</v>
      </c>
      <c r="D25" s="28">
        <v>2023</v>
      </c>
      <c r="E25" s="355">
        <f>('Daily Meter'!K29-'Daily Meter'!K28+'Daily Meter'!M29-'Daily Meter'!M28+'Daily Meter'!O29-'Daily Meter'!O28+'Daily Meter'!Q29-'Daily Meter'!Q28+'Daily Meter'!S29-'Daily Meter'!S28+'Daily Meter'!U29-'Daily Meter'!U28)*480</f>
        <v>15935.999999999476</v>
      </c>
      <c r="F25" s="359">
        <v>0.44</v>
      </c>
      <c r="G25" s="355">
        <f>'Daily Meter'!W29-'Daily Meter'!W28</f>
        <v>100.40000000000146</v>
      </c>
      <c r="H25" s="360">
        <v>2.5</v>
      </c>
      <c r="I25" s="355">
        <f>('Daily Meter'!E29-'Daily Meter'!E28)*219.969</f>
        <v>79408.808999999994</v>
      </c>
      <c r="J25" s="359">
        <v>0.06</v>
      </c>
      <c r="K25" s="361">
        <f>('Daily Meter'!C29-'Daily Meter'!C28)*284.34</f>
        <v>4350.4019999987586</v>
      </c>
      <c r="L25" s="359">
        <f t="shared" si="1"/>
        <v>0.6429999999999999</v>
      </c>
      <c r="M25" s="355">
        <f>INT('Daily Meter'!X29*434/100)</f>
        <v>275</v>
      </c>
      <c r="N25" s="28" t="s">
        <v>19</v>
      </c>
    </row>
    <row r="26" spans="1:14">
      <c r="A26" s="28" t="s">
        <v>160</v>
      </c>
      <c r="B26" s="28">
        <f t="shared" si="0"/>
        <v>25</v>
      </c>
      <c r="C26" s="354">
        <v>1</v>
      </c>
      <c r="D26" s="28">
        <v>2023</v>
      </c>
      <c r="E26" s="355">
        <f>('Daily Meter'!K30-'Daily Meter'!K29+'Daily Meter'!M30-'Daily Meter'!M29+'Daily Meter'!O30-'Daily Meter'!O29+'Daily Meter'!Q30-'Daily Meter'!Q29+'Daily Meter'!S30-'Daily Meter'!S29+'Daily Meter'!U30-'Daily Meter'!U29)*480</f>
        <v>17280.000000000873</v>
      </c>
      <c r="F26" s="359">
        <v>0.44</v>
      </c>
      <c r="G26" s="355">
        <f>'Daily Meter'!W30-'Daily Meter'!W29</f>
        <v>149.19999999999709</v>
      </c>
      <c r="H26" s="360">
        <v>2.5</v>
      </c>
      <c r="I26" s="355">
        <f>('Daily Meter'!E30-'Daily Meter'!E29)*219.969</f>
        <v>33655.256999999998</v>
      </c>
      <c r="J26" s="359">
        <v>0.06</v>
      </c>
      <c r="K26" s="361">
        <f>('Daily Meter'!C30-'Daily Meter'!C29)*284.34</f>
        <v>4577.873999999586</v>
      </c>
      <c r="L26" s="359">
        <f t="shared" si="1"/>
        <v>0.6429999999999999</v>
      </c>
      <c r="M26" s="355">
        <f>INT('Daily Meter'!X30*434/100)</f>
        <v>332</v>
      </c>
      <c r="N26" s="28" t="s">
        <v>19</v>
      </c>
    </row>
    <row r="27" spans="1:14">
      <c r="A27" s="28" t="s">
        <v>160</v>
      </c>
      <c r="B27" s="28">
        <f t="shared" si="0"/>
        <v>26</v>
      </c>
      <c r="C27" s="354">
        <v>1</v>
      </c>
      <c r="D27" s="28">
        <v>2023</v>
      </c>
      <c r="E27" s="355">
        <f>('Daily Meter'!K31-'Daily Meter'!K30+'Daily Meter'!M31-'Daily Meter'!M30+'Daily Meter'!O31-'Daily Meter'!O30+'Daily Meter'!Q31-'Daily Meter'!Q30+'Daily Meter'!S31-'Daily Meter'!S30+'Daily Meter'!U31-'Daily Meter'!U30)*480</f>
        <v>17663.999999999651</v>
      </c>
      <c r="F27" s="359">
        <v>0.44</v>
      </c>
      <c r="G27" s="355">
        <f>'Daily Meter'!W31-'Daily Meter'!W30</f>
        <v>146.60000000000582</v>
      </c>
      <c r="H27" s="360">
        <v>2.5</v>
      </c>
      <c r="I27" s="355">
        <f>('Daily Meter'!E31-'Daily Meter'!E30)*219.969</f>
        <v>48833.118000000002</v>
      </c>
      <c r="J27" s="359">
        <v>0.06</v>
      </c>
      <c r="K27" s="361">
        <f>('Daily Meter'!C31-'Daily Meter'!C30)*284.34</f>
        <v>4122.9299999999994</v>
      </c>
      <c r="L27" s="359">
        <f t="shared" si="1"/>
        <v>0.6429999999999999</v>
      </c>
      <c r="M27" s="355">
        <f>INT('Daily Meter'!X31*434/100)</f>
        <v>384</v>
      </c>
      <c r="N27" s="28" t="s">
        <v>19</v>
      </c>
    </row>
    <row r="28" spans="1:14">
      <c r="A28" s="28" t="s">
        <v>160</v>
      </c>
      <c r="B28" s="28">
        <f t="shared" si="0"/>
        <v>27</v>
      </c>
      <c r="C28" s="354">
        <v>1</v>
      </c>
      <c r="D28" s="28">
        <v>2023</v>
      </c>
      <c r="E28" s="355">
        <f>('Daily Meter'!K32-'Daily Meter'!K31+'Daily Meter'!M32-'Daily Meter'!M31+'Daily Meter'!O32-'Daily Meter'!O31+'Daily Meter'!Q32-'Daily Meter'!Q31+'Daily Meter'!S32-'Daily Meter'!S31+'Daily Meter'!U32-'Daily Meter'!U31)*480</f>
        <v>16655.999999999476</v>
      </c>
      <c r="F28" s="359">
        <v>0.44</v>
      </c>
      <c r="G28" s="355">
        <f>'Daily Meter'!W32-'Daily Meter'!W31</f>
        <v>140.89999999999418</v>
      </c>
      <c r="H28" s="360">
        <v>2.5</v>
      </c>
      <c r="I28" s="355">
        <f>('Daily Meter'!E32-'Daily Meter'!E31)*219.969</f>
        <v>74349.521999999997</v>
      </c>
      <c r="J28" s="359">
        <v>0.06</v>
      </c>
      <c r="K28" s="361">
        <f>('Daily Meter'!C32-'Daily Meter'!C31)*284.34</f>
        <v>4122.9299999999994</v>
      </c>
      <c r="L28" s="359">
        <f t="shared" si="1"/>
        <v>0.6429999999999999</v>
      </c>
      <c r="M28" s="355">
        <f>INT('Daily Meter'!X32*434/100)</f>
        <v>352</v>
      </c>
      <c r="N28" s="28" t="s">
        <v>19</v>
      </c>
    </row>
    <row r="29" spans="1:14">
      <c r="A29" s="28" t="s">
        <v>160</v>
      </c>
      <c r="B29" s="28">
        <f t="shared" si="0"/>
        <v>28</v>
      </c>
      <c r="C29" s="354">
        <v>1</v>
      </c>
      <c r="D29" s="28">
        <v>2023</v>
      </c>
      <c r="E29" s="355">
        <f>('Daily Meter'!K33-'Daily Meter'!K32+'Daily Meter'!M33-'Daily Meter'!M32+'Daily Meter'!O33-'Daily Meter'!O32+'Daily Meter'!Q33-'Daily Meter'!Q32+'Daily Meter'!S33-'Daily Meter'!S32+'Daily Meter'!U33-'Daily Meter'!U32)*480</f>
        <v>17184.000000000524</v>
      </c>
      <c r="F29" s="359">
        <v>0.44</v>
      </c>
      <c r="G29" s="355">
        <f>'Daily Meter'!W33-'Daily Meter'!W32</f>
        <v>150.80000000000291</v>
      </c>
      <c r="H29" s="360">
        <v>2.5</v>
      </c>
      <c r="I29" s="355">
        <f>('Daily Meter'!E33-'Daily Meter'!E32)*219.969</f>
        <v>31675.536</v>
      </c>
      <c r="J29" s="359">
        <v>0.06</v>
      </c>
      <c r="K29" s="361">
        <f>('Daily Meter'!C33-'Daily Meter'!C32)*284.34</f>
        <v>3923.892000000827</v>
      </c>
      <c r="L29" s="359">
        <f t="shared" si="1"/>
        <v>0.6429999999999999</v>
      </c>
      <c r="M29" s="355">
        <f>INT('Daily Meter'!X33*434/100)</f>
        <v>328</v>
      </c>
      <c r="N29" s="28" t="s">
        <v>19</v>
      </c>
    </row>
    <row r="30" spans="1:14">
      <c r="A30" s="28" t="s">
        <v>160</v>
      </c>
      <c r="B30" s="28">
        <f t="shared" si="0"/>
        <v>29</v>
      </c>
      <c r="C30" s="354">
        <v>1</v>
      </c>
      <c r="D30" s="28">
        <v>2023</v>
      </c>
      <c r="E30" s="355">
        <f>('Daily Meter'!K34-'Daily Meter'!K33+'Daily Meter'!M34-'Daily Meter'!M33+'Daily Meter'!O34-'Daily Meter'!O33+'Daily Meter'!Q34-'Daily Meter'!Q33+'Daily Meter'!S34-'Daily Meter'!S33+'Daily Meter'!U34-'Daily Meter'!U33)*480</f>
        <v>17375.999999999476</v>
      </c>
      <c r="F30" s="359">
        <v>0.44</v>
      </c>
      <c r="G30" s="355">
        <f>'Daily Meter'!W34-'Daily Meter'!W33</f>
        <v>148.69999999999709</v>
      </c>
      <c r="H30" s="360">
        <v>2.5</v>
      </c>
      <c r="I30" s="355">
        <f>('Daily Meter'!E34-'Daily Meter'!E33)*219.969</f>
        <v>70390.080000000002</v>
      </c>
      <c r="J30" s="359">
        <v>0.06</v>
      </c>
      <c r="K30" s="361">
        <f>('Daily Meter'!C34-'Daily Meter'!C33)*284.34</f>
        <v>3923.892000000827</v>
      </c>
      <c r="L30" s="359">
        <f t="shared" si="1"/>
        <v>0.6429999999999999</v>
      </c>
      <c r="M30" s="355">
        <f>INT('Daily Meter'!X34*434/100)</f>
        <v>337</v>
      </c>
      <c r="N30" s="28" t="s">
        <v>19</v>
      </c>
    </row>
    <row r="31" spans="1:14">
      <c r="A31" s="28" t="s">
        <v>160</v>
      </c>
      <c r="B31" s="28">
        <f t="shared" si="0"/>
        <v>30</v>
      </c>
      <c r="C31" s="354">
        <v>1</v>
      </c>
      <c r="D31" s="28">
        <v>2023</v>
      </c>
      <c r="E31" s="355">
        <f>('Daily Meter'!K35-'Daily Meter'!K34+'Daily Meter'!M35-'Daily Meter'!M34+'Daily Meter'!O35-'Daily Meter'!O34+'Daily Meter'!Q35-'Daily Meter'!Q34+'Daily Meter'!S35-'Daily Meter'!S34+'Daily Meter'!U35-'Daily Meter'!U34)*480</f>
        <v>19536.000000000349</v>
      </c>
      <c r="F31" s="359">
        <v>0.44</v>
      </c>
      <c r="G31" s="355">
        <f>'Daily Meter'!W35-'Daily Meter'!W34</f>
        <v>174.10000000000582</v>
      </c>
      <c r="H31" s="360">
        <v>2.5</v>
      </c>
      <c r="I31" s="355">
        <f>('Daily Meter'!E35-'Daily Meter'!E34)*219.969</f>
        <v>50592.869999999995</v>
      </c>
      <c r="J31" s="359">
        <v>0.06</v>
      </c>
      <c r="K31" s="361">
        <f>('Daily Meter'!C35-'Daily Meter'!C34)*284.34</f>
        <v>5032.8179999991717</v>
      </c>
      <c r="L31" s="359">
        <f t="shared" si="1"/>
        <v>0.6429999999999999</v>
      </c>
      <c r="M31" s="355">
        <f>INT('Daily Meter'!X35*434/100)</f>
        <v>411</v>
      </c>
      <c r="N31" s="28" t="s">
        <v>19</v>
      </c>
    </row>
    <row r="32" spans="1:14">
      <c r="A32" s="28" t="s">
        <v>160</v>
      </c>
      <c r="B32" s="28">
        <f t="shared" si="0"/>
        <v>31</v>
      </c>
      <c r="C32" s="354">
        <v>1</v>
      </c>
      <c r="D32" s="28">
        <v>2023</v>
      </c>
      <c r="E32" s="355">
        <f>('Daily Meter'!K36-'Daily Meter'!K35+'Daily Meter'!M36-'Daily Meter'!M35+'Daily Meter'!O36-'Daily Meter'!O35+'Daily Meter'!Q36-'Daily Meter'!Q35+'Daily Meter'!S36-'Daily Meter'!S35+'Daily Meter'!U36-'Daily Meter'!U35)*480</f>
        <v>16368.000000001048</v>
      </c>
      <c r="F32" s="359">
        <v>0.44</v>
      </c>
      <c r="G32" s="355">
        <f>'Daily Meter'!W36-'Daily Meter'!W35</f>
        <v>145.29999999999563</v>
      </c>
      <c r="H32" s="360">
        <v>2.5</v>
      </c>
      <c r="I32" s="355">
        <f>('Daily Meter'!E36-'Daily Meter'!E35)*219.969</f>
        <v>89307.414000000004</v>
      </c>
      <c r="J32" s="359">
        <v>0.06</v>
      </c>
      <c r="K32" s="361">
        <f>('Daily Meter'!C36-'Daily Meter'!C35)*284.34</f>
        <v>4435.7039999995859</v>
      </c>
      <c r="L32" s="359">
        <f t="shared" si="1"/>
        <v>0.6429999999999999</v>
      </c>
      <c r="M32" s="355">
        <f>INT('Daily Meter'!X36*434/100)</f>
        <v>425</v>
      </c>
      <c r="N32" s="2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5C2B-80C6-4EC9-8B41-FA9A7E76D603}">
  <dimension ref="A1:O32"/>
  <sheetViews>
    <sheetView workbookViewId="0">
      <selection activeCell="A15" sqref="A15"/>
    </sheetView>
  </sheetViews>
  <sheetFormatPr defaultColWidth="11.578125" defaultRowHeight="14.4"/>
  <cols>
    <col min="1" max="1" width="23" style="28" customWidth="1"/>
    <col min="2" max="2" width="11.578125" style="28"/>
    <col min="3" max="3" width="11.578125" style="354"/>
    <col min="4" max="4" width="13.41796875" style="28" customWidth="1"/>
    <col min="5" max="5" width="12.578125" style="28" customWidth="1"/>
    <col min="6" max="6" width="12.578125" style="356" customWidth="1"/>
    <col min="7" max="8" width="11.578125" style="28"/>
    <col min="9" max="9" width="11.578125" style="356"/>
    <col min="10" max="13" width="11.578125" style="28"/>
    <col min="14" max="14" width="11.578125" style="355"/>
    <col min="15" max="15" width="11.578125" style="28"/>
  </cols>
  <sheetData>
    <row r="1" spans="1:15" s="353" customFormat="1" ht="28.8">
      <c r="A1" s="348" t="s">
        <v>153</v>
      </c>
      <c r="B1" s="348" t="s">
        <v>154</v>
      </c>
      <c r="C1" s="349" t="s">
        <v>155</v>
      </c>
      <c r="D1" s="348" t="s">
        <v>156</v>
      </c>
      <c r="E1" s="350" t="s">
        <v>38</v>
      </c>
      <c r="F1" s="351" t="s">
        <v>39</v>
      </c>
      <c r="G1" s="350" t="s">
        <v>40</v>
      </c>
      <c r="H1" s="350" t="s">
        <v>41</v>
      </c>
      <c r="I1" s="351" t="s">
        <v>42</v>
      </c>
      <c r="J1" s="350" t="s">
        <v>43</v>
      </c>
      <c r="K1" s="352" t="s">
        <v>157</v>
      </c>
      <c r="L1" s="350" t="s">
        <v>54</v>
      </c>
      <c r="M1" s="350" t="s">
        <v>58</v>
      </c>
      <c r="N1" s="352" t="s">
        <v>158</v>
      </c>
      <c r="O1" s="350" t="s">
        <v>159</v>
      </c>
    </row>
    <row r="2" spans="1:15">
      <c r="A2" s="28" t="s">
        <v>160</v>
      </c>
      <c r="B2" s="28">
        <v>1</v>
      </c>
      <c r="C2" s="354">
        <v>1</v>
      </c>
      <c r="D2" s="28">
        <v>2023</v>
      </c>
      <c r="E2" s="355" t="s">
        <v>19</v>
      </c>
      <c r="F2" s="355" t="s">
        <v>19</v>
      </c>
      <c r="G2" s="355" t="s">
        <v>19</v>
      </c>
      <c r="H2" s="355" t="s">
        <v>19</v>
      </c>
      <c r="I2" s="355" t="s">
        <v>19</v>
      </c>
      <c r="J2" s="355" t="s">
        <v>19</v>
      </c>
      <c r="K2" s="355" t="s">
        <v>19</v>
      </c>
      <c r="L2" s="355" t="s">
        <v>19</v>
      </c>
      <c r="M2" s="355" t="s">
        <v>19</v>
      </c>
      <c r="N2" s="355">
        <f>Sheet2!M2</f>
        <v>326</v>
      </c>
      <c r="O2" s="28" t="s">
        <v>19</v>
      </c>
    </row>
    <row r="3" spans="1:15">
      <c r="A3" s="28" t="s">
        <v>160</v>
      </c>
      <c r="B3" s="28">
        <f t="shared" ref="B3:B32" si="0">B2+1</f>
        <v>2</v>
      </c>
      <c r="C3" s="354">
        <v>1</v>
      </c>
      <c r="D3" s="28">
        <v>2023</v>
      </c>
      <c r="E3" s="355" t="s">
        <v>19</v>
      </c>
      <c r="F3" s="355" t="s">
        <v>19</v>
      </c>
      <c r="G3" s="355" t="s">
        <v>19</v>
      </c>
      <c r="H3" s="355" t="s">
        <v>19</v>
      </c>
      <c r="I3" s="355" t="s">
        <v>19</v>
      </c>
      <c r="J3" s="355" t="s">
        <v>19</v>
      </c>
      <c r="K3" s="355" t="s">
        <v>19</v>
      </c>
      <c r="L3" s="355" t="s">
        <v>19</v>
      </c>
      <c r="M3" s="355" t="s">
        <v>19</v>
      </c>
      <c r="N3" s="355">
        <f>Sheet2!M3</f>
        <v>272</v>
      </c>
      <c r="O3" s="28" t="s">
        <v>19</v>
      </c>
    </row>
    <row r="4" spans="1:15">
      <c r="A4" s="28" t="s">
        <v>160</v>
      </c>
      <c r="B4" s="28">
        <f t="shared" si="0"/>
        <v>3</v>
      </c>
      <c r="C4" s="354">
        <v>1</v>
      </c>
      <c r="D4" s="28">
        <v>2023</v>
      </c>
      <c r="E4" s="355" t="s">
        <v>19</v>
      </c>
      <c r="F4" s="355" t="s">
        <v>19</v>
      </c>
      <c r="G4" s="355" t="s">
        <v>19</v>
      </c>
      <c r="H4" s="355" t="s">
        <v>19</v>
      </c>
      <c r="I4" s="355" t="s">
        <v>19</v>
      </c>
      <c r="J4" s="355" t="s">
        <v>19</v>
      </c>
      <c r="K4" s="355" t="s">
        <v>19</v>
      </c>
      <c r="L4" s="355" t="s">
        <v>19</v>
      </c>
      <c r="M4" s="355" t="s">
        <v>19</v>
      </c>
      <c r="N4" s="355">
        <f>Sheet2!M4</f>
        <v>283</v>
      </c>
      <c r="O4" s="28" t="s">
        <v>19</v>
      </c>
    </row>
    <row r="5" spans="1:15">
      <c r="A5" s="28" t="s">
        <v>160</v>
      </c>
      <c r="B5" s="28">
        <f t="shared" si="0"/>
        <v>4</v>
      </c>
      <c r="C5" s="354">
        <v>1</v>
      </c>
      <c r="D5" s="28">
        <v>2023</v>
      </c>
      <c r="E5" s="355" t="s">
        <v>19</v>
      </c>
      <c r="F5" s="355" t="s">
        <v>19</v>
      </c>
      <c r="G5" s="355" t="s">
        <v>19</v>
      </c>
      <c r="H5" s="355" t="s">
        <v>19</v>
      </c>
      <c r="I5" s="355" t="s">
        <v>19</v>
      </c>
      <c r="J5" s="355" t="s">
        <v>19</v>
      </c>
      <c r="K5" s="355" t="s">
        <v>19</v>
      </c>
      <c r="L5" s="355" t="s">
        <v>19</v>
      </c>
      <c r="M5" s="355" t="s">
        <v>19</v>
      </c>
      <c r="N5" s="355">
        <f>Sheet2!M5</f>
        <v>278</v>
      </c>
      <c r="O5" s="28" t="s">
        <v>19</v>
      </c>
    </row>
    <row r="6" spans="1:15">
      <c r="A6" s="28" t="s">
        <v>160</v>
      </c>
      <c r="B6" s="28">
        <f t="shared" si="0"/>
        <v>5</v>
      </c>
      <c r="C6" s="354">
        <v>1</v>
      </c>
      <c r="D6" s="28">
        <v>2023</v>
      </c>
      <c r="E6" s="355" t="s">
        <v>19</v>
      </c>
      <c r="F6" s="355" t="s">
        <v>19</v>
      </c>
      <c r="G6" s="355" t="s">
        <v>19</v>
      </c>
      <c r="H6" s="355" t="s">
        <v>19</v>
      </c>
      <c r="I6" s="355" t="s">
        <v>19</v>
      </c>
      <c r="J6" s="355" t="s">
        <v>19</v>
      </c>
      <c r="K6" s="355" t="s">
        <v>19</v>
      </c>
      <c r="L6" s="355" t="s">
        <v>19</v>
      </c>
      <c r="M6" s="355" t="s">
        <v>19</v>
      </c>
      <c r="N6" s="355">
        <f>Sheet2!M6</f>
        <v>270</v>
      </c>
      <c r="O6" s="28" t="s">
        <v>19</v>
      </c>
    </row>
    <row r="7" spans="1:15">
      <c r="A7" s="28" t="s">
        <v>160</v>
      </c>
      <c r="B7" s="28">
        <f t="shared" si="0"/>
        <v>6</v>
      </c>
      <c r="C7" s="354">
        <v>1</v>
      </c>
      <c r="D7" s="28">
        <v>2023</v>
      </c>
      <c r="E7" s="355" t="s">
        <v>19</v>
      </c>
      <c r="F7" s="355" t="s">
        <v>19</v>
      </c>
      <c r="G7" s="355" t="s">
        <v>19</v>
      </c>
      <c r="H7" s="355" t="s">
        <v>19</v>
      </c>
      <c r="I7" s="355" t="s">
        <v>19</v>
      </c>
      <c r="J7" s="355" t="s">
        <v>19</v>
      </c>
      <c r="K7" s="355" t="s">
        <v>19</v>
      </c>
      <c r="L7" s="355" t="s">
        <v>19</v>
      </c>
      <c r="M7" s="355" t="s">
        <v>19</v>
      </c>
      <c r="N7" s="355">
        <f>Sheet2!M7</f>
        <v>264</v>
      </c>
      <c r="O7" s="28" t="s">
        <v>19</v>
      </c>
    </row>
    <row r="8" spans="1:15">
      <c r="A8" s="28" t="s">
        <v>160</v>
      </c>
      <c r="B8" s="28">
        <f t="shared" si="0"/>
        <v>7</v>
      </c>
      <c r="C8" s="354">
        <v>1</v>
      </c>
      <c r="D8" s="28">
        <v>2023</v>
      </c>
      <c r="E8" s="355" t="s">
        <v>19</v>
      </c>
      <c r="F8" s="355" t="s">
        <v>19</v>
      </c>
      <c r="G8" s="355" t="s">
        <v>19</v>
      </c>
      <c r="H8" s="355" t="s">
        <v>19</v>
      </c>
      <c r="I8" s="355" t="s">
        <v>19</v>
      </c>
      <c r="J8" s="355" t="s">
        <v>19</v>
      </c>
      <c r="K8" s="355" t="s">
        <v>19</v>
      </c>
      <c r="L8" s="355" t="s">
        <v>19</v>
      </c>
      <c r="M8" s="355" t="s">
        <v>19</v>
      </c>
      <c r="N8" s="355">
        <f>Sheet2!M8</f>
        <v>223</v>
      </c>
      <c r="O8" s="28" t="s">
        <v>19</v>
      </c>
    </row>
    <row r="9" spans="1:15">
      <c r="A9" s="28" t="s">
        <v>160</v>
      </c>
      <c r="B9" s="28">
        <f t="shared" si="0"/>
        <v>8</v>
      </c>
      <c r="C9" s="354">
        <v>1</v>
      </c>
      <c r="D9" s="28">
        <v>2023</v>
      </c>
      <c r="E9" s="355" t="s">
        <v>19</v>
      </c>
      <c r="F9" s="355" t="s">
        <v>19</v>
      </c>
      <c r="G9" s="355" t="s">
        <v>19</v>
      </c>
      <c r="H9" s="355" t="s">
        <v>19</v>
      </c>
      <c r="I9" s="355" t="s">
        <v>19</v>
      </c>
      <c r="J9" s="355" t="s">
        <v>19</v>
      </c>
      <c r="K9" s="355" t="s">
        <v>19</v>
      </c>
      <c r="L9" s="355" t="s">
        <v>19</v>
      </c>
      <c r="M9" s="355" t="s">
        <v>19</v>
      </c>
      <c r="N9" s="355">
        <f>Sheet2!M9</f>
        <v>161</v>
      </c>
      <c r="O9" s="28" t="s">
        <v>19</v>
      </c>
    </row>
    <row r="10" spans="1:15">
      <c r="A10" s="28" t="s">
        <v>160</v>
      </c>
      <c r="B10" s="28">
        <f t="shared" si="0"/>
        <v>9</v>
      </c>
      <c r="C10" s="354">
        <v>1</v>
      </c>
      <c r="D10" s="28">
        <v>2023</v>
      </c>
      <c r="E10" s="355" t="s">
        <v>19</v>
      </c>
      <c r="F10" s="355" t="s">
        <v>19</v>
      </c>
      <c r="G10" s="355" t="s">
        <v>19</v>
      </c>
      <c r="H10" s="355" t="s">
        <v>19</v>
      </c>
      <c r="I10" s="355" t="s">
        <v>19</v>
      </c>
      <c r="J10" s="355" t="s">
        <v>19</v>
      </c>
      <c r="K10" s="355" t="s">
        <v>19</v>
      </c>
      <c r="L10" s="355" t="s">
        <v>19</v>
      </c>
      <c r="M10" s="355" t="s">
        <v>19</v>
      </c>
      <c r="N10" s="355">
        <f>Sheet2!M10</f>
        <v>310</v>
      </c>
      <c r="O10" s="28" t="s">
        <v>19</v>
      </c>
    </row>
    <row r="11" spans="1:15">
      <c r="A11" s="28" t="s">
        <v>160</v>
      </c>
      <c r="B11" s="28">
        <f t="shared" si="0"/>
        <v>10</v>
      </c>
      <c r="C11" s="354">
        <v>1</v>
      </c>
      <c r="D11" s="28">
        <v>2023</v>
      </c>
      <c r="E11" s="355" t="s">
        <v>19</v>
      </c>
      <c r="F11" s="355" t="s">
        <v>19</v>
      </c>
      <c r="G11" s="355" t="s">
        <v>19</v>
      </c>
      <c r="H11" s="355" t="s">
        <v>19</v>
      </c>
      <c r="I11" s="355" t="s">
        <v>19</v>
      </c>
      <c r="J11" s="355" t="s">
        <v>19</v>
      </c>
      <c r="K11" s="355" t="s">
        <v>19</v>
      </c>
      <c r="L11" s="355" t="s">
        <v>19</v>
      </c>
      <c r="M11" s="355" t="s">
        <v>19</v>
      </c>
      <c r="N11" s="355">
        <f>Sheet2!M11</f>
        <v>365</v>
      </c>
      <c r="O11" s="28" t="s">
        <v>19</v>
      </c>
    </row>
    <row r="12" spans="1:15">
      <c r="A12" s="28" t="s">
        <v>160</v>
      </c>
      <c r="B12" s="28">
        <f t="shared" si="0"/>
        <v>11</v>
      </c>
      <c r="C12" s="354">
        <v>1</v>
      </c>
      <c r="D12" s="28">
        <v>2023</v>
      </c>
      <c r="E12" s="355" t="s">
        <v>19</v>
      </c>
      <c r="F12" s="355" t="s">
        <v>19</v>
      </c>
      <c r="G12" s="355" t="s">
        <v>19</v>
      </c>
      <c r="H12" s="355" t="s">
        <v>19</v>
      </c>
      <c r="I12" s="355" t="s">
        <v>19</v>
      </c>
      <c r="J12" s="355" t="s">
        <v>19</v>
      </c>
      <c r="K12" s="355" t="s">
        <v>19</v>
      </c>
      <c r="L12" s="355" t="s">
        <v>19</v>
      </c>
      <c r="M12" s="355" t="s">
        <v>19</v>
      </c>
      <c r="N12" s="355">
        <f>Sheet2!M12</f>
        <v>365</v>
      </c>
      <c r="O12" s="28" t="s">
        <v>19</v>
      </c>
    </row>
    <row r="13" spans="1:15">
      <c r="A13" s="28" t="s">
        <v>160</v>
      </c>
      <c r="B13" s="28">
        <f t="shared" si="0"/>
        <v>12</v>
      </c>
      <c r="C13" s="354">
        <v>1</v>
      </c>
      <c r="D13" s="28">
        <v>2023</v>
      </c>
      <c r="E13" s="355" t="s">
        <v>19</v>
      </c>
      <c r="F13" s="355" t="s">
        <v>19</v>
      </c>
      <c r="G13" s="355" t="s">
        <v>19</v>
      </c>
      <c r="H13" s="355" t="s">
        <v>19</v>
      </c>
      <c r="I13" s="355" t="s">
        <v>19</v>
      </c>
      <c r="J13" s="355" t="s">
        <v>19</v>
      </c>
      <c r="K13" s="355" t="s">
        <v>19</v>
      </c>
      <c r="L13" s="355" t="s">
        <v>19</v>
      </c>
      <c r="M13" s="355" t="s">
        <v>19</v>
      </c>
      <c r="N13" s="355">
        <f>Sheet2!M13</f>
        <v>290</v>
      </c>
      <c r="O13" s="28" t="s">
        <v>19</v>
      </c>
    </row>
    <row r="14" spans="1:15">
      <c r="A14" s="28" t="s">
        <v>160</v>
      </c>
      <c r="B14" s="28">
        <f t="shared" si="0"/>
        <v>13</v>
      </c>
      <c r="C14" s="354">
        <v>1</v>
      </c>
      <c r="D14" s="28">
        <v>2023</v>
      </c>
      <c r="E14" s="355" t="s">
        <v>19</v>
      </c>
      <c r="F14" s="355" t="s">
        <v>19</v>
      </c>
      <c r="G14" s="355" t="s">
        <v>19</v>
      </c>
      <c r="H14" s="355" t="s">
        <v>19</v>
      </c>
      <c r="I14" s="355" t="s">
        <v>19</v>
      </c>
      <c r="J14" s="355" t="s">
        <v>19</v>
      </c>
      <c r="K14" s="355" t="s">
        <v>19</v>
      </c>
      <c r="L14" s="355" t="s">
        <v>19</v>
      </c>
      <c r="M14" s="355" t="s">
        <v>19</v>
      </c>
      <c r="N14" s="355">
        <f>Sheet2!M14</f>
        <v>304</v>
      </c>
      <c r="O14" s="28" t="s">
        <v>19</v>
      </c>
    </row>
    <row r="15" spans="1:15">
      <c r="A15" s="28" t="s">
        <v>160</v>
      </c>
      <c r="B15" s="28">
        <f t="shared" si="0"/>
        <v>14</v>
      </c>
      <c r="C15" s="354">
        <v>1</v>
      </c>
      <c r="D15" s="28">
        <v>2023</v>
      </c>
      <c r="E15" s="355" t="s">
        <v>19</v>
      </c>
      <c r="F15" s="355" t="s">
        <v>19</v>
      </c>
      <c r="G15" s="355" t="s">
        <v>19</v>
      </c>
      <c r="H15" s="355" t="s">
        <v>19</v>
      </c>
      <c r="I15" s="355" t="s">
        <v>19</v>
      </c>
      <c r="J15" s="355" t="s">
        <v>19</v>
      </c>
      <c r="K15" s="355" t="s">
        <v>19</v>
      </c>
      <c r="L15" s="355" t="s">
        <v>19</v>
      </c>
      <c r="M15" s="355" t="s">
        <v>19</v>
      </c>
      <c r="N15" s="355">
        <f>Sheet2!M15</f>
        <v>233</v>
      </c>
      <c r="O15" s="28" t="s">
        <v>19</v>
      </c>
    </row>
    <row r="16" spans="1:15">
      <c r="A16" s="28" t="s">
        <v>160</v>
      </c>
      <c r="B16" s="28">
        <f t="shared" si="0"/>
        <v>15</v>
      </c>
      <c r="C16" s="354">
        <v>1</v>
      </c>
      <c r="D16" s="28">
        <v>2023</v>
      </c>
      <c r="E16" s="355" t="s">
        <v>19</v>
      </c>
      <c r="F16" s="355" t="s">
        <v>19</v>
      </c>
      <c r="G16" s="355" t="s">
        <v>19</v>
      </c>
      <c r="H16" s="355" t="s">
        <v>19</v>
      </c>
      <c r="I16" s="355" t="s">
        <v>19</v>
      </c>
      <c r="J16" s="355" t="s">
        <v>19</v>
      </c>
      <c r="K16" s="355" t="s">
        <v>19</v>
      </c>
      <c r="L16" s="355" t="s">
        <v>19</v>
      </c>
      <c r="M16" s="355" t="s">
        <v>19</v>
      </c>
      <c r="N16" s="355">
        <f>Sheet2!M16</f>
        <v>178</v>
      </c>
      <c r="O16" s="28" t="s">
        <v>19</v>
      </c>
    </row>
    <row r="17" spans="1:15">
      <c r="A17" s="28" t="s">
        <v>160</v>
      </c>
      <c r="B17" s="28">
        <f t="shared" si="0"/>
        <v>16</v>
      </c>
      <c r="C17" s="354">
        <v>1</v>
      </c>
      <c r="D17" s="28">
        <v>2023</v>
      </c>
      <c r="E17" s="355" t="s">
        <v>19</v>
      </c>
      <c r="F17" s="355" t="s">
        <v>19</v>
      </c>
      <c r="G17" s="355" t="s">
        <v>19</v>
      </c>
      <c r="H17" s="355" t="s">
        <v>19</v>
      </c>
      <c r="I17" s="355" t="s">
        <v>19</v>
      </c>
      <c r="J17" s="355" t="s">
        <v>19</v>
      </c>
      <c r="K17" s="355" t="s">
        <v>19</v>
      </c>
      <c r="L17" s="355" t="s">
        <v>19</v>
      </c>
      <c r="M17" s="355" t="s">
        <v>19</v>
      </c>
      <c r="N17" s="355">
        <f>Sheet2!M17</f>
        <v>344</v>
      </c>
      <c r="O17" s="28" t="s">
        <v>19</v>
      </c>
    </row>
    <row r="18" spans="1:15">
      <c r="A18" s="28" t="s">
        <v>160</v>
      </c>
      <c r="B18" s="28">
        <f t="shared" si="0"/>
        <v>17</v>
      </c>
      <c r="C18" s="354">
        <v>1</v>
      </c>
      <c r="D18" s="28">
        <v>2023</v>
      </c>
      <c r="E18" s="355" t="s">
        <v>19</v>
      </c>
      <c r="F18" s="355" t="s">
        <v>19</v>
      </c>
      <c r="G18" s="355" t="s">
        <v>19</v>
      </c>
      <c r="H18" s="355" t="s">
        <v>19</v>
      </c>
      <c r="I18" s="355" t="s">
        <v>19</v>
      </c>
      <c r="J18" s="355" t="s">
        <v>19</v>
      </c>
      <c r="K18" s="355" t="s">
        <v>19</v>
      </c>
      <c r="L18" s="355" t="s">
        <v>19</v>
      </c>
      <c r="M18" s="355" t="s">
        <v>19</v>
      </c>
      <c r="N18" s="355">
        <f>Sheet2!M18</f>
        <v>405</v>
      </c>
      <c r="O18" s="28" t="s">
        <v>19</v>
      </c>
    </row>
    <row r="19" spans="1:15">
      <c r="A19" s="28" t="s">
        <v>160</v>
      </c>
      <c r="B19" s="28">
        <f t="shared" si="0"/>
        <v>18</v>
      </c>
      <c r="C19" s="354">
        <v>1</v>
      </c>
      <c r="D19" s="28">
        <v>2023</v>
      </c>
      <c r="E19" s="355" t="s">
        <v>19</v>
      </c>
      <c r="F19" s="355" t="s">
        <v>19</v>
      </c>
      <c r="G19" s="355" t="s">
        <v>19</v>
      </c>
      <c r="H19" s="355" t="s">
        <v>19</v>
      </c>
      <c r="I19" s="355" t="s">
        <v>19</v>
      </c>
      <c r="J19" s="355" t="s">
        <v>19</v>
      </c>
      <c r="K19" s="355" t="s">
        <v>19</v>
      </c>
      <c r="L19" s="355" t="s">
        <v>19</v>
      </c>
      <c r="M19" s="355" t="s">
        <v>19</v>
      </c>
      <c r="N19" s="355">
        <f>Sheet2!M19</f>
        <v>428</v>
      </c>
      <c r="O19" s="28" t="s">
        <v>19</v>
      </c>
    </row>
    <row r="20" spans="1:15">
      <c r="A20" s="28" t="s">
        <v>160</v>
      </c>
      <c r="B20" s="28">
        <f t="shared" si="0"/>
        <v>19</v>
      </c>
      <c r="C20" s="354">
        <v>1</v>
      </c>
      <c r="D20" s="28">
        <v>2023</v>
      </c>
      <c r="E20" s="355" t="s">
        <v>19</v>
      </c>
      <c r="F20" s="355" t="s">
        <v>19</v>
      </c>
      <c r="G20" s="355" t="s">
        <v>19</v>
      </c>
      <c r="H20" s="355" t="s">
        <v>19</v>
      </c>
      <c r="I20" s="355" t="s">
        <v>19</v>
      </c>
      <c r="J20" s="355" t="s">
        <v>19</v>
      </c>
      <c r="K20" s="355" t="s">
        <v>19</v>
      </c>
      <c r="L20" s="355" t="s">
        <v>19</v>
      </c>
      <c r="M20" s="355" t="s">
        <v>19</v>
      </c>
      <c r="N20" s="355">
        <f>Sheet2!M20</f>
        <v>409</v>
      </c>
      <c r="O20" s="28" t="s">
        <v>19</v>
      </c>
    </row>
    <row r="21" spans="1:15">
      <c r="A21" s="28" t="s">
        <v>160</v>
      </c>
      <c r="B21" s="28">
        <f t="shared" si="0"/>
        <v>20</v>
      </c>
      <c r="C21" s="354">
        <v>1</v>
      </c>
      <c r="D21" s="28">
        <v>2023</v>
      </c>
      <c r="E21" s="355" t="s">
        <v>19</v>
      </c>
      <c r="F21" s="355" t="s">
        <v>19</v>
      </c>
      <c r="G21" s="355" t="s">
        <v>19</v>
      </c>
      <c r="H21" s="355" t="s">
        <v>19</v>
      </c>
      <c r="I21" s="355" t="s">
        <v>19</v>
      </c>
      <c r="J21" s="355" t="s">
        <v>19</v>
      </c>
      <c r="K21" s="355" t="s">
        <v>19</v>
      </c>
      <c r="L21" s="355" t="s">
        <v>19</v>
      </c>
      <c r="M21" s="355" t="s">
        <v>19</v>
      </c>
      <c r="N21" s="355">
        <f>Sheet2!M21</f>
        <v>398</v>
      </c>
      <c r="O21" s="28" t="s">
        <v>19</v>
      </c>
    </row>
    <row r="22" spans="1:15">
      <c r="A22" s="28" t="s">
        <v>160</v>
      </c>
      <c r="B22" s="28">
        <f t="shared" si="0"/>
        <v>21</v>
      </c>
      <c r="C22" s="354">
        <v>1</v>
      </c>
      <c r="D22" s="28">
        <v>2023</v>
      </c>
      <c r="E22" s="355" t="s">
        <v>19</v>
      </c>
      <c r="F22" s="355" t="s">
        <v>19</v>
      </c>
      <c r="G22" s="355" t="s">
        <v>19</v>
      </c>
      <c r="H22" s="355" t="s">
        <v>19</v>
      </c>
      <c r="I22" s="355" t="s">
        <v>19</v>
      </c>
      <c r="J22" s="355" t="s">
        <v>19</v>
      </c>
      <c r="K22" s="355" t="s">
        <v>19</v>
      </c>
      <c r="L22" s="355" t="s">
        <v>19</v>
      </c>
      <c r="M22" s="355" t="s">
        <v>19</v>
      </c>
      <c r="N22" s="355">
        <f>Sheet2!M22</f>
        <v>279</v>
      </c>
      <c r="O22" s="28" t="s">
        <v>19</v>
      </c>
    </row>
    <row r="23" spans="1:15">
      <c r="A23" s="28" t="s">
        <v>160</v>
      </c>
      <c r="B23" s="28">
        <f t="shared" si="0"/>
        <v>22</v>
      </c>
      <c r="C23" s="354">
        <v>1</v>
      </c>
      <c r="D23" s="28">
        <v>2023</v>
      </c>
      <c r="E23" s="355" t="s">
        <v>19</v>
      </c>
      <c r="F23" s="355" t="s">
        <v>19</v>
      </c>
      <c r="G23" s="355" t="s">
        <v>19</v>
      </c>
      <c r="H23" s="355" t="s">
        <v>19</v>
      </c>
      <c r="I23" s="355" t="s">
        <v>19</v>
      </c>
      <c r="J23" s="355" t="s">
        <v>19</v>
      </c>
      <c r="K23" s="355" t="s">
        <v>19</v>
      </c>
      <c r="L23" s="355" t="s">
        <v>19</v>
      </c>
      <c r="M23" s="355" t="s">
        <v>19</v>
      </c>
      <c r="N23" s="355">
        <f>Sheet2!M23</f>
        <v>207</v>
      </c>
      <c r="O23" s="28" t="s">
        <v>19</v>
      </c>
    </row>
    <row r="24" spans="1:15">
      <c r="A24" s="28" t="s">
        <v>160</v>
      </c>
      <c r="B24" s="28">
        <f t="shared" si="0"/>
        <v>23</v>
      </c>
      <c r="C24" s="354">
        <v>1</v>
      </c>
      <c r="D24" s="28">
        <v>2023</v>
      </c>
      <c r="E24" s="355" t="s">
        <v>19</v>
      </c>
      <c r="F24" s="355" t="s">
        <v>19</v>
      </c>
      <c r="G24" s="355" t="s">
        <v>19</v>
      </c>
      <c r="H24" s="355" t="s">
        <v>19</v>
      </c>
      <c r="I24" s="355" t="s">
        <v>19</v>
      </c>
      <c r="J24" s="355" t="s">
        <v>19</v>
      </c>
      <c r="K24" s="355" t="s">
        <v>19</v>
      </c>
      <c r="L24" s="355" t="s">
        <v>19</v>
      </c>
      <c r="M24" s="355" t="s">
        <v>19</v>
      </c>
      <c r="N24" s="355">
        <f>Sheet2!M24</f>
        <v>270</v>
      </c>
      <c r="O24" s="28" t="s">
        <v>19</v>
      </c>
    </row>
    <row r="25" spans="1:15">
      <c r="A25" s="28" t="s">
        <v>160</v>
      </c>
      <c r="B25" s="28">
        <f t="shared" si="0"/>
        <v>24</v>
      </c>
      <c r="C25" s="354">
        <v>1</v>
      </c>
      <c r="D25" s="28">
        <v>2023</v>
      </c>
      <c r="E25" s="355" t="s">
        <v>19</v>
      </c>
      <c r="F25" s="355" t="s">
        <v>19</v>
      </c>
      <c r="G25" s="355" t="s">
        <v>19</v>
      </c>
      <c r="H25" s="355" t="s">
        <v>19</v>
      </c>
      <c r="I25" s="355" t="s">
        <v>19</v>
      </c>
      <c r="J25" s="355" t="s">
        <v>19</v>
      </c>
      <c r="K25" s="355" t="s">
        <v>19</v>
      </c>
      <c r="L25" s="355" t="s">
        <v>19</v>
      </c>
      <c r="M25" s="355" t="s">
        <v>19</v>
      </c>
      <c r="N25" s="355">
        <f>Sheet2!M25</f>
        <v>275</v>
      </c>
      <c r="O25" s="28" t="s">
        <v>19</v>
      </c>
    </row>
    <row r="26" spans="1:15">
      <c r="A26" s="28" t="s">
        <v>160</v>
      </c>
      <c r="B26" s="28">
        <f t="shared" si="0"/>
        <v>25</v>
      </c>
      <c r="C26" s="354">
        <v>1</v>
      </c>
      <c r="D26" s="28">
        <v>2023</v>
      </c>
      <c r="E26" s="355" t="s">
        <v>19</v>
      </c>
      <c r="F26" s="355" t="s">
        <v>19</v>
      </c>
      <c r="G26" s="355" t="s">
        <v>19</v>
      </c>
      <c r="H26" s="355" t="s">
        <v>19</v>
      </c>
      <c r="I26" s="355" t="s">
        <v>19</v>
      </c>
      <c r="J26" s="355" t="s">
        <v>19</v>
      </c>
      <c r="K26" s="355" t="s">
        <v>19</v>
      </c>
      <c r="L26" s="355" t="s">
        <v>19</v>
      </c>
      <c r="M26" s="355" t="s">
        <v>19</v>
      </c>
      <c r="N26" s="355">
        <f>Sheet2!M26</f>
        <v>332</v>
      </c>
      <c r="O26" s="28" t="s">
        <v>19</v>
      </c>
    </row>
    <row r="27" spans="1:15">
      <c r="A27" s="28" t="s">
        <v>160</v>
      </c>
      <c r="B27" s="28">
        <f t="shared" si="0"/>
        <v>26</v>
      </c>
      <c r="C27" s="354">
        <v>1</v>
      </c>
      <c r="D27" s="28">
        <v>2023</v>
      </c>
      <c r="E27" s="355" t="s">
        <v>19</v>
      </c>
      <c r="F27" s="355" t="s">
        <v>19</v>
      </c>
      <c r="G27" s="355" t="s">
        <v>19</v>
      </c>
      <c r="H27" s="355" t="s">
        <v>19</v>
      </c>
      <c r="I27" s="355" t="s">
        <v>19</v>
      </c>
      <c r="J27" s="355" t="s">
        <v>19</v>
      </c>
      <c r="K27" s="355" t="s">
        <v>19</v>
      </c>
      <c r="L27" s="355" t="s">
        <v>19</v>
      </c>
      <c r="M27" s="355" t="s">
        <v>19</v>
      </c>
      <c r="N27" s="355">
        <f>Sheet2!M27</f>
        <v>384</v>
      </c>
      <c r="O27" s="28" t="s">
        <v>19</v>
      </c>
    </row>
    <row r="28" spans="1:15">
      <c r="A28" s="28" t="s">
        <v>160</v>
      </c>
      <c r="B28" s="28">
        <f t="shared" si="0"/>
        <v>27</v>
      </c>
      <c r="C28" s="354">
        <v>1</v>
      </c>
      <c r="D28" s="28">
        <v>2023</v>
      </c>
      <c r="E28" s="355" t="s">
        <v>19</v>
      </c>
      <c r="F28" s="355" t="s">
        <v>19</v>
      </c>
      <c r="G28" s="355" t="s">
        <v>19</v>
      </c>
      <c r="H28" s="355" t="s">
        <v>19</v>
      </c>
      <c r="I28" s="355" t="s">
        <v>19</v>
      </c>
      <c r="J28" s="355" t="s">
        <v>19</v>
      </c>
      <c r="K28" s="355" t="s">
        <v>19</v>
      </c>
      <c r="L28" s="355" t="s">
        <v>19</v>
      </c>
      <c r="M28" s="355" t="s">
        <v>19</v>
      </c>
      <c r="N28" s="355">
        <f>Sheet2!M28</f>
        <v>352</v>
      </c>
      <c r="O28" s="28" t="s">
        <v>19</v>
      </c>
    </row>
    <row r="29" spans="1:15">
      <c r="A29" s="28" t="s">
        <v>160</v>
      </c>
      <c r="B29" s="28">
        <f t="shared" si="0"/>
        <v>28</v>
      </c>
      <c r="C29" s="354">
        <v>1</v>
      </c>
      <c r="D29" s="28">
        <v>2023</v>
      </c>
      <c r="E29" s="355" t="s">
        <v>19</v>
      </c>
      <c r="F29" s="355" t="s">
        <v>19</v>
      </c>
      <c r="G29" s="355" t="s">
        <v>19</v>
      </c>
      <c r="H29" s="355" t="s">
        <v>19</v>
      </c>
      <c r="I29" s="355" t="s">
        <v>19</v>
      </c>
      <c r="J29" s="355" t="s">
        <v>19</v>
      </c>
      <c r="K29" s="355" t="s">
        <v>19</v>
      </c>
      <c r="L29" s="355" t="s">
        <v>19</v>
      </c>
      <c r="M29" s="355" t="s">
        <v>19</v>
      </c>
      <c r="N29" s="355">
        <f>Sheet2!M29</f>
        <v>328</v>
      </c>
      <c r="O29" s="28" t="s">
        <v>19</v>
      </c>
    </row>
    <row r="30" spans="1:15">
      <c r="A30" s="28" t="s">
        <v>160</v>
      </c>
      <c r="B30" s="28">
        <f t="shared" si="0"/>
        <v>29</v>
      </c>
      <c r="C30" s="354">
        <v>1</v>
      </c>
      <c r="D30" s="28">
        <v>2023</v>
      </c>
      <c r="E30" s="355" t="s">
        <v>19</v>
      </c>
      <c r="F30" s="355" t="s">
        <v>19</v>
      </c>
      <c r="G30" s="355" t="s">
        <v>19</v>
      </c>
      <c r="H30" s="355" t="s">
        <v>19</v>
      </c>
      <c r="I30" s="355" t="s">
        <v>19</v>
      </c>
      <c r="J30" s="355" t="s">
        <v>19</v>
      </c>
      <c r="K30" s="355" t="s">
        <v>19</v>
      </c>
      <c r="L30" s="355" t="s">
        <v>19</v>
      </c>
      <c r="M30" s="355" t="s">
        <v>19</v>
      </c>
      <c r="N30" s="355">
        <f>Sheet2!M30</f>
        <v>337</v>
      </c>
      <c r="O30" s="28" t="s">
        <v>19</v>
      </c>
    </row>
    <row r="31" spans="1:15">
      <c r="A31" s="28" t="s">
        <v>160</v>
      </c>
      <c r="B31" s="28">
        <f t="shared" si="0"/>
        <v>30</v>
      </c>
      <c r="C31" s="354">
        <v>1</v>
      </c>
      <c r="D31" s="28">
        <v>2023</v>
      </c>
      <c r="E31" s="355" t="s">
        <v>19</v>
      </c>
      <c r="F31" s="355" t="s">
        <v>19</v>
      </c>
      <c r="G31" s="355" t="s">
        <v>19</v>
      </c>
      <c r="H31" s="355" t="s">
        <v>19</v>
      </c>
      <c r="I31" s="355" t="s">
        <v>19</v>
      </c>
      <c r="J31" s="355" t="s">
        <v>19</v>
      </c>
      <c r="K31" s="355" t="s">
        <v>19</v>
      </c>
      <c r="L31" s="355" t="s">
        <v>19</v>
      </c>
      <c r="M31" s="355" t="s">
        <v>19</v>
      </c>
      <c r="N31" s="355">
        <f>Sheet2!M31</f>
        <v>411</v>
      </c>
      <c r="O31" s="28" t="s">
        <v>19</v>
      </c>
    </row>
    <row r="32" spans="1:15">
      <c r="A32" s="28" t="s">
        <v>160</v>
      </c>
      <c r="B32" s="28">
        <f t="shared" si="0"/>
        <v>31</v>
      </c>
      <c r="C32" s="354">
        <v>1</v>
      </c>
      <c r="D32" s="28">
        <v>2023</v>
      </c>
      <c r="E32" s="355" t="s">
        <v>19</v>
      </c>
      <c r="F32" s="355" t="s">
        <v>19</v>
      </c>
      <c r="G32" s="355" t="s">
        <v>19</v>
      </c>
      <c r="H32" s="355" t="s">
        <v>19</v>
      </c>
      <c r="I32" s="355" t="s">
        <v>19</v>
      </c>
      <c r="J32" s="355" t="s">
        <v>19</v>
      </c>
      <c r="K32" s="355" t="s">
        <v>19</v>
      </c>
      <c r="L32" s="355" t="s">
        <v>19</v>
      </c>
      <c r="M32" s="355" t="s">
        <v>19</v>
      </c>
      <c r="N32" s="355">
        <f>Sheet2!M32</f>
        <v>425</v>
      </c>
      <c r="O32" s="28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6"/>
  <sheetViews>
    <sheetView zoomScaleNormal="100" workbookViewId="0">
      <pane xSplit="1" ySplit="4" topLeftCell="J5" activePane="bottomRight" state="frozen"/>
      <selection pane="topRight" activeCell="B1" sqref="B1"/>
      <selection pane="bottomLeft" activeCell="A4" sqref="A4"/>
      <selection pane="bottomRight" activeCell="N12" sqref="N12"/>
    </sheetView>
  </sheetViews>
  <sheetFormatPr defaultRowHeight="14.4"/>
  <cols>
    <col min="1" max="1" width="9.15625" style="15"/>
    <col min="2" max="3" width="10.578125" style="15" bestFit="1" customWidth="1"/>
    <col min="4" max="4" width="10.15625" style="100" customWidth="1"/>
    <col min="5" max="5" width="8.83984375" style="100" customWidth="1"/>
    <col min="6" max="8" width="8.68359375" style="15" hidden="1" customWidth="1"/>
    <col min="9" max="9" width="0.41796875" style="15" hidden="1" customWidth="1"/>
    <col min="12" max="12" width="9.578125" bestFit="1" customWidth="1"/>
    <col min="14" max="16" width="9.578125" bestFit="1" customWidth="1"/>
    <col min="18" max="21" width="9.578125" bestFit="1" customWidth="1"/>
    <col min="22" max="23" width="8.68359375" style="28" customWidth="1"/>
    <col min="24" max="24" width="9.15625" style="28"/>
  </cols>
  <sheetData>
    <row r="1" spans="1:26" ht="25.5" customHeight="1" thickBot="1">
      <c r="A1" s="327" t="s">
        <v>112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Z1" s="195" t="s">
        <v>91</v>
      </c>
    </row>
    <row r="2" spans="1:26" ht="14.7" thickBot="1">
      <c r="A2" s="21"/>
      <c r="B2" s="339" t="s">
        <v>5</v>
      </c>
      <c r="C2" s="340"/>
      <c r="D2" s="316" t="s">
        <v>54</v>
      </c>
      <c r="E2" s="317"/>
      <c r="F2" s="317"/>
      <c r="G2" s="317"/>
      <c r="H2" s="317"/>
      <c r="I2" s="318"/>
      <c r="J2" s="322" t="s">
        <v>59</v>
      </c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4"/>
      <c r="V2" s="325" t="s">
        <v>58</v>
      </c>
      <c r="W2" s="326"/>
      <c r="X2" s="328" t="s">
        <v>108</v>
      </c>
    </row>
    <row r="3" spans="1:26">
      <c r="A3" s="330" t="s">
        <v>47</v>
      </c>
      <c r="B3" s="335" t="s">
        <v>50</v>
      </c>
      <c r="C3" s="336"/>
      <c r="D3" s="315" t="s">
        <v>30</v>
      </c>
      <c r="E3" s="332"/>
      <c r="F3" s="332" t="s">
        <v>31</v>
      </c>
      <c r="G3" s="332"/>
      <c r="H3" s="332" t="s">
        <v>32</v>
      </c>
      <c r="I3" s="321"/>
      <c r="J3" s="319" t="s">
        <v>30</v>
      </c>
      <c r="K3" s="320"/>
      <c r="L3" s="319" t="s">
        <v>31</v>
      </c>
      <c r="M3" s="337"/>
      <c r="N3" s="319" t="s">
        <v>32</v>
      </c>
      <c r="O3" s="320"/>
      <c r="P3" s="319" t="s">
        <v>55</v>
      </c>
      <c r="Q3" s="320"/>
      <c r="R3" s="319" t="s">
        <v>56</v>
      </c>
      <c r="S3" s="320"/>
      <c r="T3" s="319" t="s">
        <v>57</v>
      </c>
      <c r="U3" s="320"/>
      <c r="V3" s="315" t="s">
        <v>58</v>
      </c>
      <c r="W3" s="300"/>
      <c r="X3" s="329"/>
    </row>
    <row r="4" spans="1:26">
      <c r="A4" s="330"/>
      <c r="B4" s="335" t="s">
        <v>53</v>
      </c>
      <c r="C4" s="336"/>
      <c r="D4" s="333" t="s">
        <v>44</v>
      </c>
      <c r="E4" s="334"/>
      <c r="F4" s="334" t="s">
        <v>45</v>
      </c>
      <c r="G4" s="334"/>
      <c r="H4" s="334" t="s">
        <v>46</v>
      </c>
      <c r="I4" s="338"/>
      <c r="J4" s="315">
        <v>6065253</v>
      </c>
      <c r="K4" s="321"/>
      <c r="L4" s="315">
        <v>6065255</v>
      </c>
      <c r="M4" s="300"/>
      <c r="N4" s="315">
        <v>6065259</v>
      </c>
      <c r="O4" s="321"/>
      <c r="P4" s="315">
        <v>6065262</v>
      </c>
      <c r="Q4" s="321"/>
      <c r="R4" s="315">
        <v>6065269</v>
      </c>
      <c r="S4" s="321"/>
      <c r="T4" s="315">
        <v>6065283</v>
      </c>
      <c r="U4" s="321"/>
      <c r="V4" s="315" t="s">
        <v>52</v>
      </c>
      <c r="W4" s="300"/>
      <c r="X4" s="22" t="s">
        <v>107</v>
      </c>
    </row>
    <row r="5" spans="1:26" ht="14.7" thickBot="1">
      <c r="A5" s="331"/>
      <c r="B5" s="25" t="s">
        <v>79</v>
      </c>
      <c r="C5" s="26" t="s">
        <v>48</v>
      </c>
      <c r="D5" s="25" t="s">
        <v>79</v>
      </c>
      <c r="E5" s="101" t="s">
        <v>48</v>
      </c>
      <c r="F5" s="27" t="s">
        <v>66</v>
      </c>
      <c r="G5" s="27" t="s">
        <v>48</v>
      </c>
      <c r="H5" s="27" t="s">
        <v>66</v>
      </c>
      <c r="I5" s="26" t="s">
        <v>48</v>
      </c>
      <c r="J5" s="25" t="s">
        <v>79</v>
      </c>
      <c r="K5" s="26" t="s">
        <v>48</v>
      </c>
      <c r="L5" s="25" t="s">
        <v>79</v>
      </c>
      <c r="M5" s="144" t="s">
        <v>48</v>
      </c>
      <c r="N5" s="25" t="s">
        <v>79</v>
      </c>
      <c r="O5" s="26" t="s">
        <v>48</v>
      </c>
      <c r="P5" s="25" t="s">
        <v>79</v>
      </c>
      <c r="Q5" s="26" t="s">
        <v>48</v>
      </c>
      <c r="R5" s="25" t="s">
        <v>79</v>
      </c>
      <c r="S5" s="26" t="s">
        <v>48</v>
      </c>
      <c r="T5" s="25" t="s">
        <v>79</v>
      </c>
      <c r="U5" s="26" t="s">
        <v>48</v>
      </c>
      <c r="V5" s="25" t="s">
        <v>79</v>
      </c>
      <c r="W5" s="144" t="s">
        <v>48</v>
      </c>
      <c r="X5" s="196" t="s">
        <v>109</v>
      </c>
    </row>
    <row r="6" spans="1:26">
      <c r="A6" s="24">
        <v>1</v>
      </c>
      <c r="B6" s="29">
        <v>36057.699999999997</v>
      </c>
      <c r="C6" s="30">
        <v>36065.5</v>
      </c>
      <c r="D6" s="204">
        <v>115374</v>
      </c>
      <c r="E6" s="205">
        <v>115376</v>
      </c>
      <c r="F6" s="31"/>
      <c r="G6" s="31"/>
      <c r="H6" s="31"/>
      <c r="I6" s="30"/>
      <c r="J6" s="29">
        <v>4028.1</v>
      </c>
      <c r="K6" s="30">
        <v>4030.7</v>
      </c>
      <c r="L6" s="29">
        <v>2422.9</v>
      </c>
      <c r="M6" s="145">
        <v>2424.6</v>
      </c>
      <c r="N6" s="32">
        <v>2580.3000000000002</v>
      </c>
      <c r="O6" s="33">
        <v>2581.8000000000002</v>
      </c>
      <c r="P6" s="29">
        <v>1282.5999999999999</v>
      </c>
      <c r="Q6" s="30">
        <v>1283.4000000000001</v>
      </c>
      <c r="R6" s="29">
        <v>3860.6</v>
      </c>
      <c r="S6" s="30">
        <v>3862.3</v>
      </c>
      <c r="T6" s="29">
        <v>10211</v>
      </c>
      <c r="U6" s="30">
        <v>10215.9</v>
      </c>
      <c r="V6" s="29">
        <v>47434.7</v>
      </c>
      <c r="W6" s="145">
        <v>47492.800000000003</v>
      </c>
      <c r="X6" s="211">
        <v>75.12</v>
      </c>
    </row>
    <row r="7" spans="1:26">
      <c r="A7" s="22">
        <v>2</v>
      </c>
      <c r="B7" s="32">
        <v>36076.800000000003</v>
      </c>
      <c r="C7" s="33">
        <v>36085.599999999999</v>
      </c>
      <c r="D7" s="206">
        <v>115550</v>
      </c>
      <c r="E7" s="207">
        <v>115594</v>
      </c>
      <c r="F7" s="34"/>
      <c r="G7" s="34"/>
      <c r="H7" s="34"/>
      <c r="I7" s="33"/>
      <c r="J7" s="32">
        <v>4034.9</v>
      </c>
      <c r="K7" s="33">
        <v>4037.7</v>
      </c>
      <c r="L7" s="32">
        <v>2426.6999999999998</v>
      </c>
      <c r="M7" s="146">
        <v>2428.5</v>
      </c>
      <c r="N7" s="32">
        <v>2584.1</v>
      </c>
      <c r="O7" s="33">
        <v>2586.4</v>
      </c>
      <c r="P7" s="32">
        <v>1285.0999999999999</v>
      </c>
      <c r="Q7" s="33">
        <v>1286.0999999999999</v>
      </c>
      <c r="R7" s="32">
        <v>3865</v>
      </c>
      <c r="S7" s="33">
        <v>3867</v>
      </c>
      <c r="T7" s="32">
        <v>10223.5</v>
      </c>
      <c r="U7" s="33">
        <v>10228.9</v>
      </c>
      <c r="V7" s="32">
        <v>47571.5</v>
      </c>
      <c r="W7" s="146">
        <v>47628.9</v>
      </c>
      <c r="X7" s="212">
        <v>62.9</v>
      </c>
    </row>
    <row r="8" spans="1:26">
      <c r="A8" s="22">
        <v>3</v>
      </c>
      <c r="B8" s="32">
        <v>36097.599999999999</v>
      </c>
      <c r="C8" s="33">
        <v>36105</v>
      </c>
      <c r="D8" s="206">
        <v>115665</v>
      </c>
      <c r="E8" s="207">
        <v>115731</v>
      </c>
      <c r="F8" s="34"/>
      <c r="G8" s="34"/>
      <c r="H8" s="34"/>
      <c r="I8" s="33"/>
      <c r="J8" s="32">
        <v>4042</v>
      </c>
      <c r="K8" s="33">
        <v>4044.9</v>
      </c>
      <c r="L8" s="32">
        <v>2430.5</v>
      </c>
      <c r="M8" s="146">
        <v>2432.3000000000002</v>
      </c>
      <c r="N8" s="32">
        <v>2589.4</v>
      </c>
      <c r="O8" s="33">
        <v>2591.1</v>
      </c>
      <c r="P8" s="32">
        <v>1287.8</v>
      </c>
      <c r="Q8" s="33">
        <v>1288.9000000000001</v>
      </c>
      <c r="R8" s="32">
        <v>3869.8</v>
      </c>
      <c r="S8" s="33">
        <v>3871.7</v>
      </c>
      <c r="T8" s="32">
        <v>10236.6</v>
      </c>
      <c r="U8" s="33">
        <v>10241.6</v>
      </c>
      <c r="V8" s="32">
        <v>47713.1</v>
      </c>
      <c r="W8" s="146">
        <v>47769.7</v>
      </c>
      <c r="X8" s="212">
        <v>65.209999999999994</v>
      </c>
    </row>
    <row r="9" spans="1:26">
      <c r="A9" s="22">
        <v>4</v>
      </c>
      <c r="B9" s="32">
        <v>36116.400000000001</v>
      </c>
      <c r="C9" s="33">
        <v>36124.699999999997</v>
      </c>
      <c r="D9" s="206">
        <v>116022</v>
      </c>
      <c r="E9" s="207">
        <v>116096</v>
      </c>
      <c r="F9" s="34"/>
      <c r="G9" s="34"/>
      <c r="H9" s="34"/>
      <c r="I9" s="33"/>
      <c r="J9" s="32">
        <v>4048.8</v>
      </c>
      <c r="K9" s="33">
        <v>4051.6</v>
      </c>
      <c r="L9" s="32">
        <v>2434.5</v>
      </c>
      <c r="M9" s="146">
        <v>2436.4</v>
      </c>
      <c r="N9" s="32">
        <v>2594</v>
      </c>
      <c r="O9" s="33">
        <v>2595.8000000000002</v>
      </c>
      <c r="P9" s="32">
        <v>1290.9000000000001</v>
      </c>
      <c r="Q9" s="33">
        <v>1291.9000000000001</v>
      </c>
      <c r="R9" s="32">
        <v>3874.4</v>
      </c>
      <c r="S9" s="33">
        <v>3876.3</v>
      </c>
      <c r="T9" s="32">
        <v>10249</v>
      </c>
      <c r="U9" s="102">
        <v>10254.200000000001</v>
      </c>
      <c r="V9" s="32">
        <v>47849.1</v>
      </c>
      <c r="W9" s="146">
        <v>47905</v>
      </c>
      <c r="X9" s="212">
        <v>64.06</v>
      </c>
    </row>
    <row r="10" spans="1:26">
      <c r="A10" s="22">
        <v>5</v>
      </c>
      <c r="B10" s="32">
        <v>36136</v>
      </c>
      <c r="C10" s="33">
        <v>36144.800000000003</v>
      </c>
      <c r="D10" s="206">
        <v>116354</v>
      </c>
      <c r="E10" s="207">
        <v>116423</v>
      </c>
      <c r="F10" s="34"/>
      <c r="G10" s="34"/>
      <c r="H10" s="34"/>
      <c r="I10" s="33"/>
      <c r="J10" s="32">
        <v>4055.4</v>
      </c>
      <c r="K10" s="33">
        <v>4058.2</v>
      </c>
      <c r="L10" s="32">
        <v>2438.4</v>
      </c>
      <c r="M10" s="146">
        <v>2440.1</v>
      </c>
      <c r="N10" s="32">
        <v>2598.6999999999998</v>
      </c>
      <c r="O10" s="33">
        <v>2600.4</v>
      </c>
      <c r="P10" s="32">
        <v>1293.5</v>
      </c>
      <c r="Q10" s="33">
        <v>1294.5999999999999</v>
      </c>
      <c r="R10" s="32">
        <v>3879</v>
      </c>
      <c r="S10" s="33">
        <v>3880.8</v>
      </c>
      <c r="T10" s="32">
        <v>10261.4</v>
      </c>
      <c r="U10" s="33">
        <v>10266.5</v>
      </c>
      <c r="V10" s="32">
        <v>47978.7</v>
      </c>
      <c r="W10" s="146">
        <v>48032.5</v>
      </c>
      <c r="X10" s="212">
        <v>62.44</v>
      </c>
    </row>
    <row r="11" spans="1:26">
      <c r="A11" s="22">
        <v>6</v>
      </c>
      <c r="B11" s="32">
        <v>36157.800000000003</v>
      </c>
      <c r="C11" s="33">
        <v>36168.9</v>
      </c>
      <c r="D11" s="206">
        <v>116668</v>
      </c>
      <c r="E11" s="207">
        <v>116725</v>
      </c>
      <c r="F11" s="34"/>
      <c r="G11" s="34"/>
      <c r="H11" s="34"/>
      <c r="I11" s="33"/>
      <c r="J11" s="32">
        <v>4062.1</v>
      </c>
      <c r="K11" s="33">
        <v>4065.7</v>
      </c>
      <c r="L11" s="32">
        <v>2442.1</v>
      </c>
      <c r="M11" s="146">
        <v>2444.3000000000002</v>
      </c>
      <c r="N11" s="32">
        <v>2603.1999999999998</v>
      </c>
      <c r="O11" s="33">
        <v>2605.5</v>
      </c>
      <c r="P11" s="32">
        <v>1296.0999999999999</v>
      </c>
      <c r="Q11" s="33">
        <v>1297.5999999999999</v>
      </c>
      <c r="R11" s="32">
        <v>3883.6</v>
      </c>
      <c r="S11" s="33">
        <v>3885.9</v>
      </c>
      <c r="T11" s="32">
        <v>10274.200000000001</v>
      </c>
      <c r="U11" s="33">
        <v>10280.6</v>
      </c>
      <c r="V11" s="32">
        <v>48115.199999999997</v>
      </c>
      <c r="W11" s="146">
        <v>48188.5</v>
      </c>
      <c r="X11" s="212">
        <v>60.83</v>
      </c>
    </row>
    <row r="12" spans="1:26">
      <c r="A12" s="22">
        <v>7</v>
      </c>
      <c r="B12" s="32">
        <v>36178.800000000003</v>
      </c>
      <c r="C12" s="33">
        <v>36189</v>
      </c>
      <c r="D12" s="206">
        <v>116858</v>
      </c>
      <c r="E12" s="207">
        <v>116921</v>
      </c>
      <c r="F12" s="34"/>
      <c r="G12" s="34"/>
      <c r="H12" s="34"/>
      <c r="I12" s="33"/>
      <c r="J12" s="32">
        <v>4068.8</v>
      </c>
      <c r="K12" s="33">
        <v>4072.7</v>
      </c>
      <c r="L12" s="32">
        <v>2445.9</v>
      </c>
      <c r="M12" s="146">
        <v>2448.3000000000002</v>
      </c>
      <c r="N12" s="32">
        <v>2607.9</v>
      </c>
      <c r="O12" s="33">
        <v>2610.4</v>
      </c>
      <c r="P12" s="32">
        <v>1298.9000000000001</v>
      </c>
      <c r="Q12" s="33">
        <v>1300.2</v>
      </c>
      <c r="R12" s="32">
        <v>3888.1</v>
      </c>
      <c r="S12" s="33">
        <v>3890.6</v>
      </c>
      <c r="T12" s="32">
        <v>10286.6</v>
      </c>
      <c r="U12" s="33">
        <v>10293.700000000001</v>
      </c>
      <c r="V12" s="32">
        <v>48257.4</v>
      </c>
      <c r="W12" s="146">
        <v>48341.5</v>
      </c>
      <c r="X12" s="212">
        <v>51.61</v>
      </c>
    </row>
    <row r="13" spans="1:26">
      <c r="A13" s="22">
        <v>8</v>
      </c>
      <c r="B13" s="32">
        <v>36196.5</v>
      </c>
      <c r="C13" s="33">
        <v>36203.599999999999</v>
      </c>
      <c r="D13" s="206">
        <v>117131</v>
      </c>
      <c r="E13" s="207">
        <v>117196</v>
      </c>
      <c r="F13" s="34"/>
      <c r="G13" s="34"/>
      <c r="H13" s="34"/>
      <c r="I13" s="33"/>
      <c r="J13" s="32">
        <v>4075.5</v>
      </c>
      <c r="K13" s="33">
        <v>4077.9</v>
      </c>
      <c r="L13" s="32">
        <v>2449.8000000000002</v>
      </c>
      <c r="M13" s="146">
        <v>2451.4</v>
      </c>
      <c r="N13" s="32">
        <v>2612.5</v>
      </c>
      <c r="O13" s="33">
        <v>2614.1</v>
      </c>
      <c r="P13" s="32">
        <v>1301.5</v>
      </c>
      <c r="Q13" s="33">
        <v>1302.3</v>
      </c>
      <c r="R13" s="32">
        <v>3892.6</v>
      </c>
      <c r="S13" s="33">
        <v>3894.3</v>
      </c>
      <c r="T13" s="32">
        <v>10299</v>
      </c>
      <c r="U13" s="33">
        <v>10303.9</v>
      </c>
      <c r="V13" s="32">
        <v>48400.9</v>
      </c>
      <c r="W13" s="146">
        <v>48454.9</v>
      </c>
      <c r="X13" s="212">
        <v>37.1</v>
      </c>
    </row>
    <row r="14" spans="1:26">
      <c r="A14" s="22">
        <v>9</v>
      </c>
      <c r="B14" s="32">
        <v>36214.400000000001</v>
      </c>
      <c r="C14" s="33">
        <v>36220.400000000001</v>
      </c>
      <c r="D14" s="206">
        <v>117239</v>
      </c>
      <c r="E14" s="207">
        <v>117259</v>
      </c>
      <c r="F14" s="34"/>
      <c r="G14" s="34"/>
      <c r="H14" s="34"/>
      <c r="I14" s="33"/>
      <c r="J14" s="32">
        <v>4082</v>
      </c>
      <c r="K14" s="33">
        <v>4085.1</v>
      </c>
      <c r="L14" s="32">
        <v>2453.6</v>
      </c>
      <c r="M14" s="146">
        <v>2455.6</v>
      </c>
      <c r="N14" s="32">
        <v>2617.1</v>
      </c>
      <c r="O14" s="33">
        <v>2619.1</v>
      </c>
      <c r="P14" s="32">
        <v>1304</v>
      </c>
      <c r="Q14" s="33">
        <v>1305.4000000000001</v>
      </c>
      <c r="R14" s="32">
        <v>3897.1</v>
      </c>
      <c r="S14" s="33">
        <v>3899.2</v>
      </c>
      <c r="T14" s="32">
        <v>10311.700000000001</v>
      </c>
      <c r="U14" s="33">
        <v>10317.4</v>
      </c>
      <c r="V14" s="32">
        <v>48535.8</v>
      </c>
      <c r="W14" s="146">
        <v>48590</v>
      </c>
      <c r="X14" s="212">
        <v>71.430000000000007</v>
      </c>
    </row>
    <row r="15" spans="1:26">
      <c r="A15" s="22">
        <v>10</v>
      </c>
      <c r="B15" s="32">
        <v>36233.699999999997</v>
      </c>
      <c r="C15" s="33">
        <v>36242.800000000003</v>
      </c>
      <c r="D15" s="206">
        <v>117466</v>
      </c>
      <c r="E15" s="207">
        <v>117469</v>
      </c>
      <c r="F15" s="34"/>
      <c r="G15" s="34"/>
      <c r="H15" s="34"/>
      <c r="I15" s="33"/>
      <c r="J15" s="32">
        <v>4088.8</v>
      </c>
      <c r="K15" s="33">
        <v>4091.5</v>
      </c>
      <c r="L15" s="32">
        <v>2457.8000000000002</v>
      </c>
      <c r="M15" s="146">
        <v>2459.6</v>
      </c>
      <c r="N15" s="32">
        <v>2621.9</v>
      </c>
      <c r="O15" s="33">
        <v>2623.7</v>
      </c>
      <c r="P15" s="32">
        <v>1309</v>
      </c>
      <c r="Q15" s="33">
        <v>1308.0999999999999</v>
      </c>
      <c r="R15" s="32">
        <v>3901.9</v>
      </c>
      <c r="S15" s="33">
        <v>3903.6</v>
      </c>
      <c r="T15" s="32">
        <v>10324.799999999999</v>
      </c>
      <c r="U15" s="33">
        <v>10329.700000000001</v>
      </c>
      <c r="V15" s="32">
        <v>48679.8</v>
      </c>
      <c r="W15" s="146">
        <v>48740.2</v>
      </c>
      <c r="X15" s="212">
        <v>84.33</v>
      </c>
    </row>
    <row r="16" spans="1:26">
      <c r="A16" s="22">
        <v>11</v>
      </c>
      <c r="B16" s="32">
        <v>36256.9</v>
      </c>
      <c r="C16" s="33">
        <v>36264.1</v>
      </c>
      <c r="D16" s="206">
        <v>117648</v>
      </c>
      <c r="E16" s="207">
        <v>117761</v>
      </c>
      <c r="F16" s="34"/>
      <c r="G16" s="34"/>
      <c r="H16" s="34"/>
      <c r="I16" s="33"/>
      <c r="J16" s="32">
        <v>4095.6</v>
      </c>
      <c r="K16" s="33">
        <v>4098.3</v>
      </c>
      <c r="L16" s="32">
        <v>2461.9</v>
      </c>
      <c r="M16" s="146">
        <v>2463.6999999999998</v>
      </c>
      <c r="N16" s="32">
        <v>2626.7</v>
      </c>
      <c r="O16" s="33">
        <v>2628.3</v>
      </c>
      <c r="P16" s="32">
        <v>1309.8</v>
      </c>
      <c r="Q16" s="33">
        <v>1310.8</v>
      </c>
      <c r="R16" s="32">
        <v>3906.5</v>
      </c>
      <c r="S16" s="33">
        <v>3908.2</v>
      </c>
      <c r="T16" s="32">
        <v>10337.700000000001</v>
      </c>
      <c r="U16" s="33">
        <v>10342.4</v>
      </c>
      <c r="V16" s="32">
        <v>48831</v>
      </c>
      <c r="W16" s="146">
        <v>48891.199999999997</v>
      </c>
      <c r="X16" s="212">
        <v>84.33</v>
      </c>
    </row>
    <row r="17" spans="1:26">
      <c r="A17" s="22">
        <v>12</v>
      </c>
      <c r="B17" s="32">
        <v>36275.9</v>
      </c>
      <c r="C17" s="33">
        <v>36281.800000000003</v>
      </c>
      <c r="D17" s="206">
        <v>117985</v>
      </c>
      <c r="E17" s="207">
        <v>118072</v>
      </c>
      <c r="F17" s="34"/>
      <c r="G17" s="34"/>
      <c r="H17" s="34"/>
      <c r="I17" s="33"/>
      <c r="J17" s="32">
        <v>4102.3999999999996</v>
      </c>
      <c r="K17" s="33">
        <v>4104.8999999999996</v>
      </c>
      <c r="L17" s="32">
        <v>2466.1999999999998</v>
      </c>
      <c r="M17" s="146">
        <v>2467.9</v>
      </c>
      <c r="N17" s="32">
        <v>2631.7</v>
      </c>
      <c r="O17" s="33">
        <v>2633.3</v>
      </c>
      <c r="P17" s="32">
        <v>1312.6</v>
      </c>
      <c r="Q17" s="33">
        <v>1313.6</v>
      </c>
      <c r="R17" s="32">
        <v>3911.2</v>
      </c>
      <c r="S17" s="33">
        <v>3912.9</v>
      </c>
      <c r="T17" s="32">
        <v>10350.700000000001</v>
      </c>
      <c r="U17" s="33">
        <v>10355</v>
      </c>
      <c r="V17" s="32">
        <v>48983.199999999997</v>
      </c>
      <c r="W17" s="146">
        <v>49037</v>
      </c>
      <c r="X17" s="212">
        <v>67.05</v>
      </c>
    </row>
    <row r="18" spans="1:26">
      <c r="A18" s="22">
        <v>13</v>
      </c>
      <c r="B18" s="32">
        <v>36292.5</v>
      </c>
      <c r="C18" s="33">
        <v>36298.1</v>
      </c>
      <c r="D18" s="206">
        <v>118299</v>
      </c>
      <c r="E18" s="207">
        <v>118303</v>
      </c>
      <c r="F18" s="34"/>
      <c r="G18" s="34"/>
      <c r="H18" s="34"/>
      <c r="I18" s="33"/>
      <c r="J18" s="32">
        <v>4109.2</v>
      </c>
      <c r="K18" s="33">
        <v>4111.8999999999996</v>
      </c>
      <c r="L18" s="32">
        <v>2470.1999999999998</v>
      </c>
      <c r="M18" s="146">
        <v>2471.9</v>
      </c>
      <c r="N18" s="32">
        <v>2636.6</v>
      </c>
      <c r="O18" s="33">
        <v>2638.3</v>
      </c>
      <c r="P18" s="32">
        <v>1315.6</v>
      </c>
      <c r="Q18" s="33">
        <v>1316.6</v>
      </c>
      <c r="R18" s="32">
        <v>3915.9</v>
      </c>
      <c r="S18" s="33">
        <v>3917.6</v>
      </c>
      <c r="T18" s="32">
        <v>10363.1</v>
      </c>
      <c r="U18" s="33">
        <v>10367.5</v>
      </c>
      <c r="V18" s="32">
        <v>49127.3</v>
      </c>
      <c r="W18" s="146">
        <v>49177.5</v>
      </c>
      <c r="X18" s="212">
        <v>70.05</v>
      </c>
    </row>
    <row r="19" spans="1:26">
      <c r="A19" s="22">
        <v>14</v>
      </c>
      <c r="B19" s="32">
        <v>36307.9</v>
      </c>
      <c r="C19" s="33">
        <v>36313.9</v>
      </c>
      <c r="D19" s="206">
        <v>118479</v>
      </c>
      <c r="E19" s="208">
        <v>118528</v>
      </c>
      <c r="F19" s="34"/>
      <c r="G19" s="34"/>
      <c r="H19" s="34"/>
      <c r="I19" s="33"/>
      <c r="J19" s="32">
        <v>4115.6000000000004</v>
      </c>
      <c r="K19" s="33">
        <v>4118.6000000000004</v>
      </c>
      <c r="L19" s="32">
        <v>2474.1</v>
      </c>
      <c r="M19" s="146">
        <v>2475.8000000000002</v>
      </c>
      <c r="N19" s="32">
        <v>2641.4</v>
      </c>
      <c r="O19" s="33">
        <v>2643.3</v>
      </c>
      <c r="P19" s="32">
        <v>1318.6</v>
      </c>
      <c r="Q19" s="33">
        <v>1319.6</v>
      </c>
      <c r="R19" s="32">
        <v>3920.3</v>
      </c>
      <c r="S19" s="33">
        <v>3922.3</v>
      </c>
      <c r="T19" s="32">
        <v>10374.700000000001</v>
      </c>
      <c r="U19" s="33">
        <v>10379.799999999999</v>
      </c>
      <c r="V19" s="32">
        <v>49261.599999999999</v>
      </c>
      <c r="W19" s="146">
        <v>49322.6</v>
      </c>
      <c r="X19" s="212">
        <v>53.69</v>
      </c>
    </row>
    <row r="20" spans="1:26">
      <c r="A20" s="22">
        <v>15</v>
      </c>
      <c r="B20" s="32">
        <v>36323.199999999997</v>
      </c>
      <c r="C20" s="33">
        <v>36330</v>
      </c>
      <c r="D20" s="206">
        <v>118817</v>
      </c>
      <c r="E20" s="208">
        <v>118825</v>
      </c>
      <c r="F20" s="34"/>
      <c r="G20" s="34"/>
      <c r="H20" s="34"/>
      <c r="I20" s="33"/>
      <c r="J20" s="32">
        <v>4122.3</v>
      </c>
      <c r="K20" s="33">
        <v>4125.2</v>
      </c>
      <c r="L20" s="32">
        <v>2477.8000000000002</v>
      </c>
      <c r="M20" s="146">
        <v>2479.5</v>
      </c>
      <c r="N20" s="32">
        <v>2646</v>
      </c>
      <c r="O20" s="33">
        <v>2647.9</v>
      </c>
      <c r="P20" s="32">
        <v>1321.2</v>
      </c>
      <c r="Q20" s="33">
        <v>1322.4</v>
      </c>
      <c r="R20" s="32">
        <v>3924.8</v>
      </c>
      <c r="S20" s="33">
        <v>3926.8</v>
      </c>
      <c r="T20" s="32">
        <v>10386.200000000001</v>
      </c>
      <c r="U20" s="33">
        <v>10391.700000000001</v>
      </c>
      <c r="V20" s="32">
        <v>49402.8</v>
      </c>
      <c r="W20" s="146">
        <v>49460.3</v>
      </c>
      <c r="X20" s="212">
        <v>41.24</v>
      </c>
    </row>
    <row r="21" spans="1:26">
      <c r="A21" s="22">
        <v>16</v>
      </c>
      <c r="B21" s="32">
        <v>36341.1</v>
      </c>
      <c r="C21" s="33">
        <v>36346.9</v>
      </c>
      <c r="D21" s="206">
        <v>118941</v>
      </c>
      <c r="E21" s="208">
        <v>119056</v>
      </c>
      <c r="F21" s="34"/>
      <c r="G21" s="34"/>
      <c r="H21" s="34"/>
      <c r="I21" s="33"/>
      <c r="J21" s="32">
        <v>4129.6000000000004</v>
      </c>
      <c r="K21" s="33">
        <v>4132</v>
      </c>
      <c r="L21" s="32">
        <v>2481.8000000000002</v>
      </c>
      <c r="M21" s="146">
        <v>2483.4</v>
      </c>
      <c r="N21" s="32">
        <v>2651.1</v>
      </c>
      <c r="O21" s="33">
        <v>2652.7</v>
      </c>
      <c r="P21" s="32">
        <v>1324.4</v>
      </c>
      <c r="Q21" s="33">
        <v>1325.1</v>
      </c>
      <c r="R21" s="32">
        <v>3929.9</v>
      </c>
      <c r="S21" s="33">
        <v>3931.5</v>
      </c>
      <c r="T21" s="32">
        <v>10398.5</v>
      </c>
      <c r="U21" s="33">
        <v>10401.9</v>
      </c>
      <c r="V21" s="32">
        <v>49544</v>
      </c>
      <c r="W21" s="146">
        <v>49586.8</v>
      </c>
      <c r="X21" s="212">
        <v>79.489999999999995</v>
      </c>
    </row>
    <row r="22" spans="1:26">
      <c r="A22" s="22">
        <v>17</v>
      </c>
      <c r="B22" s="32">
        <v>36355.599999999999</v>
      </c>
      <c r="C22" s="33">
        <v>36367.800000000003</v>
      </c>
      <c r="D22" s="206">
        <v>119216</v>
      </c>
      <c r="E22" s="208">
        <v>119219</v>
      </c>
      <c r="F22" s="34"/>
      <c r="G22" s="34"/>
      <c r="H22" s="34"/>
      <c r="I22" s="33"/>
      <c r="J22" s="32">
        <v>4136</v>
      </c>
      <c r="K22" s="33">
        <v>4139.8999999999996</v>
      </c>
      <c r="L22" s="32">
        <v>2485.5</v>
      </c>
      <c r="M22" s="146">
        <v>2488.1</v>
      </c>
      <c r="N22" s="32">
        <v>2655.5</v>
      </c>
      <c r="O22" s="33">
        <v>2658</v>
      </c>
      <c r="P22" s="32">
        <v>1326.7</v>
      </c>
      <c r="Q22" s="33">
        <v>1328.1</v>
      </c>
      <c r="R22" s="32">
        <v>3934.2</v>
      </c>
      <c r="S22" s="33">
        <v>3936.8</v>
      </c>
      <c r="T22" s="32">
        <v>10408.5</v>
      </c>
      <c r="U22" s="33">
        <v>10414.799999999999</v>
      </c>
      <c r="V22" s="32">
        <v>49655.8</v>
      </c>
      <c r="W22" s="146">
        <v>49753.599999999999</v>
      </c>
      <c r="X22" s="212">
        <v>93.32</v>
      </c>
    </row>
    <row r="23" spans="1:26">
      <c r="A23" s="22">
        <v>18</v>
      </c>
      <c r="B23" s="32">
        <v>36374.9</v>
      </c>
      <c r="C23" s="33">
        <v>36382.6</v>
      </c>
      <c r="D23" s="206">
        <v>119389</v>
      </c>
      <c r="E23" s="208">
        <v>119454</v>
      </c>
      <c r="F23" s="34"/>
      <c r="G23" s="34"/>
      <c r="H23" s="34"/>
      <c r="I23" s="33"/>
      <c r="J23" s="32">
        <v>4142.7</v>
      </c>
      <c r="K23" s="33">
        <v>4145.6000000000004</v>
      </c>
      <c r="L23" s="32">
        <v>2489.5</v>
      </c>
      <c r="M23" s="146">
        <v>2491.5</v>
      </c>
      <c r="N23" s="32">
        <v>2660.1</v>
      </c>
      <c r="O23" s="33">
        <v>2662.1</v>
      </c>
      <c r="P23" s="32">
        <v>1329.3</v>
      </c>
      <c r="Q23" s="33">
        <v>1330.4</v>
      </c>
      <c r="R23" s="32">
        <v>3938.9</v>
      </c>
      <c r="S23" s="33">
        <v>3940.9</v>
      </c>
      <c r="T23" s="32">
        <v>10419.9</v>
      </c>
      <c r="U23" s="33">
        <v>10425.1</v>
      </c>
      <c r="V23" s="32">
        <v>49810.2</v>
      </c>
      <c r="W23" s="146">
        <v>49882.400000000001</v>
      </c>
      <c r="X23" s="212">
        <v>98.62</v>
      </c>
      <c r="Y23" s="201"/>
      <c r="Z23" s="201"/>
    </row>
    <row r="24" spans="1:26">
      <c r="A24" s="22">
        <v>19</v>
      </c>
      <c r="B24" s="32">
        <v>36392.9</v>
      </c>
      <c r="C24" s="33">
        <v>36399.9</v>
      </c>
      <c r="D24" s="206">
        <v>119741</v>
      </c>
      <c r="E24" s="208">
        <v>119812</v>
      </c>
      <c r="F24" s="34"/>
      <c r="G24" s="34"/>
      <c r="H24" s="34"/>
      <c r="I24" s="33"/>
      <c r="J24" s="32">
        <v>4149.6000000000004</v>
      </c>
      <c r="K24" s="33">
        <v>4152.7</v>
      </c>
      <c r="L24" s="32">
        <v>2493.6</v>
      </c>
      <c r="M24" s="146">
        <v>2495.6</v>
      </c>
      <c r="N24" s="32">
        <v>2665.1</v>
      </c>
      <c r="O24" s="33">
        <v>2667</v>
      </c>
      <c r="P24" s="32">
        <v>1332</v>
      </c>
      <c r="Q24" s="33">
        <v>1333.1</v>
      </c>
      <c r="R24" s="32">
        <v>3943.6</v>
      </c>
      <c r="S24" s="33">
        <v>3945.7</v>
      </c>
      <c r="T24" s="32">
        <v>10432.299999999999</v>
      </c>
      <c r="U24" s="33">
        <v>10437.9</v>
      </c>
      <c r="V24" s="32">
        <v>49968.1</v>
      </c>
      <c r="W24" s="146">
        <v>50039.4</v>
      </c>
      <c r="X24" s="212">
        <v>94.24</v>
      </c>
    </row>
    <row r="25" spans="1:26">
      <c r="A25" s="22">
        <v>20</v>
      </c>
      <c r="B25" s="32">
        <v>36409.599999999999</v>
      </c>
      <c r="C25" s="33">
        <v>36420.400000000001</v>
      </c>
      <c r="D25" s="206">
        <v>120095</v>
      </c>
      <c r="E25" s="208">
        <v>120101</v>
      </c>
      <c r="F25" s="34"/>
      <c r="G25" s="34"/>
      <c r="H25" s="34"/>
      <c r="I25" s="33"/>
      <c r="J25" s="32">
        <v>4156.5</v>
      </c>
      <c r="K25" s="33">
        <v>4161.3999999999996</v>
      </c>
      <c r="L25" s="32">
        <v>2497.6</v>
      </c>
      <c r="M25" s="146">
        <v>2500.8000000000002</v>
      </c>
      <c r="N25" s="32">
        <v>2669.8</v>
      </c>
      <c r="O25" s="33">
        <v>2673</v>
      </c>
      <c r="P25" s="32">
        <v>1334.6</v>
      </c>
      <c r="Q25" s="33">
        <v>1336.6</v>
      </c>
      <c r="R25" s="32">
        <v>3948.4</v>
      </c>
      <c r="S25" s="33">
        <v>3951.7</v>
      </c>
      <c r="T25" s="32">
        <v>10445</v>
      </c>
      <c r="U25" s="33">
        <v>10453.5</v>
      </c>
      <c r="V25" s="32">
        <v>50120.9</v>
      </c>
      <c r="W25" s="146">
        <v>50232.3</v>
      </c>
      <c r="X25" s="212">
        <v>91.71</v>
      </c>
    </row>
    <row r="26" spans="1:26">
      <c r="A26" s="22">
        <v>21</v>
      </c>
      <c r="B26" s="32">
        <v>36425.300000000003</v>
      </c>
      <c r="C26" s="33">
        <v>36432.300000000003</v>
      </c>
      <c r="D26" s="206">
        <v>120303</v>
      </c>
      <c r="E26" s="208">
        <v>120318</v>
      </c>
      <c r="F26" s="34"/>
      <c r="G26" s="34"/>
      <c r="H26" s="34"/>
      <c r="I26" s="33"/>
      <c r="J26" s="32">
        <v>4163.2</v>
      </c>
      <c r="K26" s="33">
        <v>4166.5</v>
      </c>
      <c r="L26" s="32">
        <v>2501.6999999999998</v>
      </c>
      <c r="M26" s="146">
        <v>2503.6999999999998</v>
      </c>
      <c r="N26" s="32">
        <v>2674.7</v>
      </c>
      <c r="O26" s="33">
        <v>2676.8</v>
      </c>
      <c r="P26" s="32">
        <v>1337.5</v>
      </c>
      <c r="Q26" s="33">
        <v>1338.7</v>
      </c>
      <c r="R26" s="32">
        <v>3953.1</v>
      </c>
      <c r="S26" s="33">
        <v>3955.4</v>
      </c>
      <c r="T26" s="32">
        <v>10457.700000000001</v>
      </c>
      <c r="U26" s="33">
        <v>10463.9</v>
      </c>
      <c r="V26" s="32">
        <v>50277.1</v>
      </c>
      <c r="W26" s="146">
        <v>50346.1</v>
      </c>
      <c r="X26" s="212">
        <v>64.290000000000006</v>
      </c>
    </row>
    <row r="27" spans="1:26">
      <c r="A27" s="22">
        <v>22</v>
      </c>
      <c r="B27" s="32">
        <v>36442.1</v>
      </c>
      <c r="C27" s="33">
        <v>36449.4</v>
      </c>
      <c r="D27" s="206">
        <v>120546</v>
      </c>
      <c r="E27" s="208">
        <v>120546</v>
      </c>
      <c r="F27" s="34"/>
      <c r="G27" s="34"/>
      <c r="H27" s="34"/>
      <c r="I27" s="33"/>
      <c r="J27" s="32">
        <v>4170</v>
      </c>
      <c r="K27" s="33">
        <v>4173</v>
      </c>
      <c r="L27" s="32">
        <v>2505.5</v>
      </c>
      <c r="M27" s="146">
        <v>2507.4</v>
      </c>
      <c r="N27" s="32">
        <v>2679.4</v>
      </c>
      <c r="O27" s="33">
        <v>2681.4</v>
      </c>
      <c r="P27" s="32">
        <v>1340.2</v>
      </c>
      <c r="Q27" s="33">
        <v>1341.4</v>
      </c>
      <c r="R27" s="32">
        <v>3957.8</v>
      </c>
      <c r="S27" s="33">
        <v>3959.8</v>
      </c>
      <c r="T27" s="32">
        <v>10470.5</v>
      </c>
      <c r="U27" s="33">
        <v>10476.299999999999</v>
      </c>
      <c r="V27" s="32">
        <v>50434.1</v>
      </c>
      <c r="W27" s="146">
        <v>50501.5</v>
      </c>
      <c r="X27" s="212">
        <v>47.7</v>
      </c>
    </row>
    <row r="28" spans="1:26">
      <c r="A28" s="22">
        <v>23</v>
      </c>
      <c r="B28" s="32">
        <v>36459</v>
      </c>
      <c r="C28" s="33">
        <v>36466.800000000003</v>
      </c>
      <c r="D28" s="206">
        <v>120679</v>
      </c>
      <c r="E28" s="208">
        <v>120707</v>
      </c>
      <c r="F28" s="34"/>
      <c r="G28" s="34"/>
      <c r="H28" s="34"/>
      <c r="I28" s="33"/>
      <c r="J28" s="32">
        <v>4176.8</v>
      </c>
      <c r="K28" s="33">
        <v>4180.2</v>
      </c>
      <c r="L28" s="32">
        <v>2509.3000000000002</v>
      </c>
      <c r="M28" s="146">
        <v>2511.4</v>
      </c>
      <c r="N28" s="32">
        <v>2684.2</v>
      </c>
      <c r="O28" s="33">
        <v>2686.5</v>
      </c>
      <c r="P28" s="32">
        <v>1343.1</v>
      </c>
      <c r="Q28" s="33">
        <v>1344.3</v>
      </c>
      <c r="R28" s="32">
        <v>3962.4</v>
      </c>
      <c r="S28" s="33">
        <v>3964.7</v>
      </c>
      <c r="T28" s="32">
        <v>10483.700000000001</v>
      </c>
      <c r="U28" s="33">
        <v>10490.2</v>
      </c>
      <c r="V28" s="32">
        <v>50582.6</v>
      </c>
      <c r="W28" s="146">
        <v>50664.1</v>
      </c>
      <c r="X28" s="212">
        <v>62.44</v>
      </c>
    </row>
    <row r="29" spans="1:26">
      <c r="A29" s="22">
        <v>24</v>
      </c>
      <c r="B29" s="32">
        <v>36476.300000000003</v>
      </c>
      <c r="C29" s="33">
        <v>36482.1</v>
      </c>
      <c r="D29" s="206">
        <v>121002</v>
      </c>
      <c r="E29" s="208">
        <v>121068</v>
      </c>
      <c r="F29" s="34"/>
      <c r="G29" s="34"/>
      <c r="H29" s="34"/>
      <c r="I29" s="33"/>
      <c r="J29" s="32">
        <v>4183.8</v>
      </c>
      <c r="K29" s="33">
        <v>4186.2</v>
      </c>
      <c r="L29" s="32">
        <v>2513.4</v>
      </c>
      <c r="M29" s="146">
        <v>2515</v>
      </c>
      <c r="N29" s="32">
        <v>2689.5</v>
      </c>
      <c r="O29" s="33">
        <v>2691</v>
      </c>
      <c r="P29" s="32">
        <v>1345.9</v>
      </c>
      <c r="Q29" s="33">
        <v>1346.8</v>
      </c>
      <c r="R29" s="32">
        <v>3967.6</v>
      </c>
      <c r="S29" s="33">
        <v>3969.2</v>
      </c>
      <c r="T29" s="32">
        <v>10497.7</v>
      </c>
      <c r="U29" s="33">
        <v>10502.3</v>
      </c>
      <c r="V29" s="32">
        <v>50736</v>
      </c>
      <c r="W29" s="146">
        <v>50764.5</v>
      </c>
      <c r="X29" s="212">
        <v>63.59</v>
      </c>
    </row>
    <row r="30" spans="1:26">
      <c r="A30" s="22">
        <v>25</v>
      </c>
      <c r="B30" s="32">
        <v>36491.9</v>
      </c>
      <c r="C30" s="33">
        <v>36498.199999999997</v>
      </c>
      <c r="D30" s="206">
        <v>121170</v>
      </c>
      <c r="E30" s="208">
        <v>121221</v>
      </c>
      <c r="F30" s="34"/>
      <c r="G30" s="34"/>
      <c r="H30" s="34"/>
      <c r="I30" s="33"/>
      <c r="J30" s="32">
        <v>4190.3</v>
      </c>
      <c r="K30" s="33">
        <v>4193</v>
      </c>
      <c r="L30" s="32">
        <v>2517.1</v>
      </c>
      <c r="M30" s="146">
        <v>2519</v>
      </c>
      <c r="N30" s="32">
        <v>2694.1</v>
      </c>
      <c r="O30" s="33">
        <v>2695.9</v>
      </c>
      <c r="P30" s="32">
        <v>1348.4</v>
      </c>
      <c r="Q30" s="33">
        <v>1349.5</v>
      </c>
      <c r="R30" s="32">
        <v>3972.1</v>
      </c>
      <c r="S30" s="33">
        <v>3973.9</v>
      </c>
      <c r="T30" s="32">
        <v>10510.2</v>
      </c>
      <c r="U30" s="33">
        <v>10515.2</v>
      </c>
      <c r="V30" s="32">
        <v>50861.7</v>
      </c>
      <c r="W30" s="146">
        <v>50913.7</v>
      </c>
      <c r="X30" s="212">
        <v>76.5</v>
      </c>
    </row>
    <row r="31" spans="1:26">
      <c r="A31" s="22">
        <v>26</v>
      </c>
      <c r="B31" s="32">
        <v>36507.4</v>
      </c>
      <c r="C31" s="33">
        <v>36512.699999999997</v>
      </c>
      <c r="D31" s="206">
        <v>121385</v>
      </c>
      <c r="E31" s="208">
        <v>121443</v>
      </c>
      <c r="F31" s="34"/>
      <c r="G31" s="34"/>
      <c r="H31" s="34"/>
      <c r="I31" s="33"/>
      <c r="J31" s="32">
        <v>4197.1000000000004</v>
      </c>
      <c r="K31" s="33">
        <v>4199.8</v>
      </c>
      <c r="L31" s="32">
        <v>2521.3000000000002</v>
      </c>
      <c r="M31" s="146">
        <v>2523.1999999999998</v>
      </c>
      <c r="N31" s="32">
        <v>2699.1</v>
      </c>
      <c r="O31" s="33">
        <v>2700.9</v>
      </c>
      <c r="P31" s="32">
        <v>1351.2</v>
      </c>
      <c r="Q31" s="33">
        <v>1352.3</v>
      </c>
      <c r="R31" s="32">
        <v>3976.9</v>
      </c>
      <c r="S31" s="33">
        <v>3978.7</v>
      </c>
      <c r="T31" s="32">
        <v>10523.4</v>
      </c>
      <c r="U31" s="33">
        <v>10528.4</v>
      </c>
      <c r="V31" s="32">
        <v>51003.199999999997</v>
      </c>
      <c r="W31" s="146">
        <v>51060.3</v>
      </c>
      <c r="X31" s="212">
        <v>88.48</v>
      </c>
    </row>
    <row r="32" spans="1:26">
      <c r="A32" s="22">
        <v>27</v>
      </c>
      <c r="B32" s="32">
        <v>36521.21</v>
      </c>
      <c r="C32" s="33">
        <v>36527.199999999997</v>
      </c>
      <c r="D32" s="206">
        <v>121713</v>
      </c>
      <c r="E32" s="208">
        <v>121781</v>
      </c>
      <c r="F32" s="34"/>
      <c r="G32" s="34"/>
      <c r="H32" s="34"/>
      <c r="I32" s="33"/>
      <c r="J32" s="32">
        <v>4203.6000000000004</v>
      </c>
      <c r="K32" s="33">
        <v>4206.2</v>
      </c>
      <c r="L32" s="32">
        <v>2525.3000000000002</v>
      </c>
      <c r="M32" s="146">
        <v>2527.1</v>
      </c>
      <c r="N32" s="32">
        <v>2703.9</v>
      </c>
      <c r="O32" s="33">
        <v>2705.9</v>
      </c>
      <c r="P32" s="32">
        <v>1353.9</v>
      </c>
      <c r="Q32" s="33">
        <v>1354.8</v>
      </c>
      <c r="R32" s="32">
        <v>3981.4</v>
      </c>
      <c r="S32" s="33">
        <v>3983.2</v>
      </c>
      <c r="T32" s="32">
        <v>10535.7</v>
      </c>
      <c r="U32" s="33">
        <v>10540.8</v>
      </c>
      <c r="V32" s="32">
        <v>51144.6</v>
      </c>
      <c r="W32" s="146">
        <v>51201.2</v>
      </c>
      <c r="X32" s="212">
        <v>81.11</v>
      </c>
    </row>
    <row r="33" spans="1:24">
      <c r="A33" s="22">
        <v>28</v>
      </c>
      <c r="B33" s="32">
        <v>36535.5</v>
      </c>
      <c r="C33" s="33">
        <v>36541</v>
      </c>
      <c r="D33" s="206">
        <v>121873</v>
      </c>
      <c r="E33" s="208">
        <v>121925</v>
      </c>
      <c r="F33" s="34"/>
      <c r="G33" s="34"/>
      <c r="H33" s="34"/>
      <c r="I33" s="33"/>
      <c r="J33" s="32">
        <v>4210.3999999999996</v>
      </c>
      <c r="K33" s="33">
        <v>4213</v>
      </c>
      <c r="L33" s="32">
        <v>2529.4</v>
      </c>
      <c r="M33" s="146">
        <v>2531</v>
      </c>
      <c r="N33" s="32">
        <v>2709.3</v>
      </c>
      <c r="O33" s="33">
        <v>2711.1</v>
      </c>
      <c r="P33" s="32">
        <v>1356.5</v>
      </c>
      <c r="Q33" s="33">
        <v>1357.4</v>
      </c>
      <c r="R33" s="32">
        <v>3986.1</v>
      </c>
      <c r="S33" s="33">
        <v>3987.9</v>
      </c>
      <c r="T33" s="32">
        <v>10548.6</v>
      </c>
      <c r="U33" s="33">
        <v>10553.4</v>
      </c>
      <c r="V33" s="32">
        <v>51292.1</v>
      </c>
      <c r="W33" s="146">
        <v>51352</v>
      </c>
      <c r="X33" s="212">
        <v>75.58</v>
      </c>
    </row>
    <row r="34" spans="1:24">
      <c r="A34" s="250">
        <v>29</v>
      </c>
      <c r="B34" s="32">
        <v>36550</v>
      </c>
      <c r="C34" s="33">
        <v>36554.800000000003</v>
      </c>
      <c r="D34" s="206">
        <v>122196</v>
      </c>
      <c r="E34" s="208">
        <v>122245</v>
      </c>
      <c r="F34" s="34"/>
      <c r="G34" s="34"/>
      <c r="H34" s="34"/>
      <c r="I34" s="33"/>
      <c r="J34" s="32">
        <v>4217.6000000000004</v>
      </c>
      <c r="K34" s="33">
        <v>4219.8999999999996</v>
      </c>
      <c r="L34" s="32">
        <v>2533.3000000000002</v>
      </c>
      <c r="M34" s="146">
        <v>2534.9</v>
      </c>
      <c r="N34" s="32">
        <v>2714.6</v>
      </c>
      <c r="O34" s="33">
        <v>2716.2</v>
      </c>
      <c r="P34" s="32">
        <v>1359.4</v>
      </c>
      <c r="Q34" s="33">
        <v>1360.4</v>
      </c>
      <c r="R34" s="32">
        <v>3991</v>
      </c>
      <c r="S34" s="33">
        <v>3992.7</v>
      </c>
      <c r="T34" s="32">
        <v>10561.8</v>
      </c>
      <c r="U34" s="33">
        <v>10565.9</v>
      </c>
      <c r="V34" s="32">
        <v>51446.5</v>
      </c>
      <c r="W34" s="146">
        <v>51500.7</v>
      </c>
      <c r="X34" s="212">
        <v>77.88</v>
      </c>
    </row>
    <row r="35" spans="1:24" ht="14.7" thickBot="1">
      <c r="A35" s="202">
        <v>30</v>
      </c>
      <c r="B35" s="32">
        <v>36562.5</v>
      </c>
      <c r="C35" s="33">
        <v>36572.5</v>
      </c>
      <c r="D35" s="251">
        <v>122245</v>
      </c>
      <c r="E35" s="208">
        <v>122475</v>
      </c>
      <c r="F35" s="203"/>
      <c r="G35" s="203"/>
      <c r="H35" s="203"/>
      <c r="I35" s="143"/>
      <c r="J35" s="32">
        <v>4223.7</v>
      </c>
      <c r="K35" s="33">
        <v>4228.2</v>
      </c>
      <c r="L35" s="32">
        <v>2536.9</v>
      </c>
      <c r="M35" s="146">
        <v>2539.8000000000002</v>
      </c>
      <c r="N35" s="32">
        <v>2719.2</v>
      </c>
      <c r="O35" s="33">
        <v>2722.5</v>
      </c>
      <c r="P35" s="32">
        <v>1362.1</v>
      </c>
      <c r="Q35" s="33">
        <v>1363.9</v>
      </c>
      <c r="R35" s="32">
        <v>3995.2</v>
      </c>
      <c r="S35" s="33">
        <v>3998.4</v>
      </c>
      <c r="T35" s="32">
        <v>10571.2</v>
      </c>
      <c r="U35" s="33">
        <v>10577.9</v>
      </c>
      <c r="V35" s="32">
        <v>51577.4</v>
      </c>
      <c r="W35" s="146">
        <v>51674.8</v>
      </c>
      <c r="X35" s="212">
        <v>94.93</v>
      </c>
    </row>
    <row r="36" spans="1:24" ht="15.75" customHeight="1" thickBot="1">
      <c r="A36" s="23">
        <v>31</v>
      </c>
      <c r="B36" s="142">
        <v>36578.300000000003</v>
      </c>
      <c r="C36" s="143">
        <v>36588.1</v>
      </c>
      <c r="D36" s="209">
        <v>122563</v>
      </c>
      <c r="E36" s="210">
        <v>122881</v>
      </c>
      <c r="F36" s="31"/>
      <c r="G36" s="31"/>
      <c r="H36" s="31"/>
      <c r="I36" s="30"/>
      <c r="J36" s="142">
        <v>4230.7</v>
      </c>
      <c r="K36" s="143">
        <v>4235.1000000000004</v>
      </c>
      <c r="L36" s="142">
        <v>2541.1999999999998</v>
      </c>
      <c r="M36" s="147">
        <v>2544</v>
      </c>
      <c r="N36" s="142">
        <v>2724.5</v>
      </c>
      <c r="O36" s="143">
        <v>2727.4</v>
      </c>
      <c r="P36" s="142">
        <v>1365</v>
      </c>
      <c r="Q36" s="143">
        <v>1366.8</v>
      </c>
      <c r="R36" s="142">
        <v>4000.3</v>
      </c>
      <c r="S36" s="143">
        <v>4003.3</v>
      </c>
      <c r="T36" s="142">
        <v>10581.8</v>
      </c>
      <c r="U36" s="143">
        <v>10588.2</v>
      </c>
      <c r="V36" s="142">
        <v>51727.9</v>
      </c>
      <c r="W36" s="147">
        <v>51820.1</v>
      </c>
      <c r="X36" s="213">
        <v>97.93</v>
      </c>
    </row>
  </sheetData>
  <mergeCells count="29">
    <mergeCell ref="A1:X1"/>
    <mergeCell ref="X2:X3"/>
    <mergeCell ref="A3:A5"/>
    <mergeCell ref="D3:E3"/>
    <mergeCell ref="D4:E4"/>
    <mergeCell ref="F3:G3"/>
    <mergeCell ref="F4:G4"/>
    <mergeCell ref="B3:C3"/>
    <mergeCell ref="L3:M3"/>
    <mergeCell ref="N3:O3"/>
    <mergeCell ref="P3:Q3"/>
    <mergeCell ref="H3:I3"/>
    <mergeCell ref="H4:I4"/>
    <mergeCell ref="B2:C2"/>
    <mergeCell ref="B4:C4"/>
    <mergeCell ref="T3:U3"/>
    <mergeCell ref="V3:W3"/>
    <mergeCell ref="D2:I2"/>
    <mergeCell ref="J3:K3"/>
    <mergeCell ref="T4:U4"/>
    <mergeCell ref="V4:W4"/>
    <mergeCell ref="J2:U2"/>
    <mergeCell ref="V2:W2"/>
    <mergeCell ref="R3:S3"/>
    <mergeCell ref="J4:K4"/>
    <mergeCell ref="L4:M4"/>
    <mergeCell ref="N4:O4"/>
    <mergeCell ref="P4:Q4"/>
    <mergeCell ref="R4:S4"/>
  </mergeCells>
  <hyperlinks>
    <hyperlink ref="Z1" location="'1'!A1" display="1st" xr:uid="{CF64F929-591D-467E-A648-18EA8D5C1FF6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opLeftCell="A4" zoomScaleNormal="100" workbookViewId="0">
      <selection activeCell="G9" sqref="G9"/>
    </sheetView>
  </sheetViews>
  <sheetFormatPr defaultColWidth="9.15625" defaultRowHeight="14.4"/>
  <cols>
    <col min="1" max="1" width="5.578125" style="36" bestFit="1" customWidth="1"/>
    <col min="2" max="2" width="27.83984375" style="36" bestFit="1" customWidth="1"/>
    <col min="3" max="3" width="11.68359375" style="36" bestFit="1" customWidth="1"/>
    <col min="4" max="5" width="22.26171875" style="36" bestFit="1" customWidth="1"/>
    <col min="6" max="6" width="22.26171875" style="36" customWidth="1"/>
    <col min="7" max="7" width="20.68359375" style="36" customWidth="1"/>
    <col min="8" max="8" width="20.68359375" style="47" customWidth="1"/>
    <col min="9" max="9" width="20.68359375" style="36" customWidth="1"/>
    <col min="10" max="10" width="20.578125" style="36" bestFit="1" customWidth="1"/>
    <col min="11" max="11" width="16.41796875" style="36" bestFit="1" customWidth="1"/>
    <col min="12" max="12" width="22.83984375" style="36" bestFit="1" customWidth="1"/>
    <col min="13" max="13" width="22.26171875" style="36" bestFit="1" customWidth="1"/>
    <col min="14" max="16384" width="9.15625" style="36"/>
  </cols>
  <sheetData>
    <row r="1" spans="1:10" ht="15" customHeight="1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195" t="s">
        <v>106</v>
      </c>
    </row>
    <row r="2" spans="1:10" ht="15.75" customHeight="1">
      <c r="A2" s="260"/>
      <c r="B2" s="260"/>
      <c r="C2" s="260"/>
      <c r="D2" s="260"/>
      <c r="E2" s="260"/>
      <c r="F2" s="260"/>
      <c r="G2" s="260"/>
      <c r="H2" s="260"/>
      <c r="I2" s="260"/>
    </row>
    <row r="3" spans="1:10" ht="17.7">
      <c r="A3" s="261" t="s">
        <v>34</v>
      </c>
      <c r="B3" s="261"/>
      <c r="C3" s="261"/>
      <c r="D3" s="261"/>
      <c r="E3" s="261"/>
      <c r="F3" s="261"/>
      <c r="G3" s="261"/>
      <c r="H3" s="261"/>
      <c r="I3" s="261"/>
    </row>
    <row r="4" spans="1:10" ht="17.7">
      <c r="A4" s="52"/>
      <c r="B4" s="51" t="s">
        <v>111</v>
      </c>
      <c r="C4" s="52">
        <v>1</v>
      </c>
      <c r="D4" s="52"/>
      <c r="E4" s="52"/>
      <c r="F4" s="52"/>
      <c r="G4" s="52"/>
      <c r="H4" s="52"/>
      <c r="I4" s="52"/>
    </row>
    <row r="5" spans="1:10" ht="30" customHeight="1">
      <c r="A5" s="107" t="s">
        <v>1</v>
      </c>
      <c r="B5" s="108" t="s">
        <v>2</v>
      </c>
      <c r="C5" s="109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107"/>
      <c r="B6" s="107"/>
      <c r="C6" s="109"/>
      <c r="D6" s="262"/>
      <c r="E6" s="262"/>
      <c r="F6" s="262"/>
      <c r="G6" s="262"/>
      <c r="H6" s="55"/>
      <c r="I6" s="55"/>
    </row>
    <row r="7" spans="1:10">
      <c r="A7" s="110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>
      <c r="A8" s="112"/>
      <c r="B8" s="113" t="s">
        <v>5</v>
      </c>
      <c r="C8" s="112" t="s">
        <v>6</v>
      </c>
      <c r="D8" s="74">
        <v>36048.5</v>
      </c>
      <c r="E8" s="74">
        <f>'Daily Meter'!B6</f>
        <v>36057.699999999997</v>
      </c>
      <c r="F8" s="74">
        <f>'Daily Meter'!C6</f>
        <v>36065.5</v>
      </c>
      <c r="G8" s="75">
        <f>F8-E8</f>
        <v>7.8000000000029104</v>
      </c>
      <c r="H8" s="75">
        <f>F8-D8</f>
        <v>17</v>
      </c>
      <c r="I8" s="116"/>
    </row>
    <row r="9" spans="1:10" ht="15">
      <c r="A9" s="112"/>
      <c r="B9" s="113"/>
      <c r="C9" s="95" t="s">
        <v>7</v>
      </c>
      <c r="D9" s="117"/>
      <c r="E9" s="117"/>
      <c r="F9" s="117"/>
      <c r="G9" s="75">
        <f>G8*284.34</f>
        <v>2217.8520000008275</v>
      </c>
      <c r="H9" s="75">
        <f>H8*284.34</f>
        <v>4833.78</v>
      </c>
      <c r="I9" s="68">
        <f>H9*0.63</f>
        <v>3045.2813999999998</v>
      </c>
    </row>
    <row r="10" spans="1:10">
      <c r="A10" s="110" t="s">
        <v>8</v>
      </c>
      <c r="B10" s="111" t="s">
        <v>9</v>
      </c>
      <c r="C10" s="112"/>
      <c r="D10" s="74"/>
      <c r="E10" s="74"/>
      <c r="F10" s="74"/>
      <c r="G10" s="118"/>
      <c r="H10" s="118"/>
      <c r="I10" s="62"/>
    </row>
    <row r="11" spans="1:10">
      <c r="A11" s="95"/>
      <c r="B11" s="70" t="s">
        <v>10</v>
      </c>
      <c r="C11" s="71" t="s">
        <v>65</v>
      </c>
      <c r="D11" s="74">
        <v>115212</v>
      </c>
      <c r="E11" s="74">
        <f>'Daily Meter'!D6</f>
        <v>115374</v>
      </c>
      <c r="F11" s="74">
        <f>'Daily Meter'!E6</f>
        <v>115376</v>
      </c>
      <c r="G11" s="75">
        <f>F11-E11</f>
        <v>2</v>
      </c>
      <c r="H11" s="75">
        <f>F11-D11</f>
        <v>164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439.93799999999999</v>
      </c>
      <c r="H12" s="76">
        <f>H11*219.969</f>
        <v>36074.915999999997</v>
      </c>
      <c r="I12" s="96">
        <f>H12*0.06</f>
        <v>2164.49496</v>
      </c>
    </row>
    <row r="13" spans="1:10">
      <c r="A13" s="110" t="s">
        <v>12</v>
      </c>
      <c r="B13" s="111" t="s">
        <v>13</v>
      </c>
      <c r="C13" s="112"/>
      <c r="D13" s="74"/>
      <c r="E13" s="74"/>
      <c r="F13" s="74"/>
      <c r="G13" s="119"/>
      <c r="H13" s="120"/>
      <c r="I13" s="62"/>
    </row>
    <row r="14" spans="1:10">
      <c r="A14" s="112">
        <v>1</v>
      </c>
      <c r="B14" s="113" t="s">
        <v>38</v>
      </c>
      <c r="C14" s="112" t="s">
        <v>35</v>
      </c>
      <c r="D14" s="74">
        <v>4025.2</v>
      </c>
      <c r="E14" s="74">
        <f>'Daily Meter'!J6</f>
        <v>4028.1</v>
      </c>
      <c r="F14" s="74">
        <f>'Daily Meter'!K6</f>
        <v>4030.7</v>
      </c>
      <c r="G14" s="121">
        <f t="shared" ref="G14:G19" si="0">(F14-E14)*480</f>
        <v>1247.9999999999563</v>
      </c>
      <c r="H14" s="75">
        <f t="shared" ref="H14:H19" si="1">(F14-D14)*480</f>
        <v>2640</v>
      </c>
      <c r="I14" s="65"/>
    </row>
    <row r="15" spans="1:10">
      <c r="A15" s="112">
        <v>2</v>
      </c>
      <c r="B15" s="113" t="s">
        <v>39</v>
      </c>
      <c r="C15" s="112" t="s">
        <v>35</v>
      </c>
      <c r="D15" s="74">
        <v>2421.5</v>
      </c>
      <c r="E15" s="74">
        <f>'Daily Meter'!L6</f>
        <v>2422.9</v>
      </c>
      <c r="F15" s="74">
        <f>'Daily Meter'!M6</f>
        <v>2424.6</v>
      </c>
      <c r="G15" s="121">
        <f t="shared" si="0"/>
        <v>815.99999999991269</v>
      </c>
      <c r="H15" s="75">
        <f t="shared" si="1"/>
        <v>1487.9999999999563</v>
      </c>
      <c r="I15" s="65"/>
    </row>
    <row r="16" spans="1:10">
      <c r="A16" s="112">
        <v>3</v>
      </c>
      <c r="B16" s="113" t="s">
        <v>40</v>
      </c>
      <c r="C16" s="112" t="s">
        <v>35</v>
      </c>
      <c r="D16" s="74">
        <v>2578.1</v>
      </c>
      <c r="E16" s="74">
        <f>'Daily Meter'!N6</f>
        <v>2580.3000000000002</v>
      </c>
      <c r="F16" s="74">
        <f>'Daily Meter'!O6</f>
        <v>2581.8000000000002</v>
      </c>
      <c r="G16" s="121">
        <f t="shared" si="0"/>
        <v>720</v>
      </c>
      <c r="H16" s="75">
        <f t="shared" si="1"/>
        <v>1776.000000000131</v>
      </c>
      <c r="I16" s="65"/>
    </row>
    <row r="17" spans="1:13">
      <c r="A17" s="112">
        <v>4</v>
      </c>
      <c r="B17" s="113" t="s">
        <v>41</v>
      </c>
      <c r="C17" s="112" t="s">
        <v>35</v>
      </c>
      <c r="D17" s="74">
        <v>1281.3</v>
      </c>
      <c r="E17" s="74">
        <f>'Daily Meter'!P6</f>
        <v>1282.5999999999999</v>
      </c>
      <c r="F17" s="74">
        <f>'Daily Meter'!Q6</f>
        <v>1283.4000000000001</v>
      </c>
      <c r="G17" s="121">
        <f t="shared" si="0"/>
        <v>384.00000000008731</v>
      </c>
      <c r="H17" s="75">
        <f t="shared" si="1"/>
        <v>1008.0000000000655</v>
      </c>
      <c r="I17" s="65"/>
    </row>
    <row r="18" spans="1:13">
      <c r="A18" s="112">
        <v>5</v>
      </c>
      <c r="B18" s="113" t="s">
        <v>42</v>
      </c>
      <c r="C18" s="112" t="s">
        <v>35</v>
      </c>
      <c r="D18" s="74">
        <v>3858.5</v>
      </c>
      <c r="E18" s="74">
        <f>'Daily Meter'!R6</f>
        <v>3860.6</v>
      </c>
      <c r="F18" s="74">
        <f>'Daily Meter'!S$6</f>
        <v>3862.3</v>
      </c>
      <c r="G18" s="121">
        <f t="shared" si="0"/>
        <v>816.00000000013097</v>
      </c>
      <c r="H18" s="75">
        <f t="shared" si="1"/>
        <v>1824.0000000000873</v>
      </c>
      <c r="I18" s="65"/>
    </row>
    <row r="19" spans="1:13">
      <c r="A19" s="112">
        <v>6</v>
      </c>
      <c r="B19" s="113" t="s">
        <v>43</v>
      </c>
      <c r="C19" s="112" t="s">
        <v>35</v>
      </c>
      <c r="D19" s="74">
        <v>10205.200000000001</v>
      </c>
      <c r="E19" s="74">
        <f>'Daily Meter'!T6</f>
        <v>10211</v>
      </c>
      <c r="F19" s="74">
        <f>'Daily Meter'!U6</f>
        <v>10215.9</v>
      </c>
      <c r="G19" s="121">
        <f t="shared" si="0"/>
        <v>2351.9999999998254</v>
      </c>
      <c r="H19" s="75">
        <f t="shared" si="1"/>
        <v>5135.9999999994761</v>
      </c>
      <c r="I19" s="65"/>
    </row>
    <row r="20" spans="1:13">
      <c r="A20" s="112"/>
      <c r="B20" s="122" t="s">
        <v>14</v>
      </c>
      <c r="C20" s="112"/>
      <c r="D20" s="74">
        <f>SUM(D14:D19)</f>
        <v>24369.8</v>
      </c>
      <c r="E20" s="74"/>
      <c r="F20" s="74"/>
      <c r="G20" s="121">
        <f>SUM(G14:G19)</f>
        <v>6335.9999999999127</v>
      </c>
      <c r="H20" s="123">
        <f>SUM(H14:H19)</f>
        <v>13871.999999999716</v>
      </c>
      <c r="I20" s="68">
        <f>H20*0.43</f>
        <v>5964.9599999998782</v>
      </c>
    </row>
    <row r="21" spans="1:13">
      <c r="A21" s="113"/>
      <c r="B21" s="113"/>
      <c r="C21" s="112"/>
      <c r="D21" s="124"/>
      <c r="E21" s="124"/>
      <c r="F21" s="124"/>
      <c r="G21" s="125"/>
      <c r="H21" s="125"/>
      <c r="I21" s="85"/>
    </row>
    <row r="22" spans="1:13">
      <c r="A22" s="110" t="s">
        <v>15</v>
      </c>
      <c r="B22" s="111" t="s">
        <v>16</v>
      </c>
      <c r="C22" s="112"/>
      <c r="D22" s="74"/>
      <c r="E22" s="74"/>
      <c r="F22" s="74"/>
      <c r="G22" s="119"/>
      <c r="H22" s="120"/>
      <c r="I22" s="62"/>
    </row>
    <row r="23" spans="1:13">
      <c r="A23" s="112">
        <v>1</v>
      </c>
      <c r="B23" s="126" t="s">
        <v>17</v>
      </c>
      <c r="C23" s="71" t="s">
        <v>65</v>
      </c>
      <c r="D23" s="74">
        <v>47370.3</v>
      </c>
      <c r="E23" s="74">
        <f>'Daily Meter'!V6</f>
        <v>47434.7</v>
      </c>
      <c r="F23" s="74">
        <f>'Daily Meter'!W6</f>
        <v>47492.800000000003</v>
      </c>
      <c r="G23" s="121">
        <f>F23-E23</f>
        <v>58.100000000005821</v>
      </c>
      <c r="H23" s="127">
        <f>F23-D23</f>
        <v>122.5</v>
      </c>
      <c r="I23" s="85"/>
    </row>
    <row r="24" spans="1:13">
      <c r="A24" s="112"/>
      <c r="B24" s="126"/>
      <c r="C24" s="50" t="s">
        <v>64</v>
      </c>
      <c r="D24" s="64"/>
      <c r="E24" s="64"/>
      <c r="F24" s="64"/>
      <c r="G24" s="80"/>
      <c r="H24" s="91">
        <f>H23*3.7</f>
        <v>453.25</v>
      </c>
      <c r="I24" s="92">
        <f>H24*1.79</f>
        <v>811.3175</v>
      </c>
    </row>
    <row r="25" spans="1:13">
      <c r="A25" s="112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40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4833.78</v>
      </c>
      <c r="G29" s="11">
        <f>F29*0.63</f>
        <v>3045.2813999999998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36074.915999999997</v>
      </c>
      <c r="G30" s="11">
        <f>F30*0.06</f>
        <v>2164.49496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13871.999999999716</v>
      </c>
      <c r="G31" s="11">
        <f>F31*0.43</f>
        <v>5964.9599999998782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122.5</v>
      </c>
      <c r="G32" s="11">
        <f>I24</f>
        <v>811.3175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11986.053859999878</v>
      </c>
      <c r="H33" s="46"/>
      <c r="J33" s="37"/>
      <c r="K33" s="37"/>
      <c r="L33" s="37"/>
      <c r="M33" s="37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FE4A0B73-7E5B-4B48-ABED-BBA1AEB8320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zoomScaleNormal="100" workbookViewId="0">
      <selection activeCell="H24" sqref="H24"/>
    </sheetView>
  </sheetViews>
  <sheetFormatPr defaultColWidth="9.15625" defaultRowHeight="14.4"/>
  <cols>
    <col min="1" max="1" width="5.578125" style="36" bestFit="1" customWidth="1"/>
    <col min="2" max="2" width="27.83984375" style="36" bestFit="1" customWidth="1"/>
    <col min="3" max="3" width="11.68359375" style="36" bestFit="1" customWidth="1"/>
    <col min="4" max="5" width="22.26171875" style="36" bestFit="1" customWidth="1"/>
    <col min="6" max="6" width="22.26171875" style="36" customWidth="1"/>
    <col min="7" max="7" width="20.68359375" style="36" customWidth="1"/>
    <col min="8" max="8" width="20.68359375" style="47" customWidth="1"/>
    <col min="9" max="9" width="20.68359375" style="36" customWidth="1"/>
    <col min="10" max="10" width="20.578125" style="36" bestFit="1" customWidth="1"/>
    <col min="11" max="11" width="16.41796875" style="36" bestFit="1" customWidth="1"/>
    <col min="12" max="12" width="22.83984375" style="36" bestFit="1" customWidth="1"/>
    <col min="13" max="13" width="22.26171875" style="36" bestFit="1" customWidth="1"/>
    <col min="14" max="16384" width="9.15625" style="36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8" thickBot="1">
      <c r="A3" s="271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ht="18" thickBot="1">
      <c r="A4" s="97"/>
      <c r="B4" s="51" t="str">
        <f>'1'!B4</f>
        <v>JANUARY</v>
      </c>
      <c r="C4" s="52">
        <v>2</v>
      </c>
      <c r="D4" s="52"/>
      <c r="E4" s="52"/>
      <c r="F4" s="52"/>
      <c r="G4" s="52"/>
      <c r="H4" s="52"/>
      <c r="I4" s="52"/>
    </row>
    <row r="5" spans="1:10" ht="30" customHeight="1" thickBot="1">
      <c r="A5" s="131" t="s">
        <v>1</v>
      </c>
      <c r="B5" s="108" t="s">
        <v>2</v>
      </c>
      <c r="C5" s="109"/>
      <c r="D5" s="136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 thickBot="1">
      <c r="A6" s="131"/>
      <c r="B6" s="107"/>
      <c r="C6" s="109"/>
      <c r="D6" s="262"/>
      <c r="E6" s="262"/>
      <c r="F6" s="262"/>
      <c r="G6" s="262"/>
      <c r="H6" s="55"/>
      <c r="I6" s="55"/>
    </row>
    <row r="7" spans="1:10" ht="14.7" thickBot="1">
      <c r="A7" s="132">
        <v>1</v>
      </c>
      <c r="B7" s="111" t="s">
        <v>4</v>
      </c>
      <c r="C7" s="112"/>
      <c r="D7" s="113"/>
      <c r="E7" s="113"/>
      <c r="F7" s="113"/>
      <c r="G7" s="114"/>
      <c r="H7" s="115"/>
      <c r="I7" s="114"/>
    </row>
    <row r="8" spans="1:10" ht="14.7" thickBot="1">
      <c r="A8" s="133"/>
      <c r="B8" s="113" t="s">
        <v>5</v>
      </c>
      <c r="C8" s="112" t="s">
        <v>6</v>
      </c>
      <c r="D8" s="64">
        <f>'1'!F8</f>
        <v>36065.5</v>
      </c>
      <c r="E8" s="64">
        <f>'Daily Meter'!B7</f>
        <v>36076.800000000003</v>
      </c>
      <c r="F8" s="64">
        <f>'Daily Meter'!C7</f>
        <v>36085.599999999999</v>
      </c>
      <c r="G8" s="116">
        <f>F8-E8</f>
        <v>8.7999999999956344</v>
      </c>
      <c r="H8" s="116">
        <f>F8-D8</f>
        <v>20.099999999998545</v>
      </c>
      <c r="I8" s="116"/>
    </row>
    <row r="9" spans="1:10" ht="15.3" thickBot="1">
      <c r="A9" s="133"/>
      <c r="B9" s="113"/>
      <c r="C9" s="95" t="s">
        <v>7</v>
      </c>
      <c r="D9" s="67"/>
      <c r="E9" s="67"/>
      <c r="F9" s="67"/>
      <c r="G9" s="116">
        <f>G8*284.34</f>
        <v>2502.1919999987585</v>
      </c>
      <c r="H9" s="116">
        <f>H8*284.34</f>
        <v>5715.2339999995856</v>
      </c>
      <c r="I9" s="68">
        <f>H9*0.63</f>
        <v>3600.597419999739</v>
      </c>
    </row>
    <row r="10" spans="1:10" ht="14.7" thickBot="1">
      <c r="A10" s="132" t="s">
        <v>8</v>
      </c>
      <c r="B10" s="111" t="s">
        <v>9</v>
      </c>
      <c r="C10" s="112"/>
      <c r="D10" s="64"/>
      <c r="E10" s="64"/>
      <c r="F10" s="64"/>
      <c r="G10" s="129"/>
      <c r="H10" s="129"/>
      <c r="I10" s="62"/>
    </row>
    <row r="11" spans="1:10" ht="14.7" thickBot="1">
      <c r="A11" s="134"/>
      <c r="B11" s="70" t="s">
        <v>10</v>
      </c>
      <c r="C11" s="71" t="s">
        <v>65</v>
      </c>
      <c r="D11" s="64">
        <f>'1'!F11</f>
        <v>115376</v>
      </c>
      <c r="E11" s="64">
        <f>'Daily Meter'!D7</f>
        <v>115550</v>
      </c>
      <c r="F11" s="64">
        <f>'Daily Meter'!E7</f>
        <v>115594</v>
      </c>
      <c r="G11" s="116">
        <f>F11-E11</f>
        <v>44</v>
      </c>
      <c r="H11" s="116">
        <f>F11-D11</f>
        <v>218</v>
      </c>
      <c r="I11" s="72"/>
    </row>
    <row r="12" spans="1:10" ht="14.7" thickBot="1">
      <c r="A12" s="134"/>
      <c r="B12" s="73" t="s">
        <v>61</v>
      </c>
      <c r="C12" s="71" t="s">
        <v>60</v>
      </c>
      <c r="D12" s="74"/>
      <c r="E12" s="74"/>
      <c r="F12" s="74"/>
      <c r="G12" s="75">
        <f>G11*219.969</f>
        <v>9678.6360000000004</v>
      </c>
      <c r="H12" s="76">
        <f>H11*219.969</f>
        <v>47953.241999999998</v>
      </c>
      <c r="I12" s="96">
        <f>H12*0.06</f>
        <v>2877.19452</v>
      </c>
    </row>
    <row r="13" spans="1:10" ht="14.7" thickBot="1">
      <c r="A13" s="132" t="s">
        <v>12</v>
      </c>
      <c r="B13" s="111" t="s">
        <v>13</v>
      </c>
      <c r="C13" s="112"/>
      <c r="D13" s="64"/>
      <c r="E13" s="64"/>
      <c r="F13" s="64"/>
      <c r="G13" s="137"/>
      <c r="H13" s="138"/>
      <c r="I13" s="62"/>
    </row>
    <row r="14" spans="1:10" ht="14.7" thickBot="1">
      <c r="A14" s="133">
        <v>1</v>
      </c>
      <c r="B14" s="113" t="s">
        <v>38</v>
      </c>
      <c r="C14" s="112" t="s">
        <v>35</v>
      </c>
      <c r="D14" s="64">
        <f>'1'!F14</f>
        <v>4030.7</v>
      </c>
      <c r="E14" s="64">
        <f>'Daily Meter'!J7</f>
        <v>4034.9</v>
      </c>
      <c r="F14" s="64">
        <f>'Daily Meter'!K7</f>
        <v>4037.7</v>
      </c>
      <c r="G14" s="98">
        <f t="shared" ref="G14:G19" si="0">(F14-E14)*480</f>
        <v>1343.999999999869</v>
      </c>
      <c r="H14" s="116">
        <f t="shared" ref="H14:H19" si="1">(F14-D14)*480</f>
        <v>3360</v>
      </c>
      <c r="I14" s="65"/>
    </row>
    <row r="15" spans="1:10" ht="14.7" thickBot="1">
      <c r="A15" s="133">
        <v>2</v>
      </c>
      <c r="B15" s="113" t="s">
        <v>39</v>
      </c>
      <c r="C15" s="112" t="s">
        <v>35</v>
      </c>
      <c r="D15" s="64">
        <f>'1'!F15</f>
        <v>2424.6</v>
      </c>
      <c r="E15" s="64">
        <f>'Daily Meter'!L7</f>
        <v>2426.6999999999998</v>
      </c>
      <c r="F15" s="64">
        <f>'Daily Meter'!M7</f>
        <v>2428.5</v>
      </c>
      <c r="G15" s="98">
        <f t="shared" si="0"/>
        <v>864.00000000008731</v>
      </c>
      <c r="H15" s="116">
        <f t="shared" si="1"/>
        <v>1872.0000000000437</v>
      </c>
      <c r="I15" s="65"/>
    </row>
    <row r="16" spans="1:10" ht="14.7" thickBot="1">
      <c r="A16" s="133">
        <v>3</v>
      </c>
      <c r="B16" s="113" t="s">
        <v>40</v>
      </c>
      <c r="C16" s="112" t="s">
        <v>35</v>
      </c>
      <c r="D16" s="64">
        <f>'1'!F16</f>
        <v>2581.8000000000002</v>
      </c>
      <c r="E16" s="64">
        <f>'Daily Meter'!N7</f>
        <v>2584.1</v>
      </c>
      <c r="F16" s="64">
        <f>'Daily Meter'!O7</f>
        <v>2586.4</v>
      </c>
      <c r="G16" s="98">
        <f t="shared" si="0"/>
        <v>1104.0000000000873</v>
      </c>
      <c r="H16" s="116">
        <f t="shared" si="1"/>
        <v>2207.9999999999563</v>
      </c>
      <c r="I16" s="65"/>
    </row>
    <row r="17" spans="1:13" ht="14.7" thickBot="1">
      <c r="A17" s="133">
        <v>4</v>
      </c>
      <c r="B17" s="113" t="s">
        <v>41</v>
      </c>
      <c r="C17" s="112" t="s">
        <v>35</v>
      </c>
      <c r="D17" s="64">
        <f>'1'!F17</f>
        <v>1283.4000000000001</v>
      </c>
      <c r="E17" s="64">
        <f>'Daily Meter'!P7</f>
        <v>1285.0999999999999</v>
      </c>
      <c r="F17" s="64">
        <f>'Daily Meter'!Q7</f>
        <v>1286.0999999999999</v>
      </c>
      <c r="G17" s="98">
        <f t="shared" si="0"/>
        <v>480</v>
      </c>
      <c r="H17" s="116">
        <f t="shared" si="1"/>
        <v>1295.9999999999127</v>
      </c>
      <c r="I17" s="65"/>
    </row>
    <row r="18" spans="1:13" ht="14.7" thickBot="1">
      <c r="A18" s="133">
        <v>5</v>
      </c>
      <c r="B18" s="113" t="s">
        <v>42</v>
      </c>
      <c r="C18" s="112" t="s">
        <v>35</v>
      </c>
      <c r="D18" s="64">
        <f>'1'!F18</f>
        <v>3862.3</v>
      </c>
      <c r="E18" s="64">
        <f>'Daily Meter'!R7</f>
        <v>3865</v>
      </c>
      <c r="F18" s="64">
        <f>'Daily Meter'!S7</f>
        <v>3867</v>
      </c>
      <c r="G18" s="98">
        <f t="shared" si="0"/>
        <v>960</v>
      </c>
      <c r="H18" s="116">
        <f t="shared" si="1"/>
        <v>2255.9999999999127</v>
      </c>
      <c r="I18" s="65"/>
    </row>
    <row r="19" spans="1:13" ht="14.7" thickBot="1">
      <c r="A19" s="133">
        <v>6</v>
      </c>
      <c r="B19" s="113" t="s">
        <v>43</v>
      </c>
      <c r="C19" s="112" t="s">
        <v>35</v>
      </c>
      <c r="D19" s="64">
        <f>'1'!F19</f>
        <v>10215.9</v>
      </c>
      <c r="E19" s="64">
        <f>'Daily Meter'!T7</f>
        <v>10223.5</v>
      </c>
      <c r="F19" s="64">
        <f>'Daily Meter'!U7</f>
        <v>10228.9</v>
      </c>
      <c r="G19" s="98">
        <f t="shared" si="0"/>
        <v>2591.9999999998254</v>
      </c>
      <c r="H19" s="116">
        <f t="shared" si="1"/>
        <v>6240</v>
      </c>
      <c r="I19" s="65"/>
    </row>
    <row r="20" spans="1:13" ht="14.7" thickBot="1">
      <c r="A20" s="133"/>
      <c r="B20" s="122" t="s">
        <v>14</v>
      </c>
      <c r="C20" s="112"/>
      <c r="D20" s="64"/>
      <c r="E20" s="64"/>
      <c r="F20" s="64"/>
      <c r="G20" s="98">
        <f>SUM(G14:G19)</f>
        <v>7343.999999999869</v>
      </c>
      <c r="H20" s="139">
        <f>SUM(H14:H19)</f>
        <v>17231.999999999825</v>
      </c>
      <c r="I20" s="68">
        <f>H20*0.43</f>
        <v>7409.7599999999247</v>
      </c>
    </row>
    <row r="21" spans="1:13" ht="14.7" thickBot="1">
      <c r="A21" s="135"/>
      <c r="B21" s="113"/>
      <c r="C21" s="112"/>
      <c r="D21" s="83"/>
      <c r="E21" s="83"/>
      <c r="F21" s="83"/>
      <c r="G21" s="140"/>
      <c r="H21" s="140"/>
      <c r="I21" s="85"/>
    </row>
    <row r="22" spans="1:13" ht="14.7" thickBot="1">
      <c r="A22" s="132" t="s">
        <v>15</v>
      </c>
      <c r="B22" s="111" t="s">
        <v>16</v>
      </c>
      <c r="C22" s="112"/>
      <c r="D22" s="86"/>
      <c r="E22" s="86"/>
      <c r="F22" s="86"/>
      <c r="G22" s="137"/>
      <c r="H22" s="138"/>
      <c r="I22" s="62"/>
    </row>
    <row r="23" spans="1:13" ht="14.7" thickBot="1">
      <c r="A23" s="133">
        <v>1</v>
      </c>
      <c r="B23" s="126" t="s">
        <v>17</v>
      </c>
      <c r="C23" s="71" t="s">
        <v>65</v>
      </c>
      <c r="D23" s="64">
        <f>'1'!F23</f>
        <v>47492.800000000003</v>
      </c>
      <c r="E23" s="64">
        <f>'Daily Meter'!V7</f>
        <v>47571.5</v>
      </c>
      <c r="F23" s="64">
        <f>'Daily Meter'!W7</f>
        <v>47628.9</v>
      </c>
      <c r="G23" s="98">
        <f>F23-E23</f>
        <v>57.400000000001455</v>
      </c>
      <c r="H23" s="141">
        <f>F23-D23</f>
        <v>136.09999999999854</v>
      </c>
      <c r="I23" s="85"/>
    </row>
    <row r="24" spans="1:13" ht="14.7" thickBot="1">
      <c r="A24" s="133"/>
      <c r="B24" s="126"/>
      <c r="C24" s="50" t="s">
        <v>64</v>
      </c>
      <c r="D24" s="64"/>
      <c r="E24" s="64"/>
      <c r="F24" s="64"/>
      <c r="G24" s="98"/>
      <c r="H24" s="91">
        <f>H23*3.7</f>
        <v>503.56999999999465</v>
      </c>
      <c r="I24" s="92">
        <f>H24*1.79</f>
        <v>901.39029999999048</v>
      </c>
    </row>
    <row r="25" spans="1:13" ht="14.7" thickBot="1">
      <c r="A25" s="133"/>
      <c r="B25" s="126"/>
      <c r="C25" s="128"/>
      <c r="D25" s="64"/>
      <c r="E25" s="64"/>
      <c r="F25" s="64"/>
      <c r="G25" s="129"/>
      <c r="H25" s="129"/>
      <c r="I25" s="130"/>
    </row>
    <row r="26" spans="1:13">
      <c r="A26" s="37"/>
      <c r="B26" s="37"/>
      <c r="C26" s="38"/>
      <c r="D26" s="37"/>
      <c r="E26" s="37" t="s">
        <v>19</v>
      </c>
      <c r="F26" s="37"/>
      <c r="G26" s="37"/>
      <c r="H26" s="39"/>
      <c r="I26" s="37"/>
      <c r="J26" s="37"/>
      <c r="K26" s="37"/>
      <c r="L26" s="37"/>
      <c r="M26" s="37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40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7"/>
      <c r="L28" s="37"/>
      <c r="M28" s="37"/>
    </row>
    <row r="29" spans="1:13">
      <c r="A29" s="37"/>
      <c r="B29" s="37"/>
      <c r="C29" s="38"/>
      <c r="D29" s="41" t="s">
        <v>25</v>
      </c>
      <c r="E29" s="41" t="s">
        <v>7</v>
      </c>
      <c r="F29" s="42">
        <f>H9</f>
        <v>5715.2339999995856</v>
      </c>
      <c r="G29" s="11">
        <f>F29*0.63</f>
        <v>3600.597419999739</v>
      </c>
      <c r="H29" s="43"/>
      <c r="J29" s="8"/>
      <c r="K29" s="37"/>
      <c r="L29" s="37"/>
      <c r="M29" s="37"/>
    </row>
    <row r="30" spans="1:13">
      <c r="A30" s="37"/>
      <c r="B30" s="37"/>
      <c r="C30" s="38"/>
      <c r="D30" s="41" t="s">
        <v>26</v>
      </c>
      <c r="E30" s="41" t="s">
        <v>11</v>
      </c>
      <c r="F30" s="42">
        <f>H12</f>
        <v>47953.241999999998</v>
      </c>
      <c r="G30" s="11">
        <f>F30*0.06</f>
        <v>2877.19452</v>
      </c>
      <c r="H30" s="43"/>
      <c r="J30" s="8"/>
      <c r="K30" s="37"/>
      <c r="L30" s="37"/>
      <c r="M30" s="37"/>
    </row>
    <row r="31" spans="1:13">
      <c r="A31" s="37"/>
      <c r="B31" s="37"/>
      <c r="C31" s="38"/>
      <c r="D31" s="41" t="s">
        <v>27</v>
      </c>
      <c r="E31" s="41" t="s">
        <v>51</v>
      </c>
      <c r="F31" s="42">
        <f>H20</f>
        <v>17231.999999999825</v>
      </c>
      <c r="G31" s="11">
        <f>F31*0.43</f>
        <v>7409.7599999999247</v>
      </c>
      <c r="H31" s="43"/>
      <c r="J31" s="8"/>
      <c r="K31" s="37"/>
      <c r="L31" s="37"/>
      <c r="M31" s="37"/>
    </row>
    <row r="32" spans="1:13">
      <c r="A32" s="37"/>
      <c r="B32" s="37"/>
      <c r="C32" s="38"/>
      <c r="D32" s="41" t="s">
        <v>28</v>
      </c>
      <c r="E32" s="41" t="s">
        <v>37</v>
      </c>
      <c r="F32" s="42">
        <f>H23</f>
        <v>136.09999999999854</v>
      </c>
      <c r="G32" s="11">
        <f>I24</f>
        <v>901.39029999999048</v>
      </c>
      <c r="H32" s="43"/>
      <c r="J32" s="8"/>
      <c r="K32" s="37"/>
      <c r="L32" s="37"/>
      <c r="M32" s="37"/>
    </row>
    <row r="33" spans="1:13">
      <c r="A33" s="37"/>
      <c r="B33" s="37"/>
      <c r="C33" s="38"/>
      <c r="D33" s="37"/>
      <c r="E33" s="37"/>
      <c r="F33" s="44" t="s">
        <v>29</v>
      </c>
      <c r="G33" s="45">
        <f>SUM(G29:G32)</f>
        <v>14788.942239999653</v>
      </c>
      <c r="H33" s="46"/>
      <c r="J33" s="37"/>
      <c r="K33" s="37"/>
      <c r="L33" s="37"/>
      <c r="M33" s="37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7B49B68-6A3B-46B7-B274-CE2B8680B75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195" t="s">
        <v>106</v>
      </c>
    </row>
    <row r="2" spans="1:10" ht="15.75" customHeight="1">
      <c r="A2" s="260"/>
      <c r="B2" s="260"/>
      <c r="C2" s="260"/>
      <c r="D2" s="260"/>
      <c r="E2" s="260"/>
      <c r="F2" s="260"/>
      <c r="G2" s="260"/>
      <c r="H2" s="260"/>
      <c r="I2" s="260"/>
    </row>
    <row r="3" spans="1:10" ht="17.7">
      <c r="A3" s="261" t="s">
        <v>34</v>
      </c>
      <c r="B3" s="261"/>
      <c r="C3" s="261"/>
      <c r="D3" s="261"/>
      <c r="E3" s="261"/>
      <c r="F3" s="261"/>
      <c r="G3" s="261"/>
      <c r="H3" s="261"/>
      <c r="I3" s="261"/>
    </row>
    <row r="4" spans="1:10" s="36" customFormat="1" ht="17.7">
      <c r="A4" s="52"/>
      <c r="B4" s="51" t="str">
        <f>'1'!B4</f>
        <v>JANUARY</v>
      </c>
      <c r="C4" s="52">
        <v>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'2'!F8</f>
        <v>36085.599999999999</v>
      </c>
      <c r="E8" s="64">
        <f>'Daily Meter'!B8</f>
        <v>36097.599999999999</v>
      </c>
      <c r="F8" s="64">
        <f>'Daily Meter'!C8</f>
        <v>36105</v>
      </c>
      <c r="G8" s="65">
        <f>F8-E8</f>
        <v>7.4000000000014552</v>
      </c>
      <c r="H8" s="65">
        <f>F8-D8</f>
        <v>19.400000000001455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2104.1160000004138</v>
      </c>
      <c r="H9" s="65">
        <f>H8*284.34</f>
        <v>5516.1960000004137</v>
      </c>
      <c r="I9" s="68">
        <f>H9*0.63</f>
        <v>3475.2034800002607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'2'!F11</f>
        <v>115594</v>
      </c>
      <c r="E11" s="64">
        <f>'Daily Meter'!D8</f>
        <v>115665</v>
      </c>
      <c r="F11" s="64">
        <f>'Daily Meter'!E8</f>
        <v>115731</v>
      </c>
      <c r="G11" s="65">
        <f>F11-E11</f>
        <v>66</v>
      </c>
      <c r="H11" s="65">
        <f>F11-D11</f>
        <v>137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14517.954</v>
      </c>
      <c r="H12" s="76">
        <f>H11*219.969</f>
        <v>30135.753000000001</v>
      </c>
      <c r="I12" s="96">
        <f>H12*0.06</f>
        <v>1808.14518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'2'!F14</f>
        <v>4037.7</v>
      </c>
      <c r="E14" s="64">
        <f>'Daily Meter'!J8</f>
        <v>4042</v>
      </c>
      <c r="F14" s="64">
        <f>'Daily Meter'!K8</f>
        <v>4044.9</v>
      </c>
      <c r="G14" s="80">
        <f t="shared" ref="G14:G19" si="0">(F14-E14)*480</f>
        <v>1392.0000000000437</v>
      </c>
      <c r="H14" s="65">
        <f t="shared" ref="H14:H19" si="1">(F14-D14)*480</f>
        <v>3456.000000000131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'2'!F15</f>
        <v>2428.5</v>
      </c>
      <c r="E15" s="64">
        <f>'Daily Meter'!L8</f>
        <v>2430.5</v>
      </c>
      <c r="F15" s="64">
        <f>'Daily Meter'!M8</f>
        <v>2432.3000000000002</v>
      </c>
      <c r="G15" s="80">
        <f t="shared" si="0"/>
        <v>864.00000000008731</v>
      </c>
      <c r="H15" s="65">
        <f t="shared" si="1"/>
        <v>1824.0000000000873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'2'!F16</f>
        <v>2586.4</v>
      </c>
      <c r="E16" s="64">
        <f>'Daily Meter'!N8</f>
        <v>2589.4</v>
      </c>
      <c r="F16" s="64">
        <f>'Daily Meter'!O8</f>
        <v>2591.1</v>
      </c>
      <c r="G16" s="80">
        <f t="shared" si="0"/>
        <v>815.99999999991269</v>
      </c>
      <c r="H16" s="65">
        <f t="shared" si="1"/>
        <v>2255.9999999999127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'2'!F17</f>
        <v>1286.0999999999999</v>
      </c>
      <c r="E17" s="64">
        <f>'Daily Meter'!P8</f>
        <v>1287.8</v>
      </c>
      <c r="F17" s="64">
        <f>'Daily Meter'!Q8</f>
        <v>1288.9000000000001</v>
      </c>
      <c r="G17" s="80">
        <f t="shared" si="0"/>
        <v>528.00000000006548</v>
      </c>
      <c r="H17" s="65">
        <f t="shared" si="1"/>
        <v>1344.0000000000873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'2'!F18</f>
        <v>3867</v>
      </c>
      <c r="E18" s="64">
        <f>'Daily Meter'!R8</f>
        <v>3869.8</v>
      </c>
      <c r="F18" s="64">
        <f>'Daily Meter'!S8</f>
        <v>3871.7</v>
      </c>
      <c r="G18" s="80">
        <f t="shared" si="0"/>
        <v>911.99999999982538</v>
      </c>
      <c r="H18" s="65">
        <f t="shared" si="1"/>
        <v>2255.9999999999127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'2'!F19</f>
        <v>10228.9</v>
      </c>
      <c r="E19" s="64">
        <f>'Daily Meter'!T8</f>
        <v>10236.6</v>
      </c>
      <c r="F19" s="64">
        <f>'Daily Meter'!U8</f>
        <v>10241.6</v>
      </c>
      <c r="G19" s="80">
        <f t="shared" si="0"/>
        <v>2400</v>
      </c>
      <c r="H19" s="65">
        <f t="shared" si="1"/>
        <v>6096.0000000003492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6911.9999999999345</v>
      </c>
      <c r="H20" s="82">
        <f>SUM(H14:H19)</f>
        <v>17232.00000000048</v>
      </c>
      <c r="I20" s="68">
        <f>H20*0.43</f>
        <v>7409.7600000002067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'2'!F23</f>
        <v>47628.9</v>
      </c>
      <c r="E23" s="64">
        <f>'Daily Meter'!V8</f>
        <v>47713.1</v>
      </c>
      <c r="F23" s="64">
        <f>'Daily Meter'!W8</f>
        <v>47769.7</v>
      </c>
      <c r="G23" s="80">
        <f>F23-E23</f>
        <v>56.599999999998545</v>
      </c>
      <c r="H23" s="89">
        <f>F23-D23</f>
        <v>140.79999999999563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520.95999999998389</v>
      </c>
      <c r="I24" s="92">
        <f>H24*1.79</f>
        <v>932.51839999997117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5516.1960000004137</v>
      </c>
      <c r="G29" s="11">
        <f>F29*0.63</f>
        <v>3475.2034800002607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30135.753000000001</v>
      </c>
      <c r="G30" s="11">
        <f>F30*0.06</f>
        <v>1808.14518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17232.00000000048</v>
      </c>
      <c r="G31" s="11">
        <f>F31*0.43</f>
        <v>7409.7600000002067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140.79999999999563</v>
      </c>
      <c r="G32" s="11">
        <f>I24</f>
        <v>932.51839999997117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13625.627060000439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707D512-A295-4C2B-A80D-F780C269318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'3'!F8</f>
        <v>36105</v>
      </c>
      <c r="E8" s="64">
        <f>'Daily Meter'!B9</f>
        <v>36116.400000000001</v>
      </c>
      <c r="F8" s="64">
        <f>'Daily Meter'!C9</f>
        <v>36124.699999999997</v>
      </c>
      <c r="G8" s="65">
        <f>F8-E8</f>
        <v>8.2999999999956344</v>
      </c>
      <c r="H8" s="65">
        <f>F8-D8</f>
        <v>19.69999999999709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2360.0219999987585</v>
      </c>
      <c r="H9" s="65">
        <f>H8*284.34</f>
        <v>5601.497999999172</v>
      </c>
      <c r="I9" s="68">
        <f>H9*0.63</f>
        <v>3528.9437399994786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'3'!F11</f>
        <v>115731</v>
      </c>
      <c r="E11" s="64">
        <f>'Daily Meter'!D9</f>
        <v>116022</v>
      </c>
      <c r="F11" s="64">
        <f>'Daily Meter'!E9</f>
        <v>116096</v>
      </c>
      <c r="G11" s="65">
        <f>F11-E11</f>
        <v>74</v>
      </c>
      <c r="H11" s="65">
        <f>F11-D11</f>
        <v>365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16277.706</v>
      </c>
      <c r="H12" s="76">
        <f>H11*219.969</f>
        <v>80288.684999999998</v>
      </c>
      <c r="I12" s="96">
        <f>H12*0.06</f>
        <v>4817.3211000000001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'3'!F14</f>
        <v>4044.9</v>
      </c>
      <c r="E14" s="64">
        <f>'Daily Meter'!J9</f>
        <v>4048.8</v>
      </c>
      <c r="F14" s="64">
        <f>'Daily Meter'!K9</f>
        <v>4051.6</v>
      </c>
      <c r="G14" s="80">
        <f t="shared" ref="G14:G19" si="0">(F14-E14)*480</f>
        <v>1343.999999999869</v>
      </c>
      <c r="H14" s="65">
        <f t="shared" ref="H14:H19" si="1">(F14-D14)*480</f>
        <v>3215.9999999999127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'3'!F15</f>
        <v>2432.3000000000002</v>
      </c>
      <c r="E15" s="64">
        <f>'Daily Meter'!L9</f>
        <v>2434.5</v>
      </c>
      <c r="F15" s="64">
        <f>'Daily Meter'!M9</f>
        <v>2436.4</v>
      </c>
      <c r="G15" s="80">
        <f t="shared" si="0"/>
        <v>912.00000000004366</v>
      </c>
      <c r="H15" s="65">
        <f t="shared" si="1"/>
        <v>1967.9999999999563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'3'!F16</f>
        <v>2591.1</v>
      </c>
      <c r="E16" s="64">
        <f>'Daily Meter'!N9</f>
        <v>2594</v>
      </c>
      <c r="F16" s="64">
        <f>'Daily Meter'!O9</f>
        <v>2595.8000000000002</v>
      </c>
      <c r="G16" s="80">
        <f t="shared" si="0"/>
        <v>864.00000000008731</v>
      </c>
      <c r="H16" s="65">
        <f t="shared" si="1"/>
        <v>2256.000000000131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'3'!F17</f>
        <v>1288.9000000000001</v>
      </c>
      <c r="E17" s="64">
        <f>'Daily Meter'!P9</f>
        <v>1290.9000000000001</v>
      </c>
      <c r="F17" s="64">
        <f>'Daily Meter'!Q9</f>
        <v>1291.9000000000001</v>
      </c>
      <c r="G17" s="80">
        <f t="shared" si="0"/>
        <v>480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'3'!F18</f>
        <v>3871.7</v>
      </c>
      <c r="E18" s="64">
        <f>'Daily Meter'!R9</f>
        <v>3874.4</v>
      </c>
      <c r="F18" s="64">
        <f>'Daily Meter'!S9</f>
        <v>3876.3</v>
      </c>
      <c r="G18" s="80">
        <f t="shared" si="0"/>
        <v>912.00000000004366</v>
      </c>
      <c r="H18" s="65">
        <f t="shared" si="1"/>
        <v>2208.0000000001746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'3'!F19</f>
        <v>10241.6</v>
      </c>
      <c r="E19" s="64">
        <f>'Daily Meter'!T9</f>
        <v>10249</v>
      </c>
      <c r="F19" s="64">
        <f>'Daily Meter'!U9</f>
        <v>10254.200000000001</v>
      </c>
      <c r="G19" s="80">
        <f t="shared" si="0"/>
        <v>2496.0000000003492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7008.0000000003929</v>
      </c>
      <c r="H20" s="82">
        <f>SUM(H14:H19)</f>
        <v>17136.000000000349</v>
      </c>
      <c r="I20" s="68">
        <f>H20*0.43</f>
        <v>7368.4800000001496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'3'!F23</f>
        <v>47769.7</v>
      </c>
      <c r="E23" s="64">
        <f>'Daily Meter'!V9</f>
        <v>47849.1</v>
      </c>
      <c r="F23" s="64">
        <f>'Daily Meter'!W9</f>
        <v>47905</v>
      </c>
      <c r="G23" s="80">
        <f>F23-E23</f>
        <v>55.900000000001455</v>
      </c>
      <c r="H23" s="89">
        <f>F23-D23</f>
        <v>135.30000000000291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500.61000000001081</v>
      </c>
      <c r="I24" s="92">
        <f>H24*1.79</f>
        <v>896.09190000001934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5601.497999999172</v>
      </c>
      <c r="G29" s="11">
        <f>F29*0.63</f>
        <v>3528.9437399994786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80288.684999999998</v>
      </c>
      <c r="G30" s="11">
        <f>F30*0.06</f>
        <v>4817.3211000000001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17136.000000000349</v>
      </c>
      <c r="G31" s="11">
        <f>F31*0.43</f>
        <v>7368.4800000001496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135.30000000000291</v>
      </c>
      <c r="G32" s="11">
        <f>I24</f>
        <v>896.09190000001934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16610.836739999646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F4474C49-5ACD-4D03-BB73-6F27445BB2F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195" t="s">
        <v>106</v>
      </c>
    </row>
    <row r="2" spans="1:10" ht="15.75" customHeight="1">
      <c r="A2" s="260"/>
      <c r="B2" s="260"/>
      <c r="C2" s="260"/>
      <c r="D2" s="260"/>
      <c r="E2" s="260"/>
      <c r="F2" s="260"/>
      <c r="G2" s="260"/>
      <c r="H2" s="260"/>
      <c r="I2" s="260"/>
    </row>
    <row r="3" spans="1:10" ht="17.7">
      <c r="A3" s="261" t="s">
        <v>34</v>
      </c>
      <c r="B3" s="261"/>
      <c r="C3" s="261"/>
      <c r="D3" s="261"/>
      <c r="E3" s="261"/>
      <c r="F3" s="261"/>
      <c r="G3" s="261"/>
      <c r="H3" s="261"/>
      <c r="I3" s="261"/>
    </row>
    <row r="4" spans="1:10" s="36" customFormat="1" ht="17.7">
      <c r="A4" s="52"/>
      <c r="B4" s="51" t="str">
        <f>'1'!B4</f>
        <v>JANUARY</v>
      </c>
      <c r="C4" s="52">
        <v>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'4'!F8</f>
        <v>36124.699999999997</v>
      </c>
      <c r="E8" s="64">
        <f>'Daily Meter'!B10</f>
        <v>36136</v>
      </c>
      <c r="F8" s="64">
        <f>'Daily Meter'!C10</f>
        <v>36144.800000000003</v>
      </c>
      <c r="G8" s="65">
        <f>F8-E8</f>
        <v>8.8000000000029104</v>
      </c>
      <c r="H8" s="65">
        <f>F8-D8</f>
        <v>20.100000000005821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2502.1920000008272</v>
      </c>
      <c r="H9" s="65">
        <f>H8*284.34</f>
        <v>5715.2340000016547</v>
      </c>
      <c r="I9" s="68">
        <f>H9*0.63</f>
        <v>3600.5974200010423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'4'!F11</f>
        <v>116096</v>
      </c>
      <c r="E11" s="64">
        <f>'Daily Meter'!D10</f>
        <v>116354</v>
      </c>
      <c r="F11" s="64">
        <f>'Daily Meter'!E10</f>
        <v>116423</v>
      </c>
      <c r="G11" s="65">
        <f>F11-E11</f>
        <v>69</v>
      </c>
      <c r="H11" s="65">
        <f>F11-D11</f>
        <v>327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15177.860999999999</v>
      </c>
      <c r="H12" s="76">
        <f>H11*219.969</f>
        <v>71929.862999999998</v>
      </c>
      <c r="I12" s="96">
        <f>H12*0.06</f>
        <v>4315.7917799999996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'4'!F14</f>
        <v>4051.6</v>
      </c>
      <c r="E14" s="64">
        <f>'Daily Meter'!J10</f>
        <v>4055.4</v>
      </c>
      <c r="F14" s="64">
        <f>'Daily Meter'!K10</f>
        <v>4058.2</v>
      </c>
      <c r="G14" s="80">
        <f t="shared" ref="G14:G19" si="0">(F14-E14)*480</f>
        <v>1343.999999999869</v>
      </c>
      <c r="H14" s="65">
        <f t="shared" ref="H14:H19" si="1">(F14-D14)*480</f>
        <v>3167.9999999999563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'4'!F15</f>
        <v>2436.4</v>
      </c>
      <c r="E15" s="64">
        <f>'Daily Meter'!L10</f>
        <v>2438.4</v>
      </c>
      <c r="F15" s="64">
        <f>'Daily Meter'!M10</f>
        <v>2440.1</v>
      </c>
      <c r="G15" s="80">
        <f t="shared" si="0"/>
        <v>815.99999999991269</v>
      </c>
      <c r="H15" s="65">
        <f t="shared" si="1"/>
        <v>1775.9999999999127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'4'!F16</f>
        <v>2595.8000000000002</v>
      </c>
      <c r="E16" s="64">
        <f>'Daily Meter'!N10</f>
        <v>2598.6999999999998</v>
      </c>
      <c r="F16" s="64">
        <f>'Daily Meter'!O10</f>
        <v>2600.4</v>
      </c>
      <c r="G16" s="80">
        <f t="shared" si="0"/>
        <v>816.00000000013097</v>
      </c>
      <c r="H16" s="65">
        <f t="shared" si="1"/>
        <v>2207.9999999999563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'4'!F17</f>
        <v>1291.9000000000001</v>
      </c>
      <c r="E17" s="64">
        <f>'Daily Meter'!P10</f>
        <v>1293.5</v>
      </c>
      <c r="F17" s="64">
        <f>'Daily Meter'!Q10</f>
        <v>1294.5999999999999</v>
      </c>
      <c r="G17" s="80">
        <f t="shared" si="0"/>
        <v>527.99999999995634</v>
      </c>
      <c r="H17" s="65">
        <f t="shared" si="1"/>
        <v>1295.9999999999127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'4'!F18</f>
        <v>3876.3</v>
      </c>
      <c r="E18" s="64">
        <f>'Daily Meter'!R10</f>
        <v>3879</v>
      </c>
      <c r="F18" s="64">
        <f>'Daily Meter'!S10</f>
        <v>3880.8</v>
      </c>
      <c r="G18" s="80">
        <f t="shared" si="0"/>
        <v>864.00000000008731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'4'!F19</f>
        <v>10254.200000000001</v>
      </c>
      <c r="E19" s="64">
        <f>'Daily Meter'!T10</f>
        <v>10261.4</v>
      </c>
      <c r="F19" s="64">
        <f>'Daily Meter'!U10</f>
        <v>10266.5</v>
      </c>
      <c r="G19" s="80">
        <f t="shared" si="0"/>
        <v>2448.0000000001746</v>
      </c>
      <c r="H19" s="65">
        <f t="shared" si="1"/>
        <v>5903.9999999996508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6816.000000000131</v>
      </c>
      <c r="H20" s="82">
        <f>SUM(H14:H19)</f>
        <v>16511.999999999389</v>
      </c>
      <c r="I20" s="68">
        <f>H20*0.43</f>
        <v>7100.159999999737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'4'!F23</f>
        <v>47905</v>
      </c>
      <c r="E23" s="64">
        <f>'Daily Meter'!V10</f>
        <v>47978.7</v>
      </c>
      <c r="F23" s="64">
        <f>'Daily Meter'!W10</f>
        <v>48032.5</v>
      </c>
      <c r="G23" s="80">
        <f>F23-E23</f>
        <v>53.80000000000291</v>
      </c>
      <c r="H23" s="89">
        <f>F23-D23</f>
        <v>127.5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471.75</v>
      </c>
      <c r="I24" s="92">
        <f>H24*1.79</f>
        <v>844.4325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5715.2340000016547</v>
      </c>
      <c r="G29" s="11">
        <f>F29*0.63</f>
        <v>3600.5974200010423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71929.862999999998</v>
      </c>
      <c r="G30" s="11">
        <f>F30*0.06</f>
        <v>4315.7917799999996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16511.999999999389</v>
      </c>
      <c r="G31" s="11">
        <f>F31*0.43</f>
        <v>7100.159999999737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127.5</v>
      </c>
      <c r="G32" s="11">
        <f>I24</f>
        <v>844.4325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15860.981700000781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D06C35B-F59A-4AB4-8DB8-A0817F1B66C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195" t="s">
        <v>106</v>
      </c>
    </row>
    <row r="2" spans="1:10" ht="15.75" customHeight="1">
      <c r="A2" s="260"/>
      <c r="B2" s="260"/>
      <c r="C2" s="260"/>
      <c r="D2" s="260"/>
      <c r="E2" s="260"/>
      <c r="F2" s="260"/>
      <c r="G2" s="260"/>
      <c r="H2" s="260"/>
      <c r="I2" s="260"/>
    </row>
    <row r="3" spans="1:10" ht="17.7">
      <c r="A3" s="261" t="s">
        <v>34</v>
      </c>
      <c r="B3" s="261"/>
      <c r="C3" s="261"/>
      <c r="D3" s="261"/>
      <c r="E3" s="261"/>
      <c r="F3" s="261"/>
      <c r="G3" s="261"/>
      <c r="H3" s="261"/>
      <c r="I3" s="261"/>
    </row>
    <row r="4" spans="1:10" s="36" customFormat="1" ht="17.7">
      <c r="A4" s="52"/>
      <c r="B4" s="51" t="str">
        <f>'1'!B4</f>
        <v>JANUARY</v>
      </c>
      <c r="C4" s="52">
        <v>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'5'!F8</f>
        <v>36144.800000000003</v>
      </c>
      <c r="E8" s="64">
        <f>'Daily Meter'!B11</f>
        <v>36157.800000000003</v>
      </c>
      <c r="F8" s="64">
        <f>'Daily Meter'!C11</f>
        <v>36168.9</v>
      </c>
      <c r="G8" s="65">
        <f>F8-E8</f>
        <v>11.099999999998545</v>
      </c>
      <c r="H8" s="65">
        <f>F8-D8</f>
        <v>24.099999999998545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3156.1739999995862</v>
      </c>
      <c r="H9" s="65">
        <f>H8*284.34</f>
        <v>6852.5939999995853</v>
      </c>
      <c r="I9" s="68">
        <f>H9*0.63</f>
        <v>4317.1342199997389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65</v>
      </c>
      <c r="D11" s="64">
        <f>'5'!F11</f>
        <v>116423</v>
      </c>
      <c r="E11" s="64">
        <f>'Daily Meter'!D11</f>
        <v>116668</v>
      </c>
      <c r="F11" s="64">
        <f>'Daily Meter'!E11</f>
        <v>116725</v>
      </c>
      <c r="G11" s="65">
        <f>F11-E11</f>
        <v>57</v>
      </c>
      <c r="H11" s="65">
        <f>F11-D11</f>
        <v>302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12538.233</v>
      </c>
      <c r="H12" s="76">
        <f>H11*219.969</f>
        <v>66430.637999999992</v>
      </c>
      <c r="I12" s="96">
        <f>H12*0.06</f>
        <v>3985.8382799999995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'5'!F14</f>
        <v>4058.2</v>
      </c>
      <c r="E14" s="64">
        <f>'Daily Meter'!J11</f>
        <v>4062.1</v>
      </c>
      <c r="F14" s="64">
        <f>'Daily Meter'!K11</f>
        <v>4065.7</v>
      </c>
      <c r="G14" s="80">
        <f t="shared" ref="G14:G19" si="0">(F14-E14)*480</f>
        <v>1727.9999999999563</v>
      </c>
      <c r="H14" s="65">
        <f t="shared" ref="H14:H19" si="1">(F14-D14)*480</f>
        <v>3600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'5'!F15</f>
        <v>2440.1</v>
      </c>
      <c r="E15" s="64">
        <f>'Daily Meter'!L11</f>
        <v>2442.1</v>
      </c>
      <c r="F15" s="64">
        <f>'Daily Meter'!M11</f>
        <v>2444.3000000000002</v>
      </c>
      <c r="G15" s="80">
        <f t="shared" si="0"/>
        <v>1056.000000000131</v>
      </c>
      <c r="H15" s="65">
        <f t="shared" si="1"/>
        <v>2016.000000000131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'5'!F16</f>
        <v>2600.4</v>
      </c>
      <c r="E16" s="64">
        <f>'Daily Meter'!N11</f>
        <v>2603.1999999999998</v>
      </c>
      <c r="F16" s="64">
        <f>'Daily Meter'!O11</f>
        <v>2605.5</v>
      </c>
      <c r="G16" s="80">
        <f t="shared" si="0"/>
        <v>1104.0000000000873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'5'!F17</f>
        <v>1294.5999999999999</v>
      </c>
      <c r="E17" s="64">
        <f>'Daily Meter'!P11</f>
        <v>1296.0999999999999</v>
      </c>
      <c r="F17" s="64">
        <f>'Daily Meter'!Q11</f>
        <v>1297.5999999999999</v>
      </c>
      <c r="G17" s="80">
        <f t="shared" si="0"/>
        <v>720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'5'!F18</f>
        <v>3880.8</v>
      </c>
      <c r="E18" s="64">
        <f>'Daily Meter'!R11</f>
        <v>3883.6</v>
      </c>
      <c r="F18" s="64">
        <f>'Daily Meter'!S11</f>
        <v>3885.9</v>
      </c>
      <c r="G18" s="80">
        <f t="shared" si="0"/>
        <v>1104.0000000000873</v>
      </c>
      <c r="H18" s="65">
        <f t="shared" si="1"/>
        <v>2447.9999999999563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'5'!F19</f>
        <v>10266.5</v>
      </c>
      <c r="E19" s="64">
        <f>'Daily Meter'!T11</f>
        <v>10274.200000000001</v>
      </c>
      <c r="F19" s="64">
        <f>'Daily Meter'!U11</f>
        <v>10280.6</v>
      </c>
      <c r="G19" s="80">
        <f t="shared" si="0"/>
        <v>3071.9999999998254</v>
      </c>
      <c r="H19" s="65">
        <f t="shared" si="1"/>
        <v>6768.0000000001746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8784.0000000000873</v>
      </c>
      <c r="H20" s="82">
        <f>SUM(H14:H19)</f>
        <v>18720.000000000218</v>
      </c>
      <c r="I20" s="68">
        <f>H20*0.43</f>
        <v>8049.600000000094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71" t="s">
        <v>65</v>
      </c>
      <c r="D23" s="64">
        <f>'5'!F23</f>
        <v>48032.5</v>
      </c>
      <c r="E23" s="64">
        <f>'Daily Meter'!V11</f>
        <v>48115.199999999997</v>
      </c>
      <c r="F23" s="64">
        <f>'Daily Meter'!W11</f>
        <v>48188.5</v>
      </c>
      <c r="G23" s="80">
        <f>F23-E23</f>
        <v>73.30000000000291</v>
      </c>
      <c r="H23" s="89">
        <f>F23-D23</f>
        <v>156</v>
      </c>
      <c r="I23" s="85"/>
    </row>
    <row r="24" spans="1:13">
      <c r="A24" s="60"/>
      <c r="B24" s="87"/>
      <c r="C24" s="50" t="s">
        <v>64</v>
      </c>
      <c r="D24" s="64"/>
      <c r="E24" s="64"/>
      <c r="F24" s="64"/>
      <c r="G24" s="80"/>
      <c r="H24" s="91">
        <f>H23*3.7</f>
        <v>577.20000000000005</v>
      </c>
      <c r="I24" s="92">
        <f>H24*1.79</f>
        <v>1033.1880000000001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6852.5939999995853</v>
      </c>
      <c r="G29" s="11">
        <f>F29*0.63</f>
        <v>4317.1342199997389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66430.637999999992</v>
      </c>
      <c r="G30" s="11">
        <f>F30*0.06</f>
        <v>3985.8382799999995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18720.000000000218</v>
      </c>
      <c r="G31" s="11">
        <f>F31*0.43</f>
        <v>8049.600000000094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156</v>
      </c>
      <c r="G32" s="11">
        <f>I24</f>
        <v>1033.1880000000001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17385.760499999829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6252F2-1003-4144-8240-FAC5053605F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8" thickBot="1">
      <c r="A4" s="52"/>
      <c r="B4" s="51" t="str">
        <f>'1'!B4</f>
        <v>JANUARY</v>
      </c>
      <c r="C4" s="52">
        <v>7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'6'!F8</f>
        <v>36168.9</v>
      </c>
      <c r="E8" s="64">
        <f>'Daily Meter'!B12</f>
        <v>36178.800000000003</v>
      </c>
      <c r="F8" s="64">
        <f>'Daily Meter'!C12</f>
        <v>36189</v>
      </c>
      <c r="G8" s="65">
        <f>F8-E8</f>
        <v>10.19999999999709</v>
      </c>
      <c r="H8" s="65">
        <f>F8-D8</f>
        <v>20.099999999998545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2900.2679999991724</v>
      </c>
      <c r="H9" s="65">
        <f>H8*284.34</f>
        <v>5715.2339999995856</v>
      </c>
      <c r="I9" s="68">
        <f>H9*0.63</f>
        <v>3600.597419999739</v>
      </c>
    </row>
    <row r="10" spans="1:10" ht="14.7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7" thickBot="1">
      <c r="A11" s="95"/>
      <c r="B11" s="70" t="s">
        <v>10</v>
      </c>
      <c r="C11" s="2" t="s">
        <v>65</v>
      </c>
      <c r="D11" s="64">
        <f>'6'!F11</f>
        <v>116725</v>
      </c>
      <c r="E11" s="64">
        <f>'Daily Meter'!D12</f>
        <v>116858</v>
      </c>
      <c r="F11" s="64">
        <f>'Daily Meter'!E12</f>
        <v>116921</v>
      </c>
      <c r="G11" s="65">
        <f>F11-E11</f>
        <v>63</v>
      </c>
      <c r="H11" s="65">
        <f>F11-D11</f>
        <v>196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13858.047</v>
      </c>
      <c r="H12" s="76">
        <f>H11*219.969</f>
        <v>43113.923999999999</v>
      </c>
      <c r="I12" s="77">
        <f>H12*0.06</f>
        <v>2586.8354399999998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'6'!F14</f>
        <v>4065.7</v>
      </c>
      <c r="E14" s="64">
        <f>'Daily Meter'!J12</f>
        <v>4068.8</v>
      </c>
      <c r="F14" s="64">
        <f>'Daily Meter'!K12</f>
        <v>4072.7</v>
      </c>
      <c r="G14" s="80">
        <f t="shared" ref="G14:G19" si="0">(F14-E14)*480</f>
        <v>1871.9999999998254</v>
      </c>
      <c r="H14" s="65">
        <f t="shared" ref="H14:H19" si="1">(F14-D14)*480</f>
        <v>3360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'6'!F15</f>
        <v>2444.3000000000002</v>
      </c>
      <c r="E15" s="64">
        <f>'Daily Meter'!L12</f>
        <v>2445.9</v>
      </c>
      <c r="F15" s="64">
        <f>'Daily Meter'!M12</f>
        <v>2448.3000000000002</v>
      </c>
      <c r="G15" s="80">
        <f t="shared" si="0"/>
        <v>1152.0000000000437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'6'!F16</f>
        <v>2605.5</v>
      </c>
      <c r="E16" s="64">
        <f>'Daily Meter'!N12</f>
        <v>2607.9</v>
      </c>
      <c r="F16" s="64">
        <f>'Daily Meter'!O12</f>
        <v>2610.4</v>
      </c>
      <c r="G16" s="80">
        <f t="shared" si="0"/>
        <v>1200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'6'!F17</f>
        <v>1297.5999999999999</v>
      </c>
      <c r="E17" s="64">
        <f>'Daily Meter'!P12</f>
        <v>1298.9000000000001</v>
      </c>
      <c r="F17" s="64">
        <f>'Daily Meter'!Q12</f>
        <v>1300.2</v>
      </c>
      <c r="G17" s="80">
        <f t="shared" si="0"/>
        <v>623.99999999997817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'6'!F18</f>
        <v>3885.9</v>
      </c>
      <c r="E18" s="64">
        <f>'Daily Meter'!R12</f>
        <v>3888.1</v>
      </c>
      <c r="F18" s="64">
        <f>'Daily Meter'!S12</f>
        <v>3890.6</v>
      </c>
      <c r="G18" s="80">
        <f t="shared" si="0"/>
        <v>1200</v>
      </c>
      <c r="H18" s="65">
        <f t="shared" si="1"/>
        <v>2255.9999999999127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'6'!F19</f>
        <v>10280.6</v>
      </c>
      <c r="E19" s="64">
        <f>'Daily Meter'!T12</f>
        <v>10286.6</v>
      </c>
      <c r="F19" s="64">
        <f>'Daily Meter'!U12</f>
        <v>10293.700000000001</v>
      </c>
      <c r="G19" s="80">
        <f t="shared" si="0"/>
        <v>3408.0000000001746</v>
      </c>
      <c r="H19" s="65">
        <f t="shared" si="1"/>
        <v>6288.0000000001746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9456.0000000000218</v>
      </c>
      <c r="H20" s="82">
        <f>SUM(H14:H19)</f>
        <v>17424.000000000196</v>
      </c>
      <c r="I20" s="68">
        <f>H20*0.43</f>
        <v>7492.3200000000843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7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7" thickBot="1">
      <c r="A23" s="60">
        <v>1</v>
      </c>
      <c r="B23" s="87" t="s">
        <v>17</v>
      </c>
      <c r="C23" s="2" t="s">
        <v>65</v>
      </c>
      <c r="D23" s="64">
        <f>'6'!F23</f>
        <v>48188.5</v>
      </c>
      <c r="E23" s="64">
        <f>'Daily Meter'!V12</f>
        <v>48257.4</v>
      </c>
      <c r="F23" s="64">
        <f>'Daily Meter'!W12</f>
        <v>48341.5</v>
      </c>
      <c r="G23" s="80">
        <f>F23-E23</f>
        <v>84.099999999998545</v>
      </c>
      <c r="H23" s="89">
        <f>F23-D23</f>
        <v>153</v>
      </c>
      <c r="I23" s="90"/>
    </row>
    <row r="24" spans="1:13">
      <c r="A24" s="60"/>
      <c r="B24" s="49" t="s">
        <v>63</v>
      </c>
      <c r="C24" s="50" t="s">
        <v>64</v>
      </c>
      <c r="D24" s="64"/>
      <c r="E24" s="64"/>
      <c r="F24" s="64"/>
      <c r="G24" s="80"/>
      <c r="H24" s="91">
        <f>H23*3.7</f>
        <v>566.1</v>
      </c>
      <c r="I24" s="92">
        <f>H24*1.79</f>
        <v>1013.3190000000001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5715.2339999995856</v>
      </c>
      <c r="G29" s="48">
        <f>I9</f>
        <v>3600.597419999739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43113.923999999999</v>
      </c>
      <c r="G30" s="48">
        <f>I12</f>
        <v>2586.8354399999998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17424.000000000196</v>
      </c>
      <c r="G31" s="48">
        <f>I20</f>
        <v>7492.3200000000843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153</v>
      </c>
      <c r="G32" s="48">
        <f>I24</f>
        <v>1013.3190000000001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14693.071859999822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7D3A615E-7079-482E-861F-0C6BDF816BD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8</v>
      </c>
      <c r="D4" s="52"/>
      <c r="E4" s="105"/>
      <c r="F4" s="105"/>
      <c r="G4" s="105"/>
      <c r="H4" s="52"/>
      <c r="I4" s="52"/>
    </row>
    <row r="5" spans="1:10" ht="30" customHeight="1">
      <c r="A5" s="57" t="s">
        <v>1</v>
      </c>
      <c r="B5" s="53" t="s">
        <v>2</v>
      </c>
      <c r="C5" s="54"/>
      <c r="D5" s="103" t="s">
        <v>33</v>
      </c>
      <c r="E5" s="55" t="s">
        <v>67</v>
      </c>
      <c r="F5" s="55" t="s">
        <v>36</v>
      </c>
      <c r="G5" s="56" t="s">
        <v>68</v>
      </c>
      <c r="H5" s="104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6"/>
      <c r="F6" s="276"/>
      <c r="G6" s="276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'7'!F8</f>
        <v>36189</v>
      </c>
      <c r="E8" s="64">
        <f>'Daily Meter'!B13</f>
        <v>36196.5</v>
      </c>
      <c r="F8" s="64">
        <f>'Daily Meter'!C13</f>
        <v>36203.599999999999</v>
      </c>
      <c r="G8" s="65">
        <f>F8-E8</f>
        <v>7.0999999999985448</v>
      </c>
      <c r="H8" s="65">
        <f>F8-D8</f>
        <v>14.599999999998545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2018.813999999586</v>
      </c>
      <c r="H9" s="65">
        <f>H8*284.34</f>
        <v>4151.3639999995858</v>
      </c>
      <c r="I9" s="68">
        <f>H9*0.63</f>
        <v>2615.359319999739</v>
      </c>
    </row>
    <row r="10" spans="1:10" ht="14.7" thickBot="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 ht="14.7" thickBot="1">
      <c r="A11" s="95"/>
      <c r="B11" s="70" t="s">
        <v>10</v>
      </c>
      <c r="C11" s="2" t="s">
        <v>65</v>
      </c>
      <c r="D11" s="64">
        <f>'7'!F11</f>
        <v>116921</v>
      </c>
      <c r="E11" s="64">
        <f>'Daily Meter'!D13</f>
        <v>117131</v>
      </c>
      <c r="F11" s="64">
        <f>'Daily Meter'!E13</f>
        <v>117196</v>
      </c>
      <c r="G11" s="65">
        <f>F11-E11</f>
        <v>65</v>
      </c>
      <c r="H11" s="65">
        <f>F11-D11</f>
        <v>275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14297.984999999999</v>
      </c>
      <c r="H12" s="76">
        <f>H11*219.969</f>
        <v>60491.474999999999</v>
      </c>
      <c r="I12" s="96">
        <f>H12*0.06</f>
        <v>3629.4884999999999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'7'!F14</f>
        <v>4072.7</v>
      </c>
      <c r="E14" s="64">
        <f>'Daily Meter'!J13</f>
        <v>4075.5</v>
      </c>
      <c r="F14" s="64">
        <f>'Daily Meter'!K13</f>
        <v>4077.9</v>
      </c>
      <c r="G14" s="80">
        <f t="shared" ref="G14:G19" si="0">(F14-E14)*480</f>
        <v>1152.0000000000437</v>
      </c>
      <c r="H14" s="65">
        <f t="shared" ref="H14:H19" si="1">(F14-D14)*480</f>
        <v>2496.000000000131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'7'!F15</f>
        <v>2448.3000000000002</v>
      </c>
      <c r="E15" s="64">
        <f>'Daily Meter'!L13</f>
        <v>2449.8000000000002</v>
      </c>
      <c r="F15" s="64">
        <f>'Daily Meter'!M13</f>
        <v>2451.4</v>
      </c>
      <c r="G15" s="80">
        <f t="shared" si="0"/>
        <v>767.99999999995634</v>
      </c>
      <c r="H15" s="65">
        <f t="shared" si="1"/>
        <v>1487.9999999999563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'7'!F16</f>
        <v>2610.4</v>
      </c>
      <c r="E16" s="64">
        <f>'Daily Meter'!N13</f>
        <v>2612.5</v>
      </c>
      <c r="F16" s="64">
        <f>'Daily Meter'!O13</f>
        <v>2614.1</v>
      </c>
      <c r="G16" s="80">
        <f t="shared" si="0"/>
        <v>767.99999999995634</v>
      </c>
      <c r="H16" s="65">
        <f t="shared" si="1"/>
        <v>1775.9999999999127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'7'!F17</f>
        <v>1300.2</v>
      </c>
      <c r="E17" s="64">
        <f>'Daily Meter'!P13</f>
        <v>1301.5</v>
      </c>
      <c r="F17" s="64">
        <f>'Daily Meter'!Q13</f>
        <v>1302.3</v>
      </c>
      <c r="G17" s="80">
        <f t="shared" si="0"/>
        <v>383.99999999997817</v>
      </c>
      <c r="H17" s="65">
        <f t="shared" si="1"/>
        <v>1007.9999999999563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'7'!F18</f>
        <v>3890.6</v>
      </c>
      <c r="E18" s="64">
        <f>'Daily Meter'!R13</f>
        <v>3892.6</v>
      </c>
      <c r="F18" s="64">
        <f>'Daily Meter'!S13</f>
        <v>3894.3</v>
      </c>
      <c r="G18" s="80">
        <f t="shared" si="0"/>
        <v>816.00000000013097</v>
      </c>
      <c r="H18" s="65">
        <f t="shared" si="1"/>
        <v>1776.000000000131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'7'!F19</f>
        <v>10293.700000000001</v>
      </c>
      <c r="E19" s="64">
        <f>'Daily Meter'!T13</f>
        <v>10299</v>
      </c>
      <c r="F19" s="64">
        <f>'Daily Meter'!U13</f>
        <v>10303.9</v>
      </c>
      <c r="G19" s="80">
        <f t="shared" si="0"/>
        <v>2351.9999999998254</v>
      </c>
      <c r="H19" s="65">
        <f t="shared" si="1"/>
        <v>4895.9999999994761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6239.9999999998909</v>
      </c>
      <c r="H20" s="82">
        <f>SUM(H14:H19)</f>
        <v>13439.999999999563</v>
      </c>
      <c r="I20" s="68">
        <f>H20*0.43</f>
        <v>5779.1999999998125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 ht="14.7" thickBot="1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4.7" thickBot="1">
      <c r="A23" s="60">
        <v>1</v>
      </c>
      <c r="B23" s="87" t="s">
        <v>17</v>
      </c>
      <c r="C23" s="2" t="s">
        <v>65</v>
      </c>
      <c r="D23" s="64">
        <f>'7'!F23</f>
        <v>48341.5</v>
      </c>
      <c r="E23" s="64">
        <f>'Daily Meter'!V13</f>
        <v>48400.9</v>
      </c>
      <c r="F23" s="64">
        <f>'Daily Meter'!W13</f>
        <v>48454.9</v>
      </c>
      <c r="G23" s="80">
        <f>F23-E23</f>
        <v>54</v>
      </c>
      <c r="H23" s="89">
        <f>F23-D23</f>
        <v>113.40000000000146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419.58000000000538</v>
      </c>
      <c r="I24" s="92">
        <f>H24*1.79</f>
        <v>751.04820000000961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4151.3639999995858</v>
      </c>
      <c r="G29" s="48">
        <f>I9</f>
        <v>2615.359319999739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60491.474999999999</v>
      </c>
      <c r="G30" s="48">
        <f>I12</f>
        <v>3629.4884999999999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13439.999999999563</v>
      </c>
      <c r="G31" s="48">
        <f>I20</f>
        <v>5779.1999999998125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113.40000000000146</v>
      </c>
      <c r="G32" s="48">
        <f>I24</f>
        <v>751.04820000000961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68">
        <f>SUM(G29:G32)</f>
        <v>12775.096019999562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2ACCE1-2FDF-4806-97AE-11E7681C0DA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6"/>
      <c r="E6" s="276"/>
      <c r="F6" s="276"/>
      <c r="G6" s="276"/>
      <c r="H6" s="106"/>
      <c r="I6" s="106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'8'!F8</f>
        <v>36203.599999999999</v>
      </c>
      <c r="E8" s="64">
        <f>'Daily Meter'!B14</f>
        <v>36214.400000000001</v>
      </c>
      <c r="F8" s="64">
        <f>'Daily Meter'!C14</f>
        <v>36220.400000000001</v>
      </c>
      <c r="G8" s="65">
        <f>F8-E8</f>
        <v>6</v>
      </c>
      <c r="H8" s="65">
        <f>F8-D8</f>
        <v>16.80000000000291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1706.04</v>
      </c>
      <c r="H9" s="65">
        <f>H8*284.34</f>
        <v>4776.912000000827</v>
      </c>
      <c r="I9" s="68">
        <f>H9*0.63</f>
        <v>3009.4545600005208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'8'!F11</f>
        <v>117196</v>
      </c>
      <c r="E11" s="64">
        <f>'Daily Meter'!D14</f>
        <v>117239</v>
      </c>
      <c r="F11" s="64">
        <f>'Daily Meter'!E14</f>
        <v>117259</v>
      </c>
      <c r="G11" s="65">
        <f>F11-E11</f>
        <v>20</v>
      </c>
      <c r="H11" s="65">
        <f>F11-D11</f>
        <v>63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4399.38</v>
      </c>
      <c r="H12" s="76">
        <f>H11*219.969</f>
        <v>13858.047</v>
      </c>
      <c r="I12" s="96">
        <f>H12*0.06</f>
        <v>831.48281999999995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'8'!F14</f>
        <v>4077.9</v>
      </c>
      <c r="E14" s="64">
        <f>'Daily Meter'!J14</f>
        <v>4082</v>
      </c>
      <c r="F14" s="64">
        <f>'Daily Meter'!K14</f>
        <v>4085.1</v>
      </c>
      <c r="G14" s="80">
        <f t="shared" ref="G14:G19" si="0">(F14-E14)*480</f>
        <v>1487.9999999999563</v>
      </c>
      <c r="H14" s="65">
        <f t="shared" ref="H14:H19" si="1">(F14-D14)*480</f>
        <v>3455.9999999999127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'8'!F15</f>
        <v>2451.4</v>
      </c>
      <c r="E15" s="64">
        <f>'Daily Meter'!L14</f>
        <v>2453.6</v>
      </c>
      <c r="F15" s="64">
        <f>'Daily Meter'!M14</f>
        <v>2455.6</v>
      </c>
      <c r="G15" s="80">
        <f t="shared" si="0"/>
        <v>960</v>
      </c>
      <c r="H15" s="65">
        <f t="shared" si="1"/>
        <v>2015.9999999999127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'8'!F16</f>
        <v>2614.1</v>
      </c>
      <c r="E16" s="64">
        <f>'Daily Meter'!N14</f>
        <v>2617.1</v>
      </c>
      <c r="F16" s="64">
        <f>'Daily Meter'!O14</f>
        <v>2619.1</v>
      </c>
      <c r="G16" s="80">
        <f t="shared" si="0"/>
        <v>960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'8'!F17</f>
        <v>1302.3</v>
      </c>
      <c r="E17" s="64">
        <f>'Daily Meter'!P14</f>
        <v>1304</v>
      </c>
      <c r="F17" s="64">
        <f>'Daily Meter'!Q14</f>
        <v>1305.4000000000001</v>
      </c>
      <c r="G17" s="80">
        <f t="shared" si="0"/>
        <v>672.00000000004366</v>
      </c>
      <c r="H17" s="65">
        <f t="shared" si="1"/>
        <v>1488.0000000000655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'8'!F18</f>
        <v>3894.3</v>
      </c>
      <c r="E18" s="64">
        <f>'Daily Meter'!R14</f>
        <v>3897.1</v>
      </c>
      <c r="F18" s="64">
        <f>'Daily Meter'!S14</f>
        <v>3899.2</v>
      </c>
      <c r="G18" s="80">
        <f t="shared" si="0"/>
        <v>1007.9999999999563</v>
      </c>
      <c r="H18" s="65">
        <f t="shared" si="1"/>
        <v>2351.9999999998254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'8'!F19</f>
        <v>10303.9</v>
      </c>
      <c r="E19" s="64">
        <f>'Daily Meter'!T14</f>
        <v>10311.700000000001</v>
      </c>
      <c r="F19" s="64">
        <f>'Daily Meter'!U14</f>
        <v>10317.4</v>
      </c>
      <c r="G19" s="80">
        <f t="shared" si="0"/>
        <v>2735.9999999994761</v>
      </c>
      <c r="H19" s="65">
        <f t="shared" si="1"/>
        <v>6480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7823.9999999994325</v>
      </c>
      <c r="H20" s="82">
        <f>SUM(H14:H19)</f>
        <v>18191.999999999716</v>
      </c>
      <c r="I20" s="68">
        <f>H20*0.43</f>
        <v>7822.5599999998776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'8'!F23</f>
        <v>48454.9</v>
      </c>
      <c r="E23" s="64">
        <f>'Daily Meter'!V14</f>
        <v>48535.8</v>
      </c>
      <c r="F23" s="64">
        <f>'Daily Meter'!W14</f>
        <v>48590</v>
      </c>
      <c r="G23" s="80">
        <f>F23-E23</f>
        <v>54.19999999999709</v>
      </c>
      <c r="H23" s="89">
        <f>F23-D23</f>
        <v>135.09999999999854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499.86999999999466</v>
      </c>
      <c r="I24" s="92">
        <f>H24*1.79</f>
        <v>894.76729999999043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4776.912000000827</v>
      </c>
      <c r="G29" s="48">
        <f>I9</f>
        <v>3009.4545600005208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13858.047</v>
      </c>
      <c r="G30" s="48">
        <f>I12</f>
        <v>831.48281999999995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18191.999999999716</v>
      </c>
      <c r="G31" s="48">
        <f>I20</f>
        <v>7822.5599999998776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135.09999999999854</v>
      </c>
      <c r="G32" s="48">
        <f>I24</f>
        <v>894.76729999999043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12558.264680000388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C97A040-D5F4-4FB6-AFC9-C2FCB2E70DAD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8" thickBot="1">
      <c r="A4" s="52"/>
      <c r="B4" s="51" t="s">
        <v>62</v>
      </c>
      <c r="C4" s="52">
        <v>10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 t="str">
        <f>'1'!B4</f>
        <v>JANUARY</v>
      </c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'9'!F8</f>
        <v>36220.400000000001</v>
      </c>
      <c r="E8" s="64">
        <f>'Daily Meter'!B15</f>
        <v>36233.699999999997</v>
      </c>
      <c r="F8" s="64">
        <f>'Daily Meter'!C15</f>
        <v>36242.800000000003</v>
      </c>
      <c r="G8" s="65">
        <f>F8-E8</f>
        <v>9.1000000000058208</v>
      </c>
      <c r="H8" s="65">
        <f>F8-D8</f>
        <v>22.400000000001455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2587.494000001655</v>
      </c>
      <c r="H9" s="65">
        <f>H8*284.34</f>
        <v>6369.2160000004133</v>
      </c>
      <c r="I9" s="68">
        <f>H9*0.63</f>
        <v>4012.6060800002606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'9'!F11</f>
        <v>117259</v>
      </c>
      <c r="E11" s="64">
        <f>'Daily Meter'!D15</f>
        <v>117466</v>
      </c>
      <c r="F11" s="64">
        <f>'Daily Meter'!E15</f>
        <v>117469</v>
      </c>
      <c r="G11" s="65">
        <f>F11-E11</f>
        <v>3</v>
      </c>
      <c r="H11" s="65">
        <f>F11-D11</f>
        <v>210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46193.49</v>
      </c>
      <c r="I12" s="96">
        <f>H12*0.06</f>
        <v>2771.6093999999998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'9'!F14</f>
        <v>4085.1</v>
      </c>
      <c r="E14" s="64">
        <f>'Daily Meter'!J15</f>
        <v>4088.8</v>
      </c>
      <c r="F14" s="64">
        <f>'Daily Meter'!K15</f>
        <v>4091.5</v>
      </c>
      <c r="G14" s="80">
        <f t="shared" ref="G14:G19" si="0">(F14-E14)*480</f>
        <v>1295.9999999999127</v>
      </c>
      <c r="H14" s="65">
        <f t="shared" ref="H14:H19" si="1">(F14-D14)*480</f>
        <v>3072.0000000000437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'9'!F15</f>
        <v>2455.6</v>
      </c>
      <c r="E15" s="64">
        <f>'Daily Meter'!L15</f>
        <v>2457.8000000000002</v>
      </c>
      <c r="F15" s="64">
        <f>'Daily Meter'!M15</f>
        <v>2459.6</v>
      </c>
      <c r="G15" s="80">
        <f t="shared" si="0"/>
        <v>863.99999999986903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'9'!F16</f>
        <v>2619.1</v>
      </c>
      <c r="E16" s="64">
        <f>'Daily Meter'!N15</f>
        <v>2621.9</v>
      </c>
      <c r="F16" s="64">
        <f>'Daily Meter'!O15</f>
        <v>2623.7</v>
      </c>
      <c r="G16" s="80">
        <f t="shared" si="0"/>
        <v>863.99999999986903</v>
      </c>
      <c r="H16" s="65">
        <f t="shared" si="1"/>
        <v>2207.9999999999563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'9'!F17</f>
        <v>1305.4000000000001</v>
      </c>
      <c r="E17" s="64">
        <f>'Daily Meter'!P15</f>
        <v>1309</v>
      </c>
      <c r="F17" s="64">
        <f>'Daily Meter'!Q15</f>
        <v>1308.0999999999999</v>
      </c>
      <c r="G17" s="80">
        <f t="shared" si="0"/>
        <v>-432.00000000004366</v>
      </c>
      <c r="H17" s="65">
        <f t="shared" si="1"/>
        <v>1295.9999999999127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'9'!F18</f>
        <v>3899.2</v>
      </c>
      <c r="E18" s="64">
        <f>'Daily Meter'!R15</f>
        <v>3901.9</v>
      </c>
      <c r="F18" s="64">
        <f>'Daily Meter'!S15</f>
        <v>3903.6</v>
      </c>
      <c r="G18" s="80">
        <f t="shared" si="0"/>
        <v>815.99999999991269</v>
      </c>
      <c r="H18" s="65">
        <f t="shared" si="1"/>
        <v>2112.0000000000437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'9'!F19</f>
        <v>10317.4</v>
      </c>
      <c r="E19" s="64">
        <f>'Daily Meter'!T15</f>
        <v>10324.799999999999</v>
      </c>
      <c r="F19" s="64">
        <f>'Daily Meter'!U15</f>
        <v>10329.700000000001</v>
      </c>
      <c r="G19" s="80">
        <f t="shared" si="0"/>
        <v>2352.0000000006985</v>
      </c>
      <c r="H19" s="65">
        <f t="shared" si="1"/>
        <v>5904.0000000005239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5760.0000000002183</v>
      </c>
      <c r="H20" s="82">
        <f>SUM(H14:H19)</f>
        <v>16512.00000000048</v>
      </c>
      <c r="I20" s="68">
        <f>H20*0.43</f>
        <v>7100.1600000002063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'9'!F23</f>
        <v>48590</v>
      </c>
      <c r="E23" s="64">
        <f>'Daily Meter'!V15</f>
        <v>48679.8</v>
      </c>
      <c r="F23" s="64">
        <f>'Daily Meter'!W15</f>
        <v>48740.2</v>
      </c>
      <c r="G23" s="80">
        <f>F23-E23</f>
        <v>60.399999999994179</v>
      </c>
      <c r="H23" s="89">
        <f>F23-D23</f>
        <v>150.19999999999709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555.73999999998921</v>
      </c>
      <c r="I24" s="92">
        <f>H24*1.79</f>
        <v>994.77459999998075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6369.2160000004133</v>
      </c>
      <c r="G29" s="48">
        <f>I9</f>
        <v>4012.6060800002606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46193.49</v>
      </c>
      <c r="G30" s="48">
        <f>I12</f>
        <v>2771.6093999999998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16512.00000000048</v>
      </c>
      <c r="G31" s="48">
        <f>I20</f>
        <v>7100.1600000002063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150.19999999999709</v>
      </c>
      <c r="G32" s="48">
        <f>I24</f>
        <v>994.77459999998075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14879.150080000449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17FD67E-746E-4247-B237-AEFF54ED45F0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14.26171875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K1" s="195" t="s">
        <v>106</v>
      </c>
    </row>
    <row r="2" spans="1:11" ht="15.75" customHeight="1">
      <c r="A2" s="260"/>
      <c r="B2" s="260"/>
      <c r="C2" s="260"/>
      <c r="D2" s="260"/>
      <c r="E2" s="260"/>
      <c r="F2" s="260"/>
      <c r="G2" s="260"/>
      <c r="H2" s="260"/>
      <c r="I2" s="260"/>
    </row>
    <row r="3" spans="1:11" ht="17.7">
      <c r="A3" s="261" t="s">
        <v>34</v>
      </c>
      <c r="B3" s="261"/>
      <c r="C3" s="261"/>
      <c r="D3" s="261"/>
      <c r="E3" s="261"/>
      <c r="F3" s="261"/>
      <c r="G3" s="261"/>
      <c r="H3" s="261"/>
      <c r="I3" s="261"/>
    </row>
    <row r="4" spans="1:11" s="36" customFormat="1" ht="17.7">
      <c r="A4" s="52"/>
      <c r="B4" s="51" t="str">
        <f>'1'!B4</f>
        <v>JANUARY</v>
      </c>
      <c r="C4" s="52">
        <v>11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276"/>
      <c r="E6" s="276"/>
      <c r="F6" s="276"/>
      <c r="G6" s="276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'10'!F8</f>
        <v>36242.800000000003</v>
      </c>
      <c r="E8" s="64">
        <f>'Daily Meter'!B16</f>
        <v>36256.9</v>
      </c>
      <c r="F8" s="64">
        <f>'Daily Meter'!C16</f>
        <v>36264.1</v>
      </c>
      <c r="G8" s="65">
        <f>F8-E8</f>
        <v>7.1999999999970896</v>
      </c>
      <c r="H8" s="65">
        <f>F8-D8</f>
        <v>21.299999999995634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2047.2479999991722</v>
      </c>
      <c r="H9" s="65">
        <f>H8*284.34</f>
        <v>6056.4419999987585</v>
      </c>
      <c r="I9" s="68">
        <f>H9*0.63</f>
        <v>3815.558459999218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'10'!F11</f>
        <v>117469</v>
      </c>
      <c r="E11" s="64">
        <f>'Daily Meter'!D16</f>
        <v>117648</v>
      </c>
      <c r="F11" s="64">
        <f>'Daily Meter'!E16</f>
        <v>117761</v>
      </c>
      <c r="G11" s="65">
        <f>F11-E11</f>
        <v>113</v>
      </c>
      <c r="H11" s="65">
        <f>F11-D11</f>
        <v>292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24856.496999999999</v>
      </c>
      <c r="H12" s="76">
        <f>H11*219.969</f>
        <v>64230.947999999997</v>
      </c>
      <c r="I12" s="96">
        <f>H12*0.06</f>
        <v>3853.8568799999998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'10'!F14</f>
        <v>4091.5</v>
      </c>
      <c r="E14" s="64">
        <f>'Daily Meter'!J16</f>
        <v>4095.6</v>
      </c>
      <c r="F14" s="64">
        <f>'Daily Meter'!K16</f>
        <v>4098.3</v>
      </c>
      <c r="G14" s="80">
        <f t="shared" ref="G14:G19" si="0">(F14-E14)*480</f>
        <v>1296.000000000131</v>
      </c>
      <c r="H14" s="65">
        <f t="shared" ref="H14:H19" si="1">(F14-D14)*480</f>
        <v>3264.0000000000873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'10'!F15</f>
        <v>2459.6</v>
      </c>
      <c r="E15" s="64">
        <f>'Daily Meter'!L16</f>
        <v>2461.9</v>
      </c>
      <c r="F15" s="64">
        <f>'Daily Meter'!M16</f>
        <v>2463.6999999999998</v>
      </c>
      <c r="G15" s="80">
        <f t="shared" si="0"/>
        <v>863.99999999986903</v>
      </c>
      <c r="H15" s="65">
        <f t="shared" si="1"/>
        <v>1967.9999999999563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'10'!F16</f>
        <v>2623.7</v>
      </c>
      <c r="E16" s="64">
        <f>'Daily Meter'!N16</f>
        <v>2626.7</v>
      </c>
      <c r="F16" s="64">
        <f>'Daily Meter'!O16</f>
        <v>2628.3</v>
      </c>
      <c r="G16" s="80">
        <f t="shared" si="0"/>
        <v>768.00000000017462</v>
      </c>
      <c r="H16" s="65">
        <f t="shared" si="1"/>
        <v>2208.0000000001746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'10'!F17</f>
        <v>1308.0999999999999</v>
      </c>
      <c r="E17" s="64">
        <f>'Daily Meter'!P16</f>
        <v>1309.8</v>
      </c>
      <c r="F17" s="64">
        <f>'Daily Meter'!Q16</f>
        <v>1310.8</v>
      </c>
      <c r="G17" s="80">
        <f t="shared" si="0"/>
        <v>480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'10'!F18</f>
        <v>3903.6</v>
      </c>
      <c r="E18" s="64">
        <f>'Daily Meter'!R16</f>
        <v>3906.5</v>
      </c>
      <c r="F18" s="64">
        <f>'Daily Meter'!S16</f>
        <v>3908.2</v>
      </c>
      <c r="G18" s="80">
        <f t="shared" si="0"/>
        <v>815.99999999991269</v>
      </c>
      <c r="H18" s="65">
        <f t="shared" si="1"/>
        <v>2207.9999999999563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'10'!F19</f>
        <v>10329.700000000001</v>
      </c>
      <c r="E19" s="64">
        <f>'Daily Meter'!T16</f>
        <v>10337.700000000001</v>
      </c>
      <c r="F19" s="64">
        <f>'Daily Meter'!U16</f>
        <v>10342.4</v>
      </c>
      <c r="G19" s="80">
        <f t="shared" si="0"/>
        <v>2255.9999999994761</v>
      </c>
      <c r="H19" s="65">
        <f t="shared" si="1"/>
        <v>6095.9999999994761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6479.9999999995634</v>
      </c>
      <c r="H20" s="82">
        <f>SUM(H14:H19)</f>
        <v>17039.999999999673</v>
      </c>
      <c r="I20" s="68">
        <f>H20*0.43</f>
        <v>7327.1999999998588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'10'!F23</f>
        <v>48740.2</v>
      </c>
      <c r="E23" s="64">
        <f>'Daily Meter'!V16</f>
        <v>48831</v>
      </c>
      <c r="F23" s="64">
        <f>'Daily Meter'!W16</f>
        <v>48891.199999999997</v>
      </c>
      <c r="G23" s="80">
        <f>F23-E23</f>
        <v>60.19999999999709</v>
      </c>
      <c r="H23" s="89">
        <f>F23-D23</f>
        <v>151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558.70000000000005</v>
      </c>
      <c r="I24" s="92">
        <f>H24*1.79</f>
        <v>1000.0730000000001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6056.4419999987585</v>
      </c>
      <c r="G29" s="48">
        <f>I9</f>
        <v>3815.558459999218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64230.947999999997</v>
      </c>
      <c r="G30" s="48">
        <f>I12</f>
        <v>3853.8568799999998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17039.999999999673</v>
      </c>
      <c r="G31" s="48">
        <f>I20</f>
        <v>7327.1999999998588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151</v>
      </c>
      <c r="G32" s="48">
        <f>I24</f>
        <v>1000.0730000000001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48">
        <f>SUM(G29:G32)</f>
        <v>15996.688339999077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3444FA31-0D34-4750-B8A7-2C717642B99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K1" s="195" t="s">
        <v>106</v>
      </c>
    </row>
    <row r="2" spans="1:11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1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1" s="36" customFormat="1" ht="17.7">
      <c r="A4" s="52"/>
      <c r="B4" s="51" t="str">
        <f>'1'!B4</f>
        <v>JANUARY</v>
      </c>
      <c r="C4" s="52">
        <v>12</v>
      </c>
      <c r="D4" s="105"/>
      <c r="E4" s="105"/>
      <c r="F4" s="105"/>
      <c r="G4" s="105"/>
      <c r="H4" s="105"/>
      <c r="I4" s="52"/>
    </row>
    <row r="5" spans="1:11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276"/>
      <c r="E6" s="276"/>
      <c r="F6" s="276"/>
      <c r="G6" s="276"/>
      <c r="H6" s="106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'11'!F8</f>
        <v>36264.1</v>
      </c>
      <c r="E8" s="64">
        <f>'Daily Meter'!B17</f>
        <v>36275.9</v>
      </c>
      <c r="F8" s="64">
        <f>'Daily Meter'!C17</f>
        <v>36281.800000000003</v>
      </c>
      <c r="G8" s="65">
        <f>F8-E8</f>
        <v>5.9000000000014552</v>
      </c>
      <c r="H8" s="65">
        <f>F8-D8</f>
        <v>17.700000000004366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1677.6060000004136</v>
      </c>
      <c r="H9" s="65">
        <f>H8*284.34</f>
        <v>5032.8180000012408</v>
      </c>
      <c r="I9" s="68">
        <f>H9*0.63</f>
        <v>3170.6753400007815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'11'!F11</f>
        <v>117761</v>
      </c>
      <c r="E11" s="64">
        <f>'Daily Meter'!D17</f>
        <v>117985</v>
      </c>
      <c r="F11" s="64">
        <f>'Daily Meter'!E17</f>
        <v>118072</v>
      </c>
      <c r="G11" s="65">
        <f>F11-E11</f>
        <v>87</v>
      </c>
      <c r="H11" s="65">
        <f>F11-D11</f>
        <v>311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19137.303</v>
      </c>
      <c r="H12" s="76">
        <f>H11*219.969</f>
        <v>68410.358999999997</v>
      </c>
      <c r="I12" s="96">
        <f>H12*0.06</f>
        <v>4104.6215400000001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'11'!F14</f>
        <v>4098.3</v>
      </c>
      <c r="E14" s="64">
        <f>'Daily Meter'!J17</f>
        <v>4102.3999999999996</v>
      </c>
      <c r="F14" s="64">
        <f>'Daily Meter'!K17</f>
        <v>4104.8999999999996</v>
      </c>
      <c r="G14" s="80">
        <f t="shared" ref="G14:G19" si="0">(F14-E14)*480</f>
        <v>1200</v>
      </c>
      <c r="H14" s="65">
        <f t="shared" ref="H14:H19" si="1">(F14-D14)*480</f>
        <v>3167.9999999997381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'11'!F15</f>
        <v>2463.6999999999998</v>
      </c>
      <c r="E15" s="64">
        <f>'Daily Meter'!L17</f>
        <v>2466.1999999999998</v>
      </c>
      <c r="F15" s="64">
        <f>'Daily Meter'!M17</f>
        <v>2467.9</v>
      </c>
      <c r="G15" s="80">
        <f t="shared" si="0"/>
        <v>816.00000000013097</v>
      </c>
      <c r="H15" s="65">
        <f t="shared" si="1"/>
        <v>2016.000000000131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'11'!F16</f>
        <v>2628.3</v>
      </c>
      <c r="E16" s="64">
        <f>'Daily Meter'!N17</f>
        <v>2631.7</v>
      </c>
      <c r="F16" s="64">
        <f>'Daily Meter'!O17</f>
        <v>2633.3</v>
      </c>
      <c r="G16" s="80">
        <f t="shared" si="0"/>
        <v>768.00000000017462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'11'!F17</f>
        <v>1310.8</v>
      </c>
      <c r="E17" s="64">
        <f>'Daily Meter'!P17</f>
        <v>1312.6</v>
      </c>
      <c r="F17" s="64">
        <f>'Daily Meter'!Q17</f>
        <v>1313.6</v>
      </c>
      <c r="G17" s="80">
        <f t="shared" si="0"/>
        <v>480</v>
      </c>
      <c r="H17" s="65">
        <f t="shared" si="1"/>
        <v>1343.9999999999782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'11'!F18</f>
        <v>3908.2</v>
      </c>
      <c r="E18" s="64">
        <f>'Daily Meter'!R17</f>
        <v>3911.2</v>
      </c>
      <c r="F18" s="64">
        <f>'Daily Meter'!S17</f>
        <v>3912.9</v>
      </c>
      <c r="G18" s="80">
        <f t="shared" si="0"/>
        <v>816.00000000013097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'11'!F19</f>
        <v>10342.4</v>
      </c>
      <c r="E19" s="64">
        <f>'Daily Meter'!T17</f>
        <v>10350.700000000001</v>
      </c>
      <c r="F19" s="64">
        <f>'Daily Meter'!U17</f>
        <v>10355</v>
      </c>
      <c r="G19" s="80">
        <f t="shared" si="0"/>
        <v>2063.9999999996508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6144.0000000000873</v>
      </c>
      <c r="H20" s="82">
        <f>SUM(H14:H19)</f>
        <v>17232.000000000153</v>
      </c>
      <c r="I20" s="68">
        <f>H20*0.43</f>
        <v>7409.7600000000657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'11'!F23</f>
        <v>48891.199999999997</v>
      </c>
      <c r="E23" s="64">
        <f>'Daily Meter'!V17</f>
        <v>48983.199999999997</v>
      </c>
      <c r="F23" s="64">
        <f>'Daily Meter'!W17</f>
        <v>49037</v>
      </c>
      <c r="G23" s="80">
        <f>F23-E23</f>
        <v>53.80000000000291</v>
      </c>
      <c r="H23" s="89">
        <f>F23-D23</f>
        <v>145.80000000000291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539.46000000001084</v>
      </c>
      <c r="I24" s="92">
        <f>H24*1.79</f>
        <v>965.63340000001938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5032.8180000012408</v>
      </c>
      <c r="G29" s="48">
        <f>I9</f>
        <v>3170.6753400007815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68410.358999999997</v>
      </c>
      <c r="G30" s="48">
        <f>I12</f>
        <v>4104.6215400000001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17232.000000000153</v>
      </c>
      <c r="G31" s="48">
        <f>I20</f>
        <v>7409.7600000000657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145.80000000000291</v>
      </c>
      <c r="G32" s="48">
        <f>I24</f>
        <v>965.63340000001938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15650.690280000867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E1B09D7D-F550-44FD-84F9-884BAA6B156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1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K1" s="195" t="s">
        <v>106</v>
      </c>
    </row>
    <row r="2" spans="1:11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1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1" s="36" customFormat="1" ht="18" thickBot="1">
      <c r="A4" s="52"/>
      <c r="B4" s="51" t="str">
        <f>'1'!B4</f>
        <v>JANUARY</v>
      </c>
      <c r="C4" s="52">
        <v>13</v>
      </c>
      <c r="D4" s="52"/>
      <c r="E4" s="52"/>
      <c r="F4" s="52"/>
      <c r="G4" s="52"/>
      <c r="H4" s="52"/>
      <c r="I4" s="52"/>
    </row>
    <row r="5" spans="1:11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1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1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1">
      <c r="A8" s="60"/>
      <c r="B8" s="61" t="s">
        <v>5</v>
      </c>
      <c r="C8" s="60" t="s">
        <v>6</v>
      </c>
      <c r="D8" s="64">
        <f>'12'!F8</f>
        <v>36281.800000000003</v>
      </c>
      <c r="E8" s="64">
        <f>'Daily Meter'!B18</f>
        <v>36292.5</v>
      </c>
      <c r="F8" s="64">
        <f>'Daily Meter'!C18</f>
        <v>36298.1</v>
      </c>
      <c r="G8" s="65">
        <f>F8-E8</f>
        <v>5.5999999999985448</v>
      </c>
      <c r="H8" s="65">
        <f>F8-D8</f>
        <v>16.299999999995634</v>
      </c>
      <c r="I8" s="65"/>
    </row>
    <row r="9" spans="1:11" ht="15">
      <c r="A9" s="60"/>
      <c r="B9" s="61"/>
      <c r="C9" s="66" t="s">
        <v>7</v>
      </c>
      <c r="D9" s="67"/>
      <c r="E9" s="67"/>
      <c r="F9" s="67"/>
      <c r="G9" s="65">
        <f>G8*284.34</f>
        <v>1592.303999999586</v>
      </c>
      <c r="H9" s="65">
        <f>H8*284.34</f>
        <v>4634.7419999987587</v>
      </c>
      <c r="I9" s="68">
        <f>H9*0.63</f>
        <v>2919.8874599992182</v>
      </c>
    </row>
    <row r="10" spans="1:11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1">
      <c r="A11" s="95"/>
      <c r="B11" s="70" t="s">
        <v>10</v>
      </c>
      <c r="C11" s="71" t="s">
        <v>37</v>
      </c>
      <c r="D11" s="64">
        <f>'12'!F11</f>
        <v>118072</v>
      </c>
      <c r="E11" s="64">
        <f>'Daily Meter'!D18</f>
        <v>118299</v>
      </c>
      <c r="F11" s="64">
        <f>'Daily Meter'!E18</f>
        <v>118303</v>
      </c>
      <c r="G11" s="65">
        <f>F11-E11</f>
        <v>4</v>
      </c>
      <c r="H11" s="65">
        <f>F11-D11</f>
        <v>231</v>
      </c>
      <c r="I11" s="72"/>
    </row>
    <row r="12" spans="1:11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879.87599999999998</v>
      </c>
      <c r="H12" s="76">
        <f>H11*219.969</f>
        <v>50812.839</v>
      </c>
      <c r="I12" s="96">
        <f>H12*0.06</f>
        <v>3048.77034</v>
      </c>
    </row>
    <row r="13" spans="1:11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1">
      <c r="A14" s="60">
        <v>1</v>
      </c>
      <c r="B14" s="61" t="s">
        <v>38</v>
      </c>
      <c r="C14" s="60" t="s">
        <v>35</v>
      </c>
      <c r="D14" s="64">
        <f>'12'!F14</f>
        <v>4104.8999999999996</v>
      </c>
      <c r="E14" s="64">
        <f>'Daily Meter'!J18</f>
        <v>4109.2</v>
      </c>
      <c r="F14" s="64">
        <f>'Daily Meter'!K18</f>
        <v>4111.8999999999996</v>
      </c>
      <c r="G14" s="80">
        <f t="shared" ref="G14:G19" si="0">(F14-E14)*480</f>
        <v>1295.9999999999127</v>
      </c>
      <c r="H14" s="65">
        <f t="shared" ref="H14:H19" si="1">(F14-D14)*480</f>
        <v>3360</v>
      </c>
      <c r="I14" s="65"/>
    </row>
    <row r="15" spans="1:11">
      <c r="A15" s="60">
        <v>2</v>
      </c>
      <c r="B15" s="61" t="s">
        <v>39</v>
      </c>
      <c r="C15" s="60" t="s">
        <v>35</v>
      </c>
      <c r="D15" s="64">
        <f>'12'!F15</f>
        <v>2467.9</v>
      </c>
      <c r="E15" s="64">
        <f>'Daily Meter'!L18</f>
        <v>2470.1999999999998</v>
      </c>
      <c r="F15" s="64">
        <f>'Daily Meter'!M18</f>
        <v>2471.9</v>
      </c>
      <c r="G15" s="80">
        <f t="shared" si="0"/>
        <v>816.00000000013097</v>
      </c>
      <c r="H15" s="65">
        <f t="shared" si="1"/>
        <v>1920</v>
      </c>
      <c r="I15" s="65"/>
    </row>
    <row r="16" spans="1:11">
      <c r="A16" s="60">
        <v>3</v>
      </c>
      <c r="B16" s="61" t="s">
        <v>40</v>
      </c>
      <c r="C16" s="60" t="s">
        <v>35</v>
      </c>
      <c r="D16" s="64">
        <f>'12'!F16</f>
        <v>2633.3</v>
      </c>
      <c r="E16" s="64">
        <f>'Daily Meter'!N18</f>
        <v>2636.6</v>
      </c>
      <c r="F16" s="64">
        <f>'Daily Meter'!O18</f>
        <v>2638.3</v>
      </c>
      <c r="G16" s="80">
        <f t="shared" si="0"/>
        <v>816.00000000013097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'12'!F17</f>
        <v>1313.6</v>
      </c>
      <c r="E17" s="64">
        <f>'Daily Meter'!P18</f>
        <v>1315.6</v>
      </c>
      <c r="F17" s="64">
        <f>'Daily Meter'!Q18</f>
        <v>1316.6</v>
      </c>
      <c r="G17" s="80">
        <f t="shared" si="0"/>
        <v>480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'12'!F18</f>
        <v>3912.9</v>
      </c>
      <c r="E18" s="64">
        <f>'Daily Meter'!R18</f>
        <v>3915.9</v>
      </c>
      <c r="F18" s="64">
        <f>'Daily Meter'!S18</f>
        <v>3917.6</v>
      </c>
      <c r="G18" s="80">
        <f t="shared" si="0"/>
        <v>815.99999999991269</v>
      </c>
      <c r="H18" s="65">
        <f t="shared" si="1"/>
        <v>2255.9999999999127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'12'!F19</f>
        <v>10355</v>
      </c>
      <c r="E19" s="64">
        <f>'Daily Meter'!T18</f>
        <v>10363.1</v>
      </c>
      <c r="F19" s="64">
        <f>'Daily Meter'!U18</f>
        <v>10367.5</v>
      </c>
      <c r="G19" s="80">
        <f t="shared" si="0"/>
        <v>2111.9999999998254</v>
      </c>
      <c r="H19" s="65">
        <f t="shared" si="1"/>
        <v>6000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6335.9999999999127</v>
      </c>
      <c r="H20" s="82">
        <f>SUM(H14:H19)</f>
        <v>17375.999999999913</v>
      </c>
      <c r="I20" s="68">
        <f>H20*0.43</f>
        <v>7471.6799999999621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'12'!F23</f>
        <v>49037</v>
      </c>
      <c r="E23" s="64">
        <f>'Daily Meter'!V18</f>
        <v>49127.3</v>
      </c>
      <c r="F23" s="64">
        <f>'Daily Meter'!W18</f>
        <v>49177.5</v>
      </c>
      <c r="G23" s="80">
        <f>F23-E23</f>
        <v>50.19999999999709</v>
      </c>
      <c r="H23" s="89">
        <f>F23-D23</f>
        <v>140.5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519.85</v>
      </c>
      <c r="I24" s="92">
        <f>H24*1.79</f>
        <v>930.53150000000005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4634.7419999987587</v>
      </c>
      <c r="G29" s="48">
        <f>I9</f>
        <v>2919.8874599992182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50812.839</v>
      </c>
      <c r="G30" s="48">
        <f>I12</f>
        <v>3048.77034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17375.999999999913</v>
      </c>
      <c r="G31" s="48">
        <f>I20</f>
        <v>7471.6799999999621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140.5</v>
      </c>
      <c r="G32" s="48">
        <f>I24</f>
        <v>930.53150000000005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14370.86929999918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K1" location="'Daily Meter'!A1" display="daily reading" xr:uid="{76FEDAC9-5BC8-4108-A003-88BF6BA41DB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8" thickBot="1">
      <c r="A4" s="52"/>
      <c r="B4" s="51" t="str">
        <f>'1'!B4</f>
        <v>JANUARY</v>
      </c>
      <c r="C4" s="52">
        <v>14</v>
      </c>
      <c r="D4" s="52"/>
      <c r="E4" s="52"/>
      <c r="F4" s="52"/>
      <c r="G4" s="52"/>
      <c r="H4" s="52"/>
      <c r="I4" s="52"/>
    </row>
    <row r="5" spans="1:10" ht="30" customHeight="1" thickBot="1">
      <c r="A5" s="57" t="s">
        <v>1</v>
      </c>
      <c r="B5" s="53" t="s">
        <v>2</v>
      </c>
      <c r="C5" s="54"/>
      <c r="D5" s="55" t="s">
        <v>33</v>
      </c>
      <c r="E5" s="1" t="s">
        <v>67</v>
      </c>
      <c r="F5" s="1" t="s">
        <v>36</v>
      </c>
      <c r="G5" s="20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'13'!F8</f>
        <v>36298.1</v>
      </c>
      <c r="E8" s="64">
        <f>'Daily Meter'!B19</f>
        <v>36307.9</v>
      </c>
      <c r="F8" s="64">
        <f>'Daily Meter'!C19</f>
        <v>36313.9</v>
      </c>
      <c r="G8" s="65">
        <f>F8-E8</f>
        <v>6</v>
      </c>
      <c r="H8" s="65">
        <f>F8-D8</f>
        <v>15.80000000000291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1706.04</v>
      </c>
      <c r="H9" s="65">
        <f>H8*284.34</f>
        <v>4492.5720000008268</v>
      </c>
      <c r="I9" s="68">
        <f>H9*0.63</f>
        <v>2830.3203600005209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'13'!F11</f>
        <v>118303</v>
      </c>
      <c r="E11" s="64">
        <f>'Daily Meter'!D19</f>
        <v>118479</v>
      </c>
      <c r="F11" s="64">
        <f>'Daily Meter'!E19</f>
        <v>118528</v>
      </c>
      <c r="G11" s="65">
        <f>F11-E11</f>
        <v>49</v>
      </c>
      <c r="H11" s="65">
        <f>F11-D11</f>
        <v>225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10778.481</v>
      </c>
      <c r="H12" s="76">
        <f>H11*219.969</f>
        <v>49493.025000000001</v>
      </c>
      <c r="I12" s="96">
        <f>H12*0.06</f>
        <v>2969.5814999999998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'13'!F14</f>
        <v>4111.8999999999996</v>
      </c>
      <c r="E14" s="64">
        <f>'Daily Meter'!J19</f>
        <v>4115.6000000000004</v>
      </c>
      <c r="F14" s="64">
        <f>'Daily Meter'!K19</f>
        <v>4118.6000000000004</v>
      </c>
      <c r="G14" s="80">
        <f t="shared" ref="G14:G19" si="0">(F14-E14)*480</f>
        <v>1440</v>
      </c>
      <c r="H14" s="65">
        <f t="shared" ref="H14:H19" si="1">(F14-D14)*480</f>
        <v>3216.0000000003492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'13'!F15</f>
        <v>2471.9</v>
      </c>
      <c r="E15" s="64">
        <f>'Daily Meter'!L19</f>
        <v>2474.1</v>
      </c>
      <c r="F15" s="64">
        <f>'Daily Meter'!M19</f>
        <v>2475.8000000000002</v>
      </c>
      <c r="G15" s="80">
        <f t="shared" si="0"/>
        <v>816.00000000013097</v>
      </c>
      <c r="H15" s="65">
        <f t="shared" si="1"/>
        <v>1872.0000000000437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'13'!F16</f>
        <v>2638.3</v>
      </c>
      <c r="E16" s="64">
        <f>'Daily Meter'!N19</f>
        <v>2641.4</v>
      </c>
      <c r="F16" s="64">
        <f>'Daily Meter'!O19</f>
        <v>2643.3</v>
      </c>
      <c r="G16" s="80">
        <f t="shared" si="0"/>
        <v>912.00000000004366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'13'!F17</f>
        <v>1316.6</v>
      </c>
      <c r="E17" s="64">
        <f>'Daily Meter'!P19</f>
        <v>1318.6</v>
      </c>
      <c r="F17" s="64">
        <f>'Daily Meter'!Q19</f>
        <v>1319.6</v>
      </c>
      <c r="G17" s="80">
        <f t="shared" si="0"/>
        <v>480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'13'!F18</f>
        <v>3917.6</v>
      </c>
      <c r="E18" s="64">
        <f>'Daily Meter'!R19</f>
        <v>3920.3</v>
      </c>
      <c r="F18" s="64">
        <f>'Daily Meter'!S19</f>
        <v>3922.3</v>
      </c>
      <c r="G18" s="80">
        <f t="shared" si="0"/>
        <v>960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'13'!F19</f>
        <v>10367.5</v>
      </c>
      <c r="E19" s="64">
        <f>'Daily Meter'!T19</f>
        <v>10374.700000000001</v>
      </c>
      <c r="F19" s="64">
        <f>'Daily Meter'!U19</f>
        <v>10379.799999999999</v>
      </c>
      <c r="G19" s="80">
        <f t="shared" si="0"/>
        <v>2447.9999999993015</v>
      </c>
      <c r="H19" s="65">
        <f t="shared" si="1"/>
        <v>5903.9999999996508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7055.9999999994761</v>
      </c>
      <c r="H20" s="82">
        <f>SUM(H14:H19)</f>
        <v>17088.000000000175</v>
      </c>
      <c r="I20" s="68">
        <f>H20*0.43</f>
        <v>7347.8400000000747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'13'!F23</f>
        <v>49177.5</v>
      </c>
      <c r="E23" s="64">
        <f>'Daily Meter'!V19</f>
        <v>49261.599999999999</v>
      </c>
      <c r="F23" s="64">
        <f>'Daily Meter'!W19</f>
        <v>49322.6</v>
      </c>
      <c r="G23" s="80">
        <f>F23-E23</f>
        <v>61</v>
      </c>
      <c r="H23" s="89">
        <f>F23-D23</f>
        <v>145.09999999999854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536.86999999999466</v>
      </c>
      <c r="I24" s="92">
        <f>H24*1.79</f>
        <v>960.99729999999045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4492.5720000008268</v>
      </c>
      <c r="G29" s="48">
        <f>I9</f>
        <v>2830.3203600005209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49493.025000000001</v>
      </c>
      <c r="G30" s="48">
        <f>I12</f>
        <v>2969.5814999999998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17088.000000000175</v>
      </c>
      <c r="G31" s="48">
        <f>I20</f>
        <v>7347.8400000000747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145.09999999999854</v>
      </c>
      <c r="G32" s="48">
        <f>I24</f>
        <v>960.99729999999045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14108.739160000585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1126DA32-2314-43D3-80F3-F8C3C8BC155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15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'14'!F8</f>
        <v>36313.9</v>
      </c>
      <c r="E8" s="64">
        <f>'Daily Meter'!B20</f>
        <v>36323.199999999997</v>
      </c>
      <c r="F8" s="64">
        <f>'Daily Meter'!C20</f>
        <v>36330</v>
      </c>
      <c r="G8" s="65">
        <f>F8-E8</f>
        <v>6.8000000000029104</v>
      </c>
      <c r="H8" s="65">
        <f>F8-D8</f>
        <v>16.099999999998545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1933.5120000008274</v>
      </c>
      <c r="H9" s="65">
        <f>H8*284.34</f>
        <v>4577.873999999586</v>
      </c>
      <c r="I9" s="68">
        <f>H9*0.63</f>
        <v>2884.0606199997392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'14'!F11</f>
        <v>118528</v>
      </c>
      <c r="E11" s="64">
        <f>'Daily Meter'!D20</f>
        <v>118817</v>
      </c>
      <c r="F11" s="64">
        <f>'Daily Meter'!E20</f>
        <v>118825</v>
      </c>
      <c r="G11" s="65">
        <f>F11-E11</f>
        <v>8</v>
      </c>
      <c r="H11" s="65">
        <f>F11-D11</f>
        <v>297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1759.752</v>
      </c>
      <c r="H12" s="76">
        <f>H11*219.969</f>
        <v>65330.792999999998</v>
      </c>
      <c r="I12" s="96">
        <f>H12*0.06</f>
        <v>3919.8475799999997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'14'!F14</f>
        <v>4118.6000000000004</v>
      </c>
      <c r="E14" s="64">
        <f>'Daily Meter'!J20</f>
        <v>4122.3</v>
      </c>
      <c r="F14" s="64">
        <f>'Daily Meter'!K20</f>
        <v>4125.2</v>
      </c>
      <c r="G14" s="80">
        <f t="shared" ref="G14:G19" si="0">(F14-E14)*480</f>
        <v>1391.9999999998254</v>
      </c>
      <c r="H14" s="65">
        <f t="shared" ref="H14:H19" si="1">(F14-D14)*480</f>
        <v>3167.9999999997381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'14'!F15</f>
        <v>2475.8000000000002</v>
      </c>
      <c r="E15" s="64">
        <f>'Daily Meter'!L20</f>
        <v>2477.8000000000002</v>
      </c>
      <c r="F15" s="64">
        <f>'Daily Meter'!M20</f>
        <v>2479.5</v>
      </c>
      <c r="G15" s="80">
        <f t="shared" si="0"/>
        <v>815.99999999991269</v>
      </c>
      <c r="H15" s="65">
        <f t="shared" si="1"/>
        <v>1775.9999999999127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'14'!F16</f>
        <v>2643.3</v>
      </c>
      <c r="E16" s="64">
        <f>'Daily Meter'!N20</f>
        <v>2646</v>
      </c>
      <c r="F16" s="64">
        <f>'Daily Meter'!O20</f>
        <v>2647.9</v>
      </c>
      <c r="G16" s="80">
        <f t="shared" si="0"/>
        <v>912.00000000004366</v>
      </c>
      <c r="H16" s="65">
        <f t="shared" si="1"/>
        <v>2207.9999999999563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'14'!F17</f>
        <v>1319.6</v>
      </c>
      <c r="E17" s="64">
        <f>'Daily Meter'!P20</f>
        <v>1321.2</v>
      </c>
      <c r="F17" s="64">
        <f>'Daily Meter'!Q20</f>
        <v>1322.4</v>
      </c>
      <c r="G17" s="80">
        <f t="shared" si="0"/>
        <v>576.00000000002183</v>
      </c>
      <c r="H17" s="65">
        <f t="shared" si="1"/>
        <v>1344.0000000000873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'14'!F18</f>
        <v>3922.3</v>
      </c>
      <c r="E18" s="64">
        <f>'Daily Meter'!R20</f>
        <v>3924.8</v>
      </c>
      <c r="F18" s="64">
        <f>'Daily Meter'!S20</f>
        <v>3926.8</v>
      </c>
      <c r="G18" s="80">
        <f t="shared" si="0"/>
        <v>960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'14'!F19</f>
        <v>10379.799999999999</v>
      </c>
      <c r="E19" s="64">
        <f>'Daily Meter'!T20</f>
        <v>10386.200000000001</v>
      </c>
      <c r="F19" s="64">
        <f>'Daily Meter'!U20</f>
        <v>10391.700000000001</v>
      </c>
      <c r="G19" s="80">
        <f t="shared" si="0"/>
        <v>2640</v>
      </c>
      <c r="H19" s="65">
        <f t="shared" si="1"/>
        <v>5712.0000000006985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7295.9999999998035</v>
      </c>
      <c r="H20" s="82">
        <f>SUM(H14:H19)</f>
        <v>16368.000000000393</v>
      </c>
      <c r="I20" s="68">
        <f>H20*0.43</f>
        <v>7038.2400000001689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 ht="16.5" customHeight="1">
      <c r="A23" s="60">
        <v>1</v>
      </c>
      <c r="B23" s="87" t="s">
        <v>17</v>
      </c>
      <c r="C23" s="88" t="s">
        <v>18</v>
      </c>
      <c r="D23" s="64">
        <f>'14'!F23</f>
        <v>49322.6</v>
      </c>
      <c r="E23" s="64">
        <f>'Daily Meter'!V20</f>
        <v>49402.8</v>
      </c>
      <c r="F23" s="64">
        <f>'Daily Meter'!W20</f>
        <v>49460.3</v>
      </c>
      <c r="G23" s="80">
        <f>F23-E23</f>
        <v>57.5</v>
      </c>
      <c r="H23" s="89">
        <f>F23-D23</f>
        <v>137.70000000000437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509.49000000001615</v>
      </c>
      <c r="I24" s="92">
        <f>H24*1.79</f>
        <v>911.98710000002893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4577.873999999586</v>
      </c>
      <c r="G29" s="48">
        <f>I9</f>
        <v>2884.0606199997392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65330.792999999998</v>
      </c>
      <c r="G30" s="48">
        <f>I12</f>
        <v>3919.8475799999997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16368.000000000393</v>
      </c>
      <c r="G31" s="48">
        <f>I20</f>
        <v>7038.2400000001689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137.70000000000437</v>
      </c>
      <c r="G32" s="48">
        <f>I24</f>
        <v>911.98710000002893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14754.135299999938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BB3E902-88CA-4455-9DFE-9B247E8EBD9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16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'15'!F8</f>
        <v>36330</v>
      </c>
      <c r="E8" s="64">
        <f>'Daily Meter'!B21</f>
        <v>36341.1</v>
      </c>
      <c r="F8" s="64">
        <f>'Daily Meter'!C21</f>
        <v>36346.9</v>
      </c>
      <c r="G8" s="65">
        <f>F8-E8</f>
        <v>5.8000000000029104</v>
      </c>
      <c r="H8" s="65">
        <f>F8-D8</f>
        <v>16.900000000001455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1649.1720000008274</v>
      </c>
      <c r="H9" s="65">
        <f>H8*284.34</f>
        <v>4805.3460000004134</v>
      </c>
      <c r="I9" s="68">
        <f>H9*0.63</f>
        <v>3027.3679800002606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'15'!F11</f>
        <v>118825</v>
      </c>
      <c r="E11" s="64">
        <f>'Daily Meter'!D21</f>
        <v>118941</v>
      </c>
      <c r="F11" s="64">
        <f>'Daily Meter'!E21</f>
        <v>119056</v>
      </c>
      <c r="G11" s="65">
        <f>F11-E11</f>
        <v>115</v>
      </c>
      <c r="H11" s="65">
        <f>F11-D11</f>
        <v>231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25296.434999999998</v>
      </c>
      <c r="H12" s="76">
        <f>H11*219.969</f>
        <v>50812.839</v>
      </c>
      <c r="I12" s="96">
        <f>H12*0.06</f>
        <v>3048.77034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'15'!F14</f>
        <v>4125.2</v>
      </c>
      <c r="E14" s="64">
        <f>'Daily Meter'!J21</f>
        <v>4129.6000000000004</v>
      </c>
      <c r="F14" s="64">
        <f>'Daily Meter'!K21</f>
        <v>4132</v>
      </c>
      <c r="G14" s="80">
        <f t="shared" ref="G14:G19" si="0">(F14-E14)*480</f>
        <v>1151.9999999998254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'15'!F15</f>
        <v>2479.5</v>
      </c>
      <c r="E15" s="64">
        <f>'Daily Meter'!L21</f>
        <v>2481.8000000000002</v>
      </c>
      <c r="F15" s="64">
        <f>'Daily Meter'!M21</f>
        <v>2483.4</v>
      </c>
      <c r="G15" s="80">
        <f t="shared" si="0"/>
        <v>767.99999999995634</v>
      </c>
      <c r="H15" s="65">
        <f t="shared" si="1"/>
        <v>1872.0000000000437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'15'!F16</f>
        <v>2647.9</v>
      </c>
      <c r="E16" s="64">
        <f>'Daily Meter'!N21</f>
        <v>2651.1</v>
      </c>
      <c r="F16" s="64">
        <f>'Daily Meter'!O21</f>
        <v>2652.7</v>
      </c>
      <c r="G16" s="80">
        <f t="shared" si="0"/>
        <v>767.99999999995634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'15'!F17</f>
        <v>1322.4</v>
      </c>
      <c r="E17" s="64">
        <f>'Daily Meter'!P21</f>
        <v>1324.4</v>
      </c>
      <c r="F17" s="64">
        <f>'Daily Meter'!Q21</f>
        <v>1325.1</v>
      </c>
      <c r="G17" s="80">
        <f t="shared" si="0"/>
        <v>335.99999999991269</v>
      </c>
      <c r="H17" s="65">
        <f t="shared" si="1"/>
        <v>1295.9999999999127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'15'!F18</f>
        <v>3926.8</v>
      </c>
      <c r="E18" s="64">
        <f>'Daily Meter'!R21</f>
        <v>3929.9</v>
      </c>
      <c r="F18" s="64">
        <f>'Daily Meter'!S21</f>
        <v>3931.5</v>
      </c>
      <c r="G18" s="80">
        <f t="shared" si="0"/>
        <v>767.99999999995634</v>
      </c>
      <c r="H18" s="65">
        <f t="shared" si="1"/>
        <v>2255.9999999999127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'15'!F19</f>
        <v>10391.700000000001</v>
      </c>
      <c r="E19" s="64">
        <f>'Daily Meter'!T21</f>
        <v>10398.5</v>
      </c>
      <c r="F19" s="64">
        <f>'Daily Meter'!U21</f>
        <v>10401.9</v>
      </c>
      <c r="G19" s="80">
        <f t="shared" si="0"/>
        <v>1631.9999999998254</v>
      </c>
      <c r="H19" s="65">
        <f t="shared" si="1"/>
        <v>4895.9999999994761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5423.9999999994325</v>
      </c>
      <c r="H20" s="82">
        <f>SUM(H14:H19)</f>
        <v>15887.999999999302</v>
      </c>
      <c r="I20" s="68">
        <f>H20*0.43</f>
        <v>6831.8399999996991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'15'!F23</f>
        <v>49460.3</v>
      </c>
      <c r="E23" s="64">
        <f>'Daily Meter'!V21</f>
        <v>49544</v>
      </c>
      <c r="F23" s="64">
        <f>'Daily Meter'!W21</f>
        <v>49586.8</v>
      </c>
      <c r="G23" s="80">
        <f>F23-E23</f>
        <v>42.80000000000291</v>
      </c>
      <c r="H23" s="89">
        <f>F23-D23</f>
        <v>126.5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468.05</v>
      </c>
      <c r="I24" s="92">
        <f>H24*1.79</f>
        <v>837.80950000000007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4805.3460000004134</v>
      </c>
      <c r="G29" s="48">
        <f>I9</f>
        <v>3027.3679800002606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50812.839</v>
      </c>
      <c r="G30" s="48">
        <f>I12</f>
        <v>3048.77034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15887.999999999302</v>
      </c>
      <c r="G31" s="48">
        <f>I20</f>
        <v>6831.8399999996991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126.5</v>
      </c>
      <c r="G32" s="48">
        <f>I24</f>
        <v>837.80950000000007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13745.787819999958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8F7F84C2-C784-42AF-A349-AFA747A030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17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'16'!F8</f>
        <v>36346.9</v>
      </c>
      <c r="E8" s="64">
        <f>'Daily Meter'!B22</f>
        <v>36355.599999999999</v>
      </c>
      <c r="F8" s="64">
        <f>'Daily Meter'!C22</f>
        <v>36367.800000000003</v>
      </c>
      <c r="G8" s="65">
        <f>F8-E8</f>
        <v>12.200000000004366</v>
      </c>
      <c r="H8" s="65">
        <f>F8-D8</f>
        <v>20.900000000001455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3468.9480000012409</v>
      </c>
      <c r="H9" s="65">
        <f>H8*284.34</f>
        <v>5942.706000000413</v>
      </c>
      <c r="I9" s="68">
        <f>H9*0.63</f>
        <v>3743.9047800002604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'16'!F11</f>
        <v>119056</v>
      </c>
      <c r="E11" s="64">
        <f>'Daily Meter'!D22</f>
        <v>119216</v>
      </c>
      <c r="F11" s="64">
        <f>'Daily Meter'!E22</f>
        <v>119219</v>
      </c>
      <c r="G11" s="65">
        <f>F11-E11</f>
        <v>3</v>
      </c>
      <c r="H11" s="65">
        <f>F11-D11</f>
        <v>163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659.90699999999993</v>
      </c>
      <c r="H12" s="76">
        <f>H11*219.969</f>
        <v>35854.947</v>
      </c>
      <c r="I12" s="96">
        <f>H12*0.06</f>
        <v>2151.29682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'16'!F14</f>
        <v>4132</v>
      </c>
      <c r="E14" s="64">
        <f>'Daily Meter'!J22</f>
        <v>4136</v>
      </c>
      <c r="F14" s="64">
        <f>'Daily Meter'!K22</f>
        <v>4139.8999999999996</v>
      </c>
      <c r="G14" s="80">
        <f t="shared" ref="G14:G19" si="0">(F14-E14)*480</f>
        <v>1871.9999999998254</v>
      </c>
      <c r="H14" s="65">
        <f t="shared" ref="H14:H19" si="1">(F14-D14)*480</f>
        <v>3791.9999999998254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'16'!F15</f>
        <v>2483.4</v>
      </c>
      <c r="E15" s="64">
        <f>'Daily Meter'!L22</f>
        <v>2485.5</v>
      </c>
      <c r="F15" s="64">
        <f>'Daily Meter'!M22</f>
        <v>2488.1</v>
      </c>
      <c r="G15" s="80">
        <f t="shared" si="0"/>
        <v>1247.9999999999563</v>
      </c>
      <c r="H15" s="65">
        <f t="shared" si="1"/>
        <v>2255.9999999999127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'16'!D16</f>
        <v>2647.9</v>
      </c>
      <c r="E16" s="64">
        <f>'Daily Meter'!N21</f>
        <v>2651.1</v>
      </c>
      <c r="F16" s="64">
        <f>'Daily Meter'!O21</f>
        <v>2652.7</v>
      </c>
      <c r="G16" s="80">
        <f t="shared" si="0"/>
        <v>767.99999999995634</v>
      </c>
      <c r="H16" s="65">
        <f t="shared" si="1"/>
        <v>2303.999999999869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'16'!F17</f>
        <v>1325.1</v>
      </c>
      <c r="E17" s="64">
        <f>'Daily Meter'!P22</f>
        <v>1326.7</v>
      </c>
      <c r="F17" s="64">
        <f>'Daily Meter'!Q22</f>
        <v>1328.1</v>
      </c>
      <c r="G17" s="80">
        <f t="shared" si="0"/>
        <v>671.99999999993452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'16'!F18</f>
        <v>3931.5</v>
      </c>
      <c r="E18" s="64">
        <f>'Daily Meter'!R22</f>
        <v>3934.2</v>
      </c>
      <c r="F18" s="64">
        <f>'Daily Meter'!S22</f>
        <v>3936.8</v>
      </c>
      <c r="G18" s="80">
        <f t="shared" si="0"/>
        <v>1248.0000000001746</v>
      </c>
      <c r="H18" s="65">
        <f t="shared" si="1"/>
        <v>2544.0000000000873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'16'!F19</f>
        <v>10401.9</v>
      </c>
      <c r="E19" s="64">
        <f>'Daily Meter'!T22</f>
        <v>10408.5</v>
      </c>
      <c r="F19" s="64">
        <f>'Daily Meter'!U22</f>
        <v>10414.799999999999</v>
      </c>
      <c r="G19" s="80">
        <f t="shared" si="0"/>
        <v>3023.9999999996508</v>
      </c>
      <c r="H19" s="65">
        <f t="shared" si="1"/>
        <v>6191.9999999998254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8831.999999999498</v>
      </c>
      <c r="H20" s="82">
        <f>SUM(H14:H19)</f>
        <v>18527.99999999952</v>
      </c>
      <c r="I20" s="68">
        <f>H20*0.43</f>
        <v>7967.0399999997935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'16'!F23</f>
        <v>49586.8</v>
      </c>
      <c r="E23" s="64">
        <f>'Daily Meter'!V22</f>
        <v>49655.8</v>
      </c>
      <c r="F23" s="64">
        <f>'Daily Meter'!W22</f>
        <v>49753.599999999999</v>
      </c>
      <c r="G23" s="80">
        <f>F23-E23</f>
        <v>97.799999999995634</v>
      </c>
      <c r="H23" s="89">
        <f>F23-D23</f>
        <v>166.79999999999563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617.15999999998382</v>
      </c>
      <c r="I24" s="92">
        <f>H24*1.79</f>
        <v>1104.7163999999711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5942.706000000413</v>
      </c>
      <c r="G29" s="48">
        <f>I9</f>
        <v>3743.9047800002604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35854.947</v>
      </c>
      <c r="G30" s="48">
        <f>I12</f>
        <v>2151.29682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18527.99999999952</v>
      </c>
      <c r="G31" s="48">
        <f>I20</f>
        <v>7967.0399999997935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166.79999999999563</v>
      </c>
      <c r="G32" s="48">
        <f>I24</f>
        <v>1104.7163999999711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14966.958000000024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A7E45ED6-0306-46F5-9396-F0724717571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18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'17'!F8</f>
        <v>36367.800000000003</v>
      </c>
      <c r="E8" s="64">
        <f>'Daily Meter'!B23</f>
        <v>36374.9</v>
      </c>
      <c r="F8" s="64">
        <f>'Daily Meter'!C23</f>
        <v>36382.6</v>
      </c>
      <c r="G8" s="65">
        <f>F8-E8</f>
        <v>7.6999999999970896</v>
      </c>
      <c r="H8" s="65">
        <f>F8-D8</f>
        <v>14.799999999995634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2189.4179999991725</v>
      </c>
      <c r="H9" s="65">
        <f>H8*284.34</f>
        <v>4208.2319999987585</v>
      </c>
      <c r="I9" s="68">
        <f>H9*0.63</f>
        <v>2651.186159999218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'17'!F11</f>
        <v>119219</v>
      </c>
      <c r="E11" s="64">
        <f>'Daily Meter'!D23</f>
        <v>119389</v>
      </c>
      <c r="F11" s="64">
        <f>'Daily Meter'!E23</f>
        <v>119454</v>
      </c>
      <c r="G11" s="65">
        <f>F11-E11</f>
        <v>65</v>
      </c>
      <c r="H11" s="65">
        <f>F11-D11</f>
        <v>235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14297.984999999999</v>
      </c>
      <c r="H12" s="76">
        <f>H11*219.969</f>
        <v>51692.714999999997</v>
      </c>
      <c r="I12" s="96">
        <f>H12*0.06</f>
        <v>3101.5628999999999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'17'!F14</f>
        <v>4139.8999999999996</v>
      </c>
      <c r="E14" s="64">
        <f>'Daily Meter'!J23</f>
        <v>4142.7</v>
      </c>
      <c r="F14" s="64">
        <f>'Daily Meter'!K23</f>
        <v>4145.6000000000004</v>
      </c>
      <c r="G14" s="80">
        <f t="shared" ref="G14:G19" si="0">(F14-E14)*480</f>
        <v>1392.0000000002619</v>
      </c>
      <c r="H14" s="65">
        <f t="shared" ref="H14:H19" si="1">(F14-D14)*480</f>
        <v>2736.0000000003492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'17'!F15</f>
        <v>2488.1</v>
      </c>
      <c r="E15" s="64">
        <f>'Daily Meter'!L23</f>
        <v>2489.5</v>
      </c>
      <c r="F15" s="64">
        <f>'Daily Meter'!M23</f>
        <v>2491.5</v>
      </c>
      <c r="G15" s="80">
        <f t="shared" si="0"/>
        <v>960</v>
      </c>
      <c r="H15" s="65">
        <f t="shared" si="1"/>
        <v>1632.0000000000437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'17'!F16</f>
        <v>2652.7</v>
      </c>
      <c r="E16" s="64">
        <f>'Daily Meter'!N23</f>
        <v>2660.1</v>
      </c>
      <c r="F16" s="64">
        <f>'Daily Meter'!O23</f>
        <v>2662.1</v>
      </c>
      <c r="G16" s="80">
        <f t="shared" si="0"/>
        <v>960</v>
      </c>
      <c r="H16" s="65">
        <f t="shared" si="1"/>
        <v>4512.0000000000437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'17'!F17</f>
        <v>1328.1</v>
      </c>
      <c r="E17" s="64">
        <f>'Daily Meter'!P23</f>
        <v>1329.3</v>
      </c>
      <c r="F17" s="64">
        <f>'Daily Meter'!Q23</f>
        <v>1330.4</v>
      </c>
      <c r="G17" s="80">
        <f t="shared" si="0"/>
        <v>528.00000000006548</v>
      </c>
      <c r="H17" s="65">
        <f t="shared" si="1"/>
        <v>1104.0000000000873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'17'!F18</f>
        <v>3936.8</v>
      </c>
      <c r="E18" s="64">
        <f>'Daily Meter'!R23</f>
        <v>3938.9</v>
      </c>
      <c r="F18" s="64">
        <f>'Daily Meter'!S23</f>
        <v>3940.9</v>
      </c>
      <c r="G18" s="80">
        <f t="shared" si="0"/>
        <v>960</v>
      </c>
      <c r="H18" s="65">
        <f t="shared" si="1"/>
        <v>1967.9999999999563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'17'!F19</f>
        <v>10414.799999999999</v>
      </c>
      <c r="E19" s="64">
        <f>'Daily Meter'!T23</f>
        <v>10419.9</v>
      </c>
      <c r="F19" s="64">
        <f>'Daily Meter'!U23</f>
        <v>10425.1</v>
      </c>
      <c r="G19" s="80">
        <f t="shared" si="0"/>
        <v>2496.0000000003492</v>
      </c>
      <c r="H19" s="65">
        <f t="shared" si="1"/>
        <v>4944.0000000005239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7296.0000000006767</v>
      </c>
      <c r="H20" s="82">
        <f>SUM(H14:H19)</f>
        <v>16896.000000001004</v>
      </c>
      <c r="I20" s="68">
        <f>H20*0.43</f>
        <v>7265.2800000004318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'17'!F23</f>
        <v>49753.599999999999</v>
      </c>
      <c r="E23" s="64">
        <f>'Daily Meter'!V23</f>
        <v>49810.2</v>
      </c>
      <c r="F23" s="64">
        <f>'Daily Meter'!W23</f>
        <v>49882.400000000001</v>
      </c>
      <c r="G23" s="80">
        <f>F23-E23</f>
        <v>72.200000000004366</v>
      </c>
      <c r="H23" s="89">
        <f>F23-D23</f>
        <v>128.80000000000291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476.5600000000108</v>
      </c>
      <c r="I24" s="92">
        <f>H24*1.79</f>
        <v>853.04240000001937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4208.2319999987585</v>
      </c>
      <c r="G29" s="48">
        <f>I9</f>
        <v>2651.186159999218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51692.714999999997</v>
      </c>
      <c r="G30" s="48">
        <f>I12</f>
        <v>3101.5628999999999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16896.000000001004</v>
      </c>
      <c r="G31" s="48">
        <f>I20</f>
        <v>7265.2800000004318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128.80000000000291</v>
      </c>
      <c r="G32" s="48">
        <f>I24</f>
        <v>853.04240000001937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13871.071459999668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8CCA8CA-065D-412C-ADFE-85ABAFC9709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19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'18'!F8</f>
        <v>36382.6</v>
      </c>
      <c r="E8" s="64">
        <f>'Daily Meter'!B24</f>
        <v>36392.9</v>
      </c>
      <c r="F8" s="64">
        <f>'Daily Meter'!C24</f>
        <v>36399.9</v>
      </c>
      <c r="G8" s="65">
        <f>F8-E8</f>
        <v>7</v>
      </c>
      <c r="H8" s="65">
        <f>F8-D8</f>
        <v>17.30000000000291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1990.3799999999999</v>
      </c>
      <c r="H9" s="65">
        <f>H8*284.34</f>
        <v>4919.0820000008271</v>
      </c>
      <c r="I9" s="68">
        <f>H9*0.63</f>
        <v>3099.021660000521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'18'!F11</f>
        <v>119454</v>
      </c>
      <c r="E11" s="64">
        <f>'Daily Meter'!D24</f>
        <v>119741</v>
      </c>
      <c r="F11" s="64">
        <f>'Daily Meter'!E24</f>
        <v>119812</v>
      </c>
      <c r="G11" s="65">
        <f>F11-E11</f>
        <v>71</v>
      </c>
      <c r="H11" s="65">
        <f>F11-D11</f>
        <v>358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15617.798999999999</v>
      </c>
      <c r="H12" s="76">
        <f>H11*219.969</f>
        <v>78748.902000000002</v>
      </c>
      <c r="I12" s="96">
        <f>H12*0.06</f>
        <v>4724.9341199999999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'18'!F14</f>
        <v>4145.6000000000004</v>
      </c>
      <c r="E14" s="64">
        <f>'Daily Meter'!J24</f>
        <v>4149.6000000000004</v>
      </c>
      <c r="F14" s="64">
        <f>'Daily Meter'!K24</f>
        <v>4152.7</v>
      </c>
      <c r="G14" s="80">
        <f t="shared" ref="G14:G19" si="0">(F14-E14)*480</f>
        <v>1487.9999999997381</v>
      </c>
      <c r="H14" s="65">
        <f t="shared" ref="H14:H19" si="1">(F14-D14)*480</f>
        <v>3407.9999999997381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'18'!F15</f>
        <v>2491.5</v>
      </c>
      <c r="E15" s="64">
        <f>'Daily Meter'!L24</f>
        <v>2493.6</v>
      </c>
      <c r="F15" s="64">
        <f>'Daily Meter'!M24</f>
        <v>2495.6</v>
      </c>
      <c r="G15" s="80">
        <f t="shared" si="0"/>
        <v>960</v>
      </c>
      <c r="H15" s="65">
        <f t="shared" si="1"/>
        <v>1967.9999999999563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'18'!F16</f>
        <v>2662.1</v>
      </c>
      <c r="E16" s="64">
        <f>'Daily Meter'!N24</f>
        <v>2665.1</v>
      </c>
      <c r="F16" s="64">
        <f>'Daily Meter'!O24</f>
        <v>2667</v>
      </c>
      <c r="G16" s="80">
        <f t="shared" si="0"/>
        <v>912.00000000004366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'18'!F17</f>
        <v>1330.4</v>
      </c>
      <c r="E17" s="64">
        <f>'Daily Meter'!P24</f>
        <v>1332</v>
      </c>
      <c r="F17" s="64">
        <f>'Daily Meter'!Q24</f>
        <v>1333.1</v>
      </c>
      <c r="G17" s="80">
        <f t="shared" si="0"/>
        <v>527.99999999995634</v>
      </c>
      <c r="H17" s="65">
        <f t="shared" si="1"/>
        <v>1295.9999999999127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'18'!F18</f>
        <v>3940.9</v>
      </c>
      <c r="E18" s="64">
        <f>'Daily Meter'!R24</f>
        <v>3943.6</v>
      </c>
      <c r="F18" s="64">
        <f>'Daily Meter'!S24</f>
        <v>3945.7</v>
      </c>
      <c r="G18" s="80">
        <f t="shared" si="0"/>
        <v>1007.9999999999563</v>
      </c>
      <c r="H18" s="65">
        <f t="shared" si="1"/>
        <v>2303.999999999869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'18'!F19</f>
        <v>10425.1</v>
      </c>
      <c r="E19" s="64">
        <f>'Daily Meter'!T24</f>
        <v>10432.299999999999</v>
      </c>
      <c r="F19" s="64">
        <f>'Daily Meter'!U24</f>
        <v>10437.9</v>
      </c>
      <c r="G19" s="80">
        <f t="shared" si="0"/>
        <v>2688.0000000001746</v>
      </c>
      <c r="H19" s="65">
        <f t="shared" si="1"/>
        <v>6143.9999999996508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7583.999999999869</v>
      </c>
      <c r="H20" s="82">
        <f>SUM(H14:H19)</f>
        <v>17471.999999999171</v>
      </c>
      <c r="I20" s="68">
        <f>H20*0.43</f>
        <v>7512.9599999996435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'18'!F23</f>
        <v>49882.400000000001</v>
      </c>
      <c r="E23" s="64">
        <f>'Daily Meter'!V24</f>
        <v>49968.1</v>
      </c>
      <c r="F23" s="64">
        <f>'Daily Meter'!W24</f>
        <v>50039.4</v>
      </c>
      <c r="G23" s="80">
        <f>F23-E23</f>
        <v>71.30000000000291</v>
      </c>
      <c r="H23" s="89">
        <f>F23-D23</f>
        <v>157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580.9</v>
      </c>
      <c r="I24" s="92">
        <f>H24*1.79</f>
        <v>1039.8109999999999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4919.0820000008271</v>
      </c>
      <c r="G29" s="48">
        <f>I9</f>
        <v>3099.021660000521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78748.902000000002</v>
      </c>
      <c r="G30" s="48">
        <f>I12</f>
        <v>4724.9341199999999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17471.999999999171</v>
      </c>
      <c r="G31" s="48">
        <f>I20</f>
        <v>7512.9599999996435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157</v>
      </c>
      <c r="G32" s="48">
        <f>I24</f>
        <v>1039.8109999999999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16376.726780000163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45F2A594-4F7E-4076-A92E-6F7714A8336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20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'19'!F8</f>
        <v>36399.9</v>
      </c>
      <c r="E8" s="64">
        <f>'Daily Meter'!B25</f>
        <v>36409.599999999999</v>
      </c>
      <c r="F8" s="64">
        <f>'Daily Meter'!C25</f>
        <v>36420.400000000001</v>
      </c>
      <c r="G8" s="65">
        <f>F8-E8</f>
        <v>10.80000000000291</v>
      </c>
      <c r="H8" s="65">
        <f>F8-D8</f>
        <v>20.5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3070.8720000008275</v>
      </c>
      <c r="H9" s="65">
        <f>H8*284.34</f>
        <v>5828.9699999999993</v>
      </c>
      <c r="I9" s="68">
        <f>H9*0.63</f>
        <v>3672.2510999999995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'19'!F11</f>
        <v>119812</v>
      </c>
      <c r="E11" s="64">
        <f>'Daily Meter'!D25</f>
        <v>120095</v>
      </c>
      <c r="F11" s="64">
        <f>'Daily Meter'!E25</f>
        <v>120101</v>
      </c>
      <c r="G11" s="65">
        <f>F11-E11</f>
        <v>6</v>
      </c>
      <c r="H11" s="65">
        <f>F11-D11</f>
        <v>289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1319.8139999999999</v>
      </c>
      <c r="H12" s="76">
        <f>H11*219.969</f>
        <v>63571.040999999997</v>
      </c>
      <c r="I12" s="96">
        <f>H12*0.06</f>
        <v>3814.2624599999999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'19'!F14</f>
        <v>4152.7</v>
      </c>
      <c r="E14" s="64">
        <f>'Daily Meter'!J25</f>
        <v>4156.5</v>
      </c>
      <c r="F14" s="64">
        <f>'Daily Meter'!K25</f>
        <v>4161.3999999999996</v>
      </c>
      <c r="G14" s="80">
        <f t="shared" ref="G14:G19" si="0">(F14-E14)*480</f>
        <v>2351.9999999998254</v>
      </c>
      <c r="H14" s="65">
        <f t="shared" ref="H14:H19" si="1">(F14-D14)*480</f>
        <v>4175.9999999999127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'19'!F15</f>
        <v>2495.6</v>
      </c>
      <c r="E15" s="64">
        <f>'Daily Meter'!L25</f>
        <v>2497.6</v>
      </c>
      <c r="F15" s="64">
        <f>'Daily Meter'!M25</f>
        <v>2500.8000000000002</v>
      </c>
      <c r="G15" s="80">
        <f t="shared" si="0"/>
        <v>1536.000000000131</v>
      </c>
      <c r="H15" s="65">
        <f t="shared" si="1"/>
        <v>2496.000000000131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'19'!F16</f>
        <v>2667</v>
      </c>
      <c r="E16" s="64">
        <f>'Daily Meter'!N25</f>
        <v>2669.8</v>
      </c>
      <c r="F16" s="64">
        <f>'Daily Meter'!O25</f>
        <v>2673</v>
      </c>
      <c r="G16" s="80">
        <f t="shared" si="0"/>
        <v>1535.9999999999127</v>
      </c>
      <c r="H16" s="65">
        <f t="shared" si="1"/>
        <v>2880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'19'!F17</f>
        <v>1333.1</v>
      </c>
      <c r="E17" s="64">
        <f>'Daily Meter'!P25</f>
        <v>1334.6</v>
      </c>
      <c r="F17" s="64">
        <f>'Daily Meter'!Q25</f>
        <v>1336.6</v>
      </c>
      <c r="G17" s="80">
        <f t="shared" si="0"/>
        <v>960</v>
      </c>
      <c r="H17" s="65">
        <f t="shared" si="1"/>
        <v>1680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'19'!F18</f>
        <v>3945.7</v>
      </c>
      <c r="E18" s="64">
        <f>'Daily Meter'!R25</f>
        <v>3948.4</v>
      </c>
      <c r="F18" s="64">
        <f>'Daily Meter'!S25</f>
        <v>3951.7</v>
      </c>
      <c r="G18" s="80">
        <f t="shared" si="0"/>
        <v>1583.999999999869</v>
      </c>
      <c r="H18" s="65">
        <f t="shared" si="1"/>
        <v>2880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'19'!F19</f>
        <v>10437.9</v>
      </c>
      <c r="E19" s="64">
        <f>'Daily Meter'!T25</f>
        <v>10445</v>
      </c>
      <c r="F19" s="64">
        <f>'Daily Meter'!U25</f>
        <v>10453.5</v>
      </c>
      <c r="G19" s="80">
        <f t="shared" si="0"/>
        <v>4080</v>
      </c>
      <c r="H19" s="65">
        <f t="shared" si="1"/>
        <v>7488.0000000001746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12047.999999999738</v>
      </c>
      <c r="H20" s="82">
        <f>SUM(H14:H19)</f>
        <v>21600.000000000218</v>
      </c>
      <c r="I20" s="68">
        <f>H20*0.43</f>
        <v>9288.0000000000946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'19'!F23</f>
        <v>50039.4</v>
      </c>
      <c r="E23" s="64">
        <f>'Daily Meter'!V25</f>
        <v>50120.9</v>
      </c>
      <c r="F23" s="64">
        <f>'Daily Meter'!W25</f>
        <v>50232.3</v>
      </c>
      <c r="G23" s="80">
        <f>F23-E23</f>
        <v>111.40000000000146</v>
      </c>
      <c r="H23" s="89">
        <f>F23-D23</f>
        <v>192.90000000000146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713.73000000000548</v>
      </c>
      <c r="I24" s="92">
        <f>H24*1.79</f>
        <v>1277.5767000000099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5828.9699999999993</v>
      </c>
      <c r="G29" s="48">
        <f>I9</f>
        <v>3672.2510999999995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63571.040999999997</v>
      </c>
      <c r="G30" s="48">
        <f>I12</f>
        <v>3814.2624599999999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21600.000000000218</v>
      </c>
      <c r="G31" s="48">
        <f>I20</f>
        <v>9288.0000000000946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192.90000000000146</v>
      </c>
      <c r="G32" s="48">
        <f>I24</f>
        <v>1277.5767000000099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18052.090260000103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E7D73004-3069-4184-8E7A-CC7DD0886E5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21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'20'!F8</f>
        <v>36420.400000000001</v>
      </c>
      <c r="E8" s="64">
        <f>'Daily Meter'!B26</f>
        <v>36425.300000000003</v>
      </c>
      <c r="F8" s="64">
        <f>'Daily Meter'!C26</f>
        <v>36432.300000000003</v>
      </c>
      <c r="G8" s="65">
        <f>F8-E8</f>
        <v>7</v>
      </c>
      <c r="H8" s="65">
        <f>F8-D8</f>
        <v>11.900000000001455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1990.3799999999999</v>
      </c>
      <c r="H9" s="65">
        <f>H8*284.34</f>
        <v>3383.6460000004136</v>
      </c>
      <c r="I9" s="68">
        <f>H9*0.63</f>
        <v>2131.6969800002607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'20'!F11</f>
        <v>120101</v>
      </c>
      <c r="E11" s="64">
        <f>'Daily Meter'!D26</f>
        <v>120303</v>
      </c>
      <c r="F11" s="64">
        <f>'Daily Meter'!E26</f>
        <v>120318</v>
      </c>
      <c r="G11" s="65">
        <f>F11-E11</f>
        <v>15</v>
      </c>
      <c r="H11" s="65">
        <f>F11-D11</f>
        <v>217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3299.5349999999999</v>
      </c>
      <c r="H12" s="76">
        <f>H11*219.969</f>
        <v>47733.273000000001</v>
      </c>
      <c r="I12" s="96">
        <f>H12*0.06</f>
        <v>2863.99638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'20'!F14</f>
        <v>4161.3999999999996</v>
      </c>
      <c r="E14" s="64">
        <f>'Daily Meter'!J26</f>
        <v>4163.2</v>
      </c>
      <c r="F14" s="64">
        <f>'Daily Meter'!K26</f>
        <v>4166.5</v>
      </c>
      <c r="G14" s="80">
        <f t="shared" ref="G14:G19" si="0">(F14-E14)*480</f>
        <v>1584.0000000000873</v>
      </c>
      <c r="H14" s="65">
        <f t="shared" ref="H14:H19" si="1">(F14-D14)*480</f>
        <v>2448.0000000001746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'20'!F15</f>
        <v>2500.8000000000002</v>
      </c>
      <c r="E15" s="64">
        <f>'Daily Meter'!L26</f>
        <v>2501.6999999999998</v>
      </c>
      <c r="F15" s="64">
        <f>'Daily Meter'!M26</f>
        <v>2503.6999999999998</v>
      </c>
      <c r="G15" s="80">
        <f t="shared" si="0"/>
        <v>960</v>
      </c>
      <c r="H15" s="65">
        <f t="shared" si="1"/>
        <v>1391.9999999998254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'20'!F16</f>
        <v>2673</v>
      </c>
      <c r="E16" s="64">
        <f>'Daily Meter'!N26</f>
        <v>2674.7</v>
      </c>
      <c r="F16" s="64">
        <f>'Daily Meter'!O26</f>
        <v>2676.8</v>
      </c>
      <c r="G16" s="80">
        <f t="shared" si="0"/>
        <v>1008.0000000001746</v>
      </c>
      <c r="H16" s="65">
        <f t="shared" si="1"/>
        <v>1824.0000000000873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'20'!F17</f>
        <v>1336.6</v>
      </c>
      <c r="E17" s="64">
        <f>'Daily Meter'!P26</f>
        <v>1337.5</v>
      </c>
      <c r="F17" s="64">
        <f>'Daily Meter'!Q26</f>
        <v>1338.7</v>
      </c>
      <c r="G17" s="80">
        <f t="shared" si="0"/>
        <v>576.00000000002183</v>
      </c>
      <c r="H17" s="65">
        <f t="shared" si="1"/>
        <v>1008.0000000000655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'20'!F18</f>
        <v>3951.7</v>
      </c>
      <c r="E18" s="64">
        <f>'Daily Meter'!R26</f>
        <v>3953.1</v>
      </c>
      <c r="F18" s="64">
        <f>'Daily Meter'!S26</f>
        <v>3955.4</v>
      </c>
      <c r="G18" s="80">
        <f t="shared" si="0"/>
        <v>1104.0000000000873</v>
      </c>
      <c r="H18" s="65">
        <f t="shared" si="1"/>
        <v>1776.000000000131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'20'!F19</f>
        <v>10453.5</v>
      </c>
      <c r="E19" s="64">
        <f>'Daily Meter'!T26</f>
        <v>10457.700000000001</v>
      </c>
      <c r="F19" s="64">
        <f>'Daily Meter'!U26</f>
        <v>10463.9</v>
      </c>
      <c r="G19" s="80">
        <f t="shared" si="0"/>
        <v>2975.9999999994761</v>
      </c>
      <c r="H19" s="65">
        <f t="shared" si="1"/>
        <v>4991.9999999998254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8207.9999999998472</v>
      </c>
      <c r="H20" s="82">
        <f>SUM(H14:H19)</f>
        <v>13440.000000000109</v>
      </c>
      <c r="I20" s="68">
        <f>H20*0.43</f>
        <v>5779.2000000000471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'20'!F23</f>
        <v>50232.3</v>
      </c>
      <c r="E23" s="64">
        <f>'Daily Meter'!V26</f>
        <v>50277.1</v>
      </c>
      <c r="F23" s="64">
        <f>'Daily Meter'!W26</f>
        <v>50346.1</v>
      </c>
      <c r="G23" s="80">
        <f>F23-E23</f>
        <v>69</v>
      </c>
      <c r="H23" s="89">
        <f>F23-D23</f>
        <v>113.79999999999563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421.05999999998386</v>
      </c>
      <c r="I24" s="92">
        <f>H24*1.79</f>
        <v>753.69739999997114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3383.6460000004136</v>
      </c>
      <c r="G29" s="48">
        <f>I9</f>
        <v>2131.6969800002607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47733.273000000001</v>
      </c>
      <c r="G30" s="48">
        <f>I12</f>
        <v>2863.99638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13440.000000000109</v>
      </c>
      <c r="G31" s="48">
        <f>I20</f>
        <v>5779.2000000000471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113.79999999999563</v>
      </c>
      <c r="G32" s="48">
        <f>I24</f>
        <v>753.69739999997114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11528.590760000279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0F5399A1-63CA-4BDA-979B-43AEC0DB3DC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22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'21'!F8</f>
        <v>36432.300000000003</v>
      </c>
      <c r="E8" s="64">
        <f>'Daily Meter'!B27</f>
        <v>36442.1</v>
      </c>
      <c r="F8" s="64">
        <f>'Daily Meter'!C27</f>
        <v>36449.4</v>
      </c>
      <c r="G8" s="65">
        <f>F8-E8</f>
        <v>7.3000000000029104</v>
      </c>
      <c r="H8" s="65">
        <f>F8-D8</f>
        <v>17.099999999998545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2075.6820000008274</v>
      </c>
      <c r="H9" s="65">
        <f>H8*284.34</f>
        <v>4862.2139999995861</v>
      </c>
      <c r="I9" s="68">
        <f>H9*0.63</f>
        <v>3063.1948199997391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'21'!F11</f>
        <v>120318</v>
      </c>
      <c r="E11" s="64">
        <f>'Daily Meter'!D27</f>
        <v>120546</v>
      </c>
      <c r="F11" s="64">
        <f>'Daily Meter'!E27</f>
        <v>120546</v>
      </c>
      <c r="G11" s="65">
        <f>F11-E11</f>
        <v>0</v>
      </c>
      <c r="H11" s="65">
        <f>F11-D11</f>
        <v>228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0</v>
      </c>
      <c r="H12" s="76">
        <f>H11*219.969</f>
        <v>50152.932000000001</v>
      </c>
      <c r="I12" s="96">
        <f>H12*0.06</f>
        <v>3009.1759200000001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'21'!F14</f>
        <v>4166.5</v>
      </c>
      <c r="E14" s="64">
        <f>'Daily Meter'!J27</f>
        <v>4170</v>
      </c>
      <c r="F14" s="64">
        <f>'Daily Meter'!K27</f>
        <v>4173</v>
      </c>
      <c r="G14" s="80">
        <f t="shared" ref="G14:G19" si="0">(F14-E14)*480</f>
        <v>1440</v>
      </c>
      <c r="H14" s="65">
        <f t="shared" ref="H14:H19" si="1">(F14-D14)*480</f>
        <v>3120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'21'!F15</f>
        <v>2503.6999999999998</v>
      </c>
      <c r="E15" s="64">
        <f>'Daily Meter'!L27</f>
        <v>2505.5</v>
      </c>
      <c r="F15" s="64">
        <f>'Daily Meter'!M27</f>
        <v>2507.4</v>
      </c>
      <c r="G15" s="80">
        <f t="shared" si="0"/>
        <v>912.00000000004366</v>
      </c>
      <c r="H15" s="65">
        <f t="shared" si="1"/>
        <v>1776.000000000131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'21'!F16</f>
        <v>2676.8</v>
      </c>
      <c r="E16" s="64">
        <f>'Daily Meter'!N27</f>
        <v>2679.4</v>
      </c>
      <c r="F16" s="64">
        <f>'Daily Meter'!O27</f>
        <v>2681.4</v>
      </c>
      <c r="G16" s="80">
        <f t="shared" si="0"/>
        <v>960</v>
      </c>
      <c r="H16" s="65">
        <f t="shared" si="1"/>
        <v>2207.9999999999563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'21'!F17</f>
        <v>1338.7</v>
      </c>
      <c r="E17" s="64">
        <f>'Daily Meter'!P27</f>
        <v>1340.2</v>
      </c>
      <c r="F17" s="64">
        <f>'Daily Meter'!Q27</f>
        <v>1341.4</v>
      </c>
      <c r="G17" s="80">
        <f t="shared" si="0"/>
        <v>576.00000000002183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'21'!F18</f>
        <v>3955.4</v>
      </c>
      <c r="E18" s="64">
        <f>'Daily Meter'!R27</f>
        <v>3957.8</v>
      </c>
      <c r="F18" s="64">
        <f>'Daily Meter'!S27</f>
        <v>3959.8</v>
      </c>
      <c r="G18" s="80">
        <f t="shared" si="0"/>
        <v>960</v>
      </c>
      <c r="H18" s="65">
        <f t="shared" si="1"/>
        <v>2112.0000000000437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'21'!F19</f>
        <v>10463.9</v>
      </c>
      <c r="E19" s="64">
        <f>'Daily Meter'!T27</f>
        <v>10470.5</v>
      </c>
      <c r="F19" s="64">
        <f>'Daily Meter'!U27</f>
        <v>10476.299999999999</v>
      </c>
      <c r="G19" s="80">
        <f t="shared" si="0"/>
        <v>2783.9999999996508</v>
      </c>
      <c r="H19" s="65">
        <f t="shared" si="1"/>
        <v>5951.9999999998254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7631.9999999997162</v>
      </c>
      <c r="H20" s="82">
        <f>SUM(H14:H19)</f>
        <v>16463.999999999978</v>
      </c>
      <c r="I20" s="68">
        <f>H20*0.43</f>
        <v>7079.5199999999904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'21'!F23</f>
        <v>50346.1</v>
      </c>
      <c r="E23" s="64">
        <f>'Daily Meter'!V27</f>
        <v>50434.1</v>
      </c>
      <c r="F23" s="64">
        <f>'Daily Meter'!W27</f>
        <v>50501.5</v>
      </c>
      <c r="G23" s="80">
        <f>F23-E23</f>
        <v>67.400000000001455</v>
      </c>
      <c r="H23" s="89">
        <f>F23-D23</f>
        <v>155.40000000000146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574.98000000000536</v>
      </c>
      <c r="I24" s="92">
        <f>H24*1.79</f>
        <v>1029.2142000000097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4862.2139999995861</v>
      </c>
      <c r="G29" s="48">
        <f>I9</f>
        <v>3063.1948199997391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50152.932000000001</v>
      </c>
      <c r="G30" s="48">
        <f>I12</f>
        <v>3009.1759200000001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16463.999999999978</v>
      </c>
      <c r="G31" s="48">
        <f>I20</f>
        <v>7079.5199999999904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155.40000000000146</v>
      </c>
      <c r="G32" s="48">
        <f>I24</f>
        <v>1029.2142000000097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14181.104939999739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544DED04-07CC-49EB-9D6A-FD2C21D81DB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23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'22'!F8</f>
        <v>36449.4</v>
      </c>
      <c r="E8" s="64">
        <f>'Daily Meter'!B28</f>
        <v>36459</v>
      </c>
      <c r="F8" s="64">
        <f>'Daily Meter'!C28</f>
        <v>36466.800000000003</v>
      </c>
      <c r="G8" s="65">
        <f>F8-E8</f>
        <v>7.8000000000029104</v>
      </c>
      <c r="H8" s="65">
        <f>F8-D8</f>
        <v>17.400000000001455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2217.8520000008275</v>
      </c>
      <c r="H9" s="65">
        <f>H8*284.34</f>
        <v>4947.5160000004134</v>
      </c>
      <c r="I9" s="68">
        <f>H9*0.63</f>
        <v>3116.9350800002603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'22'!F11</f>
        <v>120546</v>
      </c>
      <c r="E11" s="64">
        <f>'Daily Meter'!D28</f>
        <v>120679</v>
      </c>
      <c r="F11" s="64">
        <f>'Daily Meter'!E28</f>
        <v>120707</v>
      </c>
      <c r="G11" s="65">
        <f>F11-E11</f>
        <v>28</v>
      </c>
      <c r="H11" s="65">
        <f>F11-D11</f>
        <v>161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6159.1319999999996</v>
      </c>
      <c r="H12" s="76">
        <f>H11*219.969</f>
        <v>35415.008999999998</v>
      </c>
      <c r="I12" s="96">
        <f>H12*0.06</f>
        <v>2124.9005399999996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'22'!F14</f>
        <v>4173</v>
      </c>
      <c r="E14" s="64">
        <f>'Daily Meter'!J28</f>
        <v>4176.8</v>
      </c>
      <c r="F14" s="64">
        <f>'Daily Meter'!K28</f>
        <v>4180.2</v>
      </c>
      <c r="G14" s="80">
        <f t="shared" ref="G14:G19" si="0">(F14-E14)*480</f>
        <v>1631.9999999998254</v>
      </c>
      <c r="H14" s="65">
        <f t="shared" ref="H14:H19" si="1">(F14-D14)*480</f>
        <v>3455.9999999999127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'22'!F15</f>
        <v>2507.4</v>
      </c>
      <c r="E15" s="64">
        <f>'Daily Meter'!L28</f>
        <v>2509.3000000000002</v>
      </c>
      <c r="F15" s="64">
        <f>'Daily Meter'!M28</f>
        <v>2511.4</v>
      </c>
      <c r="G15" s="80">
        <f t="shared" si="0"/>
        <v>1007.9999999999563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'22'!F16</f>
        <v>2681.4</v>
      </c>
      <c r="E16" s="64">
        <f>'Daily Meter'!N28</f>
        <v>2684.2</v>
      </c>
      <c r="F16" s="64">
        <f>'Daily Meter'!O28</f>
        <v>2686.5</v>
      </c>
      <c r="G16" s="80">
        <f t="shared" si="0"/>
        <v>1104.0000000000873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'22'!F17</f>
        <v>1341.4</v>
      </c>
      <c r="E17" s="64">
        <f>'Daily Meter'!P28</f>
        <v>1343.1</v>
      </c>
      <c r="F17" s="64">
        <f>'Daily Meter'!Q28</f>
        <v>1344.3</v>
      </c>
      <c r="G17" s="80">
        <f t="shared" si="0"/>
        <v>576.00000000002183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'22'!F18</f>
        <v>3959.8</v>
      </c>
      <c r="E18" s="64">
        <f>'Daily Meter'!R28</f>
        <v>3962.4</v>
      </c>
      <c r="F18" s="64">
        <f>'Daily Meter'!S28</f>
        <v>3964.7</v>
      </c>
      <c r="G18" s="80">
        <f t="shared" si="0"/>
        <v>1103.999999999869</v>
      </c>
      <c r="H18" s="65">
        <f t="shared" si="1"/>
        <v>2351.9999999998254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'22'!F19</f>
        <v>10476.299999999999</v>
      </c>
      <c r="E19" s="64">
        <f>'Daily Meter'!T28</f>
        <v>10483.700000000001</v>
      </c>
      <c r="F19" s="64">
        <f>'Daily Meter'!U28</f>
        <v>10490.2</v>
      </c>
      <c r="G19" s="80">
        <f t="shared" si="0"/>
        <v>3120</v>
      </c>
      <c r="H19" s="65">
        <f t="shared" si="1"/>
        <v>6672.0000000006985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8543.9999999997599</v>
      </c>
      <c r="H20" s="82">
        <f>SUM(H14:H19)</f>
        <v>18240.000000000327</v>
      </c>
      <c r="I20" s="68">
        <f>H20*0.43</f>
        <v>7843.2000000001408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'22'!F23</f>
        <v>50501.5</v>
      </c>
      <c r="E23" s="64">
        <f>'Daily Meter'!V28</f>
        <v>50582.6</v>
      </c>
      <c r="F23" s="64">
        <f>'Daily Meter'!W28</f>
        <v>50664.1</v>
      </c>
      <c r="G23" s="80">
        <f>F23-E23</f>
        <v>81.5</v>
      </c>
      <c r="H23" s="89">
        <f>F23-D23</f>
        <v>162.59999999999854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601.61999999999466</v>
      </c>
      <c r="I24" s="92">
        <f>H24*1.79</f>
        <v>1076.8997999999904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4947.5160000004134</v>
      </c>
      <c r="G29" s="48">
        <f>I9</f>
        <v>3116.9350800002603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35415.008999999998</v>
      </c>
      <c r="G30" s="48">
        <f>I12</f>
        <v>2124.9005399999996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18240.000000000327</v>
      </c>
      <c r="G31" s="48">
        <f>I20</f>
        <v>7843.2000000001408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162.59999999999854</v>
      </c>
      <c r="G32" s="48">
        <f>I24</f>
        <v>1076.8997999999904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14161.935420000391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6012C7A-9FA9-483A-9AF4-39BEAFF1F64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24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'23'!F8</f>
        <v>36466.800000000003</v>
      </c>
      <c r="E8" s="64">
        <f>'Daily Meter'!B29</f>
        <v>36476.300000000003</v>
      </c>
      <c r="F8" s="64">
        <f>'Daily Meter'!C29</f>
        <v>36482.1</v>
      </c>
      <c r="G8" s="65">
        <f>F8-E8</f>
        <v>5.7999999999956344</v>
      </c>
      <c r="H8" s="65">
        <f>F8-D8</f>
        <v>15.299999999995634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1649.1719999987586</v>
      </c>
      <c r="H9" s="65">
        <f>H8*284.34</f>
        <v>4350.4019999987586</v>
      </c>
      <c r="I9" s="68">
        <f>H9*0.63</f>
        <v>2740.7532599992178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'23'!F11</f>
        <v>120707</v>
      </c>
      <c r="E11" s="64">
        <f>'Daily Meter'!D29</f>
        <v>121002</v>
      </c>
      <c r="F11" s="64">
        <f>'Daily Meter'!E29</f>
        <v>121068</v>
      </c>
      <c r="G11" s="65">
        <f>F11-E11</f>
        <v>66</v>
      </c>
      <c r="H11" s="65">
        <f>F11-D11</f>
        <v>361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14517.954</v>
      </c>
      <c r="H12" s="76">
        <f>H11*219.969</f>
        <v>79408.808999999994</v>
      </c>
      <c r="I12" s="96">
        <f>H12*0.06</f>
        <v>4764.5285399999993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'23'!F14</f>
        <v>4180.2</v>
      </c>
      <c r="E14" s="64">
        <f>'Daily Meter'!J29</f>
        <v>4183.8</v>
      </c>
      <c r="F14" s="64">
        <f>'Daily Meter'!K29</f>
        <v>4186.2</v>
      </c>
      <c r="G14" s="80">
        <f t="shared" ref="G14:G19" si="0">(F14-E14)*480</f>
        <v>1151.9999999998254</v>
      </c>
      <c r="H14" s="65">
        <f t="shared" ref="H14:H19" si="1">(F14-D14)*480</f>
        <v>2880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'23'!F15</f>
        <v>2511.4</v>
      </c>
      <c r="E15" s="64">
        <f>'Daily Meter'!L29</f>
        <v>2513.4</v>
      </c>
      <c r="F15" s="64">
        <f>'Daily Meter'!M29</f>
        <v>2515</v>
      </c>
      <c r="G15" s="80">
        <f t="shared" si="0"/>
        <v>767.99999999995634</v>
      </c>
      <c r="H15" s="65">
        <f t="shared" si="1"/>
        <v>1727.9999999999563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'23'!F16</f>
        <v>2686.5</v>
      </c>
      <c r="E16" s="64">
        <f>'Daily Meter'!N29</f>
        <v>2689.5</v>
      </c>
      <c r="F16" s="64">
        <f>'Daily Meter'!O29</f>
        <v>2691</v>
      </c>
      <c r="G16" s="80">
        <f t="shared" si="0"/>
        <v>720</v>
      </c>
      <c r="H16" s="65">
        <f t="shared" si="1"/>
        <v>2160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'23'!F17</f>
        <v>1344.3</v>
      </c>
      <c r="E17" s="64">
        <f>'Daily Meter'!P29</f>
        <v>1345.9</v>
      </c>
      <c r="F17" s="64">
        <f>'Daily Meter'!Q29</f>
        <v>1346.8</v>
      </c>
      <c r="G17" s="80">
        <f t="shared" si="0"/>
        <v>431.99999999993452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'23'!F18</f>
        <v>3964.7</v>
      </c>
      <c r="E18" s="64">
        <f>'Daily Meter'!R29</f>
        <v>3967.6</v>
      </c>
      <c r="F18" s="64">
        <f>'Daily Meter'!S29</f>
        <v>3969.2</v>
      </c>
      <c r="G18" s="80">
        <f t="shared" si="0"/>
        <v>767.99999999995634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'23'!F19</f>
        <v>10490.2</v>
      </c>
      <c r="E19" s="64">
        <f>'Daily Meter'!T29</f>
        <v>10497.7</v>
      </c>
      <c r="F19" s="64">
        <f>'Daily Meter'!U29</f>
        <v>10502.3</v>
      </c>
      <c r="G19" s="80">
        <f t="shared" si="0"/>
        <v>2207.9999999993015</v>
      </c>
      <c r="H19" s="65">
        <f t="shared" si="1"/>
        <v>5807.9999999993015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6047.9999999989741</v>
      </c>
      <c r="H20" s="82">
        <f>SUM(H14:H19)</f>
        <v>15935.999999999258</v>
      </c>
      <c r="I20" s="68">
        <f>H20*0.43</f>
        <v>6852.4799999996803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'23'!F23</f>
        <v>50664.1</v>
      </c>
      <c r="E23" s="64">
        <f>'Daily Meter'!V29</f>
        <v>50736</v>
      </c>
      <c r="F23" s="64">
        <f>'Daily Meter'!W29</f>
        <v>50764.5</v>
      </c>
      <c r="G23" s="80">
        <f>F23-E23</f>
        <v>28.5</v>
      </c>
      <c r="H23" s="89">
        <f>F23-D23</f>
        <v>100.40000000000146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371.48000000000542</v>
      </c>
      <c r="I24" s="92">
        <f>H24*1.79</f>
        <v>664.94920000000968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4350.4019999987586</v>
      </c>
      <c r="G29" s="48">
        <f>I9</f>
        <v>2740.7532599992178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79408.808999999994</v>
      </c>
      <c r="G30" s="48">
        <f>I12</f>
        <v>4764.5285399999993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15935.999999999258</v>
      </c>
      <c r="G31" s="48">
        <f>I20</f>
        <v>6852.4799999996803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100.40000000000146</v>
      </c>
      <c r="G32" s="48">
        <f>I24</f>
        <v>664.94920000000968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15022.710999998908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35712442-ECE3-4817-8536-CC4E572EA72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25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'24'!F8</f>
        <v>36482.1</v>
      </c>
      <c r="E8" s="64">
        <f>'Daily Meter'!B30</f>
        <v>36491.9</v>
      </c>
      <c r="F8" s="64">
        <f>'Daily Meter'!C30</f>
        <v>36498.199999999997</v>
      </c>
      <c r="G8" s="65">
        <f>F8-E8</f>
        <v>6.2999999999956344</v>
      </c>
      <c r="H8" s="65">
        <f>F8-D8</f>
        <v>16.099999999998545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1791.3419999987586</v>
      </c>
      <c r="H9" s="65">
        <f>H8*284.34</f>
        <v>4577.873999999586</v>
      </c>
      <c r="I9" s="68">
        <f>H9*0.63</f>
        <v>2884.0606199997392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'24'!F11</f>
        <v>121068</v>
      </c>
      <c r="E11" s="64">
        <f>'Daily Meter'!D30</f>
        <v>121170</v>
      </c>
      <c r="F11" s="64">
        <f>'Daily Meter'!E30</f>
        <v>121221</v>
      </c>
      <c r="G11" s="65">
        <f>F11-E11</f>
        <v>51</v>
      </c>
      <c r="H11" s="65">
        <f>F11-D11</f>
        <v>153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11218.419</v>
      </c>
      <c r="H12" s="76">
        <f>H11*219.969</f>
        <v>33655.256999999998</v>
      </c>
      <c r="I12" s="96">
        <f>H12*0.06</f>
        <v>2019.3154199999999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'24'!F14</f>
        <v>4186.2</v>
      </c>
      <c r="E14" s="64">
        <f>'Daily Meter'!J30</f>
        <v>4190.3</v>
      </c>
      <c r="F14" s="64">
        <f>'Daily Meter'!K30</f>
        <v>4193</v>
      </c>
      <c r="G14" s="80">
        <f t="shared" ref="G14:G19" si="0">(F14-E14)*480</f>
        <v>1295.9999999999127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'24'!F15</f>
        <v>2515</v>
      </c>
      <c r="E15" s="64">
        <f>'Daily Meter'!L30</f>
        <v>2517.1</v>
      </c>
      <c r="F15" s="64">
        <f>'Daily Meter'!M30</f>
        <v>2519</v>
      </c>
      <c r="G15" s="80">
        <f t="shared" si="0"/>
        <v>912.00000000004366</v>
      </c>
      <c r="H15" s="65">
        <f t="shared" si="1"/>
        <v>1920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'24'!F16</f>
        <v>2691</v>
      </c>
      <c r="E16" s="64">
        <f>'Daily Meter'!N30</f>
        <v>2694.1</v>
      </c>
      <c r="F16" s="64">
        <f>'Daily Meter'!O30</f>
        <v>2695.9</v>
      </c>
      <c r="G16" s="80">
        <f t="shared" si="0"/>
        <v>864.00000000008731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'24'!F17</f>
        <v>1346.8</v>
      </c>
      <c r="E17" s="64">
        <f>'Daily Meter'!P30</f>
        <v>1348.4</v>
      </c>
      <c r="F17" s="64">
        <f>'Daily Meter'!Q30</f>
        <v>1349.5</v>
      </c>
      <c r="G17" s="80">
        <f t="shared" si="0"/>
        <v>527.99999999995634</v>
      </c>
      <c r="H17" s="65">
        <f t="shared" si="1"/>
        <v>1296.0000000000218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'24'!F18</f>
        <v>3969.2</v>
      </c>
      <c r="E18" s="64">
        <f>'Daily Meter'!R30</f>
        <v>3972.1</v>
      </c>
      <c r="F18" s="64">
        <f>'Daily Meter'!S30</f>
        <v>3973.9</v>
      </c>
      <c r="G18" s="80">
        <f t="shared" si="0"/>
        <v>864.00000000008731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'24'!F19</f>
        <v>10502.3</v>
      </c>
      <c r="E19" s="64">
        <f>'Daily Meter'!T30</f>
        <v>10510.2</v>
      </c>
      <c r="F19" s="64">
        <f>'Daily Meter'!U30</f>
        <v>10515.2</v>
      </c>
      <c r="G19" s="80">
        <f t="shared" si="0"/>
        <v>2400</v>
      </c>
      <c r="H19" s="65">
        <f t="shared" si="1"/>
        <v>6192.0000000006985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6864.0000000000873</v>
      </c>
      <c r="H20" s="82">
        <f>SUM(H14:H19)</f>
        <v>17280.000000000982</v>
      </c>
      <c r="I20" s="68">
        <f>H20*0.43</f>
        <v>7430.4000000004226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'24'!F23</f>
        <v>50764.5</v>
      </c>
      <c r="E23" s="64">
        <f>'Daily Meter'!V30</f>
        <v>50861.7</v>
      </c>
      <c r="F23" s="64">
        <f>'Daily Meter'!W30</f>
        <v>50913.7</v>
      </c>
      <c r="G23" s="80">
        <f>F23-E23</f>
        <v>52</v>
      </c>
      <c r="H23" s="89">
        <f>F23-D23</f>
        <v>149.19999999999709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552.03999999998928</v>
      </c>
      <c r="I24" s="92">
        <f>H24*1.79</f>
        <v>988.15159999998082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4577.873999999586</v>
      </c>
      <c r="G29" s="48">
        <f>I9</f>
        <v>2884.0606199997392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33655.256999999998</v>
      </c>
      <c r="G30" s="48">
        <f>I12</f>
        <v>2019.3154199999999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17280.000000000982</v>
      </c>
      <c r="G31" s="48">
        <f>I20</f>
        <v>7430.4000000004226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149.19999999999709</v>
      </c>
      <c r="G32" s="48">
        <f>I24</f>
        <v>988.15159999998082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13321.927640000142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94A6CAAD-64F9-411B-AFAB-F560DC1B93F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26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'25'!F8</f>
        <v>36498.199999999997</v>
      </c>
      <c r="E8" s="64">
        <f>'Daily Meter'!B31</f>
        <v>36507.4</v>
      </c>
      <c r="F8" s="64">
        <f>'Daily Meter'!C31</f>
        <v>36512.699999999997</v>
      </c>
      <c r="G8" s="65">
        <f>F8-E8</f>
        <v>5.2999999999956344</v>
      </c>
      <c r="H8" s="65">
        <f>F8-D8</f>
        <v>14.5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1507.0019999987585</v>
      </c>
      <c r="H9" s="65">
        <f>H8*284.34</f>
        <v>4122.9299999999994</v>
      </c>
      <c r="I9" s="68">
        <f>H9*0.63</f>
        <v>2597.4458999999997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'25'!F11</f>
        <v>121221</v>
      </c>
      <c r="E11" s="64">
        <f>'Daily Meter'!D31</f>
        <v>121385</v>
      </c>
      <c r="F11" s="64">
        <f>'Daily Meter'!E31</f>
        <v>121443</v>
      </c>
      <c r="G11" s="65">
        <f>F11-E11</f>
        <v>58</v>
      </c>
      <c r="H11" s="65">
        <f>F11-D11</f>
        <v>222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12758.201999999999</v>
      </c>
      <c r="H12" s="76">
        <f>H11*219.969</f>
        <v>48833.118000000002</v>
      </c>
      <c r="I12" s="96">
        <f>H12*0.06</f>
        <v>2929.9870799999999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'25'!F14</f>
        <v>4193</v>
      </c>
      <c r="E14" s="64">
        <f>'Daily Meter'!J31</f>
        <v>4197.1000000000004</v>
      </c>
      <c r="F14" s="64">
        <f>'Daily Meter'!K31</f>
        <v>4199.8</v>
      </c>
      <c r="G14" s="80">
        <f t="shared" ref="G14:G19" si="0">(F14-E14)*480</f>
        <v>1295.9999999999127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'25'!F15</f>
        <v>2519</v>
      </c>
      <c r="E15" s="64">
        <f>'Daily Meter'!L31</f>
        <v>2521.3000000000002</v>
      </c>
      <c r="F15" s="64">
        <f>'Daily Meter'!M31</f>
        <v>2523.1999999999998</v>
      </c>
      <c r="G15" s="80">
        <f t="shared" si="0"/>
        <v>911.99999999982538</v>
      </c>
      <c r="H15" s="65">
        <f t="shared" si="1"/>
        <v>2015.9999999999127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'25'!F16</f>
        <v>2695.9</v>
      </c>
      <c r="E16" s="64">
        <f>'Daily Meter'!N31</f>
        <v>2699.1</v>
      </c>
      <c r="F16" s="64">
        <f>'Daily Meter'!O31</f>
        <v>2700.9</v>
      </c>
      <c r="G16" s="80">
        <f t="shared" si="0"/>
        <v>864.00000000008731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'25'!F17</f>
        <v>1349.5</v>
      </c>
      <c r="E17" s="64">
        <f>'Daily Meter'!P31</f>
        <v>1351.2</v>
      </c>
      <c r="F17" s="64">
        <f>'Daily Meter'!Q31</f>
        <v>1352.3</v>
      </c>
      <c r="G17" s="80">
        <f t="shared" si="0"/>
        <v>527.99999999995634</v>
      </c>
      <c r="H17" s="65">
        <f t="shared" si="1"/>
        <v>1343.9999999999782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'25'!F18</f>
        <v>3973.9</v>
      </c>
      <c r="E18" s="64">
        <f>'Daily Meter'!R31</f>
        <v>3976.9</v>
      </c>
      <c r="F18" s="64">
        <f>'Daily Meter'!S31</f>
        <v>3978.7</v>
      </c>
      <c r="G18" s="80">
        <f t="shared" si="0"/>
        <v>863.99999999986903</v>
      </c>
      <c r="H18" s="65">
        <f t="shared" si="1"/>
        <v>2303.999999999869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'25'!F19</f>
        <v>10515.2</v>
      </c>
      <c r="E19" s="64">
        <f>'Daily Meter'!T31</f>
        <v>10523.4</v>
      </c>
      <c r="F19" s="64">
        <f>'Daily Meter'!U31</f>
        <v>10528.4</v>
      </c>
      <c r="G19" s="80">
        <f t="shared" si="0"/>
        <v>2400</v>
      </c>
      <c r="H19" s="65">
        <f t="shared" si="1"/>
        <v>6335.9999999994761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6863.9999999996508</v>
      </c>
      <c r="H20" s="82">
        <f>SUM(H14:H19)</f>
        <v>17663.999999999323</v>
      </c>
      <c r="I20" s="68">
        <f>H20*0.43</f>
        <v>7595.5199999997085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'25'!F23</f>
        <v>50913.7</v>
      </c>
      <c r="E23" s="64">
        <f>'Daily Meter'!V31</f>
        <v>51003.199999999997</v>
      </c>
      <c r="F23" s="64">
        <f>'Daily Meter'!W31</f>
        <v>51060.3</v>
      </c>
      <c r="G23" s="80">
        <f>F23-E23</f>
        <v>57.100000000005821</v>
      </c>
      <c r="H23" s="89">
        <f>F23-D23</f>
        <v>146.60000000000582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542.42000000002156</v>
      </c>
      <c r="I24" s="92">
        <f>H24*1.79</f>
        <v>970.93180000003861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4122.9299999999994</v>
      </c>
      <c r="G29" s="48">
        <f>I9</f>
        <v>2597.4458999999997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48833.118000000002</v>
      </c>
      <c r="G30" s="48">
        <f>I12</f>
        <v>2929.9870799999999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17663.999999999323</v>
      </c>
      <c r="G31" s="48">
        <f>I20</f>
        <v>7595.5199999997085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146.60000000000582</v>
      </c>
      <c r="G32" s="48">
        <f>I24</f>
        <v>970.93180000003861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14093.884779999746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C6B4A910-537E-4FE7-B563-FD50DF8CBB6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106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</row>
    <row r="4" spans="1:10" s="36" customFormat="1" ht="17.7">
      <c r="A4" s="52"/>
      <c r="B4" s="51" t="str">
        <f>'1'!B4</f>
        <v>JANUARY</v>
      </c>
      <c r="C4" s="52">
        <v>27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'26'!F8</f>
        <v>36512.699999999997</v>
      </c>
      <c r="E8" s="64">
        <f>'Daily Meter'!B32</f>
        <v>36521.21</v>
      </c>
      <c r="F8" s="64">
        <f>'Daily Meter'!C32</f>
        <v>36527.199999999997</v>
      </c>
      <c r="G8" s="65">
        <f>F8-E8</f>
        <v>5.9899999999979627</v>
      </c>
      <c r="H8" s="65">
        <f>F8-D8</f>
        <v>14.5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1703.1965999994206</v>
      </c>
      <c r="H9" s="65">
        <f>H8*284.34</f>
        <v>4122.9299999999994</v>
      </c>
      <c r="I9" s="68">
        <f>H9*0.63</f>
        <v>2597.4458999999997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'26'!F11</f>
        <v>121443</v>
      </c>
      <c r="E11" s="64">
        <f>'Daily Meter'!D32</f>
        <v>121713</v>
      </c>
      <c r="F11" s="64">
        <f>'Daily Meter'!E32</f>
        <v>121781</v>
      </c>
      <c r="G11" s="65">
        <f>F11-E11</f>
        <v>68</v>
      </c>
      <c r="H11" s="65">
        <f>F11-D11</f>
        <v>338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14957.892</v>
      </c>
      <c r="H12" s="76">
        <f>H11*219.969</f>
        <v>74349.521999999997</v>
      </c>
      <c r="I12" s="96">
        <f>H12*0.06</f>
        <v>4460.9713199999997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'26'!F14</f>
        <v>4199.8</v>
      </c>
      <c r="E14" s="64">
        <f>'Daily Meter'!J32</f>
        <v>4203.6000000000004</v>
      </c>
      <c r="F14" s="64">
        <f>'Daily Meter'!K32</f>
        <v>4206.2</v>
      </c>
      <c r="G14" s="80">
        <f t="shared" ref="G14:G19" si="0">(F14-E14)*480</f>
        <v>1247.9999999997381</v>
      </c>
      <c r="H14" s="65">
        <f t="shared" ref="H14:H19" si="1">(F14-D14)*480</f>
        <v>3071.9999999998254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'26'!F15</f>
        <v>2523.1999999999998</v>
      </c>
      <c r="E15" s="64">
        <f>'Daily Meter'!L32</f>
        <v>2525.3000000000002</v>
      </c>
      <c r="F15" s="64">
        <f>'Daily Meter'!M32</f>
        <v>2527.1</v>
      </c>
      <c r="G15" s="80">
        <f t="shared" si="0"/>
        <v>863.99999999986903</v>
      </c>
      <c r="H15" s="65">
        <f t="shared" si="1"/>
        <v>1872.0000000000437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'26'!F16</f>
        <v>2700.9</v>
      </c>
      <c r="E16" s="64">
        <f>'Daily Meter'!N32</f>
        <v>2703.9</v>
      </c>
      <c r="F16" s="64">
        <f>'Daily Meter'!O32</f>
        <v>2705.9</v>
      </c>
      <c r="G16" s="80">
        <f t="shared" si="0"/>
        <v>960</v>
      </c>
      <c r="H16" s="65">
        <f t="shared" si="1"/>
        <v>2400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'26'!F17</f>
        <v>1352.3</v>
      </c>
      <c r="E17" s="64">
        <f>'Daily Meter'!P32</f>
        <v>1353.9</v>
      </c>
      <c r="F17" s="64">
        <f>'Daily Meter'!Q32</f>
        <v>1354.8</v>
      </c>
      <c r="G17" s="80">
        <f t="shared" si="0"/>
        <v>431.99999999993452</v>
      </c>
      <c r="H17" s="65">
        <f t="shared" si="1"/>
        <v>1200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'26'!F18</f>
        <v>3978.7</v>
      </c>
      <c r="E18" s="64">
        <f>'Daily Meter'!R32</f>
        <v>3981.4</v>
      </c>
      <c r="F18" s="64">
        <f>'Daily Meter'!S32</f>
        <v>3983.2</v>
      </c>
      <c r="G18" s="80">
        <f t="shared" si="0"/>
        <v>863.99999999986903</v>
      </c>
      <c r="H18" s="65">
        <f t="shared" si="1"/>
        <v>2160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'26'!F19</f>
        <v>10528.4</v>
      </c>
      <c r="E19" s="64">
        <f>'Daily Meter'!T32</f>
        <v>10535.7</v>
      </c>
      <c r="F19" s="64">
        <f>'Daily Meter'!U32</f>
        <v>10540.8</v>
      </c>
      <c r="G19" s="80">
        <f t="shared" si="0"/>
        <v>2447.9999999993015</v>
      </c>
      <c r="H19" s="65">
        <f t="shared" si="1"/>
        <v>5951.9999999998254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6815.9999999987122</v>
      </c>
      <c r="H20" s="82">
        <f>SUM(H14:H19)</f>
        <v>16655.999999999694</v>
      </c>
      <c r="I20" s="68">
        <f>H20*0.43</f>
        <v>7162.0799999998681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'26'!F23</f>
        <v>51060.3</v>
      </c>
      <c r="E23" s="64">
        <f>'Daily Meter'!V32</f>
        <v>51144.6</v>
      </c>
      <c r="F23" s="64">
        <f>'Daily Meter'!W32</f>
        <v>51201.2</v>
      </c>
      <c r="G23" s="80">
        <f>F23-E23</f>
        <v>56.599999999998545</v>
      </c>
      <c r="H23" s="89">
        <f>F23-D23</f>
        <v>140.89999999999418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521.32999999997844</v>
      </c>
      <c r="I24" s="92">
        <f>H24*1.79</f>
        <v>933.18069999996146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4122.9299999999994</v>
      </c>
      <c r="G29" s="48">
        <f>I9</f>
        <v>2597.4458999999997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74349.521999999997</v>
      </c>
      <c r="G30" s="48">
        <f>I12</f>
        <v>4460.9713199999997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16655.999999999694</v>
      </c>
      <c r="G31" s="48">
        <f>I20</f>
        <v>7162.0799999998681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140.89999999999418</v>
      </c>
      <c r="G32" s="48">
        <f>I24</f>
        <v>933.18069999996146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15153.677919999827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Daily Meter'!A1" display="daily reading" xr:uid="{2837777D-DA32-46F9-8FC9-D8BBAE5DFE86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91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  <c r="J3" s="195" t="s">
        <v>106</v>
      </c>
    </row>
    <row r="4" spans="1:10" s="36" customFormat="1" ht="17.7">
      <c r="A4" s="52"/>
      <c r="B4" s="51" t="str">
        <f>'1'!B4</f>
        <v>JANUARY</v>
      </c>
      <c r="C4" s="52">
        <v>28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'27'!F8</f>
        <v>36527.199999999997</v>
      </c>
      <c r="E8" s="64">
        <f>'Daily Meter'!B33</f>
        <v>36535.5</v>
      </c>
      <c r="F8" s="64">
        <f>'Daily Meter'!C33</f>
        <v>36541</v>
      </c>
      <c r="G8" s="65">
        <f>F8-E8</f>
        <v>5.5</v>
      </c>
      <c r="H8" s="65">
        <f>F8-D8</f>
        <v>13.80000000000291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1563.87</v>
      </c>
      <c r="H9" s="65">
        <f>H8*284.34</f>
        <v>3923.892000000827</v>
      </c>
      <c r="I9" s="68">
        <f>H9*0.63</f>
        <v>2472.0519600005209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'27'!F11</f>
        <v>121781</v>
      </c>
      <c r="E11" s="64">
        <f>'Daily Meter'!D33</f>
        <v>121873</v>
      </c>
      <c r="F11" s="64">
        <f>'Daily Meter'!E33</f>
        <v>121925</v>
      </c>
      <c r="G11" s="65">
        <f>F11-E11</f>
        <v>52</v>
      </c>
      <c r="H11" s="65">
        <f>F11-D11</f>
        <v>144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11438.387999999999</v>
      </c>
      <c r="H12" s="76">
        <f>H11*219.969</f>
        <v>31675.536</v>
      </c>
      <c r="I12" s="96">
        <f>H12*0.06</f>
        <v>1900.53216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'27'!F14</f>
        <v>4206.2</v>
      </c>
      <c r="E14" s="64">
        <f>'Daily Meter'!J33</f>
        <v>4210.3999999999996</v>
      </c>
      <c r="F14" s="64">
        <f>'Daily Meter'!K33</f>
        <v>4213</v>
      </c>
      <c r="G14" s="80">
        <f t="shared" ref="G14:G19" si="0">(F14-E14)*480</f>
        <v>1248.0000000001746</v>
      </c>
      <c r="H14" s="65">
        <f t="shared" ref="H14:H19" si="1">(F14-D14)*480</f>
        <v>3264.0000000000873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'27'!F15</f>
        <v>2527.1</v>
      </c>
      <c r="E15" s="64">
        <f>'Daily Meter'!L33</f>
        <v>2529.4</v>
      </c>
      <c r="F15" s="64">
        <f>'Daily Meter'!M33</f>
        <v>2531</v>
      </c>
      <c r="G15" s="80">
        <f t="shared" si="0"/>
        <v>767.99999999995634</v>
      </c>
      <c r="H15" s="65">
        <f t="shared" si="1"/>
        <v>1872.0000000000437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'27'!F16</f>
        <v>2705.9</v>
      </c>
      <c r="E16" s="64">
        <f>'Daily Meter'!N33</f>
        <v>2709.3</v>
      </c>
      <c r="F16" s="64">
        <f>'Daily Meter'!O33</f>
        <v>2711.1</v>
      </c>
      <c r="G16" s="80">
        <f t="shared" si="0"/>
        <v>863.99999999986903</v>
      </c>
      <c r="H16" s="65">
        <f t="shared" si="1"/>
        <v>2495.9999999999127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'27'!F17</f>
        <v>1354.8</v>
      </c>
      <c r="E17" s="64">
        <f>'Daily Meter'!P33</f>
        <v>1356.5</v>
      </c>
      <c r="F17" s="64">
        <f>'Daily Meter'!Q33</f>
        <v>1357.4</v>
      </c>
      <c r="G17" s="80">
        <f t="shared" si="0"/>
        <v>432.00000000004366</v>
      </c>
      <c r="H17" s="65">
        <f t="shared" si="1"/>
        <v>1248.0000000000655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'27'!F18</f>
        <v>3983.2</v>
      </c>
      <c r="E18" s="64">
        <f>'Daily Meter'!R33</f>
        <v>3986.1</v>
      </c>
      <c r="F18" s="64">
        <f>'Daily Meter'!S33</f>
        <v>3987.9</v>
      </c>
      <c r="G18" s="80">
        <f t="shared" si="0"/>
        <v>864.00000000008731</v>
      </c>
      <c r="H18" s="65">
        <f t="shared" si="1"/>
        <v>2256.000000000131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'27'!F19</f>
        <v>10540.8</v>
      </c>
      <c r="E19" s="64">
        <f>'Daily Meter'!T33</f>
        <v>10548.6</v>
      </c>
      <c r="F19" s="64">
        <f>'Daily Meter'!U33</f>
        <v>10553.4</v>
      </c>
      <c r="G19" s="80">
        <f t="shared" si="0"/>
        <v>2303.9999999996508</v>
      </c>
      <c r="H19" s="65">
        <f t="shared" si="1"/>
        <v>6048.0000000001746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6479.9999999997817</v>
      </c>
      <c r="H20" s="82">
        <f>SUM(H14:H19)</f>
        <v>17184.000000000415</v>
      </c>
      <c r="I20" s="68">
        <f>H20*0.43</f>
        <v>7389.1200000001782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'27'!F23</f>
        <v>51201.2</v>
      </c>
      <c r="E23" s="64">
        <f>'Daily Meter'!V33</f>
        <v>51292.1</v>
      </c>
      <c r="F23" s="64">
        <f>'Daily Meter'!W33</f>
        <v>51352</v>
      </c>
      <c r="G23" s="80">
        <f>F23-E23</f>
        <v>59.900000000001455</v>
      </c>
      <c r="H23" s="89">
        <f>F23-D23</f>
        <v>150.80000000000291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557.96000000001084</v>
      </c>
      <c r="I24" s="92">
        <f>H24*1.79</f>
        <v>998.74840000001939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3923.892000000827</v>
      </c>
      <c r="G29" s="48">
        <f>I9</f>
        <v>2472.0519600005209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31675.536</v>
      </c>
      <c r="G30" s="48">
        <f>I12</f>
        <v>1900.53216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17184.000000000415</v>
      </c>
      <c r="G31" s="48">
        <f>I20</f>
        <v>7389.1200000001782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150.80000000000291</v>
      </c>
      <c r="G32" s="48">
        <f>I24</f>
        <v>998.74840000001939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12760.452520000717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DE0F4135-B3BC-442E-8104-322208415A55}"/>
    <hyperlink ref="J3" location="'Daily Meter'!A1" display="daily reading" xr:uid="{799B136C-5B34-4EF0-9DED-4EE1F37DFE4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3"/>
  <sheetViews>
    <sheetView topLeftCell="A4"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91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  <c r="J3" s="195" t="s">
        <v>106</v>
      </c>
    </row>
    <row r="4" spans="1:10" s="36" customFormat="1" ht="17.7">
      <c r="A4" s="52"/>
      <c r="B4" s="51" t="str">
        <f>'1'!B4</f>
        <v>JANUARY</v>
      </c>
      <c r="C4" s="52">
        <v>29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'28'!F8</f>
        <v>36541</v>
      </c>
      <c r="E8" s="64">
        <f>'Daily Meter'!B34</f>
        <v>36550</v>
      </c>
      <c r="F8" s="64">
        <f>'Daily Meter'!C34</f>
        <v>36554.800000000003</v>
      </c>
      <c r="G8" s="65">
        <f>F8-E8</f>
        <v>4.8000000000029104</v>
      </c>
      <c r="H8" s="65">
        <f>F8-D8</f>
        <v>13.80000000000291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1364.8320000008275</v>
      </c>
      <c r="H9" s="65">
        <f>H8*284.34</f>
        <v>3923.892000000827</v>
      </c>
      <c r="I9" s="68">
        <f>H9*0.63</f>
        <v>2472.0519600005209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'28'!F11</f>
        <v>121925</v>
      </c>
      <c r="E11" s="64">
        <f>'Daily Meter'!D34</f>
        <v>122196</v>
      </c>
      <c r="F11" s="64">
        <f>'Daily Meter'!E34</f>
        <v>122245</v>
      </c>
      <c r="G11" s="65">
        <f>F11-E11</f>
        <v>49</v>
      </c>
      <c r="H11" s="65">
        <f>F11-D11</f>
        <v>320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10778.481</v>
      </c>
      <c r="H12" s="76">
        <f>H11*219.969</f>
        <v>70390.080000000002</v>
      </c>
      <c r="I12" s="96">
        <f>H12*0.06</f>
        <v>4223.4048000000003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'28'!F14</f>
        <v>4213</v>
      </c>
      <c r="E14" s="64">
        <f>'Daily Meter'!J34</f>
        <v>4217.6000000000004</v>
      </c>
      <c r="F14" s="64">
        <f>'Daily Meter'!K34</f>
        <v>4219.8999999999996</v>
      </c>
      <c r="G14" s="80">
        <f t="shared" ref="G14:G19" si="0">(F14-E14)*480</f>
        <v>1103.9999999996508</v>
      </c>
      <c r="H14" s="65">
        <f t="shared" ref="H14:H19" si="1">(F14-D14)*480</f>
        <v>3311.9999999998254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'28'!F15</f>
        <v>2531</v>
      </c>
      <c r="E15" s="64">
        <f>'Daily Meter'!L34</f>
        <v>2533.3000000000002</v>
      </c>
      <c r="F15" s="64">
        <f>'Daily Meter'!M34</f>
        <v>2534.9</v>
      </c>
      <c r="G15" s="80">
        <f t="shared" si="0"/>
        <v>767.99999999995634</v>
      </c>
      <c r="H15" s="65">
        <f t="shared" si="1"/>
        <v>1872.0000000000437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'28'!F16</f>
        <v>2711.1</v>
      </c>
      <c r="E16" s="64">
        <f>'Daily Meter'!N34</f>
        <v>2714.6</v>
      </c>
      <c r="F16" s="64">
        <f>'Daily Meter'!O34</f>
        <v>2716.2</v>
      </c>
      <c r="G16" s="80">
        <f t="shared" si="0"/>
        <v>767.99999999995634</v>
      </c>
      <c r="H16" s="65">
        <f t="shared" si="1"/>
        <v>2447.9999999999563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'28'!F17</f>
        <v>1357.4</v>
      </c>
      <c r="E17" s="64">
        <f>'Daily Meter'!P34</f>
        <v>1359.4</v>
      </c>
      <c r="F17" s="64">
        <f>'Daily Meter'!Q34</f>
        <v>1360.4</v>
      </c>
      <c r="G17" s="80">
        <f t="shared" si="0"/>
        <v>480</v>
      </c>
      <c r="H17" s="65">
        <f t="shared" si="1"/>
        <v>1440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'28'!F18</f>
        <v>3987.9</v>
      </c>
      <c r="E18" s="64">
        <f>'Daily Meter'!R34</f>
        <v>3991</v>
      </c>
      <c r="F18" s="64">
        <f>'Daily Meter'!S34</f>
        <v>3992.7</v>
      </c>
      <c r="G18" s="80">
        <f t="shared" si="0"/>
        <v>815.99999999991269</v>
      </c>
      <c r="H18" s="65">
        <f t="shared" si="1"/>
        <v>2303.999999999869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'28'!F19</f>
        <v>10553.4</v>
      </c>
      <c r="E19" s="64">
        <f>'Daily Meter'!T34</f>
        <v>10561.8</v>
      </c>
      <c r="F19" s="64">
        <f>'Daily Meter'!U34</f>
        <v>10565.9</v>
      </c>
      <c r="G19" s="80">
        <f t="shared" si="0"/>
        <v>1968.0000000001746</v>
      </c>
      <c r="H19" s="65">
        <f t="shared" si="1"/>
        <v>6000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5903.9999999996508</v>
      </c>
      <c r="H20" s="82">
        <f>SUM(H14:H19)</f>
        <v>17375.999999999694</v>
      </c>
      <c r="I20" s="68">
        <f>H20*0.43</f>
        <v>7471.6799999998684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'28'!F23</f>
        <v>51352</v>
      </c>
      <c r="E23" s="64">
        <f>'Daily Meter'!V34</f>
        <v>51446.5</v>
      </c>
      <c r="F23" s="64">
        <f>'Daily Meter'!W34</f>
        <v>51500.7</v>
      </c>
      <c r="G23" s="80">
        <f>F23-E23</f>
        <v>54.19999999999709</v>
      </c>
      <c r="H23" s="89">
        <f>F23-D23</f>
        <v>148.69999999999709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550.18999999998925</v>
      </c>
      <c r="I24" s="92">
        <f>H24*1.79</f>
        <v>984.84009999998079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3923.892000000827</v>
      </c>
      <c r="G29" s="48">
        <f>I9</f>
        <v>2472.0519600005209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70390.080000000002</v>
      </c>
      <c r="G30" s="48">
        <f>I12</f>
        <v>4223.4048000000003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17375.999999999694</v>
      </c>
      <c r="G31" s="48">
        <f>I20</f>
        <v>7471.6799999998684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148.69999999999709</v>
      </c>
      <c r="G32" s="48">
        <f>I24</f>
        <v>984.84009999998079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15151.976860000372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FBC87B9B-F5AC-4782-BFBD-17C86D5D8320}"/>
    <hyperlink ref="J3" location="'Daily Meter'!A1" display="daily reading" xr:uid="{59932128-7EC4-43C3-84B5-78F16E247D0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3"/>
  <sheetViews>
    <sheetView zoomScaleNormal="100" workbookViewId="0">
      <selection activeCell="H24" sqref="H24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91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  <c r="J3" s="195" t="s">
        <v>106</v>
      </c>
    </row>
    <row r="4" spans="1:10" s="36" customFormat="1" ht="17.7">
      <c r="A4" s="52"/>
      <c r="B4" s="51" t="str">
        <f>'1'!B4</f>
        <v>JANUARY</v>
      </c>
      <c r="C4" s="52">
        <v>30</v>
      </c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'29'!F8</f>
        <v>36554.800000000003</v>
      </c>
      <c r="E8" s="64">
        <f>'Daily Meter'!B35</f>
        <v>36562.5</v>
      </c>
      <c r="F8" s="64">
        <f>'Daily Meter'!C35</f>
        <v>36572.5</v>
      </c>
      <c r="G8" s="65">
        <f>F8-E8</f>
        <v>10</v>
      </c>
      <c r="H8" s="65">
        <f>F8-D8</f>
        <v>17.69999999999709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2843.3999999999996</v>
      </c>
      <c r="H9" s="65">
        <f>H8*284.34</f>
        <v>5032.8179999991717</v>
      </c>
      <c r="I9" s="68">
        <f>H9*0.63</f>
        <v>3170.6753399994782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'29'!F11</f>
        <v>122245</v>
      </c>
      <c r="E11" s="64">
        <f>'Daily Meter'!D35</f>
        <v>122245</v>
      </c>
      <c r="F11" s="64">
        <f>'Daily Meter'!E35</f>
        <v>122475</v>
      </c>
      <c r="G11" s="65">
        <f>F11-E11</f>
        <v>230</v>
      </c>
      <c r="H11" s="65">
        <f>F11-D11</f>
        <v>230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50592.869999999995</v>
      </c>
      <c r="H12" s="76">
        <f>H11*219.969</f>
        <v>50592.869999999995</v>
      </c>
      <c r="I12" s="96">
        <f>H12*0.06</f>
        <v>3035.5721999999996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'29'!F14</f>
        <v>4219.8999999999996</v>
      </c>
      <c r="E14" s="64">
        <f>'Daily Meter'!J35</f>
        <v>4223.7</v>
      </c>
      <c r="F14" s="64">
        <f>'Daily Meter'!K35</f>
        <v>4228.2</v>
      </c>
      <c r="G14" s="80">
        <f t="shared" ref="G14:G19" si="0">(F14-E14)*480</f>
        <v>2160</v>
      </c>
      <c r="H14" s="65">
        <f t="shared" ref="H14:H19" si="1">(F14-D14)*480</f>
        <v>3984.0000000000873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'29'!F15</f>
        <v>2534.9</v>
      </c>
      <c r="E15" s="64">
        <f>'Daily Meter'!L35</f>
        <v>2536.9</v>
      </c>
      <c r="F15" s="64">
        <f>'Daily Meter'!M35</f>
        <v>2539.8000000000002</v>
      </c>
      <c r="G15" s="80">
        <f t="shared" si="0"/>
        <v>1392.0000000000437</v>
      </c>
      <c r="H15" s="65">
        <f t="shared" si="1"/>
        <v>2352.0000000000437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'29'!F16</f>
        <v>2716.2</v>
      </c>
      <c r="E16" s="64">
        <f>'Daily Meter'!N35</f>
        <v>2719.2</v>
      </c>
      <c r="F16" s="64">
        <f>'Daily Meter'!O35</f>
        <v>2722.5</v>
      </c>
      <c r="G16" s="80">
        <f t="shared" si="0"/>
        <v>1584.0000000000873</v>
      </c>
      <c r="H16" s="65">
        <f t="shared" si="1"/>
        <v>3024.0000000000873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'29'!F17</f>
        <v>1360.4</v>
      </c>
      <c r="E17" s="64">
        <f>'Daily Meter'!P35</f>
        <v>1362.1</v>
      </c>
      <c r="F17" s="64">
        <f>'Daily Meter'!Q35</f>
        <v>1363.9</v>
      </c>
      <c r="G17" s="80">
        <f t="shared" si="0"/>
        <v>864.00000000008731</v>
      </c>
      <c r="H17" s="65">
        <f t="shared" si="1"/>
        <v>1680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'29'!F18</f>
        <v>3992.7</v>
      </c>
      <c r="E18" s="64">
        <f>'Daily Meter'!R35</f>
        <v>3995.2</v>
      </c>
      <c r="F18" s="64">
        <f>'Daily Meter'!S35</f>
        <v>3998.4</v>
      </c>
      <c r="G18" s="80">
        <f t="shared" si="0"/>
        <v>1536.000000000131</v>
      </c>
      <c r="H18" s="65">
        <f t="shared" si="1"/>
        <v>2736.000000000131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'29'!F19</f>
        <v>10565.9</v>
      </c>
      <c r="E19" s="64">
        <f>'Daily Meter'!T35</f>
        <v>10571.2</v>
      </c>
      <c r="F19" s="64">
        <f>'Daily Meter'!U35</f>
        <v>10577.9</v>
      </c>
      <c r="G19" s="80">
        <f t="shared" si="0"/>
        <v>3215.9999999994761</v>
      </c>
      <c r="H19" s="65">
        <f t="shared" si="1"/>
        <v>5760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10751.999999999825</v>
      </c>
      <c r="H20" s="82">
        <f>SUM(H14:H19)</f>
        <v>19536.000000000349</v>
      </c>
      <c r="I20" s="68">
        <f>H20*0.43</f>
        <v>8400.4800000001505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'29'!F23</f>
        <v>51500.7</v>
      </c>
      <c r="E23" s="64">
        <f>'Daily Meter'!V35</f>
        <v>51577.4</v>
      </c>
      <c r="F23" s="64">
        <f>'Daily Meter'!W35</f>
        <v>51674.8</v>
      </c>
      <c r="G23" s="80">
        <f>F23-E23</f>
        <v>97.400000000001455</v>
      </c>
      <c r="H23" s="89">
        <f>F23-D23</f>
        <v>174.10000000000582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644.17000000002156</v>
      </c>
      <c r="I24" s="92">
        <f>H24*1.79</f>
        <v>1153.0643000000387</v>
      </c>
    </row>
    <row r="25" spans="1:13">
      <c r="A25" s="60"/>
      <c r="B25" s="87"/>
      <c r="C25" s="88"/>
      <c r="D25" s="64"/>
      <c r="E25" s="64"/>
      <c r="F25" s="64"/>
      <c r="G25" s="69"/>
      <c r="H25" s="69"/>
      <c r="I25" s="93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5032.8179999991717</v>
      </c>
      <c r="G29" s="48">
        <f>I9</f>
        <v>3170.6753399994782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50592.869999999995</v>
      </c>
      <c r="G30" s="48">
        <f>I12</f>
        <v>3035.5721999999996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19536.000000000349</v>
      </c>
      <c r="G31" s="48">
        <f>I20</f>
        <v>8400.4800000001505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174.10000000000582</v>
      </c>
      <c r="G32" s="48">
        <f>I24</f>
        <v>1153.0643000000387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15759.791839999667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E39159D0-0F4D-4DCA-B66B-1494AAABB393}"/>
    <hyperlink ref="J3" location="'Daily Meter'!A1" display="daily reading" xr:uid="{EB7A3B35-ACDD-462C-B5C6-0C06D910A2A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3"/>
  <sheetViews>
    <sheetView zoomScaleNormal="100" workbookViewId="0">
      <selection activeCell="D13" sqref="D13"/>
    </sheetView>
  </sheetViews>
  <sheetFormatPr defaultRowHeight="14.4"/>
  <cols>
    <col min="1" max="1" width="5.578125" bestFit="1" customWidth="1"/>
    <col min="2" max="2" width="27.83984375" bestFit="1" customWidth="1"/>
    <col min="3" max="3" width="11.68359375" bestFit="1" customWidth="1"/>
    <col min="4" max="5" width="22.26171875" bestFit="1" customWidth="1"/>
    <col min="6" max="6" width="22.26171875" customWidth="1"/>
    <col min="7" max="7" width="20.68359375" customWidth="1"/>
    <col min="8" max="8" width="20.68359375" style="17" customWidth="1"/>
    <col min="9" max="9" width="20.68359375" customWidth="1"/>
    <col min="10" max="10" width="20.578125" bestFit="1" customWidth="1"/>
    <col min="11" max="11" width="16.41796875" bestFit="1" customWidth="1"/>
    <col min="12" max="12" width="22.83984375" bestFit="1" customWidth="1"/>
    <col min="13" max="13" width="22.26171875" bestFit="1" customWidth="1"/>
  </cols>
  <sheetData>
    <row r="1" spans="1:10" ht="15" customHeight="1">
      <c r="A1" s="264" t="s">
        <v>0</v>
      </c>
      <c r="B1" s="265"/>
      <c r="C1" s="265"/>
      <c r="D1" s="265"/>
      <c r="E1" s="265"/>
      <c r="F1" s="265"/>
      <c r="G1" s="265"/>
      <c r="H1" s="266"/>
      <c r="I1" s="267"/>
      <c r="J1" s="195" t="s">
        <v>91</v>
      </c>
    </row>
    <row r="2" spans="1:10" ht="15.75" customHeight="1">
      <c r="A2" s="268"/>
      <c r="B2" s="260"/>
      <c r="C2" s="260"/>
      <c r="D2" s="260"/>
      <c r="E2" s="260"/>
      <c r="F2" s="260"/>
      <c r="G2" s="260"/>
      <c r="H2" s="269"/>
      <c r="I2" s="270"/>
    </row>
    <row r="3" spans="1:10" ht="17.7">
      <c r="A3" s="275" t="s">
        <v>34</v>
      </c>
      <c r="B3" s="272"/>
      <c r="C3" s="272"/>
      <c r="D3" s="272"/>
      <c r="E3" s="272"/>
      <c r="F3" s="272"/>
      <c r="G3" s="272"/>
      <c r="H3" s="272"/>
      <c r="I3" s="273"/>
      <c r="J3" s="195" t="s">
        <v>106</v>
      </c>
    </row>
    <row r="4" spans="1:10" s="36" customFormat="1" ht="17.7">
      <c r="A4" s="52"/>
      <c r="B4" s="51" t="str">
        <f>'1'!B4</f>
        <v>JANUARY</v>
      </c>
      <c r="C4" s="52"/>
      <c r="D4" s="52"/>
      <c r="E4" s="52"/>
      <c r="F4" s="52"/>
      <c r="G4" s="52"/>
      <c r="H4" s="52"/>
      <c r="I4" s="52"/>
    </row>
    <row r="5" spans="1:10" ht="30" customHeight="1">
      <c r="A5" s="57" t="s">
        <v>1</v>
      </c>
      <c r="B5" s="53" t="s">
        <v>2</v>
      </c>
      <c r="C5" s="54"/>
      <c r="D5" s="55" t="s">
        <v>33</v>
      </c>
      <c r="E5" s="55" t="s">
        <v>67</v>
      </c>
      <c r="F5" s="55" t="s">
        <v>36</v>
      </c>
      <c r="G5" s="56" t="s">
        <v>68</v>
      </c>
      <c r="H5" s="56" t="s">
        <v>49</v>
      </c>
      <c r="I5" s="55" t="s">
        <v>3</v>
      </c>
    </row>
    <row r="6" spans="1:10" ht="15.75" customHeight="1">
      <c r="A6" s="57"/>
      <c r="B6" s="57"/>
      <c r="C6" s="54"/>
      <c r="D6" s="274"/>
      <c r="E6" s="274"/>
      <c r="F6" s="274"/>
      <c r="G6" s="274"/>
      <c r="H6" s="58"/>
      <c r="I6" s="58"/>
    </row>
    <row r="7" spans="1:10">
      <c r="A7" s="94">
        <v>1</v>
      </c>
      <c r="B7" s="59" t="s">
        <v>4</v>
      </c>
      <c r="C7" s="60"/>
      <c r="D7" s="61"/>
      <c r="E7" s="61"/>
      <c r="F7" s="61"/>
      <c r="G7" s="62"/>
      <c r="H7" s="63"/>
      <c r="I7" s="62"/>
    </row>
    <row r="8" spans="1:10">
      <c r="A8" s="60"/>
      <c r="B8" s="61" t="s">
        <v>5</v>
      </c>
      <c r="C8" s="60" t="s">
        <v>6</v>
      </c>
      <c r="D8" s="64">
        <f>'30'!F8</f>
        <v>36572.5</v>
      </c>
      <c r="E8" s="64">
        <f>'Daily Meter'!B36</f>
        <v>36578.300000000003</v>
      </c>
      <c r="F8" s="64">
        <f>'Daily Meter'!C36</f>
        <v>36588.1</v>
      </c>
      <c r="G8" s="65">
        <f>F8-E8</f>
        <v>9.7999999999956344</v>
      </c>
      <c r="H8" s="65">
        <f>F8-D8</f>
        <v>15.599999999998545</v>
      </c>
      <c r="I8" s="65"/>
    </row>
    <row r="9" spans="1:10" ht="15">
      <c r="A9" s="60"/>
      <c r="B9" s="61"/>
      <c r="C9" s="66" t="s">
        <v>7</v>
      </c>
      <c r="D9" s="67"/>
      <c r="E9" s="67"/>
      <c r="F9" s="67"/>
      <c r="G9" s="65">
        <f>G8*284.34</f>
        <v>2786.5319999987582</v>
      </c>
      <c r="H9" s="65">
        <f>H8*284.34</f>
        <v>4435.7039999995859</v>
      </c>
      <c r="I9" s="68">
        <f>H9*0.63</f>
        <v>2794.493519999739</v>
      </c>
    </row>
    <row r="10" spans="1:10">
      <c r="A10" s="94" t="s">
        <v>8</v>
      </c>
      <c r="B10" s="59" t="s">
        <v>9</v>
      </c>
      <c r="C10" s="60"/>
      <c r="D10" s="64"/>
      <c r="E10" s="64"/>
      <c r="F10" s="64"/>
      <c r="G10" s="69"/>
      <c r="H10" s="69"/>
      <c r="I10" s="62"/>
    </row>
    <row r="11" spans="1:10">
      <c r="A11" s="95"/>
      <c r="B11" s="70" t="s">
        <v>10</v>
      </c>
      <c r="C11" s="71" t="s">
        <v>37</v>
      </c>
      <c r="D11" s="64">
        <f>'30'!F11</f>
        <v>122475</v>
      </c>
      <c r="E11" s="64">
        <f>'Daily Meter'!D36</f>
        <v>122563</v>
      </c>
      <c r="F11" s="64">
        <f>'Daily Meter'!E36</f>
        <v>122881</v>
      </c>
      <c r="G11" s="65">
        <f>F11-E11</f>
        <v>318</v>
      </c>
      <c r="H11" s="65">
        <f>F11-D11</f>
        <v>406</v>
      </c>
      <c r="I11" s="72"/>
    </row>
    <row r="12" spans="1:10">
      <c r="A12" s="95"/>
      <c r="B12" s="73" t="s">
        <v>61</v>
      </c>
      <c r="C12" s="71" t="s">
        <v>60</v>
      </c>
      <c r="D12" s="74"/>
      <c r="E12" s="74"/>
      <c r="F12" s="74"/>
      <c r="G12" s="75">
        <f>G11*219.969</f>
        <v>69950.141999999993</v>
      </c>
      <c r="H12" s="76">
        <f>H11*219.969</f>
        <v>89307.414000000004</v>
      </c>
      <c r="I12" s="96">
        <f>H12*0.06</f>
        <v>5358.4448400000001</v>
      </c>
    </row>
    <row r="13" spans="1:10">
      <c r="A13" s="94" t="s">
        <v>12</v>
      </c>
      <c r="B13" s="59" t="s">
        <v>13</v>
      </c>
      <c r="C13" s="60"/>
      <c r="D13" s="64"/>
      <c r="E13" s="64"/>
      <c r="F13" s="64"/>
      <c r="G13" s="78"/>
      <c r="H13" s="79"/>
      <c r="I13" s="62"/>
    </row>
    <row r="14" spans="1:10">
      <c r="A14" s="60">
        <v>1</v>
      </c>
      <c r="B14" s="61" t="s">
        <v>38</v>
      </c>
      <c r="C14" s="60" t="s">
        <v>35</v>
      </c>
      <c r="D14" s="64">
        <f>'30'!F14</f>
        <v>4228.2</v>
      </c>
      <c r="E14" s="64">
        <f>'Daily Meter'!J36</f>
        <v>4230.7</v>
      </c>
      <c r="F14" s="64">
        <f>'Daily Meter'!K36</f>
        <v>4235.1000000000004</v>
      </c>
      <c r="G14" s="80">
        <f t="shared" ref="G14:G19" si="0">(F14-E14)*480</f>
        <v>2112.0000000002619</v>
      </c>
      <c r="H14" s="65">
        <f t="shared" ref="H14:H19" si="1">(F14-D14)*480</f>
        <v>3312.0000000002619</v>
      </c>
      <c r="I14" s="65"/>
    </row>
    <row r="15" spans="1:10">
      <c r="A15" s="60">
        <v>2</v>
      </c>
      <c r="B15" s="61" t="s">
        <v>39</v>
      </c>
      <c r="C15" s="60" t="s">
        <v>35</v>
      </c>
      <c r="D15" s="64">
        <f>'30'!F15</f>
        <v>2539.8000000000002</v>
      </c>
      <c r="E15" s="64">
        <f>'Daily Meter'!L36</f>
        <v>2541.1999999999998</v>
      </c>
      <c r="F15" s="64">
        <f>'Daily Meter'!M36</f>
        <v>2544</v>
      </c>
      <c r="G15" s="80">
        <f t="shared" si="0"/>
        <v>1344.0000000000873</v>
      </c>
      <c r="H15" s="65">
        <f t="shared" si="1"/>
        <v>2015.9999999999127</v>
      </c>
      <c r="I15" s="65"/>
    </row>
    <row r="16" spans="1:10">
      <c r="A16" s="60">
        <v>3</v>
      </c>
      <c r="B16" s="61" t="s">
        <v>40</v>
      </c>
      <c r="C16" s="60" t="s">
        <v>35</v>
      </c>
      <c r="D16" s="64">
        <f>'30'!F16</f>
        <v>2722.5</v>
      </c>
      <c r="E16" s="64">
        <f>'Daily Meter'!N36</f>
        <v>2724.5</v>
      </c>
      <c r="F16" s="64">
        <f>'Daily Meter'!O36</f>
        <v>2727.4</v>
      </c>
      <c r="G16" s="80">
        <f t="shared" si="0"/>
        <v>1392.0000000000437</v>
      </c>
      <c r="H16" s="65">
        <f t="shared" si="1"/>
        <v>2352.0000000000437</v>
      </c>
      <c r="I16" s="65"/>
    </row>
    <row r="17" spans="1:13">
      <c r="A17" s="60">
        <v>4</v>
      </c>
      <c r="B17" s="61" t="s">
        <v>41</v>
      </c>
      <c r="C17" s="60" t="s">
        <v>35</v>
      </c>
      <c r="D17" s="64">
        <f>'30'!F17</f>
        <v>1363.9</v>
      </c>
      <c r="E17" s="64">
        <f>'Daily Meter'!P36</f>
        <v>1365</v>
      </c>
      <c r="F17" s="64">
        <f>'Daily Meter'!Q36</f>
        <v>1366.8</v>
      </c>
      <c r="G17" s="80">
        <f t="shared" si="0"/>
        <v>863.99999999997817</v>
      </c>
      <c r="H17" s="65">
        <f t="shared" si="1"/>
        <v>1391.9999999999345</v>
      </c>
      <c r="I17" s="65"/>
    </row>
    <row r="18" spans="1:13">
      <c r="A18" s="60">
        <v>5</v>
      </c>
      <c r="B18" s="61" t="s">
        <v>42</v>
      </c>
      <c r="C18" s="60" t="s">
        <v>35</v>
      </c>
      <c r="D18" s="64">
        <f>'30'!F18</f>
        <v>3998.4</v>
      </c>
      <c r="E18" s="64">
        <f>'Daily Meter'!R36</f>
        <v>4000.3</v>
      </c>
      <c r="F18" s="64">
        <f>'Daily Meter'!S36</f>
        <v>4003.3</v>
      </c>
      <c r="G18" s="80">
        <f t="shared" si="0"/>
        <v>1440</v>
      </c>
      <c r="H18" s="65">
        <f t="shared" si="1"/>
        <v>2352.0000000000437</v>
      </c>
      <c r="I18" s="65"/>
    </row>
    <row r="19" spans="1:13">
      <c r="A19" s="60">
        <v>6</v>
      </c>
      <c r="B19" s="61" t="s">
        <v>43</v>
      </c>
      <c r="C19" s="60" t="s">
        <v>35</v>
      </c>
      <c r="D19" s="64">
        <f>'30'!F19</f>
        <v>10577.9</v>
      </c>
      <c r="E19" s="64">
        <f>'Daily Meter'!T36</f>
        <v>10581.8</v>
      </c>
      <c r="F19" s="64">
        <f>'Daily Meter'!U36</f>
        <v>10588.2</v>
      </c>
      <c r="G19" s="80">
        <f t="shared" si="0"/>
        <v>3072.0000000006985</v>
      </c>
      <c r="H19" s="65">
        <f t="shared" si="1"/>
        <v>4944.0000000005239</v>
      </c>
      <c r="I19" s="65"/>
    </row>
    <row r="20" spans="1:13">
      <c r="A20" s="60"/>
      <c r="B20" s="81" t="s">
        <v>14</v>
      </c>
      <c r="C20" s="60"/>
      <c r="D20" s="64"/>
      <c r="E20" s="64"/>
      <c r="F20" s="64"/>
      <c r="G20" s="80">
        <f>SUM(G14:G19)</f>
        <v>10224.00000000107</v>
      </c>
      <c r="H20" s="82">
        <f>SUM(H14:H19)</f>
        <v>16368.00000000072</v>
      </c>
      <c r="I20" s="68">
        <f>H20*0.43</f>
        <v>7038.2400000003099</v>
      </c>
    </row>
    <row r="21" spans="1:13">
      <c r="A21" s="61"/>
      <c r="B21" s="61"/>
      <c r="C21" s="60"/>
      <c r="D21" s="83"/>
      <c r="E21" s="83"/>
      <c r="F21" s="83"/>
      <c r="G21" s="84"/>
      <c r="H21" s="84"/>
      <c r="I21" s="85"/>
    </row>
    <row r="22" spans="1:13">
      <c r="A22" s="94" t="s">
        <v>15</v>
      </c>
      <c r="B22" s="59" t="s">
        <v>16</v>
      </c>
      <c r="C22" s="60"/>
      <c r="D22" s="86"/>
      <c r="E22" s="86"/>
      <c r="F22" s="86"/>
      <c r="G22" s="78"/>
      <c r="H22" s="79"/>
      <c r="I22" s="62"/>
    </row>
    <row r="23" spans="1:13">
      <c r="A23" s="60">
        <v>1</v>
      </c>
      <c r="B23" s="87" t="s">
        <v>17</v>
      </c>
      <c r="C23" s="88" t="s">
        <v>18</v>
      </c>
      <c r="D23" s="64">
        <f>'30'!F23</f>
        <v>51674.8</v>
      </c>
      <c r="E23" s="64">
        <f>'Daily Meter'!V36</f>
        <v>51727.9</v>
      </c>
      <c r="F23" s="64">
        <f>'Daily Meter'!W36</f>
        <v>51820.1</v>
      </c>
      <c r="G23" s="80">
        <f>F23-E23</f>
        <v>92.19999999999709</v>
      </c>
      <c r="H23" s="89">
        <f>F23-D23</f>
        <v>145.29999999999563</v>
      </c>
      <c r="I23" s="90"/>
    </row>
    <row r="24" spans="1:13">
      <c r="A24" s="60"/>
      <c r="B24" s="49" t="s">
        <v>152</v>
      </c>
      <c r="C24" s="50" t="s">
        <v>64</v>
      </c>
      <c r="D24" s="64"/>
      <c r="E24" s="64"/>
      <c r="F24" s="64"/>
      <c r="G24" s="80"/>
      <c r="H24" s="91">
        <f>H23*3.7</f>
        <v>537.60999999998387</v>
      </c>
      <c r="I24" s="92">
        <f>H24*1.79</f>
        <v>962.32189999997115</v>
      </c>
    </row>
    <row r="25" spans="1:13">
      <c r="A25" s="60"/>
      <c r="B25" s="87"/>
      <c r="C25" s="88"/>
      <c r="D25" s="64"/>
      <c r="E25" s="64"/>
      <c r="F25" s="64"/>
      <c r="G25" s="80"/>
      <c r="H25" s="91"/>
      <c r="I25" s="92"/>
    </row>
    <row r="26" spans="1:13">
      <c r="A26" s="3"/>
      <c r="B26" s="3"/>
      <c r="C26" s="4"/>
      <c r="D26" s="3"/>
      <c r="E26" s="3" t="s">
        <v>19</v>
      </c>
      <c r="F26" s="3"/>
      <c r="G26" s="3"/>
      <c r="H26" s="16"/>
      <c r="I26" s="3"/>
      <c r="J26" s="3"/>
      <c r="K26" s="3"/>
      <c r="L26" s="3"/>
      <c r="M26" s="3"/>
    </row>
    <row r="27" spans="1:13" ht="20.399999999999999">
      <c r="A27" s="5"/>
      <c r="B27" s="5"/>
      <c r="C27" s="5"/>
      <c r="D27" s="263" t="s">
        <v>20</v>
      </c>
      <c r="E27" s="263"/>
      <c r="F27" s="263"/>
      <c r="G27" s="263"/>
      <c r="H27" s="6"/>
      <c r="I27" s="12"/>
      <c r="J27" s="7"/>
      <c r="K27" s="5"/>
      <c r="L27" s="5"/>
    </row>
    <row r="28" spans="1:13" ht="20.399999999999999">
      <c r="A28" s="5"/>
      <c r="B28" s="5"/>
      <c r="C28" s="6"/>
      <c r="D28" s="35" t="s">
        <v>21</v>
      </c>
      <c r="E28" s="35" t="s">
        <v>22</v>
      </c>
      <c r="F28" s="35" t="s">
        <v>23</v>
      </c>
      <c r="G28" s="35" t="s">
        <v>24</v>
      </c>
      <c r="H28" s="6"/>
      <c r="J28" s="8"/>
      <c r="K28" s="3"/>
      <c r="L28" s="3"/>
      <c r="M28" s="3"/>
    </row>
    <row r="29" spans="1:13">
      <c r="A29" s="3"/>
      <c r="B29" s="3"/>
      <c r="C29" s="4"/>
      <c r="D29" s="9" t="s">
        <v>25</v>
      </c>
      <c r="E29" s="9" t="s">
        <v>7</v>
      </c>
      <c r="F29" s="10">
        <f>H9</f>
        <v>4435.7039999995859</v>
      </c>
      <c r="G29" s="48">
        <f>I9</f>
        <v>2794.493519999739</v>
      </c>
      <c r="H29" s="13"/>
      <c r="J29" s="8"/>
      <c r="K29" s="3"/>
      <c r="L29" s="3"/>
      <c r="M29" s="3"/>
    </row>
    <row r="30" spans="1:13">
      <c r="A30" s="3"/>
      <c r="B30" s="3"/>
      <c r="C30" s="4"/>
      <c r="D30" s="9" t="s">
        <v>26</v>
      </c>
      <c r="E30" s="9" t="s">
        <v>11</v>
      </c>
      <c r="F30" s="10">
        <f>H12</f>
        <v>89307.414000000004</v>
      </c>
      <c r="G30" s="48">
        <f>I12</f>
        <v>5358.4448400000001</v>
      </c>
      <c r="H30" s="13"/>
      <c r="J30" s="8"/>
      <c r="K30" s="3"/>
      <c r="L30" s="3"/>
      <c r="M30" s="3"/>
    </row>
    <row r="31" spans="1:13">
      <c r="A31" s="3"/>
      <c r="B31" s="3"/>
      <c r="C31" s="4"/>
      <c r="D31" s="9" t="s">
        <v>27</v>
      </c>
      <c r="E31" s="9" t="s">
        <v>51</v>
      </c>
      <c r="F31" s="10">
        <f>H20</f>
        <v>16368.00000000072</v>
      </c>
      <c r="G31" s="48">
        <f>I20</f>
        <v>7038.2400000003099</v>
      </c>
      <c r="H31" s="13"/>
      <c r="J31" s="8"/>
      <c r="K31" s="3"/>
      <c r="L31" s="3"/>
      <c r="M31" s="3"/>
    </row>
    <row r="32" spans="1:13">
      <c r="A32" s="3"/>
      <c r="B32" s="3"/>
      <c r="C32" s="4"/>
      <c r="D32" s="9" t="s">
        <v>28</v>
      </c>
      <c r="E32" s="9" t="s">
        <v>37</v>
      </c>
      <c r="F32" s="10">
        <f>H23</f>
        <v>145.29999999999563</v>
      </c>
      <c r="G32" s="48">
        <f>I24</f>
        <v>962.32189999997115</v>
      </c>
      <c r="H32" s="13"/>
      <c r="J32" s="8"/>
      <c r="K32" s="3"/>
      <c r="L32" s="3"/>
      <c r="M32" s="3"/>
    </row>
    <row r="33" spans="1:13">
      <c r="A33" s="3"/>
      <c r="B33" s="3"/>
      <c r="C33" s="4"/>
      <c r="D33" s="3"/>
      <c r="E33" s="3"/>
      <c r="F33" s="18" t="s">
        <v>29</v>
      </c>
      <c r="G33" s="19">
        <f>SUM(G29:G32)</f>
        <v>16153.500260000021</v>
      </c>
      <c r="H33" s="14"/>
      <c r="J33" s="3"/>
      <c r="K33" s="3"/>
      <c r="L33" s="3"/>
      <c r="M33" s="3"/>
    </row>
  </sheetData>
  <mergeCells count="4">
    <mergeCell ref="A1:I2"/>
    <mergeCell ref="A3:I3"/>
    <mergeCell ref="D6:G6"/>
    <mergeCell ref="D27:G27"/>
  </mergeCells>
  <hyperlinks>
    <hyperlink ref="J1" location="'1'!A1" display="1st" xr:uid="{6F9E5D93-7BDE-4FA4-8308-937DFFD5DD29}"/>
    <hyperlink ref="J3" location="'Daily Meter'!A1" display="daily reading" xr:uid="{5F4713BC-84C6-4FE0-99FF-32C41750EC0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134-FFF9-4638-B2D3-16F2CBD2D8C4}">
  <sheetPr>
    <tabColor theme="9" tint="-0.249977111117893"/>
  </sheetPr>
  <dimension ref="A1:O50"/>
  <sheetViews>
    <sheetView zoomScaleNormal="100" workbookViewId="0">
      <selection activeCell="O1" sqref="O1"/>
    </sheetView>
  </sheetViews>
  <sheetFormatPr defaultColWidth="9.15625" defaultRowHeight="14.4"/>
  <cols>
    <col min="1" max="1" width="5.578125" style="36" bestFit="1" customWidth="1"/>
    <col min="2" max="2" width="37.578125" style="36" customWidth="1"/>
    <col min="3" max="3" width="21.578125" style="36" bestFit="1" customWidth="1"/>
    <col min="4" max="4" width="22.26171875" style="36" bestFit="1" customWidth="1"/>
    <col min="5" max="5" width="22.26171875" style="36" customWidth="1"/>
    <col min="6" max="6" width="22.578125" style="47" customWidth="1"/>
    <col min="7" max="7" width="20" style="47" customWidth="1"/>
    <col min="8" max="11" width="9.15625" style="36"/>
    <col min="12" max="12" width="9.15625" style="36" customWidth="1"/>
    <col min="13" max="16384" width="9.15625" style="36"/>
  </cols>
  <sheetData>
    <row r="1" spans="1:15" ht="15" customHeight="1">
      <c r="A1" s="278" t="s">
        <v>0</v>
      </c>
      <c r="B1" s="279"/>
      <c r="C1" s="279"/>
      <c r="D1" s="279"/>
      <c r="E1" s="279"/>
      <c r="F1" s="279"/>
      <c r="G1" s="279"/>
      <c r="O1" s="195" t="s">
        <v>91</v>
      </c>
    </row>
    <row r="2" spans="1:15" ht="12" customHeight="1">
      <c r="A2" s="278"/>
      <c r="B2" s="279"/>
      <c r="C2" s="279"/>
      <c r="D2" s="279"/>
      <c r="E2" s="279"/>
      <c r="F2" s="279"/>
      <c r="G2" s="279"/>
    </row>
    <row r="3" spans="1:15" ht="17.7">
      <c r="A3" s="280" t="s">
        <v>34</v>
      </c>
      <c r="B3" s="281"/>
      <c r="C3" s="281"/>
      <c r="D3" s="281"/>
      <c r="E3" s="281"/>
      <c r="F3" s="281"/>
      <c r="G3" s="281"/>
      <c r="O3" s="195" t="s">
        <v>106</v>
      </c>
    </row>
    <row r="4" spans="1:15" ht="17.7">
      <c r="A4" s="148"/>
      <c r="B4" s="51" t="s">
        <v>143</v>
      </c>
      <c r="C4" s="52"/>
      <c r="D4" s="52"/>
      <c r="E4" s="52"/>
      <c r="F4" s="149"/>
      <c r="G4" s="252"/>
    </row>
    <row r="5" spans="1:15" ht="42.3">
      <c r="A5" s="150" t="s">
        <v>1</v>
      </c>
      <c r="B5" s="200" t="s">
        <v>2</v>
      </c>
      <c r="C5" s="109"/>
      <c r="D5" s="56" t="s">
        <v>113</v>
      </c>
      <c r="E5" s="56" t="s">
        <v>142</v>
      </c>
      <c r="F5" s="152" t="s">
        <v>69</v>
      </c>
      <c r="G5" s="277" t="s">
        <v>148</v>
      </c>
    </row>
    <row r="6" spans="1:15" ht="11.25" customHeight="1">
      <c r="A6" s="150"/>
      <c r="B6" s="294"/>
      <c r="C6" s="295"/>
      <c r="D6" s="295"/>
      <c r="E6" s="295"/>
      <c r="F6" s="296"/>
      <c r="G6" s="277"/>
    </row>
    <row r="7" spans="1:15">
      <c r="A7" s="153">
        <v>1</v>
      </c>
      <c r="B7" s="111" t="s">
        <v>4</v>
      </c>
      <c r="C7" s="112"/>
      <c r="D7" s="113"/>
      <c r="E7" s="113"/>
      <c r="F7" s="154"/>
      <c r="G7" s="115"/>
    </row>
    <row r="8" spans="1:15">
      <c r="A8" s="155"/>
      <c r="B8" s="113" t="s">
        <v>5</v>
      </c>
      <c r="C8" s="112" t="s">
        <v>6</v>
      </c>
      <c r="D8" s="64">
        <v>35798.6</v>
      </c>
      <c r="E8" s="64">
        <v>36466.800000000003</v>
      </c>
      <c r="F8" s="156">
        <f>E8-D8</f>
        <v>668.20000000000437</v>
      </c>
      <c r="G8" s="116"/>
    </row>
    <row r="9" spans="1:15" ht="15">
      <c r="A9" s="155"/>
      <c r="B9" s="113"/>
      <c r="C9" s="95" t="s">
        <v>70</v>
      </c>
      <c r="D9" s="157"/>
      <c r="E9" s="157"/>
      <c r="F9" s="158">
        <f>F8*284.35</f>
        <v>190002.67000000126</v>
      </c>
      <c r="G9" s="99"/>
    </row>
    <row r="10" spans="1:15" ht="15.75" customHeight="1">
      <c r="A10" s="155"/>
      <c r="B10" s="159" t="s">
        <v>71</v>
      </c>
      <c r="C10" s="282"/>
      <c r="D10" s="283"/>
      <c r="E10" s="284"/>
      <c r="F10" s="162">
        <f>F9*0.568</f>
        <v>107921.5165600007</v>
      </c>
      <c r="G10" s="253"/>
    </row>
    <row r="11" spans="1:15">
      <c r="A11" s="155"/>
      <c r="B11" s="159" t="s">
        <v>110</v>
      </c>
      <c r="C11" s="282"/>
      <c r="D11" s="283"/>
      <c r="E11" s="284"/>
      <c r="F11" s="162">
        <f>F9*0.075</f>
        <v>14250.200250000094</v>
      </c>
      <c r="G11" s="253"/>
    </row>
    <row r="12" spans="1:15" ht="15.75" customHeight="1">
      <c r="A12" s="155"/>
      <c r="B12" s="163" t="s">
        <v>72</v>
      </c>
      <c r="C12" s="285"/>
      <c r="D12" s="286"/>
      <c r="E12" s="287"/>
      <c r="F12" s="166">
        <f>F10+F11</f>
        <v>122171.7168100008</v>
      </c>
      <c r="G12" s="254">
        <v>112911</v>
      </c>
    </row>
    <row r="13" spans="1:15" ht="15.75" customHeight="1">
      <c r="A13" s="155"/>
      <c r="B13" s="163" t="s">
        <v>90</v>
      </c>
      <c r="C13" s="285"/>
      <c r="D13" s="286"/>
      <c r="E13" s="287"/>
      <c r="F13" s="166">
        <f>(3200*35)</f>
        <v>112000</v>
      </c>
      <c r="G13" s="254">
        <v>95548</v>
      </c>
    </row>
    <row r="14" spans="1:15" ht="15.75" customHeight="1">
      <c r="A14" s="155"/>
      <c r="B14" s="288"/>
      <c r="C14" s="289"/>
      <c r="D14" s="289"/>
      <c r="E14" s="290"/>
      <c r="F14" s="167">
        <f>SUM(F12+F13)</f>
        <v>234171.7168100008</v>
      </c>
      <c r="G14" s="254">
        <f>SUM(G12:G13)</f>
        <v>208459</v>
      </c>
    </row>
    <row r="15" spans="1:15">
      <c r="A15" s="153" t="s">
        <v>8</v>
      </c>
      <c r="B15" s="111" t="s">
        <v>9</v>
      </c>
      <c r="C15" s="291"/>
      <c r="D15" s="292"/>
      <c r="E15" s="293"/>
      <c r="F15" s="169"/>
      <c r="G15" s="129"/>
    </row>
    <row r="16" spans="1:15">
      <c r="A16" s="170"/>
      <c r="B16" s="70" t="s">
        <v>10</v>
      </c>
      <c r="C16" s="71" t="s">
        <v>37</v>
      </c>
      <c r="D16" s="64">
        <v>112594</v>
      </c>
      <c r="E16" s="64">
        <v>120707</v>
      </c>
      <c r="F16" s="156">
        <f>E16-D16</f>
        <v>8113</v>
      </c>
      <c r="G16" s="116"/>
    </row>
    <row r="17" spans="1:7" ht="27.6">
      <c r="A17" s="170"/>
      <c r="B17" s="70"/>
      <c r="C17" s="71" t="s">
        <v>144</v>
      </c>
      <c r="D17" s="64"/>
      <c r="E17" s="64"/>
      <c r="F17" s="171">
        <f>F16*219.969</f>
        <v>1784608.497</v>
      </c>
      <c r="G17" s="255"/>
    </row>
    <row r="18" spans="1:7">
      <c r="A18" s="170"/>
      <c r="B18" s="159" t="s">
        <v>82</v>
      </c>
      <c r="C18" s="282"/>
      <c r="D18" s="283"/>
      <c r="E18" s="284"/>
      <c r="F18" s="174">
        <v>350</v>
      </c>
      <c r="G18" s="256"/>
    </row>
    <row r="19" spans="1:7">
      <c r="A19" s="170"/>
      <c r="B19" s="159" t="s">
        <v>83</v>
      </c>
      <c r="C19" s="282"/>
      <c r="D19" s="283"/>
      <c r="E19" s="284"/>
      <c r="F19" s="174">
        <v>400</v>
      </c>
      <c r="G19" s="256"/>
    </row>
    <row r="20" spans="1:7">
      <c r="A20" s="170"/>
      <c r="B20" s="159" t="s">
        <v>84</v>
      </c>
      <c r="C20" s="282"/>
      <c r="D20" s="283"/>
      <c r="E20" s="284"/>
      <c r="F20" s="174">
        <f>SUM(F17-20000)*0.046</f>
        <v>81171.990861999991</v>
      </c>
      <c r="G20" s="256"/>
    </row>
    <row r="21" spans="1:7">
      <c r="A21" s="170"/>
      <c r="B21" s="159" t="s">
        <v>80</v>
      </c>
      <c r="C21" s="282"/>
      <c r="D21" s="283"/>
      <c r="E21" s="284"/>
      <c r="F21" s="174">
        <f>F17*0.006</f>
        <v>10707.650981999999</v>
      </c>
      <c r="G21" s="256"/>
    </row>
    <row r="22" spans="1:7">
      <c r="A22" s="170"/>
      <c r="B22" s="159" t="s">
        <v>81</v>
      </c>
      <c r="C22" s="282"/>
      <c r="D22" s="283"/>
      <c r="E22" s="284"/>
      <c r="F22" s="174">
        <f>F17*0.005</f>
        <v>8923.0424849999999</v>
      </c>
      <c r="G22" s="256"/>
    </row>
    <row r="23" spans="1:7">
      <c r="A23" s="170"/>
      <c r="B23" s="163" t="s">
        <v>72</v>
      </c>
      <c r="C23" s="303"/>
      <c r="D23" s="304"/>
      <c r="E23" s="305"/>
      <c r="F23" s="177">
        <f>SUM(F18:F22)</f>
        <v>101552.684329</v>
      </c>
      <c r="G23" s="257"/>
    </row>
    <row r="24" spans="1:7">
      <c r="A24" s="153" t="s">
        <v>12</v>
      </c>
      <c r="B24" s="111" t="s">
        <v>13</v>
      </c>
      <c r="C24" s="291"/>
      <c r="D24" s="292"/>
      <c r="E24" s="293"/>
      <c r="F24" s="178"/>
      <c r="G24" s="138"/>
    </row>
    <row r="25" spans="1:7">
      <c r="A25" s="155">
        <v>1</v>
      </c>
      <c r="B25" s="113" t="s">
        <v>38</v>
      </c>
      <c r="C25" s="112" t="s">
        <v>35</v>
      </c>
      <c r="D25" s="64">
        <v>3946.4</v>
      </c>
      <c r="E25" s="64">
        <v>4180.2</v>
      </c>
      <c r="F25" s="156">
        <f t="shared" ref="F25:F30" si="0">(E25-D25)*480</f>
        <v>112223.99999999987</v>
      </c>
      <c r="G25" s="116"/>
    </row>
    <row r="26" spans="1:7">
      <c r="A26" s="155">
        <v>2</v>
      </c>
      <c r="B26" s="113" t="s">
        <v>39</v>
      </c>
      <c r="C26" s="112" t="s">
        <v>35</v>
      </c>
      <c r="D26" s="64">
        <v>2374.6</v>
      </c>
      <c r="E26" s="64">
        <v>2511.4</v>
      </c>
      <c r="F26" s="156">
        <f t="shared" si="0"/>
        <v>65664.000000000087</v>
      </c>
      <c r="G26" s="116"/>
    </row>
    <row r="27" spans="1:7">
      <c r="A27" s="155">
        <v>3</v>
      </c>
      <c r="B27" s="113" t="s">
        <v>40</v>
      </c>
      <c r="C27" s="112" t="s">
        <v>35</v>
      </c>
      <c r="D27" s="64">
        <v>2526.3000000000002</v>
      </c>
      <c r="E27" s="64">
        <v>2686.5</v>
      </c>
      <c r="F27" s="156">
        <f t="shared" si="0"/>
        <v>76895.999999999913</v>
      </c>
      <c r="G27" s="116"/>
    </row>
    <row r="28" spans="1:7">
      <c r="A28" s="155">
        <v>4</v>
      </c>
      <c r="B28" s="113" t="s">
        <v>41</v>
      </c>
      <c r="C28" s="112" t="s">
        <v>35</v>
      </c>
      <c r="D28" s="64">
        <v>1248</v>
      </c>
      <c r="E28" s="64">
        <v>1344.3</v>
      </c>
      <c r="F28" s="156">
        <f t="shared" si="0"/>
        <v>46223.999999999978</v>
      </c>
      <c r="G28" s="116"/>
    </row>
    <row r="29" spans="1:7">
      <c r="A29" s="155">
        <v>5</v>
      </c>
      <c r="B29" s="113" t="s">
        <v>42</v>
      </c>
      <c r="C29" s="112" t="s">
        <v>35</v>
      </c>
      <c r="D29" s="64">
        <v>3802.9</v>
      </c>
      <c r="E29" s="64">
        <v>3964.7</v>
      </c>
      <c r="F29" s="156">
        <f t="shared" si="0"/>
        <v>77663.999999999869</v>
      </c>
      <c r="G29" s="116"/>
    </row>
    <row r="30" spans="1:7">
      <c r="A30" s="155">
        <v>6</v>
      </c>
      <c r="B30" s="113" t="s">
        <v>43</v>
      </c>
      <c r="C30" s="112" t="s">
        <v>35</v>
      </c>
      <c r="D30" s="64">
        <v>10069.4</v>
      </c>
      <c r="E30" s="64">
        <v>10490.2</v>
      </c>
      <c r="F30" s="156">
        <f t="shared" si="0"/>
        <v>201984.00000000052</v>
      </c>
      <c r="G30" s="116"/>
    </row>
    <row r="31" spans="1:7">
      <c r="A31" s="155"/>
      <c r="B31" s="122" t="s">
        <v>73</v>
      </c>
      <c r="C31" s="291"/>
      <c r="D31" s="292"/>
      <c r="E31" s="293"/>
      <c r="F31" s="179">
        <f>SUM(F25:F30)</f>
        <v>580656.00000000023</v>
      </c>
      <c r="G31" s="139"/>
    </row>
    <row r="32" spans="1:7">
      <c r="A32" s="180"/>
      <c r="B32" s="159" t="s">
        <v>85</v>
      </c>
      <c r="C32" s="282"/>
      <c r="D32" s="283"/>
      <c r="E32" s="284"/>
      <c r="F32" s="162">
        <v>460</v>
      </c>
      <c r="G32" s="253"/>
    </row>
    <row r="33" spans="1:7">
      <c r="A33" s="180"/>
      <c r="B33" s="159" t="s">
        <v>86</v>
      </c>
      <c r="C33" s="282"/>
      <c r="D33" s="283"/>
      <c r="E33" s="284"/>
      <c r="F33" s="162">
        <v>560</v>
      </c>
      <c r="G33" s="253"/>
    </row>
    <row r="34" spans="1:7">
      <c r="A34" s="180"/>
      <c r="B34" s="159" t="s">
        <v>87</v>
      </c>
      <c r="C34" s="282"/>
      <c r="D34" s="283"/>
      <c r="E34" s="284"/>
      <c r="F34" s="162">
        <v>640</v>
      </c>
      <c r="G34" s="253"/>
    </row>
    <row r="35" spans="1:7">
      <c r="A35" s="180"/>
      <c r="B35" s="159" t="s">
        <v>88</v>
      </c>
      <c r="C35" s="282"/>
      <c r="D35" s="283"/>
      <c r="E35" s="284"/>
      <c r="F35" s="162">
        <f>SUM(F31-6000)*0.38</f>
        <v>218369.28000000009</v>
      </c>
      <c r="G35" s="253"/>
    </row>
    <row r="36" spans="1:7">
      <c r="A36" s="180"/>
      <c r="B36" s="159" t="s">
        <v>89</v>
      </c>
      <c r="C36" s="282"/>
      <c r="D36" s="283"/>
      <c r="E36" s="284"/>
      <c r="F36" s="162">
        <f>F31*0.065</f>
        <v>37742.640000000014</v>
      </c>
      <c r="G36" s="253"/>
    </row>
    <row r="37" spans="1:7">
      <c r="A37" s="180"/>
      <c r="B37" s="163" t="s">
        <v>72</v>
      </c>
      <c r="C37" s="306"/>
      <c r="D37" s="307"/>
      <c r="E37" s="308"/>
      <c r="F37" s="166">
        <f>SUM(F32:F36)</f>
        <v>257771.9200000001</v>
      </c>
      <c r="G37" s="254"/>
    </row>
    <row r="38" spans="1:7">
      <c r="A38" s="153" t="s">
        <v>15</v>
      </c>
      <c r="B38" s="111" t="s">
        <v>16</v>
      </c>
      <c r="C38" s="197"/>
      <c r="D38" s="198"/>
      <c r="E38" s="199"/>
      <c r="F38" s="178"/>
      <c r="G38" s="138"/>
    </row>
    <row r="39" spans="1:7">
      <c r="A39" s="155">
        <v>1</v>
      </c>
      <c r="B39" s="126" t="s">
        <v>17</v>
      </c>
      <c r="C39" s="300"/>
      <c r="D39" s="301"/>
      <c r="E39" s="302"/>
      <c r="F39" s="179"/>
      <c r="G39" s="139"/>
    </row>
    <row r="40" spans="1:7">
      <c r="A40" s="155"/>
      <c r="B40" s="126"/>
      <c r="C40" s="185" t="s">
        <v>74</v>
      </c>
      <c r="D40" s="64">
        <v>45865.2</v>
      </c>
      <c r="E40" s="64">
        <v>50664.1</v>
      </c>
      <c r="F40" s="158">
        <f>E40-D40</f>
        <v>4798.9000000000015</v>
      </c>
      <c r="G40" s="139"/>
    </row>
    <row r="41" spans="1:7">
      <c r="A41" s="155"/>
      <c r="B41" s="126"/>
      <c r="C41" s="128" t="s">
        <v>150</v>
      </c>
      <c r="D41" s="64"/>
      <c r="E41" s="64"/>
      <c r="F41" s="179">
        <f>F40*3.7</f>
        <v>17755.930000000008</v>
      </c>
      <c r="G41" s="139"/>
    </row>
    <row r="42" spans="1:7" ht="14.7" thickBot="1">
      <c r="A42" s="186"/>
      <c r="B42" s="187" t="s">
        <v>149</v>
      </c>
      <c r="C42" s="297"/>
      <c r="D42" s="298"/>
      <c r="E42" s="299"/>
      <c r="F42" s="190">
        <f>F41*1.79</f>
        <v>31783.114700000013</v>
      </c>
      <c r="G42" s="254"/>
    </row>
    <row r="43" spans="1:7">
      <c r="A43" s="37"/>
      <c r="B43" s="37"/>
      <c r="C43" s="38"/>
      <c r="D43" s="37"/>
      <c r="E43" s="37"/>
      <c r="F43" s="39"/>
      <c r="G43" s="39"/>
    </row>
    <row r="44" spans="1:7" ht="20.399999999999999">
      <c r="A44" s="5"/>
      <c r="B44" s="263" t="s">
        <v>20</v>
      </c>
      <c r="C44" s="263"/>
      <c r="D44" s="263"/>
      <c r="E44" s="263"/>
      <c r="F44" s="6"/>
      <c r="G44" s="6"/>
    </row>
    <row r="45" spans="1:7" ht="20.399999999999999">
      <c r="A45" s="5"/>
      <c r="B45" s="35" t="s">
        <v>21</v>
      </c>
      <c r="C45" s="35" t="s">
        <v>22</v>
      </c>
      <c r="D45" s="35" t="s">
        <v>23</v>
      </c>
      <c r="E45" s="35" t="s">
        <v>75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190002.67000000126</v>
      </c>
      <c r="E46" s="48">
        <f>F12</f>
        <v>122171.7168100008</v>
      </c>
      <c r="F46" s="43"/>
      <c r="G46" s="43"/>
    </row>
    <row r="47" spans="1:7">
      <c r="A47" s="37"/>
      <c r="B47" s="9" t="s">
        <v>26</v>
      </c>
      <c r="C47" s="9" t="s">
        <v>76</v>
      </c>
      <c r="D47" s="10">
        <f>F17</f>
        <v>1784608.497</v>
      </c>
      <c r="E47" s="48">
        <f>F23</f>
        <v>101552.684329</v>
      </c>
      <c r="F47" s="43"/>
      <c r="G47" s="43"/>
    </row>
    <row r="48" spans="1:7">
      <c r="A48" s="37"/>
      <c r="B48" s="9" t="s">
        <v>27</v>
      </c>
      <c r="C48" s="9" t="s">
        <v>77</v>
      </c>
      <c r="D48" s="10">
        <f>F31</f>
        <v>580656.00000000023</v>
      </c>
      <c r="E48" s="48">
        <f>F37</f>
        <v>257771.9200000001</v>
      </c>
      <c r="F48" s="43"/>
      <c r="G48" s="43"/>
    </row>
    <row r="49" spans="1:7">
      <c r="A49" s="37"/>
      <c r="B49" s="9" t="s">
        <v>28</v>
      </c>
      <c r="C49" s="185" t="s">
        <v>74</v>
      </c>
      <c r="D49" s="10">
        <f>F40</f>
        <v>4798.9000000000015</v>
      </c>
      <c r="E49" s="48">
        <f>F42</f>
        <v>31783.114700000013</v>
      </c>
      <c r="F49" s="43"/>
      <c r="G49" s="43"/>
    </row>
    <row r="50" spans="1:7" ht="15.6">
      <c r="A50" s="37"/>
      <c r="B50" s="3"/>
      <c r="C50" s="3"/>
      <c r="D50" s="191" t="s">
        <v>78</v>
      </c>
      <c r="E50" s="192">
        <f>SUM(E46:E49)</f>
        <v>513279.43583900091</v>
      </c>
      <c r="F50" s="46"/>
      <c r="G50" s="46"/>
    </row>
  </sheetData>
  <mergeCells count="27">
    <mergeCell ref="C15:E15"/>
    <mergeCell ref="B6:F6"/>
    <mergeCell ref="C42:E42"/>
    <mergeCell ref="C39:E39"/>
    <mergeCell ref="C24:E24"/>
    <mergeCell ref="C31:E31"/>
    <mergeCell ref="C34:E34"/>
    <mergeCell ref="C35:E35"/>
    <mergeCell ref="C36:E36"/>
    <mergeCell ref="C23:E23"/>
    <mergeCell ref="C37:E37"/>
    <mergeCell ref="G5:G6"/>
    <mergeCell ref="A1:G2"/>
    <mergeCell ref="A3:G3"/>
    <mergeCell ref="B44:E44"/>
    <mergeCell ref="C10:E10"/>
    <mergeCell ref="C11:E11"/>
    <mergeCell ref="C12:E12"/>
    <mergeCell ref="C13:E13"/>
    <mergeCell ref="B14:E14"/>
    <mergeCell ref="C18:E18"/>
    <mergeCell ref="C19:E19"/>
    <mergeCell ref="C20:E20"/>
    <mergeCell ref="C21:E21"/>
    <mergeCell ref="C22:E22"/>
    <mergeCell ref="C32:E32"/>
    <mergeCell ref="C33:E33"/>
  </mergeCells>
  <hyperlinks>
    <hyperlink ref="O1" location="'1'!A1" display="1st" xr:uid="{D7BE4D4D-E30D-49A4-A41B-C343F01FB706}"/>
    <hyperlink ref="O3" location="'Daily Meter'!A1" display="daily reading" xr:uid="{6B2931C3-14A5-4646-A47E-B7F264BB2DFB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4FC-870E-4590-B6D0-BC2DCEDACAEF}">
  <sheetPr>
    <tabColor theme="9" tint="-0.249977111117893"/>
  </sheetPr>
  <dimension ref="A1:P50"/>
  <sheetViews>
    <sheetView topLeftCell="A4" zoomScaleNormal="100" workbookViewId="0">
      <selection activeCell="N7" sqref="N7"/>
    </sheetView>
  </sheetViews>
  <sheetFormatPr defaultColWidth="9.15625" defaultRowHeight="14.4"/>
  <cols>
    <col min="1" max="1" width="5.578125" style="36" bestFit="1" customWidth="1"/>
    <col min="2" max="2" width="38.26171875" style="36" bestFit="1" customWidth="1"/>
    <col min="3" max="3" width="21.578125" style="36" bestFit="1" customWidth="1"/>
    <col min="4" max="4" width="22.26171875" style="36" bestFit="1" customWidth="1"/>
    <col min="5" max="5" width="22.26171875" style="36" customWidth="1"/>
    <col min="6" max="6" width="22.578125" style="47" customWidth="1"/>
    <col min="7" max="7" width="20" style="47" customWidth="1"/>
    <col min="8" max="10" width="9.15625" style="36"/>
    <col min="11" max="16" width="10.578125" style="36" bestFit="1" customWidth="1"/>
    <col min="17" max="16384" width="9.15625" style="36"/>
  </cols>
  <sheetData>
    <row r="1" spans="1:14" ht="15" customHeight="1">
      <c r="A1" s="309" t="s">
        <v>0</v>
      </c>
      <c r="B1" s="310"/>
      <c r="C1" s="310"/>
      <c r="D1" s="310"/>
      <c r="E1" s="310"/>
      <c r="F1" s="310"/>
      <c r="G1" s="310"/>
    </row>
    <row r="2" spans="1:14" ht="15.75" customHeight="1">
      <c r="A2" s="309"/>
      <c r="B2" s="310"/>
      <c r="C2" s="310"/>
      <c r="D2" s="310"/>
      <c r="E2" s="310"/>
      <c r="F2" s="310"/>
      <c r="G2" s="310"/>
    </row>
    <row r="3" spans="1:14" ht="17.7">
      <c r="A3" s="280" t="s">
        <v>34</v>
      </c>
      <c r="B3" s="281"/>
      <c r="C3" s="281"/>
      <c r="D3" s="281"/>
      <c r="E3" s="281"/>
      <c r="F3" s="281"/>
      <c r="G3" s="281"/>
    </row>
    <row r="4" spans="1:14" ht="17.7">
      <c r="A4" s="148"/>
      <c r="B4" s="51" t="s">
        <v>115</v>
      </c>
      <c r="C4" s="312" t="s">
        <v>114</v>
      </c>
      <c r="D4" s="314"/>
      <c r="E4" s="312" t="s">
        <v>146</v>
      </c>
      <c r="F4" s="313"/>
      <c r="G4" s="252"/>
    </row>
    <row r="5" spans="1:14" ht="28.2">
      <c r="A5" s="150" t="s">
        <v>1</v>
      </c>
      <c r="B5" s="151" t="s">
        <v>2</v>
      </c>
      <c r="C5" s="109"/>
      <c r="D5" s="56" t="s">
        <v>116</v>
      </c>
      <c r="E5" s="56" t="s">
        <v>117</v>
      </c>
      <c r="F5" s="152" t="s">
        <v>69</v>
      </c>
      <c r="G5" s="277" t="s">
        <v>148</v>
      </c>
      <c r="N5" s="195"/>
    </row>
    <row r="6" spans="1:14" ht="15.75" customHeight="1">
      <c r="A6" s="150"/>
      <c r="B6" s="107"/>
      <c r="C6" s="109"/>
      <c r="D6" s="262"/>
      <c r="E6" s="262"/>
      <c r="F6" s="152"/>
      <c r="G6" s="277"/>
    </row>
    <row r="7" spans="1:14">
      <c r="A7" s="153">
        <v>1</v>
      </c>
      <c r="B7" s="111" t="s">
        <v>4</v>
      </c>
      <c r="C7" s="112"/>
      <c r="D7" s="113"/>
      <c r="E7" s="113"/>
      <c r="F7" s="154"/>
      <c r="G7" s="115"/>
      <c r="N7" s="195" t="s">
        <v>91</v>
      </c>
    </row>
    <row r="8" spans="1:14">
      <c r="A8" s="155"/>
      <c r="B8" s="113" t="s">
        <v>5</v>
      </c>
      <c r="C8" s="112" t="s">
        <v>6</v>
      </c>
      <c r="D8" s="64">
        <v>36048.5</v>
      </c>
      <c r="E8" s="64">
        <v>36588.1</v>
      </c>
      <c r="F8" s="156">
        <f>E8-D8</f>
        <v>539.59999999999854</v>
      </c>
      <c r="G8" s="116"/>
    </row>
    <row r="9" spans="1:14" ht="15">
      <c r="A9" s="155"/>
      <c r="B9" s="113"/>
      <c r="C9" s="95" t="s">
        <v>70</v>
      </c>
      <c r="D9" s="157"/>
      <c r="E9" s="157"/>
      <c r="F9" s="158">
        <f>F8*284.35</f>
        <v>153435.2599999996</v>
      </c>
      <c r="G9" s="99"/>
    </row>
    <row r="10" spans="1:14" ht="15">
      <c r="A10" s="155"/>
      <c r="B10" s="159" t="s">
        <v>71</v>
      </c>
      <c r="C10" s="160"/>
      <c r="D10" s="161"/>
      <c r="E10" s="161"/>
      <c r="F10" s="162">
        <f>F9*0.568</f>
        <v>87151.227679999763</v>
      </c>
      <c r="G10" s="253"/>
    </row>
    <row r="11" spans="1:14" ht="15">
      <c r="A11" s="155"/>
      <c r="B11" s="159" t="s">
        <v>110</v>
      </c>
      <c r="C11" s="160"/>
      <c r="D11" s="161"/>
      <c r="E11" s="161"/>
      <c r="F11" s="162">
        <f>F9*0.075</f>
        <v>11507.644499999969</v>
      </c>
      <c r="G11" s="253"/>
    </row>
    <row r="12" spans="1:14" ht="15">
      <c r="A12" s="155"/>
      <c r="B12" s="163" t="s">
        <v>72</v>
      </c>
      <c r="C12" s="164"/>
      <c r="D12" s="165"/>
      <c r="E12" s="165"/>
      <c r="F12" s="166">
        <f>F10+F11</f>
        <v>98658.872179999729</v>
      </c>
      <c r="G12" s="254">
        <v>112911</v>
      </c>
    </row>
    <row r="13" spans="1:14" ht="15">
      <c r="A13" s="155"/>
      <c r="B13" s="163" t="s">
        <v>90</v>
      </c>
      <c r="C13" s="164"/>
      <c r="D13" s="165"/>
      <c r="E13" s="165"/>
      <c r="F13" s="166">
        <f>(3200*31)</f>
        <v>99200</v>
      </c>
      <c r="G13" s="254">
        <v>95548</v>
      </c>
    </row>
    <row r="14" spans="1:14" ht="15">
      <c r="A14" s="155"/>
      <c r="B14" s="168"/>
      <c r="C14" s="95"/>
      <c r="D14" s="157"/>
      <c r="E14" s="157"/>
      <c r="F14" s="193">
        <f>(F12+F13)</f>
        <v>197858.87217999971</v>
      </c>
      <c r="G14" s="254">
        <f>SUM(G12:G13)</f>
        <v>208459</v>
      </c>
    </row>
    <row r="15" spans="1:14">
      <c r="A15" s="153" t="s">
        <v>8</v>
      </c>
      <c r="B15" s="111" t="s">
        <v>9</v>
      </c>
      <c r="C15" s="112"/>
      <c r="D15" s="64"/>
      <c r="E15" s="64"/>
      <c r="F15" s="169"/>
      <c r="G15" s="129"/>
    </row>
    <row r="16" spans="1:14">
      <c r="A16" s="170"/>
      <c r="B16" s="70" t="s">
        <v>10</v>
      </c>
      <c r="C16" s="71" t="s">
        <v>37</v>
      </c>
      <c r="D16" s="64">
        <v>115212</v>
      </c>
      <c r="E16" s="64">
        <v>122881</v>
      </c>
      <c r="F16" s="156">
        <f>E16-D16</f>
        <v>7669</v>
      </c>
      <c r="G16" s="116"/>
    </row>
    <row r="17" spans="1:16" ht="27.6">
      <c r="A17" s="170"/>
      <c r="B17" s="70"/>
      <c r="C17" s="71" t="s">
        <v>151</v>
      </c>
      <c r="D17" s="64"/>
      <c r="E17" s="64"/>
      <c r="F17" s="171">
        <f>F16*219.969</f>
        <v>1686942.2609999999</v>
      </c>
      <c r="G17" s="255"/>
    </row>
    <row r="18" spans="1:16">
      <c r="A18" s="170"/>
      <c r="B18" s="159" t="s">
        <v>82</v>
      </c>
      <c r="C18" s="172"/>
      <c r="D18" s="173"/>
      <c r="E18" s="173"/>
      <c r="F18" s="174">
        <v>350</v>
      </c>
      <c r="G18" s="256"/>
    </row>
    <row r="19" spans="1:16">
      <c r="A19" s="170"/>
      <c r="B19" s="159" t="s">
        <v>83</v>
      </c>
      <c r="C19" s="172"/>
      <c r="D19" s="173"/>
      <c r="E19" s="173"/>
      <c r="F19" s="174">
        <v>400</v>
      </c>
      <c r="G19" s="256"/>
    </row>
    <row r="20" spans="1:16">
      <c r="A20" s="170"/>
      <c r="B20" s="159" t="s">
        <v>84</v>
      </c>
      <c r="C20" s="172"/>
      <c r="D20" s="173"/>
      <c r="E20" s="173"/>
      <c r="F20" s="174">
        <f>SUM(F17-20000)*0.046</f>
        <v>76679.344005999999</v>
      </c>
      <c r="G20" s="256"/>
    </row>
    <row r="21" spans="1:16">
      <c r="A21" s="170"/>
      <c r="B21" s="159" t="s">
        <v>80</v>
      </c>
      <c r="C21" s="172"/>
      <c r="D21" s="173"/>
      <c r="E21" s="173"/>
      <c r="F21" s="174">
        <f>F17*0.006</f>
        <v>10121.653565999999</v>
      </c>
      <c r="G21" s="256"/>
    </row>
    <row r="22" spans="1:16">
      <c r="A22" s="170"/>
      <c r="B22" s="159" t="s">
        <v>81</v>
      </c>
      <c r="C22" s="172"/>
      <c r="D22" s="173"/>
      <c r="E22" s="173"/>
      <c r="F22" s="174">
        <f>F17*0.005</f>
        <v>8434.7113050000007</v>
      </c>
      <c r="G22" s="256"/>
    </row>
    <row r="23" spans="1:16">
      <c r="A23" s="170"/>
      <c r="B23" s="163" t="s">
        <v>72</v>
      </c>
      <c r="C23" s="175"/>
      <c r="D23" s="176"/>
      <c r="E23" s="176"/>
      <c r="F23" s="177">
        <f>SUM(F18:F22)</f>
        <v>95985.708876999997</v>
      </c>
      <c r="G23" s="257">
        <v>59385</v>
      </c>
    </row>
    <row r="24" spans="1:16">
      <c r="A24" s="153" t="s">
        <v>12</v>
      </c>
      <c r="B24" s="111" t="s">
        <v>13</v>
      </c>
      <c r="C24" s="112"/>
      <c r="D24" s="64"/>
      <c r="E24" s="64"/>
      <c r="F24" s="178"/>
      <c r="G24" s="138"/>
      <c r="K24" s="259">
        <v>1</v>
      </c>
      <c r="L24" s="259">
        <v>2</v>
      </c>
      <c r="M24" s="259">
        <v>3</v>
      </c>
      <c r="N24" s="259">
        <v>4</v>
      </c>
      <c r="O24" s="259">
        <v>6</v>
      </c>
      <c r="P24" s="259">
        <v>7</v>
      </c>
    </row>
    <row r="25" spans="1:16">
      <c r="A25" s="155">
        <v>1</v>
      </c>
      <c r="B25" s="113" t="s">
        <v>38</v>
      </c>
      <c r="C25" s="112" t="s">
        <v>35</v>
      </c>
      <c r="D25" s="64">
        <v>4025.2</v>
      </c>
      <c r="E25" s="64">
        <v>4235.1000000000004</v>
      </c>
      <c r="F25" s="156">
        <f t="shared" ref="F25:F30" si="0">(E25-D25)*480</f>
        <v>100752.00000000026</v>
      </c>
      <c r="G25" s="116"/>
      <c r="H25" s="36">
        <f>(F25*0.065)</f>
        <v>6548.8800000000174</v>
      </c>
      <c r="K25" s="36">
        <f>H25</f>
        <v>6548.8800000000174</v>
      </c>
      <c r="L25" s="36">
        <f>H26</f>
        <v>3822</v>
      </c>
      <c r="M25" s="36">
        <f>H27</f>
        <v>4658.1600000000062</v>
      </c>
      <c r="N25" s="36">
        <f>H28</f>
        <v>2667.6</v>
      </c>
      <c r="O25" s="36">
        <f>H29</f>
        <v>4517.7600000000057</v>
      </c>
      <c r="P25" s="36">
        <f>H30</f>
        <v>11949.6</v>
      </c>
    </row>
    <row r="26" spans="1:16">
      <c r="A26" s="155">
        <v>2</v>
      </c>
      <c r="B26" s="113" t="s">
        <v>39</v>
      </c>
      <c r="C26" s="112" t="s">
        <v>35</v>
      </c>
      <c r="D26" s="64">
        <v>2421.5</v>
      </c>
      <c r="E26" s="64">
        <v>2544</v>
      </c>
      <c r="F26" s="156">
        <f t="shared" si="0"/>
        <v>58800</v>
      </c>
      <c r="G26" s="116"/>
      <c r="H26" s="36">
        <f t="shared" ref="H26:H30" si="1">(F26*0.065)</f>
        <v>3822</v>
      </c>
      <c r="K26" s="36">
        <v>1660</v>
      </c>
      <c r="L26" s="36">
        <v>1660</v>
      </c>
      <c r="M26" s="36">
        <v>1660</v>
      </c>
      <c r="N26" s="36">
        <v>1660</v>
      </c>
      <c r="O26" s="36">
        <v>1660</v>
      </c>
      <c r="P26" s="36">
        <v>1660</v>
      </c>
    </row>
    <row r="27" spans="1:16">
      <c r="A27" s="155">
        <v>3</v>
      </c>
      <c r="B27" s="113" t="s">
        <v>40</v>
      </c>
      <c r="C27" s="112" t="s">
        <v>35</v>
      </c>
      <c r="D27" s="64">
        <v>2578.1</v>
      </c>
      <c r="E27" s="64">
        <v>2727.4</v>
      </c>
      <c r="F27" s="156">
        <f t="shared" si="0"/>
        <v>71664.000000000087</v>
      </c>
      <c r="G27" s="116"/>
      <c r="H27" s="36">
        <f t="shared" si="1"/>
        <v>4658.1600000000062</v>
      </c>
      <c r="K27" s="258">
        <f>SUM(F25-6000)*0.38</f>
        <v>36005.760000000097</v>
      </c>
      <c r="L27" s="258">
        <f>SUM(F26-6000)*0.38</f>
        <v>20064</v>
      </c>
      <c r="M27" s="258">
        <f>SUM(F27-6000)*0.38</f>
        <v>24952.320000000032</v>
      </c>
      <c r="N27" s="258">
        <f>SUM(F28-6000)*0.38</f>
        <v>13315.2</v>
      </c>
      <c r="O27" s="258">
        <f>SUM(F29-6000)*0.38</f>
        <v>24131.520000000033</v>
      </c>
      <c r="P27" s="258">
        <f>SUM(F30-6000)*0.38</f>
        <v>67579.199999999997</v>
      </c>
    </row>
    <row r="28" spans="1:16">
      <c r="A28" s="155">
        <v>4</v>
      </c>
      <c r="B28" s="113" t="s">
        <v>41</v>
      </c>
      <c r="C28" s="112" t="s">
        <v>35</v>
      </c>
      <c r="D28" s="64">
        <v>1281.3</v>
      </c>
      <c r="E28" s="64">
        <v>1366.8</v>
      </c>
      <c r="F28" s="156">
        <f t="shared" si="0"/>
        <v>41040</v>
      </c>
      <c r="G28" s="116"/>
      <c r="H28" s="36">
        <f t="shared" si="1"/>
        <v>2667.6</v>
      </c>
      <c r="K28" s="47">
        <f>SUM(K25:K27)</f>
        <v>44214.640000000116</v>
      </c>
      <c r="L28" s="47">
        <f t="shared" ref="L28:P28" si="2">SUM(L25:L27)</f>
        <v>25546</v>
      </c>
      <c r="M28" s="47">
        <f t="shared" si="2"/>
        <v>31270.48000000004</v>
      </c>
      <c r="N28" s="47">
        <f t="shared" si="2"/>
        <v>17642.800000000003</v>
      </c>
      <c r="O28" s="47">
        <f t="shared" si="2"/>
        <v>30309.280000000039</v>
      </c>
      <c r="P28" s="47">
        <f t="shared" si="2"/>
        <v>81188.800000000003</v>
      </c>
    </row>
    <row r="29" spans="1:16">
      <c r="A29" s="155">
        <v>5</v>
      </c>
      <c r="B29" s="113" t="s">
        <v>42</v>
      </c>
      <c r="C29" s="112" t="s">
        <v>35</v>
      </c>
      <c r="D29" s="64">
        <v>3858.5</v>
      </c>
      <c r="E29" s="64">
        <v>4003.3</v>
      </c>
      <c r="F29" s="156">
        <f t="shared" si="0"/>
        <v>69504.000000000087</v>
      </c>
      <c r="G29" s="116"/>
      <c r="H29" s="36">
        <f t="shared" si="1"/>
        <v>4517.7600000000057</v>
      </c>
    </row>
    <row r="30" spans="1:16">
      <c r="A30" s="155">
        <v>6</v>
      </c>
      <c r="B30" s="113" t="s">
        <v>43</v>
      </c>
      <c r="C30" s="112" t="s">
        <v>35</v>
      </c>
      <c r="D30" s="64">
        <v>10205.200000000001</v>
      </c>
      <c r="E30" s="64">
        <v>10588.2</v>
      </c>
      <c r="F30" s="156">
        <f t="shared" si="0"/>
        <v>183840</v>
      </c>
      <c r="G30" s="116"/>
      <c r="H30" s="36">
        <f t="shared" si="1"/>
        <v>11949.6</v>
      </c>
    </row>
    <row r="31" spans="1:16">
      <c r="A31" s="155"/>
      <c r="B31" s="122" t="s">
        <v>73</v>
      </c>
      <c r="C31" s="112"/>
      <c r="D31" s="64"/>
      <c r="E31" s="64"/>
      <c r="F31" s="179">
        <f>SUM(F25:F30)</f>
        <v>525600.00000000047</v>
      </c>
      <c r="G31" s="139"/>
    </row>
    <row r="32" spans="1:16">
      <c r="A32" s="180"/>
      <c r="B32" s="159" t="s">
        <v>85</v>
      </c>
      <c r="C32" s="181"/>
      <c r="D32" s="182"/>
      <c r="E32" s="182"/>
      <c r="F32" s="162">
        <v>460</v>
      </c>
      <c r="G32" s="253"/>
    </row>
    <row r="33" spans="1:7">
      <c r="A33" s="180"/>
      <c r="B33" s="159" t="s">
        <v>86</v>
      </c>
      <c r="C33" s="181"/>
      <c r="D33" s="182"/>
      <c r="E33" s="182"/>
      <c r="F33" s="162">
        <v>560</v>
      </c>
      <c r="G33" s="253"/>
    </row>
    <row r="34" spans="1:7">
      <c r="A34" s="180"/>
      <c r="B34" s="159" t="s">
        <v>87</v>
      </c>
      <c r="C34" s="181"/>
      <c r="D34" s="182"/>
      <c r="E34" s="182"/>
      <c r="F34" s="162">
        <v>640</v>
      </c>
      <c r="G34" s="253"/>
    </row>
    <row r="35" spans="1:7">
      <c r="A35" s="180"/>
      <c r="B35" s="159" t="s">
        <v>88</v>
      </c>
      <c r="C35" s="181"/>
      <c r="D35" s="182"/>
      <c r="E35" s="182"/>
      <c r="F35" s="162">
        <f>SUM(F31-6000)*0.38</f>
        <v>197448.00000000017</v>
      </c>
      <c r="G35" s="253"/>
    </row>
    <row r="36" spans="1:7">
      <c r="A36" s="180"/>
      <c r="B36" s="159" t="s">
        <v>89</v>
      </c>
      <c r="C36" s="181"/>
      <c r="D36" s="182"/>
      <c r="E36" s="182"/>
      <c r="F36" s="162">
        <f>F31*0.065</f>
        <v>34164.000000000029</v>
      </c>
      <c r="G36" s="253"/>
    </row>
    <row r="37" spans="1:7">
      <c r="A37" s="180"/>
      <c r="B37" s="163" t="s">
        <v>72</v>
      </c>
      <c r="C37" s="183"/>
      <c r="D37" s="184"/>
      <c r="E37" s="184"/>
      <c r="F37" s="166">
        <f>SUM(F32:F36)</f>
        <v>233272.0000000002</v>
      </c>
      <c r="G37" s="254">
        <v>211706</v>
      </c>
    </row>
    <row r="38" spans="1:7">
      <c r="A38" s="153" t="s">
        <v>15</v>
      </c>
      <c r="B38" s="111" t="s">
        <v>16</v>
      </c>
      <c r="C38" s="112"/>
      <c r="D38" s="86"/>
      <c r="E38" s="86"/>
      <c r="F38" s="178"/>
      <c r="G38" s="138"/>
    </row>
    <row r="39" spans="1:7">
      <c r="A39" s="155">
        <v>1</v>
      </c>
      <c r="B39" s="126" t="s">
        <v>17</v>
      </c>
      <c r="C39" s="128"/>
      <c r="D39" s="64"/>
      <c r="E39" s="64"/>
      <c r="F39" s="179"/>
      <c r="G39" s="139"/>
    </row>
    <row r="40" spans="1:7">
      <c r="A40" s="155"/>
      <c r="B40" s="126"/>
      <c r="C40" s="185" t="s">
        <v>74</v>
      </c>
      <c r="D40" s="64">
        <v>47370.3</v>
      </c>
      <c r="E40" s="64">
        <v>51820.1</v>
      </c>
      <c r="F40" s="158">
        <f>E40-D40</f>
        <v>4449.7999999999956</v>
      </c>
      <c r="G40" s="139"/>
    </row>
    <row r="41" spans="1:7">
      <c r="A41" s="155"/>
      <c r="B41" s="126"/>
      <c r="C41" s="128" t="s">
        <v>150</v>
      </c>
      <c r="D41" s="64"/>
      <c r="E41" s="64"/>
      <c r="F41" s="179">
        <f>F40*3.7</f>
        <v>16464.259999999984</v>
      </c>
      <c r="G41" s="139"/>
    </row>
    <row r="42" spans="1:7" ht="14.7" thickBot="1">
      <c r="A42" s="186"/>
      <c r="B42" s="187" t="s">
        <v>149</v>
      </c>
      <c r="C42" s="188"/>
      <c r="D42" s="189"/>
      <c r="E42" s="189"/>
      <c r="F42" s="190">
        <f>F41*1.79</f>
        <v>29471.025399999973</v>
      </c>
      <c r="G42" s="254">
        <v>13040</v>
      </c>
    </row>
    <row r="43" spans="1:7" ht="11.25" customHeight="1">
      <c r="A43" s="37"/>
      <c r="B43" s="37"/>
      <c r="C43" s="38"/>
      <c r="D43" s="37"/>
      <c r="E43" s="37"/>
      <c r="F43" s="39"/>
      <c r="G43" s="39"/>
    </row>
    <row r="44" spans="1:7" ht="19" customHeight="1">
      <c r="A44" s="5"/>
      <c r="B44" s="311" t="s">
        <v>20</v>
      </c>
      <c r="C44" s="311"/>
      <c r="D44" s="311"/>
      <c r="E44" s="311"/>
      <c r="F44" s="6"/>
      <c r="G44" s="6"/>
    </row>
    <row r="45" spans="1:7" ht="19" customHeight="1">
      <c r="A45" s="5"/>
      <c r="B45" s="194" t="s">
        <v>21</v>
      </c>
      <c r="C45" s="194" t="s">
        <v>22</v>
      </c>
      <c r="D45" s="194" t="s">
        <v>23</v>
      </c>
      <c r="E45" s="194" t="s">
        <v>75</v>
      </c>
      <c r="F45" s="6"/>
      <c r="G45" s="6"/>
    </row>
    <row r="46" spans="1:7">
      <c r="A46" s="37"/>
      <c r="B46" s="9" t="s">
        <v>25</v>
      </c>
      <c r="C46" s="9" t="s">
        <v>7</v>
      </c>
      <c r="D46" s="10">
        <f>F9</f>
        <v>153435.2599999996</v>
      </c>
      <c r="E46" s="48">
        <f>F12</f>
        <v>98658.872179999729</v>
      </c>
      <c r="F46" s="43"/>
      <c r="G46" s="43"/>
    </row>
    <row r="47" spans="1:7">
      <c r="A47" s="37"/>
      <c r="B47" s="9" t="s">
        <v>26</v>
      </c>
      <c r="C47" s="9" t="s">
        <v>76</v>
      </c>
      <c r="D47" s="10">
        <f>F17</f>
        <v>1686942.2609999999</v>
      </c>
      <c r="E47" s="48">
        <f>F23</f>
        <v>95985.708876999997</v>
      </c>
      <c r="F47" s="43"/>
      <c r="G47" s="43"/>
    </row>
    <row r="48" spans="1:7">
      <c r="A48" s="37"/>
      <c r="B48" s="9" t="s">
        <v>27</v>
      </c>
      <c r="C48" s="9" t="s">
        <v>77</v>
      </c>
      <c r="D48" s="10">
        <f>F31</f>
        <v>525600.00000000047</v>
      </c>
      <c r="E48" s="48">
        <f>F37</f>
        <v>233272.0000000002</v>
      </c>
      <c r="F48" s="43"/>
      <c r="G48" s="43"/>
    </row>
    <row r="49" spans="1:7">
      <c r="A49" s="37"/>
      <c r="B49" s="9" t="s">
        <v>28</v>
      </c>
      <c r="C49" s="185" t="s">
        <v>74</v>
      </c>
      <c r="D49" s="10">
        <f>F40</f>
        <v>4449.7999999999956</v>
      </c>
      <c r="E49" s="48">
        <f>F42</f>
        <v>29471.025399999973</v>
      </c>
      <c r="F49" s="43"/>
      <c r="G49" s="43"/>
    </row>
    <row r="50" spans="1:7" ht="15.6">
      <c r="A50" s="37"/>
      <c r="B50" s="3"/>
      <c r="C50" s="3"/>
      <c r="D50" s="191" t="s">
        <v>78</v>
      </c>
      <c r="E50" s="192">
        <f>SUM(E46:E49)</f>
        <v>457387.60645699996</v>
      </c>
      <c r="F50" s="46"/>
      <c r="G50" s="46"/>
    </row>
  </sheetData>
  <mergeCells count="7">
    <mergeCell ref="G5:G6"/>
    <mergeCell ref="A1:G2"/>
    <mergeCell ref="A3:G3"/>
    <mergeCell ref="D6:E6"/>
    <mergeCell ref="B44:E44"/>
    <mergeCell ref="E4:F4"/>
    <mergeCell ref="C4:D4"/>
  </mergeCells>
  <hyperlinks>
    <hyperlink ref="N7" location="'1'!A1" display="1st" xr:uid="{C7103A31-84C8-4364-B1CE-C10722934D93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13B43-7A60-438D-8301-71DB2D07CFEF}">
  <dimension ref="A1:AQ20"/>
  <sheetViews>
    <sheetView topLeftCell="R1" workbookViewId="0">
      <pane ySplit="2" topLeftCell="A3" activePane="bottomLeft" state="frozen"/>
      <selection activeCell="B1" sqref="B1"/>
      <selection pane="bottomLeft" activeCell="AF21" sqref="AF21"/>
    </sheetView>
  </sheetViews>
  <sheetFormatPr defaultColWidth="9.15625" defaultRowHeight="26.4"/>
  <cols>
    <col min="1" max="1" width="39.41796875" style="228" bestFit="1" customWidth="1"/>
    <col min="2" max="32" width="16.68359375" style="216" bestFit="1" customWidth="1"/>
    <col min="33" max="35" width="9.15625" style="216"/>
    <col min="36" max="36" width="24.68359375" style="216" customWidth="1"/>
    <col min="37" max="16384" width="9.15625" style="216"/>
  </cols>
  <sheetData>
    <row r="1" spans="1:43">
      <c r="A1" s="214" t="s">
        <v>91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</row>
    <row r="2" spans="1:43">
      <c r="A2" s="217"/>
      <c r="B2" s="218">
        <v>1</v>
      </c>
      <c r="C2" s="218">
        <v>2</v>
      </c>
      <c r="D2" s="218">
        <v>3</v>
      </c>
      <c r="E2" s="218">
        <v>4</v>
      </c>
      <c r="F2" s="218">
        <v>5</v>
      </c>
      <c r="G2" s="218">
        <v>6</v>
      </c>
      <c r="H2" s="218">
        <v>7</v>
      </c>
      <c r="I2" s="218">
        <v>8</v>
      </c>
      <c r="J2" s="218">
        <v>9</v>
      </c>
      <c r="K2" s="218">
        <v>10</v>
      </c>
      <c r="L2" s="218">
        <v>11</v>
      </c>
      <c r="M2" s="218">
        <v>12</v>
      </c>
      <c r="N2" s="218">
        <v>13</v>
      </c>
      <c r="O2" s="218">
        <v>14</v>
      </c>
      <c r="P2" s="218">
        <v>15</v>
      </c>
      <c r="Q2" s="218">
        <v>16</v>
      </c>
      <c r="R2" s="218">
        <v>17</v>
      </c>
      <c r="S2" s="218">
        <v>18</v>
      </c>
      <c r="T2" s="218">
        <v>19</v>
      </c>
      <c r="U2" s="218">
        <v>20</v>
      </c>
      <c r="V2" s="218">
        <v>21</v>
      </c>
      <c r="W2" s="218">
        <v>22</v>
      </c>
      <c r="X2" s="218">
        <v>23</v>
      </c>
      <c r="Y2" s="218">
        <v>24</v>
      </c>
      <c r="Z2" s="218">
        <v>25</v>
      </c>
      <c r="AA2" s="218">
        <v>26</v>
      </c>
      <c r="AB2" s="218">
        <v>27</v>
      </c>
      <c r="AC2" s="218">
        <v>28</v>
      </c>
      <c r="AD2" s="218">
        <v>29</v>
      </c>
      <c r="AE2" s="218">
        <v>30</v>
      </c>
      <c r="AF2" s="218">
        <v>31</v>
      </c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</row>
    <row r="3" spans="1:43">
      <c r="A3" s="219" t="s">
        <v>99</v>
      </c>
      <c r="B3" s="220">
        <v>0.75119999999999998</v>
      </c>
      <c r="C3" s="220">
        <v>0.629</v>
      </c>
      <c r="D3" s="220">
        <v>0.65210000000000001</v>
      </c>
      <c r="E3" s="220">
        <v>0.64059999999999995</v>
      </c>
      <c r="F3" s="220">
        <v>0.62439999999999996</v>
      </c>
      <c r="G3" s="220">
        <v>0.60829999999999995</v>
      </c>
      <c r="H3" s="220">
        <v>0.5161</v>
      </c>
      <c r="I3" s="220">
        <v>0.371</v>
      </c>
      <c r="J3" s="220">
        <v>0.71430000000000005</v>
      </c>
      <c r="K3" s="220">
        <v>0.84330000000000005</v>
      </c>
      <c r="L3" s="220">
        <v>0.84330000000000005</v>
      </c>
      <c r="M3" s="220">
        <v>0.67049999999999998</v>
      </c>
      <c r="N3" s="220">
        <v>0.70050000000000001</v>
      </c>
      <c r="O3" s="220">
        <v>0.53690000000000004</v>
      </c>
      <c r="P3" s="220">
        <v>0.41239999999999999</v>
      </c>
      <c r="Q3" s="220">
        <v>0.79490000000000005</v>
      </c>
      <c r="R3" s="220">
        <v>0.93320000000000003</v>
      </c>
      <c r="S3" s="220">
        <v>0.98619999999999997</v>
      </c>
      <c r="T3" s="220">
        <v>0.94240000000000002</v>
      </c>
      <c r="U3" s="220">
        <v>0.91710000000000003</v>
      </c>
      <c r="V3" s="220">
        <v>0.64290000000000003</v>
      </c>
      <c r="W3" s="220">
        <v>0.47699999999999998</v>
      </c>
      <c r="X3" s="220">
        <v>0.62439999999999996</v>
      </c>
      <c r="Y3" s="220">
        <v>0.63590000000000002</v>
      </c>
      <c r="Z3" s="220">
        <v>0.76500000000000001</v>
      </c>
      <c r="AA3" s="220">
        <v>0.88480000000000003</v>
      </c>
      <c r="AB3" s="220">
        <v>0.81110000000000004</v>
      </c>
      <c r="AC3" s="220">
        <v>0.75580000000000003</v>
      </c>
      <c r="AD3" s="220">
        <v>0.77880000000000005</v>
      </c>
      <c r="AE3" s="220">
        <v>0.94930000000000003</v>
      </c>
      <c r="AF3" s="220">
        <v>0.97929999999999995</v>
      </c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</row>
    <row r="4" spans="1:43">
      <c r="A4" s="341"/>
      <c r="B4" s="341"/>
      <c r="C4" s="341"/>
      <c r="D4" s="341"/>
      <c r="E4" s="341"/>
      <c r="F4" s="341"/>
      <c r="G4" s="341"/>
      <c r="H4" s="34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</row>
    <row r="5" spans="1:43">
      <c r="A5" s="222" t="s">
        <v>92</v>
      </c>
      <c r="B5" s="218" t="s">
        <v>77</v>
      </c>
      <c r="C5" s="218" t="s">
        <v>77</v>
      </c>
      <c r="D5" s="218" t="s">
        <v>77</v>
      </c>
      <c r="E5" s="218" t="s">
        <v>77</v>
      </c>
      <c r="F5" s="218" t="s">
        <v>77</v>
      </c>
      <c r="G5" s="218" t="s">
        <v>77</v>
      </c>
      <c r="H5" s="218" t="s">
        <v>77</v>
      </c>
      <c r="I5" s="218" t="s">
        <v>77</v>
      </c>
      <c r="J5" s="218" t="s">
        <v>77</v>
      </c>
      <c r="K5" s="218" t="s">
        <v>77</v>
      </c>
      <c r="L5" s="218" t="s">
        <v>77</v>
      </c>
      <c r="M5" s="218" t="s">
        <v>77</v>
      </c>
      <c r="N5" s="218" t="s">
        <v>77</v>
      </c>
      <c r="O5" s="218" t="s">
        <v>77</v>
      </c>
      <c r="P5" s="218" t="s">
        <v>77</v>
      </c>
      <c r="Q5" s="218" t="s">
        <v>77</v>
      </c>
      <c r="R5" s="218" t="s">
        <v>77</v>
      </c>
      <c r="S5" s="218" t="s">
        <v>77</v>
      </c>
      <c r="T5" s="218" t="s">
        <v>77</v>
      </c>
      <c r="U5" s="218" t="s">
        <v>77</v>
      </c>
      <c r="V5" s="218" t="s">
        <v>77</v>
      </c>
      <c r="W5" s="218" t="s">
        <v>77</v>
      </c>
      <c r="X5" s="218" t="s">
        <v>77</v>
      </c>
      <c r="Y5" s="218" t="s">
        <v>77</v>
      </c>
      <c r="Z5" s="218" t="s">
        <v>77</v>
      </c>
      <c r="AA5" s="218" t="s">
        <v>77</v>
      </c>
      <c r="AB5" s="218" t="s">
        <v>77</v>
      </c>
      <c r="AC5" s="218" t="s">
        <v>77</v>
      </c>
      <c r="AD5" s="218" t="s">
        <v>77</v>
      </c>
      <c r="AE5" s="218" t="s">
        <v>77</v>
      </c>
      <c r="AF5" s="218" t="s">
        <v>77</v>
      </c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</row>
    <row r="6" spans="1:43">
      <c r="A6" s="223" t="s">
        <v>93</v>
      </c>
      <c r="B6" s="224">
        <v>2640</v>
      </c>
      <c r="C6" s="224">
        <v>3360</v>
      </c>
      <c r="D6" s="224">
        <v>3456</v>
      </c>
      <c r="E6" s="224">
        <v>3216</v>
      </c>
      <c r="F6" s="224">
        <v>3168</v>
      </c>
      <c r="G6" s="224">
        <v>3600</v>
      </c>
      <c r="H6" s="224">
        <v>3360</v>
      </c>
      <c r="I6" s="224">
        <v>2496</v>
      </c>
      <c r="J6" s="224">
        <v>3456</v>
      </c>
      <c r="K6" s="224">
        <v>3072</v>
      </c>
      <c r="L6" s="224">
        <v>3264</v>
      </c>
      <c r="M6" s="224">
        <v>3168</v>
      </c>
      <c r="N6" s="224">
        <v>3360</v>
      </c>
      <c r="O6" s="224">
        <v>3216</v>
      </c>
      <c r="P6" s="224">
        <v>3168</v>
      </c>
      <c r="Q6" s="224">
        <v>3264</v>
      </c>
      <c r="R6" s="224">
        <v>3792</v>
      </c>
      <c r="S6" s="224">
        <v>2736</v>
      </c>
      <c r="T6" s="224">
        <v>3408</v>
      </c>
      <c r="U6" s="224">
        <v>4176</v>
      </c>
      <c r="V6" s="224">
        <v>2488</v>
      </c>
      <c r="W6" s="224">
        <v>3120</v>
      </c>
      <c r="X6" s="224">
        <v>3456</v>
      </c>
      <c r="Y6" s="224">
        <v>2880</v>
      </c>
      <c r="Z6" s="224">
        <v>3264</v>
      </c>
      <c r="AA6" s="224">
        <v>3264</v>
      </c>
      <c r="AB6" s="224">
        <v>3072</v>
      </c>
      <c r="AC6" s="224">
        <v>3264</v>
      </c>
      <c r="AD6" s="224">
        <v>3312</v>
      </c>
      <c r="AE6" s="224">
        <v>3984</v>
      </c>
      <c r="AF6" s="224">
        <v>3312</v>
      </c>
      <c r="AG6" s="225"/>
      <c r="AH6" s="215"/>
    </row>
    <row r="7" spans="1:43">
      <c r="A7" s="223" t="s">
        <v>94</v>
      </c>
      <c r="B7" s="224">
        <v>1488</v>
      </c>
      <c r="C7" s="224">
        <v>1872</v>
      </c>
      <c r="D7" s="224">
        <v>1824</v>
      </c>
      <c r="E7" s="224">
        <v>1968</v>
      </c>
      <c r="F7" s="224">
        <v>1776</v>
      </c>
      <c r="G7" s="224">
        <v>2016</v>
      </c>
      <c r="H7" s="224">
        <v>1920</v>
      </c>
      <c r="I7" s="224">
        <v>1488</v>
      </c>
      <c r="J7" s="224">
        <v>2016</v>
      </c>
      <c r="K7" s="224">
        <v>1920</v>
      </c>
      <c r="L7" s="224">
        <v>1968</v>
      </c>
      <c r="M7" s="224">
        <v>2016</v>
      </c>
      <c r="N7" s="224">
        <v>1920</v>
      </c>
      <c r="O7" s="224">
        <v>1872</v>
      </c>
      <c r="P7" s="224">
        <v>1776</v>
      </c>
      <c r="Q7" s="224">
        <v>1872</v>
      </c>
      <c r="R7" s="224">
        <v>2256</v>
      </c>
      <c r="S7" s="224">
        <v>1632</v>
      </c>
      <c r="T7" s="224">
        <v>1968</v>
      </c>
      <c r="U7" s="224">
        <v>2496</v>
      </c>
      <c r="V7" s="224">
        <v>1392</v>
      </c>
      <c r="W7" s="224">
        <v>1776</v>
      </c>
      <c r="X7" s="224">
        <v>1920</v>
      </c>
      <c r="Y7" s="224">
        <v>1728</v>
      </c>
      <c r="Z7" s="224">
        <v>1920</v>
      </c>
      <c r="AA7" s="224">
        <v>2016</v>
      </c>
      <c r="AB7" s="224">
        <v>1872</v>
      </c>
      <c r="AC7" s="224">
        <v>1872</v>
      </c>
      <c r="AD7" s="224">
        <v>1872</v>
      </c>
      <c r="AE7" s="224">
        <v>2352</v>
      </c>
      <c r="AF7" s="224">
        <v>2016</v>
      </c>
      <c r="AG7" s="225"/>
      <c r="AH7" s="215"/>
    </row>
    <row r="8" spans="1:43">
      <c r="A8" s="223" t="s">
        <v>95</v>
      </c>
      <c r="B8" s="224">
        <v>1776</v>
      </c>
      <c r="C8" s="224">
        <v>2208</v>
      </c>
      <c r="D8" s="224">
        <v>2256</v>
      </c>
      <c r="E8" s="224">
        <v>2256</v>
      </c>
      <c r="F8" s="224">
        <v>2208</v>
      </c>
      <c r="G8" s="224">
        <v>2448</v>
      </c>
      <c r="H8" s="224">
        <v>2352</v>
      </c>
      <c r="I8" s="224">
        <v>1776</v>
      </c>
      <c r="J8" s="224">
        <v>2400</v>
      </c>
      <c r="K8" s="224">
        <v>2208</v>
      </c>
      <c r="L8" s="224">
        <v>2208</v>
      </c>
      <c r="M8" s="224">
        <v>2400</v>
      </c>
      <c r="N8" s="224">
        <v>2400</v>
      </c>
      <c r="O8" s="224">
        <v>2400</v>
      </c>
      <c r="P8" s="224">
        <v>2208</v>
      </c>
      <c r="Q8" s="224">
        <v>2304</v>
      </c>
      <c r="R8" s="224">
        <v>2304</v>
      </c>
      <c r="S8" s="224">
        <v>4512</v>
      </c>
      <c r="T8" s="224">
        <v>2352</v>
      </c>
      <c r="U8" s="224">
        <v>2880</v>
      </c>
      <c r="V8" s="224">
        <v>1824</v>
      </c>
      <c r="W8" s="224">
        <v>2208</v>
      </c>
      <c r="X8" s="224">
        <v>2448</v>
      </c>
      <c r="Y8" s="224">
        <v>2160</v>
      </c>
      <c r="Z8" s="224">
        <v>2352</v>
      </c>
      <c r="AA8" s="224">
        <v>2400</v>
      </c>
      <c r="AB8" s="224">
        <v>2400</v>
      </c>
      <c r="AC8" s="224">
        <v>2496</v>
      </c>
      <c r="AD8" s="224">
        <v>2448</v>
      </c>
      <c r="AE8" s="224">
        <v>3024</v>
      </c>
      <c r="AF8" s="224">
        <v>2352</v>
      </c>
      <c r="AG8" s="225"/>
      <c r="AH8" s="215"/>
    </row>
    <row r="9" spans="1:43">
      <c r="A9" s="223" t="s">
        <v>96</v>
      </c>
      <c r="B9" s="224">
        <v>1008</v>
      </c>
      <c r="C9" s="224">
        <v>1296</v>
      </c>
      <c r="D9" s="224">
        <v>1344</v>
      </c>
      <c r="E9" s="224">
        <v>1440</v>
      </c>
      <c r="F9" s="224">
        <v>1296</v>
      </c>
      <c r="G9" s="224">
        <v>1440</v>
      </c>
      <c r="H9" s="224">
        <v>1248</v>
      </c>
      <c r="I9" s="224">
        <v>1008</v>
      </c>
      <c r="J9" s="224">
        <v>1488</v>
      </c>
      <c r="K9" s="224">
        <v>1296</v>
      </c>
      <c r="L9" s="224">
        <v>1296</v>
      </c>
      <c r="M9" s="224">
        <v>1344</v>
      </c>
      <c r="N9" s="224">
        <v>1440</v>
      </c>
      <c r="O9" s="224">
        <v>1440</v>
      </c>
      <c r="P9" s="224">
        <v>1344</v>
      </c>
      <c r="Q9" s="224">
        <v>1296</v>
      </c>
      <c r="R9" s="224">
        <v>1440</v>
      </c>
      <c r="S9" s="224">
        <v>1104</v>
      </c>
      <c r="T9" s="224">
        <v>1296</v>
      </c>
      <c r="U9" s="224">
        <v>1680</v>
      </c>
      <c r="V9" s="224">
        <v>1008</v>
      </c>
      <c r="W9" s="224">
        <v>1296</v>
      </c>
      <c r="X9" s="224">
        <v>1392</v>
      </c>
      <c r="Y9" s="224">
        <v>1200</v>
      </c>
      <c r="Z9" s="224">
        <v>1296</v>
      </c>
      <c r="AA9" s="224">
        <v>1344</v>
      </c>
      <c r="AB9" s="224">
        <v>1200</v>
      </c>
      <c r="AC9" s="224">
        <v>1248</v>
      </c>
      <c r="AD9" s="224">
        <v>1440</v>
      </c>
      <c r="AE9" s="224">
        <v>1680</v>
      </c>
      <c r="AF9" s="224">
        <v>1392</v>
      </c>
      <c r="AG9" s="225"/>
      <c r="AH9" s="215"/>
    </row>
    <row r="10" spans="1:43">
      <c r="A10" s="223" t="s">
        <v>97</v>
      </c>
      <c r="B10" s="224">
        <v>1824</v>
      </c>
      <c r="C10" s="224">
        <v>2256</v>
      </c>
      <c r="D10" s="224">
        <v>2256</v>
      </c>
      <c r="E10" s="224">
        <v>2208</v>
      </c>
      <c r="F10" s="224">
        <v>2160</v>
      </c>
      <c r="G10" s="224">
        <v>2448</v>
      </c>
      <c r="H10" s="224">
        <v>2256</v>
      </c>
      <c r="I10" s="224">
        <v>1776</v>
      </c>
      <c r="J10" s="224">
        <v>2352</v>
      </c>
      <c r="K10" s="224">
        <v>2112</v>
      </c>
      <c r="L10" s="224">
        <v>2208</v>
      </c>
      <c r="M10" s="224">
        <v>2256</v>
      </c>
      <c r="N10" s="224">
        <v>2256</v>
      </c>
      <c r="O10" s="224">
        <v>2256</v>
      </c>
      <c r="P10" s="224">
        <v>2160</v>
      </c>
      <c r="Q10" s="224">
        <v>2256</v>
      </c>
      <c r="R10" s="224">
        <v>2544</v>
      </c>
      <c r="S10" s="224">
        <v>1968</v>
      </c>
      <c r="T10" s="224">
        <v>2304</v>
      </c>
      <c r="U10" s="224">
        <v>2880</v>
      </c>
      <c r="V10" s="224">
        <v>1776</v>
      </c>
      <c r="W10" s="224">
        <v>2112</v>
      </c>
      <c r="X10" s="224">
        <v>2352</v>
      </c>
      <c r="Y10" s="224">
        <v>2160</v>
      </c>
      <c r="Z10" s="224">
        <v>2256</v>
      </c>
      <c r="AA10" s="224">
        <v>2304</v>
      </c>
      <c r="AB10" s="224">
        <v>2160</v>
      </c>
      <c r="AC10" s="224">
        <v>2256</v>
      </c>
      <c r="AD10" s="224">
        <v>2304</v>
      </c>
      <c r="AE10" s="224">
        <v>2736</v>
      </c>
      <c r="AF10" s="224">
        <v>2352</v>
      </c>
      <c r="AG10" s="225"/>
      <c r="AH10" s="215"/>
    </row>
    <row r="11" spans="1:43">
      <c r="A11" s="223" t="s">
        <v>98</v>
      </c>
      <c r="B11" s="224">
        <v>5136</v>
      </c>
      <c r="C11" s="224">
        <v>6240</v>
      </c>
      <c r="D11" s="224">
        <v>6096</v>
      </c>
      <c r="E11" s="224">
        <v>6048</v>
      </c>
      <c r="F11" s="224">
        <v>5904</v>
      </c>
      <c r="G11" s="224">
        <v>6768</v>
      </c>
      <c r="H11" s="224">
        <v>6288</v>
      </c>
      <c r="I11" s="224">
        <v>4896</v>
      </c>
      <c r="J11" s="224">
        <v>6480</v>
      </c>
      <c r="K11" s="224">
        <v>5904</v>
      </c>
      <c r="L11" s="224">
        <v>6096</v>
      </c>
      <c r="M11" s="224">
        <v>6048</v>
      </c>
      <c r="N11" s="224">
        <v>6000</v>
      </c>
      <c r="O11" s="224">
        <v>5904</v>
      </c>
      <c r="P11" s="224">
        <v>5712</v>
      </c>
      <c r="Q11" s="224">
        <v>4896</v>
      </c>
      <c r="R11" s="224">
        <v>6112</v>
      </c>
      <c r="S11" s="224">
        <v>4944</v>
      </c>
      <c r="T11" s="224">
        <v>6144</v>
      </c>
      <c r="U11" s="224">
        <v>7488</v>
      </c>
      <c r="V11" s="224">
        <v>4992</v>
      </c>
      <c r="W11" s="224">
        <v>5952</v>
      </c>
      <c r="X11" s="224">
        <v>6672</v>
      </c>
      <c r="Y11" s="224">
        <v>5808</v>
      </c>
      <c r="Z11" s="224">
        <v>6192</v>
      </c>
      <c r="AA11" s="224">
        <v>6336</v>
      </c>
      <c r="AB11" s="224">
        <v>5952</v>
      </c>
      <c r="AC11" s="224">
        <v>6048</v>
      </c>
      <c r="AD11" s="224">
        <v>6000</v>
      </c>
      <c r="AE11" s="224">
        <v>5760</v>
      </c>
      <c r="AF11" s="224">
        <v>4944</v>
      </c>
      <c r="AG11" s="225"/>
      <c r="AH11" s="215"/>
    </row>
    <row r="12" spans="1:43" s="229" customFormat="1">
      <c r="A12" s="230" t="s">
        <v>120</v>
      </c>
      <c r="B12" s="231">
        <f>SUM(B6:B11)</f>
        <v>13872</v>
      </c>
      <c r="C12" s="231">
        <f t="shared" ref="C12:AF12" si="0">SUM(C6:C11)</f>
        <v>17232</v>
      </c>
      <c r="D12" s="231">
        <f t="shared" si="0"/>
        <v>17232</v>
      </c>
      <c r="E12" s="231">
        <f t="shared" si="0"/>
        <v>17136</v>
      </c>
      <c r="F12" s="231">
        <f t="shared" si="0"/>
        <v>16512</v>
      </c>
      <c r="G12" s="231">
        <f t="shared" si="0"/>
        <v>18720</v>
      </c>
      <c r="H12" s="231">
        <f t="shared" si="0"/>
        <v>17424</v>
      </c>
      <c r="I12" s="231">
        <f t="shared" si="0"/>
        <v>13440</v>
      </c>
      <c r="J12" s="231">
        <f t="shared" si="0"/>
        <v>18192</v>
      </c>
      <c r="K12" s="231">
        <f t="shared" si="0"/>
        <v>16512</v>
      </c>
      <c r="L12" s="231">
        <f t="shared" si="0"/>
        <v>17040</v>
      </c>
      <c r="M12" s="231">
        <f t="shared" si="0"/>
        <v>17232</v>
      </c>
      <c r="N12" s="231">
        <f t="shared" si="0"/>
        <v>17376</v>
      </c>
      <c r="O12" s="231">
        <f t="shared" si="0"/>
        <v>17088</v>
      </c>
      <c r="P12" s="231">
        <f t="shared" si="0"/>
        <v>16368</v>
      </c>
      <c r="Q12" s="231">
        <f t="shared" si="0"/>
        <v>15888</v>
      </c>
      <c r="R12" s="231">
        <f t="shared" si="0"/>
        <v>18448</v>
      </c>
      <c r="S12" s="231">
        <f t="shared" si="0"/>
        <v>16896</v>
      </c>
      <c r="T12" s="231">
        <f t="shared" si="0"/>
        <v>17472</v>
      </c>
      <c r="U12" s="231">
        <f t="shared" si="0"/>
        <v>21600</v>
      </c>
      <c r="V12" s="231">
        <f t="shared" si="0"/>
        <v>13480</v>
      </c>
      <c r="W12" s="231">
        <f t="shared" si="0"/>
        <v>16464</v>
      </c>
      <c r="X12" s="231">
        <f t="shared" si="0"/>
        <v>18240</v>
      </c>
      <c r="Y12" s="231">
        <f t="shared" si="0"/>
        <v>15936</v>
      </c>
      <c r="Z12" s="231">
        <f t="shared" si="0"/>
        <v>17280</v>
      </c>
      <c r="AA12" s="231">
        <f t="shared" si="0"/>
        <v>17664</v>
      </c>
      <c r="AB12" s="231">
        <f t="shared" si="0"/>
        <v>16656</v>
      </c>
      <c r="AC12" s="231">
        <f t="shared" si="0"/>
        <v>17184</v>
      </c>
      <c r="AD12" s="231">
        <f t="shared" si="0"/>
        <v>17376</v>
      </c>
      <c r="AE12" s="231">
        <f t="shared" si="0"/>
        <v>19536</v>
      </c>
      <c r="AF12" s="231">
        <f t="shared" si="0"/>
        <v>16368</v>
      </c>
    </row>
    <row r="13" spans="1:43">
      <c r="A13" s="222" t="s">
        <v>100</v>
      </c>
      <c r="B13" s="218" t="s">
        <v>60</v>
      </c>
      <c r="C13" s="218" t="s">
        <v>60</v>
      </c>
      <c r="D13" s="218" t="s">
        <v>60</v>
      </c>
      <c r="E13" s="218" t="s">
        <v>60</v>
      </c>
      <c r="F13" s="218" t="s">
        <v>60</v>
      </c>
      <c r="G13" s="218" t="s">
        <v>60</v>
      </c>
      <c r="H13" s="218" t="s">
        <v>60</v>
      </c>
      <c r="I13" s="218" t="s">
        <v>60</v>
      </c>
      <c r="J13" s="218" t="s">
        <v>60</v>
      </c>
      <c r="K13" s="218" t="s">
        <v>60</v>
      </c>
      <c r="L13" s="218" t="s">
        <v>60</v>
      </c>
      <c r="M13" s="218" t="s">
        <v>60</v>
      </c>
      <c r="N13" s="218" t="s">
        <v>60</v>
      </c>
      <c r="O13" s="218" t="s">
        <v>60</v>
      </c>
      <c r="P13" s="218" t="s">
        <v>60</v>
      </c>
      <c r="Q13" s="218" t="s">
        <v>60</v>
      </c>
      <c r="R13" s="218" t="s">
        <v>60</v>
      </c>
      <c r="S13" s="218" t="s">
        <v>60</v>
      </c>
      <c r="T13" s="218" t="s">
        <v>60</v>
      </c>
      <c r="U13" s="218" t="s">
        <v>60</v>
      </c>
      <c r="V13" s="218" t="s">
        <v>60</v>
      </c>
      <c r="W13" s="218" t="s">
        <v>60</v>
      </c>
      <c r="X13" s="218" t="s">
        <v>60</v>
      </c>
      <c r="Y13" s="218" t="s">
        <v>60</v>
      </c>
      <c r="Z13" s="218" t="s">
        <v>60</v>
      </c>
      <c r="AA13" s="218" t="s">
        <v>60</v>
      </c>
      <c r="AB13" s="218" t="s">
        <v>60</v>
      </c>
      <c r="AC13" s="218" t="s">
        <v>60</v>
      </c>
      <c r="AD13" s="218" t="s">
        <v>60</v>
      </c>
      <c r="AE13" s="218" t="s">
        <v>60</v>
      </c>
      <c r="AF13" s="218" t="s">
        <v>60</v>
      </c>
    </row>
    <row r="14" spans="1:43">
      <c r="A14" s="223" t="s">
        <v>103</v>
      </c>
      <c r="B14" s="226">
        <v>36074.92</v>
      </c>
      <c r="C14" s="226">
        <v>47953.24</v>
      </c>
      <c r="D14" s="226">
        <v>30135.75</v>
      </c>
      <c r="E14" s="226">
        <v>80288.69</v>
      </c>
      <c r="F14" s="226">
        <v>71929.86</v>
      </c>
      <c r="G14" s="226">
        <v>66430.64</v>
      </c>
      <c r="H14" s="226">
        <v>43113.42</v>
      </c>
      <c r="I14" s="226">
        <v>60491.48</v>
      </c>
      <c r="J14" s="226">
        <v>13858.05</v>
      </c>
      <c r="K14" s="226">
        <v>46193.49</v>
      </c>
      <c r="L14" s="226">
        <v>64230.95</v>
      </c>
      <c r="M14" s="226">
        <v>68410.36</v>
      </c>
      <c r="N14" s="226">
        <v>50812.84</v>
      </c>
      <c r="O14" s="226">
        <v>49493.03</v>
      </c>
      <c r="P14" s="226">
        <v>65330.79</v>
      </c>
      <c r="Q14" s="226">
        <v>50812.84</v>
      </c>
      <c r="R14" s="226">
        <v>35854.949999999997</v>
      </c>
      <c r="S14" s="226">
        <v>51692.72</v>
      </c>
      <c r="T14" s="226">
        <v>78748.899999999994</v>
      </c>
      <c r="U14" s="226">
        <v>63571.040000000001</v>
      </c>
      <c r="V14" s="226">
        <v>47733.27</v>
      </c>
      <c r="W14" s="226">
        <v>50152.93</v>
      </c>
      <c r="X14" s="226">
        <v>35415.01</v>
      </c>
      <c r="Y14" s="226">
        <v>79408.81</v>
      </c>
      <c r="Z14" s="226">
        <v>33655.26</v>
      </c>
      <c r="AA14" s="226">
        <v>48833.120000000003</v>
      </c>
      <c r="AB14" s="226">
        <v>74349.52</v>
      </c>
      <c r="AC14" s="226">
        <v>31675.54</v>
      </c>
      <c r="AD14" s="226">
        <v>70390.080000000002</v>
      </c>
      <c r="AE14" s="226">
        <v>50592.87</v>
      </c>
      <c r="AF14" s="226">
        <v>89307.41</v>
      </c>
    </row>
    <row r="15" spans="1:43">
      <c r="A15" s="341"/>
      <c r="B15" s="341"/>
      <c r="C15" s="341"/>
      <c r="D15" s="341"/>
      <c r="E15" s="341"/>
      <c r="F15" s="341"/>
      <c r="G15" s="341"/>
      <c r="H15" s="34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</row>
    <row r="16" spans="1:43">
      <c r="A16" s="222" t="s">
        <v>101</v>
      </c>
      <c r="B16" s="218" t="s">
        <v>104</v>
      </c>
      <c r="C16" s="218" t="s">
        <v>104</v>
      </c>
      <c r="D16" s="218" t="s">
        <v>104</v>
      </c>
      <c r="E16" s="218" t="s">
        <v>104</v>
      </c>
      <c r="F16" s="218" t="s">
        <v>104</v>
      </c>
      <c r="G16" s="218" t="s">
        <v>104</v>
      </c>
      <c r="H16" s="218" t="s">
        <v>104</v>
      </c>
      <c r="I16" s="218" t="s">
        <v>104</v>
      </c>
      <c r="J16" s="218" t="s">
        <v>104</v>
      </c>
      <c r="K16" s="218" t="s">
        <v>104</v>
      </c>
      <c r="L16" s="218" t="s">
        <v>104</v>
      </c>
      <c r="M16" s="218" t="s">
        <v>104</v>
      </c>
      <c r="N16" s="218" t="s">
        <v>104</v>
      </c>
      <c r="O16" s="218" t="s">
        <v>104</v>
      </c>
      <c r="P16" s="218" t="s">
        <v>104</v>
      </c>
      <c r="Q16" s="218" t="s">
        <v>104</v>
      </c>
      <c r="R16" s="218" t="s">
        <v>104</v>
      </c>
      <c r="S16" s="218" t="s">
        <v>104</v>
      </c>
      <c r="T16" s="218" t="s">
        <v>104</v>
      </c>
      <c r="U16" s="218" t="s">
        <v>104</v>
      </c>
      <c r="V16" s="218" t="s">
        <v>104</v>
      </c>
      <c r="W16" s="218" t="s">
        <v>104</v>
      </c>
      <c r="X16" s="218" t="s">
        <v>104</v>
      </c>
      <c r="Y16" s="218" t="s">
        <v>104</v>
      </c>
      <c r="Z16" s="218" t="s">
        <v>104</v>
      </c>
      <c r="AA16" s="218" t="s">
        <v>104</v>
      </c>
      <c r="AB16" s="218" t="s">
        <v>104</v>
      </c>
      <c r="AC16" s="218" t="s">
        <v>104</v>
      </c>
      <c r="AD16" s="218" t="s">
        <v>104</v>
      </c>
      <c r="AE16" s="218" t="s">
        <v>104</v>
      </c>
      <c r="AF16" s="218" t="s">
        <v>104</v>
      </c>
    </row>
    <row r="17" spans="1:43" ht="52.8">
      <c r="A17" s="223" t="s">
        <v>118</v>
      </c>
      <c r="B17" s="227">
        <v>4833.78</v>
      </c>
      <c r="C17" s="227">
        <v>5715.23</v>
      </c>
      <c r="D17" s="227">
        <v>5516.2</v>
      </c>
      <c r="E17" s="227">
        <v>5601.5</v>
      </c>
      <c r="F17" s="227">
        <v>5715.23</v>
      </c>
      <c r="G17" s="227">
        <v>6852.59</v>
      </c>
      <c r="H17" s="227">
        <v>5715.23</v>
      </c>
      <c r="I17" s="227">
        <v>4151.3599999999997</v>
      </c>
      <c r="J17" s="227">
        <v>4776.91</v>
      </c>
      <c r="K17" s="227">
        <v>6369.22</v>
      </c>
      <c r="L17" s="227">
        <v>6056.44</v>
      </c>
      <c r="M17" s="227">
        <v>5032.82</v>
      </c>
      <c r="N17" s="227">
        <v>4634.74</v>
      </c>
      <c r="O17" s="227">
        <v>4492.57</v>
      </c>
      <c r="P17" s="227">
        <v>4577.87</v>
      </c>
      <c r="Q17" s="227">
        <v>4805.3500000000004</v>
      </c>
      <c r="R17" s="227">
        <v>5942.71</v>
      </c>
      <c r="S17" s="227">
        <v>4208.2299999999996</v>
      </c>
      <c r="T17" s="227">
        <v>4919.08</v>
      </c>
      <c r="U17" s="227">
        <v>5828.97</v>
      </c>
      <c r="V17" s="227">
        <v>3383.65</v>
      </c>
      <c r="W17" s="227">
        <v>4862.21</v>
      </c>
      <c r="X17" s="227">
        <v>4947.5200000000004</v>
      </c>
      <c r="Y17" s="227">
        <v>4350.3999999999996</v>
      </c>
      <c r="Z17" s="227">
        <v>4577.87</v>
      </c>
      <c r="AA17" s="227">
        <v>4122.93</v>
      </c>
      <c r="AB17" s="227">
        <v>4122.93</v>
      </c>
      <c r="AC17" s="227">
        <v>3923.89</v>
      </c>
      <c r="AD17" s="227">
        <v>3923.89</v>
      </c>
      <c r="AE17" s="227">
        <v>5032.82</v>
      </c>
      <c r="AF17" s="227">
        <v>4435.7</v>
      </c>
    </row>
    <row r="18" spans="1:43">
      <c r="A18" s="341"/>
      <c r="B18" s="341"/>
      <c r="C18" s="341"/>
      <c r="D18" s="341"/>
      <c r="E18" s="341"/>
      <c r="F18" s="341"/>
      <c r="G18" s="341"/>
      <c r="H18" s="34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</row>
    <row r="19" spans="1:43">
      <c r="A19" s="222" t="s">
        <v>102</v>
      </c>
      <c r="B19" s="218" t="s">
        <v>105</v>
      </c>
      <c r="C19" s="218" t="s">
        <v>105</v>
      </c>
      <c r="D19" s="218" t="s">
        <v>105</v>
      </c>
      <c r="E19" s="218" t="s">
        <v>105</v>
      </c>
      <c r="F19" s="218" t="s">
        <v>105</v>
      </c>
      <c r="G19" s="218" t="s">
        <v>105</v>
      </c>
      <c r="H19" s="218" t="s">
        <v>105</v>
      </c>
      <c r="I19" s="218" t="s">
        <v>105</v>
      </c>
      <c r="J19" s="218" t="s">
        <v>105</v>
      </c>
      <c r="K19" s="218" t="s">
        <v>105</v>
      </c>
      <c r="L19" s="218" t="s">
        <v>105</v>
      </c>
      <c r="M19" s="218" t="s">
        <v>105</v>
      </c>
      <c r="N19" s="218" t="s">
        <v>105</v>
      </c>
      <c r="O19" s="218" t="s">
        <v>105</v>
      </c>
      <c r="P19" s="218" t="s">
        <v>105</v>
      </c>
      <c r="Q19" s="218" t="s">
        <v>105</v>
      </c>
      <c r="R19" s="218" t="s">
        <v>105</v>
      </c>
      <c r="S19" s="218" t="s">
        <v>105</v>
      </c>
      <c r="T19" s="218" t="s">
        <v>105</v>
      </c>
      <c r="U19" s="218" t="s">
        <v>105</v>
      </c>
      <c r="V19" s="218" t="s">
        <v>105</v>
      </c>
      <c r="W19" s="218" t="s">
        <v>105</v>
      </c>
      <c r="X19" s="218" t="s">
        <v>105</v>
      </c>
      <c r="Y19" s="218" t="s">
        <v>105</v>
      </c>
      <c r="Z19" s="218" t="s">
        <v>105</v>
      </c>
      <c r="AA19" s="218" t="s">
        <v>105</v>
      </c>
      <c r="AB19" s="218" t="s">
        <v>105</v>
      </c>
      <c r="AC19" s="218" t="s">
        <v>105</v>
      </c>
      <c r="AD19" s="218" t="s">
        <v>105</v>
      </c>
      <c r="AE19" s="218" t="s">
        <v>105</v>
      </c>
      <c r="AF19" s="218" t="s">
        <v>105</v>
      </c>
    </row>
    <row r="20" spans="1:43" ht="52.8">
      <c r="A20" s="223" t="s">
        <v>119</v>
      </c>
      <c r="B20" s="227">
        <v>331.98</v>
      </c>
      <c r="C20" s="227">
        <v>368.83</v>
      </c>
      <c r="D20" s="227">
        <v>381.57</v>
      </c>
      <c r="E20" s="227">
        <v>366.66</v>
      </c>
      <c r="F20" s="227">
        <v>345.53</v>
      </c>
      <c r="G20" s="227">
        <v>422.76</v>
      </c>
      <c r="H20" s="227">
        <v>414.63</v>
      </c>
      <c r="I20" s="227">
        <v>307.31</v>
      </c>
      <c r="J20" s="227">
        <v>366.12</v>
      </c>
      <c r="K20" s="227">
        <v>407.04</v>
      </c>
      <c r="L20" s="227">
        <v>409.21</v>
      </c>
      <c r="M20" s="227">
        <v>395.12</v>
      </c>
      <c r="N20" s="227">
        <v>380.76</v>
      </c>
      <c r="O20" s="227">
        <v>393.22</v>
      </c>
      <c r="P20" s="227">
        <v>373.17</v>
      </c>
      <c r="Q20" s="227">
        <v>342.82</v>
      </c>
      <c r="R20" s="227">
        <v>452.03</v>
      </c>
      <c r="S20" s="227">
        <v>349.05</v>
      </c>
      <c r="T20" s="227">
        <v>425.47</v>
      </c>
      <c r="U20" s="227">
        <v>522.76</v>
      </c>
      <c r="V20" s="227">
        <v>308.39999999999998</v>
      </c>
      <c r="W20" s="227">
        <v>421.13</v>
      </c>
      <c r="X20" s="227">
        <v>440.65</v>
      </c>
      <c r="Y20" s="227">
        <v>272.08</v>
      </c>
      <c r="Z20" s="227">
        <v>404.33</v>
      </c>
      <c r="AA20" s="227">
        <v>397.29</v>
      </c>
      <c r="AB20" s="227">
        <v>381.84</v>
      </c>
      <c r="AC20" s="227">
        <v>408.67</v>
      </c>
      <c r="AD20" s="227">
        <v>402.98</v>
      </c>
      <c r="AE20" s="227">
        <v>471.81</v>
      </c>
      <c r="AF20" s="227">
        <v>393.76</v>
      </c>
    </row>
  </sheetData>
  <mergeCells count="3">
    <mergeCell ref="A15:H15"/>
    <mergeCell ref="A18:H18"/>
    <mergeCell ref="A4:H4"/>
  </mergeCells>
  <hyperlinks>
    <hyperlink ref="A1" location="'1'!A1" display="1st" xr:uid="{5B080783-7A21-4614-89ED-8981434CD484}"/>
  </hyperlinks>
  <pageMargins left="0" right="0" top="0" bottom="0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7385-A039-479D-A7B9-17197C09E5D8}">
  <dimension ref="A1:N19"/>
  <sheetViews>
    <sheetView workbookViewId="0">
      <pane ySplit="1" topLeftCell="A2" activePane="bottomLeft" state="frozen"/>
      <selection activeCell="B1" sqref="B1"/>
      <selection pane="bottomLeft" activeCell="B2" sqref="B2"/>
    </sheetView>
  </sheetViews>
  <sheetFormatPr defaultColWidth="35.68359375" defaultRowHeight="60" customHeight="1"/>
  <cols>
    <col min="1" max="16384" width="35.68359375" style="235"/>
  </cols>
  <sheetData>
    <row r="1" spans="1:14" ht="60" customHeight="1" thickBot="1">
      <c r="A1" s="232">
        <v>0.94930000000000003</v>
      </c>
      <c r="B1" s="232">
        <v>0.97929999999999995</v>
      </c>
      <c r="C1" s="232"/>
      <c r="D1" s="232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ht="60" customHeight="1" thickBot="1">
      <c r="A2" s="236">
        <v>5032.82</v>
      </c>
      <c r="B2" s="236" t="s">
        <v>145</v>
      </c>
      <c r="C2" s="236"/>
      <c r="D2" s="236"/>
      <c r="E2" s="237"/>
    </row>
    <row r="3" spans="1:14" ht="60" customHeight="1" thickBot="1">
      <c r="A3" s="236">
        <v>19536</v>
      </c>
      <c r="B3" s="236"/>
      <c r="C3" s="236"/>
      <c r="D3" s="236"/>
      <c r="E3" s="237"/>
    </row>
    <row r="4" spans="1:14" ht="60" customHeight="1" thickBot="1">
      <c r="A4" s="236">
        <v>50592.87</v>
      </c>
      <c r="B4" s="236"/>
      <c r="C4" s="236"/>
      <c r="D4" s="236"/>
      <c r="E4" s="237"/>
    </row>
    <row r="5" spans="1:14" ht="60" customHeight="1" thickBot="1">
      <c r="A5" s="233">
        <v>471.81</v>
      </c>
      <c r="B5" s="233"/>
      <c r="C5" s="233"/>
      <c r="D5" s="233"/>
      <c r="E5" s="237"/>
    </row>
    <row r="6" spans="1:14" ht="6.75" customHeight="1" thickBot="1">
      <c r="A6" s="233"/>
      <c r="B6" s="233"/>
      <c r="C6" s="249"/>
      <c r="D6" s="249"/>
      <c r="E6" s="237"/>
    </row>
    <row r="7" spans="1:14" ht="60" customHeight="1" thickBot="1">
      <c r="A7" s="232"/>
      <c r="B7" s="232"/>
      <c r="C7" s="249"/>
      <c r="D7" s="249"/>
      <c r="E7" s="237"/>
    </row>
    <row r="8" spans="1:14" ht="60" customHeight="1" thickBot="1">
      <c r="A8" s="236"/>
      <c r="B8" s="236"/>
      <c r="C8" s="249"/>
      <c r="D8" s="249"/>
      <c r="E8" s="237"/>
    </row>
    <row r="9" spans="1:14" ht="60" customHeight="1" thickBot="1">
      <c r="A9" s="236"/>
      <c r="B9" s="236"/>
      <c r="C9" s="249"/>
      <c r="D9" s="249"/>
      <c r="E9" s="237"/>
    </row>
    <row r="10" spans="1:14" ht="60" customHeight="1" thickBot="1">
      <c r="A10" s="236"/>
      <c r="B10" s="236"/>
      <c r="C10" s="249"/>
      <c r="D10" s="249"/>
      <c r="E10" s="237"/>
    </row>
    <row r="11" spans="1:14" ht="60" customHeight="1" thickBot="1">
      <c r="A11" s="233"/>
      <c r="B11" s="233"/>
      <c r="C11" s="249"/>
      <c r="D11" s="249"/>
      <c r="E11" s="237"/>
    </row>
    <row r="13" spans="1:14" ht="65.099999999999994" customHeight="1">
      <c r="A13" s="241" t="s">
        <v>99</v>
      </c>
      <c r="B13" s="241" t="s">
        <v>99</v>
      </c>
      <c r="C13" s="241" t="s">
        <v>99</v>
      </c>
      <c r="D13" s="241" t="s">
        <v>99</v>
      </c>
      <c r="E13" s="241" t="s">
        <v>99</v>
      </c>
      <c r="F13" s="241" t="s">
        <v>99</v>
      </c>
    </row>
    <row r="14" spans="1:14" ht="65.099999999999994" customHeight="1">
      <c r="A14" s="242" t="s">
        <v>121</v>
      </c>
      <c r="B14" s="242" t="s">
        <v>121</v>
      </c>
      <c r="C14" s="242" t="s">
        <v>121</v>
      </c>
      <c r="D14" s="242" t="s">
        <v>121</v>
      </c>
      <c r="E14" s="242" t="s">
        <v>121</v>
      </c>
      <c r="F14" s="242" t="s">
        <v>121</v>
      </c>
    </row>
    <row r="15" spans="1:14" ht="65.099999999999994" customHeight="1">
      <c r="A15" s="242" t="s">
        <v>122</v>
      </c>
      <c r="B15" s="242" t="s">
        <v>122</v>
      </c>
      <c r="C15" s="242" t="s">
        <v>122</v>
      </c>
      <c r="D15" s="242" t="s">
        <v>122</v>
      </c>
      <c r="E15" s="242" t="s">
        <v>122</v>
      </c>
      <c r="F15" s="242" t="s">
        <v>122</v>
      </c>
    </row>
    <row r="16" spans="1:14" ht="65.099999999999994" customHeight="1">
      <c r="A16" s="242" t="s">
        <v>123</v>
      </c>
      <c r="B16" s="242" t="s">
        <v>123</v>
      </c>
      <c r="C16" s="242" t="s">
        <v>123</v>
      </c>
      <c r="D16" s="242" t="s">
        <v>123</v>
      </c>
      <c r="E16" s="242" t="s">
        <v>123</v>
      </c>
      <c r="F16" s="242" t="s">
        <v>123</v>
      </c>
    </row>
    <row r="17" spans="1:6" ht="65.099999999999994" customHeight="1">
      <c r="A17" s="242" t="s">
        <v>124</v>
      </c>
      <c r="B17" s="242" t="s">
        <v>124</v>
      </c>
      <c r="C17" s="242" t="s">
        <v>124</v>
      </c>
      <c r="D17" s="242" t="s">
        <v>124</v>
      </c>
      <c r="E17" s="242" t="s">
        <v>124</v>
      </c>
      <c r="F17" s="242" t="s">
        <v>124</v>
      </c>
    </row>
    <row r="18" spans="1:6" ht="60" customHeight="1" thickBot="1"/>
    <row r="19" spans="1:6" ht="75" customHeight="1" thickBot="1">
      <c r="A19" s="243" t="s">
        <v>125</v>
      </c>
      <c r="B19" s="244"/>
      <c r="C19" s="243" t="s">
        <v>125</v>
      </c>
      <c r="D19" s="244"/>
    </row>
  </sheetData>
  <pageMargins left="0" right="0" top="0.51181102362204722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60B4-F05C-4374-8D9C-C8ED8AE2784E}">
  <dimension ref="A1:L16"/>
  <sheetViews>
    <sheetView workbookViewId="0">
      <pane ySplit="1" topLeftCell="A2" activePane="bottomLeft" state="frozen"/>
      <selection activeCell="B1" sqref="B1"/>
      <selection pane="bottomLeft" activeCell="F2" sqref="F2:G6"/>
    </sheetView>
  </sheetViews>
  <sheetFormatPr defaultColWidth="35.68359375" defaultRowHeight="60" customHeight="1"/>
  <cols>
    <col min="1" max="4" width="35.68359375" style="235"/>
    <col min="5" max="5" width="32.83984375" style="235" customWidth="1"/>
    <col min="6" max="6" width="35.68359375" style="235"/>
    <col min="7" max="7" width="6.68359375" style="235" customWidth="1"/>
    <col min="8" max="16384" width="35.68359375" style="235"/>
  </cols>
  <sheetData>
    <row r="1" spans="1:12" ht="75" customHeight="1" thickBot="1">
      <c r="A1" s="232"/>
      <c r="B1" s="233"/>
      <c r="C1" s="234"/>
      <c r="D1" s="234"/>
      <c r="E1" s="245" t="s">
        <v>125</v>
      </c>
      <c r="F1" s="344"/>
      <c r="G1" s="345"/>
      <c r="H1" s="234"/>
      <c r="I1" s="234"/>
      <c r="J1" s="234"/>
      <c r="K1" s="234"/>
      <c r="L1" s="234"/>
    </row>
    <row r="2" spans="1:12" ht="70" customHeight="1" thickBot="1">
      <c r="A2" s="236"/>
      <c r="B2" s="233"/>
      <c r="C2" s="237"/>
      <c r="E2" s="245" t="s">
        <v>126</v>
      </c>
      <c r="F2" s="346" t="s">
        <v>147</v>
      </c>
      <c r="G2" s="347"/>
    </row>
    <row r="3" spans="1:12" ht="70" customHeight="1" thickBot="1">
      <c r="A3" s="236"/>
      <c r="B3" s="233"/>
      <c r="C3" s="237"/>
      <c r="E3" s="246" t="s">
        <v>127</v>
      </c>
      <c r="F3" s="342">
        <v>1686942.26</v>
      </c>
      <c r="G3" s="343"/>
    </row>
    <row r="4" spans="1:12" ht="70" customHeight="1" thickBot="1">
      <c r="A4" s="236"/>
      <c r="B4" s="238"/>
      <c r="C4" s="237"/>
      <c r="E4" s="247" t="s">
        <v>128</v>
      </c>
      <c r="F4" s="342">
        <v>525600</v>
      </c>
      <c r="G4" s="343"/>
    </row>
    <row r="5" spans="1:12" ht="70" customHeight="1" thickBot="1">
      <c r="A5" s="236"/>
      <c r="B5" s="239"/>
      <c r="C5" s="237"/>
      <c r="E5" s="247" t="s">
        <v>129</v>
      </c>
      <c r="F5" s="342">
        <v>153435.26</v>
      </c>
      <c r="G5" s="343"/>
    </row>
    <row r="6" spans="1:12" ht="70" customHeight="1" thickBot="1">
      <c r="A6" s="236"/>
      <c r="B6" s="239"/>
      <c r="C6" s="237"/>
      <c r="E6" s="247" t="s">
        <v>130</v>
      </c>
      <c r="F6" s="342">
        <v>12058.96</v>
      </c>
      <c r="G6" s="343"/>
    </row>
    <row r="7" spans="1:12" ht="60" customHeight="1" thickBot="1">
      <c r="A7" s="236"/>
      <c r="B7" s="240"/>
    </row>
    <row r="8" spans="1:12" ht="60" customHeight="1" thickBot="1">
      <c r="A8" s="236"/>
      <c r="B8" s="240"/>
    </row>
    <row r="10" spans="1:12" ht="65.099999999999994" customHeight="1">
      <c r="A10" s="248" t="s">
        <v>111</v>
      </c>
      <c r="B10" s="248" t="s">
        <v>135</v>
      </c>
      <c r="C10" s="248" t="s">
        <v>111</v>
      </c>
      <c r="D10" s="248" t="s">
        <v>135</v>
      </c>
    </row>
    <row r="11" spans="1:12" ht="65.099999999999994" customHeight="1">
      <c r="A11" s="248" t="s">
        <v>131</v>
      </c>
      <c r="B11" s="248" t="s">
        <v>136</v>
      </c>
      <c r="C11" s="248" t="s">
        <v>131</v>
      </c>
      <c r="D11" s="248" t="s">
        <v>136</v>
      </c>
    </row>
    <row r="12" spans="1:12" ht="65.099999999999994" customHeight="1">
      <c r="A12" s="248" t="s">
        <v>132</v>
      </c>
      <c r="B12" s="248" t="s">
        <v>137</v>
      </c>
      <c r="C12" s="248" t="s">
        <v>132</v>
      </c>
      <c r="D12" s="248" t="s">
        <v>137</v>
      </c>
    </row>
    <row r="13" spans="1:12" ht="65.099999999999994" customHeight="1">
      <c r="A13" s="248" t="s">
        <v>133</v>
      </c>
      <c r="B13" s="248" t="s">
        <v>138</v>
      </c>
      <c r="C13" s="248" t="s">
        <v>133</v>
      </c>
      <c r="D13" s="248" t="s">
        <v>138</v>
      </c>
    </row>
    <row r="14" spans="1:12" ht="65.099999999999994" customHeight="1">
      <c r="A14" s="248" t="s">
        <v>134</v>
      </c>
      <c r="B14" s="248" t="s">
        <v>139</v>
      </c>
      <c r="C14" s="248" t="s">
        <v>134</v>
      </c>
      <c r="D14" s="248" t="s">
        <v>139</v>
      </c>
    </row>
    <row r="15" spans="1:12" ht="60" customHeight="1">
      <c r="A15" s="248" t="s">
        <v>140</v>
      </c>
      <c r="B15" s="248" t="s">
        <v>141</v>
      </c>
      <c r="C15" s="248" t="s">
        <v>140</v>
      </c>
      <c r="D15" s="248" t="s">
        <v>141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1102362204722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</vt:i4>
      </vt:variant>
    </vt:vector>
  </HeadingPairs>
  <TitlesOfParts>
    <vt:vector size="42" baseType="lpstr">
      <vt:lpstr>Sheet2</vt:lpstr>
      <vt:lpstr>Sheet1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20 to jan. 23</vt:lpstr>
      <vt:lpstr>jan. 1 to 31</vt:lpstr>
      <vt:lpstr>board 1 - 31</vt:lpstr>
      <vt:lpstr>DAILY PRINTING</vt:lpstr>
      <vt:lpstr>DAILY PRINTING (2)</vt:lpstr>
      <vt:lpstr>'board 1 - 31'!Print_Area</vt:lpstr>
      <vt:lpstr>'DAILY PRINTING'!Print_Area</vt:lpstr>
      <vt:lpstr>'DAILY PRINTING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2024-01-31T15:52:59Z</dcterms:modified>
</cp:coreProperties>
</file>