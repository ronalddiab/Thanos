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25924CB0-B4A3-4212-9F0E-AA168FBA1050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L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1" i="2" l="1"/>
  <c r="Y31" i="2"/>
  <c r="W31" i="2"/>
  <c r="S31" i="2"/>
  <c r="N31" i="2"/>
  <c r="K31" i="2"/>
  <c r="G31" i="2"/>
  <c r="E31" i="2"/>
  <c r="H31" i="2" s="1"/>
  <c r="I31" i="2" s="1"/>
  <c r="C31" i="2"/>
  <c r="C18" i="2"/>
  <c r="C17" i="2"/>
  <c r="C16" i="2"/>
  <c r="C15" i="2"/>
  <c r="K31" i="3"/>
  <c r="K29" i="3"/>
  <c r="K33" i="2"/>
  <c r="W3" i="2"/>
  <c r="AB32" i="2"/>
  <c r="Y32" i="2"/>
  <c r="W32" i="2"/>
  <c r="N32" i="2"/>
  <c r="M31" i="3" s="1"/>
  <c r="G32" i="2"/>
  <c r="E32" i="2"/>
  <c r="C32" i="2"/>
  <c r="P28" i="3"/>
  <c r="O28" i="3"/>
  <c r="AB30" i="2"/>
  <c r="Y30" i="2"/>
  <c r="W30" i="2"/>
  <c r="I30" i="3" s="1"/>
  <c r="N30" i="2"/>
  <c r="M30" i="3" s="1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2" i="2"/>
  <c r="U31" i="2" s="1"/>
  <c r="K32" i="2"/>
  <c r="E9" i="2"/>
  <c r="E8" i="2"/>
  <c r="E7" i="2"/>
  <c r="E6" i="2"/>
  <c r="E5" i="2"/>
  <c r="E31" i="3" l="1"/>
  <c r="F31" i="3"/>
  <c r="H32" i="2"/>
  <c r="I32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3" i="2"/>
  <c r="N29" i="2"/>
  <c r="M29" i="3" s="1"/>
  <c r="N28" i="2"/>
  <c r="M28" i="3" s="1"/>
  <c r="N27" i="2"/>
  <c r="M27" i="3" s="1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J32" i="2" l="1"/>
  <c r="J31" i="2"/>
  <c r="F28" i="3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3" i="2"/>
  <c r="U32" i="2" s="1"/>
  <c r="G31" i="3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M2" i="3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K30" i="3" s="1"/>
  <c r="Y34" i="2"/>
  <c r="W34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<sst xmlns="http://schemas.openxmlformats.org/spreadsheetml/2006/main" count="76" uniqueCount="40">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</sst>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2" sqref="C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19"/>
    <col min="4" max="4" width="13.42578125" style="5" customWidth="1"/>
    <col min="5" max="5" width="12.42578125" style="93" customWidth="1"/>
    <col min="6" max="6" width="20.7109375" style="108" customWidth="1"/>
    <col min="7" max="7" width="8.85546875" style="94"/>
    <col min="8" max="8" width="8.85546875" style="111"/>
    <col min="9" max="10" width="8.85546875" style="100"/>
    <col min="11" max="11" width="8.85546875" style="95"/>
    <col min="12" max="12" width="8.85546875" style="114"/>
    <col min="13" max="13" width="12.42578125" style="105" bestFit="1" customWidth="1"/>
    <col min="14" max="14" width="12.42578125" style="117" bestFit="1" customWidth="1"/>
    <col min="15" max="15" width="8.85546875" style="101"/>
    <col min="16" max="16" width="11.42578125" style="101" customWidth="1"/>
    <col min="17" max="16384" width="8.85546875" style="5"/>
  </cols>
  <sheetData>
    <row r="1" spans="1:16" ht="75.75" thickBot="1" x14ac:dyDescent="0.25">
      <c r="A1" s="86" t="s">
        <v>24</v>
      </c>
      <c r="B1" s="86" t="s">
        <v>25</v>
      </c>
      <c r="C1" s="118" t="s">
        <v>26</v>
      </c>
      <c r="D1" s="86" t="s">
        <v>27</v>
      </c>
      <c r="E1" s="87" t="s">
        <v>28</v>
      </c>
      <c r="F1" s="106" t="s">
        <v>29</v>
      </c>
      <c r="G1" s="88" t="s">
        <v>30</v>
      </c>
      <c r="H1" s="109" t="s">
        <v>31</v>
      </c>
      <c r="I1" s="89" t="s">
        <v>32</v>
      </c>
      <c r="J1" s="89" t="s">
        <v>33</v>
      </c>
      <c r="K1" s="102" t="s">
        <v>38</v>
      </c>
      <c r="L1" s="112" t="s">
        <v>39</v>
      </c>
      <c r="M1" s="90" t="s">
        <v>34</v>
      </c>
      <c r="N1" s="115" t="s">
        <v>35</v>
      </c>
      <c r="O1" s="91" t="s">
        <v>0</v>
      </c>
      <c r="P1" s="91" t="s">
        <v>36</v>
      </c>
    </row>
    <row r="2" spans="1:16" ht="15.75" thickTop="1" x14ac:dyDescent="0.25">
      <c r="A2" s="92" t="s">
        <v>37</v>
      </c>
      <c r="B2" s="5">
        <v>1</v>
      </c>
      <c r="C2" s="119">
        <v>7</v>
      </c>
      <c r="D2" s="4">
        <v>2026</v>
      </c>
      <c r="E2" s="93">
        <f>IF('JULY 2026'!C2&lt;0,"0",'JULY 2026'!C2)+(IF('JULY 2026'!E2&lt;0,"0",'JULY 2026'!E2)-(IF('JULY 2026'!G2&lt;0,"0",'JULY 2026'!G2)))</f>
        <v>8667</v>
      </c>
      <c r="F2" s="107">
        <f>('JULY 2026'!C2*0.27)/('JULY 2026'!C2+'JULY 2026'!E2)</f>
        <v>0.22043613707165111</v>
      </c>
      <c r="G2" s="94">
        <f>'JULY 2026'!U2</f>
        <v>25</v>
      </c>
      <c r="H2" s="110">
        <v>0.62</v>
      </c>
      <c r="I2" s="95">
        <f>'JULY 2026'!W2</f>
        <v>116</v>
      </c>
      <c r="J2" s="96">
        <v>2.42</v>
      </c>
      <c r="K2" s="103">
        <f>'JULY 2026'!AB2*5.04</f>
        <v>0</v>
      </c>
      <c r="L2" s="113">
        <v>0.11509999999999999</v>
      </c>
      <c r="M2" s="104">
        <f>'JULY 2026'!N2</f>
        <v>73</v>
      </c>
      <c r="N2" s="116">
        <v>0.88</v>
      </c>
      <c r="O2" s="97">
        <f>'JULY 2026'!AC2</f>
        <v>178</v>
      </c>
      <c r="P2" s="97">
        <f>'JULY 2026'!AD2</f>
        <v>359</v>
      </c>
    </row>
    <row r="3" spans="1:16" ht="15" x14ac:dyDescent="0.25">
      <c r="A3" s="92" t="s">
        <v>37</v>
      </c>
      <c r="B3" s="5">
        <f>B2+1</f>
        <v>2</v>
      </c>
      <c r="C3" s="119">
        <v>7</v>
      </c>
      <c r="D3" s="4">
        <v>2026</v>
      </c>
      <c r="E3" s="93">
        <f>IF('JULY 2026'!C3&lt;0,"0",'JULY 2026'!C3)+(IF('JULY 2026'!E3&lt;0,"0",'JULY 2026'!E3)-(IF('JULY 2026'!G3&lt;0,"0",'JULY 2026'!G3)))</f>
        <v>8608</v>
      </c>
      <c r="F3" s="107">
        <f>('JULY 2026'!C3*0.27)/('JULY 2026'!C3+'JULY 2026'!E3)</f>
        <v>0.22110013940520445</v>
      </c>
      <c r="G3" s="94">
        <f>'JULY 2026'!U3</f>
        <v>195</v>
      </c>
      <c r="H3" s="110">
        <v>0.62</v>
      </c>
      <c r="I3" s="95">
        <f>'JULY 2026'!W3</f>
        <v>113</v>
      </c>
      <c r="J3" s="96">
        <v>2.42</v>
      </c>
      <c r="K3" s="103">
        <f>'JULY 2026'!AB3*5.04</f>
        <v>0</v>
      </c>
      <c r="L3" s="113">
        <v>0.11509999999999999</v>
      </c>
      <c r="M3" s="104">
        <f>'JULY 2026'!N3</f>
        <v>106</v>
      </c>
      <c r="N3" s="116">
        <v>0.88</v>
      </c>
      <c r="O3" s="97">
        <f>'JULY 2026'!AC3</f>
        <v>188</v>
      </c>
      <c r="P3" s="97">
        <f>'JULY 2026'!AD3</f>
        <v>386</v>
      </c>
    </row>
    <row r="4" spans="1:16" ht="15" x14ac:dyDescent="0.25">
      <c r="A4" s="92" t="s">
        <v>37</v>
      </c>
      <c r="B4" s="5">
        <f t="shared" ref="B4:B30" si="0">B3+1</f>
        <v>3</v>
      </c>
      <c r="C4" s="119">
        <v>7</v>
      </c>
      <c r="D4" s="4">
        <v>2026</v>
      </c>
      <c r="E4" s="93">
        <f>IF('JULY 2026'!C4&lt;0,"0",'JULY 2026'!C4)+(IF('JULY 2026'!E4&lt;0,"0",'JULY 2026'!E4)-(IF('JULY 2026'!G4&lt;0,"0",'JULY 2026'!G4)))</f>
        <v>9877</v>
      </c>
      <c r="F4" s="107">
        <f>('JULY 2026'!C4*0.27)/('JULY 2026'!C4+'JULY 2026'!E4)</f>
        <v>0.22888630150855524</v>
      </c>
      <c r="G4" s="94">
        <f>'JULY 2026'!U4</f>
        <v>100</v>
      </c>
      <c r="H4" s="110">
        <v>0.62</v>
      </c>
      <c r="I4" s="95">
        <f>'JULY 2026'!W4</f>
        <v>116</v>
      </c>
      <c r="J4" s="96">
        <v>2.42</v>
      </c>
      <c r="K4" s="103">
        <f>'JULY 2026'!AB4*5.04</f>
        <v>0</v>
      </c>
      <c r="L4" s="113">
        <v>0.11509999999999999</v>
      </c>
      <c r="M4" s="104">
        <f>'JULY 2026'!N4</f>
        <v>98</v>
      </c>
      <c r="N4" s="116">
        <v>0.88</v>
      </c>
      <c r="O4" s="97">
        <f>'JULY 2026'!AC4</f>
        <v>199</v>
      </c>
      <c r="P4" s="97">
        <f>'JULY 2026'!AD4</f>
        <v>411</v>
      </c>
    </row>
    <row r="5" spans="1:16" ht="15" x14ac:dyDescent="0.25">
      <c r="A5" s="92" t="s">
        <v>37</v>
      </c>
      <c r="B5" s="5">
        <f t="shared" si="0"/>
        <v>4</v>
      </c>
      <c r="C5" s="119">
        <v>7</v>
      </c>
      <c r="D5" s="4">
        <v>2026</v>
      </c>
      <c r="E5" s="93">
        <f>IF('JULY 2026'!C5&lt;0,"0",'JULY 2026'!C5)+(IF('JULY 2026'!E5&lt;0,"0",'JULY 2026'!E5)-(IF('JULY 2026'!G5&lt;0,"0",'JULY 2026'!G5)))</f>
        <v>9985</v>
      </c>
      <c r="F5" s="107">
        <f>('JULY 2026'!C5*0.27)/('JULY 2026'!C5+'JULY 2026'!E5)</f>
        <v>0.2279248873309965</v>
      </c>
      <c r="G5" s="94">
        <f>'JULY 2026'!U5</f>
        <v>185</v>
      </c>
      <c r="H5" s="110">
        <v>0.62</v>
      </c>
      <c r="I5" s="95">
        <f>'JULY 2026'!W5</f>
        <v>121</v>
      </c>
      <c r="J5" s="96">
        <v>2.42</v>
      </c>
      <c r="K5" s="103">
        <f>'JULY 2026'!AB5*5.04</f>
        <v>0</v>
      </c>
      <c r="L5" s="113">
        <v>0.11509999999999999</v>
      </c>
      <c r="M5" s="104">
        <f>'JULY 2026'!N5</f>
        <v>95</v>
      </c>
      <c r="N5" s="116">
        <v>0.88</v>
      </c>
      <c r="O5" s="97">
        <f>'JULY 2026'!AC5</f>
        <v>205</v>
      </c>
      <c r="P5" s="97">
        <f>'JULY 2026'!AD5</f>
        <v>420</v>
      </c>
    </row>
    <row r="6" spans="1:16" ht="15" x14ac:dyDescent="0.25">
      <c r="A6" s="92" t="s">
        <v>37</v>
      </c>
      <c r="B6" s="5">
        <f t="shared" si="0"/>
        <v>5</v>
      </c>
      <c r="C6" s="119">
        <v>7</v>
      </c>
      <c r="D6" s="4">
        <v>2026</v>
      </c>
      <c r="E6" s="93">
        <f>IF('JULY 2026'!C6&lt;0,"0",'JULY 2026'!C6)+(IF('JULY 2026'!E6&lt;0,"0",'JULY 2026'!E6)-(IF('JULY 2026'!G6&lt;0,"0",'JULY 2026'!G6)))</f>
        <v>9231</v>
      </c>
      <c r="F6" s="107">
        <f>('JULY 2026'!C6*0.27)/('JULY 2026'!C6+'JULY 2026'!E6)</f>
        <v>0.22451738706532337</v>
      </c>
      <c r="G6" s="94">
        <f>'JULY 2026'!U6</f>
        <v>155</v>
      </c>
      <c r="H6" s="110">
        <v>0.62</v>
      </c>
      <c r="I6" s="95">
        <f>'JULY 2026'!W6</f>
        <v>115</v>
      </c>
      <c r="J6" s="96">
        <v>2.42</v>
      </c>
      <c r="K6" s="103">
        <f>'JULY 2026'!AB6*5.04</f>
        <v>0</v>
      </c>
      <c r="L6" s="113">
        <v>0.11509999999999999</v>
      </c>
      <c r="M6" s="104">
        <f>'JULY 2026'!N6</f>
        <v>109</v>
      </c>
      <c r="N6" s="116">
        <v>0.88</v>
      </c>
      <c r="O6" s="97">
        <f>'JULY 2026'!AC6</f>
        <v>182</v>
      </c>
      <c r="P6" s="97">
        <f>'JULY 2026'!AD6</f>
        <v>367</v>
      </c>
    </row>
    <row r="7" spans="1:16" ht="15" x14ac:dyDescent="0.25">
      <c r="A7" s="92" t="s">
        <v>37</v>
      </c>
      <c r="B7" s="5">
        <f t="shared" si="0"/>
        <v>6</v>
      </c>
      <c r="C7" s="119">
        <v>7</v>
      </c>
      <c r="D7" s="4">
        <v>2026</v>
      </c>
      <c r="E7" s="93">
        <f>IF('JULY 2026'!C7&lt;0,"0",'JULY 2026'!C7)+(IF('JULY 2026'!E7&lt;0,"0",'JULY 2026'!E7)-(IF('JULY 2026'!G7&lt;0,"0",'JULY 2026'!G7)))</f>
        <v>8920</v>
      </c>
      <c r="F7" s="107">
        <f>('JULY 2026'!C7*0.27)/('JULY 2026'!C7+'JULY 2026'!E7)</f>
        <v>0.22405156950672647</v>
      </c>
      <c r="G7" s="94">
        <f>'JULY 2026'!U7</f>
        <v>-58</v>
      </c>
      <c r="H7" s="110">
        <v>0.62</v>
      </c>
      <c r="I7" s="95">
        <f>'JULY 2026'!W7</f>
        <v>108</v>
      </c>
      <c r="J7" s="96">
        <v>2.42</v>
      </c>
      <c r="K7" s="103">
        <f>'JULY 2026'!AB7*5.04</f>
        <v>0</v>
      </c>
      <c r="L7" s="113">
        <v>0.11509999999999999</v>
      </c>
      <c r="M7" s="104">
        <f>'JULY 2026'!N7</f>
        <v>9</v>
      </c>
      <c r="N7" s="116">
        <v>0.88</v>
      </c>
      <c r="O7" s="97">
        <f>'JULY 2026'!AC7</f>
        <v>178</v>
      </c>
      <c r="P7" s="97">
        <f>'JULY 2026'!AD7</f>
        <v>364</v>
      </c>
    </row>
    <row r="8" spans="1:16" ht="15" x14ac:dyDescent="0.25">
      <c r="A8" s="92" t="s">
        <v>37</v>
      </c>
      <c r="B8" s="5">
        <f t="shared" si="0"/>
        <v>7</v>
      </c>
      <c r="C8" s="119">
        <v>7</v>
      </c>
      <c r="D8" s="4">
        <v>2026</v>
      </c>
      <c r="E8" s="93">
        <f>IF('JULY 2026'!C8&lt;0,"0",'JULY 2026'!C8)+(IF('JULY 2026'!E8&lt;0,"0",'JULY 2026'!E8)-(IF('JULY 2026'!G8&lt;0,"0",'JULY 2026'!G8)))</f>
        <v>8933</v>
      </c>
      <c r="F8" s="107">
        <f>('JULY 2026'!C8*0.27)/('JULY 2026'!C8+'JULY 2026'!E8)</f>
        <v>0.2234534870704131</v>
      </c>
      <c r="G8" s="94">
        <f>'JULY 2026'!U8</f>
        <v>120</v>
      </c>
      <c r="H8" s="110">
        <v>0.62</v>
      </c>
      <c r="I8" s="95">
        <f>'JULY 2026'!W8</f>
        <v>111</v>
      </c>
      <c r="J8" s="96">
        <v>2.42</v>
      </c>
      <c r="K8" s="103">
        <f>'JULY 2026'!AB8*5.04</f>
        <v>0</v>
      </c>
      <c r="L8" s="113">
        <v>0.11509999999999999</v>
      </c>
      <c r="M8" s="104">
        <f>'JULY 2026'!N8</f>
        <v>103</v>
      </c>
      <c r="N8" s="116">
        <v>0.88</v>
      </c>
      <c r="O8" s="97">
        <f>'JULY 2026'!AC8</f>
        <v>168</v>
      </c>
      <c r="P8" s="97">
        <f>'JULY 2026'!AD8</f>
        <v>343</v>
      </c>
    </row>
    <row r="9" spans="1:16" ht="15" x14ac:dyDescent="0.25">
      <c r="A9" s="92" t="s">
        <v>37</v>
      </c>
      <c r="B9" s="5">
        <f t="shared" si="0"/>
        <v>8</v>
      </c>
      <c r="C9" s="119">
        <v>7</v>
      </c>
      <c r="D9" s="4">
        <v>2026</v>
      </c>
      <c r="E9" s="93">
        <f>IF('JULY 2026'!C9&lt;0,"0",'JULY 2026'!C9)+(IF('JULY 2026'!E9&lt;0,"0",'JULY 2026'!E9)-(IF('JULY 2026'!G9&lt;0,"0",'JULY 2026'!G9)))</f>
        <v>8945</v>
      </c>
      <c r="F9" s="107">
        <f>('JULY 2026'!C9*0.27)/('JULY 2026'!C9+'JULY 2026'!E9)</f>
        <v>0.22333482392397988</v>
      </c>
      <c r="G9" s="94">
        <f>'JULY 2026'!U9</f>
        <v>40</v>
      </c>
      <c r="H9" s="110">
        <v>0.62</v>
      </c>
      <c r="I9" s="95">
        <f>'JULY 2026'!W9</f>
        <v>104</v>
      </c>
      <c r="J9" s="96">
        <v>2.42</v>
      </c>
      <c r="K9" s="103">
        <f>'JULY 2026'!AB9*5.04</f>
        <v>0</v>
      </c>
      <c r="L9" s="113">
        <v>0.11509999999999999</v>
      </c>
      <c r="M9" s="104">
        <f>'JULY 2026'!N9</f>
        <v>88</v>
      </c>
      <c r="N9" s="116">
        <v>0.88</v>
      </c>
      <c r="O9" s="97">
        <f>'JULY 2026'!AC9</f>
        <v>174</v>
      </c>
      <c r="P9" s="97">
        <f>'JULY 2026'!AD9</f>
        <v>355</v>
      </c>
    </row>
    <row r="10" spans="1:16" ht="15" x14ac:dyDescent="0.25">
      <c r="A10" s="92" t="s">
        <v>37</v>
      </c>
      <c r="B10" s="5">
        <f t="shared" si="0"/>
        <v>9</v>
      </c>
      <c r="C10" s="119">
        <v>7</v>
      </c>
      <c r="D10" s="4">
        <v>2026</v>
      </c>
      <c r="E10" s="93">
        <f>IF('JULY 2026'!C10&lt;0,"0",'JULY 2026'!C10)+(IF('JULY 2026'!E10&lt;0,"0",'JULY 2026'!E10)-(IF('JULY 2026'!G10&lt;0,"0",'JULY 2026'!G10)))</f>
        <v>9164</v>
      </c>
      <c r="F10" s="107">
        <f>('JULY 2026'!C10*0.27)/('JULY 2026'!C10+'JULY 2026'!E10)</f>
        <v>0.22359559144478397</v>
      </c>
      <c r="G10" s="94">
        <f>'JULY 2026'!U10</f>
        <v>85</v>
      </c>
      <c r="H10" s="110">
        <v>0.62</v>
      </c>
      <c r="I10" s="95">
        <f>'JULY 2026'!W10</f>
        <v>119</v>
      </c>
      <c r="J10" s="96">
        <v>2.42</v>
      </c>
      <c r="K10" s="103">
        <f>'JULY 2026'!AB10*5.04</f>
        <v>0</v>
      </c>
      <c r="L10" s="113">
        <v>0.11509999999999999</v>
      </c>
      <c r="M10" s="104">
        <f>'JULY 2026'!N10</f>
        <v>111</v>
      </c>
      <c r="N10" s="116">
        <v>0.88</v>
      </c>
      <c r="O10" s="97">
        <f>'JULY 2026'!AC10</f>
        <v>169</v>
      </c>
      <c r="P10" s="97">
        <f>'JULY 2026'!AD10</f>
        <v>355</v>
      </c>
    </row>
    <row r="11" spans="1:16" ht="15" x14ac:dyDescent="0.25">
      <c r="A11" s="92" t="s">
        <v>37</v>
      </c>
      <c r="B11" s="5">
        <f t="shared" si="0"/>
        <v>10</v>
      </c>
      <c r="C11" s="119">
        <v>7</v>
      </c>
      <c r="D11" s="4">
        <v>2026</v>
      </c>
      <c r="E11" s="93">
        <f>IF('JULY 2026'!C11&lt;0,"0",'JULY 2026'!C11)+(IF('JULY 2026'!E11&lt;0,"0",'JULY 2026'!E11)-(IF('JULY 2026'!G11&lt;0,"0",'JULY 2026'!G11)))</f>
        <v>0</v>
      </c>
      <c r="F11" s="107" t="e">
        <f>('JULY 2026'!C11*0.27)/('JULY 2026'!C11+'JULY 2026'!E11)</f>
        <v>#DIV/0!</v>
      </c>
      <c r="G11" s="94" t="str">
        <f>'JULY 2026'!U11</f>
        <v>0</v>
      </c>
      <c r="H11" s="110">
        <v>0.62</v>
      </c>
      <c r="I11" s="95" t="str">
        <f>'JULY 2026'!W11</f>
        <v>0</v>
      </c>
      <c r="J11" s="96">
        <v>2.42</v>
      </c>
      <c r="K11" s="103">
        <f>'JULY 2026'!AB11*5.04</f>
        <v>0</v>
      </c>
      <c r="L11" s="113">
        <v>0.11509999999999999</v>
      </c>
      <c r="M11" s="104" t="str">
        <f>'JULY 2026'!N11</f>
        <v>0</v>
      </c>
      <c r="N11" s="116">
        <v>0.88</v>
      </c>
      <c r="O11" s="97">
        <f>'JULY 2026'!AC11</f>
        <v>185</v>
      </c>
      <c r="P11" s="97">
        <f>'JULY 2026'!AD11</f>
        <v>377</v>
      </c>
    </row>
    <row r="12" spans="1:16" ht="15" x14ac:dyDescent="0.25">
      <c r="A12" s="92" t="s">
        <v>37</v>
      </c>
      <c r="B12" s="5">
        <f t="shared" si="0"/>
        <v>11</v>
      </c>
      <c r="C12" s="119">
        <v>7</v>
      </c>
      <c r="D12" s="4">
        <v>2026</v>
      </c>
      <c r="E12" s="93">
        <f>IF('JULY 2026'!C12&lt;0,"0",'JULY 2026'!C12)+(IF('JULY 2026'!E12&lt;0,"0",'JULY 2026'!E12)-(IF('JULY 2026'!G12&lt;0,"0",'JULY 2026'!G12)))</f>
        <v>0</v>
      </c>
      <c r="F12" s="107" t="e">
        <f>('JULY 2026'!C12*0.27)/('JULY 2026'!C12+'JULY 2026'!E12)</f>
        <v>#DIV/0!</v>
      </c>
      <c r="G12" s="94" t="str">
        <f>'JULY 2026'!U12</f>
        <v>0</v>
      </c>
      <c r="H12" s="110">
        <v>0.62</v>
      </c>
      <c r="I12" s="95">
        <f>'JULY 2026'!W12</f>
        <v>0</v>
      </c>
      <c r="J12" s="96">
        <v>2.42</v>
      </c>
      <c r="K12" s="103">
        <f>'JULY 2026'!AB12*5.04</f>
        <v>0</v>
      </c>
      <c r="L12" s="113">
        <v>0.11509999999999999</v>
      </c>
      <c r="M12" s="104" t="str">
        <f>'JULY 2026'!N12</f>
        <v>0</v>
      </c>
      <c r="N12" s="116">
        <v>0.88</v>
      </c>
      <c r="O12" s="97">
        <f>'JULY 2026'!AC12</f>
        <v>0</v>
      </c>
      <c r="P12" s="97">
        <f>'JULY 2026'!AD12</f>
        <v>0</v>
      </c>
    </row>
    <row r="13" spans="1:16" ht="15" x14ac:dyDescent="0.25">
      <c r="A13" s="92" t="s">
        <v>37</v>
      </c>
      <c r="B13" s="5">
        <f t="shared" si="0"/>
        <v>12</v>
      </c>
      <c r="C13" s="119">
        <v>7</v>
      </c>
      <c r="D13" s="4">
        <v>2026</v>
      </c>
      <c r="E13" s="93">
        <f>IF('JULY 2026'!C13&lt;0,"0",'JULY 2026'!C13)+(IF('JULY 2026'!E13&lt;0,"0",'JULY 2026'!E13)-(IF('JULY 2026'!G13&lt;0,"0",'JULY 2026'!G13)))</f>
        <v>0</v>
      </c>
      <c r="F13" s="107" t="e">
        <f>('JULY 2026'!C13*0.27)/('JULY 2026'!C13+'JULY 2026'!E13)</f>
        <v>#DIV/0!</v>
      </c>
      <c r="G13" s="94" t="str">
        <f>'JULY 2026'!U13</f>
        <v>0</v>
      </c>
      <c r="H13" s="110">
        <v>0.62</v>
      </c>
      <c r="I13" s="95">
        <f>'JULY 2026'!W13</f>
        <v>0</v>
      </c>
      <c r="J13" s="96">
        <v>2.42</v>
      </c>
      <c r="K13" s="103">
        <f>'JULY 2026'!AB13*5.04</f>
        <v>0</v>
      </c>
      <c r="L13" s="113">
        <v>0.11509999999999999</v>
      </c>
      <c r="M13" s="104" t="str">
        <f>'JULY 2026'!N13</f>
        <v>0</v>
      </c>
      <c r="N13" s="116">
        <v>0.88</v>
      </c>
      <c r="O13" s="97">
        <f>'JULY 2026'!AC13</f>
        <v>0</v>
      </c>
      <c r="P13" s="97">
        <f>'JULY 2026'!AD13</f>
        <v>0</v>
      </c>
    </row>
    <row r="14" spans="1:16" ht="15" x14ac:dyDescent="0.25">
      <c r="A14" s="92" t="s">
        <v>37</v>
      </c>
      <c r="B14" s="5">
        <f t="shared" si="0"/>
        <v>13</v>
      </c>
      <c r="C14" s="119">
        <v>7</v>
      </c>
      <c r="D14" s="4">
        <v>2026</v>
      </c>
      <c r="E14" s="93">
        <f>IF('JULY 2026'!C14&lt;0,"0",'JULY 2026'!C14)+(IF('JULY 2026'!E14&lt;0,"0",'JULY 2026'!E14)-(IF('JULY 2026'!G14&lt;0,"0",'JULY 2026'!G14)))</f>
        <v>0</v>
      </c>
      <c r="F14" s="107" t="e">
        <f>('JULY 2026'!C14*0.27)/('JULY 2026'!C14+'JULY 2026'!E14)</f>
        <v>#DIV/0!</v>
      </c>
      <c r="G14" s="94" t="str">
        <f>'JULY 2026'!U14</f>
        <v>0</v>
      </c>
      <c r="H14" s="110">
        <v>0.62</v>
      </c>
      <c r="I14" s="95">
        <f>'JULY 2026'!W14</f>
        <v>0</v>
      </c>
      <c r="J14" s="96">
        <v>2.42</v>
      </c>
      <c r="K14" s="103">
        <f>'JULY 2026'!AB14*5.04</f>
        <v>0</v>
      </c>
      <c r="L14" s="113">
        <v>0.11509999999999999</v>
      </c>
      <c r="M14" s="104" t="str">
        <f>'JULY 2026'!N14</f>
        <v>0</v>
      </c>
      <c r="N14" s="116">
        <v>0.88</v>
      </c>
      <c r="O14" s="97">
        <f>'JULY 2026'!AC14</f>
        <v>0</v>
      </c>
      <c r="P14" s="97">
        <f>'JULY 2026'!AD14</f>
        <v>0</v>
      </c>
    </row>
    <row r="15" spans="1:16" ht="15" x14ac:dyDescent="0.25">
      <c r="A15" s="92" t="s">
        <v>37</v>
      </c>
      <c r="B15" s="5">
        <f t="shared" si="0"/>
        <v>14</v>
      </c>
      <c r="C15" s="119">
        <v>7</v>
      </c>
      <c r="D15" s="4">
        <v>2026</v>
      </c>
      <c r="E15" s="93">
        <f>IF('JULY 2026'!C15&lt;0,"0",'JULY 2026'!C15)+(IF('JULY 2026'!E15&lt;0,"0",'JULY 2026'!E15)-(IF('JULY 2026'!G15&lt;0,"0",'JULY 2026'!G15)))</f>
        <v>0</v>
      </c>
      <c r="F15" s="107" t="e">
        <f>('JULY 2026'!C15*0.27)/('JULY 2026'!C15+'JULY 2026'!E15)</f>
        <v>#DIV/0!</v>
      </c>
      <c r="G15" s="94" t="str">
        <f>'JULY 2026'!U15</f>
        <v>0</v>
      </c>
      <c r="H15" s="110">
        <v>0.62</v>
      </c>
      <c r="I15" s="95">
        <f>'JULY 2026'!W15</f>
        <v>0</v>
      </c>
      <c r="J15" s="96">
        <v>2.42</v>
      </c>
      <c r="K15" s="103">
        <f>'JULY 2026'!AB15*5.04</f>
        <v>0</v>
      </c>
      <c r="L15" s="113">
        <v>0.11509999999999999</v>
      </c>
      <c r="M15" s="104" t="str">
        <f>'JULY 2026'!N15</f>
        <v>0</v>
      </c>
      <c r="N15" s="116">
        <v>0.88</v>
      </c>
      <c r="O15" s="97">
        <f>'JULY 2026'!AC15</f>
        <v>0</v>
      </c>
      <c r="P15" s="97">
        <f>'JULY 2026'!AD15</f>
        <v>0</v>
      </c>
    </row>
    <row r="16" spans="1:16" ht="15" x14ac:dyDescent="0.25">
      <c r="A16" s="92" t="s">
        <v>37</v>
      </c>
      <c r="B16" s="5">
        <f t="shared" si="0"/>
        <v>15</v>
      </c>
      <c r="C16" s="119">
        <v>7</v>
      </c>
      <c r="D16" s="4">
        <v>2026</v>
      </c>
      <c r="E16" s="93">
        <f>IF('JULY 2026'!C16&lt;0,"0",'JULY 2026'!C16)+(IF('JULY 2026'!E16&lt;0,"0",'JULY 2026'!E16)-(IF('JULY 2026'!G16&lt;0,"0",'JULY 2026'!G16)))</f>
        <v>0</v>
      </c>
      <c r="F16" s="107" t="e">
        <f>('JULY 2026'!C16*0.27)/('JULY 2026'!C16+'JULY 2026'!E16)</f>
        <v>#DIV/0!</v>
      </c>
      <c r="G16" s="94" t="str">
        <f>'JULY 2026'!U16</f>
        <v>0</v>
      </c>
      <c r="H16" s="110">
        <v>0.62</v>
      </c>
      <c r="I16" s="95">
        <f>'JULY 2026'!W16</f>
        <v>0</v>
      </c>
      <c r="J16" s="96">
        <v>2.42</v>
      </c>
      <c r="K16" s="103">
        <f>'JULY 2026'!AB16*5.04</f>
        <v>0</v>
      </c>
      <c r="L16" s="113">
        <v>0.11509999999999999</v>
      </c>
      <c r="M16" s="104" t="str">
        <f>'JULY 2026'!N16</f>
        <v>0</v>
      </c>
      <c r="N16" s="116">
        <v>0.88</v>
      </c>
      <c r="O16" s="97">
        <f>'JULY 2026'!AC16</f>
        <v>0</v>
      </c>
      <c r="P16" s="97">
        <f>'JULY 2026'!AD16</f>
        <v>0</v>
      </c>
    </row>
    <row r="17" spans="1:16" ht="15" x14ac:dyDescent="0.25">
      <c r="A17" s="92" t="s">
        <v>37</v>
      </c>
      <c r="B17" s="5">
        <f t="shared" si="0"/>
        <v>16</v>
      </c>
      <c r="C17" s="119">
        <v>7</v>
      </c>
      <c r="D17" s="4">
        <v>2026</v>
      </c>
      <c r="E17" s="93">
        <f>IF('JULY 2026'!C17&lt;0,"0",'JULY 2026'!C17)+(IF('JULY 2026'!E17&lt;0,"0",'JULY 2026'!E17)-(IF('JULY 2026'!G17&lt;0,"0",'JULY 2026'!G17)))</f>
        <v>0</v>
      </c>
      <c r="F17" s="107" t="e">
        <f>('JULY 2026'!C17*0.27)/('JULY 2026'!C17+'JULY 2026'!E17)</f>
        <v>#DIV/0!</v>
      </c>
      <c r="G17" s="94" t="str">
        <f>'JULY 2026'!U17</f>
        <v>0</v>
      </c>
      <c r="H17" s="110">
        <v>0.62</v>
      </c>
      <c r="I17" s="95">
        <f>'JULY 2026'!W17</f>
        <v>0</v>
      </c>
      <c r="J17" s="96">
        <v>2.42</v>
      </c>
      <c r="K17" s="103">
        <f>'JULY 2026'!AB17*5.04</f>
        <v>0</v>
      </c>
      <c r="L17" s="113">
        <v>0.11509999999999999</v>
      </c>
      <c r="M17" s="104" t="str">
        <f>'JULY 2026'!N17</f>
        <v>0</v>
      </c>
      <c r="N17" s="116">
        <v>0.88</v>
      </c>
      <c r="O17" s="97">
        <f>'JULY 2026'!AC17</f>
        <v>0</v>
      </c>
      <c r="P17" s="97">
        <f>'JULY 2026'!AD17</f>
        <v>0</v>
      </c>
    </row>
    <row r="18" spans="1:16" ht="15" x14ac:dyDescent="0.25">
      <c r="A18" s="92" t="s">
        <v>37</v>
      </c>
      <c r="B18" s="5">
        <f t="shared" si="0"/>
        <v>17</v>
      </c>
      <c r="C18" s="119">
        <v>7</v>
      </c>
      <c r="D18" s="4">
        <v>2026</v>
      </c>
      <c r="E18" s="93">
        <f>IF('JULY 2026'!C18&lt;0,"0",'JULY 2026'!C18)+(IF('JULY 2026'!E18&lt;0,"0",'JULY 2026'!E18)-(IF('JULY 2026'!G18&lt;0,"0",'JULY 2026'!G18)))</f>
        <v>0</v>
      </c>
      <c r="F18" s="107" t="e">
        <f>('JULY 2026'!C18*0.27)/('JULY 2026'!C18+'JULY 2026'!E18)</f>
        <v>#DIV/0!</v>
      </c>
      <c r="G18" s="94" t="str">
        <f>'JULY 2026'!U18</f>
        <v>0</v>
      </c>
      <c r="H18" s="110">
        <v>0.62</v>
      </c>
      <c r="I18" s="95">
        <f>'JULY 2026'!W18</f>
        <v>0</v>
      </c>
      <c r="J18" s="96">
        <v>2.42</v>
      </c>
      <c r="K18" s="103">
        <f>'JULY 2026'!AB18*5.04</f>
        <v>0</v>
      </c>
      <c r="L18" s="113">
        <v>0.11509999999999999</v>
      </c>
      <c r="M18" s="104" t="str">
        <f>'JULY 2026'!N18</f>
        <v>0</v>
      </c>
      <c r="N18" s="116">
        <v>0.88</v>
      </c>
      <c r="O18" s="97">
        <f>'JULY 2026'!AC18</f>
        <v>0</v>
      </c>
      <c r="P18" s="97">
        <f>'JULY 2026'!AD18</f>
        <v>0</v>
      </c>
    </row>
    <row r="19" spans="1:16" ht="15" x14ac:dyDescent="0.25">
      <c r="A19" s="92" t="s">
        <v>37</v>
      </c>
      <c r="B19" s="5">
        <f t="shared" si="0"/>
        <v>18</v>
      </c>
      <c r="C19" s="119">
        <v>7</v>
      </c>
      <c r="D19" s="4">
        <v>2026</v>
      </c>
      <c r="E19" s="93">
        <f>IF('JULY 2026'!C19&lt;0,"0",'JULY 2026'!C19)+(IF('JULY 2026'!E19&lt;0,"0",'JULY 2026'!E19)-(IF('JULY 2026'!G19&lt;0,"0",'JULY 2026'!G19)))</f>
        <v>0</v>
      </c>
      <c r="F19" s="107" t="e">
        <f>('JULY 2026'!C19*0.27)/('JULY 2026'!C19+'JULY 2026'!E19)</f>
        <v>#DIV/0!</v>
      </c>
      <c r="G19" s="94" t="str">
        <f>'JULY 2026'!U19</f>
        <v>0</v>
      </c>
      <c r="H19" s="110">
        <v>0.62</v>
      </c>
      <c r="I19" s="95">
        <f>'JULY 2026'!W19</f>
        <v>0</v>
      </c>
      <c r="J19" s="96">
        <v>2.42</v>
      </c>
      <c r="K19" s="103">
        <f>'JULY 2026'!AB19*5.04</f>
        <v>0</v>
      </c>
      <c r="L19" s="113">
        <v>0.11509999999999999</v>
      </c>
      <c r="M19" s="104" t="str">
        <f>'JULY 2026'!N19</f>
        <v>0</v>
      </c>
      <c r="N19" s="116">
        <v>0.88</v>
      </c>
      <c r="O19" s="97">
        <f>'JULY 2026'!AC19</f>
        <v>0</v>
      </c>
      <c r="P19" s="97">
        <f>'JULY 2026'!AD19</f>
        <v>0</v>
      </c>
    </row>
    <row r="20" spans="1:16" ht="15" x14ac:dyDescent="0.25">
      <c r="A20" s="92" t="s">
        <v>37</v>
      </c>
      <c r="B20" s="5">
        <f t="shared" si="0"/>
        <v>19</v>
      </c>
      <c r="C20" s="119">
        <v>7</v>
      </c>
      <c r="D20" s="4">
        <v>2026</v>
      </c>
      <c r="E20" s="93">
        <f>IF('JULY 2026'!C20&lt;0,"0",'JULY 2026'!C20)+(IF('JULY 2026'!E20&lt;0,"0",'JULY 2026'!E20)-(IF('JULY 2026'!G20&lt;0,"0",'JULY 2026'!G20)))</f>
        <v>0</v>
      </c>
      <c r="F20" s="107" t="e">
        <f>('JULY 2026'!C20*0.27)/('JULY 2026'!C20+'JULY 2026'!E20)</f>
        <v>#DIV/0!</v>
      </c>
      <c r="G20" s="94" t="str">
        <f>'JULY 2026'!U20</f>
        <v>0</v>
      </c>
      <c r="H20" s="110">
        <v>0.62</v>
      </c>
      <c r="I20" s="95">
        <f>'JULY 2026'!W20</f>
        <v>0</v>
      </c>
      <c r="J20" s="96">
        <v>2.42</v>
      </c>
      <c r="K20" s="103">
        <f>'JULY 2026'!AB20*5.04</f>
        <v>0</v>
      </c>
      <c r="L20" s="113">
        <v>0.11509999999999999</v>
      </c>
      <c r="M20" s="104" t="str">
        <f>'JULY 2026'!N20</f>
        <v>0</v>
      </c>
      <c r="N20" s="116">
        <v>0.88</v>
      </c>
      <c r="O20" s="97">
        <f>'JULY 2026'!AC20</f>
        <v>0</v>
      </c>
      <c r="P20" s="97">
        <f>'JULY 2026'!AD20</f>
        <v>0</v>
      </c>
    </row>
    <row r="21" spans="1:16" ht="15" x14ac:dyDescent="0.25">
      <c r="A21" s="92" t="s">
        <v>37</v>
      </c>
      <c r="B21" s="5">
        <f t="shared" si="0"/>
        <v>20</v>
      </c>
      <c r="C21" s="119">
        <v>7</v>
      </c>
      <c r="D21" s="4">
        <v>2026</v>
      </c>
      <c r="E21" s="93">
        <f>IF('JULY 2026'!C21&lt;0,"0",'JULY 2026'!C21)+(IF('JULY 2026'!E21&lt;0,"0",'JULY 2026'!E21)-(IF('JULY 2026'!G21&lt;0,"0",'JULY 2026'!G21)))</f>
        <v>0</v>
      </c>
      <c r="F21" s="107" t="e">
        <f>('JULY 2026'!C21*0.27)/('JULY 2026'!C21+'JULY 2026'!E21)</f>
        <v>#DIV/0!</v>
      </c>
      <c r="G21" s="94" t="str">
        <f>'JULY 2026'!U21</f>
        <v>0</v>
      </c>
      <c r="H21" s="110">
        <v>0.62</v>
      </c>
      <c r="I21" s="95">
        <f>'JULY 2026'!W21</f>
        <v>0</v>
      </c>
      <c r="J21" s="96">
        <v>2.42</v>
      </c>
      <c r="K21" s="103">
        <f>'JULY 2026'!AB21*5.04</f>
        <v>0</v>
      </c>
      <c r="L21" s="113">
        <v>0.11509999999999999</v>
      </c>
      <c r="M21" s="104" t="str">
        <f>'JULY 2026'!N21</f>
        <v>0</v>
      </c>
      <c r="N21" s="116">
        <v>0.88</v>
      </c>
      <c r="O21" s="97">
        <f>'JULY 2026'!AC21</f>
        <v>0</v>
      </c>
      <c r="P21" s="97">
        <f>'JULY 2026'!AD21</f>
        <v>0</v>
      </c>
    </row>
    <row r="22" spans="1:16" ht="15" x14ac:dyDescent="0.25">
      <c r="A22" s="92" t="s">
        <v>37</v>
      </c>
      <c r="B22" s="5">
        <f t="shared" si="0"/>
        <v>21</v>
      </c>
      <c r="C22" s="119">
        <v>7</v>
      </c>
      <c r="D22" s="4">
        <v>2026</v>
      </c>
      <c r="E22" s="93">
        <f>IF('JULY 2026'!C22&lt;0,"0",'JULY 2026'!C22)+(IF('JULY 2026'!E22&lt;0,"0",'JULY 2026'!E22)-(IF('JULY 2026'!G22&lt;0,"0",'JULY 2026'!G22)))</f>
        <v>0</v>
      </c>
      <c r="F22" s="107" t="e">
        <f>('JULY 2026'!C22*0.27)/('JULY 2026'!C22+'JULY 2026'!E22)</f>
        <v>#DIV/0!</v>
      </c>
      <c r="G22" s="94" t="str">
        <f>'JULY 2026'!U22</f>
        <v>0</v>
      </c>
      <c r="H22" s="110">
        <v>0.62</v>
      </c>
      <c r="I22" s="95">
        <f>'JULY 2026'!W22</f>
        <v>0</v>
      </c>
      <c r="J22" s="96">
        <v>2.42</v>
      </c>
      <c r="K22" s="103">
        <f>'JULY 2026'!AB22*5.04</f>
        <v>0</v>
      </c>
      <c r="L22" s="113">
        <v>0.11509999999999999</v>
      </c>
      <c r="M22" s="104" t="str">
        <f>'JULY 2026'!N22</f>
        <v>0</v>
      </c>
      <c r="N22" s="116">
        <v>0.88</v>
      </c>
      <c r="O22" s="97">
        <f>'JULY 2026'!AC22</f>
        <v>0</v>
      </c>
      <c r="P22" s="97">
        <f>'JULY 2026'!AD22</f>
        <v>0</v>
      </c>
    </row>
    <row r="23" spans="1:16" ht="15" x14ac:dyDescent="0.25">
      <c r="A23" s="92" t="s">
        <v>37</v>
      </c>
      <c r="B23" s="5">
        <f t="shared" si="0"/>
        <v>22</v>
      </c>
      <c r="C23" s="119">
        <v>7</v>
      </c>
      <c r="D23" s="4">
        <v>2026</v>
      </c>
      <c r="E23" s="93">
        <f>IF('JULY 2026'!C23&lt;0,"0",'JULY 2026'!C23)+(IF('JULY 2026'!E23&lt;0,"0",'JULY 2026'!E23)-(IF('JULY 2026'!G23&lt;0,"0",'JULY 2026'!G23)))</f>
        <v>0</v>
      </c>
      <c r="F23" s="107" t="e">
        <f>('JULY 2026'!C23*0.27)/('JULY 2026'!C23+'JULY 2026'!E23)</f>
        <v>#DIV/0!</v>
      </c>
      <c r="G23" s="94" t="str">
        <f>'JULY 2026'!U23</f>
        <v>0</v>
      </c>
      <c r="H23" s="110">
        <v>0.62</v>
      </c>
      <c r="I23" s="95">
        <f>'JULY 2026'!W23</f>
        <v>0</v>
      </c>
      <c r="J23" s="96">
        <v>2.42</v>
      </c>
      <c r="K23" s="103">
        <f>'JULY 2026'!AB23*5.04</f>
        <v>0</v>
      </c>
      <c r="L23" s="113">
        <v>0.11509999999999999</v>
      </c>
      <c r="M23" s="104" t="str">
        <f>'JULY 2026'!N23</f>
        <v>0</v>
      </c>
      <c r="N23" s="116">
        <v>0.88</v>
      </c>
      <c r="O23" s="97">
        <f>'JULY 2026'!AC23</f>
        <v>0</v>
      </c>
      <c r="P23" s="97">
        <f>'JULY 2026'!AD23</f>
        <v>0</v>
      </c>
    </row>
    <row r="24" spans="1:16" ht="15" x14ac:dyDescent="0.25">
      <c r="A24" s="92" t="s">
        <v>37</v>
      </c>
      <c r="B24" s="5">
        <f t="shared" si="0"/>
        <v>23</v>
      </c>
      <c r="C24" s="119">
        <v>7</v>
      </c>
      <c r="D24" s="4">
        <v>2026</v>
      </c>
      <c r="E24" s="93">
        <f>IF('JULY 2026'!C24&lt;0,"0",'JULY 2026'!C24)+(IF('JULY 2026'!E24&lt;0,"0",'JULY 2026'!E24)-(IF('JULY 2026'!G24&lt;0,"0",'JULY 2026'!G24)))</f>
        <v>0</v>
      </c>
      <c r="F24" s="107" t="e">
        <f>('JULY 2026'!C24*0.27)/('JULY 2026'!C24+'JULY 2026'!E24)</f>
        <v>#DIV/0!</v>
      </c>
      <c r="G24" s="94" t="str">
        <f>'JULY 2026'!U24</f>
        <v>0</v>
      </c>
      <c r="H24" s="110">
        <v>0.62</v>
      </c>
      <c r="I24" s="95">
        <f>'JULY 2026'!W24</f>
        <v>0</v>
      </c>
      <c r="J24" s="96">
        <v>2.42</v>
      </c>
      <c r="K24" s="103">
        <f>'JULY 2026'!AB24*5.04</f>
        <v>0</v>
      </c>
      <c r="L24" s="113">
        <v>0.11509999999999999</v>
      </c>
      <c r="M24" s="104" t="str">
        <f>'JULY 2026'!N24</f>
        <v>0</v>
      </c>
      <c r="N24" s="116">
        <v>0.88</v>
      </c>
      <c r="O24" s="97">
        <f>'JULY 2026'!AC24</f>
        <v>0</v>
      </c>
      <c r="P24" s="97">
        <f>'JULY 2026'!AD24</f>
        <v>0</v>
      </c>
    </row>
    <row r="25" spans="1:16" ht="15" x14ac:dyDescent="0.25">
      <c r="A25" s="92" t="s">
        <v>37</v>
      </c>
      <c r="B25" s="5">
        <f t="shared" si="0"/>
        <v>24</v>
      </c>
      <c r="C25" s="119">
        <v>7</v>
      </c>
      <c r="D25" s="4">
        <v>2026</v>
      </c>
      <c r="E25" s="93">
        <f>IF('JULY 2026'!C25&lt;0,"0",'JULY 2026'!C25)+(IF('JULY 2026'!E25&lt;0,"0",'JULY 2026'!E25)-(IF('JULY 2026'!G25&lt;0,"0",'JULY 2026'!G25)))</f>
        <v>0</v>
      </c>
      <c r="F25" s="107" t="e">
        <f>('JULY 2026'!C25*0.27)/('JULY 2026'!C25+'JULY 2026'!E25)</f>
        <v>#DIV/0!</v>
      </c>
      <c r="G25" s="94" t="str">
        <f>'JULY 2026'!U25</f>
        <v>0</v>
      </c>
      <c r="H25" s="110">
        <v>0.62</v>
      </c>
      <c r="I25" s="95">
        <f>'JULY 2026'!W25</f>
        <v>0</v>
      </c>
      <c r="J25" s="96">
        <v>2.42</v>
      </c>
      <c r="K25" s="103">
        <f>'JULY 2026'!AB25*5.04</f>
        <v>0</v>
      </c>
      <c r="L25" s="113">
        <v>0.11509999999999999</v>
      </c>
      <c r="M25" s="104" t="str">
        <f>'JULY 2026'!N25</f>
        <v>0</v>
      </c>
      <c r="N25" s="116">
        <v>0.88</v>
      </c>
      <c r="O25" s="97">
        <f>'JULY 2026'!AC25</f>
        <v>0</v>
      </c>
      <c r="P25" s="97">
        <f>'JULY 2026'!AD25</f>
        <v>0</v>
      </c>
    </row>
    <row r="26" spans="1:16" ht="15" x14ac:dyDescent="0.25">
      <c r="A26" s="92" t="s">
        <v>37</v>
      </c>
      <c r="B26" s="5">
        <f>B25+1</f>
        <v>25</v>
      </c>
      <c r="C26" s="119">
        <v>7</v>
      </c>
      <c r="D26" s="4">
        <v>2026</v>
      </c>
      <c r="E26" s="93">
        <f>IF('JULY 2026'!C26&lt;0,"0",'JULY 2026'!C26)+(IF('JULY 2026'!E26&lt;0,"0",'JULY 2026'!E26)-(IF('JULY 2026'!G26&lt;0,"0",'JULY 2026'!G26)))</f>
        <v>0</v>
      </c>
      <c r="F26" s="107" t="e">
        <f>('JULY 2026'!C26*0.27)/('JULY 2026'!C26+'JULY 2026'!E26)</f>
        <v>#DIV/0!</v>
      </c>
      <c r="G26" s="94" t="str">
        <f>'JULY 2026'!U26</f>
        <v>0</v>
      </c>
      <c r="H26" s="110">
        <v>0.62</v>
      </c>
      <c r="I26" s="95">
        <f>'JULY 2026'!W26</f>
        <v>0</v>
      </c>
      <c r="J26" s="96">
        <v>2.42</v>
      </c>
      <c r="K26" s="103">
        <f>'JULY 2026'!AB26*5.04</f>
        <v>0</v>
      </c>
      <c r="L26" s="113">
        <v>0.11509999999999999</v>
      </c>
      <c r="M26" s="104" t="str">
        <f>'JULY 2026'!N26</f>
        <v>0</v>
      </c>
      <c r="N26" s="116">
        <v>0.88</v>
      </c>
      <c r="O26" s="97">
        <f>'JULY 2026'!AC26</f>
        <v>0</v>
      </c>
      <c r="P26" s="97">
        <f>'JULY 2026'!AD26</f>
        <v>0</v>
      </c>
    </row>
    <row r="27" spans="1:16" ht="15" x14ac:dyDescent="0.25">
      <c r="A27" s="92" t="s">
        <v>37</v>
      </c>
      <c r="B27" s="5">
        <f t="shared" si="0"/>
        <v>26</v>
      </c>
      <c r="C27" s="119">
        <v>7</v>
      </c>
      <c r="D27" s="4">
        <v>2026</v>
      </c>
      <c r="E27" s="93">
        <f>IF('JULY 2026'!C27&lt;0,"0",'JULY 2026'!C27)+(IF('JULY 2026'!E27&lt;0,"0",'JULY 2026'!E27)-(IF('JULY 2026'!G27&lt;0,"0",'JULY 2026'!G27)))</f>
        <v>0</v>
      </c>
      <c r="F27" s="107" t="e">
        <f>('JULY 2026'!C27*0.27)/('JULY 2026'!C27+'JULY 2026'!E27)</f>
        <v>#DIV/0!</v>
      </c>
      <c r="G27" s="94" t="str">
        <f>'JULY 2026'!U27</f>
        <v>0</v>
      </c>
      <c r="H27" s="110">
        <v>0.62</v>
      </c>
      <c r="I27" s="95">
        <f>'JULY 2026'!W27</f>
        <v>0</v>
      </c>
      <c r="J27" s="96">
        <v>2.42</v>
      </c>
      <c r="K27" s="103">
        <f>'JULY 2026'!AB27*5.04</f>
        <v>0</v>
      </c>
      <c r="L27" s="113">
        <v>0.11509999999999999</v>
      </c>
      <c r="M27" s="104" t="str">
        <f>'JULY 2026'!N27</f>
        <v>0</v>
      </c>
      <c r="N27" s="116">
        <v>0.88</v>
      </c>
      <c r="O27" s="97">
        <f>'JULY 2026'!AC27</f>
        <v>0</v>
      </c>
      <c r="P27" s="97">
        <f>'JULY 2026'!AD27</f>
        <v>0</v>
      </c>
    </row>
    <row r="28" spans="1:16" ht="15" x14ac:dyDescent="0.25">
      <c r="A28" s="92" t="s">
        <v>37</v>
      </c>
      <c r="B28" s="5">
        <v>27</v>
      </c>
      <c r="C28" s="119">
        <v>7</v>
      </c>
      <c r="D28" s="4">
        <v>2026</v>
      </c>
      <c r="E28" s="93">
        <f>IF('JULY 2026'!C27&lt;0,"0",'JULY 2026'!C27)+(IF('JULY 2026'!E27&lt;0,"0",'JULY 2026'!E27)-(IF('JULY 2026'!G27&lt;0,"0",'JULY 2026'!G27)))</f>
        <v>0</v>
      </c>
      <c r="F28" s="107" t="e">
        <f>('JULY 2026'!C27*0.27)/('JULY 2026'!C27+'JULY 2026'!E27)</f>
        <v>#DIV/0!</v>
      </c>
      <c r="G28" s="94" t="str">
        <f>'JULY 2026'!U28</f>
        <v>0</v>
      </c>
      <c r="H28" s="110">
        <v>0.62</v>
      </c>
      <c r="I28" s="95">
        <f>'JULY 2026'!W28</f>
        <v>0</v>
      </c>
      <c r="J28" s="96">
        <v>2.42</v>
      </c>
      <c r="K28" s="103">
        <f>'JULY 2026'!AB32*5.04</f>
        <v>0</v>
      </c>
      <c r="L28" s="113">
        <v>0.11509999999999999</v>
      </c>
      <c r="M28" s="104" t="str">
        <f>'JULY 2026'!N28</f>
        <v>0</v>
      </c>
      <c r="N28" s="116">
        <v>0.88</v>
      </c>
      <c r="O28" s="97">
        <f>'JULY 2026'!AC27</f>
        <v>0</v>
      </c>
      <c r="P28" s="97">
        <f>'JULY 2026'!AD27</f>
        <v>0</v>
      </c>
    </row>
    <row r="29" spans="1:16" ht="15" x14ac:dyDescent="0.25">
      <c r="A29" s="92" t="s">
        <v>37</v>
      </c>
      <c r="B29" s="5">
        <v>28</v>
      </c>
      <c r="C29" s="119">
        <v>7</v>
      </c>
      <c r="D29" s="4">
        <v>2026</v>
      </c>
      <c r="E29" s="93">
        <f>IF('JULY 2026'!C28&lt;0,"0",'JULY 2026'!C28)+(IF('JULY 2026'!E28&lt;0,"0",'JULY 2026'!E28)-(IF('JULY 2026'!G28&lt;0,"0",'JULY 2026'!G28)))</f>
        <v>0</v>
      </c>
      <c r="F29" s="107" t="e">
        <f>('JULY 2026'!C28*0.27)/('JULY 2026'!C28+'JULY 2026'!E28)</f>
        <v>#DIV/0!</v>
      </c>
      <c r="G29" s="94" t="str">
        <f>'JULY 2026'!U29</f>
        <v>0</v>
      </c>
      <c r="H29" s="110">
        <v>0.62</v>
      </c>
      <c r="I29" s="95">
        <f>'JULY 2026'!W29</f>
        <v>0</v>
      </c>
      <c r="J29" s="96">
        <v>2.42</v>
      </c>
      <c r="K29" s="103">
        <f>'JULY 2026'!AB33*5.04</f>
        <v>0</v>
      </c>
      <c r="L29" s="113">
        <v>0.11509999999999999</v>
      </c>
      <c r="M29" s="104" t="str">
        <f>'JULY 2026'!N29</f>
        <v>0</v>
      </c>
      <c r="N29" s="116">
        <v>0.88</v>
      </c>
      <c r="O29" s="97">
        <f>'JULY 2026'!AC28</f>
        <v>0</v>
      </c>
      <c r="P29" s="97">
        <f>'JULY 2026'!AD28</f>
        <v>0</v>
      </c>
    </row>
    <row r="30" spans="1:16" ht="15" x14ac:dyDescent="0.25">
      <c r="A30" s="92" t="s">
        <v>37</v>
      </c>
      <c r="B30" s="5">
        <f t="shared" si="0"/>
        <v>29</v>
      </c>
      <c r="C30" s="119">
        <v>7</v>
      </c>
      <c r="D30" s="4">
        <v>2026</v>
      </c>
      <c r="E30" s="93">
        <f>IF('JULY 2026'!C29&lt;0,"0",'JULY 2026'!C29)+(IF('JULY 2026'!E29&lt;0,"0",'JULY 2026'!E29)-(IF('JULY 2026'!G29&lt;0,"0",'JULY 2026'!G29)))</f>
        <v>0</v>
      </c>
      <c r="F30" s="107" t="e">
        <f>('JULY 2026'!C29*0.27)/('JULY 2026'!C29+'JULY 2026'!E29)</f>
        <v>#DIV/0!</v>
      </c>
      <c r="G30" s="94" t="str">
        <f>'JULY 2026'!U30</f>
        <v>0</v>
      </c>
      <c r="H30" s="110">
        <v>0.62</v>
      </c>
      <c r="I30" s="95">
        <f>'JULY 2026'!W30</f>
        <v>0</v>
      </c>
      <c r="J30" s="96">
        <v>2.42</v>
      </c>
      <c r="K30" s="103">
        <f>'JULY 2026'!AB34*5.04</f>
        <v>0</v>
      </c>
      <c r="L30" s="113">
        <v>0.11509999999999999</v>
      </c>
      <c r="M30" s="104" t="str">
        <f>'JULY 2026'!N30</f>
        <v>0</v>
      </c>
      <c r="N30" s="116">
        <v>0.88</v>
      </c>
      <c r="O30" s="97">
        <f>'JULY 2026'!AC29</f>
        <v>0</v>
      </c>
      <c r="P30" s="97">
        <f>'JULY 2026'!AD29</f>
        <v>0</v>
      </c>
    </row>
    <row r="31" spans="1:16" ht="17.25" customHeight="1" x14ac:dyDescent="0.25">
      <c r="A31" s="92" t="s">
        <v>37</v>
      </c>
      <c r="B31" s="5">
        <v>30</v>
      </c>
      <c r="C31" s="119">
        <v>7</v>
      </c>
      <c r="D31" s="4">
        <v>2026</v>
      </c>
      <c r="E31" s="93">
        <f>IF('JULY 2026'!C32&lt;0,"0",'JULY 2026'!C32)+(IF('JULY 2026'!E32&lt;0,"0",'JULY 2026'!E32)-(IF('JULY 2026'!G32&lt;0,"0",'JULY 2026'!G32)))</f>
        <v>0</v>
      </c>
      <c r="F31" s="107" t="e">
        <f>('JULY 2026'!C32*0.27)/('JULY 2026'!C32+'JULY 2026'!E32)</f>
        <v>#DIV/0!</v>
      </c>
      <c r="G31" s="94" t="str">
        <f>'JULY 2026'!U32</f>
        <v>0</v>
      </c>
      <c r="H31" s="110">
        <v>0.62</v>
      </c>
      <c r="I31" s="95">
        <f>'JULY 2026'!W32</f>
        <v>0</v>
      </c>
      <c r="J31" s="96">
        <v>2.42</v>
      </c>
      <c r="K31" s="103">
        <f>'JULY 2026'!AB35*5.04</f>
        <v>0</v>
      </c>
      <c r="L31" s="113">
        <v>0.11509999999999999</v>
      </c>
      <c r="M31" s="104" t="str">
        <f>'JULY 2026'!N32</f>
        <v>0</v>
      </c>
      <c r="N31" s="116">
        <v>0.88</v>
      </c>
      <c r="O31" s="97">
        <f>'JULY 2026'!AC32</f>
        <v>0</v>
      </c>
      <c r="P31" s="97">
        <f>'JULY 2026'!AD32</f>
        <v>0</v>
      </c>
    </row>
    <row r="32" spans="1:16" x14ac:dyDescent="0.2">
      <c r="D32" s="98"/>
      <c r="F32" s="107"/>
      <c r="I32" s="96"/>
      <c r="J32" s="96"/>
      <c r="K32" s="103"/>
      <c r="L32" s="113"/>
      <c r="M32" s="104"/>
      <c r="O32" s="99"/>
      <c r="P32" s="99"/>
    </row>
    <row r="33" spans="4:16" x14ac:dyDescent="0.2">
      <c r="D33" s="98"/>
      <c r="F33" s="107"/>
      <c r="I33" s="96"/>
      <c r="J33" s="96"/>
      <c r="K33" s="103"/>
      <c r="L33" s="113"/>
      <c r="O33" s="99"/>
      <c r="P33" s="99"/>
    </row>
    <row r="34" spans="4:16" x14ac:dyDescent="0.2">
      <c r="D34" s="98"/>
      <c r="F34" s="107"/>
      <c r="I34" s="96"/>
      <c r="J34" s="96"/>
      <c r="K34" s="103"/>
      <c r="L34" s="113"/>
      <c r="O34" s="99"/>
      <c r="P34" s="99"/>
    </row>
    <row r="35" spans="4:16" x14ac:dyDescent="0.2">
      <c r="F35" s="107"/>
      <c r="K35" s="103"/>
      <c r="L35" s="113"/>
    </row>
    <row r="36" spans="4:16" x14ac:dyDescent="0.2">
      <c r="F36" s="107"/>
      <c r="K36" s="103"/>
      <c r="L36" s="113"/>
    </row>
    <row r="37" spans="4:16" x14ac:dyDescent="0.2">
      <c r="F37" s="107"/>
      <c r="K37" s="103"/>
      <c r="L37" s="113"/>
    </row>
    <row r="38" spans="4:16" x14ac:dyDescent="0.2">
      <c r="F38" s="107"/>
      <c r="K38" s="103"/>
      <c r="L38" s="113"/>
    </row>
    <row r="39" spans="4:16" x14ac:dyDescent="0.2">
      <c r="K39" s="103"/>
      <c r="L39" s="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4" zoomScale="90" zoomScaleNormal="90" workbookViewId="0">
      <selection activeCell="B12" sqref="B1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3" t="s">
        <v>7</v>
      </c>
      <c r="H1" s="65" t="s">
        <v>18</v>
      </c>
      <c r="I1" s="69" t="s">
        <v>17</v>
      </c>
      <c r="J1" s="46" t="s">
        <v>5</v>
      </c>
      <c r="K1" s="25" t="s">
        <v>1</v>
      </c>
      <c r="L1" s="121" t="s">
        <v>2</v>
      </c>
      <c r="M1" s="71" t="s">
        <v>14</v>
      </c>
      <c r="N1" s="28" t="s">
        <v>5</v>
      </c>
      <c r="O1" s="79" t="s">
        <v>20</v>
      </c>
      <c r="P1" s="79" t="s">
        <v>21</v>
      </c>
      <c r="Q1" s="79" t="s">
        <v>22</v>
      </c>
      <c r="R1" s="79" t="s">
        <v>23</v>
      </c>
      <c r="S1" s="35" t="s">
        <v>19</v>
      </c>
      <c r="T1" s="34" t="s">
        <v>13</v>
      </c>
      <c r="U1" s="28" t="s">
        <v>5</v>
      </c>
      <c r="V1" s="37" t="s">
        <v>4</v>
      </c>
      <c r="W1" s="28" t="s">
        <v>5</v>
      </c>
      <c r="X1" s="40" t="s">
        <v>3</v>
      </c>
      <c r="Y1" s="28" t="s">
        <v>5</v>
      </c>
      <c r="Z1" s="43" t="s">
        <v>15</v>
      </c>
      <c r="AA1" s="49" t="s">
        <v>16</v>
      </c>
      <c r="AB1" s="28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46204</v>
      </c>
      <c r="B2" s="8">
        <v>639685</v>
      </c>
      <c r="C2" s="14">
        <f>IF((B3-B2)&lt;0,"0",B3-B2)</f>
        <v>7076</v>
      </c>
      <c r="D2" s="9">
        <v>1182394</v>
      </c>
      <c r="E2" s="14">
        <f>IF((D3-D2)&lt;0,"0",D3-D2)</f>
        <v>1591</v>
      </c>
      <c r="F2" s="27">
        <v>1704</v>
      </c>
      <c r="G2" s="64">
        <f>F3-F2</f>
        <v>0</v>
      </c>
      <c r="H2" s="66">
        <f>C2+E2-G2</f>
        <v>8667</v>
      </c>
      <c r="I2" s="70">
        <f>H2-K2-M2-O2-Q2</f>
        <v>-37608.509999999995</v>
      </c>
      <c r="J2" s="31">
        <f t="shared" ref="J2:J32" si="0">I3-I2</f>
        <v>10</v>
      </c>
      <c r="K2" s="19">
        <f>A2</f>
        <v>46204</v>
      </c>
      <c r="L2" s="29">
        <v>6156</v>
      </c>
      <c r="M2" s="30">
        <v>70</v>
      </c>
      <c r="N2" s="31">
        <v>73</v>
      </c>
      <c r="O2" s="80">
        <v>0.7</v>
      </c>
      <c r="P2" s="81">
        <v>0.73</v>
      </c>
      <c r="Q2" s="80">
        <v>0.81</v>
      </c>
      <c r="R2" s="81">
        <v>0.72</v>
      </c>
      <c r="S2" s="36">
        <f>(2500*O2)+(2500*P2)+(500*Q2)+(500*R2)</f>
        <v>4340</v>
      </c>
      <c r="T2" s="120"/>
      <c r="U2" s="31">
        <f>IF((S2-S3+T2)=S2,"0",(S2-S3+T2))</f>
        <v>25</v>
      </c>
      <c r="V2" s="38">
        <v>11424</v>
      </c>
      <c r="W2" s="31">
        <f t="shared" ref="W2:W32" si="1">IF(V3-V2&lt;0,"0",V3-V2)</f>
        <v>116</v>
      </c>
      <c r="X2" s="41">
        <v>62379</v>
      </c>
      <c r="Y2" s="14">
        <f>IF((X3-X2)&lt;0,"0",X3-X2)</f>
        <v>19</v>
      </c>
      <c r="Z2" s="44">
        <v>0</v>
      </c>
      <c r="AA2" s="50">
        <v>0</v>
      </c>
      <c r="AB2" s="31" t="str">
        <f>IF((Z2-Z3+AA2)=Z2,"0",(Z2-Z3+AA2))</f>
        <v>0</v>
      </c>
      <c r="AC2" s="12">
        <v>178</v>
      </c>
      <c r="AD2" s="17">
        <v>359</v>
      </c>
    </row>
    <row r="3" spans="1:30" ht="20.65" customHeight="1" x14ac:dyDescent="0.2">
      <c r="A3" s="19">
        <v>46205</v>
      </c>
      <c r="B3" s="10">
        <v>646761</v>
      </c>
      <c r="C3" s="14">
        <f t="shared" ref="C3:C32" si="2">IF((B4-B3)&lt;0,"0",B4-B3)</f>
        <v>7049</v>
      </c>
      <c r="D3" s="11">
        <v>1183985</v>
      </c>
      <c r="E3" s="14">
        <f t="shared" ref="E3:E13" si="3">IF((D4-D3)&lt;0,"0",D4-D3)</f>
        <v>1559</v>
      </c>
      <c r="F3" s="27">
        <v>1704</v>
      </c>
      <c r="G3" s="64">
        <f t="shared" ref="G3:G32" si="4">F4-F3</f>
        <v>0</v>
      </c>
      <c r="H3" s="66">
        <f t="shared" ref="H3:H29" si="5">C3+E3-G3</f>
        <v>8608</v>
      </c>
      <c r="I3" s="70">
        <f t="shared" ref="I3:I29" si="6">H3-K3-M3-O3-Q3</f>
        <v>-37598.509999999995</v>
      </c>
      <c r="J3" s="31">
        <f t="shared" si="0"/>
        <v>1268.0999999999913</v>
      </c>
      <c r="K3" s="20">
        <f t="shared" ref="K3:K29" si="7">A3</f>
        <v>46205</v>
      </c>
      <c r="L3" s="32">
        <v>6050</v>
      </c>
      <c r="M3" s="30">
        <v>0</v>
      </c>
      <c r="N3" s="31">
        <f t="shared" ref="N3:N9" si="8">IF((L3-L4+M3)=L3,"0",(L3-L4+M3))</f>
        <v>106</v>
      </c>
      <c r="O3" s="82">
        <v>0.7</v>
      </c>
      <c r="P3" s="83">
        <v>0.72</v>
      </c>
      <c r="Q3" s="82">
        <v>0.81</v>
      </c>
      <c r="R3" s="83">
        <v>0.72</v>
      </c>
      <c r="S3" s="36">
        <f t="shared" ref="S3:S33" si="9">(2500*O3)+(2500*P3)+(500*Q3)+(500*R3)</f>
        <v>4315</v>
      </c>
      <c r="T3" s="120"/>
      <c r="U3" s="31">
        <f t="shared" ref="U3:U19" si="10">IF((S3-S4+T3)=S3,"0",(S3-S4+T3))</f>
        <v>195</v>
      </c>
      <c r="V3" s="39">
        <v>11540</v>
      </c>
      <c r="W3" s="31">
        <f t="shared" si="1"/>
        <v>113</v>
      </c>
      <c r="X3" s="41">
        <v>62398</v>
      </c>
      <c r="Y3" s="14">
        <f t="shared" ref="Y3:Y19" si="11">IF((X4-X3)&lt;0,"0",X4-X3)</f>
        <v>9</v>
      </c>
      <c r="Z3" s="44">
        <v>0</v>
      </c>
      <c r="AA3" s="50">
        <v>0</v>
      </c>
      <c r="AB3" s="31" t="str">
        <f t="shared" ref="AB3:AB32" si="12">IF((Z3-Z4+AA3)=Z3,"0",(Z3-Z4+AA3))</f>
        <v>0</v>
      </c>
      <c r="AC3" s="13">
        <v>188</v>
      </c>
      <c r="AD3" s="18">
        <v>386</v>
      </c>
    </row>
    <row r="4" spans="1:30" ht="20.65" customHeight="1" x14ac:dyDescent="0.2">
      <c r="A4" s="19">
        <v>46206</v>
      </c>
      <c r="B4" s="10">
        <v>653810</v>
      </c>
      <c r="C4" s="14">
        <f t="shared" si="2"/>
        <v>8373</v>
      </c>
      <c r="D4" s="11">
        <v>1185544</v>
      </c>
      <c r="E4" s="14">
        <f t="shared" si="3"/>
        <v>1504</v>
      </c>
      <c r="F4" s="27">
        <v>1704</v>
      </c>
      <c r="G4" s="64">
        <f t="shared" si="4"/>
        <v>0</v>
      </c>
      <c r="H4" s="66">
        <f t="shared" si="5"/>
        <v>9877</v>
      </c>
      <c r="I4" s="70">
        <f t="shared" si="6"/>
        <v>-36330.410000000003</v>
      </c>
      <c r="J4" s="31">
        <f t="shared" si="0"/>
        <v>107.06999999999971</v>
      </c>
      <c r="K4" s="20">
        <f t="shared" si="7"/>
        <v>46206</v>
      </c>
      <c r="L4" s="32">
        <v>5944</v>
      </c>
      <c r="M4" s="30">
        <v>0</v>
      </c>
      <c r="N4" s="31">
        <f t="shared" si="8"/>
        <v>98</v>
      </c>
      <c r="O4" s="82">
        <v>0.66</v>
      </c>
      <c r="P4" s="83">
        <v>0.7</v>
      </c>
      <c r="Q4" s="82">
        <v>0.75</v>
      </c>
      <c r="R4" s="83">
        <v>0.69</v>
      </c>
      <c r="S4" s="36">
        <f t="shared" si="9"/>
        <v>4120</v>
      </c>
      <c r="T4" s="120"/>
      <c r="U4" s="31">
        <f t="shared" si="10"/>
        <v>100</v>
      </c>
      <c r="V4" s="39">
        <v>11653</v>
      </c>
      <c r="W4" s="31">
        <f t="shared" si="1"/>
        <v>116</v>
      </c>
      <c r="X4" s="41">
        <v>62407</v>
      </c>
      <c r="Y4" s="14">
        <f t="shared" si="11"/>
        <v>17</v>
      </c>
      <c r="Z4" s="44">
        <v>0</v>
      </c>
      <c r="AA4" s="50">
        <v>0</v>
      </c>
      <c r="AB4" s="31" t="str">
        <f t="shared" si="12"/>
        <v>0</v>
      </c>
      <c r="AC4" s="13">
        <v>199</v>
      </c>
      <c r="AD4" s="18">
        <v>411</v>
      </c>
    </row>
    <row r="5" spans="1:30" ht="20.65" customHeight="1" x14ac:dyDescent="0.2">
      <c r="A5" s="19">
        <v>46207</v>
      </c>
      <c r="B5" s="10">
        <v>662183</v>
      </c>
      <c r="C5" s="14">
        <f t="shared" si="2"/>
        <v>8429</v>
      </c>
      <c r="D5" s="11">
        <v>1187048</v>
      </c>
      <c r="E5" s="14">
        <f t="shared" si="3"/>
        <v>1556</v>
      </c>
      <c r="F5" s="27">
        <v>1704</v>
      </c>
      <c r="G5" s="64">
        <f t="shared" si="4"/>
        <v>0</v>
      </c>
      <c r="H5" s="66">
        <f t="shared" si="5"/>
        <v>9985</v>
      </c>
      <c r="I5" s="70">
        <f t="shared" si="6"/>
        <v>-36223.340000000004</v>
      </c>
      <c r="J5" s="31">
        <f t="shared" si="0"/>
        <v>-754.95999999999185</v>
      </c>
      <c r="K5" s="20">
        <f t="shared" si="7"/>
        <v>46207</v>
      </c>
      <c r="L5" s="32">
        <v>5846</v>
      </c>
      <c r="M5" s="30">
        <v>0</v>
      </c>
      <c r="N5" s="31">
        <f t="shared" si="8"/>
        <v>95</v>
      </c>
      <c r="O5" s="82">
        <v>0.65</v>
      </c>
      <c r="P5" s="83">
        <v>0.69</v>
      </c>
      <c r="Q5" s="82">
        <v>0.69</v>
      </c>
      <c r="R5" s="83">
        <v>0.65</v>
      </c>
      <c r="S5" s="36">
        <f t="shared" si="9"/>
        <v>4020</v>
      </c>
      <c r="T5" s="120"/>
      <c r="U5" s="31">
        <f t="shared" si="10"/>
        <v>185</v>
      </c>
      <c r="V5" s="39">
        <v>11769</v>
      </c>
      <c r="W5" s="31">
        <f t="shared" si="1"/>
        <v>121</v>
      </c>
      <c r="X5" s="41">
        <v>62424</v>
      </c>
      <c r="Y5" s="14">
        <f t="shared" si="11"/>
        <v>0</v>
      </c>
      <c r="Z5" s="44">
        <v>0</v>
      </c>
      <c r="AA5" s="50">
        <v>0</v>
      </c>
      <c r="AB5" s="31" t="str">
        <f t="shared" si="12"/>
        <v>0</v>
      </c>
      <c r="AC5" s="13">
        <v>205</v>
      </c>
      <c r="AD5" s="18">
        <v>420</v>
      </c>
    </row>
    <row r="6" spans="1:30" ht="20.65" customHeight="1" x14ac:dyDescent="0.2">
      <c r="A6" s="19">
        <v>46208</v>
      </c>
      <c r="B6" s="10">
        <v>670612</v>
      </c>
      <c r="C6" s="14">
        <f t="shared" si="2"/>
        <v>7676</v>
      </c>
      <c r="D6" s="11">
        <v>1188604</v>
      </c>
      <c r="E6" s="14">
        <f t="shared" si="3"/>
        <v>1555</v>
      </c>
      <c r="F6" s="27">
        <v>1704</v>
      </c>
      <c r="G6" s="64">
        <f t="shared" si="4"/>
        <v>0</v>
      </c>
      <c r="H6" s="66">
        <f t="shared" si="5"/>
        <v>9231</v>
      </c>
      <c r="I6" s="70">
        <f t="shared" si="6"/>
        <v>-36978.299999999996</v>
      </c>
      <c r="J6" s="31">
        <f t="shared" si="0"/>
        <v>-311.90000000000146</v>
      </c>
      <c r="K6" s="20">
        <f t="shared" si="7"/>
        <v>46208</v>
      </c>
      <c r="L6" s="32">
        <v>5751</v>
      </c>
      <c r="M6" s="30">
        <v>0</v>
      </c>
      <c r="N6" s="31">
        <f t="shared" si="8"/>
        <v>109</v>
      </c>
      <c r="O6" s="82">
        <v>0.63</v>
      </c>
      <c r="P6" s="83">
        <v>0.65</v>
      </c>
      <c r="Q6" s="82">
        <v>0.67</v>
      </c>
      <c r="R6" s="83">
        <v>0.6</v>
      </c>
      <c r="S6" s="36">
        <f t="shared" si="9"/>
        <v>3835</v>
      </c>
      <c r="T6" s="120"/>
      <c r="U6" s="31">
        <f t="shared" si="10"/>
        <v>155</v>
      </c>
      <c r="V6" s="39">
        <v>11890</v>
      </c>
      <c r="W6" s="31">
        <f t="shared" si="1"/>
        <v>115</v>
      </c>
      <c r="X6" s="41">
        <v>62424</v>
      </c>
      <c r="Y6" s="14">
        <f t="shared" si="11"/>
        <v>10</v>
      </c>
      <c r="Z6" s="44">
        <v>0</v>
      </c>
      <c r="AA6" s="50">
        <v>0</v>
      </c>
      <c r="AB6" s="31" t="str">
        <f t="shared" si="12"/>
        <v>0</v>
      </c>
      <c r="AC6" s="13">
        <v>182</v>
      </c>
      <c r="AD6" s="18">
        <v>367</v>
      </c>
    </row>
    <row r="7" spans="1:30" ht="20.65" customHeight="1" x14ac:dyDescent="0.2">
      <c r="A7" s="19">
        <v>46209</v>
      </c>
      <c r="B7" s="10">
        <v>678288</v>
      </c>
      <c r="C7" s="14">
        <f t="shared" si="2"/>
        <v>7402</v>
      </c>
      <c r="D7" s="11">
        <v>1190159</v>
      </c>
      <c r="E7" s="14">
        <f t="shared" si="3"/>
        <v>1518</v>
      </c>
      <c r="F7" s="27">
        <v>1704</v>
      </c>
      <c r="G7" s="64">
        <f t="shared" si="4"/>
        <v>0</v>
      </c>
      <c r="H7" s="66">
        <f t="shared" si="5"/>
        <v>8920</v>
      </c>
      <c r="I7" s="70">
        <f t="shared" si="6"/>
        <v>-37290.199999999997</v>
      </c>
      <c r="J7" s="31">
        <f t="shared" si="0"/>
        <v>11.540000000000873</v>
      </c>
      <c r="K7" s="20">
        <f t="shared" si="7"/>
        <v>46209</v>
      </c>
      <c r="L7" s="32">
        <v>5642</v>
      </c>
      <c r="M7" s="30">
        <v>0</v>
      </c>
      <c r="N7" s="31">
        <f t="shared" si="8"/>
        <v>9</v>
      </c>
      <c r="O7" s="82">
        <v>0.59</v>
      </c>
      <c r="P7" s="83">
        <v>0.64</v>
      </c>
      <c r="Q7" s="82">
        <v>0.61</v>
      </c>
      <c r="R7" s="83">
        <v>0.6</v>
      </c>
      <c r="S7" s="36">
        <f t="shared" si="9"/>
        <v>3680</v>
      </c>
      <c r="T7" s="120">
        <v>1167</v>
      </c>
      <c r="U7" s="31">
        <f t="shared" si="10"/>
        <v>-58</v>
      </c>
      <c r="V7" s="39">
        <v>12005</v>
      </c>
      <c r="W7" s="31">
        <f t="shared" si="1"/>
        <v>108</v>
      </c>
      <c r="X7" s="41">
        <v>62434</v>
      </c>
      <c r="Y7" s="14">
        <f t="shared" si="11"/>
        <v>24</v>
      </c>
      <c r="Z7" s="44">
        <v>0</v>
      </c>
      <c r="AA7" s="50">
        <v>0</v>
      </c>
      <c r="AB7" s="31" t="str">
        <f t="shared" si="12"/>
        <v>0</v>
      </c>
      <c r="AC7" s="13">
        <v>178</v>
      </c>
      <c r="AD7" s="18">
        <v>364</v>
      </c>
    </row>
    <row r="8" spans="1:30" ht="20.65" customHeight="1" x14ac:dyDescent="0.2">
      <c r="A8" s="19">
        <v>46210</v>
      </c>
      <c r="B8" s="10">
        <v>685690</v>
      </c>
      <c r="C8" s="14">
        <f t="shared" si="2"/>
        <v>7393</v>
      </c>
      <c r="D8" s="11">
        <v>1191677</v>
      </c>
      <c r="E8" s="14">
        <f t="shared" si="3"/>
        <v>1540</v>
      </c>
      <c r="F8" s="27">
        <v>1704</v>
      </c>
      <c r="G8" s="64">
        <f t="shared" si="4"/>
        <v>0</v>
      </c>
      <c r="H8" s="66">
        <f t="shared" si="5"/>
        <v>8933</v>
      </c>
      <c r="I8" s="70">
        <f t="shared" si="6"/>
        <v>-37278.659999999996</v>
      </c>
      <c r="J8" s="31">
        <f t="shared" si="0"/>
        <v>11.039999999993597</v>
      </c>
      <c r="K8" s="20">
        <f t="shared" si="7"/>
        <v>46210</v>
      </c>
      <c r="L8" s="32">
        <v>5633</v>
      </c>
      <c r="M8" s="30">
        <v>0</v>
      </c>
      <c r="N8" s="31">
        <f t="shared" si="8"/>
        <v>103</v>
      </c>
      <c r="O8" s="82">
        <v>0.84</v>
      </c>
      <c r="P8" s="83">
        <v>0.8</v>
      </c>
      <c r="Q8" s="82">
        <v>0.82</v>
      </c>
      <c r="R8" s="83">
        <v>0.79</v>
      </c>
      <c r="S8" s="36">
        <f t="shared" si="9"/>
        <v>4905</v>
      </c>
      <c r="T8" s="120"/>
      <c r="U8" s="31">
        <f t="shared" si="10"/>
        <v>120</v>
      </c>
      <c r="V8" s="39">
        <v>12113</v>
      </c>
      <c r="W8" s="31">
        <f t="shared" si="1"/>
        <v>111</v>
      </c>
      <c r="X8" s="41">
        <v>62458</v>
      </c>
      <c r="Y8" s="14">
        <f t="shared" si="11"/>
        <v>10</v>
      </c>
      <c r="Z8" s="44">
        <v>0</v>
      </c>
      <c r="AA8" s="50">
        <v>0</v>
      </c>
      <c r="AB8" s="31" t="str">
        <f t="shared" si="12"/>
        <v>0</v>
      </c>
      <c r="AC8" s="13">
        <v>168</v>
      </c>
      <c r="AD8" s="18">
        <v>343</v>
      </c>
    </row>
    <row r="9" spans="1:30" ht="20.65" customHeight="1" x14ac:dyDescent="0.2">
      <c r="A9" s="19">
        <v>46211</v>
      </c>
      <c r="B9" s="10">
        <v>693083</v>
      </c>
      <c r="C9" s="14">
        <f t="shared" si="2"/>
        <v>7399</v>
      </c>
      <c r="D9" s="11">
        <v>1193217</v>
      </c>
      <c r="E9" s="14">
        <f t="shared" si="3"/>
        <v>1546</v>
      </c>
      <c r="F9" s="27">
        <v>1704</v>
      </c>
      <c r="G9" s="64">
        <f t="shared" si="4"/>
        <v>0</v>
      </c>
      <c r="H9" s="66">
        <f t="shared" si="5"/>
        <v>8945</v>
      </c>
      <c r="I9" s="70">
        <f t="shared" si="6"/>
        <v>-37267.620000000003</v>
      </c>
      <c r="J9" s="31">
        <f t="shared" si="0"/>
        <v>218.01000000000204</v>
      </c>
      <c r="K9" s="20">
        <f t="shared" si="7"/>
        <v>46211</v>
      </c>
      <c r="L9" s="32">
        <v>5530</v>
      </c>
      <c r="M9" s="30">
        <v>0</v>
      </c>
      <c r="N9" s="31">
        <f t="shared" si="8"/>
        <v>88</v>
      </c>
      <c r="O9" s="82">
        <v>0.8</v>
      </c>
      <c r="P9" s="83">
        <v>0.8</v>
      </c>
      <c r="Q9" s="82">
        <v>0.82</v>
      </c>
      <c r="R9" s="83">
        <v>0.75</v>
      </c>
      <c r="S9" s="36">
        <f t="shared" si="9"/>
        <v>4785</v>
      </c>
      <c r="T9" s="120"/>
      <c r="U9" s="31">
        <f t="shared" si="10"/>
        <v>40</v>
      </c>
      <c r="V9" s="39">
        <v>12224</v>
      </c>
      <c r="W9" s="31">
        <f t="shared" si="1"/>
        <v>104</v>
      </c>
      <c r="X9" s="41">
        <v>62468</v>
      </c>
      <c r="Y9" s="14">
        <f t="shared" si="11"/>
        <v>6</v>
      </c>
      <c r="Z9" s="44">
        <v>0</v>
      </c>
      <c r="AA9" s="50">
        <v>0</v>
      </c>
      <c r="AB9" s="31" t="str">
        <f t="shared" si="12"/>
        <v>0</v>
      </c>
      <c r="AC9" s="13">
        <v>174</v>
      </c>
      <c r="AD9" s="18">
        <v>355</v>
      </c>
    </row>
    <row r="10" spans="1:30" ht="20.65" customHeight="1" x14ac:dyDescent="0.2">
      <c r="A10" s="19">
        <v>46212</v>
      </c>
      <c r="B10" s="10">
        <v>700482</v>
      </c>
      <c r="C10" s="14">
        <f t="shared" si="2"/>
        <v>7589</v>
      </c>
      <c r="D10" s="11">
        <v>1194763</v>
      </c>
      <c r="E10" s="14">
        <f t="shared" si="3"/>
        <v>1575</v>
      </c>
      <c r="F10" s="27">
        <v>1704</v>
      </c>
      <c r="G10" s="64">
        <f t="shared" si="4"/>
        <v>0</v>
      </c>
      <c r="H10" s="66">
        <f t="shared" si="5"/>
        <v>9164</v>
      </c>
      <c r="I10" s="70">
        <f t="shared" si="6"/>
        <v>-37049.61</v>
      </c>
      <c r="J10" s="31">
        <f t="shared" si="0"/>
        <v>-9164.9599999999991</v>
      </c>
      <c r="K10" s="20">
        <f t="shared" si="7"/>
        <v>46212</v>
      </c>
      <c r="L10" s="32">
        <v>5442</v>
      </c>
      <c r="M10" s="30">
        <v>0</v>
      </c>
      <c r="N10" s="31">
        <f t="shared" ref="N10:N33" si="13">IF((L10-L11+M10)=L10,"0",(L10-L11+M10))</f>
        <v>111</v>
      </c>
      <c r="O10" s="82">
        <v>0.8</v>
      </c>
      <c r="P10" s="83">
        <v>0.79</v>
      </c>
      <c r="Q10" s="82">
        <v>0.81</v>
      </c>
      <c r="R10" s="83">
        <v>0.73</v>
      </c>
      <c r="S10" s="36">
        <f t="shared" si="9"/>
        <v>4745</v>
      </c>
      <c r="T10" s="120"/>
      <c r="U10" s="31">
        <f t="shared" si="10"/>
        <v>85</v>
      </c>
      <c r="V10" s="39">
        <v>12328</v>
      </c>
      <c r="W10" s="31">
        <f t="shared" si="1"/>
        <v>119</v>
      </c>
      <c r="X10" s="41">
        <v>62474</v>
      </c>
      <c r="Y10" s="14">
        <f t="shared" si="11"/>
        <v>18</v>
      </c>
      <c r="Z10" s="44">
        <v>0</v>
      </c>
      <c r="AA10" s="50">
        <v>0</v>
      </c>
      <c r="AB10" s="31" t="str">
        <f t="shared" si="12"/>
        <v>0</v>
      </c>
      <c r="AC10" s="13">
        <v>169</v>
      </c>
      <c r="AD10" s="18">
        <v>355</v>
      </c>
    </row>
    <row r="11" spans="1:30" ht="20.65" customHeight="1" x14ac:dyDescent="0.2">
      <c r="A11" s="19">
        <v>46213</v>
      </c>
      <c r="B11" s="10">
        <v>708071</v>
      </c>
      <c r="C11" s="14" t="str">
        <f t="shared" si="2"/>
        <v>0</v>
      </c>
      <c r="D11" s="11">
        <v>1196338</v>
      </c>
      <c r="E11" s="14" t="str">
        <f t="shared" si="3"/>
        <v>0</v>
      </c>
      <c r="F11" s="27">
        <v>1704</v>
      </c>
      <c r="G11" s="64">
        <f t="shared" si="4"/>
        <v>0</v>
      </c>
      <c r="H11" s="66">
        <f t="shared" si="5"/>
        <v>0</v>
      </c>
      <c r="I11" s="70">
        <f t="shared" si="6"/>
        <v>-46214.57</v>
      </c>
      <c r="J11" s="31">
        <f t="shared" si="0"/>
        <v>0.56999999999970896</v>
      </c>
      <c r="K11" s="20">
        <f t="shared" si="7"/>
        <v>46213</v>
      </c>
      <c r="L11" s="32">
        <v>5331</v>
      </c>
      <c r="M11" s="30">
        <v>0</v>
      </c>
      <c r="N11" s="31" t="str">
        <f t="shared" si="13"/>
        <v>0</v>
      </c>
      <c r="O11" s="82">
        <v>0.79</v>
      </c>
      <c r="P11" s="83">
        <v>0.78</v>
      </c>
      <c r="Q11" s="82">
        <v>0.78</v>
      </c>
      <c r="R11" s="83">
        <v>0.69</v>
      </c>
      <c r="S11" s="36">
        <f t="shared" si="9"/>
        <v>4660</v>
      </c>
      <c r="T11" s="120"/>
      <c r="U11" s="31" t="str">
        <f t="shared" si="10"/>
        <v>0</v>
      </c>
      <c r="V11" s="39">
        <v>12447</v>
      </c>
      <c r="W11" s="31" t="str">
        <f t="shared" si="1"/>
        <v>0</v>
      </c>
      <c r="X11" s="41">
        <v>62492</v>
      </c>
      <c r="Y11" s="14" t="str">
        <f t="shared" si="11"/>
        <v>0</v>
      </c>
      <c r="Z11" s="44">
        <v>0</v>
      </c>
      <c r="AA11" s="50">
        <v>0</v>
      </c>
      <c r="AB11" s="31" t="str">
        <f t="shared" si="12"/>
        <v>0</v>
      </c>
      <c r="AC11" s="13">
        <v>185</v>
      </c>
      <c r="AD11" s="18">
        <v>377</v>
      </c>
    </row>
    <row r="12" spans="1:30" ht="21.4" customHeight="1" x14ac:dyDescent="0.2">
      <c r="A12" s="19">
        <v>46214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4">
        <f t="shared" si="4"/>
        <v>0</v>
      </c>
      <c r="H12" s="66">
        <f t="shared" si="5"/>
        <v>0</v>
      </c>
      <c r="I12" s="70">
        <f t="shared" si="6"/>
        <v>-46214</v>
      </c>
      <c r="J12" s="31">
        <f t="shared" si="0"/>
        <v>-1</v>
      </c>
      <c r="K12" s="20">
        <f t="shared" si="7"/>
        <v>46214</v>
      </c>
      <c r="L12" s="32"/>
      <c r="M12" s="30">
        <v>0</v>
      </c>
      <c r="N12" s="31" t="str">
        <f t="shared" si="13"/>
        <v>0</v>
      </c>
      <c r="O12" s="82"/>
      <c r="P12" s="83"/>
      <c r="Q12" s="82"/>
      <c r="R12" s="83"/>
      <c r="S12" s="36">
        <f t="shared" si="9"/>
        <v>0</v>
      </c>
      <c r="T12" s="120"/>
      <c r="U12" s="31" t="str">
        <f t="shared" si="10"/>
        <v>0</v>
      </c>
      <c r="V12" s="39"/>
      <c r="W12" s="31">
        <f t="shared" si="1"/>
        <v>0</v>
      </c>
      <c r="X12" s="41"/>
      <c r="Y12" s="14">
        <f t="shared" si="11"/>
        <v>0</v>
      </c>
      <c r="Z12" s="45"/>
      <c r="AA12" s="50">
        <v>0</v>
      </c>
      <c r="AB12" s="31" t="str">
        <f t="shared" si="12"/>
        <v>0</v>
      </c>
      <c r="AC12" s="13"/>
      <c r="AD12" s="18"/>
    </row>
    <row r="13" spans="1:30" ht="20.65" customHeight="1" x14ac:dyDescent="0.2">
      <c r="A13" s="19">
        <v>46215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4">
        <f t="shared" si="4"/>
        <v>0</v>
      </c>
      <c r="H13" s="66">
        <f t="shared" si="5"/>
        <v>0</v>
      </c>
      <c r="I13" s="70">
        <f t="shared" si="6"/>
        <v>-46215</v>
      </c>
      <c r="J13" s="31">
        <f t="shared" si="0"/>
        <v>-1</v>
      </c>
      <c r="K13" s="20">
        <f t="shared" si="7"/>
        <v>46215</v>
      </c>
      <c r="L13" s="32"/>
      <c r="M13" s="30">
        <v>0</v>
      </c>
      <c r="N13" s="31" t="str">
        <f t="shared" si="13"/>
        <v>0</v>
      </c>
      <c r="O13" s="82"/>
      <c r="P13" s="83"/>
      <c r="Q13" s="82"/>
      <c r="R13" s="83"/>
      <c r="S13" s="36">
        <f t="shared" si="9"/>
        <v>0</v>
      </c>
      <c r="T13" s="120"/>
      <c r="U13" s="31" t="str">
        <f t="shared" si="10"/>
        <v>0</v>
      </c>
      <c r="V13" s="39"/>
      <c r="W13" s="31">
        <f t="shared" si="1"/>
        <v>0</v>
      </c>
      <c r="X13" s="41"/>
      <c r="Y13" s="14">
        <f t="shared" si="11"/>
        <v>0</v>
      </c>
      <c r="Z13" s="45"/>
      <c r="AA13" s="50">
        <v>0</v>
      </c>
      <c r="AB13" s="31" t="str">
        <f t="shared" si="12"/>
        <v>0</v>
      </c>
      <c r="AC13" s="13"/>
      <c r="AD13" s="18"/>
    </row>
    <row r="14" spans="1:30" ht="20.65" customHeight="1" x14ac:dyDescent="0.2">
      <c r="A14" s="19">
        <v>46216</v>
      </c>
      <c r="B14" s="10"/>
      <c r="C14" s="14">
        <f t="shared" si="2"/>
        <v>0</v>
      </c>
      <c r="D14" s="11"/>
      <c r="E14" s="14">
        <f t="shared" ref="E14:E32" si="14">IF((D15-D14)&lt;0,"0",D15-D14)</f>
        <v>0</v>
      </c>
      <c r="F14" s="27">
        <v>1704</v>
      </c>
      <c r="G14" s="64">
        <f t="shared" si="4"/>
        <v>0</v>
      </c>
      <c r="H14" s="66">
        <f t="shared" si="5"/>
        <v>0</v>
      </c>
      <c r="I14" s="70">
        <f t="shared" si="6"/>
        <v>-46216</v>
      </c>
      <c r="J14" s="31">
        <f t="shared" si="0"/>
        <v>-1</v>
      </c>
      <c r="K14" s="20">
        <f t="shared" si="7"/>
        <v>46216</v>
      </c>
      <c r="L14" s="32"/>
      <c r="M14" s="30">
        <v>0</v>
      </c>
      <c r="N14" s="31" t="str">
        <f t="shared" si="13"/>
        <v>0</v>
      </c>
      <c r="O14" s="82"/>
      <c r="P14" s="83"/>
      <c r="Q14" s="82"/>
      <c r="R14" s="83"/>
      <c r="S14" s="36">
        <f t="shared" si="9"/>
        <v>0</v>
      </c>
      <c r="T14" s="120"/>
      <c r="U14" s="31" t="str">
        <f t="shared" si="10"/>
        <v>0</v>
      </c>
      <c r="V14" s="39"/>
      <c r="W14" s="31">
        <f t="shared" si="1"/>
        <v>0</v>
      </c>
      <c r="X14" s="41"/>
      <c r="Y14" s="14">
        <f t="shared" si="11"/>
        <v>0</v>
      </c>
      <c r="Z14" s="45"/>
      <c r="AA14" s="50">
        <v>0</v>
      </c>
      <c r="AB14" s="31" t="str">
        <f t="shared" si="12"/>
        <v>0</v>
      </c>
      <c r="AC14" s="13"/>
      <c r="AD14" s="18"/>
    </row>
    <row r="15" spans="1:30" ht="20.65" customHeight="1" x14ac:dyDescent="0.2">
      <c r="A15" s="19">
        <v>46217</v>
      </c>
      <c r="B15" s="10"/>
      <c r="C15" s="14">
        <f t="shared" si="2"/>
        <v>0</v>
      </c>
      <c r="D15" s="11"/>
      <c r="E15" s="14">
        <f t="shared" si="14"/>
        <v>0</v>
      </c>
      <c r="F15" s="27">
        <v>1704</v>
      </c>
      <c r="G15" s="64">
        <f t="shared" si="4"/>
        <v>0</v>
      </c>
      <c r="H15" s="66">
        <f t="shared" si="5"/>
        <v>0</v>
      </c>
      <c r="I15" s="70">
        <f t="shared" si="6"/>
        <v>-46217</v>
      </c>
      <c r="J15" s="31">
        <f t="shared" si="0"/>
        <v>-1</v>
      </c>
      <c r="K15" s="20">
        <f t="shared" si="7"/>
        <v>46217</v>
      </c>
      <c r="L15" s="32"/>
      <c r="M15" s="30">
        <v>0</v>
      </c>
      <c r="N15" s="31" t="str">
        <f t="shared" si="13"/>
        <v>0</v>
      </c>
      <c r="O15" s="82"/>
      <c r="P15" s="83"/>
      <c r="Q15" s="82"/>
      <c r="R15" s="83"/>
      <c r="S15" s="36">
        <f t="shared" si="9"/>
        <v>0</v>
      </c>
      <c r="T15" s="120"/>
      <c r="U15" s="31" t="str">
        <f t="shared" si="10"/>
        <v>0</v>
      </c>
      <c r="V15" s="39"/>
      <c r="W15" s="31">
        <f t="shared" si="1"/>
        <v>0</v>
      </c>
      <c r="X15" s="42"/>
      <c r="Y15" s="14">
        <f t="shared" si="11"/>
        <v>0</v>
      </c>
      <c r="Z15" s="45"/>
      <c r="AA15" s="50">
        <v>0</v>
      </c>
      <c r="AB15" s="31" t="str">
        <f t="shared" si="12"/>
        <v>0</v>
      </c>
      <c r="AC15" s="13"/>
      <c r="AD15" s="18"/>
    </row>
    <row r="16" spans="1:30" ht="20.65" customHeight="1" x14ac:dyDescent="0.2">
      <c r="A16" s="19">
        <v>46218</v>
      </c>
      <c r="B16" s="10"/>
      <c r="C16" s="14">
        <f t="shared" si="2"/>
        <v>0</v>
      </c>
      <c r="D16" s="11"/>
      <c r="E16" s="14">
        <f t="shared" si="14"/>
        <v>0</v>
      </c>
      <c r="F16" s="27">
        <v>1704</v>
      </c>
      <c r="G16" s="64">
        <f t="shared" si="4"/>
        <v>0</v>
      </c>
      <c r="H16" s="66">
        <f t="shared" si="5"/>
        <v>0</v>
      </c>
      <c r="I16" s="70">
        <f t="shared" si="6"/>
        <v>-46218</v>
      </c>
      <c r="J16" s="31">
        <f t="shared" si="0"/>
        <v>-1</v>
      </c>
      <c r="K16" s="20">
        <f t="shared" si="7"/>
        <v>46218</v>
      </c>
      <c r="L16" s="32"/>
      <c r="M16" s="30">
        <v>0</v>
      </c>
      <c r="N16" s="31" t="str">
        <f t="shared" si="13"/>
        <v>0</v>
      </c>
      <c r="O16" s="82"/>
      <c r="P16" s="83"/>
      <c r="Q16" s="82"/>
      <c r="R16" s="83"/>
      <c r="S16" s="36">
        <f t="shared" si="9"/>
        <v>0</v>
      </c>
      <c r="T16" s="120"/>
      <c r="U16" s="31" t="str">
        <f t="shared" si="10"/>
        <v>0</v>
      </c>
      <c r="V16" s="39"/>
      <c r="W16" s="31">
        <f t="shared" si="1"/>
        <v>0</v>
      </c>
      <c r="X16" s="42"/>
      <c r="Y16" s="14">
        <f t="shared" si="11"/>
        <v>0</v>
      </c>
      <c r="Z16" s="45"/>
      <c r="AA16" s="50">
        <v>0</v>
      </c>
      <c r="AB16" s="31" t="str">
        <f t="shared" si="12"/>
        <v>0</v>
      </c>
      <c r="AC16" s="13"/>
      <c r="AD16" s="18"/>
    </row>
    <row r="17" spans="1:30" ht="20.65" customHeight="1" x14ac:dyDescent="0.2">
      <c r="A17" s="19">
        <v>46219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4">
        <f t="shared" si="4"/>
        <v>0</v>
      </c>
      <c r="H17" s="66">
        <f t="shared" si="5"/>
        <v>0</v>
      </c>
      <c r="I17" s="70">
        <f t="shared" si="6"/>
        <v>-46219</v>
      </c>
      <c r="J17" s="31">
        <f t="shared" si="0"/>
        <v>-1</v>
      </c>
      <c r="K17" s="20">
        <f t="shared" si="7"/>
        <v>46219</v>
      </c>
      <c r="L17" s="32"/>
      <c r="M17" s="30">
        <v>0</v>
      </c>
      <c r="N17" s="31" t="str">
        <f t="shared" si="13"/>
        <v>0</v>
      </c>
      <c r="O17" s="82"/>
      <c r="P17" s="83"/>
      <c r="Q17" s="82"/>
      <c r="R17" s="83"/>
      <c r="S17" s="36">
        <f t="shared" si="9"/>
        <v>0</v>
      </c>
      <c r="T17" s="120"/>
      <c r="U17" s="31" t="str">
        <f t="shared" si="10"/>
        <v>0</v>
      </c>
      <c r="V17" s="39"/>
      <c r="W17" s="31">
        <v>0</v>
      </c>
      <c r="X17" s="42"/>
      <c r="Y17" s="14">
        <f t="shared" si="11"/>
        <v>0</v>
      </c>
      <c r="Z17" s="45"/>
      <c r="AA17" s="50">
        <v>0</v>
      </c>
      <c r="AB17" s="31" t="str">
        <f t="shared" si="12"/>
        <v>0</v>
      </c>
      <c r="AC17" s="13"/>
      <c r="AD17" s="18"/>
    </row>
    <row r="18" spans="1:30" ht="20.65" customHeight="1" x14ac:dyDescent="0.2">
      <c r="A18" s="19">
        <v>46220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4">
        <f t="shared" si="4"/>
        <v>0</v>
      </c>
      <c r="H18" s="66">
        <f t="shared" si="5"/>
        <v>0</v>
      </c>
      <c r="I18" s="70">
        <f t="shared" si="6"/>
        <v>-46220</v>
      </c>
      <c r="J18" s="31">
        <f t="shared" si="0"/>
        <v>-1</v>
      </c>
      <c r="K18" s="20">
        <f t="shared" si="7"/>
        <v>46220</v>
      </c>
      <c r="L18" s="32"/>
      <c r="M18" s="30">
        <v>0</v>
      </c>
      <c r="N18" s="31" t="str">
        <f t="shared" si="13"/>
        <v>0</v>
      </c>
      <c r="O18" s="82"/>
      <c r="P18" s="83"/>
      <c r="Q18" s="82"/>
      <c r="R18" s="83"/>
      <c r="S18" s="36">
        <f t="shared" si="9"/>
        <v>0</v>
      </c>
      <c r="T18" s="120"/>
      <c r="U18" s="31" t="str">
        <f t="shared" si="10"/>
        <v>0</v>
      </c>
      <c r="V18" s="39"/>
      <c r="W18" s="31">
        <f t="shared" si="1"/>
        <v>0</v>
      </c>
      <c r="X18" s="42"/>
      <c r="Y18" s="14">
        <f t="shared" si="11"/>
        <v>0</v>
      </c>
      <c r="Z18" s="45"/>
      <c r="AA18" s="50">
        <v>0</v>
      </c>
      <c r="AB18" s="31" t="str">
        <f t="shared" si="12"/>
        <v>0</v>
      </c>
      <c r="AC18" s="13"/>
      <c r="AD18" s="18"/>
    </row>
    <row r="19" spans="1:30" ht="20.65" customHeight="1" x14ac:dyDescent="0.2">
      <c r="A19" s="19">
        <v>46221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4">
        <f t="shared" si="4"/>
        <v>0</v>
      </c>
      <c r="H19" s="66">
        <f t="shared" si="5"/>
        <v>0</v>
      </c>
      <c r="I19" s="70">
        <f t="shared" si="6"/>
        <v>-46221</v>
      </c>
      <c r="J19" s="31">
        <f t="shared" si="0"/>
        <v>-1</v>
      </c>
      <c r="K19" s="20">
        <f t="shared" si="7"/>
        <v>46221</v>
      </c>
      <c r="L19" s="32"/>
      <c r="M19" s="30">
        <v>0</v>
      </c>
      <c r="N19" s="31" t="str">
        <f t="shared" si="13"/>
        <v>0</v>
      </c>
      <c r="O19" s="82"/>
      <c r="P19" s="83"/>
      <c r="Q19" s="82"/>
      <c r="R19" s="83"/>
      <c r="S19" s="36">
        <f t="shared" si="9"/>
        <v>0</v>
      </c>
      <c r="T19" s="120"/>
      <c r="U19" s="31" t="str">
        <f t="shared" si="10"/>
        <v>0</v>
      </c>
      <c r="V19" s="39"/>
      <c r="W19" s="31">
        <f t="shared" si="1"/>
        <v>0</v>
      </c>
      <c r="X19" s="42"/>
      <c r="Y19" s="14">
        <f t="shared" si="11"/>
        <v>0</v>
      </c>
      <c r="Z19" s="45"/>
      <c r="AA19" s="50">
        <v>0</v>
      </c>
      <c r="AB19" s="31" t="str">
        <f t="shared" si="12"/>
        <v>0</v>
      </c>
      <c r="AC19" s="13"/>
      <c r="AD19" s="18"/>
    </row>
    <row r="20" spans="1:30" ht="20.65" customHeight="1" x14ac:dyDescent="0.2">
      <c r="A20" s="19">
        <v>46222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4">
        <f t="shared" si="4"/>
        <v>0</v>
      </c>
      <c r="H20" s="66">
        <f t="shared" si="5"/>
        <v>0</v>
      </c>
      <c r="I20" s="70">
        <f t="shared" si="6"/>
        <v>-46222</v>
      </c>
      <c r="J20" s="31">
        <f t="shared" si="0"/>
        <v>-1</v>
      </c>
      <c r="K20" s="20">
        <f t="shared" si="7"/>
        <v>46222</v>
      </c>
      <c r="L20" s="32"/>
      <c r="M20" s="33">
        <v>0</v>
      </c>
      <c r="N20" s="31" t="str">
        <f t="shared" si="13"/>
        <v>0</v>
      </c>
      <c r="O20" s="82"/>
      <c r="P20" s="83"/>
      <c r="Q20" s="82"/>
      <c r="R20" s="83"/>
      <c r="S20" s="36">
        <f t="shared" si="9"/>
        <v>0</v>
      </c>
      <c r="T20" s="120"/>
      <c r="U20" s="31" t="str">
        <f t="shared" ref="U20:U27" si="15">IF((S20-S21+T20)=S20,"0",(S20-S21+T20))</f>
        <v>0</v>
      </c>
      <c r="V20" s="39"/>
      <c r="W20" s="31">
        <f t="shared" si="1"/>
        <v>0</v>
      </c>
      <c r="X20" s="42"/>
      <c r="Y20" s="14">
        <f t="shared" ref="Y20:Y24" si="16">IF((X21-X20)&lt;0,"0",X21-X20)</f>
        <v>0</v>
      </c>
      <c r="Z20" s="45"/>
      <c r="AA20" s="50">
        <v>0</v>
      </c>
      <c r="AB20" s="31" t="str">
        <f t="shared" si="12"/>
        <v>0</v>
      </c>
      <c r="AC20" s="13"/>
      <c r="AD20" s="18"/>
    </row>
    <row r="21" spans="1:30" ht="20.65" customHeight="1" x14ac:dyDescent="0.2">
      <c r="A21" s="19">
        <v>46223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4">
        <f t="shared" si="4"/>
        <v>0</v>
      </c>
      <c r="H21" s="66">
        <f t="shared" si="5"/>
        <v>0</v>
      </c>
      <c r="I21" s="70">
        <f t="shared" si="6"/>
        <v>-46223</v>
      </c>
      <c r="J21" s="31">
        <f t="shared" si="0"/>
        <v>-1</v>
      </c>
      <c r="K21" s="20">
        <f t="shared" si="7"/>
        <v>46223</v>
      </c>
      <c r="L21" s="32"/>
      <c r="M21" s="33">
        <v>0</v>
      </c>
      <c r="N21" s="31" t="str">
        <f t="shared" si="13"/>
        <v>0</v>
      </c>
      <c r="O21" s="82"/>
      <c r="P21" s="83"/>
      <c r="Q21" s="82"/>
      <c r="R21" s="83"/>
      <c r="S21" s="36">
        <f t="shared" si="9"/>
        <v>0</v>
      </c>
      <c r="T21" s="120"/>
      <c r="U21" s="31" t="str">
        <f t="shared" si="15"/>
        <v>0</v>
      </c>
      <c r="V21" s="39"/>
      <c r="W21" s="31">
        <f t="shared" si="1"/>
        <v>0</v>
      </c>
      <c r="X21" s="42"/>
      <c r="Y21" s="14">
        <f t="shared" si="16"/>
        <v>0</v>
      </c>
      <c r="Z21" s="45"/>
      <c r="AA21" s="50">
        <v>0</v>
      </c>
      <c r="AB21" s="31" t="str">
        <f t="shared" si="12"/>
        <v>0</v>
      </c>
      <c r="AC21" s="13"/>
      <c r="AD21" s="18"/>
    </row>
    <row r="22" spans="1:30" ht="20.65" customHeight="1" x14ac:dyDescent="0.2">
      <c r="A22" s="19">
        <v>46224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4">
        <f t="shared" si="4"/>
        <v>0</v>
      </c>
      <c r="H22" s="66">
        <f t="shared" si="5"/>
        <v>0</v>
      </c>
      <c r="I22" s="70">
        <f t="shared" si="6"/>
        <v>-46224</v>
      </c>
      <c r="J22" s="31">
        <f t="shared" si="0"/>
        <v>-1</v>
      </c>
      <c r="K22" s="20">
        <f t="shared" si="7"/>
        <v>46224</v>
      </c>
      <c r="L22" s="32"/>
      <c r="M22" s="33">
        <v>0</v>
      </c>
      <c r="N22" s="31" t="str">
        <f t="shared" si="13"/>
        <v>0</v>
      </c>
      <c r="O22" s="82"/>
      <c r="P22" s="83"/>
      <c r="Q22" s="82"/>
      <c r="R22" s="83"/>
      <c r="S22" s="36">
        <f t="shared" si="9"/>
        <v>0</v>
      </c>
      <c r="T22" s="120"/>
      <c r="U22" s="31" t="str">
        <f t="shared" si="15"/>
        <v>0</v>
      </c>
      <c r="V22" s="39"/>
      <c r="W22" s="31">
        <f t="shared" si="1"/>
        <v>0</v>
      </c>
      <c r="X22" s="42"/>
      <c r="Y22" s="14">
        <f t="shared" si="16"/>
        <v>0</v>
      </c>
      <c r="Z22" s="45"/>
      <c r="AA22" s="50">
        <v>0</v>
      </c>
      <c r="AB22" s="31" t="str">
        <f t="shared" si="12"/>
        <v>0</v>
      </c>
      <c r="AC22" s="13"/>
      <c r="AD22" s="18"/>
    </row>
    <row r="23" spans="1:30" ht="20.65" customHeight="1" x14ac:dyDescent="0.2">
      <c r="A23" s="19">
        <v>46225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4">
        <f t="shared" si="4"/>
        <v>0</v>
      </c>
      <c r="H23" s="66">
        <f t="shared" si="5"/>
        <v>0</v>
      </c>
      <c r="I23" s="70">
        <f t="shared" si="6"/>
        <v>-46225</v>
      </c>
      <c r="J23" s="31">
        <f t="shared" si="0"/>
        <v>-1</v>
      </c>
      <c r="K23" s="20">
        <f t="shared" si="7"/>
        <v>46225</v>
      </c>
      <c r="L23" s="32"/>
      <c r="M23" s="33">
        <v>0</v>
      </c>
      <c r="N23" s="31" t="str">
        <f t="shared" si="13"/>
        <v>0</v>
      </c>
      <c r="O23" s="82"/>
      <c r="P23" s="83"/>
      <c r="Q23" s="82"/>
      <c r="R23" s="83"/>
      <c r="S23" s="36">
        <f t="shared" si="9"/>
        <v>0</v>
      </c>
      <c r="T23" s="120"/>
      <c r="U23" s="31" t="str">
        <f t="shared" si="15"/>
        <v>0</v>
      </c>
      <c r="V23" s="39"/>
      <c r="W23" s="31">
        <f t="shared" si="1"/>
        <v>0</v>
      </c>
      <c r="X23" s="42"/>
      <c r="Y23" s="14">
        <f t="shared" si="16"/>
        <v>0</v>
      </c>
      <c r="Z23" s="45"/>
      <c r="AA23" s="50">
        <v>0</v>
      </c>
      <c r="AB23" s="31" t="str">
        <f t="shared" si="12"/>
        <v>0</v>
      </c>
      <c r="AC23" s="13"/>
      <c r="AD23" s="18"/>
    </row>
    <row r="24" spans="1:30" ht="20.65" customHeight="1" x14ac:dyDescent="0.2">
      <c r="A24" s="19">
        <v>46226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4">
        <f t="shared" si="4"/>
        <v>0</v>
      </c>
      <c r="H24" s="66">
        <f t="shared" si="5"/>
        <v>0</v>
      </c>
      <c r="I24" s="70">
        <f t="shared" si="6"/>
        <v>-46226</v>
      </c>
      <c r="J24" s="31">
        <f t="shared" si="0"/>
        <v>-1</v>
      </c>
      <c r="K24" s="20">
        <f t="shared" si="7"/>
        <v>46226</v>
      </c>
      <c r="L24" s="32"/>
      <c r="M24" s="33">
        <v>0</v>
      </c>
      <c r="N24" s="31" t="str">
        <f t="shared" si="13"/>
        <v>0</v>
      </c>
      <c r="O24" s="82"/>
      <c r="P24" s="83"/>
      <c r="Q24" s="82"/>
      <c r="R24" s="83"/>
      <c r="S24" s="36">
        <f t="shared" si="9"/>
        <v>0</v>
      </c>
      <c r="T24" s="120"/>
      <c r="U24" s="31" t="str">
        <f t="shared" si="15"/>
        <v>0</v>
      </c>
      <c r="V24" s="39"/>
      <c r="W24" s="31">
        <f t="shared" si="1"/>
        <v>0</v>
      </c>
      <c r="X24" s="42"/>
      <c r="Y24" s="14">
        <f t="shared" si="16"/>
        <v>0</v>
      </c>
      <c r="Z24" s="45"/>
      <c r="AA24" s="50">
        <v>0</v>
      </c>
      <c r="AB24" s="31" t="str">
        <f t="shared" si="12"/>
        <v>0</v>
      </c>
      <c r="AC24" s="13"/>
      <c r="AD24" s="18"/>
    </row>
    <row r="25" spans="1:30" ht="20.65" customHeight="1" x14ac:dyDescent="0.2">
      <c r="A25" s="19">
        <v>46227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4">
        <f t="shared" si="4"/>
        <v>0</v>
      </c>
      <c r="H25" s="66">
        <f t="shared" si="5"/>
        <v>0</v>
      </c>
      <c r="I25" s="70">
        <f t="shared" si="6"/>
        <v>-46227</v>
      </c>
      <c r="J25" s="31">
        <f t="shared" si="0"/>
        <v>-1</v>
      </c>
      <c r="K25" s="20">
        <f t="shared" si="7"/>
        <v>46227</v>
      </c>
      <c r="L25" s="32"/>
      <c r="M25" s="33">
        <v>0</v>
      </c>
      <c r="N25" s="31" t="str">
        <f t="shared" si="13"/>
        <v>0</v>
      </c>
      <c r="O25" s="82"/>
      <c r="P25" s="83"/>
      <c r="Q25" s="82"/>
      <c r="R25" s="83"/>
      <c r="S25" s="36">
        <f t="shared" si="9"/>
        <v>0</v>
      </c>
      <c r="T25" s="120"/>
      <c r="U25" s="31" t="str">
        <f t="shared" si="15"/>
        <v>0</v>
      </c>
      <c r="V25" s="39"/>
      <c r="W25" s="31">
        <f t="shared" si="1"/>
        <v>0</v>
      </c>
      <c r="X25" s="42"/>
      <c r="Y25" s="14">
        <f>IF((X26-X25)&lt;0,"0",X26-X25)</f>
        <v>0</v>
      </c>
      <c r="Z25" s="45"/>
      <c r="AA25" s="50">
        <v>0</v>
      </c>
      <c r="AB25" s="31" t="str">
        <f t="shared" si="12"/>
        <v>0</v>
      </c>
      <c r="AC25" s="13"/>
      <c r="AD25" s="18"/>
    </row>
    <row r="26" spans="1:30" ht="20.65" customHeight="1" x14ac:dyDescent="0.2">
      <c r="A26" s="19">
        <v>46228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4">
        <f t="shared" si="4"/>
        <v>0</v>
      </c>
      <c r="H26" s="66">
        <f t="shared" si="5"/>
        <v>0</v>
      </c>
      <c r="I26" s="70">
        <f t="shared" si="6"/>
        <v>-46228</v>
      </c>
      <c r="J26" s="31">
        <f t="shared" si="0"/>
        <v>-1</v>
      </c>
      <c r="K26" s="20">
        <f t="shared" si="7"/>
        <v>46228</v>
      </c>
      <c r="L26" s="32"/>
      <c r="M26" s="33">
        <v>0</v>
      </c>
      <c r="N26" s="31" t="str">
        <f t="shared" si="13"/>
        <v>0</v>
      </c>
      <c r="O26" s="82"/>
      <c r="P26" s="83"/>
      <c r="Q26" s="82"/>
      <c r="R26" s="83"/>
      <c r="S26" s="36">
        <f t="shared" si="9"/>
        <v>0</v>
      </c>
      <c r="T26" s="120"/>
      <c r="U26" s="31" t="str">
        <f t="shared" si="15"/>
        <v>0</v>
      </c>
      <c r="V26" s="39"/>
      <c r="W26" s="31">
        <f t="shared" si="1"/>
        <v>0</v>
      </c>
      <c r="X26" s="42"/>
      <c r="Y26" s="14">
        <f>IF((X27-X26)&lt;0,"0",X27-X26)</f>
        <v>0</v>
      </c>
      <c r="Z26" s="45"/>
      <c r="AA26" s="50">
        <v>0</v>
      </c>
      <c r="AB26" s="31" t="str">
        <f t="shared" si="12"/>
        <v>0</v>
      </c>
      <c r="AC26" s="13"/>
      <c r="AD26" s="18"/>
    </row>
    <row r="27" spans="1:30" ht="20.65" customHeight="1" x14ac:dyDescent="0.2">
      <c r="A27" s="19">
        <v>46229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4">
        <f t="shared" si="4"/>
        <v>0</v>
      </c>
      <c r="H27" s="66">
        <f t="shared" si="5"/>
        <v>0</v>
      </c>
      <c r="I27" s="70">
        <f t="shared" si="6"/>
        <v>-46229</v>
      </c>
      <c r="J27" s="31">
        <f t="shared" si="0"/>
        <v>-1</v>
      </c>
      <c r="K27" s="20">
        <f t="shared" si="7"/>
        <v>46229</v>
      </c>
      <c r="L27" s="32"/>
      <c r="M27" s="33">
        <v>0</v>
      </c>
      <c r="N27" s="31" t="str">
        <f t="shared" si="13"/>
        <v>0</v>
      </c>
      <c r="O27" s="82"/>
      <c r="P27" s="83"/>
      <c r="Q27" s="82"/>
      <c r="R27" s="83"/>
      <c r="S27" s="36">
        <f t="shared" si="9"/>
        <v>0</v>
      </c>
      <c r="T27" s="120"/>
      <c r="U27" s="31" t="str">
        <f t="shared" si="15"/>
        <v>0</v>
      </c>
      <c r="V27" s="39"/>
      <c r="W27" s="31">
        <f t="shared" si="1"/>
        <v>0</v>
      </c>
      <c r="X27" s="42"/>
      <c r="Y27" s="14">
        <f t="shared" ref="Y27:Y32" si="17">IF((X28-X27)&lt;0,"0",X28-X27)</f>
        <v>0</v>
      </c>
      <c r="Z27" s="45"/>
      <c r="AA27" s="50">
        <v>0</v>
      </c>
      <c r="AB27" s="31" t="str">
        <f t="shared" si="12"/>
        <v>0</v>
      </c>
      <c r="AC27" s="13"/>
      <c r="AD27" s="18"/>
    </row>
    <row r="28" spans="1:30" ht="20.65" customHeight="1" x14ac:dyDescent="0.2">
      <c r="A28" s="19">
        <v>46230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4">
        <f t="shared" si="4"/>
        <v>0</v>
      </c>
      <c r="H28" s="66">
        <f t="shared" ref="H28" si="18">C28+E28-G28</f>
        <v>0</v>
      </c>
      <c r="I28" s="70">
        <f t="shared" ref="I28" si="19">H28-K28-M28-O28-Q28</f>
        <v>-46230</v>
      </c>
      <c r="J28" s="31">
        <f t="shared" si="0"/>
        <v>-1</v>
      </c>
      <c r="K28" s="20">
        <f t="shared" ref="K28" si="20">A28</f>
        <v>46230</v>
      </c>
      <c r="L28" s="32"/>
      <c r="M28" s="33">
        <v>0</v>
      </c>
      <c r="N28" s="31" t="str">
        <f t="shared" si="13"/>
        <v>0</v>
      </c>
      <c r="O28" s="82"/>
      <c r="P28" s="83"/>
      <c r="Q28" s="82"/>
      <c r="R28" s="83"/>
      <c r="S28" s="36">
        <f t="shared" ref="S28" si="21">(2500*O28)+(2500*P28)+(500*Q28)+(500*R28)</f>
        <v>0</v>
      </c>
      <c r="T28" s="120"/>
      <c r="U28" s="31" t="str">
        <f t="shared" ref="U28" si="22">IF((S28-S29+T28)=S28,"0",(S28-S29+T28))</f>
        <v>0</v>
      </c>
      <c r="V28" s="39"/>
      <c r="W28" s="31">
        <f t="shared" si="1"/>
        <v>0</v>
      </c>
      <c r="X28" s="42"/>
      <c r="Y28" s="14">
        <f t="shared" si="17"/>
        <v>0</v>
      </c>
      <c r="Z28" s="45"/>
      <c r="AA28" s="50">
        <v>0</v>
      </c>
      <c r="AB28" s="31" t="str">
        <f t="shared" si="12"/>
        <v>0</v>
      </c>
      <c r="AC28" s="13"/>
      <c r="AD28" s="18"/>
    </row>
    <row r="29" spans="1:30" ht="20.65" customHeight="1" x14ac:dyDescent="0.2">
      <c r="A29" s="19">
        <v>46231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4">
        <f t="shared" si="4"/>
        <v>0</v>
      </c>
      <c r="H29" s="66">
        <f t="shared" si="5"/>
        <v>0</v>
      </c>
      <c r="I29" s="70">
        <f t="shared" si="6"/>
        <v>-46231</v>
      </c>
      <c r="J29" s="31">
        <f t="shared" si="0"/>
        <v>-1</v>
      </c>
      <c r="K29" s="20">
        <f t="shared" si="7"/>
        <v>46231</v>
      </c>
      <c r="L29" s="32"/>
      <c r="M29" s="33">
        <v>0</v>
      </c>
      <c r="N29" s="31" t="str">
        <f t="shared" si="13"/>
        <v>0</v>
      </c>
      <c r="O29" s="82"/>
      <c r="P29" s="83"/>
      <c r="Q29" s="82"/>
      <c r="R29" s="83"/>
      <c r="S29" s="36">
        <f t="shared" si="9"/>
        <v>0</v>
      </c>
      <c r="T29" s="120"/>
      <c r="U29" s="31" t="str">
        <f t="shared" ref="U29:U32" si="23">IF((S29-S30+T29)=S29,"0",(S29-S30+T29))</f>
        <v>0</v>
      </c>
      <c r="V29" s="39"/>
      <c r="W29" s="31">
        <f t="shared" si="1"/>
        <v>0</v>
      </c>
      <c r="X29" s="42"/>
      <c r="Y29" s="14">
        <f t="shared" si="17"/>
        <v>0</v>
      </c>
      <c r="Z29" s="45"/>
      <c r="AA29" s="50">
        <v>0</v>
      </c>
      <c r="AB29" s="31" t="str">
        <f t="shared" si="12"/>
        <v>0</v>
      </c>
      <c r="AC29" s="13"/>
      <c r="AD29" s="18"/>
    </row>
    <row r="30" spans="1:30" ht="20.65" customHeight="1" x14ac:dyDescent="0.2">
      <c r="A30" s="19">
        <v>46232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4">
        <f>F32-F30</f>
        <v>0</v>
      </c>
      <c r="H30" s="66">
        <f t="shared" ref="H30:H32" si="24">C30+E30-G30</f>
        <v>0</v>
      </c>
      <c r="I30" s="70">
        <f t="shared" ref="I30:I32" si="25">H30-K30-M30-O30-Q30</f>
        <v>-46232</v>
      </c>
      <c r="J30" s="31">
        <f>I32-I30</f>
        <v>-2</v>
      </c>
      <c r="K30" s="20">
        <f t="shared" ref="K30:K33" si="26">A30</f>
        <v>46232</v>
      </c>
      <c r="L30" s="32"/>
      <c r="M30" s="33">
        <v>0</v>
      </c>
      <c r="N30" s="31" t="str">
        <f>IF((L30-L32+M30)=L30,"0",(L30-L32+M30))</f>
        <v>0</v>
      </c>
      <c r="O30" s="82"/>
      <c r="P30" s="83"/>
      <c r="Q30" s="82"/>
      <c r="R30" s="83"/>
      <c r="S30" s="36">
        <f t="shared" ref="S30:S32" si="27">(2500*O30)+(2500*P30)+(500*Q30)+(500*R30)</f>
        <v>0</v>
      </c>
      <c r="T30" s="120"/>
      <c r="U30" s="31" t="str">
        <f>IF((S30-S32+T30)=S30,"0",(S30-S32+T30))</f>
        <v>0</v>
      </c>
      <c r="V30" s="39"/>
      <c r="W30" s="31">
        <f>IF(V32-V30&lt;0,"0",V32-V30)</f>
        <v>0</v>
      </c>
      <c r="X30" s="42"/>
      <c r="Y30" s="14">
        <f>IF((X32-X30)&lt;0,"0",X32-X30)</f>
        <v>0</v>
      </c>
      <c r="Z30" s="45"/>
      <c r="AA30" s="50">
        <v>0</v>
      </c>
      <c r="AB30" s="31" t="str">
        <f>IF((Z30-Z32+AA30)=Z30,"0",(Z30-Z32+AA30))</f>
        <v>0</v>
      </c>
      <c r="AC30" s="13"/>
      <c r="AD30" s="18"/>
    </row>
    <row r="31" spans="1:30" ht="20.65" customHeight="1" x14ac:dyDescent="0.2">
      <c r="A31" s="19">
        <v>46233</v>
      </c>
      <c r="B31" s="10"/>
      <c r="C31" s="14">
        <f t="shared" ref="C31" si="28">IF((B32-B31)&lt;0,"0",B32-B31)</f>
        <v>0</v>
      </c>
      <c r="D31" s="11"/>
      <c r="E31" s="14">
        <f t="shared" ref="E31" si="29">IF((D32-D31)&lt;0,"0",D32-D31)</f>
        <v>0</v>
      </c>
      <c r="F31" s="27">
        <v>1704</v>
      </c>
      <c r="G31" s="64">
        <f t="shared" ref="G31" si="30">F32-F31</f>
        <v>0</v>
      </c>
      <c r="H31" s="66">
        <f t="shared" ref="H31" si="31">C31+E31-G31</f>
        <v>0</v>
      </c>
      <c r="I31" s="70">
        <f t="shared" ref="I31" si="32">H31-K31-M31-O31-Q31</f>
        <v>-46233</v>
      </c>
      <c r="J31" s="31">
        <f t="shared" ref="J31" si="33">I32-I31</f>
        <v>-1</v>
      </c>
      <c r="K31" s="20">
        <f t="shared" ref="K31" si="34">A31</f>
        <v>46233</v>
      </c>
      <c r="L31" s="32"/>
      <c r="M31" s="33">
        <v>0</v>
      </c>
      <c r="N31" s="31" t="str">
        <f t="shared" ref="N31" si="35">IF((L31-L32+M31)=L31,"0",(L31-L32+M31))</f>
        <v>0</v>
      </c>
      <c r="O31" s="82"/>
      <c r="P31" s="83"/>
      <c r="Q31" s="82"/>
      <c r="R31" s="83"/>
      <c r="S31" s="36">
        <f t="shared" ref="S31" si="36">(2500*O31)+(2500*P31)+(500*Q31)+(500*R31)</f>
        <v>0</v>
      </c>
      <c r="T31" s="120"/>
      <c r="U31" s="31" t="str">
        <f t="shared" ref="U31" si="37">IF((S31-S32+T31)=S31,"0",(S31-S32+T31))</f>
        <v>0</v>
      </c>
      <c r="V31" s="39"/>
      <c r="W31" s="31">
        <f t="shared" ref="W31" si="38">IF(V32-V31&lt;0,"0",V32-V31)</f>
        <v>0</v>
      </c>
      <c r="X31" s="42"/>
      <c r="Y31" s="14">
        <f t="shared" ref="Y31" si="39">IF((X32-X31)&lt;0,"0",X32-X31)</f>
        <v>0</v>
      </c>
      <c r="Z31" s="45"/>
      <c r="AA31" s="50">
        <v>0</v>
      </c>
      <c r="AB31" s="31" t="str">
        <f t="shared" ref="AB31" si="40">IF((Z31-Z32+AA31)=Z31,"0",(Z31-Z32+AA31))</f>
        <v>0</v>
      </c>
      <c r="AC31" s="13"/>
      <c r="AD31" s="18"/>
    </row>
    <row r="32" spans="1:30" ht="20.65" customHeight="1" thickBot="1" x14ac:dyDescent="0.25">
      <c r="A32" s="19">
        <v>46234</v>
      </c>
      <c r="B32" s="10"/>
      <c r="C32" s="14">
        <f t="shared" si="2"/>
        <v>0</v>
      </c>
      <c r="D32" s="11"/>
      <c r="E32" s="14">
        <f t="shared" si="14"/>
        <v>0</v>
      </c>
      <c r="F32" s="27">
        <v>1704</v>
      </c>
      <c r="G32" s="64">
        <f t="shared" si="4"/>
        <v>0</v>
      </c>
      <c r="H32" s="66">
        <f t="shared" si="24"/>
        <v>0</v>
      </c>
      <c r="I32" s="70">
        <f t="shared" si="25"/>
        <v>-46234</v>
      </c>
      <c r="J32" s="31">
        <f t="shared" si="0"/>
        <v>46234</v>
      </c>
      <c r="K32" s="20">
        <f t="shared" si="26"/>
        <v>46234</v>
      </c>
      <c r="L32" s="32"/>
      <c r="M32" s="33">
        <v>0</v>
      </c>
      <c r="N32" s="31" t="str">
        <f t="shared" si="13"/>
        <v>0</v>
      </c>
      <c r="O32" s="82"/>
      <c r="P32" s="83"/>
      <c r="Q32" s="82"/>
      <c r="R32" s="83"/>
      <c r="S32" s="36">
        <f t="shared" si="27"/>
        <v>0</v>
      </c>
      <c r="T32" s="120"/>
      <c r="U32" s="31" t="str">
        <f t="shared" si="23"/>
        <v>0</v>
      </c>
      <c r="V32" s="39"/>
      <c r="W32" s="31">
        <f t="shared" si="1"/>
        <v>0</v>
      </c>
      <c r="X32" s="42"/>
      <c r="Y32" s="14">
        <f t="shared" si="17"/>
        <v>0</v>
      </c>
      <c r="Z32" s="45"/>
      <c r="AA32" s="50">
        <v>0</v>
      </c>
      <c r="AB32" s="31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46235</v>
      </c>
      <c r="B33" s="51"/>
      <c r="C33" s="60"/>
      <c r="D33" s="59"/>
      <c r="E33" s="60"/>
      <c r="F33" s="27">
        <v>1704</v>
      </c>
      <c r="G33" s="54"/>
      <c r="H33" s="68"/>
      <c r="I33" s="61"/>
      <c r="J33" s="60"/>
      <c r="K33" s="20">
        <f t="shared" si="26"/>
        <v>46235</v>
      </c>
      <c r="L33" s="47"/>
      <c r="M33" s="62">
        <v>0</v>
      </c>
      <c r="N33" s="31" t="str">
        <f t="shared" si="13"/>
        <v>0</v>
      </c>
      <c r="O33" s="84"/>
      <c r="P33" s="85"/>
      <c r="Q33" s="84"/>
      <c r="R33" s="85"/>
      <c r="S33" s="36">
        <f t="shared" si="9"/>
        <v>0</v>
      </c>
      <c r="T33" s="52"/>
      <c r="U33" s="60"/>
      <c r="V33" s="58"/>
      <c r="W33" s="60"/>
      <c r="X33" s="57"/>
      <c r="Y33" s="60"/>
      <c r="Z33" s="56"/>
      <c r="AA33" s="53">
        <v>0</v>
      </c>
      <c r="AB33" s="54"/>
      <c r="AC33" s="55"/>
      <c r="AD33" s="55"/>
    </row>
    <row r="34" spans="1:30" s="78" customFormat="1" ht="10.5" thickTop="1" x14ac:dyDescent="0.2">
      <c r="A34" s="72"/>
      <c r="B34" s="72"/>
      <c r="C34" s="73">
        <f>SUM(C2:C33)</f>
        <v>68386</v>
      </c>
      <c r="D34" s="74"/>
      <c r="E34" s="73">
        <f>SUM(E2:E33)</f>
        <v>13944</v>
      </c>
      <c r="F34" s="75"/>
      <c r="G34" s="73">
        <f>SUM(G2:G33)</f>
        <v>0</v>
      </c>
      <c r="H34" s="74">
        <f>SUM(H2:H33)</f>
        <v>82330</v>
      </c>
      <c r="I34" s="73">
        <f>SUM(I2:I32)</f>
        <v>-1350543.73</v>
      </c>
      <c r="J34" s="73">
        <f>SUM(J2:J33)</f>
        <v>37607.509999999995</v>
      </c>
      <c r="K34" s="72"/>
      <c r="L34" s="74"/>
      <c r="M34" s="74"/>
      <c r="N34" s="73">
        <f>SUM(N2:N33)</f>
        <v>792</v>
      </c>
      <c r="O34" s="72"/>
      <c r="P34" s="72"/>
      <c r="Q34" s="72"/>
      <c r="R34" s="72"/>
      <c r="S34" s="72"/>
      <c r="T34" s="74">
        <f>SUM(T2:T33)</f>
        <v>1167</v>
      </c>
      <c r="U34" s="73">
        <f>SUM(U2:U33)</f>
        <v>847</v>
      </c>
      <c r="V34" s="72"/>
      <c r="W34" s="73">
        <f>SUM(W2:W33)</f>
        <v>1023</v>
      </c>
      <c r="X34" s="72"/>
      <c r="Y34" s="73">
        <f>SUM(Y2:Y33)</f>
        <v>113</v>
      </c>
      <c r="Z34" s="72"/>
      <c r="AA34" s="72">
        <f>SUM(AA2:AA33)</f>
        <v>0</v>
      </c>
      <c r="AB34" s="73">
        <f>SUM(AB2:AB33)</f>
        <v>0</v>
      </c>
      <c r="AC34" s="76">
        <f>SUM(AC2:AC33)</f>
        <v>1826</v>
      </c>
      <c r="AD34" s="77">
        <f>SUM(AD2:AD33)</f>
        <v>3737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7"/>
      <c r="I37" s="67"/>
      <c r="J37" s="48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2026-07-10T11:36:23Z</dcterms:modified>
  <cp:category/>
  <cp:contentStatus/>
</cp:coreProperties>
</file>