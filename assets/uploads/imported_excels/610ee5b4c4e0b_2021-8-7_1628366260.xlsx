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5" i="9" l="1"/>
  <c r="I4" i="9" l="1"/>
  <c r="G5" i="9" l="1"/>
  <c r="I5" i="9" s="1"/>
  <c r="G4" i="9"/>
  <c r="I5" i="10"/>
  <c r="I4" i="10"/>
  <c r="H5" i="10"/>
  <c r="H4" i="10"/>
  <c r="H5" i="8" l="1"/>
  <c r="H4" i="8"/>
  <c r="I35" i="8" l="1"/>
  <c r="G34" i="8"/>
  <c r="G33" i="8"/>
  <c r="G32" i="8"/>
  <c r="G31" i="8"/>
  <c r="G30" i="8"/>
  <c r="H31" i="8" s="1"/>
  <c r="G29" i="8"/>
  <c r="H29" i="8" s="1"/>
  <c r="G28" i="8"/>
  <c r="G27" i="8"/>
  <c r="G26" i="8"/>
  <c r="G25" i="8"/>
  <c r="G24" i="8"/>
  <c r="H24" i="8" s="1"/>
  <c r="G23" i="8"/>
  <c r="H23" i="8" s="1"/>
  <c r="G22" i="8"/>
  <c r="G21" i="8"/>
  <c r="G20" i="8"/>
  <c r="G19" i="8"/>
  <c r="G18" i="8"/>
  <c r="H18" i="8" s="1"/>
  <c r="G17" i="8"/>
  <c r="H17" i="8" s="1"/>
  <c r="G16" i="8"/>
  <c r="G15" i="8"/>
  <c r="G14" i="8"/>
  <c r="G13" i="8"/>
  <c r="G12" i="8"/>
  <c r="H12" i="8" s="1"/>
  <c r="G11" i="8"/>
  <c r="G10" i="8"/>
  <c r="G9" i="8"/>
  <c r="G8" i="8"/>
  <c r="G7" i="8"/>
  <c r="G6" i="8"/>
  <c r="G5" i="8"/>
  <c r="G4" i="8"/>
  <c r="H11" i="8" l="1"/>
  <c r="H6" i="8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I33" i="9"/>
  <c r="J33" i="9" s="1"/>
  <c r="G33" i="9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4" i="10"/>
  <c r="H33" i="10"/>
  <c r="I33" i="10" s="1"/>
  <c r="H32" i="10"/>
  <c r="I32" i="10" s="1"/>
  <c r="H31" i="10"/>
  <c r="H30" i="10"/>
  <c r="H29" i="10"/>
  <c r="H28" i="10"/>
  <c r="I28" i="10" s="1"/>
  <c r="H27" i="10"/>
  <c r="H26" i="10"/>
  <c r="H25" i="10"/>
  <c r="H24" i="10"/>
  <c r="H23" i="10"/>
  <c r="H22" i="10"/>
  <c r="H21" i="10"/>
  <c r="I21" i="10" s="1"/>
  <c r="H20" i="10"/>
  <c r="H19" i="10"/>
  <c r="H18" i="10"/>
  <c r="H17" i="10"/>
  <c r="H16" i="10"/>
  <c r="I16" i="10" s="1"/>
  <c r="H15" i="10"/>
  <c r="H14" i="10"/>
  <c r="H13" i="10"/>
  <c r="H12" i="10"/>
  <c r="H11" i="10"/>
  <c r="H10" i="10"/>
  <c r="H9" i="10"/>
  <c r="H8" i="10"/>
  <c r="H7" i="10"/>
  <c r="H6" i="10"/>
  <c r="I9" i="10" l="1"/>
  <c r="I8" i="10"/>
  <c r="J10" i="9"/>
  <c r="J34" i="9"/>
  <c r="J18" i="9"/>
  <c r="J7" i="9"/>
  <c r="J26" i="9"/>
  <c r="J9" i="9"/>
  <c r="I17" i="10"/>
  <c r="I29" i="10"/>
  <c r="I13" i="10"/>
  <c r="I25" i="10"/>
  <c r="I12" i="10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I18" i="10"/>
  <c r="I22" i="10"/>
  <c r="I26" i="10"/>
  <c r="I30" i="10"/>
  <c r="I34" i="10"/>
  <c r="I7" i="10"/>
  <c r="I11" i="10"/>
  <c r="I15" i="10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9" i="5"/>
  <c r="I15" i="5"/>
  <c r="I21" i="5"/>
  <c r="I27" i="5"/>
  <c r="I25" i="5"/>
  <c r="E32" i="5" l="1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<sst xmlns="http://schemas.openxmlformats.org/spreadsheetml/2006/main" count="77" uniqueCount="42">
  <si>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</si>
  <si>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</si>
  <si>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</si>
  <si>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</si>
  <si>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</si>
  <si>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</si>
  <si>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</si>
  <si>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</si>
  <si>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</si>
  <si>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</si>
  <si>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</si>
  <si>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</si>
  <si>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</si>
  <si>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</si>
  <si>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</si>
  <si>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</si>
  <si>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</si>
  <si>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</si>
  <si>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</si>
  <si>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</si>
  <si>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</si>
  <si>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</si>
  <si>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</si>
  <si>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</si>
  <si>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</si>
  <si>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</si>
  <si>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</si>
  <si>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</si>
  <si>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</si>
  <si>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</si>
  <si>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</si>
  <si>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</si>
  <si>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</si>
  <si>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</si>
  <si>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</si>
  <si>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AUG.2021</t>
  </si>
  <si>
    <t>Meter Reading
(Active)</t>
  </si>
  <si>
    <t>BİRİM FİYAT : 0.8 TL/Kwh + KDV x 228801. 2=139569 TL/Kwh+KDV</t>
  </si>
  <si>
    <t>NATURAL GAS CONSUMPTION , AUG.2021</t>
  </si>
  <si>
    <t>BİRİM FİYAT : 1.69 TL/m3 + KDV X 7179.8 =11344 TL+KDV</t>
  </si>
  <si>
    <t>WATER CONSUMPTION , AUG.2021</t>
  </si>
  <si>
    <t>BİRİM FİYAT :   12.93 TL/m3 + KDV X 1131 =13685 TL+KDV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</si>
</sst>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20088"/>
        <c:axId val="204684104"/>
      </c:lineChart>
      <c:dateAx>
        <c:axId val="20602008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4684104"/>
        <c:crosses val="autoZero"/>
        <c:auto val="0"/>
        <c:lblOffset val="100"/>
        <c:baseTimeUnit val="days"/>
      </c:dateAx>
      <c:valAx>
        <c:axId val="204684104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02008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G34">
            <v>11280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H34">
            <v>12998225.520000001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8" sqref="A8:XFD8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2021</v>
      </c>
      <c r="E2" s="13">
        <f>Electricity!I4</f>
        <v>1333.0799999982119</v>
      </c>
      <c r="F2" s="3">
        <v>0.8</v>
      </c>
      <c r="G2" s="13">
        <f>Gas!J4</f>
        <v>0</v>
      </c>
      <c r="H2" s="3">
        <v>1.69</v>
      </c>
      <c r="I2" s="13">
        <f>Water!H4</f>
        <v>9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2021</v>
      </c>
      <c r="E3" s="13">
        <f>Electricity!I5</f>
        <v>1311</v>
      </c>
      <c r="F3" s="3">
        <v>0.8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2021</v>
      </c>
      <c r="E4" s="13">
        <f>Electricity!I6</f>
        <v>1346.8800000008196</v>
      </c>
      <c r="F4" s="3">
        <v>0.8</v>
      </c>
      <c r="G4" s="13">
        <f>Gas!J6</f>
        <v>0</v>
      </c>
      <c r="H4" s="3">
        <v>1.69</v>
      </c>
      <c r="I4" s="13">
        <f>Water!H6</f>
        <v>13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2021</v>
      </c>
      <c r="E5" s="13">
        <f>Electricity!I7</f>
        <v>1368.9600000008941</v>
      </c>
      <c r="F5" s="3">
        <v>0.8</v>
      </c>
      <c r="G5" s="13">
        <f>Gas!J7</f>
        <v>0</v>
      </c>
      <c r="H5" s="3">
        <v>1.69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2021</v>
      </c>
      <c r="E6" s="13">
        <f>Electricity!I8</f>
        <v>1363.4399999994785</v>
      </c>
      <c r="F6" s="3">
        <v>0.8</v>
      </c>
      <c r="G6" s="13">
        <f>Gas!J8</f>
        <v>0</v>
      </c>
      <c r="H6" s="3">
        <v>1.69</v>
      </c>
      <c r="I6" s="13">
        <f>Water!H8</f>
        <v>9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2021</v>
      </c>
      <c r="E7" s="13">
        <f>Electricity!I9</f>
        <v>1360.6799999978393</v>
      </c>
      <c r="F7" s="3">
        <v>0.8</v>
      </c>
      <c r="G7" s="13">
        <f>Gas!J9</f>
        <v>0</v>
      </c>
      <c r="H7" s="3">
        <v>1.69</v>
      </c>
      <c r="I7" s="13">
        <f>Water!H9</f>
        <v>9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2021</v>
      </c>
      <c r="E8" s="13">
        <f>Electricity!I10</f>
        <v>1344.1200000010431</v>
      </c>
      <c r="F8" s="3">
        <v>0.8</v>
      </c>
      <c r="G8" s="13">
        <f>Gas!J10</f>
        <v>0</v>
      </c>
      <c r="H8" s="3">
        <v>1.69</v>
      </c>
      <c r="I8" s="13">
        <f>Water!H10</f>
        <v>10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2021</v>
      </c>
      <c r="E9" s="13">
        <f>Electricity!I11</f>
        <v>-13007653.68</v>
      </c>
      <c r="F9" s="3">
        <v>0.8</v>
      </c>
      <c r="G9" s="13">
        <f>Gas!J11</f>
        <v>-1192410.140344</v>
      </c>
      <c r="H9" s="3">
        <v>1.69</v>
      </c>
      <c r="I9" s="13">
        <f>Water!H11</f>
        <v>-10289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2021</v>
      </c>
      <c r="E10" s="13">
        <f>Electricity!I12</f>
        <v>0</v>
      </c>
      <c r="F10" s="3">
        <v>0.8</v>
      </c>
      <c r="G10" s="13">
        <f>Gas!J12</f>
        <v>0</v>
      </c>
      <c r="H10" s="3">
        <v>1.69</v>
      </c>
      <c r="I10" s="13">
        <f>Water!H12</f>
        <v>0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2021</v>
      </c>
      <c r="E11" s="13">
        <f>Electricity!I13</f>
        <v>0</v>
      </c>
      <c r="F11" s="3">
        <v>0.8</v>
      </c>
      <c r="G11" s="13">
        <f>Gas!J13</f>
        <v>0</v>
      </c>
      <c r="H11" s="3">
        <v>1.69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2021</v>
      </c>
      <c r="E12" s="13">
        <f>Electricity!I14</f>
        <v>0</v>
      </c>
      <c r="F12" s="3">
        <v>0.8</v>
      </c>
      <c r="G12" s="13">
        <f>Gas!J14</f>
        <v>0</v>
      </c>
      <c r="H12" s="3">
        <v>1.69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2021</v>
      </c>
      <c r="E13" s="13">
        <f>Electricity!I15</f>
        <v>0</v>
      </c>
      <c r="F13" s="3">
        <v>0.8</v>
      </c>
      <c r="G13" s="13">
        <f>Gas!J15</f>
        <v>0</v>
      </c>
      <c r="H13" s="3">
        <v>1.69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2021</v>
      </c>
      <c r="E14" s="13">
        <f>Electricity!I16</f>
        <v>0</v>
      </c>
      <c r="F14" s="3">
        <v>0.8</v>
      </c>
      <c r="G14" s="13">
        <f>Gas!J16</f>
        <v>0</v>
      </c>
      <c r="H14" s="3">
        <v>1.69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2021</v>
      </c>
      <c r="E15" s="13">
        <f>Electricity!I17</f>
        <v>0</v>
      </c>
      <c r="F15" s="3">
        <v>0.8</v>
      </c>
      <c r="G15" s="13">
        <f>Gas!J17</f>
        <v>0</v>
      </c>
      <c r="H15" s="3">
        <v>1.69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2021</v>
      </c>
      <c r="E16" s="13">
        <f>Electricity!I18</f>
        <v>0</v>
      </c>
      <c r="F16" s="3">
        <v>0.8</v>
      </c>
      <c r="G16" s="13">
        <f>Gas!J18</f>
        <v>0</v>
      </c>
      <c r="H16" s="3">
        <v>1.69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2021</v>
      </c>
      <c r="E17" s="13">
        <f>Electricity!I19</f>
        <v>0</v>
      </c>
      <c r="F17" s="3">
        <v>0.8</v>
      </c>
      <c r="G17" s="13">
        <f>Gas!J19</f>
        <v>0</v>
      </c>
      <c r="H17" s="3">
        <v>1.69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2021</v>
      </c>
      <c r="E18" s="13">
        <f>Electricity!I20</f>
        <v>0</v>
      </c>
      <c r="F18" s="3">
        <v>0.8</v>
      </c>
      <c r="G18" s="13">
        <f>Gas!J20</f>
        <v>0</v>
      </c>
      <c r="H18" s="3">
        <v>1.69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2021</v>
      </c>
      <c r="E19" s="13">
        <f>Electricity!I21</f>
        <v>0</v>
      </c>
      <c r="F19" s="3">
        <v>0.8</v>
      </c>
      <c r="G19" s="13">
        <f>Gas!J21</f>
        <v>0</v>
      </c>
      <c r="H19" s="3">
        <v>1.69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1.69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1.69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1.69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1.69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1.69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11" sqref="E1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40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44409</v>
      </c>
      <c r="E4" s="23">
        <v>10224</v>
      </c>
      <c r="F4" s="23">
        <v>1065</v>
      </c>
      <c r="G4" s="23">
        <f>E4+F4</f>
        <v>11289</v>
      </c>
      <c r="H4" s="24">
        <f>G4-[1]Jul.2020!G34</f>
        <v>9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44410</v>
      </c>
      <c r="E5" s="23">
        <v>10237</v>
      </c>
      <c r="F5" s="23">
        <v>1065</v>
      </c>
      <c r="G5" s="23">
        <f>E5+F5</f>
        <v>11302</v>
      </c>
      <c r="H5" s="24">
        <f>G5-G4</f>
        <v>13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44411</v>
      </c>
      <c r="E6" s="23">
        <v>10250</v>
      </c>
      <c r="F6" s="23">
        <v>1065</v>
      </c>
      <c r="G6" s="23">
        <f>E6+F6</f>
        <v>11315</v>
      </c>
      <c r="H6" s="24">
        <f t="shared" ref="H6:H34" si="0">G6-G5</f>
        <v>13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44412</v>
      </c>
      <c r="E7" s="23">
        <v>10261</v>
      </c>
      <c r="F7" s="23">
        <v>1065</v>
      </c>
      <c r="G7" s="23">
        <f>E7+F7</f>
        <v>11326</v>
      </c>
      <c r="H7" s="24">
        <f t="shared" si="0"/>
        <v>11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44413</v>
      </c>
      <c r="E8" s="23">
        <v>10270</v>
      </c>
      <c r="F8" s="23">
        <v>1065</v>
      </c>
      <c r="G8" s="23">
        <f t="shared" ref="G8:G31" si="1">E8+F8</f>
        <v>11335</v>
      </c>
      <c r="H8" s="24">
        <f t="shared" si="0"/>
        <v>9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44414</v>
      </c>
      <c r="E9" s="23">
        <v>10279</v>
      </c>
      <c r="F9" s="23">
        <v>1065</v>
      </c>
      <c r="G9" s="23">
        <f t="shared" si="1"/>
        <v>11344</v>
      </c>
      <c r="H9" s="24">
        <f t="shared" si="0"/>
        <v>9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44415</v>
      </c>
      <c r="E10" s="23">
        <v>10289</v>
      </c>
      <c r="F10" s="23">
        <v>1065</v>
      </c>
      <c r="G10" s="23">
        <f t="shared" si="1"/>
        <v>11354</v>
      </c>
      <c r="H10" s="24">
        <f>G10-G9</f>
        <v>10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44416</v>
      </c>
      <c r="E11" s="23"/>
      <c r="F11" s="23">
        <v>1065</v>
      </c>
      <c r="G11" s="23">
        <f t="shared" si="1"/>
        <v>1065</v>
      </c>
      <c r="H11" s="24">
        <f t="shared" ref="H11:H33" si="2">G11-G10</f>
        <v>-10289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44417</v>
      </c>
      <c r="E12" s="23"/>
      <c r="F12" s="23">
        <v>1065</v>
      </c>
      <c r="G12" s="23">
        <f t="shared" si="1"/>
        <v>1065</v>
      </c>
      <c r="H12" s="24">
        <f t="shared" si="2"/>
        <v>0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44418</v>
      </c>
      <c r="E13" s="23"/>
      <c r="F13" s="23">
        <v>1065</v>
      </c>
      <c r="G13" s="23">
        <f t="shared" si="1"/>
        <v>1065</v>
      </c>
      <c r="H13" s="24">
        <f t="shared" si="2"/>
        <v>0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44419</v>
      </c>
      <c r="E14" s="23"/>
      <c r="F14" s="23">
        <v>1065</v>
      </c>
      <c r="G14" s="23">
        <f t="shared" si="1"/>
        <v>1065</v>
      </c>
      <c r="H14" s="24">
        <f t="shared" si="2"/>
        <v>0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44420</v>
      </c>
      <c r="E15" s="23"/>
      <c r="F15" s="23">
        <v>1065</v>
      </c>
      <c r="G15" s="23">
        <f t="shared" si="1"/>
        <v>1065</v>
      </c>
      <c r="H15" s="24">
        <f t="shared" si="2"/>
        <v>0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44421</v>
      </c>
      <c r="E16" s="23"/>
      <c r="F16" s="23">
        <v>1065</v>
      </c>
      <c r="G16" s="23">
        <f t="shared" si="1"/>
        <v>1065</v>
      </c>
      <c r="H16" s="24">
        <f t="shared" si="2"/>
        <v>0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44422</v>
      </c>
      <c r="E17" s="23"/>
      <c r="F17" s="23">
        <v>1065</v>
      </c>
      <c r="G17" s="23">
        <f t="shared" si="1"/>
        <v>1065</v>
      </c>
      <c r="H17" s="24">
        <f t="shared" si="2"/>
        <v>0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44423</v>
      </c>
      <c r="E18" s="23"/>
      <c r="F18" s="23">
        <v>1065</v>
      </c>
      <c r="G18" s="23">
        <f t="shared" si="1"/>
        <v>1065</v>
      </c>
      <c r="H18" s="24">
        <f t="shared" si="2"/>
        <v>0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44424</v>
      </c>
      <c r="E19" s="23"/>
      <c r="F19" s="23">
        <v>1065</v>
      </c>
      <c r="G19" s="23">
        <f t="shared" si="1"/>
        <v>1065</v>
      </c>
      <c r="H19" s="24">
        <f t="shared" si="2"/>
        <v>0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44425</v>
      </c>
      <c r="E20" s="23"/>
      <c r="F20" s="23">
        <v>1065</v>
      </c>
      <c r="G20" s="23">
        <f t="shared" si="1"/>
        <v>1065</v>
      </c>
      <c r="H20" s="24">
        <f t="shared" si="2"/>
        <v>0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44426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44427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44428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44429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44430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44431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44432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44433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44434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44435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44436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44437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44438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44439</v>
      </c>
      <c r="E34" s="26"/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-10215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 t="s">
        <v>41</v>
      </c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1" sqref="F1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38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44409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44410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44411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44412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44413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44414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44415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44416</v>
      </c>
      <c r="E11" s="23"/>
      <c r="F11" s="23"/>
      <c r="G11" s="23">
        <f t="shared" si="0"/>
        <v>0</v>
      </c>
      <c r="H11" s="18">
        <v>1.2781359999999999</v>
      </c>
      <c r="I11" s="23">
        <f>H11*G11</f>
        <v>0</v>
      </c>
      <c r="J11" s="24">
        <f>I11-I10</f>
        <v>-1192410.140344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44417</v>
      </c>
      <c r="E12" s="23"/>
      <c r="F12" s="23"/>
      <c r="G12" s="23">
        <f t="shared" si="0"/>
        <v>0</v>
      </c>
      <c r="H12" s="18">
        <v>1.2781359999999999</v>
      </c>
      <c r="I12" s="23">
        <f t="shared" si="1"/>
        <v>0</v>
      </c>
      <c r="J12" s="24">
        <f>I12-I11</f>
        <v>0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44418</v>
      </c>
      <c r="E13" s="23"/>
      <c r="F13" s="23"/>
      <c r="G13" s="23">
        <f>E13+F13</f>
        <v>0</v>
      </c>
      <c r="H13" s="18">
        <v>1.2781359999999999</v>
      </c>
      <c r="I13" s="23">
        <f>H13*G13</f>
        <v>0</v>
      </c>
      <c r="J13" s="24">
        <f>I13-I12</f>
        <v>0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44419</v>
      </c>
      <c r="E14" s="23"/>
      <c r="F14" s="23"/>
      <c r="G14" s="23">
        <f t="shared" si="0"/>
        <v>0</v>
      </c>
      <c r="H14" s="18">
        <v>1.2781359999999999</v>
      </c>
      <c r="I14" s="23">
        <f>H14*G14</f>
        <v>0</v>
      </c>
      <c r="J14" s="24">
        <f>I14-I13</f>
        <v>0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44420</v>
      </c>
      <c r="E15" s="23"/>
      <c r="F15" s="23"/>
      <c r="G15" s="23">
        <f t="shared" si="0"/>
        <v>0</v>
      </c>
      <c r="H15" s="18">
        <v>1.2781359999999999</v>
      </c>
      <c r="I15" s="23">
        <f t="shared" si="1"/>
        <v>0</v>
      </c>
      <c r="J15" s="24">
        <f t="shared" si="2"/>
        <v>0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44421</v>
      </c>
      <c r="E16" s="23"/>
      <c r="F16" s="23"/>
      <c r="G16" s="23">
        <f t="shared" si="0"/>
        <v>0</v>
      </c>
      <c r="H16" s="18">
        <v>1.2781359999999999</v>
      </c>
      <c r="I16" s="23">
        <f t="shared" si="1"/>
        <v>0</v>
      </c>
      <c r="J16" s="24">
        <f t="shared" si="2"/>
        <v>0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44422</v>
      </c>
      <c r="E17" s="23"/>
      <c r="F17" s="23"/>
      <c r="G17" s="23">
        <f t="shared" si="0"/>
        <v>0</v>
      </c>
      <c r="H17" s="18">
        <v>1.2781359999999999</v>
      </c>
      <c r="I17" s="23">
        <f t="shared" si="1"/>
        <v>0</v>
      </c>
      <c r="J17" s="24">
        <f t="shared" si="2"/>
        <v>0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44423</v>
      </c>
      <c r="E18" s="23"/>
      <c r="F18" s="23"/>
      <c r="G18" s="23">
        <f t="shared" si="0"/>
        <v>0</v>
      </c>
      <c r="H18" s="18">
        <v>1.2781359999999999</v>
      </c>
      <c r="I18" s="23">
        <f t="shared" si="1"/>
        <v>0</v>
      </c>
      <c r="J18" s="24">
        <f t="shared" si="2"/>
        <v>0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44424</v>
      </c>
      <c r="E19" s="23"/>
      <c r="F19" s="23"/>
      <c r="G19" s="23">
        <f t="shared" si="0"/>
        <v>0</v>
      </c>
      <c r="H19" s="18">
        <v>1.2781359999999999</v>
      </c>
      <c r="I19" s="23">
        <f>H19*G19</f>
        <v>0</v>
      </c>
      <c r="J19" s="24">
        <f>I19-I18</f>
        <v>0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44425</v>
      </c>
      <c r="E20" s="23"/>
      <c r="F20" s="23"/>
      <c r="G20" s="23">
        <f t="shared" si="0"/>
        <v>0</v>
      </c>
      <c r="H20" s="18">
        <v>1.2781359999999999</v>
      </c>
      <c r="I20" s="23">
        <f t="shared" si="1"/>
        <v>0</v>
      </c>
      <c r="J20" s="24">
        <f t="shared" si="2"/>
        <v>0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44426</v>
      </c>
      <c r="E21" s="23"/>
      <c r="F21" s="23"/>
      <c r="G21" s="23">
        <f t="shared" si="0"/>
        <v>0</v>
      </c>
      <c r="H21" s="18">
        <v>1.2781359999999999</v>
      </c>
      <c r="I21" s="23">
        <f t="shared" si="1"/>
        <v>0</v>
      </c>
      <c r="J21" s="24">
        <f t="shared" si="2"/>
        <v>0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44427</v>
      </c>
      <c r="E22" s="23"/>
      <c r="F22" s="23"/>
      <c r="G22" s="23">
        <f t="shared" si="0"/>
        <v>0</v>
      </c>
      <c r="H22" s="18">
        <v>1.2781359999999999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44428</v>
      </c>
      <c r="E23" s="23"/>
      <c r="F23" s="23"/>
      <c r="G23" s="23">
        <f t="shared" si="0"/>
        <v>0</v>
      </c>
      <c r="H23" s="18">
        <v>1.2781359999999999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44429</v>
      </c>
      <c r="E24" s="23"/>
      <c r="F24" s="23"/>
      <c r="G24" s="23">
        <f t="shared" si="0"/>
        <v>0</v>
      </c>
      <c r="H24" s="18">
        <v>1.2781359999999999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44430</v>
      </c>
      <c r="E25" s="23"/>
      <c r="F25" s="23"/>
      <c r="G25" s="23">
        <f t="shared" si="0"/>
        <v>0</v>
      </c>
      <c r="H25" s="18">
        <v>1.2781359999999999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44431</v>
      </c>
      <c r="E26" s="23"/>
      <c r="F26" s="23"/>
      <c r="G26" s="23">
        <f t="shared" si="0"/>
        <v>0</v>
      </c>
      <c r="H26" s="18">
        <v>1.2781359999999999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44432</v>
      </c>
      <c r="E27" s="23"/>
      <c r="F27" s="23"/>
      <c r="G27" s="23">
        <f t="shared" si="0"/>
        <v>0</v>
      </c>
      <c r="H27" s="18">
        <v>1.2781359999999999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44433</v>
      </c>
      <c r="E28" s="23"/>
      <c r="F28" s="23"/>
      <c r="G28" s="23">
        <f t="shared" si="0"/>
        <v>0</v>
      </c>
      <c r="H28" s="18">
        <v>1.2781359999999999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44434</v>
      </c>
      <c r="E29" s="23"/>
      <c r="F29" s="23"/>
      <c r="G29" s="23">
        <f t="shared" si="0"/>
        <v>0</v>
      </c>
      <c r="H29" s="18">
        <v>1.2781359999999999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44435</v>
      </c>
      <c r="E30" s="23"/>
      <c r="F30" s="23"/>
      <c r="G30" s="23">
        <f t="shared" si="0"/>
        <v>0</v>
      </c>
      <c r="H30" s="18">
        <v>1.2781359999999999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44436</v>
      </c>
      <c r="E31" s="23"/>
      <c r="F31" s="23"/>
      <c r="G31" s="23">
        <f t="shared" si="0"/>
        <v>0</v>
      </c>
      <c r="H31" s="18">
        <v>1.2781359999999999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44437</v>
      </c>
      <c r="E32" s="23"/>
      <c r="F32" s="23"/>
      <c r="G32" s="23">
        <f t="shared" si="0"/>
        <v>0</v>
      </c>
      <c r="H32" s="18">
        <v>1.2781359999999999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44438</v>
      </c>
      <c r="E33" s="23"/>
      <c r="F33" s="23"/>
      <c r="G33" s="23">
        <f t="shared" si="0"/>
        <v>0</v>
      </c>
      <c r="H33" s="18">
        <v>1.2781359999999999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44439</v>
      </c>
      <c r="E34" s="23"/>
      <c r="F34" s="23"/>
      <c r="G34" s="23">
        <f t="shared" si="0"/>
        <v>0</v>
      </c>
      <c r="H34" s="18">
        <v>1.2781359999999999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-1192410.140344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39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F11" sqref="F11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35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36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v>4709.9849999999997</v>
      </c>
      <c r="G4" s="22">
        <v>2760</v>
      </c>
      <c r="H4" s="23">
        <f>G4*F4</f>
        <v>12999558.6</v>
      </c>
      <c r="I4" s="24">
        <f>+(H4-'[2]Temmuz 2021'!H34)</f>
        <v>1333.0799999982119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44410</v>
      </c>
      <c r="F5" s="55">
        <v>4710.46</v>
      </c>
      <c r="G5" s="22">
        <v>2760</v>
      </c>
      <c r="H5" s="23">
        <f>G5*F5</f>
        <v>13000869.6</v>
      </c>
      <c r="I5" s="24">
        <f>+(H5-H4)</f>
        <v>1311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44411</v>
      </c>
      <c r="F6" s="55">
        <v>4710.9480000000003</v>
      </c>
      <c r="G6" s="22">
        <v>2760</v>
      </c>
      <c r="H6" s="23">
        <f t="shared" ref="H6:H34" si="0">G6*F6</f>
        <v>13002216.48</v>
      </c>
      <c r="I6" s="24">
        <f t="shared" ref="I6:I34" si="1">+(H6-H5)</f>
        <v>1346.8800000008196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44412</v>
      </c>
      <c r="F7" s="55">
        <v>4711.4440000000004</v>
      </c>
      <c r="G7" s="22">
        <v>2760</v>
      </c>
      <c r="H7" s="23">
        <f t="shared" si="0"/>
        <v>13003585.440000001</v>
      </c>
      <c r="I7" s="24">
        <f t="shared" si="1"/>
        <v>1368.9600000008941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44413</v>
      </c>
      <c r="F8" s="55">
        <v>4711.9380000000001</v>
      </c>
      <c r="G8" s="22">
        <v>2760</v>
      </c>
      <c r="H8" s="23">
        <f>G8*F8</f>
        <v>13004948.880000001</v>
      </c>
      <c r="I8" s="24">
        <f t="shared" si="1"/>
        <v>1363.4399999994785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44414</v>
      </c>
      <c r="F9" s="55">
        <v>4712.4309999999996</v>
      </c>
      <c r="G9" s="22">
        <v>2760</v>
      </c>
      <c r="H9" s="23">
        <f t="shared" si="0"/>
        <v>13006309.559999999</v>
      </c>
      <c r="I9" s="24">
        <f t="shared" si="1"/>
        <v>1360.6799999978393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44415</v>
      </c>
      <c r="F10" s="55">
        <v>4712.9179999999997</v>
      </c>
      <c r="G10" s="22">
        <v>2760</v>
      </c>
      <c r="H10" s="23">
        <f t="shared" si="0"/>
        <v>13007653.68</v>
      </c>
      <c r="I10" s="24">
        <f t="shared" si="1"/>
        <v>1344.1200000010431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44416</v>
      </c>
      <c r="F11" s="55"/>
      <c r="G11" s="22">
        <v>2760</v>
      </c>
      <c r="H11" s="23">
        <f t="shared" si="0"/>
        <v>0</v>
      </c>
      <c r="I11" s="24">
        <f t="shared" si="1"/>
        <v>-13007653.68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44417</v>
      </c>
      <c r="F12" s="55"/>
      <c r="G12" s="22">
        <v>2760</v>
      </c>
      <c r="H12" s="23">
        <f>G12*F12</f>
        <v>0</v>
      </c>
      <c r="I12" s="24">
        <f t="shared" si="1"/>
        <v>0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44418</v>
      </c>
      <c r="F13" s="55"/>
      <c r="G13" s="22">
        <v>2760</v>
      </c>
      <c r="H13" s="23">
        <f t="shared" si="0"/>
        <v>0</v>
      </c>
      <c r="I13" s="24">
        <f t="shared" si="1"/>
        <v>0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44419</v>
      </c>
      <c r="F14" s="55"/>
      <c r="G14" s="22">
        <v>2760</v>
      </c>
      <c r="H14" s="23">
        <f t="shared" si="0"/>
        <v>0</v>
      </c>
      <c r="I14" s="24">
        <f t="shared" si="1"/>
        <v>0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44420</v>
      </c>
      <c r="F15" s="55"/>
      <c r="G15" s="22">
        <v>2760</v>
      </c>
      <c r="H15" s="23">
        <f t="shared" si="0"/>
        <v>0</v>
      </c>
      <c r="I15" s="24">
        <f t="shared" si="1"/>
        <v>0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44421</v>
      </c>
      <c r="F16" s="55"/>
      <c r="G16" s="22">
        <v>2760</v>
      </c>
      <c r="H16" s="23">
        <f t="shared" si="0"/>
        <v>0</v>
      </c>
      <c r="I16" s="24">
        <f t="shared" si="1"/>
        <v>0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44422</v>
      </c>
      <c r="F17" s="55"/>
      <c r="G17" s="22">
        <v>2760</v>
      </c>
      <c r="H17" s="23">
        <f t="shared" si="0"/>
        <v>0</v>
      </c>
      <c r="I17" s="24">
        <f t="shared" si="1"/>
        <v>0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44423</v>
      </c>
      <c r="F18" s="55"/>
      <c r="G18" s="22">
        <v>2760</v>
      </c>
      <c r="H18" s="23">
        <f t="shared" si="0"/>
        <v>0</v>
      </c>
      <c r="I18" s="24">
        <f t="shared" si="1"/>
        <v>0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44424</v>
      </c>
      <c r="F19" s="55"/>
      <c r="G19" s="22">
        <v>2760</v>
      </c>
      <c r="H19" s="23">
        <f>G19*F19</f>
        <v>0</v>
      </c>
      <c r="I19" s="24">
        <f>+(H19-H18)</f>
        <v>0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44425</v>
      </c>
      <c r="F20" s="55"/>
      <c r="G20" s="22">
        <v>2760</v>
      </c>
      <c r="H20" s="23">
        <f t="shared" si="0"/>
        <v>0</v>
      </c>
      <c r="I20" s="24">
        <f t="shared" si="1"/>
        <v>0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44426</v>
      </c>
      <c r="F21" s="55"/>
      <c r="G21" s="22">
        <v>2760</v>
      </c>
      <c r="H21" s="23">
        <f t="shared" si="0"/>
        <v>0</v>
      </c>
      <c r="I21" s="24">
        <f>+(H21-H20)</f>
        <v>0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44427</v>
      </c>
      <c r="F22" s="55"/>
      <c r="G22" s="22">
        <v>2760</v>
      </c>
      <c r="H22" s="23">
        <f t="shared" si="0"/>
        <v>0</v>
      </c>
      <c r="I22" s="24">
        <f t="shared" si="1"/>
        <v>0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44428</v>
      </c>
      <c r="F23" s="55"/>
      <c r="G23" s="22">
        <v>2760</v>
      </c>
      <c r="H23" s="23">
        <f t="shared" si="0"/>
        <v>0</v>
      </c>
      <c r="I23" s="24">
        <f t="shared" si="1"/>
        <v>0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44429</v>
      </c>
      <c r="F24" s="55"/>
      <c r="G24" s="22">
        <v>2760</v>
      </c>
      <c r="H24" s="23">
        <f t="shared" si="0"/>
        <v>0</v>
      </c>
      <c r="I24" s="24">
        <f t="shared" si="1"/>
        <v>0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44430</v>
      </c>
      <c r="F25" s="55"/>
      <c r="G25" s="22">
        <v>2760</v>
      </c>
      <c r="H25" s="23">
        <f t="shared" si="0"/>
        <v>0</v>
      </c>
      <c r="I25" s="24">
        <f t="shared" si="1"/>
        <v>0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44431</v>
      </c>
      <c r="F26" s="61"/>
      <c r="G26" s="22">
        <v>2760</v>
      </c>
      <c r="H26" s="23">
        <f t="shared" si="0"/>
        <v>0</v>
      </c>
      <c r="I26" s="24">
        <f t="shared" si="1"/>
        <v>0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44432</v>
      </c>
      <c r="F27" s="61"/>
      <c r="G27" s="22">
        <v>2760</v>
      </c>
      <c r="H27" s="23">
        <f t="shared" si="0"/>
        <v>0</v>
      </c>
      <c r="I27" s="24">
        <f t="shared" si="1"/>
        <v>0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44433</v>
      </c>
      <c r="F28" s="61"/>
      <c r="G28" s="22">
        <v>2760</v>
      </c>
      <c r="H28" s="23">
        <f t="shared" si="0"/>
        <v>0</v>
      </c>
      <c r="I28" s="24">
        <f t="shared" si="1"/>
        <v>0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44434</v>
      </c>
      <c r="F29" s="61"/>
      <c r="G29" s="22">
        <v>2760</v>
      </c>
      <c r="H29" s="23">
        <f t="shared" si="0"/>
        <v>0</v>
      </c>
      <c r="I29" s="24">
        <f t="shared" si="1"/>
        <v>0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44435</v>
      </c>
      <c r="F30" s="61"/>
      <c r="G30" s="22">
        <v>2760</v>
      </c>
      <c r="H30" s="23">
        <f t="shared" si="0"/>
        <v>0</v>
      </c>
      <c r="I30" s="24">
        <f t="shared" si="1"/>
        <v>0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44436</v>
      </c>
      <c r="F31" s="61"/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44437</v>
      </c>
      <c r="F32" s="61"/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44438</v>
      </c>
      <c r="F33" s="61"/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>
        <v>44439</v>
      </c>
      <c r="F34" s="61"/>
      <c r="G34" s="22">
        <v>2760</v>
      </c>
      <c r="H34" s="23">
        <f t="shared" si="0"/>
        <v>0</v>
      </c>
      <c r="I34" s="24">
        <f t="shared" si="1"/>
        <v>0</v>
      </c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-12998225.520000001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37</v>
      </c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2021-08-07T19:56:42Z</dcterms:modified>
</cp:coreProperties>
</file>