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K38" i="1" l="1"/>
  <c r="J38" i="1"/>
  <c r="I38" i="1"/>
  <c r="G38" i="1"/>
  <c r="F38" i="1"/>
  <c r="E38" i="1"/>
  <c r="C38" i="1"/>
  <c r="B38" i="1"/>
  <c r="I39" i="1"/>
  <c r="I40" i="1"/>
  <c r="L31" i="3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8" i="1" l="1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<sst xmlns="http://schemas.openxmlformats.org/spreadsheetml/2006/main" count="105" uniqueCount="38">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</sst>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Q27" sqref="Q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8252</v>
      </c>
      <c r="F17" s="22">
        <v>0.11799999999999999</v>
      </c>
      <c r="G17" s="24">
        <f>(('09 - 2020'!E23-'09 - 2020'!E22)+('09 - 2020'!F23-'09 - 2020'!F22)+('09 - 2020'!G23-'09 - 2020'!G22))*1.81</f>
        <v>95.948100000001219</v>
      </c>
      <c r="H17" s="22">
        <v>0.99</v>
      </c>
      <c r="I17" s="24">
        <f>'09 - 2020'!J23-'09 - 2020'!J22</f>
        <v>25025</v>
      </c>
      <c r="J17" s="22">
        <v>8.1000000000000003E-2</v>
      </c>
      <c r="K17" s="56">
        <f>'09 - 2020'!H23-'09 - 2020'!H22</f>
        <v>0</v>
      </c>
      <c r="L17" s="24">
        <f>'09 - 2020'!I23-'09 - 2020'!I22</f>
        <v>57</v>
      </c>
      <c r="M17" s="23">
        <v>4.3936294247669103</v>
      </c>
      <c r="N17" s="24">
        <v>18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8277</v>
      </c>
      <c r="F18" s="22">
        <v>0.11799999999999999</v>
      </c>
      <c r="G18" s="24">
        <f>(('09 - 2020'!E24-'09 - 2020'!E23)+('09 - 2020'!F24-'09 - 2020'!F23)+('09 - 2020'!G24-'09 - 2020'!G23))*1.81</f>
        <v>94.12</v>
      </c>
      <c r="H18" s="22">
        <v>0.99</v>
      </c>
      <c r="I18" s="24">
        <f>'09 - 2020'!J24-'09 - 2020'!J23</f>
        <v>26434</v>
      </c>
      <c r="J18" s="22">
        <v>8.1000000000000003E-2</v>
      </c>
      <c r="K18" s="56">
        <f>'09 - 2020'!H24-'09 - 2020'!H23</f>
        <v>0</v>
      </c>
      <c r="L18" s="24">
        <f>'09 - 2020'!I24-'09 - 2020'!I23</f>
        <v>65</v>
      </c>
      <c r="M18" s="23">
        <v>4.3936294247669103</v>
      </c>
      <c r="N18" s="24">
        <v>22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8495</v>
      </c>
      <c r="F19" s="22">
        <v>0.11799999999999999</v>
      </c>
      <c r="G19" s="24">
        <f>(('09 - 2020'!E25-'09 - 2020'!E24)+('09 - 2020'!F25-'09 - 2020'!F24)+('09 - 2020'!G25-'09 - 2020'!G24))*1.81</f>
        <v>94.12</v>
      </c>
      <c r="H19" s="22">
        <v>0.99</v>
      </c>
      <c r="I19" s="24">
        <f>'09 - 2020'!J25-'09 - 2020'!J24</f>
        <v>29787</v>
      </c>
      <c r="J19" s="22">
        <v>8.1000000000000003E-2</v>
      </c>
      <c r="K19" s="56">
        <f>'09 - 2020'!H25-'09 - 2020'!H24</f>
        <v>0</v>
      </c>
      <c r="L19" s="24">
        <f>'09 - 2020'!I25-'09 - 2020'!I24</f>
        <v>64</v>
      </c>
      <c r="M19" s="23">
        <v>4.3936294247669103</v>
      </c>
      <c r="N19" s="49">
        <v>25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8476</v>
      </c>
      <c r="F20" s="22">
        <v>0.11799999999999999</v>
      </c>
      <c r="G20" s="24">
        <f>(('09 - 2020'!E26-'09 - 2020'!E25)+('09 - 2020'!F26-'09 - 2020'!F25)+('09 - 2020'!G26-'09 - 2020'!G25))*1.81</f>
        <v>94.12</v>
      </c>
      <c r="H20" s="22">
        <v>0.99</v>
      </c>
      <c r="I20" s="24">
        <f>'09 - 2020'!J26-'09 - 2020'!J25</f>
        <v>29876</v>
      </c>
      <c r="J20" s="22">
        <v>8.1000000000000003E-2</v>
      </c>
      <c r="K20" s="56">
        <f>'09 - 2020'!H26-'09 - 2020'!H25</f>
        <v>0</v>
      </c>
      <c r="L20" s="24">
        <f>'09 - 2020'!I26-'09 - 2020'!I25</f>
        <v>63</v>
      </c>
      <c r="M20" s="23">
        <v>4.3936294247669103</v>
      </c>
      <c r="N20" s="49">
        <v>24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8296</v>
      </c>
      <c r="F21" s="22">
        <v>0.11799999999999999</v>
      </c>
      <c r="G21" s="24">
        <f>(('09 - 2020'!E27-'09 - 2020'!E26)+('09 - 2020'!F27-'09 - 2020'!F26)+('09 - 2020'!G27-'09 - 2020'!G26))*1.81</f>
        <v>77.83</v>
      </c>
      <c r="H21" s="22">
        <v>0.99</v>
      </c>
      <c r="I21" s="24">
        <f>'09 - 2020'!J27-'09 - 2020'!J26</f>
        <v>32836</v>
      </c>
      <c r="J21" s="22">
        <v>8.1000000000000003E-2</v>
      </c>
      <c r="K21" s="56">
        <f>'09 - 2020'!H27-'09 - 2020'!H26</f>
        <v>0</v>
      </c>
      <c r="L21" s="24">
        <f>'09 - 2020'!I27-'09 - 2020'!I26</f>
        <v>46</v>
      </c>
      <c r="M21" s="23">
        <v>4.3936294247669103</v>
      </c>
      <c r="N21" s="49">
        <v>25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8576</v>
      </c>
      <c r="F22" s="22">
        <v>0.11799999999999999</v>
      </c>
      <c r="G22" s="24">
        <f>(('09 - 2020'!E28-'09 - 2020'!E27)+('09 - 2020'!F28-'09 - 2020'!F27)+('09 - 2020'!G28-'09 - 2020'!G27))*1.81</f>
        <v>88.69</v>
      </c>
      <c r="H22" s="22">
        <v>0.99</v>
      </c>
      <c r="I22" s="24">
        <f>'09 - 2020'!J28-'09 - 2020'!J27</f>
        <v>33998</v>
      </c>
      <c r="J22" s="22">
        <v>8.1000000000000003E-2</v>
      </c>
      <c r="K22" s="56">
        <f>'09 - 2020'!H28-'09 - 2020'!H27</f>
        <v>0</v>
      </c>
      <c r="L22" s="24">
        <f>'09 - 2020'!I28-'09 - 2020'!I27</f>
        <v>57</v>
      </c>
      <c r="M22" s="23">
        <v>4.3936294247669103</v>
      </c>
      <c r="N22" s="49">
        <v>30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8575</v>
      </c>
      <c r="F23" s="22">
        <v>0.11799999999999999</v>
      </c>
      <c r="G23" s="24">
        <f>(('09 - 2020'!E29-'09 - 2020'!E28)+('09 - 2020'!F29-'09 - 2020'!F28)+('09 - 2020'!G29-'09 - 2020'!G28))*1.81</f>
        <v>94.119999999998356</v>
      </c>
      <c r="H23" s="22">
        <v>0.99</v>
      </c>
      <c r="I23" s="24">
        <f>'09 - 2020'!J29-'09 - 2020'!J28</f>
        <v>34112</v>
      </c>
      <c r="J23" s="22">
        <v>8.1000000000000003E-2</v>
      </c>
      <c r="K23" s="56">
        <f>'09 - 2020'!H29-'09 - 2020'!H28</f>
        <v>0</v>
      </c>
      <c r="L23" s="24">
        <f>'09 - 2020'!I29-'09 - 2020'!I28</f>
        <v>69</v>
      </c>
      <c r="M23" s="23">
        <v>4.3936294247669103</v>
      </c>
      <c r="N23" s="49">
        <v>27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8933</v>
      </c>
      <c r="F24" s="22">
        <v>0.11799999999999999</v>
      </c>
      <c r="G24" s="24">
        <f>(('09 - 2020'!E30-'09 - 2020'!E29)+('09 - 2020'!F30-'09 - 2020'!F29)+('09 - 2020'!G30-'09 - 2020'!G29))*1.81</f>
        <v>97.740000000001643</v>
      </c>
      <c r="H24" s="22">
        <v>0.99</v>
      </c>
      <c r="I24" s="24">
        <f>'09 - 2020'!J30-'09 - 2020'!J29</f>
        <v>34497</v>
      </c>
      <c r="J24" s="22">
        <v>8.1000000000000003E-2</v>
      </c>
      <c r="K24" s="56">
        <f>'09 - 2020'!H30-'09 - 2020'!H29</f>
        <v>0</v>
      </c>
      <c r="L24" s="24">
        <f>'09 - 2020'!I30-'09 - 2020'!I29</f>
        <v>54</v>
      </c>
      <c r="M24" s="23">
        <v>4.3936294247669103</v>
      </c>
      <c r="N24" s="49">
        <v>34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8589</v>
      </c>
      <c r="F25" s="22">
        <v>0.11799999999999999</v>
      </c>
      <c r="G25" s="24">
        <f>(('09 - 2020'!E31-'09 - 2020'!E30)+('09 - 2020'!F31-'09 - 2020'!F30)+('09 - 2020'!G31-'09 - 2020'!G30))*1.81</f>
        <v>90.5</v>
      </c>
      <c r="H25" s="22">
        <v>0.99</v>
      </c>
      <c r="I25" s="24">
        <f>'09 - 2020'!J31-'09 - 2020'!J30</f>
        <v>29562</v>
      </c>
      <c r="J25" s="22">
        <v>8.1000000000000003E-2</v>
      </c>
      <c r="K25" s="56">
        <f>'09 - 2020'!H31-'09 - 2020'!H30</f>
        <v>0</v>
      </c>
      <c r="L25" s="24">
        <f>'09 - 2020'!I31-'09 - 2020'!I30</f>
        <v>64</v>
      </c>
      <c r="M25" s="23">
        <v>4.3936294247669103</v>
      </c>
      <c r="N25" s="49">
        <v>31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8642</v>
      </c>
      <c r="F26" s="22">
        <v>0.11799999999999999</v>
      </c>
      <c r="G26" s="24">
        <f>(('09 - 2020'!E32-'09 - 2020'!E31)+('09 - 2020'!F32-'09 - 2020'!F31)+('09 - 2020'!G32-'09 - 2020'!G31))*1.81</f>
        <v>90.5</v>
      </c>
      <c r="H26" s="22">
        <v>0.99</v>
      </c>
      <c r="I26" s="24">
        <f>'09 - 2020'!J32-'09 - 2020'!J31</f>
        <v>28125</v>
      </c>
      <c r="J26" s="22">
        <v>8.1000000000000003E-2</v>
      </c>
      <c r="K26" s="56">
        <f>'09 - 2020'!H32-'09 - 2020'!H31</f>
        <v>0</v>
      </c>
      <c r="L26" s="24">
        <f>'09 - 2020'!I32-'09 - 2020'!I31</f>
        <v>61</v>
      </c>
      <c r="M26" s="23">
        <v>4.3936294247669103</v>
      </c>
      <c r="N26" s="49">
        <v>35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8500</v>
      </c>
      <c r="F27" s="22">
        <v>0.11799999999999999</v>
      </c>
      <c r="G27" s="24">
        <f>(('09 - 2020'!E33-'09 - 2020'!E32)+('09 - 2020'!F33-'09 - 2020'!F32)+('09 - 2020'!G33-'09 - 2020'!G32))*1.81</f>
        <v>108.60000000000001</v>
      </c>
      <c r="H27" s="22">
        <v>0.99</v>
      </c>
      <c r="I27" s="24">
        <f>'09 - 2020'!J33-'09 - 2020'!J32</f>
        <v>27293</v>
      </c>
      <c r="J27" s="22">
        <v>8.1000000000000003E-2</v>
      </c>
      <c r="K27" s="56">
        <f>'09 - 2020'!H33-'09 - 2020'!H32</f>
        <v>0</v>
      </c>
      <c r="L27" s="24">
        <f>'09 - 2020'!I33-'09 - 2020'!I32</f>
        <v>67</v>
      </c>
      <c r="M27" s="23">
        <v>4.3936294247669103</v>
      </c>
      <c r="N27" s="49">
        <v>32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8259</v>
      </c>
      <c r="F28" s="22">
        <v>0.11799999999999999</v>
      </c>
      <c r="G28" s="24">
        <f>(('09 - 2020'!E34-'09 - 2020'!E33)+('09 - 2020'!F34-'09 - 2020'!F33)+('09 - 2020'!G34-'09 - 2020'!G33))*1.81</f>
        <v>85.070000000000007</v>
      </c>
      <c r="H28" s="22">
        <v>0.99</v>
      </c>
      <c r="I28" s="24">
        <f>'09 - 2020'!J34-'09 - 2020'!J33</f>
        <v>29557</v>
      </c>
      <c r="J28" s="22">
        <v>8.1000000000000003E-2</v>
      </c>
      <c r="K28" s="56">
        <f>'09 - 2020'!H34-'09 - 2020'!H33</f>
        <v>0</v>
      </c>
      <c r="L28" s="24">
        <f>'09 - 2020'!I34-'09 - 2020'!I33</f>
        <v>56</v>
      </c>
      <c r="M28" s="23">
        <v>4.3936294247669103</v>
      </c>
      <c r="N28" s="49">
        <v>25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8178</v>
      </c>
      <c r="F29" s="22">
        <v>0.11799999999999999</v>
      </c>
      <c r="G29" s="24">
        <f>(('09 - 2020'!E35-'09 - 2020'!E34)+('09 - 2020'!F35-'09 - 2020'!F34)+('09 - 2020'!G35-'09 - 2020'!G34))*1.81</f>
        <v>86.88</v>
      </c>
      <c r="H29" s="22">
        <v>0.99</v>
      </c>
      <c r="I29" s="24">
        <f>'09 - 2020'!J35-'09 - 2020'!J34</f>
        <v>30390</v>
      </c>
      <c r="J29" s="22">
        <v>8.1000000000000003E-2</v>
      </c>
      <c r="K29" s="56">
        <f>'09 - 2020'!H35-'09 - 2020'!H34</f>
        <v>0</v>
      </c>
      <c r="L29" s="24">
        <f>'09 - 2020'!I35-'09 - 2020'!I34</f>
        <v>55</v>
      </c>
      <c r="M29" s="23">
        <v>4.3936294247669103</v>
      </c>
      <c r="N29" s="49">
        <v>28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8211</v>
      </c>
      <c r="F30" s="22">
        <v>0.11799999999999999</v>
      </c>
      <c r="G30" s="24">
        <f>(('09 - 2020'!E36-'09 - 2020'!E35)+('09 - 2020'!F36-'09 - 2020'!F35)+('09 - 2020'!G36-'09 - 2020'!G35))*1.81</f>
        <v>89.504499999998032</v>
      </c>
      <c r="H30" s="22">
        <v>0.99</v>
      </c>
      <c r="I30" s="24">
        <f>'09 - 2020'!J36-'09 - 2020'!J35</f>
        <v>30821</v>
      </c>
      <c r="J30" s="22">
        <v>8.1000000000000003E-2</v>
      </c>
      <c r="K30" s="56">
        <f>'09 - 2020'!H36-'09 - 2020'!H35</f>
        <v>0</v>
      </c>
      <c r="L30" s="24">
        <f>'09 - 2020'!I36-'09 - 2020'!I35</f>
        <v>51</v>
      </c>
      <c r="M30" s="23">
        <v>4.3936294247669103</v>
      </c>
      <c r="N30" s="49">
        <v>32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8510</v>
      </c>
      <c r="F31" s="22">
        <v>0.11799999999999999</v>
      </c>
      <c r="G31" s="24">
        <f>(('09 - 2020'!E37-'09 - 2020'!E36)+('09 - 2020'!F37-'09 - 2020'!F36)+('09 - 2020'!G37-'09 - 2020'!G36))*1.81</f>
        <v>87.875500000001978</v>
      </c>
      <c r="H31" s="22">
        <v>0.99</v>
      </c>
      <c r="I31" s="24">
        <f>'09 - 2020'!J37-'09 - 2020'!J36</f>
        <v>27862</v>
      </c>
      <c r="J31" s="22">
        <v>8.1000000000000003E-2</v>
      </c>
      <c r="K31" s="56">
        <f>'09 - 2020'!H37-'09 - 2020'!H36</f>
        <v>0</v>
      </c>
      <c r="L31" s="24">
        <f>'09 - 2020'!I37-'09 - 2020'!I36</f>
        <v>58</v>
      </c>
      <c r="M31" s="23">
        <v>4.3936294247669103</v>
      </c>
      <c r="N31" s="50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T16" sqref="T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2976</v>
      </c>
      <c r="F17" s="24">
        <f>'09 - 2020'!C23-'09 - 2020'!C22</f>
        <v>5276</v>
      </c>
      <c r="G17" s="22">
        <v>0.11799999999999999</v>
      </c>
      <c r="H17" s="24">
        <f>'09 - 2020'!E23-'09 - 2020'!E22</f>
        <v>21.790000000000873</v>
      </c>
      <c r="I17" s="24">
        <f>'09 - 2020'!F23-'09 - 2020'!F22</f>
        <v>4.5599999999999454</v>
      </c>
      <c r="J17" s="24">
        <f>'09 - 2020'!G23-'09 - 2020'!G22</f>
        <v>26.659999999999854</v>
      </c>
      <c r="K17" s="22">
        <v>0.74</v>
      </c>
      <c r="L17" s="24">
        <v>18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2873</v>
      </c>
      <c r="F18" s="24">
        <f>'09 - 2020'!C24-'09 - 2020'!C23</f>
        <v>5404</v>
      </c>
      <c r="G18" s="22">
        <v>0.11799999999999999</v>
      </c>
      <c r="H18" s="24">
        <f>'09 - 2020'!E24-'09 - 2020'!E23</f>
        <v>22</v>
      </c>
      <c r="I18" s="24">
        <f>'09 - 2020'!F24-'09 - 2020'!F23</f>
        <v>5</v>
      </c>
      <c r="J18" s="24">
        <f>'09 - 2020'!G24-'09 - 2020'!G23</f>
        <v>25</v>
      </c>
      <c r="K18" s="22">
        <v>0.74</v>
      </c>
      <c r="L18" s="24">
        <v>22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2901</v>
      </c>
      <c r="F19" s="24">
        <f>'09 - 2020'!C25-'09 - 2020'!C24</f>
        <v>5594</v>
      </c>
      <c r="G19" s="22">
        <v>0.11799999999999999</v>
      </c>
      <c r="H19" s="24">
        <f>'09 - 2020'!E25-'09 - 2020'!E24</f>
        <v>19</v>
      </c>
      <c r="I19" s="24">
        <f>'09 - 2020'!F25-'09 - 2020'!F24</f>
        <v>5</v>
      </c>
      <c r="J19" s="24">
        <f>'09 - 2020'!G25-'09 - 2020'!G24</f>
        <v>28</v>
      </c>
      <c r="K19" s="22">
        <v>0.74</v>
      </c>
      <c r="L19" s="24">
        <v>25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2830</v>
      </c>
      <c r="F20" s="24">
        <f>'09 - 2020'!C26-'09 - 2020'!C25</f>
        <v>5646</v>
      </c>
      <c r="G20" s="22">
        <v>0.11799999999999999</v>
      </c>
      <c r="H20" s="24">
        <f>'09 - 2020'!E26-'09 - 2020'!E25</f>
        <v>21</v>
      </c>
      <c r="I20" s="24">
        <f>'09 - 2020'!F26-'09 - 2020'!F25</f>
        <v>5</v>
      </c>
      <c r="J20" s="24">
        <f>'09 - 2020'!G26-'09 - 2020'!G25</f>
        <v>26</v>
      </c>
      <c r="K20" s="22">
        <v>0.74</v>
      </c>
      <c r="L20" s="6">
        <v>24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2696</v>
      </c>
      <c r="F21" s="24">
        <f>'09 - 2020'!C27-'09 - 2020'!C26</f>
        <v>5600</v>
      </c>
      <c r="G21" s="22">
        <v>0.11799999999999999</v>
      </c>
      <c r="H21" s="24">
        <f>'09 - 2020'!E27-'09 - 2020'!E26</f>
        <v>18</v>
      </c>
      <c r="I21" s="24">
        <f>'09 - 2020'!F27-'09 - 2020'!F26</f>
        <v>0</v>
      </c>
      <c r="J21" s="24">
        <f>'09 - 2020'!G27-'09 - 2020'!G26</f>
        <v>25</v>
      </c>
      <c r="K21" s="22">
        <v>0.74</v>
      </c>
      <c r="L21" s="6">
        <v>25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2894</v>
      </c>
      <c r="F22" s="24">
        <f>'09 - 2020'!C28-'09 - 2020'!C27</f>
        <v>5682</v>
      </c>
      <c r="G22" s="22">
        <v>0.11799999999999999</v>
      </c>
      <c r="H22" s="24">
        <f>'09 - 2020'!E28-'09 - 2020'!E27</f>
        <v>19</v>
      </c>
      <c r="I22" s="24">
        <f>'09 - 2020'!F28-'09 - 2020'!F27</f>
        <v>4</v>
      </c>
      <c r="J22" s="24">
        <f>'09 - 2020'!G28-'09 - 2020'!G27</f>
        <v>26</v>
      </c>
      <c r="K22" s="22">
        <v>0.74</v>
      </c>
      <c r="L22" s="24">
        <v>30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2944</v>
      </c>
      <c r="F23" s="24">
        <f>'09 - 2020'!C29-'09 - 2020'!C28</f>
        <v>5631</v>
      </c>
      <c r="G23" s="22">
        <v>0.11799999999999999</v>
      </c>
      <c r="H23" s="24">
        <f>'09 - 2020'!E29-'09 - 2020'!E28</f>
        <v>20.909999999999854</v>
      </c>
      <c r="I23" s="24">
        <f>'09 - 2020'!F29-'09 - 2020'!F28</f>
        <v>5.8800000000001091</v>
      </c>
      <c r="J23" s="24">
        <f>'09 - 2020'!G29-'09 - 2020'!G28</f>
        <v>25.209999999999127</v>
      </c>
      <c r="K23" s="22">
        <v>0.74</v>
      </c>
      <c r="L23" s="24">
        <v>27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3036</v>
      </c>
      <c r="F24" s="24">
        <f>'09 - 2020'!C30-'09 - 2020'!C29</f>
        <v>5897</v>
      </c>
      <c r="G24" s="22">
        <v>0.11799999999999999</v>
      </c>
      <c r="H24" s="24">
        <f>'09 - 2020'!E30-'09 - 2020'!E29</f>
        <v>25.090000000000146</v>
      </c>
      <c r="I24" s="24">
        <f>'09 - 2020'!F30-'09 - 2020'!F29</f>
        <v>4.1199999999998909</v>
      </c>
      <c r="J24" s="24">
        <f>'09 - 2020'!G30-'09 - 2020'!G29</f>
        <v>24.790000000000873</v>
      </c>
      <c r="K24" s="22">
        <v>0.74</v>
      </c>
      <c r="L24" s="24">
        <v>34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2958</v>
      </c>
      <c r="F25" s="24">
        <f>'09 - 2020'!C31-'09 - 2020'!C30</f>
        <v>5631</v>
      </c>
      <c r="G25" s="22">
        <v>0.11799999999999999</v>
      </c>
      <c r="H25" s="24">
        <f>'09 - 2020'!E31-'09 - 2020'!E30</f>
        <v>18</v>
      </c>
      <c r="I25" s="24">
        <f>'09 - 2020'!F31-'09 - 2020'!F30</f>
        <v>5</v>
      </c>
      <c r="J25" s="24">
        <f>'09 - 2020'!G31-'09 - 2020'!G30</f>
        <v>27</v>
      </c>
      <c r="K25" s="22">
        <v>0.74</v>
      </c>
      <c r="L25" s="6">
        <v>31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2992</v>
      </c>
      <c r="F26" s="24">
        <f>'09 - 2020'!C32-'09 - 2020'!C31</f>
        <v>5650</v>
      </c>
      <c r="G26" s="22">
        <v>0.11799999999999999</v>
      </c>
      <c r="H26" s="24">
        <f>'09 - 2020'!E32-'09 - 2020'!E31</f>
        <v>19</v>
      </c>
      <c r="I26" s="24">
        <f>'09 - 2020'!F32-'09 - 2020'!F31</f>
        <v>4</v>
      </c>
      <c r="J26" s="24">
        <f>'09 - 2020'!G32-'09 - 2020'!G31</f>
        <v>27</v>
      </c>
      <c r="K26" s="22">
        <v>0.74</v>
      </c>
      <c r="L26" s="6">
        <v>35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2988</v>
      </c>
      <c r="F27" s="24">
        <f>'09 - 2020'!C33-'09 - 2020'!C32</f>
        <v>5512</v>
      </c>
      <c r="G27" s="22">
        <v>0.11799999999999999</v>
      </c>
      <c r="H27" s="24">
        <f>'09 - 2020'!E33-'09 - 2020'!E32</f>
        <v>27</v>
      </c>
      <c r="I27" s="24">
        <f>'09 - 2020'!F33-'09 - 2020'!F32</f>
        <v>6</v>
      </c>
      <c r="J27" s="24">
        <f>'09 - 2020'!G33-'09 - 2020'!G32</f>
        <v>27</v>
      </c>
      <c r="K27" s="22">
        <v>0.74</v>
      </c>
      <c r="L27" s="24">
        <v>32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2869</v>
      </c>
      <c r="F28" s="24">
        <f>'09 - 2020'!C34-'09 - 2020'!C33</f>
        <v>5390</v>
      </c>
      <c r="G28" s="22">
        <v>0.11799999999999999</v>
      </c>
      <c r="H28" s="24">
        <f>'09 - 2020'!E34-'09 - 2020'!E33</f>
        <v>21</v>
      </c>
      <c r="I28" s="24">
        <f>'09 - 2020'!F34-'09 - 2020'!F33</f>
        <v>0</v>
      </c>
      <c r="J28" s="24">
        <f>'09 - 2020'!G34-'09 - 2020'!G33</f>
        <v>26</v>
      </c>
      <c r="K28" s="22">
        <v>0.74</v>
      </c>
      <c r="L28" s="6">
        <v>25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2930</v>
      </c>
      <c r="F29" s="24">
        <f>'09 - 2020'!C35-'09 - 2020'!C34</f>
        <v>5248</v>
      </c>
      <c r="G29" s="22">
        <v>0.11799999999999999</v>
      </c>
      <c r="H29" s="24">
        <f>'09 - 2020'!E35-'09 - 2020'!E34</f>
        <v>18</v>
      </c>
      <c r="I29" s="24">
        <f>'09 - 2020'!F35-'09 - 2020'!F34</f>
        <v>4</v>
      </c>
      <c r="J29" s="24">
        <f>'09 - 2020'!G35-'09 - 2020'!G34</f>
        <v>26</v>
      </c>
      <c r="K29" s="22">
        <v>0.74</v>
      </c>
      <c r="L29" s="6">
        <v>28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2910</v>
      </c>
      <c r="F30" s="24">
        <f>'09 - 2020'!C36-'09 - 2020'!C35</f>
        <v>5301</v>
      </c>
      <c r="G30" s="22">
        <v>0.11799999999999999</v>
      </c>
      <c r="H30" s="24">
        <f>'09 - 2020'!E36-'09 - 2020'!E35</f>
        <v>17.920000000000073</v>
      </c>
      <c r="I30" s="24">
        <f>'09 - 2020'!F36-'09 - 2020'!F35</f>
        <v>6.5900000000001455</v>
      </c>
      <c r="J30" s="24">
        <f>'09 - 2020'!G36-'09 - 2020'!G35</f>
        <v>24.93999999999869</v>
      </c>
      <c r="K30" s="22">
        <v>0.74</v>
      </c>
      <c r="L30" s="6">
        <v>32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3064</v>
      </c>
      <c r="F31" s="24">
        <f>'09 - 2020'!C37-'09 - 2020'!C36</f>
        <v>5446</v>
      </c>
      <c r="G31" s="22">
        <v>0.11799999999999999</v>
      </c>
      <c r="H31" s="24">
        <f>'09 - 2020'!E37-'09 - 2020'!E36</f>
        <v>17.079999999999927</v>
      </c>
      <c r="I31" s="24">
        <f>'09 - 2020'!F37-'09 - 2020'!F36</f>
        <v>4.4099999999998545</v>
      </c>
      <c r="J31" s="24">
        <f>'09 - 2020'!G37-'09 - 2020'!G36</f>
        <v>27.06000000000131</v>
      </c>
      <c r="K31" s="22">
        <v>0.74</v>
      </c>
      <c r="L31" s="24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E30" sqref="E3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>
        <v>4600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>
        <v>864119</v>
      </c>
      <c r="C23" s="57">
        <v>1362928</v>
      </c>
      <c r="D23" s="16">
        <v>0.6</v>
      </c>
      <c r="E23" s="58">
        <v>12070</v>
      </c>
      <c r="F23" s="21">
        <v>2388</v>
      </c>
      <c r="G23" s="58">
        <v>21374</v>
      </c>
      <c r="H23" s="15">
        <v>14528</v>
      </c>
      <c r="I23" s="57">
        <v>98066</v>
      </c>
      <c r="J23" s="57">
        <v>41661709</v>
      </c>
      <c r="K23" s="25"/>
      <c r="L23" s="30"/>
      <c r="M23" s="46"/>
    </row>
    <row r="24" spans="1:16" ht="12.75" customHeight="1" x14ac:dyDescent="0.25">
      <c r="A24" s="45">
        <v>44091</v>
      </c>
      <c r="B24" s="57">
        <v>866992</v>
      </c>
      <c r="C24" s="57">
        <v>1368332</v>
      </c>
      <c r="D24" s="16">
        <v>0.55000000000000004</v>
      </c>
      <c r="E24" s="58">
        <v>12092</v>
      </c>
      <c r="F24" s="21">
        <v>2393</v>
      </c>
      <c r="G24" s="58">
        <v>21399</v>
      </c>
      <c r="H24" s="15">
        <v>14528</v>
      </c>
      <c r="I24" s="57">
        <v>98131</v>
      </c>
      <c r="J24" s="57">
        <v>41688143</v>
      </c>
      <c r="K24" s="18"/>
      <c r="L24" s="31"/>
      <c r="M24" s="46"/>
    </row>
    <row r="25" spans="1:16" ht="12.75" customHeight="1" x14ac:dyDescent="0.25">
      <c r="A25" s="45">
        <v>44092</v>
      </c>
      <c r="B25" s="58">
        <v>869893</v>
      </c>
      <c r="C25" s="58">
        <v>1373926</v>
      </c>
      <c r="D25" s="26">
        <v>0.5</v>
      </c>
      <c r="E25" s="58">
        <v>12111</v>
      </c>
      <c r="F25" s="21">
        <v>2398</v>
      </c>
      <c r="G25" s="58">
        <v>21427</v>
      </c>
      <c r="H25" s="15">
        <v>14528</v>
      </c>
      <c r="I25" s="57">
        <v>98195</v>
      </c>
      <c r="J25" s="57">
        <v>41717930</v>
      </c>
      <c r="K25" s="25"/>
      <c r="L25" s="31"/>
      <c r="M25" s="46"/>
    </row>
    <row r="26" spans="1:16" ht="12.75" customHeight="1" x14ac:dyDescent="0.25">
      <c r="A26" s="45">
        <v>44093</v>
      </c>
      <c r="B26" s="58">
        <v>872723</v>
      </c>
      <c r="C26" s="58">
        <v>1379572</v>
      </c>
      <c r="D26" s="26">
        <v>0.45</v>
      </c>
      <c r="E26" s="58">
        <v>12132</v>
      </c>
      <c r="F26" s="21">
        <v>2403</v>
      </c>
      <c r="G26" s="58">
        <v>21453</v>
      </c>
      <c r="H26" s="15">
        <v>14528</v>
      </c>
      <c r="I26" s="57">
        <v>98258</v>
      </c>
      <c r="J26" s="57">
        <v>41747806</v>
      </c>
      <c r="K26" s="25"/>
      <c r="L26" s="31"/>
      <c r="M26" s="46"/>
    </row>
    <row r="27" spans="1:16" ht="12.75" customHeight="1" x14ac:dyDescent="0.25">
      <c r="A27" s="45">
        <v>44094</v>
      </c>
      <c r="B27" s="57">
        <v>875419</v>
      </c>
      <c r="C27" s="57">
        <v>1385172</v>
      </c>
      <c r="D27" s="16">
        <v>0.4</v>
      </c>
      <c r="E27" s="58">
        <v>12150</v>
      </c>
      <c r="F27" s="21">
        <v>2403</v>
      </c>
      <c r="G27" s="58">
        <v>21478</v>
      </c>
      <c r="H27" s="15">
        <v>14528</v>
      </c>
      <c r="I27" s="57">
        <v>98304</v>
      </c>
      <c r="J27" s="57">
        <v>41780642</v>
      </c>
      <c r="K27" s="18"/>
      <c r="L27" s="30"/>
      <c r="M27" s="46"/>
    </row>
    <row r="28" spans="1:16" ht="12.75" customHeight="1" x14ac:dyDescent="0.25">
      <c r="A28" s="45">
        <v>44095</v>
      </c>
      <c r="B28" s="59">
        <v>878313</v>
      </c>
      <c r="C28" s="57">
        <v>1390854</v>
      </c>
      <c r="D28" s="16">
        <v>0.35</v>
      </c>
      <c r="E28" s="58">
        <v>12169</v>
      </c>
      <c r="F28" s="21">
        <v>2407</v>
      </c>
      <c r="G28" s="58">
        <v>21504</v>
      </c>
      <c r="H28" s="15">
        <v>14528</v>
      </c>
      <c r="I28" s="57">
        <v>98361</v>
      </c>
      <c r="J28" s="57">
        <v>41814640</v>
      </c>
      <c r="K28" s="18"/>
      <c r="L28" s="30"/>
      <c r="M28" s="46"/>
    </row>
    <row r="29" spans="1:16" ht="12.75" customHeight="1" x14ac:dyDescent="0.25">
      <c r="A29" s="45">
        <v>44096</v>
      </c>
      <c r="B29" s="57">
        <v>881257</v>
      </c>
      <c r="C29" s="57">
        <v>1396485</v>
      </c>
      <c r="D29" s="16">
        <v>0.28000000000000003</v>
      </c>
      <c r="E29" s="58">
        <v>12189.91</v>
      </c>
      <c r="F29" s="21">
        <v>2412.88</v>
      </c>
      <c r="G29" s="58">
        <v>21529.21</v>
      </c>
      <c r="H29" s="15">
        <v>14528</v>
      </c>
      <c r="I29" s="57">
        <v>98430</v>
      </c>
      <c r="J29" s="57">
        <v>41848752</v>
      </c>
      <c r="K29" s="18"/>
      <c r="L29" s="30"/>
      <c r="M29" s="46"/>
      <c r="P29" s="6"/>
    </row>
    <row r="30" spans="1:16" ht="12.75" customHeight="1" x14ac:dyDescent="0.25">
      <c r="A30" s="45">
        <v>44097</v>
      </c>
      <c r="B30" s="57">
        <v>884293</v>
      </c>
      <c r="C30" s="57">
        <v>1402382</v>
      </c>
      <c r="D30" s="16">
        <v>0.81</v>
      </c>
      <c r="E30" s="58">
        <v>12215</v>
      </c>
      <c r="F30" s="21">
        <v>2417</v>
      </c>
      <c r="G30" s="58">
        <v>21554</v>
      </c>
      <c r="H30" s="15">
        <v>14528</v>
      </c>
      <c r="I30" s="57">
        <v>98484</v>
      </c>
      <c r="J30" s="57">
        <v>41883249</v>
      </c>
      <c r="K30" s="18">
        <v>4150</v>
      </c>
      <c r="L30" s="30"/>
      <c r="M30" s="46"/>
      <c r="P30" s="6"/>
    </row>
    <row r="31" spans="1:16" ht="12.75" customHeight="1" x14ac:dyDescent="0.25">
      <c r="A31" s="45">
        <v>44098</v>
      </c>
      <c r="B31" s="57">
        <v>887251</v>
      </c>
      <c r="C31" s="57">
        <v>1408013</v>
      </c>
      <c r="D31" s="16">
        <v>0.75</v>
      </c>
      <c r="E31" s="58">
        <v>12233</v>
      </c>
      <c r="F31" s="21">
        <v>2422</v>
      </c>
      <c r="G31" s="58">
        <v>21581</v>
      </c>
      <c r="H31" s="15">
        <v>14528</v>
      </c>
      <c r="I31" s="57">
        <v>98548</v>
      </c>
      <c r="J31" s="57">
        <v>41912811</v>
      </c>
      <c r="K31" s="18"/>
      <c r="L31" s="32"/>
      <c r="M31" s="46"/>
      <c r="P31" s="6"/>
    </row>
    <row r="32" spans="1:16" ht="12.75" customHeight="1" x14ac:dyDescent="0.25">
      <c r="A32" s="45">
        <v>44099</v>
      </c>
      <c r="B32" s="57">
        <v>890243</v>
      </c>
      <c r="C32" s="57">
        <v>1413663</v>
      </c>
      <c r="D32" s="16">
        <v>0.7</v>
      </c>
      <c r="E32" s="58">
        <v>12252</v>
      </c>
      <c r="F32" s="21">
        <v>2426</v>
      </c>
      <c r="G32" s="58">
        <v>21608</v>
      </c>
      <c r="H32" s="15">
        <v>14528</v>
      </c>
      <c r="I32" s="57">
        <v>98609</v>
      </c>
      <c r="J32" s="57">
        <v>41940936</v>
      </c>
      <c r="K32" s="18"/>
      <c r="L32" s="32"/>
      <c r="M32" s="46"/>
      <c r="P32" s="6"/>
    </row>
    <row r="33" spans="1:16" ht="12.75" customHeight="1" x14ac:dyDescent="0.25">
      <c r="A33" s="45">
        <v>44100</v>
      </c>
      <c r="B33" s="57">
        <v>893231</v>
      </c>
      <c r="C33" s="57">
        <v>1419175</v>
      </c>
      <c r="D33" s="16">
        <v>0.65</v>
      </c>
      <c r="E33" s="58">
        <v>12279</v>
      </c>
      <c r="F33" s="21">
        <v>2432</v>
      </c>
      <c r="G33" s="58">
        <v>21635</v>
      </c>
      <c r="H33" s="15">
        <v>14528</v>
      </c>
      <c r="I33" s="57">
        <v>98676</v>
      </c>
      <c r="J33" s="57">
        <v>41968229</v>
      </c>
      <c r="K33" s="18"/>
      <c r="L33" s="30"/>
      <c r="M33" s="46"/>
      <c r="P33" s="6"/>
    </row>
    <row r="34" spans="1:16" ht="12.75" customHeight="1" x14ac:dyDescent="0.25">
      <c r="A34" s="45">
        <v>44101</v>
      </c>
      <c r="B34" s="58">
        <v>896100</v>
      </c>
      <c r="C34" s="60">
        <v>1424565</v>
      </c>
      <c r="D34" s="26">
        <v>0.6</v>
      </c>
      <c r="E34" s="58">
        <v>12300</v>
      </c>
      <c r="F34" s="21">
        <v>2432</v>
      </c>
      <c r="G34" s="58">
        <v>21661</v>
      </c>
      <c r="H34" s="15">
        <v>14528</v>
      </c>
      <c r="I34" s="58">
        <v>98732</v>
      </c>
      <c r="J34" s="58">
        <v>41997786</v>
      </c>
      <c r="K34" s="18"/>
      <c r="L34" s="30"/>
      <c r="M34" s="46"/>
    </row>
    <row r="35" spans="1:16" ht="12.75" customHeight="1" x14ac:dyDescent="0.25">
      <c r="A35" s="45">
        <v>44102</v>
      </c>
      <c r="B35" s="15">
        <v>899030</v>
      </c>
      <c r="C35" s="62">
        <v>1429813</v>
      </c>
      <c r="D35" s="16">
        <v>0.55000000000000004</v>
      </c>
      <c r="E35" s="17">
        <v>12318</v>
      </c>
      <c r="F35" s="17">
        <v>2436</v>
      </c>
      <c r="G35" s="17">
        <v>21687</v>
      </c>
      <c r="H35" s="15">
        <v>14528</v>
      </c>
      <c r="I35" s="15">
        <v>98787</v>
      </c>
      <c r="J35" s="15">
        <v>42028176</v>
      </c>
      <c r="K35" s="18"/>
      <c r="L35" s="30"/>
      <c r="M35" s="46"/>
    </row>
    <row r="36" spans="1:16" ht="12.75" customHeight="1" x14ac:dyDescent="0.25">
      <c r="A36" s="45">
        <v>44103</v>
      </c>
      <c r="B36" s="15">
        <v>901940</v>
      </c>
      <c r="C36" s="62">
        <v>1435114</v>
      </c>
      <c r="D36" s="16">
        <v>0.46</v>
      </c>
      <c r="E36" s="17">
        <v>12335.92</v>
      </c>
      <c r="F36" s="17">
        <v>2442.59</v>
      </c>
      <c r="G36" s="17">
        <v>21711.94</v>
      </c>
      <c r="H36" s="15">
        <v>14528</v>
      </c>
      <c r="I36" s="15">
        <v>98838</v>
      </c>
      <c r="J36" s="15">
        <v>42058997</v>
      </c>
      <c r="K36" s="18"/>
      <c r="L36" s="30"/>
      <c r="M36" s="46"/>
    </row>
    <row r="37" spans="1:16" s="22" customFormat="1" ht="12.75" customHeight="1" x14ac:dyDescent="0.25">
      <c r="A37" s="45">
        <v>44104</v>
      </c>
      <c r="B37" s="15">
        <v>905004</v>
      </c>
      <c r="C37" s="15">
        <v>1440560</v>
      </c>
      <c r="D37" s="16">
        <v>0.44</v>
      </c>
      <c r="E37" s="17">
        <v>12353</v>
      </c>
      <c r="F37" s="17">
        <v>2447</v>
      </c>
      <c r="G37" s="17">
        <v>21739</v>
      </c>
      <c r="H37" s="15">
        <v>14528</v>
      </c>
      <c r="I37" s="15">
        <v>98896</v>
      </c>
      <c r="J37" s="15">
        <v>42086859</v>
      </c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86941</v>
      </c>
      <c r="C38" s="33">
        <f>C37-C7</f>
        <v>166255</v>
      </c>
      <c r="D38" s="33"/>
      <c r="E38" s="33">
        <f>E37-E7</f>
        <v>613.38999999999942</v>
      </c>
      <c r="F38" s="33">
        <f>F37-F7</f>
        <v>127.26000000000022</v>
      </c>
      <c r="G38" s="33">
        <f>G37-G7</f>
        <v>806.54000000000087</v>
      </c>
      <c r="H38" s="33">
        <f t="shared" ref="E38:J38" si="0">H37-H7</f>
        <v>0</v>
      </c>
      <c r="I38" s="33">
        <f>I37-I7</f>
        <v>1767</v>
      </c>
      <c r="J38" s="33">
        <f>J37-J7</f>
        <v>926961</v>
      </c>
      <c r="K38" s="33">
        <f>SUM(K7:K37)</f>
        <v>12600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/>
      <c r="I39" s="33">
        <f>I38*219.969</f>
        <v>388685.223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/>
      <c r="I40" s="33">
        <f>I39*219.969</f>
        <v>85498699.818086997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2020-09-30T05:35:19Z</dcterms:modified>
</cp:coreProperties>
</file>