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4" i="1"/>
  <c r="U35"/>
  <c r="U36"/>
  <c r="U37"/>
  <c r="B31" i="23"/>
  <c r="G77" i="22"/>
  <c r="I77" s="1"/>
  <c r="B77"/>
  <c r="D77" s="1"/>
  <c r="F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I47"/>
  <c r="K47" s="1"/>
  <c r="G47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D20"/>
  <c r="F20" s="1"/>
  <c r="B20"/>
  <c r="I19"/>
  <c r="K19" s="1"/>
  <c r="G19"/>
  <c r="B19"/>
  <c r="D19" s="1"/>
  <c r="F19" s="1"/>
  <c r="G18"/>
  <c r="I18" s="1"/>
  <c r="B18"/>
  <c r="D18" s="1"/>
  <c r="F18" s="1"/>
  <c r="G17"/>
  <c r="I17" s="1"/>
  <c r="B17"/>
  <c r="D17" s="1"/>
  <c r="F17" s="1"/>
  <c r="G16"/>
  <c r="I16" s="1"/>
  <c r="D16"/>
  <c r="F16" s="1"/>
  <c r="B16"/>
  <c r="I15"/>
  <c r="K15" s="1"/>
  <c r="G15"/>
  <c r="B15"/>
  <c r="D15" s="1"/>
  <c r="F15" s="1"/>
  <c r="G14"/>
  <c r="I14" s="1"/>
  <c r="B14"/>
  <c r="D14" s="1"/>
  <c r="F14" s="1"/>
  <c r="G13"/>
  <c r="I13" s="1"/>
  <c r="B13"/>
  <c r="D13" s="1"/>
  <c r="F13" s="1"/>
  <c r="G12"/>
  <c r="I12" s="1"/>
  <c r="D12"/>
  <c r="F12" s="1"/>
  <c r="B12"/>
  <c r="I11"/>
  <c r="K11" s="1"/>
  <c r="G11"/>
  <c r="B11"/>
  <c r="D11" s="1"/>
  <c r="F11" s="1"/>
  <c r="G10"/>
  <c r="I10" s="1"/>
  <c r="B10"/>
  <c r="D10" s="1"/>
  <c r="F10" s="1"/>
  <c r="I9"/>
  <c r="K9" s="1"/>
  <c r="B9"/>
  <c r="D9" s="1"/>
  <c r="F9" s="1"/>
  <c r="G8"/>
  <c r="I8" s="1"/>
  <c r="K8" s="1"/>
  <c r="B8"/>
  <c r="D8" s="1"/>
  <c r="F8" s="1"/>
  <c r="G7"/>
  <c r="I7" s="1"/>
  <c r="K7" s="1"/>
  <c r="B7"/>
  <c r="D7" s="1"/>
  <c r="F7" s="1"/>
  <c r="G6"/>
  <c r="I6" s="1"/>
  <c r="K6" s="1"/>
  <c r="B6"/>
  <c r="D6" s="1"/>
  <c r="F6" s="1"/>
  <c r="G5"/>
  <c r="I5" s="1"/>
  <c r="K5" s="1"/>
  <c r="B5"/>
  <c r="D5" s="1"/>
  <c r="F5" s="1"/>
  <c r="G4"/>
  <c r="I4" s="1"/>
  <c r="K4" s="1"/>
  <c r="B4"/>
  <c r="D4" s="1"/>
  <c r="F4" s="1"/>
  <c r="I3"/>
  <c r="K3" s="1"/>
  <c r="D3"/>
  <c r="F3" s="1"/>
  <c r="K14" l="1"/>
  <c r="L14"/>
  <c r="K17"/>
  <c r="L17"/>
  <c r="L20"/>
  <c r="K20"/>
  <c r="L25"/>
  <c r="F25"/>
  <c r="L33"/>
  <c r="F33"/>
  <c r="L37"/>
  <c r="F37"/>
  <c r="L41"/>
  <c r="F41"/>
  <c r="L49"/>
  <c r="F49"/>
  <c r="L53"/>
  <c r="F53"/>
  <c r="L57"/>
  <c r="F57"/>
  <c r="L65"/>
  <c r="F65"/>
  <c r="L69"/>
  <c r="F69"/>
  <c r="L73"/>
  <c r="F73"/>
  <c r="L24"/>
  <c r="K24"/>
  <c r="L28"/>
  <c r="K28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K10"/>
  <c r="L10"/>
  <c r="K13"/>
  <c r="L13"/>
  <c r="L16"/>
  <c r="K16"/>
  <c r="K18"/>
  <c r="L18"/>
  <c r="K21"/>
  <c r="L21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7"/>
  <c r="L77"/>
  <c r="L12"/>
  <c r="K12"/>
  <c r="L45"/>
  <c r="F45"/>
  <c r="L61"/>
  <c r="F61"/>
  <c r="L29"/>
  <c r="F29"/>
  <c r="L11"/>
  <c r="L15"/>
  <c r="L19"/>
  <c r="L23"/>
  <c r="L27"/>
  <c r="L31"/>
  <c r="L35"/>
  <c r="L39"/>
  <c r="L43"/>
  <c r="L47"/>
  <c r="L51"/>
  <c r="L55"/>
  <c r="L59"/>
  <c r="L63"/>
  <c r="L67"/>
  <c r="L71"/>
  <c r="L75"/>
  <c r="B28" i="23" l="1"/>
  <c r="F28" i="3"/>
  <c r="F29"/>
  <c r="I29"/>
  <c r="J25" i="12"/>
  <c r="J26"/>
  <c r="J27"/>
  <c r="J28"/>
  <c r="J29"/>
  <c r="J30"/>
  <c r="J31"/>
  <c r="J32"/>
  <c r="J33"/>
  <c r="J34"/>
  <c r="J35"/>
  <c r="J36"/>
  <c r="L25"/>
  <c r="L26"/>
  <c r="L27"/>
  <c r="L28"/>
  <c r="L29"/>
  <c r="L30"/>
  <c r="L31"/>
  <c r="L32"/>
  <c r="L33"/>
  <c r="L34"/>
  <c r="L35"/>
  <c r="L3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J7"/>
  <c r="J8"/>
  <c r="J9"/>
  <c r="J10"/>
  <c r="J11"/>
  <c r="J12"/>
  <c r="J13"/>
  <c r="J14"/>
  <c r="J15"/>
  <c r="J16"/>
  <c r="J17"/>
  <c r="J18"/>
  <c r="J19"/>
  <c r="J20"/>
  <c r="J21"/>
  <c r="J22"/>
  <c r="J23"/>
  <c r="J24"/>
  <c r="L6"/>
  <c r="J6"/>
  <c r="F4" i="18"/>
  <c r="X4"/>
  <c r="M7" i="12" l="1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6"/>
  <c r="I16" i="3"/>
  <c r="I17"/>
  <c r="I18"/>
  <c r="I19"/>
  <c r="H15" i="23"/>
  <c r="H16"/>
  <c r="H17"/>
  <c r="H21"/>
  <c r="K11" i="11"/>
  <c r="K12"/>
  <c r="K13"/>
  <c r="K14"/>
  <c r="J19" i="18"/>
  <c r="J15"/>
  <c r="J16"/>
  <c r="J17"/>
  <c r="J13" i="23"/>
  <c r="H34"/>
  <c r="I34"/>
  <c r="J34"/>
  <c r="H35"/>
  <c r="I35"/>
  <c r="J35"/>
  <c r="H36"/>
  <c r="J36"/>
  <c r="C15"/>
  <c r="C16"/>
  <c r="C18"/>
  <c r="C19"/>
  <c r="C22"/>
  <c r="C25"/>
  <c r="C26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D46" i="3"/>
  <c r="F46"/>
  <c r="H46"/>
  <c r="J46"/>
  <c r="B13" i="14"/>
  <c r="B14"/>
  <c r="B15"/>
  <c r="B16"/>
  <c r="AC19" i="13" l="1"/>
  <c r="H18" i="23" s="1"/>
  <c r="AC20" i="13"/>
  <c r="H19" i="23" s="1"/>
  <c r="AC21" i="13"/>
  <c r="H20" i="23" s="1"/>
  <c r="AC22" i="13"/>
  <c r="L15" i="3"/>
  <c r="L16"/>
  <c r="L17"/>
  <c r="L18"/>
  <c r="L19"/>
  <c r="L20"/>
  <c r="L21"/>
  <c r="L22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O4" i="18" l="1"/>
  <c r="O5"/>
  <c r="O6"/>
  <c r="Q7" s="1"/>
  <c r="O7"/>
  <c r="Q8" s="1"/>
  <c r="O8"/>
  <c r="O9"/>
  <c r="O10"/>
  <c r="Q11" s="1"/>
  <c r="O11"/>
  <c r="Q12" s="1"/>
  <c r="O12"/>
  <c r="O13"/>
  <c r="O14"/>
  <c r="Q15" s="1"/>
  <c r="O15"/>
  <c r="Q16" s="1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8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K6"/>
  <c r="N7"/>
  <c r="J4" i="18"/>
  <c r="J3"/>
  <c r="F33" i="10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Q5"/>
  <c r="Q6"/>
  <c r="Q9"/>
  <c r="Q10"/>
  <c r="Q13"/>
  <c r="Q14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D36" i="23" s="1"/>
  <c r="T43" i="1"/>
  <c r="T44"/>
  <c r="G34" i="15"/>
  <c r="L29" i="10" s="1"/>
  <c r="G35" i="15"/>
  <c r="L30" i="10" s="1"/>
  <c r="F30"/>
  <c r="F29"/>
  <c r="F30" i="3"/>
  <c r="G32" i="15"/>
  <c r="L27" i="10" s="1"/>
  <c r="G35" l="1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7" i="3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N20" i="12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16"/>
  <c r="P16" s="1"/>
  <c r="N17"/>
  <c r="P17" s="1"/>
  <c r="N18"/>
  <c r="P18" s="1"/>
  <c r="N19"/>
  <c r="P19" s="1"/>
  <c r="N15"/>
  <c r="P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AK44" i="1"/>
  <c r="AS44" s="1"/>
  <c r="AT44" s="1"/>
  <c r="K18" i="14" l="1"/>
  <c r="K19"/>
  <c r="K20"/>
  <c r="D58" i="3"/>
  <c r="Q17" i="12"/>
  <c r="S17" s="1"/>
  <c r="E16" i="3"/>
  <c r="K15" i="11" s="1"/>
  <c r="K10" i="3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N9" i="12"/>
  <c r="P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U23"/>
  <c r="AK23"/>
  <c r="C17" i="23" s="1"/>
  <c r="U24" i="1"/>
  <c r="F18" i="10" s="1"/>
  <c r="AK24" i="1"/>
  <c r="U25"/>
  <c r="F19" i="10" s="1"/>
  <c r="AK25" i="1"/>
  <c r="U26"/>
  <c r="F20" i="10" s="1"/>
  <c r="AK26" i="1"/>
  <c r="C20" i="23" s="1"/>
  <c r="U27" i="1"/>
  <c r="AK27"/>
  <c r="C21" i="23" s="1"/>
  <c r="U28" i="1"/>
  <c r="F22" i="10" s="1"/>
  <c r="AK28" i="1"/>
  <c r="U29"/>
  <c r="AK29"/>
  <c r="C23" i="23" s="1"/>
  <c r="U30" i="1"/>
  <c r="AK30"/>
  <c r="C24" i="23" s="1"/>
  <c r="U31" i="1"/>
  <c r="AK31"/>
  <c r="U32"/>
  <c r="AK32"/>
  <c r="U33"/>
  <c r="AK33"/>
  <c r="C27" i="23" s="1"/>
  <c r="AK34" i="1"/>
  <c r="C28" i="23" s="1"/>
  <c r="AK35" i="1"/>
  <c r="C29" i="23" s="1"/>
  <c r="AK36" i="1"/>
  <c r="AK37"/>
  <c r="U38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38" l="1"/>
  <c r="F32" i="10"/>
  <c r="V37" i="1"/>
  <c r="F31" i="10"/>
  <c r="V34" i="1"/>
  <c r="F28" i="10"/>
  <c r="V33" i="1"/>
  <c r="F27" i="10"/>
  <c r="V32" i="1"/>
  <c r="F26" i="10"/>
  <c r="V31" i="1"/>
  <c r="F25" i="10"/>
  <c r="V30" i="1"/>
  <c r="F24" i="10"/>
  <c r="V29" i="1"/>
  <c r="F23" i="10"/>
  <c r="V27" i="1"/>
  <c r="F21" i="10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T21" s="1"/>
  <c r="AS36"/>
  <c r="AS29"/>
  <c r="AT29" s="1"/>
  <c r="AS17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G29"/>
  <c r="L24" i="10" s="1"/>
  <c r="G30" i="15"/>
  <c r="L25" i="10" s="1"/>
  <c r="G31" i="15"/>
  <c r="L26" i="10" s="1"/>
  <c r="G33" i="15"/>
  <c r="L28" i="10" s="1"/>
  <c r="G36" i="15"/>
  <c r="L31" i="10" s="1"/>
  <c r="G37" i="15"/>
  <c r="L32" i="10" s="1"/>
  <c r="G38" i="15"/>
  <c r="L33" i="10" s="1"/>
  <c r="G39" i="15"/>
  <c r="G40"/>
  <c r="J28" l="1"/>
  <c r="L23" i="10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Z7" i="12"/>
  <c r="AB7" s="1"/>
  <c r="Z8"/>
  <c r="AB8" s="1"/>
  <c r="Z9"/>
  <c r="AB9" s="1"/>
  <c r="Z10"/>
  <c r="AB10" s="1"/>
  <c r="Z11"/>
  <c r="AB11" s="1"/>
  <c r="Z12"/>
  <c r="AB12" s="1"/>
  <c r="Z13"/>
  <c r="AB13" s="1"/>
  <c r="Z14"/>
  <c r="AB14" s="1"/>
  <c r="Z15"/>
  <c r="AB15" s="1"/>
  <c r="Z16"/>
  <c r="AB16" s="1"/>
  <c r="Z17"/>
  <c r="AB17" s="1"/>
  <c r="Z18"/>
  <c r="AB18" s="1"/>
  <c r="Z19"/>
  <c r="AB19" s="1"/>
  <c r="Z20"/>
  <c r="AB20" s="1"/>
  <c r="Z21"/>
  <c r="AB21" s="1"/>
  <c r="Z22"/>
  <c r="AB22" s="1"/>
  <c r="Z23"/>
  <c r="AB23" s="1"/>
  <c r="Z24"/>
  <c r="AB24" s="1"/>
  <c r="Z25"/>
  <c r="AB25" s="1"/>
  <c r="Z26"/>
  <c r="AB26" s="1"/>
  <c r="Z27"/>
  <c r="AB27" s="1"/>
  <c r="Z28"/>
  <c r="AB28" s="1"/>
  <c r="Z29"/>
  <c r="AB29" s="1"/>
  <c r="Z30"/>
  <c r="AB30" s="1"/>
  <c r="Z31"/>
  <c r="AB31" s="1"/>
  <c r="Z32"/>
  <c r="AB32" s="1"/>
  <c r="Z33"/>
  <c r="AB33" s="1"/>
  <c r="Z34"/>
  <c r="AB34" s="1"/>
  <c r="Z35"/>
  <c r="AB35" s="1"/>
  <c r="Z36"/>
  <c r="AB36" s="1"/>
  <c r="Z37"/>
  <c r="AB37" s="1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10"/>
  <c r="P10" s="1"/>
  <c r="N11"/>
  <c r="P11" s="1"/>
  <c r="N12"/>
  <c r="P12" s="1"/>
  <c r="N13"/>
  <c r="P13" s="1"/>
  <c r="N14"/>
  <c r="P14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Z6"/>
  <c r="AB6" s="1"/>
  <c r="W6"/>
  <c r="Y6" s="1"/>
  <c r="T6"/>
  <c r="V6" s="1"/>
  <c r="Q6"/>
  <c r="S6" s="1"/>
  <c r="N6"/>
  <c r="P6" s="1"/>
  <c r="AC26" l="1"/>
  <c r="AC18"/>
  <c r="AC17"/>
  <c r="AC13"/>
  <c r="AC9"/>
  <c r="AC7"/>
  <c r="AC14"/>
  <c r="AC10"/>
  <c r="AC20"/>
  <c r="AC11"/>
  <c r="AC25"/>
  <c r="AC16"/>
  <c r="AC19"/>
  <c r="AC15"/>
  <c r="AC12"/>
  <c r="AC8"/>
  <c r="AC24"/>
  <c r="AC23"/>
  <c r="AC21"/>
  <c r="AC22"/>
  <c r="AC30"/>
  <c r="AC37"/>
  <c r="AC35"/>
  <c r="AC27"/>
  <c r="AC36"/>
  <c r="AC29"/>
  <c r="AC34"/>
  <c r="AC33"/>
  <c r="AC28"/>
  <c r="AC32"/>
  <c r="AC31"/>
  <c r="I6" i="3"/>
  <c r="Q6"/>
  <c r="O6"/>
  <c r="Q5"/>
  <c r="L6"/>
  <c r="AC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Q17"/>
  <c r="R17" s="1"/>
  <c r="U17"/>
  <c r="V17" s="1"/>
  <c r="Y17"/>
  <c r="Z17" s="1"/>
  <c r="AA17" s="1"/>
  <c r="AC17"/>
  <c r="R18"/>
  <c r="U18"/>
  <c r="V18" s="1"/>
  <c r="Y18"/>
  <c r="Z18" s="1"/>
  <c r="AA18" s="1"/>
  <c r="AC18"/>
  <c r="R19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l="1"/>
  <c r="K16" i="11"/>
  <c r="F17" i="23"/>
  <c r="K17" i="11"/>
  <c r="F18" i="23"/>
  <c r="K18" i="11"/>
  <c r="F30" i="23"/>
  <c r="K30" i="10"/>
  <c r="F31" i="23"/>
  <c r="K31" i="10"/>
  <c r="F36" i="23"/>
  <c r="K36" i="10"/>
  <c r="F32" i="23"/>
  <c r="K32" i="10"/>
  <c r="F28" i="23"/>
  <c r="K28" i="10"/>
  <c r="F24" i="23"/>
  <c r="K24" i="10"/>
  <c r="F34" i="23"/>
  <c r="K34" i="10"/>
  <c r="F35" i="23"/>
  <c r="K35" i="10"/>
  <c r="F27" i="23"/>
  <c r="K27" i="10"/>
  <c r="F33" i="23"/>
  <c r="K33" i="10"/>
  <c r="F29" i="23"/>
  <c r="K29" i="10"/>
  <c r="F25" i="23"/>
  <c r="K25" i="10"/>
  <c r="F21" i="23"/>
  <c r="K21" i="10"/>
  <c r="F26" i="23"/>
  <c r="K26" i="10"/>
  <c r="F22" i="23"/>
  <c r="K22" i="10"/>
  <c r="F23" i="23"/>
  <c r="K23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C43" i="1"/>
  <c r="AF23" i="12" l="1"/>
  <c r="AF18"/>
  <c r="AF19"/>
  <c r="AF20"/>
  <c r="AF21"/>
  <c r="AF22"/>
  <c r="AF15"/>
  <c r="D14" i="23"/>
  <c r="AF13" i="12"/>
  <c r="D12" i="23"/>
  <c r="AF14" i="12"/>
  <c r="D13" i="23"/>
  <c r="AF16" i="12"/>
  <c r="AF17"/>
  <c r="AF12"/>
  <c r="D11" i="23"/>
  <c r="AF11" i="12"/>
  <c r="D10" i="23"/>
  <c r="AF10" i="12"/>
  <c r="D9" i="23"/>
  <c r="AF9" i="12"/>
  <c r="D8" i="23"/>
  <c r="AF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D17" i="18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J5"/>
  <c r="X3" i="18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T33"/>
  <c r="Q33"/>
  <c r="P33"/>
  <c r="Q32"/>
  <c r="P32"/>
  <c r="Q31"/>
  <c r="P31"/>
  <c r="Q30"/>
  <c r="P30"/>
  <c r="Q29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M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F6" i="12"/>
  <c r="F6" i="11"/>
  <c r="G6"/>
  <c r="F5"/>
  <c r="S29" i="14" l="1"/>
  <c r="S37"/>
  <c r="R21"/>
  <c r="A1" i="12"/>
  <c r="I3" i="1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X15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E12" i="14"/>
  <c r="O12" s="1"/>
  <c r="J30" i="13"/>
  <c r="G35" i="11"/>
  <c r="AF35" i="12"/>
  <c r="I11" i="23"/>
  <c r="G32" i="14"/>
  <c r="G36"/>
  <c r="G31"/>
  <c r="G35"/>
  <c r="G30"/>
  <c r="G34"/>
  <c r="G37"/>
  <c r="G29"/>
  <c r="G33"/>
  <c r="I9" i="23"/>
  <c r="I8"/>
  <c r="E8" i="14"/>
  <c r="O8" s="1"/>
  <c r="I7" i="23"/>
  <c r="AF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F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F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F27" i="12"/>
  <c r="J27" i="13"/>
  <c r="C28" i="14"/>
  <c r="F29" i="11"/>
  <c r="K30" i="13"/>
  <c r="H29" i="11"/>
  <c r="AF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F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F28" i="12"/>
  <c r="G29" i="11"/>
  <c r="J28" i="13"/>
  <c r="D29" i="14"/>
  <c r="N29" s="1"/>
  <c r="R29" s="1"/>
  <c r="AF29" i="12"/>
  <c r="J29" i="13"/>
  <c r="K31"/>
  <c r="H30" i="11"/>
  <c r="D33" i="14"/>
  <c r="N33" s="1"/>
  <c r="R33" s="1"/>
  <c r="AF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F26" i="12"/>
  <c r="J26" i="13"/>
  <c r="E28" i="14"/>
  <c r="O28" s="1"/>
  <c r="K28" i="13"/>
  <c r="H27" i="11"/>
  <c r="E29" i="14"/>
  <c r="O29" s="1"/>
  <c r="H28" i="11"/>
  <c r="K29" i="13"/>
  <c r="AF31" i="12"/>
  <c r="J31" i="13"/>
  <c r="C32" i="14"/>
  <c r="F33" i="11"/>
  <c r="E33" i="14"/>
  <c r="O33" s="1"/>
  <c r="H32" i="11"/>
  <c r="K33" i="13"/>
  <c r="C35" i="14"/>
  <c r="P14" i="25"/>
  <c r="I18" i="14"/>
  <c r="N18" i="13"/>
  <c r="N19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F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F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P12" i="25"/>
  <c r="I16" i="14"/>
  <c r="L15" i="11"/>
  <c r="G31"/>
  <c r="D30" i="14"/>
  <c r="N30" s="1"/>
  <c r="R30" s="1"/>
  <c r="AF30" i="12"/>
  <c r="F30" i="14"/>
  <c r="H14" i="11"/>
  <c r="I14" s="1"/>
  <c r="K15" i="13"/>
  <c r="L15" s="1"/>
  <c r="F16" i="11"/>
  <c r="L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H11" i="11"/>
  <c r="I11" s="1"/>
  <c r="K12" i="13"/>
  <c r="L12" s="1"/>
  <c r="C12" i="14"/>
  <c r="P8" i="25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9"/>
  <c r="B20"/>
  <c r="B21"/>
  <c r="B22"/>
  <c r="B23"/>
  <c r="B24"/>
  <c r="B25"/>
  <c r="B26"/>
  <c r="B27"/>
  <c r="B29"/>
  <c r="B30"/>
  <c r="B32"/>
  <c r="B33"/>
  <c r="B34"/>
  <c r="B35"/>
  <c r="B5"/>
  <c r="X32" i="25" l="1"/>
  <c r="K32" i="26"/>
  <c r="F30" i="25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C17" i="12" s="1"/>
  <c r="AU21" i="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17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T 818 CBX and T 466 DNY. </t>
        </r>
      </text>
    </comment>
  </commentList>
</comments>
</file>

<file path=xl/sharedStrings.xml><?xml version="1.0" encoding="utf-8"?>
<sst xmlns="http://schemas.openxmlformats.org/spreadsheetml/2006/main" count="562" uniqueCount="337">
  <si>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</si>
  <si>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</si>
  <si>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</si>
  <si>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</si>
  <si>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</si>
  <si>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</si>
  <si>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</si>
  <si>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</si>
  <si>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</si>
  <si>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</si>
  <si>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</si>
  <si>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</si>
  <si>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</si>
  <si>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</si>
  <si>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</si>
  <si>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</si>
  <si>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</si>
  <si>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</si>
  <si>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</si>
  <si>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</si>
  <si>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</si>
  <si>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</si>
  <si>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</si>
  <si>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</si>
  <si>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</si>
  <si>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</si>
  <si>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</si>
  <si>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</si>
  <si>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</si>
  <si>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</si>
  <si>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</si>
  <si>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</si>
  <si>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</si>
  <si>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</si>
  <si>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</si>
  <si>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</si>
  <si>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</si>
  <si>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</si>
  <si>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</si>
  <si>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</si>
  <si>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</si>
  <si>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</si>
  <si>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</si>
  <si>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</si>
  <si>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</si>
  <si>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</si>
  <si>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</si>
  <si>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</si>
  <si>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</si>
  <si>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</si>
  <si>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</si>
  <si>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</si>
  <si>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</si>
  <si>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</si>
  <si>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</si>
  <si>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</si>
  <si>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</si>
  <si>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</si>
  <si>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</si>
  <si>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</si>
  <si>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</si>
  <si>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</si>
  <si>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</si>
  <si>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</si>
  <si>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</si>
  <si>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</si>
  <si>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</si>
  <si>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</si>
  <si>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</si>
  <si>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</si>
  <si>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</si>
  <si>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</si>
  <si>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</si>
  <si>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</si>
  <si>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</si>
  <si>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</si>
  <si>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</si>
  <si>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</si>
  <si>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</si>
  <si>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</si>
  <si>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</si>
  <si>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</si>
  <si>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</si>
  <si>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</si>
  <si>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</si>
  <si>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</si>
  <si>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</si>
  <si>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</si>
  <si>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</si>
  <si>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</si>
  <si>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</si>
  <si>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</si>
  <si>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</si>
  <si>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</si>
  <si>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</si>
  <si>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</si>
  <si>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</si>
  <si>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</si>
  <si>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</si>
  <si>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</si>
  <si>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</si>
  <si>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</si>
  <si>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</si>
  <si>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</si>
  <si>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</si>
  <si>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</si>
  <si>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</si>
  <si>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</si>
  <si>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</si>
  <si>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</si>
  <si>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</si>
  <si>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</si>
  <si>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</si>
  <si>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</si>
  <si>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</si>
  <si>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</si>
  <si>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</si>
  <si>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</si>
  <si>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</si>
  <si>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</si>
  <si>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</si>
  <si>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</si>
  <si>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</si>
  <si>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</si>
  <si>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</si>
  <si>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</si>
  <si>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</si>
  <si>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</si>
  <si>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</si>
  <si>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</si>
  <si>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</si>
  <si>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</si>
  <si>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</si>
  <si>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</si>
  <si>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</si>
  <si>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</si>
  <si>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</si>
  <si>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</si>
  <si>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</si>
  <si>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</si>
  <si>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</si>
  <si>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</si>
  <si>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</si>
  <si>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</si>
  <si>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</si>
  <si>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</si>
  <si>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</si>
  <si>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</si>
  <si>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</si>
  <si>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</si>
  <si>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</si>
  <si>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</si>
  <si>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</si>
  <si>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</si>
  <si>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</si>
  <si>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</si>
  <si>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</si>
  <si>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</si>
  <si>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</si>
  <si>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</si>
  <si>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</si>
  <si>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</si>
  <si>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</si>
  <si>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</si>
  <si>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</si>
  <si>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</si>
  <si>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</si>
  <si>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</si>
  <si>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</si>
  <si>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</si>
  <si>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</si>
  <si>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</si>
  <si>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</si>
  <si>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</si>
  <si>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</si>
  <si>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</si>
  <si>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</si>
  <si>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</si>
  <si>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</si>
  <si>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</si>
  <si>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</si>
  <si>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</si>
  <si>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</si>
  <si>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</si>
  <si>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</si>
  <si>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</si>
  <si>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</si>
  <si>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</si>
  <si>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</si>
  <si>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</si>
  <si>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</si>
  <si>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</si>
  <si>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</si>
  <si>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</si>
  <si>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</si>
  <si>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</si>
  <si>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</si>
  <si>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</si>
  <si>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</si>
  <si>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</si>
  <si>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</si>
  <si>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</si>
  <si>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</si>
  <si>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</si>
  <si>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</si>
  <si>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</si>
  <si>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</si>
  <si>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</si>
  <si>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</si>
  <si>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</si>
  <si>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</si>
  <si>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</si>
  <si>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</si>
  <si>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</si>
  <si>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</si>
  <si>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</si>
  <si>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</si>
  <si>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</si>
  <si>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</si>
  <si>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</si>
  <si>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</si>
  <si>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</si>
  <si>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</si>
  <si>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</si>
  <si>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</si>
  <si>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</si>
  <si>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</si>
  <si>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</si>
  <si>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</si>
  <si>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</si>
  <si>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</si>
  <si>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</si>
  <si>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</si>
  <si>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</si>
  <si>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</si>
  <si>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</si>
  <si>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</si>
  <si>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</si>
  <si>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</si>
  <si>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</si>
  <si>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</si>
  <si>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</si>
  <si>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</si>
  <si>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</si>
  <si>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</si>
  <si>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</si>
  <si>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</si>
  <si>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</si>
  <si>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</si>
  <si>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</si>
  <si>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</si>
  <si>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</si>
  <si>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</si>
  <si>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</si>
  <si>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</si>
  <si>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</si>
  <si>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</si>
  <si>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</si>
  <si>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</si>
  <si>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</si>
  <si>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</si>
  <si>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</si>
  <si>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</si>
  <si>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</si>
  <si>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</si>
  <si>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</si>
  <si>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</si>
  <si>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</si>
  <si>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</si>
  <si>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</si>
  <si>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</si>
  <si>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</si>
  <si>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</si>
  <si>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</si>
  <si>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</si>
  <si>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</si>
  <si>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</si>
  <si>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</si>
  <si>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</si>
  <si>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</si>
  <si>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</si>
  <si>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</si>
  <si>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</si>
  <si>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</si>
  <si>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</si>
  <si>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</si>
  <si>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</si>
  <si>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</si>
  <si>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</si>
  <si>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</si>
  <si>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</si>
  <si>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</si>
  <si>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</si>
  <si>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</si>
  <si>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</si>
  <si>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</si>
  <si>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</si>
  <si>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</si>
  <si>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</si>
  <si>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</si>
  <si>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</si>
  <si>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</si>
  <si>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</si>
  <si>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</si>
  <si>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</si>
  <si>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</si>
  <si>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</si>
  <si>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</si>
  <si>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</si>
  <si>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</si>
  <si>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</si>
  <si>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</si>
  <si>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</si>
  <si>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</si>
  <si>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</si>
  <si>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</si>
  <si>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</si>
  <si>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</si>
  <si>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</si>
  <si>
    <t>Emanuel</t>
  </si>
  <si>
    <t>Noel</t>
  </si>
  <si>
    <t xml:space="preserve"> T818 CBX</t>
  </si>
  <si>
    <t>Sita</t>
  </si>
  <si>
    <t>Cssh paid</t>
  </si>
  <si>
    <t>T466DNY</t>
  </si>
  <si>
    <t>Abdullah</t>
  </si>
  <si>
    <t>Jeremiah</t>
  </si>
  <si>
    <t>T 111 CWQ</t>
  </si>
  <si>
    <t>T 880 DKQ</t>
  </si>
  <si>
    <t>T 391 DQR</t>
  </si>
  <si>
    <t>Hassan</t>
  </si>
  <si>
    <t>M-R LV PANEL 1. KWH</t>
  </si>
  <si>
    <t>M-R LV PANEL 2. KWH</t>
  </si>
  <si>
    <t>KWH PRODUCTIONS</t>
  </si>
  <si>
    <t>TOTAL KWH PRODUCTIONS</t>
  </si>
  <si>
    <t>X200</t>
  </si>
  <si>
    <t>Kswa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</si>
</sst>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6" xfId="0" applyNumberFormat="1" applyFont="1" applyFill="1" applyBorder="1" applyAlignment="1">
      <alignment horizontal="center"/>
    </xf>
    <xf numFmtId="0" fontId="4" fillId="34" borderId="99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4" fontId="0" fillId="0" borderId="26" xfId="0" applyNumberFormat="1" applyFill="1" applyBorder="1"/>
    <xf numFmtId="0" fontId="23" fillId="0" borderId="83" xfId="0" applyFont="1" applyFill="1" applyBorder="1" applyAlignment="1">
      <alignment horizontal="center" vertical="center" wrapText="1"/>
    </xf>
    <xf numFmtId="0" fontId="0" fillId="35" borderId="26" xfId="0" applyFill="1" applyBorder="1"/>
    <xf numFmtId="0" fontId="0" fillId="8" borderId="1" xfId="0" applyFill="1" applyBorder="1" applyAlignment="1">
      <alignment horizontal="center"/>
    </xf>
    <xf numFmtId="166" fontId="16" fillId="40" borderId="56" xfId="1" applyNumberFormat="1" applyFont="1" applyFill="1" applyBorder="1" applyAlignment="1">
      <alignment horizontal="center"/>
    </xf>
    <xf numFmtId="165" fontId="16" fillId="0" borderId="64" xfId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821.92000000000007</c:v>
                </c:pt>
                <c:pt idx="1">
                  <c:v>1090.28</c:v>
                </c:pt>
                <c:pt idx="2">
                  <c:v>868.39</c:v>
                </c:pt>
                <c:pt idx="3">
                  <c:v>841.98</c:v>
                </c:pt>
                <c:pt idx="4">
                  <c:v>938.54</c:v>
                </c:pt>
                <c:pt idx="5">
                  <c:v>910.27</c:v>
                </c:pt>
                <c:pt idx="6">
                  <c:v>948.21</c:v>
                </c:pt>
                <c:pt idx="7">
                  <c:v>916.32999999999993</c:v>
                </c:pt>
                <c:pt idx="8">
                  <c:v>978.04</c:v>
                </c:pt>
                <c:pt idx="9">
                  <c:v>782.55</c:v>
                </c:pt>
                <c:pt idx="10">
                  <c:v>732.78</c:v>
                </c:pt>
                <c:pt idx="11">
                  <c:v>935.74</c:v>
                </c:pt>
                <c:pt idx="12">
                  <c:v>890.08999999999992</c:v>
                </c:pt>
                <c:pt idx="13">
                  <c:v>888.98</c:v>
                </c:pt>
                <c:pt idx="14">
                  <c:v>1095.46</c:v>
                </c:pt>
                <c:pt idx="15">
                  <c:v>1018.0699999999999</c:v>
                </c:pt>
                <c:pt idx="16">
                  <c:v>1041.27</c:v>
                </c:pt>
                <c:pt idx="17">
                  <c:v>1129.8800000000001</c:v>
                </c:pt>
                <c:pt idx="18">
                  <c:v>1055.6599999999999</c:v>
                </c:pt>
                <c:pt idx="19">
                  <c:v>957.7</c:v>
                </c:pt>
                <c:pt idx="20">
                  <c:v>982.5</c:v>
                </c:pt>
                <c:pt idx="21">
                  <c:v>989.79</c:v>
                </c:pt>
                <c:pt idx="22">
                  <c:v>1004.25</c:v>
                </c:pt>
                <c:pt idx="23">
                  <c:v>1019.08</c:v>
                </c:pt>
                <c:pt idx="24">
                  <c:v>878.8</c:v>
                </c:pt>
                <c:pt idx="25">
                  <c:v>975.74</c:v>
                </c:pt>
                <c:pt idx="26">
                  <c:v>969.3900000000001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19974144"/>
        <c:axId val="1199759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11</c:v>
                </c:pt>
                <c:pt idx="15">
                  <c:v>10</c:v>
                </c:pt>
                <c:pt idx="16">
                  <c:v>12</c:v>
                </c:pt>
                <c:pt idx="17">
                  <c:v>8</c:v>
                </c:pt>
                <c:pt idx="18">
                  <c:v>6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19977472"/>
        <c:axId val="119979008"/>
      </c:lineChart>
      <c:catAx>
        <c:axId val="11997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75936"/>
        <c:crosses val="autoZero"/>
        <c:auto val="1"/>
        <c:lblAlgn val="ctr"/>
        <c:lblOffset val="100"/>
      </c:catAx>
      <c:valAx>
        <c:axId val="11997593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74144"/>
        <c:crosses val="autoZero"/>
        <c:crossBetween val="between"/>
        <c:majorUnit val="200"/>
      </c:valAx>
      <c:catAx>
        <c:axId val="119977472"/>
        <c:scaling>
          <c:orientation val="minMax"/>
        </c:scaling>
        <c:delete val="1"/>
        <c:axPos val="b"/>
        <c:tickLblPos val="none"/>
        <c:crossAx val="119979008"/>
        <c:crosses val="autoZero"/>
        <c:auto val="1"/>
        <c:lblAlgn val="ctr"/>
        <c:lblOffset val="100"/>
      </c:catAx>
      <c:valAx>
        <c:axId val="1199790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774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1725312"/>
        <c:axId val="12172684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1728384"/>
        <c:axId val="121734272"/>
      </c:lineChart>
      <c:catAx>
        <c:axId val="12172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26848"/>
        <c:crosses val="autoZero"/>
        <c:auto val="1"/>
        <c:lblAlgn val="ctr"/>
        <c:lblOffset val="100"/>
      </c:catAx>
      <c:valAx>
        <c:axId val="121726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25312"/>
        <c:crosses val="autoZero"/>
        <c:crossBetween val="between"/>
        <c:majorUnit val="200"/>
      </c:valAx>
      <c:catAx>
        <c:axId val="121728384"/>
        <c:scaling>
          <c:orientation val="minMax"/>
        </c:scaling>
        <c:delete val="1"/>
        <c:axPos val="b"/>
        <c:tickLblPos val="none"/>
        <c:crossAx val="121734272"/>
        <c:crosses val="autoZero"/>
        <c:auto val="1"/>
        <c:lblAlgn val="ctr"/>
        <c:lblOffset val="100"/>
      </c:catAx>
      <c:valAx>
        <c:axId val="1217342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283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853.58999999999992</c:v>
                </c:pt>
                <c:pt idx="13">
                  <c:v>732.78</c:v>
                </c:pt>
                <c:pt idx="14">
                  <c:v>935.74</c:v>
                </c:pt>
                <c:pt idx="15">
                  <c:v>1071.23</c:v>
                </c:pt>
                <c:pt idx="16">
                  <c:v>914.39</c:v>
                </c:pt>
                <c:pt idx="17">
                  <c:v>1095.46</c:v>
                </c:pt>
                <c:pt idx="18">
                  <c:v>1392.4499999999998</c:v>
                </c:pt>
                <c:pt idx="19">
                  <c:v>1086.25</c:v>
                </c:pt>
                <c:pt idx="20">
                  <c:v>1129.8800000000001</c:v>
                </c:pt>
                <c:pt idx="21">
                  <c:v>1055.6599999999999</c:v>
                </c:pt>
                <c:pt idx="22">
                  <c:v>1144.98</c:v>
                </c:pt>
                <c:pt idx="23">
                  <c:v>982.5</c:v>
                </c:pt>
                <c:pt idx="24">
                  <c:v>1064.3899999999999</c:v>
                </c:pt>
                <c:pt idx="25">
                  <c:v>1004.25</c:v>
                </c:pt>
                <c:pt idx="26">
                  <c:v>1019.08</c:v>
                </c:pt>
                <c:pt idx="27">
                  <c:v>878.8</c:v>
                </c:pt>
                <c:pt idx="28">
                  <c:v>975.74</c:v>
                </c:pt>
                <c:pt idx="29">
                  <c:v>969.3900000000001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1589760"/>
        <c:axId val="81591296"/>
      </c:lineChart>
      <c:catAx>
        <c:axId val="8158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91296"/>
        <c:crosses val="autoZero"/>
        <c:auto val="1"/>
        <c:lblAlgn val="ctr"/>
        <c:lblOffset val="200"/>
        <c:tickLblSkip val="1"/>
      </c:catAx>
      <c:valAx>
        <c:axId val="815912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58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0.03</c:v>
                </c:pt>
                <c:pt idx="15">
                  <c:v>0.12989999999999999</c:v>
                </c:pt>
                <c:pt idx="16">
                  <c:v>0.1169</c:v>
                </c:pt>
                <c:pt idx="17">
                  <c:v>0.1429</c:v>
                </c:pt>
                <c:pt idx="18">
                  <c:v>9.0899999999999995E-2</c:v>
                </c:pt>
                <c:pt idx="19">
                  <c:v>6.4899999999999999E-2</c:v>
                </c:pt>
                <c:pt idx="20">
                  <c:v>6.4899999999999999E-2</c:v>
                </c:pt>
                <c:pt idx="21">
                  <c:v>2.5999999999999999E-2</c:v>
                </c:pt>
                <c:pt idx="22">
                  <c:v>2.5999999999999999E-2</c:v>
                </c:pt>
                <c:pt idx="23">
                  <c:v>1.2999999999999999E-2</c:v>
                </c:pt>
                <c:pt idx="24">
                  <c:v>1.2999999999999999E-2</c:v>
                </c:pt>
                <c:pt idx="25">
                  <c:v>2.5999999999999999E-2</c:v>
                </c:pt>
                <c:pt idx="26">
                  <c:v>5.1900000000000002E-2</c:v>
                </c:pt>
                <c:pt idx="27">
                  <c:v>5.1900000000000002E-2</c:v>
                </c:pt>
                <c:pt idx="28">
                  <c:v>5.1900000000000002E-2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0964608"/>
        <c:axId val="81138432"/>
      </c:lineChart>
      <c:catAx>
        <c:axId val="8096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138432"/>
        <c:crosses val="autoZero"/>
        <c:auto val="1"/>
        <c:lblAlgn val="ctr"/>
        <c:lblOffset val="100"/>
      </c:catAx>
      <c:valAx>
        <c:axId val="811384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96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2126</c:v>
                </c:pt>
                <c:pt idx="13">
                  <c:v>2174</c:v>
                </c:pt>
                <c:pt idx="14">
                  <c:v>2113</c:v>
                </c:pt>
                <c:pt idx="15">
                  <c:v>2040</c:v>
                </c:pt>
                <c:pt idx="16">
                  <c:v>2084</c:v>
                </c:pt>
                <c:pt idx="17">
                  <c:v>2489</c:v>
                </c:pt>
                <c:pt idx="18">
                  <c:v>2499</c:v>
                </c:pt>
                <c:pt idx="19">
                  <c:v>2622</c:v>
                </c:pt>
                <c:pt idx="20">
                  <c:v>2500</c:v>
                </c:pt>
                <c:pt idx="21">
                  <c:v>2313</c:v>
                </c:pt>
                <c:pt idx="22">
                  <c:v>2356</c:v>
                </c:pt>
                <c:pt idx="23">
                  <c:v>2289</c:v>
                </c:pt>
                <c:pt idx="24">
                  <c:v>2286</c:v>
                </c:pt>
                <c:pt idx="25">
                  <c:v>2289</c:v>
                </c:pt>
                <c:pt idx="26">
                  <c:v>2244</c:v>
                </c:pt>
                <c:pt idx="27">
                  <c:v>2313</c:v>
                </c:pt>
                <c:pt idx="28">
                  <c:v>2327</c:v>
                </c:pt>
                <c:pt idx="29">
                  <c:v>2289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1466112"/>
        <c:axId val="81468032"/>
      </c:lineChart>
      <c:catAx>
        <c:axId val="81466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68032"/>
        <c:crosses val="autoZero"/>
        <c:auto val="1"/>
        <c:lblAlgn val="ctr"/>
        <c:lblOffset val="100"/>
      </c:catAx>
      <c:valAx>
        <c:axId val="814680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661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94</c:v>
                </c:pt>
                <c:pt idx="11">
                  <c:v>59</c:v>
                </c:pt>
                <c:pt idx="12">
                  <c:v>36</c:v>
                </c:pt>
                <c:pt idx="13">
                  <c:v>53</c:v>
                </c:pt>
                <c:pt idx="14">
                  <c:v>40</c:v>
                </c:pt>
                <c:pt idx="15">
                  <c:v>30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46</c:v>
                </c:pt>
                <c:pt idx="20">
                  <c:v>46</c:v>
                </c:pt>
                <c:pt idx="21">
                  <c:v>56</c:v>
                </c:pt>
                <c:pt idx="22">
                  <c:v>49</c:v>
                </c:pt>
                <c:pt idx="23">
                  <c:v>48</c:v>
                </c:pt>
                <c:pt idx="24">
                  <c:v>50</c:v>
                </c:pt>
                <c:pt idx="25">
                  <c:v>55</c:v>
                </c:pt>
                <c:pt idx="26">
                  <c:v>58</c:v>
                </c:pt>
                <c:pt idx="27">
                  <c:v>52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2275328"/>
        <c:axId val="82285696"/>
      </c:lineChart>
      <c:catAx>
        <c:axId val="82275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85696"/>
        <c:crosses val="autoZero"/>
        <c:auto val="1"/>
        <c:lblAlgn val="ctr"/>
        <c:lblOffset val="100"/>
      </c:catAx>
      <c:valAx>
        <c:axId val="822856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75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76.031999999994881</c:v>
                </c:pt>
                <c:pt idx="1">
                  <c:v>58.607999999966708</c:v>
                </c:pt>
                <c:pt idx="2">
                  <c:v>66.263999999989764</c:v>
                </c:pt>
                <c:pt idx="3">
                  <c:v>63.536000000010247</c:v>
                </c:pt>
                <c:pt idx="4">
                  <c:v>50.072000000020495</c:v>
                </c:pt>
                <c:pt idx="5">
                  <c:v>49.588000000017935</c:v>
                </c:pt>
                <c:pt idx="6">
                  <c:v>62.567999999941101</c:v>
                </c:pt>
                <c:pt idx="7">
                  <c:v>54.868000000005125</c:v>
                </c:pt>
                <c:pt idx="8">
                  <c:v>57.420000000012813</c:v>
                </c:pt>
                <c:pt idx="9">
                  <c:v>44</c:v>
                </c:pt>
                <c:pt idx="10">
                  <c:v>70.927999999979519</c:v>
                </c:pt>
                <c:pt idx="11">
                  <c:v>53.900000000000006</c:v>
                </c:pt>
                <c:pt idx="12">
                  <c:v>55.396000000048666</c:v>
                </c:pt>
                <c:pt idx="13">
                  <c:v>56.452000000007686</c:v>
                </c:pt>
                <c:pt idx="14">
                  <c:v>52.051999999943661</c:v>
                </c:pt>
                <c:pt idx="15">
                  <c:v>49.192000000033296</c:v>
                </c:pt>
                <c:pt idx="16">
                  <c:v>55.088000000017935</c:v>
                </c:pt>
                <c:pt idx="17">
                  <c:v>65.339999999961591</c:v>
                </c:pt>
                <c:pt idx="18">
                  <c:v>65.428000000043539</c:v>
                </c:pt>
                <c:pt idx="19">
                  <c:v>69.827999999979511</c:v>
                </c:pt>
                <c:pt idx="20">
                  <c:v>75.679999999987203</c:v>
                </c:pt>
                <c:pt idx="21">
                  <c:v>55.747999999992324</c:v>
                </c:pt>
                <c:pt idx="22">
                  <c:v>39.20400000001537</c:v>
                </c:pt>
                <c:pt idx="23">
                  <c:v>72.600000000000009</c:v>
                </c:pt>
                <c:pt idx="24">
                  <c:v>63.272000000020498</c:v>
                </c:pt>
                <c:pt idx="25">
                  <c:v>63.668000000005129</c:v>
                </c:pt>
                <c:pt idx="26">
                  <c:v>54.691999999969269</c:v>
                </c:pt>
                <c:pt idx="27">
                  <c:v>75.679999999987203</c:v>
                </c:pt>
                <c:pt idx="28">
                  <c:v>-318841.51199999999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2306560"/>
        <c:axId val="82308096"/>
      </c:lineChart>
      <c:catAx>
        <c:axId val="8230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08096"/>
        <c:crosses val="autoZero"/>
        <c:auto val="1"/>
        <c:lblAlgn val="ctr"/>
        <c:lblOffset val="100"/>
      </c:catAx>
      <c:valAx>
        <c:axId val="82308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0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2485248"/>
        <c:axId val="82486784"/>
      </c:lineChart>
      <c:catAx>
        <c:axId val="8248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86784"/>
        <c:crosses val="autoZero"/>
        <c:auto val="1"/>
        <c:lblAlgn val="ctr"/>
        <c:lblOffset val="100"/>
      </c:catAx>
      <c:valAx>
        <c:axId val="82486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8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841.98</c:v>
                </c:pt>
                <c:pt idx="7">
                  <c:v>938.54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782.55</c:v>
                </c:pt>
                <c:pt idx="13">
                  <c:v>732.78</c:v>
                </c:pt>
                <c:pt idx="14">
                  <c:v>935.74</c:v>
                </c:pt>
                <c:pt idx="15">
                  <c:v>890.08999999999992</c:v>
                </c:pt>
                <c:pt idx="16">
                  <c:v>888.98</c:v>
                </c:pt>
                <c:pt idx="17">
                  <c:v>1095.46</c:v>
                </c:pt>
                <c:pt idx="18">
                  <c:v>1018.0699999999999</c:v>
                </c:pt>
                <c:pt idx="19">
                  <c:v>1041.27</c:v>
                </c:pt>
                <c:pt idx="20">
                  <c:v>1129.8800000000001</c:v>
                </c:pt>
                <c:pt idx="21">
                  <c:v>1055.6599999999999</c:v>
                </c:pt>
                <c:pt idx="22">
                  <c:v>957.7</c:v>
                </c:pt>
                <c:pt idx="23">
                  <c:v>982.5</c:v>
                </c:pt>
                <c:pt idx="24">
                  <c:v>989.79</c:v>
                </c:pt>
                <c:pt idx="25">
                  <c:v>1004.25</c:v>
                </c:pt>
                <c:pt idx="26">
                  <c:v>1019.08</c:v>
                </c:pt>
                <c:pt idx="27">
                  <c:v>878.8</c:v>
                </c:pt>
                <c:pt idx="28">
                  <c:v>975.74</c:v>
                </c:pt>
                <c:pt idx="29">
                  <c:v>969.3900000000001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3502208"/>
        <c:axId val="83503744"/>
      </c:lineChart>
      <c:catAx>
        <c:axId val="8350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03744"/>
        <c:crosses val="autoZero"/>
        <c:auto val="1"/>
        <c:lblAlgn val="ctr"/>
        <c:lblOffset val="100"/>
      </c:catAx>
      <c:valAx>
        <c:axId val="83503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0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672"/>
          <c:y val="7.471324705111355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3528320"/>
        <c:axId val="83542400"/>
      </c:lineChart>
      <c:catAx>
        <c:axId val="8352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42400"/>
        <c:crosses val="autoZero"/>
        <c:auto val="1"/>
        <c:lblAlgn val="ctr"/>
        <c:lblOffset val="200"/>
        <c:tickLblSkip val="1"/>
      </c:catAx>
      <c:valAx>
        <c:axId val="835424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2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3325696"/>
        <c:axId val="83327232"/>
      </c:lineChart>
      <c:catAx>
        <c:axId val="8332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27232"/>
        <c:crosses val="autoZero"/>
        <c:auto val="1"/>
        <c:lblAlgn val="ctr"/>
        <c:lblOffset val="100"/>
      </c:catAx>
      <c:valAx>
        <c:axId val="8332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2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3343616"/>
        <c:axId val="84042112"/>
      </c:lineChart>
      <c:catAx>
        <c:axId val="83343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42112"/>
        <c:crosses val="autoZero"/>
        <c:auto val="1"/>
        <c:lblAlgn val="ctr"/>
        <c:lblOffset val="100"/>
      </c:catAx>
      <c:valAx>
        <c:axId val="840421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436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3825408"/>
        <c:axId val="83827328"/>
      </c:lineChart>
      <c:catAx>
        <c:axId val="83825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27328"/>
        <c:crosses val="autoZero"/>
        <c:auto val="1"/>
        <c:lblAlgn val="ctr"/>
        <c:lblOffset val="100"/>
      </c:catAx>
      <c:valAx>
        <c:axId val="838273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254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3868672"/>
        <c:axId val="83870464"/>
      </c:lineChart>
      <c:catAx>
        <c:axId val="8386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70464"/>
        <c:crosses val="autoZero"/>
        <c:auto val="1"/>
        <c:lblAlgn val="ctr"/>
        <c:lblOffset val="100"/>
      </c:catAx>
      <c:valAx>
        <c:axId val="83870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6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4551168"/>
        <c:axId val="84552704"/>
      </c:lineChart>
      <c:catAx>
        <c:axId val="84551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52704"/>
        <c:crosses val="autoZero"/>
        <c:auto val="1"/>
        <c:lblAlgn val="ctr"/>
        <c:lblOffset val="100"/>
      </c:catAx>
      <c:valAx>
        <c:axId val="84552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51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4601472"/>
        <c:axId val="84603264"/>
      </c:lineChart>
      <c:catAx>
        <c:axId val="8460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03264"/>
        <c:crosses val="autoZero"/>
        <c:auto val="1"/>
        <c:lblAlgn val="ctr"/>
        <c:lblOffset val="100"/>
      </c:catAx>
      <c:valAx>
        <c:axId val="84603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0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906"/>
          <c:y val="7.471324705111398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1807616"/>
        <c:axId val="12180915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1823232"/>
        <c:axId val="121824768"/>
      </c:lineChart>
      <c:catAx>
        <c:axId val="1218076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09152"/>
        <c:crosses val="autoZero"/>
        <c:lblAlgn val="ctr"/>
        <c:lblOffset val="100"/>
        <c:tickMarkSkip val="1"/>
      </c:catAx>
      <c:valAx>
        <c:axId val="1218091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07616"/>
        <c:crosses val="autoZero"/>
        <c:crossBetween val="between"/>
      </c:valAx>
      <c:catAx>
        <c:axId val="121823232"/>
        <c:scaling>
          <c:orientation val="minMax"/>
        </c:scaling>
        <c:delete val="1"/>
        <c:axPos val="b"/>
        <c:numFmt formatCode="[$-409]d\-mmm\-yy;@" sourceLinked="1"/>
        <c:tickLblPos val="none"/>
        <c:crossAx val="121824768"/>
        <c:crosses val="autoZero"/>
        <c:lblAlgn val="ctr"/>
        <c:lblOffset val="100"/>
      </c:catAx>
      <c:valAx>
        <c:axId val="12182476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232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4956672"/>
        <c:axId val="84958208"/>
      </c:lineChart>
      <c:catAx>
        <c:axId val="8495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58208"/>
        <c:crosses val="autoZero"/>
        <c:auto val="1"/>
        <c:lblAlgn val="ctr"/>
        <c:lblOffset val="100"/>
      </c:catAx>
      <c:valAx>
        <c:axId val="849582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5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4999168"/>
        <c:axId val="86446848"/>
      </c:lineChart>
      <c:catAx>
        <c:axId val="8499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46848"/>
        <c:crosses val="autoZero"/>
        <c:auto val="1"/>
        <c:lblAlgn val="ctr"/>
        <c:lblOffset val="100"/>
      </c:catAx>
      <c:valAx>
        <c:axId val="864468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9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6502400"/>
        <c:axId val="872947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7296256"/>
        <c:axId val="87302144"/>
      </c:lineChart>
      <c:catAx>
        <c:axId val="865024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94720"/>
        <c:crosses val="autoZero"/>
        <c:lblAlgn val="ctr"/>
        <c:lblOffset val="100"/>
        <c:tickMarkSkip val="1"/>
      </c:catAx>
      <c:valAx>
        <c:axId val="8729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02400"/>
        <c:crosses val="autoZero"/>
        <c:crossBetween val="between"/>
      </c:valAx>
      <c:catAx>
        <c:axId val="87296256"/>
        <c:scaling>
          <c:orientation val="minMax"/>
        </c:scaling>
        <c:delete val="1"/>
        <c:axPos val="b"/>
        <c:numFmt formatCode="General" sourceLinked="1"/>
        <c:tickLblPos val="none"/>
        <c:crossAx val="87302144"/>
        <c:crosses val="autoZero"/>
        <c:lblAlgn val="ctr"/>
        <c:lblOffset val="100"/>
      </c:catAx>
      <c:valAx>
        <c:axId val="873021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96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7351296"/>
        <c:axId val="87352832"/>
      </c:lineChart>
      <c:catAx>
        <c:axId val="8735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52832"/>
        <c:crosses val="autoZero"/>
        <c:auto val="1"/>
        <c:lblAlgn val="ctr"/>
        <c:lblOffset val="100"/>
      </c:catAx>
      <c:valAx>
        <c:axId val="87352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5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7516672"/>
        <c:axId val="87518208"/>
      </c:lineChart>
      <c:catAx>
        <c:axId val="8751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18208"/>
        <c:crosses val="autoZero"/>
        <c:auto val="1"/>
        <c:lblAlgn val="ctr"/>
        <c:lblOffset val="100"/>
      </c:catAx>
      <c:valAx>
        <c:axId val="87518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1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3421824"/>
        <c:axId val="12342336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3433344"/>
        <c:axId val="123434880"/>
      </c:lineChart>
      <c:catAx>
        <c:axId val="12342182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23360"/>
        <c:crosses val="autoZero"/>
        <c:lblAlgn val="ctr"/>
        <c:lblOffset val="100"/>
        <c:tickMarkSkip val="1"/>
      </c:catAx>
      <c:valAx>
        <c:axId val="1234233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21824"/>
        <c:crosses val="autoZero"/>
        <c:crossBetween val="between"/>
      </c:valAx>
      <c:catAx>
        <c:axId val="123433344"/>
        <c:scaling>
          <c:orientation val="minMax"/>
        </c:scaling>
        <c:delete val="1"/>
        <c:axPos val="b"/>
        <c:numFmt formatCode="[$-409]d\-mmm\-yy;@" sourceLinked="1"/>
        <c:tickLblPos val="none"/>
        <c:crossAx val="123434880"/>
        <c:crosses val="autoZero"/>
        <c:lblAlgn val="ctr"/>
        <c:lblOffset val="100"/>
      </c:catAx>
      <c:valAx>
        <c:axId val="1234348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333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3464704"/>
        <c:axId val="1237327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3734272"/>
        <c:axId val="123744256"/>
      </c:lineChart>
      <c:catAx>
        <c:axId val="1234647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32736"/>
        <c:crosses val="autoZero"/>
        <c:lblAlgn val="ctr"/>
        <c:lblOffset val="100"/>
        <c:tickMarkSkip val="1"/>
      </c:catAx>
      <c:valAx>
        <c:axId val="123732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64704"/>
        <c:crosses val="autoZero"/>
        <c:crossBetween val="between"/>
      </c:valAx>
      <c:catAx>
        <c:axId val="123734272"/>
        <c:scaling>
          <c:orientation val="minMax"/>
        </c:scaling>
        <c:delete val="1"/>
        <c:axPos val="b"/>
        <c:numFmt formatCode="General" sourceLinked="1"/>
        <c:tickLblPos val="none"/>
        <c:crossAx val="123744256"/>
        <c:crosses val="autoZero"/>
        <c:lblAlgn val="ctr"/>
        <c:lblOffset val="100"/>
      </c:catAx>
      <c:valAx>
        <c:axId val="1237442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342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48211968"/>
        <c:axId val="14822195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48223488"/>
        <c:axId val="148225024"/>
      </c:lineChart>
      <c:catAx>
        <c:axId val="1482119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21952"/>
        <c:crosses val="autoZero"/>
        <c:lblAlgn val="ctr"/>
        <c:lblOffset val="100"/>
        <c:tickMarkSkip val="1"/>
      </c:catAx>
      <c:valAx>
        <c:axId val="1482219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11968"/>
        <c:crosses val="autoZero"/>
        <c:crossBetween val="between"/>
      </c:valAx>
      <c:catAx>
        <c:axId val="148223488"/>
        <c:scaling>
          <c:orientation val="minMax"/>
        </c:scaling>
        <c:delete val="1"/>
        <c:axPos val="b"/>
        <c:numFmt formatCode="[$-409]d\-mmm\-yy;@" sourceLinked="1"/>
        <c:tickLblPos val="none"/>
        <c:crossAx val="148225024"/>
        <c:crosses val="autoZero"/>
        <c:lblAlgn val="ctr"/>
        <c:lblOffset val="100"/>
      </c:catAx>
      <c:valAx>
        <c:axId val="1482250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2234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7770496"/>
        <c:axId val="1577720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7773824"/>
        <c:axId val="157775360"/>
      </c:lineChart>
      <c:catAx>
        <c:axId val="1577704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72032"/>
        <c:crosses val="autoZero"/>
        <c:lblAlgn val="ctr"/>
        <c:lblOffset val="100"/>
        <c:tickMarkSkip val="1"/>
      </c:catAx>
      <c:valAx>
        <c:axId val="157772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70496"/>
        <c:crosses val="autoZero"/>
        <c:crossBetween val="between"/>
      </c:valAx>
      <c:catAx>
        <c:axId val="157773824"/>
        <c:scaling>
          <c:orientation val="minMax"/>
        </c:scaling>
        <c:delete val="1"/>
        <c:axPos val="b"/>
        <c:numFmt formatCode="General" sourceLinked="1"/>
        <c:tickLblPos val="none"/>
        <c:crossAx val="157775360"/>
        <c:crosses val="autoZero"/>
        <c:lblAlgn val="ctr"/>
        <c:lblOffset val="100"/>
      </c:catAx>
      <c:valAx>
        <c:axId val="1577753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738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2126</c:v>
                </c:pt>
                <c:pt idx="13">
                  <c:v>2174</c:v>
                </c:pt>
                <c:pt idx="14">
                  <c:v>2113</c:v>
                </c:pt>
                <c:pt idx="15">
                  <c:v>2040</c:v>
                </c:pt>
                <c:pt idx="16">
                  <c:v>2084</c:v>
                </c:pt>
                <c:pt idx="17">
                  <c:v>2489</c:v>
                </c:pt>
                <c:pt idx="18">
                  <c:v>2499</c:v>
                </c:pt>
                <c:pt idx="19">
                  <c:v>2622</c:v>
                </c:pt>
                <c:pt idx="20">
                  <c:v>2500</c:v>
                </c:pt>
                <c:pt idx="21">
                  <c:v>2313</c:v>
                </c:pt>
                <c:pt idx="22">
                  <c:v>2356</c:v>
                </c:pt>
                <c:pt idx="23">
                  <c:v>2289</c:v>
                </c:pt>
                <c:pt idx="24">
                  <c:v>2286</c:v>
                </c:pt>
                <c:pt idx="25">
                  <c:v>2289</c:v>
                </c:pt>
                <c:pt idx="26">
                  <c:v>2244</c:v>
                </c:pt>
                <c:pt idx="27">
                  <c:v>2313</c:v>
                </c:pt>
                <c:pt idx="28">
                  <c:v>2327</c:v>
                </c:pt>
                <c:pt idx="29">
                  <c:v>2289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8091136"/>
        <c:axId val="158101504"/>
      </c:lineChart>
      <c:catAx>
        <c:axId val="158091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01504"/>
        <c:crosses val="autoZero"/>
        <c:auto val="1"/>
        <c:lblAlgn val="ctr"/>
        <c:lblOffset val="100"/>
      </c:catAx>
      <c:valAx>
        <c:axId val="1581015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911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94</c:v>
                </c:pt>
                <c:pt idx="11">
                  <c:v>59</c:v>
                </c:pt>
                <c:pt idx="12">
                  <c:v>36</c:v>
                </c:pt>
                <c:pt idx="13">
                  <c:v>53</c:v>
                </c:pt>
                <c:pt idx="14">
                  <c:v>40</c:v>
                </c:pt>
                <c:pt idx="15">
                  <c:v>30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46</c:v>
                </c:pt>
                <c:pt idx="20">
                  <c:v>46</c:v>
                </c:pt>
                <c:pt idx="21">
                  <c:v>56</c:v>
                </c:pt>
                <c:pt idx="22">
                  <c:v>49</c:v>
                </c:pt>
                <c:pt idx="23">
                  <c:v>48</c:v>
                </c:pt>
                <c:pt idx="24">
                  <c:v>50</c:v>
                </c:pt>
                <c:pt idx="25">
                  <c:v>55</c:v>
                </c:pt>
                <c:pt idx="26">
                  <c:v>58</c:v>
                </c:pt>
                <c:pt idx="27">
                  <c:v>52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8126464"/>
        <c:axId val="158128384"/>
      </c:lineChart>
      <c:catAx>
        <c:axId val="158126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28384"/>
        <c:crosses val="autoZero"/>
        <c:auto val="1"/>
        <c:lblAlgn val="ctr"/>
        <c:lblOffset val="100"/>
      </c:catAx>
      <c:valAx>
        <c:axId val="1581283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26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853.58999999999992</c:v>
                </c:pt>
                <c:pt idx="13">
                  <c:v>732.78</c:v>
                </c:pt>
                <c:pt idx="14">
                  <c:v>935.74</c:v>
                </c:pt>
                <c:pt idx="15">
                  <c:v>1071.23</c:v>
                </c:pt>
                <c:pt idx="16">
                  <c:v>914.39</c:v>
                </c:pt>
                <c:pt idx="17">
                  <c:v>1095.46</c:v>
                </c:pt>
                <c:pt idx="18">
                  <c:v>1392.4499999999998</c:v>
                </c:pt>
                <c:pt idx="19">
                  <c:v>1086.25</c:v>
                </c:pt>
                <c:pt idx="20">
                  <c:v>1129.8800000000001</c:v>
                </c:pt>
                <c:pt idx="21">
                  <c:v>1055.6599999999999</c:v>
                </c:pt>
                <c:pt idx="22">
                  <c:v>1144.98</c:v>
                </c:pt>
                <c:pt idx="23">
                  <c:v>982.5</c:v>
                </c:pt>
                <c:pt idx="24">
                  <c:v>1064.3899999999999</c:v>
                </c:pt>
                <c:pt idx="25">
                  <c:v>1004.25</c:v>
                </c:pt>
                <c:pt idx="26">
                  <c:v>1019.08</c:v>
                </c:pt>
                <c:pt idx="27">
                  <c:v>878.8</c:v>
                </c:pt>
                <c:pt idx="28">
                  <c:v>975.74</c:v>
                </c:pt>
                <c:pt idx="29">
                  <c:v>969.3900000000001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48339328"/>
        <c:axId val="148341120"/>
      </c:lineChart>
      <c:catAx>
        <c:axId val="14833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41120"/>
        <c:crosses val="autoZero"/>
        <c:auto val="1"/>
        <c:lblAlgn val="ctr"/>
        <c:lblOffset val="200"/>
        <c:tickLblSkip val="1"/>
      </c:catAx>
      <c:valAx>
        <c:axId val="1483411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833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0.03</c:v>
                </c:pt>
                <c:pt idx="15">
                  <c:v>0.12989999999999999</c:v>
                </c:pt>
                <c:pt idx="16">
                  <c:v>0.1169</c:v>
                </c:pt>
                <c:pt idx="17">
                  <c:v>0.1429</c:v>
                </c:pt>
                <c:pt idx="18">
                  <c:v>9.0899999999999995E-2</c:v>
                </c:pt>
                <c:pt idx="19">
                  <c:v>6.4899999999999999E-2</c:v>
                </c:pt>
                <c:pt idx="20">
                  <c:v>6.4899999999999999E-2</c:v>
                </c:pt>
                <c:pt idx="21">
                  <c:v>2.5999999999999999E-2</c:v>
                </c:pt>
                <c:pt idx="22">
                  <c:v>2.5999999999999999E-2</c:v>
                </c:pt>
                <c:pt idx="23">
                  <c:v>1.2999999999999999E-2</c:v>
                </c:pt>
                <c:pt idx="24">
                  <c:v>1.2999999999999999E-2</c:v>
                </c:pt>
                <c:pt idx="25">
                  <c:v>2.5999999999999999E-2</c:v>
                </c:pt>
                <c:pt idx="26">
                  <c:v>5.1900000000000002E-2</c:v>
                </c:pt>
                <c:pt idx="27">
                  <c:v>5.1900000000000002E-2</c:v>
                </c:pt>
                <c:pt idx="28">
                  <c:v>5.1900000000000002E-2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8110080"/>
        <c:axId val="158111616"/>
      </c:lineChart>
      <c:catAx>
        <c:axId val="15811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11616"/>
        <c:crosses val="autoZero"/>
        <c:auto val="1"/>
        <c:lblAlgn val="ctr"/>
        <c:lblOffset val="100"/>
      </c:catAx>
      <c:valAx>
        <c:axId val="1581116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1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87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76.031999999994881</c:v>
                </c:pt>
                <c:pt idx="1">
                  <c:v>58.607999999966708</c:v>
                </c:pt>
                <c:pt idx="2">
                  <c:v>66.263999999989764</c:v>
                </c:pt>
                <c:pt idx="3">
                  <c:v>63.536000000010247</c:v>
                </c:pt>
                <c:pt idx="4">
                  <c:v>50.072000000020495</c:v>
                </c:pt>
                <c:pt idx="5">
                  <c:v>49.588000000017935</c:v>
                </c:pt>
                <c:pt idx="6">
                  <c:v>62.567999999941101</c:v>
                </c:pt>
                <c:pt idx="7">
                  <c:v>54.868000000005125</c:v>
                </c:pt>
                <c:pt idx="8">
                  <c:v>57.420000000012813</c:v>
                </c:pt>
                <c:pt idx="9">
                  <c:v>44</c:v>
                </c:pt>
                <c:pt idx="10">
                  <c:v>70.927999999979519</c:v>
                </c:pt>
                <c:pt idx="11">
                  <c:v>53.900000000000006</c:v>
                </c:pt>
                <c:pt idx="12">
                  <c:v>55.396000000048666</c:v>
                </c:pt>
                <c:pt idx="13">
                  <c:v>56.452000000007686</c:v>
                </c:pt>
                <c:pt idx="14">
                  <c:v>52.051999999943661</c:v>
                </c:pt>
                <c:pt idx="15">
                  <c:v>49.192000000033296</c:v>
                </c:pt>
                <c:pt idx="16">
                  <c:v>55.088000000017935</c:v>
                </c:pt>
                <c:pt idx="17">
                  <c:v>65.339999999961591</c:v>
                </c:pt>
                <c:pt idx="18">
                  <c:v>65.428000000043539</c:v>
                </c:pt>
                <c:pt idx="19">
                  <c:v>69.827999999979511</c:v>
                </c:pt>
                <c:pt idx="20">
                  <c:v>75.679999999987203</c:v>
                </c:pt>
                <c:pt idx="21">
                  <c:v>55.747999999992324</c:v>
                </c:pt>
                <c:pt idx="22">
                  <c:v>39.20400000001537</c:v>
                </c:pt>
                <c:pt idx="23">
                  <c:v>72.600000000000009</c:v>
                </c:pt>
                <c:pt idx="24">
                  <c:v>63.272000000020498</c:v>
                </c:pt>
                <c:pt idx="25">
                  <c:v>63.668000000005129</c:v>
                </c:pt>
                <c:pt idx="26">
                  <c:v>54.691999999969269</c:v>
                </c:pt>
                <c:pt idx="27">
                  <c:v>75.679999999987203</c:v>
                </c:pt>
                <c:pt idx="28">
                  <c:v>-318841.51199999999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8697344"/>
        <c:axId val="158698880"/>
      </c:lineChart>
      <c:catAx>
        <c:axId val="15869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98880"/>
        <c:crosses val="autoZero"/>
        <c:auto val="1"/>
        <c:lblAlgn val="ctr"/>
        <c:lblOffset val="100"/>
      </c:catAx>
      <c:valAx>
        <c:axId val="158698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9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2126</c:v>
                </c:pt>
                <c:pt idx="13">
                  <c:v>2174</c:v>
                </c:pt>
                <c:pt idx="14">
                  <c:v>2113</c:v>
                </c:pt>
                <c:pt idx="15">
                  <c:v>2040</c:v>
                </c:pt>
                <c:pt idx="16">
                  <c:v>2084</c:v>
                </c:pt>
                <c:pt idx="17">
                  <c:v>2489</c:v>
                </c:pt>
                <c:pt idx="18">
                  <c:v>2499</c:v>
                </c:pt>
                <c:pt idx="19">
                  <c:v>2622</c:v>
                </c:pt>
                <c:pt idx="20">
                  <c:v>2500</c:v>
                </c:pt>
                <c:pt idx="21">
                  <c:v>2313</c:v>
                </c:pt>
                <c:pt idx="22">
                  <c:v>2356</c:v>
                </c:pt>
                <c:pt idx="23">
                  <c:v>2289</c:v>
                </c:pt>
                <c:pt idx="24">
                  <c:v>2286</c:v>
                </c:pt>
                <c:pt idx="25">
                  <c:v>2289</c:v>
                </c:pt>
                <c:pt idx="26">
                  <c:v>2244</c:v>
                </c:pt>
                <c:pt idx="27">
                  <c:v>2313</c:v>
                </c:pt>
                <c:pt idx="28">
                  <c:v>2327</c:v>
                </c:pt>
                <c:pt idx="29">
                  <c:v>2289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9792512"/>
        <c:axId val="159815168"/>
      </c:lineChart>
      <c:catAx>
        <c:axId val="159792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15168"/>
        <c:crosses val="autoZero"/>
        <c:auto val="1"/>
        <c:lblAlgn val="ctr"/>
        <c:lblOffset val="100"/>
      </c:catAx>
      <c:valAx>
        <c:axId val="1598151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925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94</c:v>
                </c:pt>
                <c:pt idx="11">
                  <c:v>59</c:v>
                </c:pt>
                <c:pt idx="12">
                  <c:v>36</c:v>
                </c:pt>
                <c:pt idx="13">
                  <c:v>53</c:v>
                </c:pt>
                <c:pt idx="14">
                  <c:v>40</c:v>
                </c:pt>
                <c:pt idx="15">
                  <c:v>30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46</c:v>
                </c:pt>
                <c:pt idx="20">
                  <c:v>46</c:v>
                </c:pt>
                <c:pt idx="21">
                  <c:v>56</c:v>
                </c:pt>
                <c:pt idx="22">
                  <c:v>49</c:v>
                </c:pt>
                <c:pt idx="23">
                  <c:v>48</c:v>
                </c:pt>
                <c:pt idx="24">
                  <c:v>50</c:v>
                </c:pt>
                <c:pt idx="25">
                  <c:v>55</c:v>
                </c:pt>
                <c:pt idx="26">
                  <c:v>58</c:v>
                </c:pt>
                <c:pt idx="27">
                  <c:v>52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9975296"/>
        <c:axId val="160002048"/>
      </c:lineChart>
      <c:catAx>
        <c:axId val="159975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02048"/>
        <c:crosses val="autoZero"/>
        <c:auto val="1"/>
        <c:lblAlgn val="ctr"/>
        <c:lblOffset val="100"/>
      </c:catAx>
      <c:valAx>
        <c:axId val="1600020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752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853.58999999999992</c:v>
                </c:pt>
                <c:pt idx="13">
                  <c:v>732.78</c:v>
                </c:pt>
                <c:pt idx="14">
                  <c:v>935.74</c:v>
                </c:pt>
                <c:pt idx="15">
                  <c:v>1071.23</c:v>
                </c:pt>
                <c:pt idx="16">
                  <c:v>914.39</c:v>
                </c:pt>
                <c:pt idx="17">
                  <c:v>1095.46</c:v>
                </c:pt>
                <c:pt idx="18">
                  <c:v>1392.4499999999998</c:v>
                </c:pt>
                <c:pt idx="19">
                  <c:v>1086.25</c:v>
                </c:pt>
                <c:pt idx="20">
                  <c:v>1129.8800000000001</c:v>
                </c:pt>
                <c:pt idx="21">
                  <c:v>1055.6599999999999</c:v>
                </c:pt>
                <c:pt idx="22">
                  <c:v>1144.98</c:v>
                </c:pt>
                <c:pt idx="23">
                  <c:v>982.5</c:v>
                </c:pt>
                <c:pt idx="24">
                  <c:v>1064.3899999999999</c:v>
                </c:pt>
                <c:pt idx="25">
                  <c:v>1004.25</c:v>
                </c:pt>
                <c:pt idx="26">
                  <c:v>1019.08</c:v>
                </c:pt>
                <c:pt idx="27">
                  <c:v>878.8</c:v>
                </c:pt>
                <c:pt idx="28">
                  <c:v>975.74</c:v>
                </c:pt>
                <c:pt idx="29">
                  <c:v>969.3900000000001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0035200"/>
        <c:axId val="160036736"/>
      </c:lineChart>
      <c:catAx>
        <c:axId val="16003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36736"/>
        <c:crosses val="autoZero"/>
        <c:auto val="1"/>
        <c:lblAlgn val="ctr"/>
        <c:lblOffset val="200"/>
        <c:tickLblSkip val="1"/>
      </c:catAx>
      <c:valAx>
        <c:axId val="1600367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3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0.03</c:v>
                </c:pt>
                <c:pt idx="15">
                  <c:v>0.12989999999999999</c:v>
                </c:pt>
                <c:pt idx="16">
                  <c:v>0.1169</c:v>
                </c:pt>
                <c:pt idx="17">
                  <c:v>0.1429</c:v>
                </c:pt>
                <c:pt idx="18">
                  <c:v>9.0899999999999995E-2</c:v>
                </c:pt>
                <c:pt idx="19">
                  <c:v>6.4899999999999999E-2</c:v>
                </c:pt>
                <c:pt idx="20">
                  <c:v>6.4899999999999999E-2</c:v>
                </c:pt>
                <c:pt idx="21">
                  <c:v>2.5999999999999999E-2</c:v>
                </c:pt>
                <c:pt idx="22">
                  <c:v>2.5999999999999999E-2</c:v>
                </c:pt>
                <c:pt idx="23">
                  <c:v>1.2999999999999999E-2</c:v>
                </c:pt>
                <c:pt idx="24">
                  <c:v>1.2999999999999999E-2</c:v>
                </c:pt>
                <c:pt idx="25">
                  <c:v>2.5999999999999999E-2</c:v>
                </c:pt>
                <c:pt idx="26">
                  <c:v>5.1900000000000002E-2</c:v>
                </c:pt>
                <c:pt idx="27">
                  <c:v>5.1900000000000002E-2</c:v>
                </c:pt>
                <c:pt idx="28">
                  <c:v>5.1900000000000002E-2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9741824"/>
        <c:axId val="159743360"/>
      </c:lineChart>
      <c:catAx>
        <c:axId val="15974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43360"/>
        <c:crosses val="autoZero"/>
        <c:auto val="1"/>
        <c:lblAlgn val="ctr"/>
        <c:lblOffset val="100"/>
      </c:catAx>
      <c:valAx>
        <c:axId val="1597433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4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87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76.031999999994881</c:v>
                </c:pt>
                <c:pt idx="1">
                  <c:v>58.607999999966708</c:v>
                </c:pt>
                <c:pt idx="2">
                  <c:v>66.263999999989764</c:v>
                </c:pt>
                <c:pt idx="3">
                  <c:v>63.536000000010247</c:v>
                </c:pt>
                <c:pt idx="4">
                  <c:v>50.072000000020495</c:v>
                </c:pt>
                <c:pt idx="5">
                  <c:v>49.588000000017935</c:v>
                </c:pt>
                <c:pt idx="6">
                  <c:v>62.567999999941101</c:v>
                </c:pt>
                <c:pt idx="7">
                  <c:v>54.868000000005125</c:v>
                </c:pt>
                <c:pt idx="8">
                  <c:v>57.420000000012813</c:v>
                </c:pt>
                <c:pt idx="9">
                  <c:v>44</c:v>
                </c:pt>
                <c:pt idx="10">
                  <c:v>70.927999999979519</c:v>
                </c:pt>
                <c:pt idx="11">
                  <c:v>53.900000000000006</c:v>
                </c:pt>
                <c:pt idx="12">
                  <c:v>55.396000000048666</c:v>
                </c:pt>
                <c:pt idx="13">
                  <c:v>56.452000000007686</c:v>
                </c:pt>
                <c:pt idx="14">
                  <c:v>52.051999999943661</c:v>
                </c:pt>
                <c:pt idx="15">
                  <c:v>49.192000000033296</c:v>
                </c:pt>
                <c:pt idx="16">
                  <c:v>55.088000000017935</c:v>
                </c:pt>
                <c:pt idx="17">
                  <c:v>65.339999999961591</c:v>
                </c:pt>
                <c:pt idx="18">
                  <c:v>65.428000000043539</c:v>
                </c:pt>
                <c:pt idx="19">
                  <c:v>69.827999999979511</c:v>
                </c:pt>
                <c:pt idx="20">
                  <c:v>75.679999999987203</c:v>
                </c:pt>
                <c:pt idx="21">
                  <c:v>55.747999999992324</c:v>
                </c:pt>
                <c:pt idx="22">
                  <c:v>39.20400000001537</c:v>
                </c:pt>
                <c:pt idx="23">
                  <c:v>72.600000000000009</c:v>
                </c:pt>
                <c:pt idx="24">
                  <c:v>63.272000000020498</c:v>
                </c:pt>
                <c:pt idx="25">
                  <c:v>63.668000000005129</c:v>
                </c:pt>
                <c:pt idx="26">
                  <c:v>54.691999999969269</c:v>
                </c:pt>
                <c:pt idx="27">
                  <c:v>75.679999999987203</c:v>
                </c:pt>
                <c:pt idx="28">
                  <c:v>-318841.51199999999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9763840"/>
        <c:axId val="159986816"/>
      </c:lineChart>
      <c:catAx>
        <c:axId val="15976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86816"/>
        <c:crosses val="autoZero"/>
        <c:auto val="1"/>
        <c:lblAlgn val="ctr"/>
        <c:lblOffset val="100"/>
      </c:catAx>
      <c:valAx>
        <c:axId val="1599868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6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1485952"/>
        <c:axId val="161487872"/>
      </c:lineChart>
      <c:catAx>
        <c:axId val="1614859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87872"/>
        <c:crosses val="autoZero"/>
        <c:auto val="1"/>
        <c:lblAlgn val="ctr"/>
        <c:lblOffset val="100"/>
      </c:catAx>
      <c:valAx>
        <c:axId val="1614878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859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1504640"/>
        <c:axId val="161523200"/>
      </c:lineChart>
      <c:catAx>
        <c:axId val="1615046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23200"/>
        <c:crosses val="autoZero"/>
        <c:auto val="1"/>
        <c:lblAlgn val="ctr"/>
        <c:lblOffset val="100"/>
      </c:catAx>
      <c:valAx>
        <c:axId val="1615232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04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1896320"/>
        <c:axId val="161897856"/>
      </c:lineChart>
      <c:catAx>
        <c:axId val="16189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97856"/>
        <c:crosses val="autoZero"/>
        <c:auto val="1"/>
        <c:lblAlgn val="ctr"/>
        <c:lblOffset val="200"/>
        <c:tickLblSkip val="1"/>
      </c:catAx>
      <c:valAx>
        <c:axId val="161897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9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1926528"/>
        <c:axId val="161932416"/>
      </c:lineChart>
      <c:catAx>
        <c:axId val="16192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32416"/>
        <c:crosses val="autoZero"/>
        <c:auto val="1"/>
        <c:lblAlgn val="ctr"/>
        <c:lblOffset val="100"/>
      </c:catAx>
      <c:valAx>
        <c:axId val="16193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2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2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1694848"/>
        <c:axId val="161696384"/>
      </c:lineChart>
      <c:catAx>
        <c:axId val="16169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96384"/>
        <c:crosses val="autoZero"/>
        <c:auto val="1"/>
        <c:lblAlgn val="ctr"/>
        <c:lblOffset val="100"/>
      </c:catAx>
      <c:valAx>
        <c:axId val="161696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9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1737344"/>
        <c:axId val="162415360"/>
      </c:lineChart>
      <c:catAx>
        <c:axId val="161737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15360"/>
        <c:crosses val="autoZero"/>
        <c:auto val="1"/>
        <c:lblAlgn val="ctr"/>
        <c:lblOffset val="100"/>
      </c:catAx>
      <c:valAx>
        <c:axId val="1624153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373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2456704"/>
        <c:axId val="162458624"/>
      </c:lineChart>
      <c:catAx>
        <c:axId val="162456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58624"/>
        <c:crosses val="autoZero"/>
        <c:auto val="1"/>
        <c:lblAlgn val="ctr"/>
        <c:lblOffset val="100"/>
      </c:catAx>
      <c:valAx>
        <c:axId val="1624586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567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2233728"/>
        <c:axId val="162239616"/>
      </c:lineChart>
      <c:catAx>
        <c:axId val="16223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9616"/>
        <c:crosses val="autoZero"/>
        <c:auto val="1"/>
        <c:lblAlgn val="ctr"/>
        <c:lblOffset val="200"/>
        <c:tickLblSkip val="1"/>
      </c:catAx>
      <c:valAx>
        <c:axId val="1622396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2931840"/>
        <c:axId val="162933376"/>
      </c:lineChart>
      <c:catAx>
        <c:axId val="16293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3376"/>
        <c:crosses val="autoZero"/>
        <c:auto val="1"/>
        <c:lblAlgn val="ctr"/>
        <c:lblOffset val="100"/>
      </c:catAx>
      <c:valAx>
        <c:axId val="162933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3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2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2945664"/>
        <c:axId val="162963840"/>
      </c:lineChart>
      <c:catAx>
        <c:axId val="16294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63840"/>
        <c:crosses val="autoZero"/>
        <c:auto val="1"/>
        <c:lblAlgn val="ctr"/>
        <c:lblOffset val="100"/>
      </c:catAx>
      <c:valAx>
        <c:axId val="162963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4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G34" sqref="G34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269</v>
      </c>
      <c r="B1" s="474" t="s">
        <v>270</v>
      </c>
      <c r="C1" s="474" t="s">
        <v>271</v>
      </c>
      <c r="D1" s="475" t="s">
        <v>272</v>
      </c>
      <c r="E1" s="476" t="s">
        <v>273</v>
      </c>
      <c r="F1" s="477" t="s">
        <v>274</v>
      </c>
      <c r="G1" s="477" t="s">
        <v>275</v>
      </c>
      <c r="H1" s="491" t="s">
        <v>276</v>
      </c>
      <c r="I1" s="477" t="s">
        <v>277</v>
      </c>
      <c r="J1" s="491" t="s">
        <v>278</v>
      </c>
      <c r="K1" s="476" t="s">
        <v>279</v>
      </c>
      <c r="L1" s="478" t="s">
        <v>280</v>
      </c>
    </row>
    <row r="2" spans="1:12">
      <c r="A2" s="480" t="s">
        <v>281</v>
      </c>
      <c r="B2" s="481">
        <v>1</v>
      </c>
      <c r="C2" s="481">
        <v>9</v>
      </c>
      <c r="D2" s="482">
        <v>2020</v>
      </c>
      <c r="E2" s="483">
        <f>'UTILITY REPORT 1'!F3</f>
        <v>2111</v>
      </c>
      <c r="F2" s="484">
        <f>('UTILITY REPORT 1'!E3*'UTILITY REPORT 1'!D3)/'UTILITY REPORT 1'!F3</f>
        <v>0.42227854097584083</v>
      </c>
      <c r="G2" s="484">
        <f>IF('Utility summery'!M6&lt;0,"0",'Utility summery'!M6)</f>
        <v>76.031999999994881</v>
      </c>
      <c r="H2" s="492">
        <v>0</v>
      </c>
      <c r="I2" s="484">
        <f>IF('UTILITY REPORT 1'!G3&lt;0,"0",'UTILITY REPORT 1'!G3)</f>
        <v>56</v>
      </c>
      <c r="J2" s="492">
        <v>0</v>
      </c>
      <c r="K2" s="483">
        <f>'UTILITY REPORT 1'!C3</f>
        <v>3</v>
      </c>
      <c r="L2" s="485" t="e">
        <f>E2*F2+G2*H2+#REF!*#REF!+I2*J2</f>
        <v>#REF!</v>
      </c>
    </row>
    <row r="3" spans="1:12">
      <c r="A3" s="480" t="s">
        <v>281</v>
      </c>
      <c r="B3" s="481">
        <f>B2+1</f>
        <v>2</v>
      </c>
      <c r="C3" s="481">
        <v>9</v>
      </c>
      <c r="D3" s="482">
        <v>2020</v>
      </c>
      <c r="E3" s="483">
        <f>'UTILITY REPORT 1'!F4</f>
        <v>2147</v>
      </c>
      <c r="F3" s="484">
        <f>('UTILITY REPORT 1'!E4*'UTILITY REPORT 1'!D4)/'UTILITY REPORT 1'!F4</f>
        <v>0.38282254308337216</v>
      </c>
      <c r="G3" s="484">
        <f>IF('Utility summery'!M7&lt;0,"0",'Utility summery'!M7)</f>
        <v>58.607999999966708</v>
      </c>
      <c r="H3" s="492">
        <v>0</v>
      </c>
      <c r="I3" s="484">
        <f>IF('UTILITY REPORT 1'!G4&lt;0,"0",'UTILITY REPORT 1'!G4)</f>
        <v>58</v>
      </c>
      <c r="J3" s="492">
        <v>0</v>
      </c>
      <c r="K3" s="483">
        <f>'UTILITY REPORT 1'!C4</f>
        <v>4</v>
      </c>
      <c r="L3" s="485" t="e">
        <f>E3*F3+G3*H3+#REF!*#REF!+I3*J3</f>
        <v>#REF!</v>
      </c>
    </row>
    <row r="4" spans="1:12">
      <c r="A4" s="480" t="s">
        <v>281</v>
      </c>
      <c r="B4" s="481">
        <f t="shared" ref="B4:B30" si="0">B3+1</f>
        <v>3</v>
      </c>
      <c r="C4" s="481">
        <v>9</v>
      </c>
      <c r="D4" s="482">
        <v>2020</v>
      </c>
      <c r="E4" s="483">
        <f>'UTILITY REPORT 1'!F5</f>
        <v>2188</v>
      </c>
      <c r="F4" s="484">
        <f>('UTILITY REPORT 1'!E5*'UTILITY REPORT 1'!D5)/'UTILITY REPORT 1'!F5</f>
        <v>0.4982998171846435</v>
      </c>
      <c r="G4" s="484">
        <f>IF('Utility summery'!M8&lt;0,"0",'Utility summery'!M8)</f>
        <v>66.263999999989764</v>
      </c>
      <c r="H4" s="492">
        <v>0</v>
      </c>
      <c r="I4" s="484">
        <f>IF('UTILITY REPORT 1'!G5&lt;0,"0",'UTILITY REPORT 1'!G5)</f>
        <v>51</v>
      </c>
      <c r="J4" s="492">
        <v>0</v>
      </c>
      <c r="K4" s="483">
        <f>'UTILITY REPORT 1'!C5</f>
        <v>4</v>
      </c>
      <c r="L4" s="485" t="e">
        <f>E4*F4+G4*H4+#REF!*#REF!+I4*J4</f>
        <v>#REF!</v>
      </c>
    </row>
    <row r="5" spans="1:12">
      <c r="A5" s="480" t="s">
        <v>281</v>
      </c>
      <c r="B5" s="481">
        <f t="shared" si="0"/>
        <v>4</v>
      </c>
      <c r="C5" s="481">
        <v>9</v>
      </c>
      <c r="D5" s="482">
        <v>2020</v>
      </c>
      <c r="E5" s="483">
        <f>'UTILITY REPORT 1'!F6</f>
        <v>2448</v>
      </c>
      <c r="F5" s="484">
        <f>('UTILITY REPORT 1'!E6*'UTILITY REPORT 1'!D6)/'UTILITY REPORT 1'!F6</f>
        <v>0.35473447712418299</v>
      </c>
      <c r="G5" s="484">
        <f>IF('Utility summery'!M9&lt;0,"0",'Utility summery'!M9)</f>
        <v>63.536000000010247</v>
      </c>
      <c r="H5" s="492">
        <v>0</v>
      </c>
      <c r="I5" s="484">
        <f>IF('UTILITY REPORT 1'!G6&lt;0,"0",'UTILITY REPORT 1'!G6)</f>
        <v>54</v>
      </c>
      <c r="J5" s="492">
        <v>0</v>
      </c>
      <c r="K5" s="483">
        <f>'UTILITY REPORT 1'!C6</f>
        <v>8</v>
      </c>
      <c r="L5" s="485" t="e">
        <f>E5*F5+G5*H5+#REF!*#REF!+I5*J5</f>
        <v>#REF!</v>
      </c>
    </row>
    <row r="6" spans="1:12">
      <c r="A6" s="480" t="s">
        <v>281</v>
      </c>
      <c r="B6" s="481">
        <f t="shared" si="0"/>
        <v>5</v>
      </c>
      <c r="C6" s="481">
        <v>9</v>
      </c>
      <c r="D6" s="482">
        <v>2020</v>
      </c>
      <c r="E6" s="483">
        <f>'UTILITY REPORT 1'!F7</f>
        <v>2152</v>
      </c>
      <c r="F6" s="484">
        <f>('UTILITY REPORT 1'!E7*'UTILITY REPORT 1'!D7)/'UTILITY REPORT 1'!F7</f>
        <v>0.39125464684014871</v>
      </c>
      <c r="G6" s="484">
        <f>IF('Utility summery'!M10&lt;0,"0",'Utility summery'!M10)</f>
        <v>50.072000000020495</v>
      </c>
      <c r="H6" s="492">
        <v>0</v>
      </c>
      <c r="I6" s="484">
        <f>IF('UTILITY REPORT 1'!G7&lt;0,"0",'UTILITY REPORT 1'!G7)</f>
        <v>50</v>
      </c>
      <c r="J6" s="492">
        <v>0</v>
      </c>
      <c r="K6" s="483">
        <f>'UTILITY REPORT 1'!C7</f>
        <v>8</v>
      </c>
      <c r="L6" s="485" t="e">
        <f>E6*F6+G6*H6+#REF!*#REF!+I6*J6</f>
        <v>#REF!</v>
      </c>
    </row>
    <row r="7" spans="1:12">
      <c r="A7" s="480" t="s">
        <v>281</v>
      </c>
      <c r="B7" s="481">
        <f t="shared" si="0"/>
        <v>6</v>
      </c>
      <c r="C7" s="481">
        <v>9</v>
      </c>
      <c r="D7" s="482">
        <v>2020</v>
      </c>
      <c r="E7" s="483">
        <f>'UTILITY REPORT 1'!F8</f>
        <v>2052</v>
      </c>
      <c r="F7" s="484">
        <f>('UTILITY REPORT 1'!E8*'UTILITY REPORT 1'!D8)/'UTILITY REPORT 1'!F8</f>
        <v>0.45737816764132549</v>
      </c>
      <c r="G7" s="484">
        <f>IF('Utility summery'!M11&lt;0,"0",'Utility summery'!M11)</f>
        <v>49.588000000017935</v>
      </c>
      <c r="H7" s="492">
        <v>0</v>
      </c>
      <c r="I7" s="484">
        <f>IF('UTILITY REPORT 1'!G8&lt;0,"0",'UTILITY REPORT 1'!G8)</f>
        <v>52</v>
      </c>
      <c r="J7" s="492">
        <v>0</v>
      </c>
      <c r="K7" s="483">
        <f>'UTILITY REPORT 1'!C8</f>
        <v>7</v>
      </c>
      <c r="L7" s="485" t="e">
        <f>E7*F7+G7*H7+#REF!*#REF!+I7*J7</f>
        <v>#REF!</v>
      </c>
    </row>
    <row r="8" spans="1:12">
      <c r="A8" s="480" t="s">
        <v>281</v>
      </c>
      <c r="B8" s="481">
        <f t="shared" si="0"/>
        <v>7</v>
      </c>
      <c r="C8" s="481">
        <v>9</v>
      </c>
      <c r="D8" s="482">
        <v>2020</v>
      </c>
      <c r="E8" s="483">
        <f>'UTILITY REPORT 1'!F9</f>
        <v>2010</v>
      </c>
      <c r="F8" s="484">
        <f>('UTILITY REPORT 1'!E9*'UTILITY REPORT 1'!D9)/'UTILITY REPORT 1'!F9</f>
        <v>0.45287064676616917</v>
      </c>
      <c r="G8" s="484">
        <f>IF('Utility summery'!M12&lt;0,"0",'Utility summery'!M12)</f>
        <v>62.567999999941101</v>
      </c>
      <c r="H8" s="492">
        <v>0</v>
      </c>
      <c r="I8" s="484">
        <f>IF('UTILITY REPORT 1'!G9&lt;0,"0",'UTILITY REPORT 1'!G9)</f>
        <v>58</v>
      </c>
      <c r="J8" s="492">
        <v>0</v>
      </c>
      <c r="K8" s="483">
        <f>'UTILITY REPORT 1'!C9</f>
        <v>3</v>
      </c>
      <c r="L8" s="485" t="e">
        <f>E8*F8+G8*H8+#REF!*#REF!+I8*J8</f>
        <v>#REF!</v>
      </c>
    </row>
    <row r="9" spans="1:12">
      <c r="A9" s="480" t="s">
        <v>281</v>
      </c>
      <c r="B9" s="481">
        <f t="shared" si="0"/>
        <v>8</v>
      </c>
      <c r="C9" s="481">
        <v>9</v>
      </c>
      <c r="D9" s="482">
        <v>2020</v>
      </c>
      <c r="E9" s="483">
        <f>'UTILITY REPORT 1'!F10</f>
        <v>2245</v>
      </c>
      <c r="F9" s="484">
        <f>('UTILITY REPORT 1'!E10*'UTILITY REPORT 1'!D10)/'UTILITY REPORT 1'!F10</f>
        <v>0.42236525612472164</v>
      </c>
      <c r="G9" s="484">
        <f>IF('Utility summery'!M13&lt;0,"0",'Utility summery'!M13)</f>
        <v>54.868000000005125</v>
      </c>
      <c r="H9" s="492">
        <v>0</v>
      </c>
      <c r="I9" s="484">
        <f>IF('UTILITY REPORT 1'!G10&lt;0,"0",'UTILITY REPORT 1'!G10)</f>
        <v>46</v>
      </c>
      <c r="J9" s="492">
        <v>0</v>
      </c>
      <c r="K9" s="483">
        <f>'UTILITY REPORT 1'!C10</f>
        <v>7</v>
      </c>
      <c r="L9" s="485" t="e">
        <f>E9*F9+G9*H9+#REF!*#REF!+I9*J9</f>
        <v>#REF!</v>
      </c>
    </row>
    <row r="10" spans="1:12">
      <c r="A10" s="480" t="s">
        <v>281</v>
      </c>
      <c r="B10" s="481">
        <f t="shared" si="0"/>
        <v>9</v>
      </c>
      <c r="C10" s="481">
        <v>9</v>
      </c>
      <c r="D10" s="482">
        <v>2020</v>
      </c>
      <c r="E10" s="483">
        <f>'UTILITY REPORT 1'!F11</f>
        <v>2101</v>
      </c>
      <c r="F10" s="484">
        <f>('UTILITY REPORT 1'!E11*'UTILITY REPORT 1'!D11)/'UTILITY REPORT 1'!F11</f>
        <v>0.43613993336506424</v>
      </c>
      <c r="G10" s="484">
        <f>IF('Utility summery'!M14&lt;0,"0",'Utility summery'!M14)</f>
        <v>57.420000000012813</v>
      </c>
      <c r="H10" s="492">
        <v>0</v>
      </c>
      <c r="I10" s="484">
        <f>IF('UTILITY REPORT 1'!G11&lt;0,"0",'UTILITY REPORT 1'!G11)</f>
        <v>52</v>
      </c>
      <c r="J10" s="492">
        <v>0</v>
      </c>
      <c r="K10" s="483">
        <f>'UTILITY REPORT 1'!C11</f>
        <v>5</v>
      </c>
      <c r="L10" s="485" t="e">
        <f>E10*F10+G10*H10+#REF!*#REF!+I10*J10</f>
        <v>#REF!</v>
      </c>
    </row>
    <row r="11" spans="1:12">
      <c r="A11" s="480" t="s">
        <v>281</v>
      </c>
      <c r="B11" s="481">
        <f t="shared" si="0"/>
        <v>10</v>
      </c>
      <c r="C11" s="481">
        <v>9</v>
      </c>
      <c r="D11" s="482">
        <v>2020</v>
      </c>
      <c r="E11" s="483">
        <f>'UTILITY REPORT 1'!F12</f>
        <v>2199</v>
      </c>
      <c r="F11" s="484">
        <f>('UTILITY REPORT 1'!E12*'UTILITY REPORT 1'!D12)/'UTILITY REPORT 1'!F12</f>
        <v>0.44476580263756249</v>
      </c>
      <c r="G11" s="484">
        <f>IF('Utility summery'!M15&lt;0,"0",'Utility summery'!M15)</f>
        <v>44</v>
      </c>
      <c r="H11" s="492">
        <v>0</v>
      </c>
      <c r="I11" s="484">
        <f>IF('UTILITY REPORT 1'!G12&lt;0,"0",'UTILITY REPORT 1'!G12)</f>
        <v>55</v>
      </c>
      <c r="J11" s="492">
        <v>0</v>
      </c>
      <c r="K11" s="483">
        <f>'UTILITY REPORT 1'!C12</f>
        <v>1</v>
      </c>
      <c r="L11" s="485" t="e">
        <f>E11*F11+G11*H11+#REF!*#REF!+I11*J11</f>
        <v>#REF!</v>
      </c>
    </row>
    <row r="12" spans="1:12">
      <c r="A12" s="480" t="s">
        <v>281</v>
      </c>
      <c r="B12" s="481">
        <f t="shared" si="0"/>
        <v>11</v>
      </c>
      <c r="C12" s="481">
        <v>9</v>
      </c>
      <c r="D12" s="482">
        <v>2020</v>
      </c>
      <c r="E12" s="483">
        <f>'UTILITY REPORT 1'!F13</f>
        <v>2126</v>
      </c>
      <c r="F12" s="484">
        <f>('UTILITY REPORT 1'!E13*'UTILITY REPORT 1'!D13)/'UTILITY REPORT 1'!F13</f>
        <v>0.36808560677328311</v>
      </c>
      <c r="G12" s="484">
        <f>IF('Utility summery'!M16&lt;0,"0",'Utility summery'!M16)</f>
        <v>70.927999999979519</v>
      </c>
      <c r="H12" s="492">
        <v>0</v>
      </c>
      <c r="I12" s="484">
        <f>IF('UTILITY REPORT 1'!G13&lt;0,"0",'UTILITY REPORT 1'!G13)</f>
        <v>94</v>
      </c>
      <c r="J12" s="492">
        <v>0</v>
      </c>
      <c r="K12" s="483">
        <f>'UTILITY REPORT 1'!C13</f>
        <v>3</v>
      </c>
      <c r="L12" s="485" t="e">
        <f>E12*F12+G12*H12+#REF!*#REF!+I12*J12</f>
        <v>#REF!</v>
      </c>
    </row>
    <row r="13" spans="1:12">
      <c r="A13" s="480" t="s">
        <v>281</v>
      </c>
      <c r="B13" s="481">
        <f t="shared" si="0"/>
        <v>12</v>
      </c>
      <c r="C13" s="481">
        <v>9</v>
      </c>
      <c r="D13" s="482">
        <v>2020</v>
      </c>
      <c r="E13" s="483">
        <f>'UTILITY REPORT 1'!F14</f>
        <v>2174</v>
      </c>
      <c r="F13" s="484">
        <f>('UTILITY REPORT 1'!E14*'UTILITY REPORT 1'!D14)/'UTILITY REPORT 1'!F14</f>
        <v>0.3370653173873045</v>
      </c>
      <c r="G13" s="484">
        <f>IF('Utility summery'!M17&lt;0,"0",'Utility summery'!M17)</f>
        <v>53.900000000000006</v>
      </c>
      <c r="H13" s="492">
        <v>0</v>
      </c>
      <c r="I13" s="484">
        <f>IF('UTILITY REPORT 1'!G14&lt;0,"0",'UTILITY REPORT 1'!G14)</f>
        <v>59</v>
      </c>
      <c r="J13" s="492">
        <v>0</v>
      </c>
      <c r="K13" s="483">
        <f>'UTILITY REPORT 1'!C14</f>
        <v>3</v>
      </c>
      <c r="L13" s="485" t="e">
        <f>E13*F13+G13*H13+#REF!*#REF!+I13*J13</f>
        <v>#REF!</v>
      </c>
    </row>
    <row r="14" spans="1:12">
      <c r="A14" s="480" t="s">
        <v>281</v>
      </c>
      <c r="B14" s="481">
        <f t="shared" si="0"/>
        <v>13</v>
      </c>
      <c r="C14" s="481">
        <v>9</v>
      </c>
      <c r="D14" s="482">
        <v>2020</v>
      </c>
      <c r="E14" s="483">
        <f>'UTILITY REPORT 1'!F15</f>
        <v>2113</v>
      </c>
      <c r="F14" s="484">
        <f>('UTILITY REPORT 1'!E15*'UTILITY REPORT 1'!D15)/'UTILITY REPORT 1'!F15</f>
        <v>0.44284902981542829</v>
      </c>
      <c r="G14" s="484">
        <f>IF('Utility summery'!M18&lt;0,"0",'Utility summery'!M18)</f>
        <v>55.396000000048666</v>
      </c>
      <c r="H14" s="492">
        <v>0</v>
      </c>
      <c r="I14" s="484">
        <f>IF('UTILITY REPORT 1'!G15&lt;0,"0",'UTILITY REPORT 1'!G15)</f>
        <v>36</v>
      </c>
      <c r="J14" s="492">
        <v>0</v>
      </c>
      <c r="K14" s="483">
        <f>'UTILITY REPORT 1'!C15</f>
        <v>3</v>
      </c>
      <c r="L14" s="485" t="e">
        <f>E14*F14+G14*H14+#REF!*#REF!+I14*J14</f>
        <v>#REF!</v>
      </c>
    </row>
    <row r="15" spans="1:12">
      <c r="A15" s="480" t="s">
        <v>281</v>
      </c>
      <c r="B15" s="481">
        <f t="shared" si="0"/>
        <v>14</v>
      </c>
      <c r="C15" s="481">
        <v>9</v>
      </c>
      <c r="D15" s="482">
        <v>2020</v>
      </c>
      <c r="E15" s="483">
        <f>'UTILITY REPORT 1'!F16</f>
        <v>2040</v>
      </c>
      <c r="F15" s="484">
        <f>('UTILITY REPORT 1'!E16*'UTILITY REPORT 1'!D16)/'UTILITY REPORT 1'!F16</f>
        <v>0.43631862745098038</v>
      </c>
      <c r="G15" s="484">
        <f>IF('Utility summery'!M19&lt;0,"0",'Utility summery'!M19)</f>
        <v>56.452000000007686</v>
      </c>
      <c r="H15" s="492">
        <v>0</v>
      </c>
      <c r="I15" s="484">
        <f>IF('UTILITY REPORT 1'!G16&lt;0,"0",'UTILITY REPORT 1'!G16)</f>
        <v>53</v>
      </c>
      <c r="J15" s="492">
        <v>0</v>
      </c>
      <c r="K15" s="483">
        <f>'UTILITY REPORT 1'!C16</f>
        <v>4</v>
      </c>
      <c r="L15" s="485" t="e">
        <f>E15*F15+G15*H15+#REF!*#REF!+I15*J15</f>
        <v>#REF!</v>
      </c>
    </row>
    <row r="16" spans="1:12">
      <c r="A16" s="480" t="s">
        <v>281</v>
      </c>
      <c r="B16" s="481">
        <f t="shared" si="0"/>
        <v>15</v>
      </c>
      <c r="C16" s="481">
        <v>9</v>
      </c>
      <c r="D16" s="482">
        <v>2020</v>
      </c>
      <c r="E16" s="483">
        <f>'UTILITY REPORT 1'!F17</f>
        <v>2084</v>
      </c>
      <c r="F16" s="484">
        <f>('UTILITY REPORT 1'!E17*'UTILITY REPORT 1'!D17)/'UTILITY REPORT 1'!F17</f>
        <v>0.426573896353167</v>
      </c>
      <c r="G16" s="484">
        <f>IF('Utility summery'!M20&lt;0,"0",'Utility summery'!M20)</f>
        <v>52.051999999943661</v>
      </c>
      <c r="H16" s="492">
        <v>0</v>
      </c>
      <c r="I16" s="484">
        <f>IF('UTILITY REPORT 1'!G17&lt;0,"0",'UTILITY REPORT 1'!G17)</f>
        <v>40</v>
      </c>
      <c r="J16" s="492">
        <v>0</v>
      </c>
      <c r="K16" s="483">
        <f>'UTILITY REPORT 1'!C17</f>
        <v>4</v>
      </c>
      <c r="L16" s="485" t="e">
        <f>E16*F16+G16*H16+#REF!*#REF!+I16*J16</f>
        <v>#REF!</v>
      </c>
    </row>
    <row r="17" spans="1:12">
      <c r="A17" s="480" t="s">
        <v>281</v>
      </c>
      <c r="B17" s="481">
        <f t="shared" si="0"/>
        <v>16</v>
      </c>
      <c r="C17" s="481">
        <v>9</v>
      </c>
      <c r="D17" s="482">
        <v>2020</v>
      </c>
      <c r="E17" s="483">
        <f>'UTILITY REPORT 1'!F18</f>
        <v>2489</v>
      </c>
      <c r="F17" s="484">
        <f>('UTILITY REPORT 1'!E18*'UTILITY REPORT 1'!D18)/'UTILITY REPORT 1'!F18</f>
        <v>0.44012053033346726</v>
      </c>
      <c r="G17" s="484">
        <f>IF('Utility summery'!M21&lt;0,"0",'Utility summery'!M21)</f>
        <v>49.192000000033296</v>
      </c>
      <c r="H17" s="492">
        <v>0</v>
      </c>
      <c r="I17" s="484">
        <f>IF('UTILITY REPORT 1'!G18&lt;0,"0",'UTILITY REPORT 1'!G18)</f>
        <v>30</v>
      </c>
      <c r="J17" s="492">
        <v>0</v>
      </c>
      <c r="K17" s="483">
        <f>'UTILITY REPORT 1'!C18</f>
        <v>11</v>
      </c>
      <c r="L17" s="485" t="e">
        <f>E17*F17+G17*H17+#REF!*#REF!+I17*J17</f>
        <v>#REF!</v>
      </c>
    </row>
    <row r="18" spans="1:12">
      <c r="A18" s="480" t="s">
        <v>281</v>
      </c>
      <c r="B18" s="481">
        <f t="shared" si="0"/>
        <v>17</v>
      </c>
      <c r="C18" s="481">
        <v>9</v>
      </c>
      <c r="D18" s="482">
        <v>2020</v>
      </c>
      <c r="E18" s="483">
        <f>'UTILITY REPORT 1'!F19</f>
        <v>2499</v>
      </c>
      <c r="F18" s="484">
        <f>('UTILITY REPORT 1'!E19*'UTILITY REPORT 1'!D19)/'UTILITY REPORT 1'!F19</f>
        <v>0.40739095638255302</v>
      </c>
      <c r="G18" s="484">
        <f>IF('Utility summery'!M22&lt;0,"0",'Utility summery'!M22)</f>
        <v>55.088000000017935</v>
      </c>
      <c r="H18" s="492">
        <v>0</v>
      </c>
      <c r="I18" s="484">
        <f>IF('UTILITY REPORT 1'!G19&lt;0,"0",'UTILITY REPORT 1'!G19)</f>
        <v>49</v>
      </c>
      <c r="J18" s="492">
        <v>0</v>
      </c>
      <c r="K18" s="483">
        <f>'UTILITY REPORT 1'!C19</f>
        <v>10</v>
      </c>
      <c r="L18" s="485" t="e">
        <f>E18*F18+G18*H18+#REF!*#REF!+I18*J18</f>
        <v>#REF!</v>
      </c>
    </row>
    <row r="19" spans="1:12">
      <c r="A19" s="480" t="s">
        <v>281</v>
      </c>
      <c r="B19" s="481">
        <f t="shared" si="0"/>
        <v>18</v>
      </c>
      <c r="C19" s="481">
        <v>9</v>
      </c>
      <c r="D19" s="482">
        <v>2020</v>
      </c>
      <c r="E19" s="483">
        <f>'UTILITY REPORT 1'!F20</f>
        <v>2622</v>
      </c>
      <c r="F19" s="484">
        <f>('UTILITY REPORT 1'!E20*'UTILITY REPORT 1'!D20)/'UTILITY REPORT 1'!F20</f>
        <v>0.39712814645308925</v>
      </c>
      <c r="G19" s="484">
        <f>IF('Utility summery'!M23&lt;0,"0",'Utility summery'!M23)</f>
        <v>65.339999999961591</v>
      </c>
      <c r="H19" s="492">
        <v>0</v>
      </c>
      <c r="I19" s="484">
        <f>IF('UTILITY REPORT 1'!G20&lt;0,"0",'UTILITY REPORT 1'!G20)</f>
        <v>50</v>
      </c>
      <c r="J19" s="492">
        <v>0</v>
      </c>
      <c r="K19" s="483">
        <f>'UTILITY REPORT 1'!C20</f>
        <v>12</v>
      </c>
      <c r="L19" s="485" t="e">
        <f>E19*F19+G19*H19+#REF!*#REF!+I19*J19</f>
        <v>#REF!</v>
      </c>
    </row>
    <row r="20" spans="1:12">
      <c r="A20" s="480" t="s">
        <v>281</v>
      </c>
      <c r="B20" s="481">
        <f t="shared" si="0"/>
        <v>19</v>
      </c>
      <c r="C20" s="481">
        <v>9</v>
      </c>
      <c r="D20" s="482">
        <v>2020</v>
      </c>
      <c r="E20" s="483">
        <f>'UTILITY REPORT 1'!F21</f>
        <v>2500</v>
      </c>
      <c r="F20" s="484">
        <f>('UTILITY REPORT 1'!E21*'UTILITY REPORT 1'!D21)/'UTILITY REPORT 1'!F21</f>
        <v>0.45195200000000002</v>
      </c>
      <c r="G20" s="484">
        <f>IF('Utility summery'!M24&lt;0,"0",'Utility summery'!M24)</f>
        <v>65.428000000043539</v>
      </c>
      <c r="H20" s="492">
        <v>0</v>
      </c>
      <c r="I20" s="484">
        <f>IF('UTILITY REPORT 1'!G21&lt;0,"0",'UTILITY REPORT 1'!G21)</f>
        <v>51</v>
      </c>
      <c r="J20" s="492">
        <v>0</v>
      </c>
      <c r="K20" s="483">
        <f>'UTILITY REPORT 1'!C21</f>
        <v>8</v>
      </c>
      <c r="L20" s="485" t="e">
        <f>E20*F20+G20*H20+#REF!*#REF!+I20*J20</f>
        <v>#REF!</v>
      </c>
    </row>
    <row r="21" spans="1:12">
      <c r="A21" s="480" t="s">
        <v>281</v>
      </c>
      <c r="B21" s="481">
        <f t="shared" si="0"/>
        <v>20</v>
      </c>
      <c r="C21" s="481">
        <v>9</v>
      </c>
      <c r="D21" s="482">
        <v>2020</v>
      </c>
      <c r="E21" s="483">
        <f>'UTILITY REPORT 1'!F22</f>
        <v>2313</v>
      </c>
      <c r="F21" s="484">
        <f>('UTILITY REPORT 1'!E22*'UTILITY REPORT 1'!D22)/'UTILITY REPORT 1'!F22</f>
        <v>0.45640293990488534</v>
      </c>
      <c r="G21" s="484">
        <f>IF('Utility summery'!M25&lt;0,"0",'Utility summery'!M25)</f>
        <v>69.827999999979511</v>
      </c>
      <c r="H21" s="492">
        <v>0</v>
      </c>
      <c r="I21" s="484">
        <f>IF('UTILITY REPORT 1'!G22&lt;0,"0",'UTILITY REPORT 1'!G22)</f>
        <v>46</v>
      </c>
      <c r="J21" s="492">
        <v>0</v>
      </c>
      <c r="K21" s="483">
        <f>'UTILITY REPORT 1'!C22</f>
        <v>6</v>
      </c>
      <c r="L21" s="485" t="e">
        <f>E21*F21+G21*H21+#REF!*#REF!+I21*J21</f>
        <v>#REF!</v>
      </c>
    </row>
    <row r="22" spans="1:12">
      <c r="A22" s="480" t="s">
        <v>281</v>
      </c>
      <c r="B22" s="481">
        <f t="shared" si="0"/>
        <v>21</v>
      </c>
      <c r="C22" s="481">
        <v>9</v>
      </c>
      <c r="D22" s="482">
        <v>2020</v>
      </c>
      <c r="E22" s="483">
        <f>'UTILITY REPORT 1'!F23</f>
        <v>2356</v>
      </c>
      <c r="F22" s="484">
        <f>('UTILITY REPORT 1'!E23*'UTILITY REPORT 1'!D23)/'UTILITY REPORT 1'!F23</f>
        <v>0.40649405772495756</v>
      </c>
      <c r="G22" s="484">
        <f>IF('Utility summery'!M26&lt;0,"0",'Utility summery'!M26)</f>
        <v>75.679999999987203</v>
      </c>
      <c r="H22" s="492">
        <v>0</v>
      </c>
      <c r="I22" s="484">
        <f>IF('UTILITY REPORT 1'!G23&lt;0,"0",'UTILITY REPORT 1'!G23)</f>
        <v>46</v>
      </c>
      <c r="J22" s="492">
        <v>0</v>
      </c>
      <c r="K22" s="483">
        <f>'UTILITY REPORT 1'!C23</f>
        <v>6</v>
      </c>
      <c r="L22" s="485" t="e">
        <f>E22*F22+G22*H22+#REF!*#REF!+I22*J22</f>
        <v>#REF!</v>
      </c>
    </row>
    <row r="23" spans="1:12">
      <c r="A23" s="480" t="s">
        <v>281</v>
      </c>
      <c r="B23" s="481">
        <f t="shared" si="0"/>
        <v>22</v>
      </c>
      <c r="C23" s="481">
        <v>9</v>
      </c>
      <c r="D23" s="482">
        <v>2020</v>
      </c>
      <c r="E23" s="483">
        <f>'UTILITY REPORT 1'!F24</f>
        <v>2289</v>
      </c>
      <c r="F23" s="484">
        <f>('UTILITY REPORT 1'!E24*'UTILITY REPORT 1'!D24)/'UTILITY REPORT 1'!F24</f>
        <v>0.4292267365661861</v>
      </c>
      <c r="G23" s="484">
        <f>IF('Utility summery'!M27&lt;0,"0",'Utility summery'!M27)</f>
        <v>55.747999999992324</v>
      </c>
      <c r="H23" s="492">
        <v>0</v>
      </c>
      <c r="I23" s="484">
        <f>IF('UTILITY REPORT 1'!G24&lt;0,"0",'UTILITY REPORT 1'!G24)</f>
        <v>56</v>
      </c>
      <c r="J23" s="492">
        <v>0</v>
      </c>
      <c r="K23" s="483">
        <f>'UTILITY REPORT 1'!C24</f>
        <v>3</v>
      </c>
      <c r="L23" s="485" t="e">
        <f>E23*F23+G23*H23+#REF!*#REF!+I23*J23</f>
        <v>#REF!</v>
      </c>
    </row>
    <row r="24" spans="1:12">
      <c r="A24" s="480" t="s">
        <v>281</v>
      </c>
      <c r="B24" s="481">
        <f t="shared" si="0"/>
        <v>23</v>
      </c>
      <c r="C24" s="481">
        <v>9</v>
      </c>
      <c r="D24" s="482">
        <v>2020</v>
      </c>
      <c r="E24" s="483">
        <f>'UTILITY REPORT 1'!F25</f>
        <v>2286</v>
      </c>
      <c r="F24" s="484">
        <f>('UTILITY REPORT 1'!E25*'UTILITY REPORT 1'!D25)/'UTILITY REPORT 1'!F25</f>
        <v>0.43297900262467193</v>
      </c>
      <c r="G24" s="484">
        <f>IF('Utility summery'!M28&lt;0,"0",'Utility summery'!M28)</f>
        <v>39.20400000001537</v>
      </c>
      <c r="H24" s="492">
        <v>0</v>
      </c>
      <c r="I24" s="484">
        <f>IF('UTILITY REPORT 1'!G25&lt;0,"0",'UTILITY REPORT 1'!G25)</f>
        <v>49</v>
      </c>
      <c r="J24" s="492">
        <v>0</v>
      </c>
      <c r="K24" s="483">
        <f>'UTILITY REPORT 1'!C25</f>
        <v>3</v>
      </c>
      <c r="L24" s="485" t="e">
        <f>E24*F24+G24*H24+#REF!*#REF!+I24*J24</f>
        <v>#REF!</v>
      </c>
    </row>
    <row r="25" spans="1:12">
      <c r="A25" s="480" t="s">
        <v>281</v>
      </c>
      <c r="B25" s="481">
        <f t="shared" si="0"/>
        <v>24</v>
      </c>
      <c r="C25" s="481">
        <v>9</v>
      </c>
      <c r="D25" s="482">
        <v>2020</v>
      </c>
      <c r="E25" s="483">
        <f>'UTILITY REPORT 1'!F26</f>
        <v>2289</v>
      </c>
      <c r="F25" s="484">
        <f>('UTILITY REPORT 1'!E26*'UTILITY REPORT 1'!D26)/'UTILITY REPORT 1'!F26</f>
        <v>0.43872870249017037</v>
      </c>
      <c r="G25" s="484">
        <f>IF('Utility summery'!M29&lt;0,"0",'Utility summery'!M29)</f>
        <v>72.600000000000009</v>
      </c>
      <c r="H25" s="492">
        <v>0</v>
      </c>
      <c r="I25" s="484">
        <f>IF('UTILITY REPORT 1'!G26&lt;0,"0",'UTILITY REPORT 1'!G26)</f>
        <v>48</v>
      </c>
      <c r="J25" s="492">
        <v>0</v>
      </c>
      <c r="K25" s="483">
        <f>'UTILITY REPORT 1'!C26</f>
        <v>2</v>
      </c>
      <c r="L25" s="485" t="e">
        <f>E25*F25+G25*H25+#REF!*#REF!+I25*J25</f>
        <v>#REF!</v>
      </c>
    </row>
    <row r="26" spans="1:12">
      <c r="A26" s="480" t="s">
        <v>281</v>
      </c>
      <c r="B26" s="481">
        <f>B25+1</f>
        <v>25</v>
      </c>
      <c r="C26" s="481">
        <v>9</v>
      </c>
      <c r="D26" s="482">
        <v>2020</v>
      </c>
      <c r="E26" s="483">
        <f>'UTILITY REPORT 1'!F27</f>
        <v>2244</v>
      </c>
      <c r="F26" s="484">
        <f>('UTILITY REPORT 1'!E27*'UTILITY REPORT 1'!D27)/'UTILITY REPORT 1'!F27</f>
        <v>0.45413547237076651</v>
      </c>
      <c r="G26" s="484">
        <f>IF('Utility summery'!M30&lt;0,"0",'Utility summery'!M30)</f>
        <v>63.272000000020498</v>
      </c>
      <c r="H26" s="492">
        <v>0</v>
      </c>
      <c r="I26" s="484">
        <f>IF('UTILITY REPORT 1'!G27&lt;0,"0",'UTILITY REPORT 1'!G27)</f>
        <v>50</v>
      </c>
      <c r="J26" s="492">
        <v>0</v>
      </c>
      <c r="K26" s="483">
        <f>'UTILITY REPORT 1'!C27</f>
        <v>3</v>
      </c>
      <c r="L26" s="485" t="e">
        <f>E26*F26+G26*H26+#REF!*#REF!+I26*J26</f>
        <v>#REF!</v>
      </c>
    </row>
    <row r="27" spans="1:12">
      <c r="A27" s="480" t="s">
        <v>281</v>
      </c>
      <c r="B27" s="481">
        <f t="shared" si="0"/>
        <v>26</v>
      </c>
      <c r="C27" s="481">
        <v>9</v>
      </c>
      <c r="D27" s="482">
        <v>2020</v>
      </c>
      <c r="E27" s="483">
        <f>'UTILITY REPORT 1'!F28</f>
        <v>2313</v>
      </c>
      <c r="F27" s="484">
        <f>('UTILITY REPORT 1'!E28*'UTILITY REPORT 1'!D28)/'UTILITY REPORT 1'!F28</f>
        <v>0.37993947254647642</v>
      </c>
      <c r="G27" s="484">
        <f>IF('Utility summery'!M31&lt;0,"0",'Utility summery'!M31)</f>
        <v>63.668000000005129</v>
      </c>
      <c r="H27" s="492">
        <v>0</v>
      </c>
      <c r="I27" s="484">
        <f>IF('UTILITY REPORT 1'!G28&lt;0,"0",'UTILITY REPORT 1'!G28)</f>
        <v>55</v>
      </c>
      <c r="J27" s="492">
        <v>0</v>
      </c>
      <c r="K27" s="483">
        <f>'UTILITY REPORT 1'!C28</f>
        <v>4</v>
      </c>
      <c r="L27" s="485" t="e">
        <f>E27*F27+G27*H27+#REF!*#REF!+I27*J27</f>
        <v>#REF!</v>
      </c>
    </row>
    <row r="28" spans="1:12">
      <c r="A28" s="480" t="s">
        <v>281</v>
      </c>
      <c r="B28" s="481">
        <f t="shared" si="0"/>
        <v>27</v>
      </c>
      <c r="C28" s="481">
        <v>9</v>
      </c>
      <c r="D28" s="482">
        <v>2020</v>
      </c>
      <c r="E28" s="483">
        <f>'UTILITY REPORT 1'!F29</f>
        <v>2327</v>
      </c>
      <c r="F28" s="484">
        <f>('UTILITY REPORT 1'!E29*'UTILITY REPORT 1'!D29)/'UTILITY REPORT 1'!F29</f>
        <v>0.41931241942415126</v>
      </c>
      <c r="G28" s="484">
        <f>IF('Utility summery'!M32&lt;0,"0",'Utility summery'!M32)</f>
        <v>54.691999999969269</v>
      </c>
      <c r="H28" s="492">
        <v>0</v>
      </c>
      <c r="I28" s="484">
        <f>IF('UTILITY REPORT 1'!G29&lt;0,"0",'UTILITY REPORT 1'!G29)</f>
        <v>58</v>
      </c>
      <c r="J28" s="492">
        <v>0</v>
      </c>
      <c r="K28" s="483">
        <f>'UTILITY REPORT 1'!C29</f>
        <v>5</v>
      </c>
      <c r="L28" s="485" t="e">
        <f>E28*F28+G28*H28+#REF!*#REF!+I28*J28</f>
        <v>#REF!</v>
      </c>
    </row>
    <row r="29" spans="1:12">
      <c r="A29" s="480" t="s">
        <v>281</v>
      </c>
      <c r="B29" s="481">
        <f t="shared" si="0"/>
        <v>28</v>
      </c>
      <c r="C29" s="481">
        <v>9</v>
      </c>
      <c r="D29" s="482">
        <v>2020</v>
      </c>
      <c r="E29" s="483">
        <f>'UTILITY REPORT 1'!F30</f>
        <v>2289</v>
      </c>
      <c r="F29" s="484">
        <f>('UTILITY REPORT 1'!E30*'UTILITY REPORT 1'!D30)/'UTILITY REPORT 1'!F30</f>
        <v>0.42349934469200529</v>
      </c>
      <c r="G29" s="484">
        <f>IF('Utility summery'!M33&lt;0,"0",'Utility summery'!M33)</f>
        <v>75.679999999987203</v>
      </c>
      <c r="H29" s="492">
        <v>0</v>
      </c>
      <c r="I29" s="484">
        <f>IF('UTILITY REPORT 1'!G30&lt;0,"0",'UTILITY REPORT 1'!G30)</f>
        <v>52</v>
      </c>
      <c r="J29" s="492">
        <v>0</v>
      </c>
      <c r="K29" s="483">
        <f>'UTILITY REPORT 1'!C30</f>
        <v>5</v>
      </c>
      <c r="L29" s="485" t="e">
        <f>E29*F29+G29*H29+#REF!*#REF!+I29*J29</f>
        <v>#REF!</v>
      </c>
    </row>
    <row r="30" spans="1:12">
      <c r="A30" s="480" t="s">
        <v>281</v>
      </c>
      <c r="B30" s="481">
        <f t="shared" si="0"/>
        <v>29</v>
      </c>
      <c r="C30" s="481">
        <v>9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 t="str">
        <f>IF('Utility summery'!M34&lt;0,"0",'Utility summery'!M34)</f>
        <v>0</v>
      </c>
      <c r="H30" s="492">
        <v>0</v>
      </c>
      <c r="I30" s="484" t="str">
        <f>IF('UTILITY REPORT 1'!G31&lt;0,"0",'UTILITY REPORT 1'!G31)</f>
        <v>0</v>
      </c>
      <c r="J30" s="492">
        <v>0</v>
      </c>
      <c r="K30" s="483">
        <f>'UTILITY REPORT 1'!C31</f>
        <v>5</v>
      </c>
      <c r="L30" s="485" t="e">
        <f>E30*F30+G30*H30+#REF!*#REF!+I30*J30</f>
        <v>#DIV/0!</v>
      </c>
    </row>
    <row r="31" spans="1:12">
      <c r="A31" s="480" t="s">
        <v>281</v>
      </c>
      <c r="B31" s="481">
        <v>30</v>
      </c>
      <c r="C31" s="481">
        <v>9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/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251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7" sqref="D37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269</v>
      </c>
      <c r="B1" s="550" t="s">
        <v>270</v>
      </c>
      <c r="C1" s="550" t="s">
        <v>271</v>
      </c>
      <c r="D1" s="551" t="s">
        <v>272</v>
      </c>
      <c r="E1" s="552" t="s">
        <v>285</v>
      </c>
      <c r="F1" s="552" t="s">
        <v>284</v>
      </c>
      <c r="G1" s="553" t="s">
        <v>273</v>
      </c>
      <c r="H1" s="552" t="s">
        <v>282</v>
      </c>
      <c r="I1" s="552" t="s">
        <v>283</v>
      </c>
      <c r="J1" s="552" t="s">
        <v>286</v>
      </c>
      <c r="K1" s="553" t="s">
        <v>264</v>
      </c>
      <c r="L1" s="552" t="s">
        <v>287</v>
      </c>
      <c r="M1" s="553" t="s">
        <v>288</v>
      </c>
      <c r="N1" s="553" t="s">
        <v>289</v>
      </c>
      <c r="O1" s="553" t="s">
        <v>289</v>
      </c>
      <c r="P1" s="553" t="s">
        <v>302</v>
      </c>
      <c r="Q1" s="553" t="s">
        <v>290</v>
      </c>
      <c r="R1" s="553" t="s">
        <v>291</v>
      </c>
      <c r="S1" s="553" t="s">
        <v>292</v>
      </c>
      <c r="T1" s="553" t="s">
        <v>293</v>
      </c>
      <c r="U1" s="553" t="s">
        <v>294</v>
      </c>
      <c r="V1" s="553" t="s">
        <v>295</v>
      </c>
      <c r="W1" s="556" t="s">
        <v>303</v>
      </c>
      <c r="X1" s="557" t="s">
        <v>279</v>
      </c>
    </row>
    <row r="2" spans="1:24">
      <c r="A2" s="544" t="s">
        <v>281</v>
      </c>
      <c r="B2" s="545">
        <v>1</v>
      </c>
      <c r="C2" s="545">
        <v>9</v>
      </c>
      <c r="D2" s="546">
        <v>2020</v>
      </c>
      <c r="E2" s="547">
        <f>'UTILITY REPORT 1'!I3</f>
        <v>69.209999999999994</v>
      </c>
      <c r="F2" s="547">
        <f>'UTILITY REPORT 1'!E3</f>
        <v>891.43</v>
      </c>
      <c r="G2" s="548">
        <f>'UTILITY REPORT 1'!F3</f>
        <v>2111</v>
      </c>
      <c r="H2" s="547">
        <f>IF('Kit report'!F4&lt;0,"0",'Kit report'!F4)</f>
        <v>191.99999999982538</v>
      </c>
      <c r="I2" s="547">
        <f>IF('Kit report'!X4&lt;0,"0",'Kit report'!X4)</f>
        <v>80.000000000109139</v>
      </c>
      <c r="J2" s="547">
        <f>IF('Utility summery'!H6&lt;0,"0",'Utility summery'!H6)</f>
        <v>47</v>
      </c>
      <c r="K2" s="548">
        <f>IF('UTILITY REPORT 1'!H3&lt;0,"0",'UTILITY REPORT 1'!H3)</f>
        <v>74</v>
      </c>
      <c r="L2" s="547">
        <f>'Water-Meter'!K6</f>
        <v>2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56</v>
      </c>
      <c r="Q2" s="471">
        <f>IF('Water-Meter'!U6&lt;0,"0",'Water-Meter'!U6)</f>
        <v>86</v>
      </c>
      <c r="R2" s="471">
        <f>IF('Water-Meter'!X6&lt;0,"0",'Water-Meter'!X6)</f>
        <v>0</v>
      </c>
      <c r="S2" s="471">
        <f>IF('Water-Meter'!AA6&lt;0,"0",'Water-Meter'!AA6)</f>
        <v>0</v>
      </c>
      <c r="T2" s="471">
        <f>IF('Water-Meter'!AD6&lt;0,"0",'Water-Meter'!AD6)</f>
        <v>15</v>
      </c>
      <c r="U2" s="471">
        <f>IF('Water-Meter'!AG6&lt;0,"0",'Water-Meter'!AG6)</f>
        <v>0</v>
      </c>
      <c r="V2" s="471">
        <f>IF('Water-Meter'!AJ6&lt;0,"0",'Water-Meter'!AJ6)</f>
        <v>5</v>
      </c>
      <c r="W2" s="31">
        <f>'Water-Meter'!AN6</f>
        <v>106</v>
      </c>
      <c r="X2" s="558">
        <f>Total!K2</f>
        <v>3</v>
      </c>
    </row>
    <row r="3" spans="1:24">
      <c r="A3" s="542" t="s">
        <v>281</v>
      </c>
      <c r="B3" s="539">
        <f>B2+1</f>
        <v>2</v>
      </c>
      <c r="C3" s="545">
        <v>9</v>
      </c>
      <c r="D3" s="546">
        <v>2020</v>
      </c>
      <c r="E3" s="540">
        <f>'UTILITY REPORT 1'!I4</f>
        <v>80.650000000000006</v>
      </c>
      <c r="F3" s="540">
        <f>'UTILITY REPORT 1'!E4</f>
        <v>821.92000000000007</v>
      </c>
      <c r="G3" s="541">
        <f>'UTILITY REPORT 1'!F4</f>
        <v>2147</v>
      </c>
      <c r="H3" s="540">
        <f>IF('Kit report'!F5&lt;0,"0",'Kit report'!F5)</f>
        <v>192.00000000004366</v>
      </c>
      <c r="I3" s="540">
        <f>IF('Kit report'!X5&lt;0,"0",'Kit report'!X5)</f>
        <v>19.999999999890861</v>
      </c>
      <c r="J3" s="540">
        <f>IF('Utility summery'!H7&lt;0,"0",'Utility summery'!H7)</f>
        <v>30</v>
      </c>
      <c r="K3" s="541">
        <f>IF('UTILITY REPORT 1'!H4&lt;0,"0",'UTILITY REPORT 1'!H4)</f>
        <v>26</v>
      </c>
      <c r="L3" s="540">
        <f>'Water-Meter'!K7</f>
        <v>1</v>
      </c>
      <c r="M3" s="541">
        <f>'Water-Meter'!H7</f>
        <v>0</v>
      </c>
      <c r="N3" s="541">
        <f>'Water-Meter'!Q7</f>
        <v>2</v>
      </c>
      <c r="O3" s="540" t="e">
        <f>K3*E3+H3*I3+#REF!*#REF!+J3*L3</f>
        <v>#REF!</v>
      </c>
      <c r="P3" s="547">
        <f>'Water-Meter'!E7</f>
        <v>58</v>
      </c>
      <c r="Q3" s="289">
        <f>IF('Water-Meter'!U7&lt;0,"0",'Water-Meter'!U7)</f>
        <v>82</v>
      </c>
      <c r="R3" s="289">
        <f>IF('Water-Meter'!X7&lt;0,"0",'Water-Meter'!X7)</f>
        <v>0</v>
      </c>
      <c r="S3" s="289">
        <f>IF('Water-Meter'!AA7&lt;0,"0",'Water-Meter'!AA7)</f>
        <v>0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26</v>
      </c>
      <c r="W3" s="31">
        <f>'Water-Meter'!AN7</f>
        <v>125</v>
      </c>
      <c r="X3" s="558">
        <f>Total!K3</f>
        <v>4</v>
      </c>
    </row>
    <row r="4" spans="1:24">
      <c r="A4" s="542" t="s">
        <v>281</v>
      </c>
      <c r="B4" s="539">
        <f t="shared" ref="B4:B30" si="0">B3+1</f>
        <v>3</v>
      </c>
      <c r="C4" s="545">
        <v>9</v>
      </c>
      <c r="D4" s="546">
        <v>2020</v>
      </c>
      <c r="E4" s="540">
        <f>'UTILITY REPORT 1'!I5</f>
        <v>10.02</v>
      </c>
      <c r="F4" s="540">
        <f>'UTILITY REPORT 1'!E5</f>
        <v>1090.28</v>
      </c>
      <c r="G4" s="541">
        <f>'UTILITY REPORT 1'!F5</f>
        <v>2188</v>
      </c>
      <c r="H4" s="540">
        <f>IF('Kit report'!F6&lt;0,"0",'Kit report'!F6)</f>
        <v>204.00000000008731</v>
      </c>
      <c r="I4" s="540">
        <f>IF('Kit report'!X6&lt;0,"0",'Kit report'!X6)</f>
        <v>39.99999999996362</v>
      </c>
      <c r="J4" s="540">
        <f>IF('Utility summery'!H8&lt;0,"0",'Utility summery'!H8)</f>
        <v>36</v>
      </c>
      <c r="K4" s="541">
        <f>IF('UTILITY REPORT 1'!H5&lt;0,"0",'UTILITY REPORT 1'!H5)</f>
        <v>79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51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0</v>
      </c>
      <c r="T4" s="289">
        <f>IF('Water-Meter'!AD8&lt;0,"0",'Water-Meter'!AD8)</f>
        <v>15</v>
      </c>
      <c r="U4" s="289">
        <f>IF('Water-Meter'!AG8&lt;0,"0",'Water-Meter'!AG8)</f>
        <v>0</v>
      </c>
      <c r="V4" s="289">
        <f>IF('Water-Meter'!AJ8&lt;0,"0",'Water-Meter'!AJ8)</f>
        <v>26</v>
      </c>
      <c r="W4" s="31">
        <f>'Water-Meter'!AN8</f>
        <v>124</v>
      </c>
      <c r="X4" s="558">
        <f>Total!K4</f>
        <v>4</v>
      </c>
    </row>
    <row r="5" spans="1:24">
      <c r="A5" s="542" t="s">
        <v>281</v>
      </c>
      <c r="B5" s="539">
        <f t="shared" si="0"/>
        <v>4</v>
      </c>
      <c r="C5" s="545">
        <v>9</v>
      </c>
      <c r="D5" s="546">
        <v>2020</v>
      </c>
      <c r="E5" s="540">
        <f>'UTILITY REPORT 1'!I6</f>
        <v>0</v>
      </c>
      <c r="F5" s="540">
        <f>'UTILITY REPORT 1'!E6</f>
        <v>868.39</v>
      </c>
      <c r="G5" s="541">
        <f>'UTILITY REPORT 1'!F6</f>
        <v>2448</v>
      </c>
      <c r="H5" s="540">
        <f>IF('Kit report'!F7&lt;0,"0",'Kit report'!F7)</f>
        <v>215.99999999991269</v>
      </c>
      <c r="I5" s="540">
        <f>IF('Kit report'!X7&lt;0,"0",'Kit report'!X7)</f>
        <v>100</v>
      </c>
      <c r="J5" s="540">
        <f>IF('Utility summery'!H9&lt;0,"0",'Utility summery'!H9)</f>
        <v>45</v>
      </c>
      <c r="K5" s="541">
        <f>IF('UTILITY REPORT 1'!H6&lt;0,"0",'UTILITY REPORT 1'!H6)</f>
        <v>92</v>
      </c>
      <c r="L5" s="540">
        <f>'Water-Meter'!K9</f>
        <v>1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54</v>
      </c>
      <c r="Q5" s="289">
        <f>IF('Water-Meter'!U9&lt;0,"0",'Water-Meter'!U9)</f>
        <v>77</v>
      </c>
      <c r="R5" s="289">
        <f>IF('Water-Meter'!X9&lt;0,"0",'Water-Meter'!X9)</f>
        <v>0</v>
      </c>
      <c r="S5" s="289">
        <f>IF('Water-Meter'!AA9&lt;0,"0",'Water-Meter'!AA9)</f>
        <v>25</v>
      </c>
      <c r="T5" s="289">
        <f>IF('Water-Meter'!AD9&lt;0,"0",'Water-Meter'!AD9)</f>
        <v>15</v>
      </c>
      <c r="U5" s="289">
        <f>IF('Water-Meter'!AG9&lt;0,"0",'Water-Meter'!AG9)</f>
        <v>0</v>
      </c>
      <c r="V5" s="289">
        <f>IF('Water-Meter'!AJ9&lt;0,"0",'Water-Meter'!AJ9)</f>
        <v>22</v>
      </c>
      <c r="W5" s="31">
        <f>'Water-Meter'!AN9</f>
        <v>139</v>
      </c>
      <c r="X5" s="558">
        <f>Total!K5</f>
        <v>8</v>
      </c>
    </row>
    <row r="6" spans="1:24">
      <c r="A6" s="542" t="s">
        <v>281</v>
      </c>
      <c r="B6" s="539">
        <f t="shared" si="0"/>
        <v>5</v>
      </c>
      <c r="C6" s="545">
        <v>9</v>
      </c>
      <c r="D6" s="546">
        <v>2020</v>
      </c>
      <c r="E6" s="540">
        <f>'UTILITY REPORT 1'!I7</f>
        <v>27.01</v>
      </c>
      <c r="F6" s="540">
        <f>'UTILITY REPORT 1'!E7</f>
        <v>841.98</v>
      </c>
      <c r="G6" s="541">
        <f>'UTILITY REPORT 1'!F7</f>
        <v>2152</v>
      </c>
      <c r="H6" s="540">
        <f>IF('Kit report'!F8&lt;0,"0",'Kit report'!F8)</f>
        <v>204.00000000008731</v>
      </c>
      <c r="I6" s="540">
        <f>IF('Kit report'!X8&lt;0,"0",'Kit report'!X8)</f>
        <v>40.000000000145519</v>
      </c>
      <c r="J6" s="540">
        <f>IF('Utility summery'!H10&lt;0,"0",'Utility summery'!H10)</f>
        <v>43</v>
      </c>
      <c r="K6" s="541">
        <f>IF('UTILITY REPORT 1'!H7&lt;0,"0",'UTILITY REPORT 1'!H7)</f>
        <v>1</v>
      </c>
      <c r="L6" s="540">
        <f>'Water-Meter'!K10</f>
        <v>1</v>
      </c>
      <c r="M6" s="541">
        <f>'Water-Meter'!H10</f>
        <v>0</v>
      </c>
      <c r="N6" s="541">
        <f>'Water-Meter'!Q10</f>
        <v>2</v>
      </c>
      <c r="O6" s="540" t="e">
        <f>K6*E6+H6*I6+#REF!*#REF!+J6*L6</f>
        <v>#REF!</v>
      </c>
      <c r="P6" s="547">
        <f>'Water-Meter'!E10</f>
        <v>50</v>
      </c>
      <c r="Q6" s="289">
        <f>IF('Water-Meter'!U10&lt;0,"0",'Water-Meter'!U10)</f>
        <v>20</v>
      </c>
      <c r="R6" s="289">
        <f>IF('Water-Meter'!X10&lt;0,"0",'Water-Meter'!X10)</f>
        <v>0</v>
      </c>
      <c r="S6" s="289">
        <f>IF('Water-Meter'!AA10&lt;0,"0",'Water-Meter'!AA10)</f>
        <v>43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24</v>
      </c>
      <c r="W6" s="31">
        <f>'Water-Meter'!AN10</f>
        <v>103</v>
      </c>
      <c r="X6" s="558">
        <f>Total!K6</f>
        <v>8</v>
      </c>
    </row>
    <row r="7" spans="1:24">
      <c r="A7" s="542" t="s">
        <v>281</v>
      </c>
      <c r="B7" s="539">
        <f t="shared" si="0"/>
        <v>6</v>
      </c>
      <c r="C7" s="545">
        <v>9</v>
      </c>
      <c r="D7" s="546">
        <v>2020</v>
      </c>
      <c r="E7" s="540">
        <f>'UTILITY REPORT 1'!I8</f>
        <v>0</v>
      </c>
      <c r="F7" s="540">
        <f>'UTILITY REPORT 1'!E8</f>
        <v>938.54</v>
      </c>
      <c r="G7" s="541">
        <f>'UTILITY REPORT 1'!F8</f>
        <v>2052</v>
      </c>
      <c r="H7" s="540">
        <f>IF('Kit report'!F9&lt;0,"0",'Kit report'!F9)</f>
        <v>143.99999999986903</v>
      </c>
      <c r="I7" s="540">
        <f>IF('Kit report'!X9&lt;0,"0",'Kit report'!X9)</f>
        <v>59.999999999854481</v>
      </c>
      <c r="J7" s="540">
        <f>IF('Utility summery'!H11&lt;0,"0",'Utility summery'!H11)</f>
        <v>35</v>
      </c>
      <c r="K7" s="541">
        <f>IF('UTILITY REPORT 1'!H8&lt;0,"0",'UTILITY REPORT 1'!H8)</f>
        <v>68</v>
      </c>
      <c r="L7" s="540">
        <f>'Water-Meter'!K11</f>
        <v>1</v>
      </c>
      <c r="M7" s="541">
        <f>'Water-Meter'!H11</f>
        <v>0</v>
      </c>
      <c r="N7" s="541">
        <f>'Water-Meter'!Q11</f>
        <v>2</v>
      </c>
      <c r="O7" s="540" t="e">
        <f>K7*E7+H7*I7+#REF!*#REF!+J7*L7</f>
        <v>#REF!</v>
      </c>
      <c r="P7" s="547">
        <f>'Water-Meter'!E11</f>
        <v>52</v>
      </c>
      <c r="Q7" s="289">
        <f>IF('Water-Meter'!U11&lt;0,"0",'Water-Meter'!U11)</f>
        <v>13</v>
      </c>
      <c r="R7" s="289">
        <f>IF('Water-Meter'!X11&lt;0,"0",'Water-Meter'!X11)</f>
        <v>0</v>
      </c>
      <c r="S7" s="289">
        <f>IF('Water-Meter'!AA11&lt;0,"0",'Water-Meter'!AA11)</f>
        <v>33</v>
      </c>
      <c r="T7" s="289">
        <f>IF('Water-Meter'!AD11&lt;0,"0",'Water-Meter'!AD11)</f>
        <v>15</v>
      </c>
      <c r="U7" s="289">
        <f>IF('Water-Meter'!AG11&lt;0,"0",'Water-Meter'!AG11)</f>
        <v>0</v>
      </c>
      <c r="V7" s="289">
        <f>IF('Water-Meter'!AJ11&lt;0,"0",'Water-Meter'!AJ11)</f>
        <v>22</v>
      </c>
      <c r="W7" s="31">
        <f>'Water-Meter'!AN11</f>
        <v>83</v>
      </c>
      <c r="X7" s="558">
        <f>Total!K7</f>
        <v>7</v>
      </c>
    </row>
    <row r="8" spans="1:24">
      <c r="A8" s="542" t="s">
        <v>281</v>
      </c>
      <c r="B8" s="539">
        <f t="shared" si="0"/>
        <v>7</v>
      </c>
      <c r="C8" s="545">
        <v>9</v>
      </c>
      <c r="D8" s="546">
        <v>2020</v>
      </c>
      <c r="E8" s="540">
        <f>'UTILITY REPORT 1'!I9</f>
        <v>258.14</v>
      </c>
      <c r="F8" s="540">
        <f>'UTILITY REPORT 1'!E9</f>
        <v>910.27</v>
      </c>
      <c r="G8" s="541">
        <f>'UTILITY REPORT 1'!F9</f>
        <v>2010</v>
      </c>
      <c r="H8" s="540">
        <f>IF('Kit report'!F10&lt;0,"0",'Kit report'!F10)</f>
        <v>192.00000000004366</v>
      </c>
      <c r="I8" s="540">
        <f>IF('Kit report'!X10&lt;0,"0",'Kit report'!X10)</f>
        <v>40.000000000145519</v>
      </c>
      <c r="J8" s="540">
        <f>IF('Utility summery'!H12&lt;0,"0",'Utility summery'!H12)</f>
        <v>44</v>
      </c>
      <c r="K8" s="541">
        <f>IF('UTILITY REPORT 1'!H9&lt;0,"0",'UTILITY REPORT 1'!H9)</f>
        <v>45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58</v>
      </c>
      <c r="Q8" s="289">
        <f>IF('Water-Meter'!U12&lt;0,"0",'Water-Meter'!U12)</f>
        <v>21</v>
      </c>
      <c r="R8" s="289">
        <f>IF('Water-Meter'!X12&lt;0,"0",'Water-Meter'!X12)</f>
        <v>0</v>
      </c>
      <c r="S8" s="289">
        <f>IF('Water-Meter'!AA12&lt;0,"0",'Water-Meter'!AA12)</f>
        <v>43</v>
      </c>
      <c r="T8" s="289">
        <f>IF('Water-Meter'!AD12&lt;0,"0",'Water-Meter'!AD12)</f>
        <v>17</v>
      </c>
      <c r="U8" s="289">
        <f>IF('Water-Meter'!AG12&lt;0,"0",'Water-Meter'!AG12)</f>
        <v>0</v>
      </c>
      <c r="V8" s="289">
        <f>IF('Water-Meter'!AJ12&lt;0,"0",'Water-Meter'!AJ12)</f>
        <v>25</v>
      </c>
      <c r="W8" s="31">
        <f>'Water-Meter'!AN12</f>
        <v>106</v>
      </c>
      <c r="X8" s="558">
        <f>Total!K8</f>
        <v>3</v>
      </c>
    </row>
    <row r="9" spans="1:24">
      <c r="A9" s="542" t="s">
        <v>281</v>
      </c>
      <c r="B9" s="539">
        <f t="shared" si="0"/>
        <v>8</v>
      </c>
      <c r="C9" s="545">
        <v>9</v>
      </c>
      <c r="D9" s="546">
        <v>2020</v>
      </c>
      <c r="E9" s="540">
        <f>'UTILITY REPORT 1'!I10</f>
        <v>123.3</v>
      </c>
      <c r="F9" s="540">
        <f>'UTILITY REPORT 1'!E10</f>
        <v>948.21</v>
      </c>
      <c r="G9" s="541">
        <f>'UTILITY REPORT 1'!F10</f>
        <v>2245</v>
      </c>
      <c r="H9" s="540">
        <f>IF('Kit report'!F11&lt;0,"0",'Kit report'!F11)</f>
        <v>192.00000000004366</v>
      </c>
      <c r="I9" s="540">
        <f>IF('Kit report'!X11&lt;0,"0",'Kit report'!X11)</f>
        <v>59.999999999854481</v>
      </c>
      <c r="J9" s="540">
        <f>IF('Utility summery'!H13&lt;0,"0",'Utility summery'!H13)</f>
        <v>35</v>
      </c>
      <c r="K9" s="541">
        <f>IF('UTILITY REPORT 1'!H10&lt;0,"0",'UTILITY REPORT 1'!H10)</f>
        <v>54</v>
      </c>
      <c r="L9" s="540">
        <f>'Water-Meter'!K13</f>
        <v>1</v>
      </c>
      <c r="M9" s="541">
        <f>'Water-Meter'!H13</f>
        <v>0</v>
      </c>
      <c r="N9" s="541">
        <f>'Water-Meter'!Q13</f>
        <v>4</v>
      </c>
      <c r="O9" s="540" t="e">
        <f>K9*E9+H9*I9+#REF!*#REF!+J9*L9</f>
        <v>#REF!</v>
      </c>
      <c r="P9" s="547">
        <f>'Water-Meter'!E13</f>
        <v>46</v>
      </c>
      <c r="Q9" s="289">
        <f>IF('Water-Meter'!U13&lt;0,"0",'Water-Meter'!U13)</f>
        <v>62</v>
      </c>
      <c r="R9" s="289">
        <f>IF('Water-Meter'!X13&lt;0,"0",'Water-Meter'!X13)</f>
        <v>0</v>
      </c>
      <c r="S9" s="289">
        <f>IF('Water-Meter'!AA13&lt;0,"0",'Water-Meter'!AA13)</f>
        <v>38</v>
      </c>
      <c r="T9" s="289">
        <f>IF('Water-Meter'!AD13&lt;0,"0",'Water-Meter'!AD13)</f>
        <v>15</v>
      </c>
      <c r="U9" s="289">
        <f>IF('Water-Meter'!AG13&lt;0,"0",'Water-Meter'!AG13)</f>
        <v>0</v>
      </c>
      <c r="V9" s="289">
        <f>IF('Water-Meter'!AJ13&lt;0,"0",'Water-Meter'!AJ13)</f>
        <v>23</v>
      </c>
      <c r="W9" s="31">
        <f>'Water-Meter'!AN13</f>
        <v>138</v>
      </c>
      <c r="X9" s="558">
        <f>Total!K9</f>
        <v>7</v>
      </c>
    </row>
    <row r="10" spans="1:24">
      <c r="A10" s="542" t="s">
        <v>281</v>
      </c>
      <c r="B10" s="539">
        <f t="shared" si="0"/>
        <v>9</v>
      </c>
      <c r="C10" s="545">
        <v>9</v>
      </c>
      <c r="D10" s="546">
        <v>2020</v>
      </c>
      <c r="E10" s="540">
        <f>'UTILITY REPORT 1'!I11</f>
        <v>0</v>
      </c>
      <c r="F10" s="540">
        <f>'UTILITY REPORT 1'!E11</f>
        <v>916.32999999999993</v>
      </c>
      <c r="G10" s="541">
        <f>'UTILITY REPORT 1'!F11</f>
        <v>2101</v>
      </c>
      <c r="H10" s="540">
        <f>IF('Kit report'!F12&lt;0,"0",'Kit report'!F12)</f>
        <v>192.00000000004366</v>
      </c>
      <c r="I10" s="540">
        <f>IF('Kit report'!X12&lt;0,"0",'Kit report'!X12)</f>
        <v>0</v>
      </c>
      <c r="J10" s="540">
        <f>IF('Utility summery'!H14&lt;0,"0",'Utility summery'!H14)</f>
        <v>39</v>
      </c>
      <c r="K10" s="541">
        <f>IF('UTILITY REPORT 1'!H11&lt;0,"0",'UTILITY REPORT 1'!H11)</f>
        <v>46</v>
      </c>
      <c r="L10" s="540">
        <f>'Water-Meter'!K14</f>
        <v>2</v>
      </c>
      <c r="M10" s="541">
        <f>'Water-Meter'!H14</f>
        <v>0</v>
      </c>
      <c r="N10" s="541">
        <f>'Water-Meter'!Q14</f>
        <v>1</v>
      </c>
      <c r="O10" s="540" t="e">
        <f>K10*E10+H10*I10+#REF!*#REF!+J10*L10</f>
        <v>#REF!</v>
      </c>
      <c r="P10" s="547">
        <f>'Water-Meter'!E14</f>
        <v>52</v>
      </c>
      <c r="Q10" s="289">
        <f>IF('Water-Meter'!U14&lt;0,"0",'Water-Meter'!U14)</f>
        <v>17</v>
      </c>
      <c r="R10" s="289">
        <f>IF('Water-Meter'!X14&lt;0,"0",'Water-Meter'!X14)</f>
        <v>0</v>
      </c>
      <c r="S10" s="289">
        <f>IF('Water-Meter'!AA14&lt;0,"0",'Water-Meter'!AA14)</f>
        <v>37</v>
      </c>
      <c r="T10" s="289">
        <f>IF('Water-Meter'!AD14&lt;0,"0",'Water-Meter'!AD14)</f>
        <v>17</v>
      </c>
      <c r="U10" s="289">
        <f>IF('Water-Meter'!AG14&lt;0,"0",'Water-Meter'!AG14)</f>
        <v>0</v>
      </c>
      <c r="V10" s="289">
        <f>IF('Water-Meter'!AJ14&lt;0,"0",'Water-Meter'!AJ14)</f>
        <v>21</v>
      </c>
      <c r="W10" s="31">
        <f>'Water-Meter'!AN14</f>
        <v>92</v>
      </c>
      <c r="X10" s="558">
        <f>Total!K10</f>
        <v>5</v>
      </c>
    </row>
    <row r="11" spans="1:24">
      <c r="A11" s="542" t="s">
        <v>281</v>
      </c>
      <c r="B11" s="539">
        <f t="shared" si="0"/>
        <v>10</v>
      </c>
      <c r="C11" s="545">
        <v>9</v>
      </c>
      <c r="D11" s="546">
        <v>2020</v>
      </c>
      <c r="E11" s="540">
        <f>'UTILITY REPORT 1'!I12</f>
        <v>0</v>
      </c>
      <c r="F11" s="540">
        <f>'UTILITY REPORT 1'!E12</f>
        <v>978.04</v>
      </c>
      <c r="G11" s="541">
        <f>'UTILITY REPORT 1'!F12</f>
        <v>2199</v>
      </c>
      <c r="H11" s="540">
        <f>IF('Kit report'!F13&lt;0,"0",'Kit report'!F13)</f>
        <v>203.99999999986903</v>
      </c>
      <c r="I11" s="540">
        <f>IF('Kit report'!X13&lt;0,"0",'Kit report'!X13)</f>
        <v>140.00000000014552</v>
      </c>
      <c r="J11" s="540">
        <f>IF('Utility summery'!H15&lt;0,"0",'Utility summery'!H15)</f>
        <v>34</v>
      </c>
      <c r="K11" s="541">
        <f>IF('UTILITY REPORT 1'!H12&lt;0,"0",'UTILITY REPORT 1'!H12)</f>
        <v>103</v>
      </c>
      <c r="L11" s="540">
        <f>'Water-Meter'!K15</f>
        <v>1</v>
      </c>
      <c r="M11" s="541">
        <f>'Water-Meter'!H15</f>
        <v>0</v>
      </c>
      <c r="N11" s="541">
        <f>'Water-Meter'!Q15</f>
        <v>1</v>
      </c>
      <c r="O11" s="540" t="e">
        <f>K11*E11+H11*I11+#REF!*#REF!+J11*L11</f>
        <v>#REF!</v>
      </c>
      <c r="P11" s="547">
        <f>'Water-Meter'!E15</f>
        <v>55</v>
      </c>
      <c r="Q11" s="289">
        <f>IF('Water-Meter'!U15&lt;0,"0",'Water-Meter'!U15)</f>
        <v>20</v>
      </c>
      <c r="R11" s="289">
        <f>IF('Water-Meter'!X15&lt;0,"0",'Water-Meter'!X15)</f>
        <v>0</v>
      </c>
      <c r="S11" s="289">
        <f>IF('Water-Meter'!AA15&lt;0,"0",'Water-Meter'!AA15)</f>
        <v>38</v>
      </c>
      <c r="T11" s="289">
        <f>IF('Water-Meter'!AD15&lt;0,"0",'Water-Meter'!AD15)</f>
        <v>20</v>
      </c>
      <c r="U11" s="289">
        <f>IF('Water-Meter'!AG15&lt;0,"0",'Water-Meter'!AG15)</f>
        <v>0</v>
      </c>
      <c r="V11" s="289">
        <f>IF('Water-Meter'!AJ15&lt;0,"0",'Water-Meter'!AJ15)</f>
        <v>23</v>
      </c>
      <c r="W11" s="31">
        <f>'Water-Meter'!AN15</f>
        <v>101</v>
      </c>
      <c r="X11" s="558">
        <f>Total!K11</f>
        <v>1</v>
      </c>
    </row>
    <row r="12" spans="1:24">
      <c r="A12" s="542" t="s">
        <v>281</v>
      </c>
      <c r="B12" s="539">
        <f t="shared" si="0"/>
        <v>11</v>
      </c>
      <c r="C12" s="545">
        <v>9</v>
      </c>
      <c r="D12" s="546">
        <v>2020</v>
      </c>
      <c r="E12" s="540">
        <f>'UTILITY REPORT 1'!I13</f>
        <v>0</v>
      </c>
      <c r="F12" s="540">
        <f>'UTILITY REPORT 1'!E13</f>
        <v>782.55</v>
      </c>
      <c r="G12" s="541">
        <f>'UTILITY REPORT 1'!F13</f>
        <v>2126</v>
      </c>
      <c r="H12" s="540">
        <f>IF('Kit report'!F14&lt;0,"0",'Kit report'!F14)</f>
        <v>192.00000000004366</v>
      </c>
      <c r="I12" s="540">
        <f>IF('Kit report'!X14&lt;0,"0",'Kit report'!X14)</f>
        <v>19.999999999890861</v>
      </c>
      <c r="J12" s="540">
        <f>IF('Utility summery'!H16&lt;0,"0",'Utility summery'!H16)</f>
        <v>29</v>
      </c>
      <c r="K12" s="541">
        <f>IF('UTILITY REPORT 1'!H13&lt;0,"0",'UTILITY REPORT 1'!H13)</f>
        <v>1</v>
      </c>
      <c r="L12" s="540">
        <f>'Water-Meter'!K16</f>
        <v>1</v>
      </c>
      <c r="M12" s="541">
        <f>'Water-Meter'!H16</f>
        <v>0</v>
      </c>
      <c r="N12" s="541">
        <f>'Water-Meter'!Q16</f>
        <v>1</v>
      </c>
      <c r="O12" s="540" t="e">
        <f>K12*E12+H12*I12+#REF!*#REF!+J12*L12</f>
        <v>#REF!</v>
      </c>
      <c r="P12" s="547">
        <f>'Water-Meter'!E16</f>
        <v>94</v>
      </c>
      <c r="Q12" s="289">
        <f>IF('Water-Meter'!U16&lt;0,"0",'Water-Meter'!U16)</f>
        <v>21</v>
      </c>
      <c r="R12" s="289">
        <f>IF('Water-Meter'!X16&lt;0,"0",'Water-Meter'!X16)</f>
        <v>0</v>
      </c>
      <c r="S12" s="289">
        <f>IF('Water-Meter'!AA16&lt;0,"0",'Water-Meter'!AA16)</f>
        <v>37</v>
      </c>
      <c r="T12" s="289">
        <f>IF('Water-Meter'!AD16&lt;0,"0",'Water-Meter'!AD16)</f>
        <v>20</v>
      </c>
      <c r="U12" s="289">
        <f>IF('Water-Meter'!AG16&lt;0,"0",'Water-Meter'!AG16)</f>
        <v>0</v>
      </c>
      <c r="V12" s="289">
        <f>IF('Water-Meter'!AJ16&lt;0,"0",'Water-Meter'!AJ16)</f>
        <v>23</v>
      </c>
      <c r="W12" s="31">
        <f>'Water-Meter'!AN16</f>
        <v>101</v>
      </c>
      <c r="X12" s="558">
        <f>Total!K12</f>
        <v>3</v>
      </c>
    </row>
    <row r="13" spans="1:24">
      <c r="A13" s="542" t="s">
        <v>281</v>
      </c>
      <c r="B13" s="539">
        <f t="shared" si="0"/>
        <v>12</v>
      </c>
      <c r="C13" s="545">
        <v>9</v>
      </c>
      <c r="D13" s="546">
        <v>2020</v>
      </c>
      <c r="E13" s="540">
        <f>'UTILITY REPORT 1'!I14</f>
        <v>0</v>
      </c>
      <c r="F13" s="540">
        <f>'UTILITY REPORT 1'!E14</f>
        <v>732.78</v>
      </c>
      <c r="G13" s="541">
        <f>'UTILITY REPORT 1'!F14</f>
        <v>2174</v>
      </c>
      <c r="H13" s="540">
        <f>IF('Kit report'!F15&lt;0,"0",'Kit report'!F15)</f>
        <v>180</v>
      </c>
      <c r="I13" s="540">
        <f>IF('Kit report'!X15&lt;0,"0",'Kit report'!X15)</f>
        <v>20.00000000007276</v>
      </c>
      <c r="J13" s="540">
        <f>IF('Utility summery'!H17&lt;0,"0",'Utility summery'!H17)</f>
        <v>33</v>
      </c>
      <c r="K13" s="541">
        <f>IF('UTILITY REPORT 1'!H14&lt;0,"0",'UTILITY REPORT 1'!H14)</f>
        <v>10</v>
      </c>
      <c r="L13" s="540">
        <f>'Water-Meter'!K17</f>
        <v>1</v>
      </c>
      <c r="M13" s="541">
        <f>'Water-Meter'!H17</f>
        <v>0</v>
      </c>
      <c r="N13" s="541">
        <f>'Water-Meter'!Q17</f>
        <v>1</v>
      </c>
      <c r="O13" s="540" t="e">
        <f>K13*E13+H13*I13+#REF!*#REF!+J13*L13</f>
        <v>#REF!</v>
      </c>
      <c r="P13" s="547">
        <f>'Water-Meter'!E17</f>
        <v>59</v>
      </c>
      <c r="Q13" s="289">
        <f>IF('Water-Meter'!U17&lt;0,"0",'Water-Meter'!U17)</f>
        <v>9</v>
      </c>
      <c r="R13" s="289">
        <f>IF('Water-Meter'!X17&lt;0,"0",'Water-Meter'!X17)</f>
        <v>0</v>
      </c>
      <c r="S13" s="289">
        <f>IF('Water-Meter'!AA17&lt;0,"0",'Water-Meter'!AA17)</f>
        <v>36</v>
      </c>
      <c r="T13" s="289">
        <f>IF('Water-Meter'!AD17&lt;0,"0",'Water-Meter'!AD17)</f>
        <v>19</v>
      </c>
      <c r="U13" s="289">
        <f>IF('Water-Meter'!AG17&lt;0,"0",'Water-Meter'!AG17)</f>
        <v>0</v>
      </c>
      <c r="V13" s="289">
        <f>IF('Water-Meter'!AJ17&lt;0,"0",'Water-Meter'!AJ17)</f>
        <v>22</v>
      </c>
      <c r="W13" s="31">
        <f>'Water-Meter'!AN17</f>
        <v>86</v>
      </c>
      <c r="X13" s="558">
        <f>Total!K13</f>
        <v>3</v>
      </c>
    </row>
    <row r="14" spans="1:24">
      <c r="A14" s="542" t="s">
        <v>281</v>
      </c>
      <c r="B14" s="539">
        <f t="shared" si="0"/>
        <v>13</v>
      </c>
      <c r="C14" s="545">
        <v>9</v>
      </c>
      <c r="D14" s="546">
        <v>2020</v>
      </c>
      <c r="E14" s="540">
        <f>'UTILITY REPORT 1'!I15</f>
        <v>71.040000000000006</v>
      </c>
      <c r="F14" s="540">
        <f>'UTILITY REPORT 1'!E15</f>
        <v>935.74</v>
      </c>
      <c r="G14" s="541">
        <f>'UTILITY REPORT 1'!F15</f>
        <v>2113</v>
      </c>
      <c r="H14" s="540">
        <f>IF('Kit report'!F16&lt;0,"0",'Kit report'!F16)</f>
        <v>180</v>
      </c>
      <c r="I14" s="540">
        <f>IF('Kit report'!X16&lt;0,"0",'Kit report'!X16)</f>
        <v>39.99999999996362</v>
      </c>
      <c r="J14" s="540">
        <f>IF('Utility summery'!H18&lt;0,"0",'Utility summery'!H18)</f>
        <v>34</v>
      </c>
      <c r="K14" s="541">
        <f>IF('UTILITY REPORT 1'!H15&lt;0,"0",'UTILITY REPORT 1'!H15)</f>
        <v>16</v>
      </c>
      <c r="L14" s="540">
        <f>'Water-Meter'!K18</f>
        <v>1</v>
      </c>
      <c r="M14" s="541">
        <f>'Water-Meter'!H18</f>
        <v>0</v>
      </c>
      <c r="N14" s="541">
        <f>'Water-Meter'!Q18</f>
        <v>1</v>
      </c>
      <c r="O14" s="540" t="e">
        <f>K14*E14+H14*I14+#REF!*#REF!+J14*L14</f>
        <v>#REF!</v>
      </c>
      <c r="P14" s="547">
        <f>'Water-Meter'!E18</f>
        <v>36</v>
      </c>
      <c r="Q14" s="289">
        <f>IF('Water-Meter'!U18&lt;0,"0",'Water-Meter'!U18)</f>
        <v>82</v>
      </c>
      <c r="R14" s="289">
        <f>IF('Water-Meter'!X18&lt;0,"0",'Water-Meter'!X18)</f>
        <v>0</v>
      </c>
      <c r="S14" s="289">
        <f>IF('Water-Meter'!AA18&lt;0,"0",'Water-Meter'!AA18)</f>
        <v>36</v>
      </c>
      <c r="T14" s="289">
        <f>IF('Water-Meter'!AD18&lt;0,"0",'Water-Meter'!AD18)</f>
        <v>20</v>
      </c>
      <c r="U14" s="289">
        <f>IF('Water-Meter'!AG18&lt;0,"0",'Water-Meter'!AG18)</f>
        <v>0</v>
      </c>
      <c r="V14" s="289">
        <f>IF('Water-Meter'!AJ18&lt;0,"0",'Water-Meter'!AJ18)</f>
        <v>23</v>
      </c>
      <c r="W14" s="31">
        <f>'Water-Meter'!AN18</f>
        <v>161</v>
      </c>
      <c r="X14" s="558">
        <f>Total!K14</f>
        <v>3</v>
      </c>
    </row>
    <row r="15" spans="1:24">
      <c r="A15" s="542" t="s">
        <v>281</v>
      </c>
      <c r="B15" s="539">
        <f t="shared" si="0"/>
        <v>14</v>
      </c>
      <c r="C15" s="545">
        <v>9</v>
      </c>
      <c r="D15" s="546">
        <v>2020</v>
      </c>
      <c r="E15" s="540">
        <f>'UTILITY REPORT 1'!I16</f>
        <v>0</v>
      </c>
      <c r="F15" s="540">
        <f>'UTILITY REPORT 1'!E16</f>
        <v>890.08999999999992</v>
      </c>
      <c r="G15" s="541">
        <f>'UTILITY REPORT 1'!F16</f>
        <v>2040</v>
      </c>
      <c r="H15" s="540">
        <f>IF('Kit report'!F17&lt;0,"0",'Kit report'!F17)</f>
        <v>204.00000000008731</v>
      </c>
      <c r="I15" s="540">
        <f>IF('Kit report'!X17&lt;0,"0",'Kit report'!X17)</f>
        <v>79.99999999992724</v>
      </c>
      <c r="J15" s="540">
        <f>IF('Utility summery'!H19&lt;0,"0",'Utility summery'!H19)</f>
        <v>34</v>
      </c>
      <c r="K15" s="541">
        <f>IF('UTILITY REPORT 1'!H16&lt;0,"0",'UTILITY REPORT 1'!H16)</f>
        <v>33</v>
      </c>
      <c r="L15" s="540">
        <f>'Water-Meter'!K19</f>
        <v>0</v>
      </c>
      <c r="M15" s="541">
        <f>'Water-Meter'!H19</f>
        <v>0</v>
      </c>
      <c r="N15" s="541">
        <f>'Water-Meter'!Q19</f>
        <v>3</v>
      </c>
      <c r="O15" s="540" t="e">
        <f>K15*E15+H15*I15+#REF!*#REF!+J15*L15</f>
        <v>#REF!</v>
      </c>
      <c r="P15" s="547">
        <f>'Water-Meter'!E19</f>
        <v>53</v>
      </c>
      <c r="Q15" s="289">
        <f>IF('Water-Meter'!U19&lt;0,"0",'Water-Meter'!U19)</f>
        <v>21</v>
      </c>
      <c r="R15" s="289">
        <f>IF('Water-Meter'!X19&lt;0,"0",'Water-Meter'!X19)</f>
        <v>0</v>
      </c>
      <c r="S15" s="289">
        <f>IF('Water-Meter'!AA19&lt;0,"0",'Water-Meter'!AA19)</f>
        <v>37</v>
      </c>
      <c r="T15" s="289">
        <f>IF('Water-Meter'!AD19&lt;0,"0",'Water-Meter'!AD19)</f>
        <v>20</v>
      </c>
      <c r="U15" s="289">
        <f>IF('Water-Meter'!AG19&lt;0,"0",'Water-Meter'!AG19)</f>
        <v>0</v>
      </c>
      <c r="V15" s="289">
        <f>IF('Water-Meter'!AJ19&lt;0,"0",'Water-Meter'!AJ19)</f>
        <v>22</v>
      </c>
      <c r="W15" s="31">
        <f>'Water-Meter'!AN19</f>
        <v>100</v>
      </c>
      <c r="X15" s="558">
        <f>Total!K15</f>
        <v>4</v>
      </c>
    </row>
    <row r="16" spans="1:24">
      <c r="A16" s="542" t="s">
        <v>281</v>
      </c>
      <c r="B16" s="539">
        <f t="shared" si="0"/>
        <v>15</v>
      </c>
      <c r="C16" s="545">
        <v>9</v>
      </c>
      <c r="D16" s="546">
        <v>2020</v>
      </c>
      <c r="E16" s="540">
        <f>'UTILITY REPORT 1'!I17</f>
        <v>0</v>
      </c>
      <c r="F16" s="540">
        <f>'UTILITY REPORT 1'!E17</f>
        <v>888.98</v>
      </c>
      <c r="G16" s="541">
        <f>'UTILITY REPORT 1'!F17</f>
        <v>2084</v>
      </c>
      <c r="H16" s="540">
        <f>IF('Kit report'!F18&lt;0,"0",'Kit report'!F18)</f>
        <v>203.99999999986903</v>
      </c>
      <c r="I16" s="540">
        <f>IF('Kit report'!X18&lt;0,"0",'Kit report'!X18)</f>
        <v>40.000000000145519</v>
      </c>
      <c r="J16" s="540">
        <f>IF('Utility summery'!H20&lt;0,"0",'Utility summery'!H20)</f>
        <v>36</v>
      </c>
      <c r="K16" s="541">
        <f>IF('UTILITY REPORT 1'!H17&lt;0,"0",'UTILITY REPORT 1'!H17)</f>
        <v>41</v>
      </c>
      <c r="L16" s="540">
        <f>'Water-Meter'!K20</f>
        <v>1</v>
      </c>
      <c r="M16" s="541">
        <f>'Water-Meter'!H20</f>
        <v>0</v>
      </c>
      <c r="N16" s="541">
        <f>'Water-Meter'!Q20</f>
        <v>2</v>
      </c>
      <c r="O16" s="540" t="e">
        <f>K16*E16+H16*I16+#REF!*#REF!+J16*L16</f>
        <v>#REF!</v>
      </c>
      <c r="P16" s="547">
        <f>'Water-Meter'!E20</f>
        <v>40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36</v>
      </c>
      <c r="T16" s="289">
        <f>IF('Water-Meter'!AD20&lt;0,"0",'Water-Meter'!AD20)</f>
        <v>19</v>
      </c>
      <c r="U16" s="289">
        <f>IF('Water-Meter'!AG20&lt;0,"0",'Water-Meter'!AG20)</f>
        <v>0</v>
      </c>
      <c r="V16" s="289">
        <f>IF('Water-Meter'!AJ20&lt;0,"0",'Water-Meter'!AJ20)</f>
        <v>22</v>
      </c>
      <c r="W16" s="31">
        <f>'Water-Meter'!AN20</f>
        <v>77</v>
      </c>
      <c r="X16" s="558">
        <f>Total!K16</f>
        <v>4</v>
      </c>
    </row>
    <row r="17" spans="1:24">
      <c r="A17" s="542" t="s">
        <v>281</v>
      </c>
      <c r="B17" s="539">
        <f t="shared" si="0"/>
        <v>16</v>
      </c>
      <c r="C17" s="545">
        <v>9</v>
      </c>
      <c r="D17" s="546">
        <v>2020</v>
      </c>
      <c r="E17" s="540">
        <f>'UTILITY REPORT 1'!I18</f>
        <v>181.14</v>
      </c>
      <c r="F17" s="540">
        <f>'UTILITY REPORT 1'!E18</f>
        <v>1095.46</v>
      </c>
      <c r="G17" s="541">
        <f>'UTILITY REPORT 1'!F18</f>
        <v>2489</v>
      </c>
      <c r="H17" s="540">
        <f>IF('Kit report'!F19&lt;0,"0",'Kit report'!F19)</f>
        <v>228.00000000017462</v>
      </c>
      <c r="I17" s="540">
        <f>IF('Kit report'!X19&lt;0,"0",'Kit report'!X19)</f>
        <v>59.999999999854481</v>
      </c>
      <c r="J17" s="540">
        <f>IF('Utility summery'!H21&lt;0,"0",'Utility summery'!H21)</f>
        <v>36</v>
      </c>
      <c r="K17" s="541">
        <f>IF('UTILITY REPORT 1'!H18&lt;0,"0",'UTILITY REPORT 1'!H18)</f>
        <v>16</v>
      </c>
      <c r="L17" s="540">
        <f>'Water-Meter'!K21</f>
        <v>1</v>
      </c>
      <c r="M17" s="541">
        <f>'Water-Meter'!H21</f>
        <v>0</v>
      </c>
      <c r="N17" s="541">
        <f>'Water-Meter'!Q21</f>
        <v>2</v>
      </c>
      <c r="O17" s="540" t="e">
        <f>K17*E17+H17*I17+#REF!*#REF!+J17*L17</f>
        <v>#REF!</v>
      </c>
      <c r="P17" s="547">
        <f>'Water-Meter'!E21</f>
        <v>30</v>
      </c>
      <c r="Q17" s="289">
        <f>IF('Water-Meter'!U21&lt;0,"0",'Water-Meter'!U21)</f>
        <v>70</v>
      </c>
      <c r="R17" s="289">
        <f>IF('Water-Meter'!X21&lt;0,"0",'Water-Meter'!X21)</f>
        <v>0</v>
      </c>
      <c r="S17" s="289">
        <f>IF('Water-Meter'!AA21&lt;0,"0",'Water-Meter'!AA21)</f>
        <v>37</v>
      </c>
      <c r="T17" s="289">
        <f>IF('Water-Meter'!AD21&lt;0,"0",'Water-Meter'!AD21)</f>
        <v>20</v>
      </c>
      <c r="U17" s="289">
        <f>IF('Water-Meter'!AG21&lt;0,"0",'Water-Meter'!AG21)</f>
        <v>0</v>
      </c>
      <c r="V17" s="289">
        <f>IF('Water-Meter'!AJ21&lt;0,"0",'Water-Meter'!AJ21)</f>
        <v>22</v>
      </c>
      <c r="W17" s="31">
        <f>'Water-Meter'!AN21</f>
        <v>149</v>
      </c>
      <c r="X17" s="558">
        <f>Total!K17</f>
        <v>11</v>
      </c>
    </row>
    <row r="18" spans="1:24">
      <c r="A18" s="542" t="s">
        <v>281</v>
      </c>
      <c r="B18" s="539">
        <f t="shared" si="0"/>
        <v>17</v>
      </c>
      <c r="C18" s="545">
        <v>9</v>
      </c>
      <c r="D18" s="546">
        <v>2020</v>
      </c>
      <c r="E18" s="540">
        <f>'UTILITY REPORT 1'!I19</f>
        <v>25.41</v>
      </c>
      <c r="F18" s="540">
        <f>'UTILITY REPORT 1'!E19</f>
        <v>1018.0699999999999</v>
      </c>
      <c r="G18" s="541">
        <f>'UTILITY REPORT 1'!F19</f>
        <v>2499</v>
      </c>
      <c r="H18" s="540">
        <f>IF('Kit report'!F20&lt;0,"0",'Kit report'!F20)</f>
        <v>203.99999999986903</v>
      </c>
      <c r="I18" s="540">
        <f>IF('Kit report'!X20&lt;0,"0",'Kit report'!X20)</f>
        <v>80.000000000109139</v>
      </c>
      <c r="J18" s="540">
        <f>IF('Utility summery'!H22&lt;0,"0",'Utility summery'!H22)</f>
        <v>37</v>
      </c>
      <c r="K18" s="541">
        <f>IF('UTILITY REPORT 1'!H19&lt;0,"0",'UTILITY REPORT 1'!H19)</f>
        <v>55</v>
      </c>
      <c r="L18" s="540">
        <f>'Water-Meter'!K22</f>
        <v>0</v>
      </c>
      <c r="M18" s="541">
        <f>'Water-Meter'!H22</f>
        <v>0</v>
      </c>
      <c r="N18" s="541">
        <f>'Water-Meter'!Q22</f>
        <v>2</v>
      </c>
      <c r="O18" s="540" t="e">
        <f>K18*E18+H18*I18+#REF!*#REF!+J18*L18</f>
        <v>#REF!</v>
      </c>
      <c r="P18" s="547">
        <f>'Water-Meter'!E22</f>
        <v>49</v>
      </c>
      <c r="Q18" s="289">
        <f>IF('Water-Meter'!U22&lt;0,"0",'Water-Meter'!U22)</f>
        <v>25</v>
      </c>
      <c r="R18" s="289">
        <f>IF('Water-Meter'!X22&lt;0,"0",'Water-Meter'!X22)</f>
        <v>0</v>
      </c>
      <c r="S18" s="289">
        <f>IF('Water-Meter'!AA22&lt;0,"0",'Water-Meter'!AA22)</f>
        <v>37</v>
      </c>
      <c r="T18" s="289">
        <f>IF('Water-Meter'!AD22&lt;0,"0",'Water-Meter'!AD22)</f>
        <v>20</v>
      </c>
      <c r="U18" s="289">
        <f>IF('Water-Meter'!AG22&lt;0,"0",'Water-Meter'!AG22)</f>
        <v>0</v>
      </c>
      <c r="V18" s="289">
        <f>IF('Water-Meter'!AJ22&lt;0,"0",'Water-Meter'!AJ22)</f>
        <v>23</v>
      </c>
      <c r="W18" s="31">
        <f>'Water-Meter'!AN22</f>
        <v>105</v>
      </c>
      <c r="X18" s="558">
        <f>Total!K18</f>
        <v>10</v>
      </c>
    </row>
    <row r="19" spans="1:24">
      <c r="A19" s="542" t="s">
        <v>281</v>
      </c>
      <c r="B19" s="539">
        <f t="shared" si="0"/>
        <v>18</v>
      </c>
      <c r="C19" s="545">
        <v>9</v>
      </c>
      <c r="D19" s="546">
        <v>2020</v>
      </c>
      <c r="E19" s="540">
        <f>'UTILITY REPORT 1'!I20</f>
        <v>0</v>
      </c>
      <c r="F19" s="540">
        <f>'UTILITY REPORT 1'!E20</f>
        <v>1041.27</v>
      </c>
      <c r="G19" s="541">
        <f>'UTILITY REPORT 1'!F20</f>
        <v>2622</v>
      </c>
      <c r="H19" s="540">
        <f>IF('Kit report'!F21&lt;0,"0",'Kit report'!F21)</f>
        <v>216.00000000013097</v>
      </c>
      <c r="I19" s="540">
        <f>IF('Kit report'!X21&lt;0,"0",'Kit report'!X21)</f>
        <v>60.00000000003638</v>
      </c>
      <c r="J19" s="540">
        <f>IF('Utility summery'!H23&lt;0,"0",'Utility summery'!H23)</f>
        <v>34</v>
      </c>
      <c r="K19" s="541">
        <f>IF('UTILITY REPORT 1'!H20&lt;0,"0",'UTILITY REPORT 1'!H20)</f>
        <v>20</v>
      </c>
      <c r="L19" s="540">
        <f>'Water-Meter'!K23</f>
        <v>1</v>
      </c>
      <c r="M19" s="541">
        <f>'Water-Meter'!H23</f>
        <v>0</v>
      </c>
      <c r="N19" s="541">
        <f>'Water-Meter'!Q23</f>
        <v>2</v>
      </c>
      <c r="O19" s="540" t="e">
        <f>K19*E19+H19*I19+#REF!*#REF!+J19*L19</f>
        <v>#REF!</v>
      </c>
      <c r="P19" s="547">
        <f>'Water-Meter'!E23</f>
        <v>50</v>
      </c>
      <c r="Q19" s="289">
        <f>IF('Water-Meter'!U23&lt;0,"0",'Water-Meter'!U23)</f>
        <v>28</v>
      </c>
      <c r="R19" s="289">
        <f>IF('Water-Meter'!X23&lt;0,"0",'Water-Meter'!X23)</f>
        <v>0</v>
      </c>
      <c r="S19" s="289">
        <f>IF('Water-Meter'!AA23&lt;0,"0",'Water-Meter'!AA23)</f>
        <v>35</v>
      </c>
      <c r="T19" s="289">
        <f>IF('Water-Meter'!AD23&lt;0,"0",'Water-Meter'!AD23)</f>
        <v>19</v>
      </c>
      <c r="U19" s="289">
        <f>IF('Water-Meter'!AG23&lt;0,"0",'Water-Meter'!AG23)</f>
        <v>0</v>
      </c>
      <c r="V19" s="289">
        <f>IF('Water-Meter'!AJ23&lt;0,"0",'Water-Meter'!AJ23)</f>
        <v>22</v>
      </c>
      <c r="W19" s="31">
        <f>'Water-Meter'!AN23</f>
        <v>104</v>
      </c>
      <c r="X19" s="558">
        <f>Total!K19</f>
        <v>12</v>
      </c>
    </row>
    <row r="20" spans="1:24">
      <c r="A20" s="542" t="s">
        <v>281</v>
      </c>
      <c r="B20" s="539">
        <f t="shared" si="0"/>
        <v>19</v>
      </c>
      <c r="C20" s="545">
        <v>9</v>
      </c>
      <c r="D20" s="546">
        <v>2020</v>
      </c>
      <c r="E20" s="540">
        <f>'UTILITY REPORT 1'!I21</f>
        <v>374.38</v>
      </c>
      <c r="F20" s="540">
        <f>'UTILITY REPORT 1'!E21</f>
        <v>1129.8800000000001</v>
      </c>
      <c r="G20" s="541">
        <f>'UTILITY REPORT 1'!F21</f>
        <v>2500</v>
      </c>
      <c r="H20" s="540">
        <f>IF('Kit report'!F22&lt;0,"0",'Kit report'!F22)</f>
        <v>227.99999999995634</v>
      </c>
      <c r="I20" s="540">
        <f>IF('Kit report'!X22&lt;0,"0",'Kit report'!X22)</f>
        <v>79.99999999992724</v>
      </c>
      <c r="J20" s="540">
        <f>IF('Utility summery'!H24&lt;0,"0",'Utility summery'!H24)</f>
        <v>32</v>
      </c>
      <c r="K20" s="541">
        <f>IF('UTILITY REPORT 1'!H21&lt;0,"0",'UTILITY REPORT 1'!H21)</f>
        <v>42</v>
      </c>
      <c r="L20" s="540">
        <f>'Water-Meter'!K24</f>
        <v>1</v>
      </c>
      <c r="M20" s="541">
        <f>'Water-Meter'!H24</f>
        <v>0</v>
      </c>
      <c r="N20" s="541">
        <f>'Water-Meter'!Q24</f>
        <v>2</v>
      </c>
      <c r="O20" s="540" t="e">
        <f>K20*E20+H20*I20+#REF!*#REF!+J20*L20</f>
        <v>#REF!</v>
      </c>
      <c r="P20" s="547">
        <f>'Water-Meter'!E24</f>
        <v>51</v>
      </c>
      <c r="Q20" s="289">
        <f>IF('Water-Meter'!U24&lt;0,"0",'Water-Meter'!U24)</f>
        <v>75</v>
      </c>
      <c r="R20" s="289">
        <f>IF('Water-Meter'!X24&lt;0,"0",'Water-Meter'!X24)</f>
        <v>0</v>
      </c>
      <c r="S20" s="289">
        <f>IF('Water-Meter'!AA24&lt;0,"0",'Water-Meter'!AA24)</f>
        <v>36</v>
      </c>
      <c r="T20" s="289">
        <f>IF('Water-Meter'!AD24&lt;0,"0",'Water-Meter'!AD24)</f>
        <v>19</v>
      </c>
      <c r="U20" s="289">
        <f>IF('Water-Meter'!AG24&lt;0,"0",'Water-Meter'!AG24)</f>
        <v>0</v>
      </c>
      <c r="V20" s="289">
        <f>IF('Water-Meter'!AJ24&lt;0,"0",'Water-Meter'!AJ24)</f>
        <v>21</v>
      </c>
      <c r="W20" s="31">
        <f>'Water-Meter'!AN24</f>
        <v>151</v>
      </c>
      <c r="X20" s="558">
        <f>Total!K20</f>
        <v>8</v>
      </c>
    </row>
    <row r="21" spans="1:24">
      <c r="A21" s="542" t="s">
        <v>281</v>
      </c>
      <c r="B21" s="539">
        <f t="shared" si="0"/>
        <v>20</v>
      </c>
      <c r="C21" s="545">
        <v>9</v>
      </c>
      <c r="D21" s="546">
        <v>2020</v>
      </c>
      <c r="E21" s="540">
        <f>'UTILITY REPORT 1'!I22</f>
        <v>44.98</v>
      </c>
      <c r="F21" s="540">
        <f>'UTILITY REPORT 1'!E22</f>
        <v>1055.6599999999999</v>
      </c>
      <c r="G21" s="541">
        <f>'UTILITY REPORT 1'!F22</f>
        <v>2313</v>
      </c>
      <c r="H21" s="540">
        <f>IF('Kit report'!F23&lt;0,"0",'Kit report'!F23)</f>
        <v>203.99999999986903</v>
      </c>
      <c r="I21" s="540">
        <f>IF('Kit report'!X23&lt;0,"0",'Kit report'!X23)</f>
        <v>79.99999999992724</v>
      </c>
      <c r="J21" s="540">
        <f>IF('Utility summery'!H25&lt;0,"0",'Utility summery'!H25)</f>
        <v>38</v>
      </c>
      <c r="K21" s="541">
        <f>IF('UTILITY REPORT 1'!H22&lt;0,"0",'UTILITY REPORT 1'!H22)</f>
        <v>0</v>
      </c>
      <c r="L21" s="540">
        <f>'Water-Meter'!K25</f>
        <v>2</v>
      </c>
      <c r="M21" s="541">
        <f>'Water-Meter'!H25</f>
        <v>0</v>
      </c>
      <c r="N21" s="541">
        <f>'Water-Meter'!Q25</f>
        <v>2</v>
      </c>
      <c r="O21" s="540" t="e">
        <f>K21*E21+H21*I21+#REF!*#REF!+J21*L21</f>
        <v>#REF!</v>
      </c>
      <c r="P21" s="547">
        <f>'Water-Meter'!E25</f>
        <v>46</v>
      </c>
      <c r="Q21" s="289">
        <f>IF('Water-Meter'!U25&lt;0,"0",'Water-Meter'!U25)</f>
        <v>73</v>
      </c>
      <c r="R21" s="289">
        <f>IF('Water-Meter'!X25&lt;0,"0",'Water-Meter'!X25)</f>
        <v>0</v>
      </c>
      <c r="S21" s="289">
        <f>IF('Water-Meter'!AA25&lt;0,"0",'Water-Meter'!AA25)</f>
        <v>36</v>
      </c>
      <c r="T21" s="289">
        <f>IF('Water-Meter'!AD25&lt;0,"0",'Water-Meter'!AD25)</f>
        <v>20</v>
      </c>
      <c r="U21" s="289">
        <f>IF('Water-Meter'!AG25&lt;0,"0",'Water-Meter'!AG25)</f>
        <v>0</v>
      </c>
      <c r="V21" s="289">
        <f>IF('Water-Meter'!AJ25&lt;0,"0",'Water-Meter'!AJ25)</f>
        <v>23</v>
      </c>
      <c r="W21" s="31">
        <f>'Water-Meter'!AN25</f>
        <v>152</v>
      </c>
      <c r="X21" s="558">
        <f>Total!K21</f>
        <v>6</v>
      </c>
    </row>
    <row r="22" spans="1:24">
      <c r="A22" s="542" t="s">
        <v>281</v>
      </c>
      <c r="B22" s="539">
        <f t="shared" si="0"/>
        <v>21</v>
      </c>
      <c r="C22" s="545">
        <v>9</v>
      </c>
      <c r="D22" s="546">
        <v>2020</v>
      </c>
      <c r="E22" s="540">
        <f>'UTILITY REPORT 1'!I23</f>
        <v>0</v>
      </c>
      <c r="F22" s="540">
        <f>'UTILITY REPORT 1'!E23</f>
        <v>957.7</v>
      </c>
      <c r="G22" s="541">
        <f>'UTILITY REPORT 1'!F23</f>
        <v>2356</v>
      </c>
      <c r="H22" s="540">
        <f>IF('Kit report'!F24&lt;0,"0",'Kit report'!F24)</f>
        <v>204.00000000008731</v>
      </c>
      <c r="I22" s="540">
        <f>IF('Kit report'!X24&lt;0,"0",'Kit report'!X24)</f>
        <v>60.00000000003638</v>
      </c>
      <c r="J22" s="540">
        <f>IF('Utility summery'!H26&lt;0,"0",'Utility summery'!H26)</f>
        <v>34</v>
      </c>
      <c r="K22" s="541">
        <f>IF('UTILITY REPORT 1'!H23&lt;0,"0",'UTILITY REPORT 1'!H23)</f>
        <v>74</v>
      </c>
      <c r="L22" s="540">
        <f>'Water-Meter'!K26</f>
        <v>0</v>
      </c>
      <c r="M22" s="541">
        <f>'Water-Meter'!H26</f>
        <v>0</v>
      </c>
      <c r="N22" s="541">
        <f>'Water-Meter'!Q26</f>
        <v>2</v>
      </c>
      <c r="O22" s="540" t="e">
        <f>K22*E22+H22*I22+#REF!*#REF!+J22*L22</f>
        <v>#REF!</v>
      </c>
      <c r="P22" s="547">
        <f>'Water-Meter'!E26</f>
        <v>46</v>
      </c>
      <c r="Q22" s="289">
        <f>IF('Water-Meter'!U26&lt;0,"0",'Water-Meter'!U26)</f>
        <v>61</v>
      </c>
      <c r="R22" s="289">
        <f>IF('Water-Meter'!X26&lt;0,"0",'Water-Meter'!X26)</f>
        <v>0</v>
      </c>
      <c r="S22" s="289">
        <f>IF('Water-Meter'!AA26&lt;0,"0",'Water-Meter'!AA26)</f>
        <v>36</v>
      </c>
      <c r="T22" s="289">
        <f>IF('Water-Meter'!AD26&lt;0,"0",'Water-Meter'!AD26)</f>
        <v>19</v>
      </c>
      <c r="U22" s="289">
        <f>IF('Water-Meter'!AG26&lt;0,"0",'Water-Meter'!AG26)</f>
        <v>0</v>
      </c>
      <c r="V22" s="289">
        <f>IF('Water-Meter'!AJ26&lt;0,"0",'Water-Meter'!AJ26)</f>
        <v>21</v>
      </c>
      <c r="W22" s="31">
        <f>'Water-Meter'!AN26</f>
        <v>137</v>
      </c>
      <c r="X22" s="558">
        <f>Total!K22</f>
        <v>6</v>
      </c>
    </row>
    <row r="23" spans="1:24">
      <c r="A23" s="542" t="s">
        <v>281</v>
      </c>
      <c r="B23" s="539">
        <f t="shared" si="0"/>
        <v>22</v>
      </c>
      <c r="C23" s="545">
        <v>9</v>
      </c>
      <c r="D23" s="546">
        <v>2020</v>
      </c>
      <c r="E23" s="540">
        <f>'UTILITY REPORT 1'!I24</f>
        <v>0</v>
      </c>
      <c r="F23" s="540">
        <f>'UTILITY REPORT 1'!E24</f>
        <v>982.5</v>
      </c>
      <c r="G23" s="541">
        <f>'UTILITY REPORT 1'!F24</f>
        <v>2289</v>
      </c>
      <c r="H23" s="540">
        <f>IF('Kit report'!F25&lt;0,"0",'Kit report'!F25)</f>
        <v>204.00000000008731</v>
      </c>
      <c r="I23" s="540">
        <f>IF('Kit report'!X25&lt;0,"0",'Kit report'!X25)</f>
        <v>0</v>
      </c>
      <c r="J23" s="540">
        <f>IF('Utility summery'!H27&lt;0,"0",'Utility summery'!H27)</f>
        <v>38</v>
      </c>
      <c r="K23" s="541">
        <f>IF('UTILITY REPORT 1'!H24&lt;0,"0",'UTILITY REPORT 1'!H24)</f>
        <v>44</v>
      </c>
      <c r="L23" s="540">
        <f>'Water-Meter'!K27</f>
        <v>1</v>
      </c>
      <c r="M23" s="541">
        <f>'Water-Meter'!H27</f>
        <v>0</v>
      </c>
      <c r="N23" s="541">
        <f>'Water-Meter'!Q27</f>
        <v>2</v>
      </c>
      <c r="O23" s="540" t="e">
        <f>K23*E23+H23*I23+#REF!*#REF!+J23*L23</f>
        <v>#REF!</v>
      </c>
      <c r="P23" s="547">
        <f>'Water-Meter'!E27</f>
        <v>56</v>
      </c>
      <c r="Q23" s="289">
        <f>IF('Water-Meter'!U27&lt;0,"0",'Water-Meter'!U27)</f>
        <v>71</v>
      </c>
      <c r="R23" s="289">
        <f>IF('Water-Meter'!X27&lt;0,"0",'Water-Meter'!X27)</f>
        <v>0</v>
      </c>
      <c r="S23" s="289">
        <f>IF('Water-Meter'!AA27&lt;0,"0",'Water-Meter'!AA27)</f>
        <v>35</v>
      </c>
      <c r="T23" s="289">
        <f>IF('Water-Meter'!AD27&lt;0,"0",'Water-Meter'!AD27)</f>
        <v>19</v>
      </c>
      <c r="U23" s="289">
        <f>IF('Water-Meter'!AG27&lt;0,"0",'Water-Meter'!AG27)</f>
        <v>0</v>
      </c>
      <c r="V23" s="289">
        <f>IF('Water-Meter'!AJ27&lt;0,"0",'Water-Meter'!AJ27)</f>
        <v>22</v>
      </c>
      <c r="W23" s="31">
        <f>'Water-Meter'!AN27</f>
        <v>147</v>
      </c>
      <c r="X23" s="558">
        <f>Total!K23</f>
        <v>3</v>
      </c>
    </row>
    <row r="24" spans="1:24">
      <c r="A24" s="542" t="s">
        <v>281</v>
      </c>
      <c r="B24" s="539">
        <f t="shared" si="0"/>
        <v>23</v>
      </c>
      <c r="C24" s="545">
        <v>9</v>
      </c>
      <c r="D24" s="546">
        <v>2020</v>
      </c>
      <c r="E24" s="540">
        <f>'UTILITY REPORT 1'!I25</f>
        <v>187.28</v>
      </c>
      <c r="F24" s="540">
        <f>'UTILITY REPORT 1'!E25</f>
        <v>989.79</v>
      </c>
      <c r="G24" s="541">
        <f>'UTILITY REPORT 1'!F25</f>
        <v>2286</v>
      </c>
      <c r="H24" s="540">
        <f>IF('Kit report'!F26&lt;0,"0",'Kit report'!F26)</f>
        <v>227.99999999995634</v>
      </c>
      <c r="I24" s="540">
        <f>IF('Kit report'!X26&lt;0,"0",'Kit report'!X26)</f>
        <v>100</v>
      </c>
      <c r="J24" s="540">
        <f>IF('Utility summery'!H28&lt;0,"0",'Utility summery'!H28)</f>
        <v>31</v>
      </c>
      <c r="K24" s="541">
        <f>IF('UTILITY REPORT 1'!H25&lt;0,"0",'UTILITY REPORT 1'!H25)</f>
        <v>47</v>
      </c>
      <c r="L24" s="540">
        <f>'Water-Meter'!K28</f>
        <v>1</v>
      </c>
      <c r="M24" s="541">
        <f>'Water-Meter'!H28</f>
        <v>0</v>
      </c>
      <c r="N24" s="541">
        <f>'Water-Meter'!Q28</f>
        <v>2</v>
      </c>
      <c r="O24" s="540" t="e">
        <f>K24*E24+H24*I24+#REF!*#REF!+J24*L24</f>
        <v>#REF!</v>
      </c>
      <c r="P24" s="547">
        <f>'Water-Meter'!E28</f>
        <v>49</v>
      </c>
      <c r="Q24" s="289">
        <f>IF('Water-Meter'!U28&lt;0,"0",'Water-Meter'!U28)</f>
        <v>62</v>
      </c>
      <c r="R24" s="289">
        <f>IF('Water-Meter'!X28&lt;0,"0",'Water-Meter'!X28)</f>
        <v>0</v>
      </c>
      <c r="S24" s="289">
        <f>IF('Water-Meter'!AA28&lt;0,"0",'Water-Meter'!AA28)</f>
        <v>35</v>
      </c>
      <c r="T24" s="289">
        <f>IF('Water-Meter'!AD28&lt;0,"0",'Water-Meter'!AD28)</f>
        <v>18</v>
      </c>
      <c r="U24" s="289">
        <f>IF('Water-Meter'!AG28&lt;0,"0",'Water-Meter'!AG28)</f>
        <v>0</v>
      </c>
      <c r="V24" s="289">
        <f>IF('Water-Meter'!AJ28&lt;0,"0",'Water-Meter'!AJ28)</f>
        <v>22</v>
      </c>
      <c r="W24" s="31">
        <f>'Water-Meter'!AN28</f>
        <v>137</v>
      </c>
      <c r="X24" s="558">
        <f>Total!K24</f>
        <v>3</v>
      </c>
    </row>
    <row r="25" spans="1:24">
      <c r="A25" s="542" t="s">
        <v>281</v>
      </c>
      <c r="B25" s="539">
        <f t="shared" si="0"/>
        <v>24</v>
      </c>
      <c r="C25" s="545">
        <v>9</v>
      </c>
      <c r="D25" s="546">
        <v>2020</v>
      </c>
      <c r="E25" s="540">
        <f>'UTILITY REPORT 1'!I26</f>
        <v>0</v>
      </c>
      <c r="F25" s="540">
        <f>'UTILITY REPORT 1'!E26</f>
        <v>1004.25</v>
      </c>
      <c r="G25" s="541">
        <f>'UTILITY REPORT 1'!F26</f>
        <v>2289</v>
      </c>
      <c r="H25" s="540">
        <f>IF('Kit report'!F27&lt;0,"0",'Kit report'!F27)</f>
        <v>203.99999999986903</v>
      </c>
      <c r="I25" s="540">
        <f>IF('Kit report'!X27&lt;0,"0",'Kit report'!X27)</f>
        <v>120.00000000007276</v>
      </c>
      <c r="J25" s="540">
        <f>IF('Utility summery'!H29&lt;0,"0",'Utility summery'!H29)</f>
        <v>36</v>
      </c>
      <c r="K25" s="541">
        <f>IF('UTILITY REPORT 1'!H26&lt;0,"0",'UTILITY REPORT 1'!H26)</f>
        <v>56</v>
      </c>
      <c r="L25" s="540">
        <f>'Water-Meter'!K29</f>
        <v>1</v>
      </c>
      <c r="M25" s="541">
        <f>'Water-Meter'!H29</f>
        <v>0</v>
      </c>
      <c r="N25" s="541">
        <f>'Water-Meter'!Q29</f>
        <v>3</v>
      </c>
      <c r="O25" s="540" t="e">
        <f>K25*E25+H25*I25+#REF!*#REF!+J25*L25</f>
        <v>#REF!</v>
      </c>
      <c r="P25" s="547">
        <f>'Water-Meter'!E29</f>
        <v>48</v>
      </c>
      <c r="Q25" s="289">
        <f>IF('Water-Meter'!U29&lt;0,"0",'Water-Meter'!U29)</f>
        <v>57</v>
      </c>
      <c r="R25" s="289">
        <f>IF('Water-Meter'!X29&lt;0,"0",'Water-Meter'!X29)</f>
        <v>0</v>
      </c>
      <c r="S25" s="289">
        <f>IF('Water-Meter'!AA29&lt;0,"0",'Water-Meter'!AA29)</f>
        <v>36</v>
      </c>
      <c r="T25" s="289">
        <f>IF('Water-Meter'!AD29&lt;0,"0",'Water-Meter'!AD29)</f>
        <v>19</v>
      </c>
      <c r="U25" s="289">
        <f>IF('Water-Meter'!AG29&lt;0,"0",'Water-Meter'!AG29)</f>
        <v>0</v>
      </c>
      <c r="V25" s="289">
        <f>IF('Water-Meter'!AJ29&lt;0,"0",'Water-Meter'!AJ29)</f>
        <v>22</v>
      </c>
      <c r="W25" s="31">
        <f>'Water-Meter'!AN29</f>
        <v>134</v>
      </c>
      <c r="X25" s="558">
        <f>Total!K25</f>
        <v>2</v>
      </c>
    </row>
    <row r="26" spans="1:24">
      <c r="A26" s="542" t="s">
        <v>281</v>
      </c>
      <c r="B26" s="539">
        <f>B25+1</f>
        <v>25</v>
      </c>
      <c r="C26" s="545">
        <v>9</v>
      </c>
      <c r="D26" s="546">
        <v>2020</v>
      </c>
      <c r="E26" s="540">
        <f>'UTILITY REPORT 1'!I27</f>
        <v>74.599999999999994</v>
      </c>
      <c r="F26" s="540">
        <f>'UTILITY REPORT 1'!E27</f>
        <v>1019.08</v>
      </c>
      <c r="G26" s="541">
        <f>'UTILITY REPORT 1'!F27</f>
        <v>2244</v>
      </c>
      <c r="H26" s="540">
        <f>IF('Kit report'!F28&lt;0,"0",'Kit report'!F28)</f>
        <v>192.00000000004366</v>
      </c>
      <c r="I26" s="540">
        <f>IF('Kit report'!X28&lt;0,"0",'Kit report'!X28)</f>
        <v>100</v>
      </c>
      <c r="J26" s="540">
        <f>IF('Utility summery'!H30&lt;0,"0",'Utility summery'!H30)</f>
        <v>30</v>
      </c>
      <c r="K26" s="541">
        <f>IF('UTILITY REPORT 1'!H27&lt;0,"0",'UTILITY REPORT 1'!H27)</f>
        <v>70</v>
      </c>
      <c r="L26" s="540">
        <f>'Water-Meter'!K30</f>
        <v>1</v>
      </c>
      <c r="M26" s="541">
        <f>'Water-Meter'!H30</f>
        <v>0</v>
      </c>
      <c r="N26" s="541">
        <f>'Water-Meter'!Q30</f>
        <v>6</v>
      </c>
      <c r="O26" s="540" t="e">
        <f>K26*E26+H26*I26+#REF!*#REF!+J26*L26</f>
        <v>#REF!</v>
      </c>
      <c r="P26" s="547">
        <f>'Water-Meter'!E30</f>
        <v>50</v>
      </c>
      <c r="Q26" s="289">
        <f>IF('Water-Meter'!U30&lt;0,"0",'Water-Meter'!U30)</f>
        <v>51</v>
      </c>
      <c r="R26" s="289">
        <f>IF('Water-Meter'!X30&lt;0,"0",'Water-Meter'!X30)</f>
        <v>0</v>
      </c>
      <c r="S26" s="289">
        <f>IF('Water-Meter'!AA30&lt;0,"0",'Water-Meter'!AA30)</f>
        <v>36</v>
      </c>
      <c r="T26" s="289">
        <f>IF('Water-Meter'!AD30&lt;0,"0",'Water-Meter'!AD30)</f>
        <v>18</v>
      </c>
      <c r="U26" s="289">
        <f>IF('Water-Meter'!AG30&lt;0,"0",'Water-Meter'!AG30)</f>
        <v>0</v>
      </c>
      <c r="V26" s="289">
        <f>IF('Water-Meter'!AJ30&lt;0,"0",'Water-Meter'!AJ30)</f>
        <v>22</v>
      </c>
      <c r="W26" s="31">
        <f>'Water-Meter'!AN30</f>
        <v>127</v>
      </c>
      <c r="X26" s="558">
        <f>Total!K26</f>
        <v>3</v>
      </c>
    </row>
    <row r="27" spans="1:24">
      <c r="A27" s="542" t="s">
        <v>281</v>
      </c>
      <c r="B27" s="539">
        <f t="shared" si="0"/>
        <v>26</v>
      </c>
      <c r="C27" s="545">
        <v>9</v>
      </c>
      <c r="D27" s="546">
        <v>2020</v>
      </c>
      <c r="E27" s="540">
        <f>'UTILITY REPORT 1'!I28</f>
        <v>0</v>
      </c>
      <c r="F27" s="540">
        <f>'UTILITY REPORT 1'!E28</f>
        <v>878.8</v>
      </c>
      <c r="G27" s="541">
        <f>'UTILITY REPORT 1'!F28</f>
        <v>2313</v>
      </c>
      <c r="H27" s="540">
        <f>IF('Kit report'!F29&lt;0,"0",'Kit report'!F29)</f>
        <v>204.00000000008731</v>
      </c>
      <c r="I27" s="540">
        <f>IF('Kit report'!X29&lt;0,"0",'Kit report'!X29)</f>
        <v>39.99999999996362</v>
      </c>
      <c r="J27" s="540">
        <f>IF('Utility summery'!H31&lt;0,"0",'Utility summery'!H31)</f>
        <v>33</v>
      </c>
      <c r="K27" s="541">
        <f>IF('UTILITY REPORT 1'!H28&lt;0,"0",'UTILITY REPORT 1'!H28)</f>
        <v>47</v>
      </c>
      <c r="L27" s="540">
        <f>'Water-Meter'!K31</f>
        <v>1</v>
      </c>
      <c r="M27" s="541">
        <f>'Water-Meter'!H31</f>
        <v>0</v>
      </c>
      <c r="N27" s="541">
        <f>'Water-Meter'!Q31</f>
        <v>4</v>
      </c>
      <c r="O27" s="540" t="e">
        <f>K27*E27+H27*I27+#REF!*#REF!+J27*L27</f>
        <v>#REF!</v>
      </c>
      <c r="P27" s="547">
        <f>'Water-Meter'!E31</f>
        <v>55</v>
      </c>
      <c r="Q27" s="289">
        <f>IF('Water-Meter'!U31&lt;0,"0",'Water-Meter'!U31)</f>
        <v>66</v>
      </c>
      <c r="R27" s="289">
        <f>IF('Water-Meter'!X31&lt;0,"0",'Water-Meter'!X31)</f>
        <v>0</v>
      </c>
      <c r="S27" s="289">
        <f>IF('Water-Meter'!AA31&lt;0,"0",'Water-Meter'!AA31)</f>
        <v>35</v>
      </c>
      <c r="T27" s="289">
        <f>IF('Water-Meter'!AD31&lt;0,"0",'Water-Meter'!AD31)</f>
        <v>19</v>
      </c>
      <c r="U27" s="289">
        <f>IF('Water-Meter'!AG31&lt;0,"0",'Water-Meter'!AG31)</f>
        <v>0</v>
      </c>
      <c r="V27" s="289">
        <f>IF('Water-Meter'!AJ31&lt;0,"0",'Water-Meter'!AJ31)</f>
        <v>21</v>
      </c>
      <c r="W27" s="31">
        <f>'Water-Meter'!AN31</f>
        <v>141</v>
      </c>
      <c r="X27" s="558">
        <f>Total!K27</f>
        <v>4</v>
      </c>
    </row>
    <row r="28" spans="1:24">
      <c r="A28" s="542" t="s">
        <v>281</v>
      </c>
      <c r="B28" s="539">
        <f t="shared" si="0"/>
        <v>27</v>
      </c>
      <c r="C28" s="545">
        <v>9</v>
      </c>
      <c r="D28" s="546">
        <v>2020</v>
      </c>
      <c r="E28" s="540">
        <f>'UTILITY REPORT 1'!I29</f>
        <v>0</v>
      </c>
      <c r="F28" s="540">
        <f>'UTILITY REPORT 1'!E29</f>
        <v>975.74</v>
      </c>
      <c r="G28" s="541">
        <f>'UTILITY REPORT 1'!F29</f>
        <v>2327</v>
      </c>
      <c r="H28" s="540">
        <f>IF('Kit report'!F30&lt;0,"0",'Kit report'!F30)</f>
        <v>192.00000000004366</v>
      </c>
      <c r="I28" s="540">
        <f>IF('Kit report'!X30&lt;0,"0",'Kit report'!X30)</f>
        <v>39.99999999996362</v>
      </c>
      <c r="J28" s="540">
        <f>IF('Utility summery'!H32&lt;0,"0",'Utility summery'!H32)</f>
        <v>37</v>
      </c>
      <c r="K28" s="541">
        <f>IF('UTILITY REPORT 1'!H29&lt;0,"0",'UTILITY REPORT 1'!H29)</f>
        <v>68</v>
      </c>
      <c r="L28" s="540">
        <f>'Water-Meter'!K32</f>
        <v>1</v>
      </c>
      <c r="M28" s="541">
        <f>'Water-Meter'!H32</f>
        <v>0</v>
      </c>
      <c r="N28" s="541">
        <f>'Water-Meter'!Q32</f>
        <v>3</v>
      </c>
      <c r="O28" s="540" t="e">
        <f>K28*E28+H28*I28+#REF!*#REF!+J28*L28</f>
        <v>#REF!</v>
      </c>
      <c r="P28" s="547">
        <f>'Water-Meter'!E32</f>
        <v>58</v>
      </c>
      <c r="Q28" s="289">
        <f>IF('Water-Meter'!U32&lt;0,"0",'Water-Meter'!U32)</f>
        <v>67</v>
      </c>
      <c r="R28" s="289">
        <f>IF('Water-Meter'!X32&lt;0,"0",'Water-Meter'!X32)</f>
        <v>0</v>
      </c>
      <c r="S28" s="289">
        <f>IF('Water-Meter'!AA32&lt;0,"0",'Water-Meter'!AA32)</f>
        <v>36</v>
      </c>
      <c r="T28" s="289">
        <f>IF('Water-Meter'!AD32&lt;0,"0",'Water-Meter'!AD32)</f>
        <v>18</v>
      </c>
      <c r="U28" s="289">
        <f>IF('Water-Meter'!AG32&lt;0,"0",'Water-Meter'!AG32)</f>
        <v>0</v>
      </c>
      <c r="V28" s="289">
        <f>IF('Water-Meter'!AJ32&lt;0,"0",'Water-Meter'!AJ32)</f>
        <v>22</v>
      </c>
      <c r="W28" s="31">
        <f>'Water-Meter'!AN32</f>
        <v>143</v>
      </c>
      <c r="X28" s="558">
        <f>Total!K28</f>
        <v>5</v>
      </c>
    </row>
    <row r="29" spans="1:24">
      <c r="A29" s="542" t="s">
        <v>281</v>
      </c>
      <c r="B29" s="539">
        <f t="shared" si="0"/>
        <v>28</v>
      </c>
      <c r="C29" s="545">
        <v>9</v>
      </c>
      <c r="D29" s="546">
        <v>2020</v>
      </c>
      <c r="E29" s="540">
        <f>'UTILITY REPORT 1'!I30</f>
        <v>0</v>
      </c>
      <c r="F29" s="540">
        <f>'UTILITY REPORT 1'!E30</f>
        <v>969.3900000000001</v>
      </c>
      <c r="G29" s="541">
        <f>'UTILITY REPORT 1'!F30</f>
        <v>2289</v>
      </c>
      <c r="H29" s="540">
        <f>IF('Kit report'!F31&lt;0,"0",'Kit report'!F31)</f>
        <v>203.99999999986903</v>
      </c>
      <c r="I29" s="540">
        <f>IF('Kit report'!X31&lt;0,"0",'Kit report'!X31)</f>
        <v>100</v>
      </c>
      <c r="J29" s="540">
        <f>IF('Utility summery'!H33&lt;0,"0",'Utility summery'!H33)</f>
        <v>35</v>
      </c>
      <c r="K29" s="541">
        <f>IF('UTILITY REPORT 1'!H30&lt;0,"0",'UTILITY REPORT 1'!H30)</f>
        <v>46</v>
      </c>
      <c r="L29" s="540">
        <f>'Water-Meter'!K33</f>
        <v>0</v>
      </c>
      <c r="M29" s="541">
        <f>'Water-Meter'!H33</f>
        <v>0</v>
      </c>
      <c r="N29" s="541">
        <f>'Water-Meter'!Q33</f>
        <v>2</v>
      </c>
      <c r="O29" s="540" t="e">
        <f>K29*E29+H29*I29+#REF!*#REF!+J29*L29</f>
        <v>#REF!</v>
      </c>
      <c r="P29" s="547">
        <f>'Water-Meter'!E33</f>
        <v>52</v>
      </c>
      <c r="Q29" s="289">
        <f>IF('Water-Meter'!U33&lt;0,"0",'Water-Meter'!U33)</f>
        <v>30</v>
      </c>
      <c r="R29" s="289">
        <f>IF('Water-Meter'!X33&lt;0,"0",'Water-Meter'!X33)</f>
        <v>0</v>
      </c>
      <c r="S29" s="289">
        <f>IF('Water-Meter'!AA33&lt;0,"0",'Water-Meter'!AA33)</f>
        <v>35</v>
      </c>
      <c r="T29" s="289">
        <f>IF('Water-Meter'!AD33&lt;0,"0",'Water-Meter'!AD33)</f>
        <v>19</v>
      </c>
      <c r="U29" s="289">
        <f>IF('Water-Meter'!AG33&lt;0,"0",'Water-Meter'!AG33)</f>
        <v>0</v>
      </c>
      <c r="V29" s="289">
        <f>IF('Water-Meter'!AJ33&lt;0,"0",'Water-Meter'!AJ33)</f>
        <v>22</v>
      </c>
      <c r="W29" s="31">
        <f>'Water-Meter'!AN33</f>
        <v>106</v>
      </c>
      <c r="X29" s="558">
        <f>Total!K29</f>
        <v>5</v>
      </c>
    </row>
    <row r="30" spans="1:24">
      <c r="A30" s="542" t="s">
        <v>281</v>
      </c>
      <c r="B30" s="539">
        <f t="shared" si="0"/>
        <v>29</v>
      </c>
      <c r="C30" s="545">
        <v>9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 t="str">
        <f>IF('Kit report'!F32&lt;0,"0",'Kit report'!F32)</f>
        <v>0</v>
      </c>
      <c r="I30" s="540" t="str">
        <f>IF('Kit report'!X32&lt;0,"0",'Kit report'!X32)</f>
        <v>0</v>
      </c>
      <c r="J30" s="540" t="str">
        <f>IF('Utility summery'!H34&lt;0,"0",'Utility summery'!H34)</f>
        <v>0</v>
      </c>
      <c r="K30" s="541" t="str">
        <f>IF('UTILITY REPORT 1'!H31&lt;0,"0",'UTILITY REPORT 1'!H31)</f>
        <v>0</v>
      </c>
      <c r="L30" s="540" t="str">
        <f>'Water-Meter'!K34</f>
        <v>0</v>
      </c>
      <c r="M30" s="541" t="str">
        <f>'Water-Meter'!H34</f>
        <v>0</v>
      </c>
      <c r="N30" s="541" t="str">
        <f>'Water-Meter'!Q34</f>
        <v>0</v>
      </c>
      <c r="O30" s="540" t="e">
        <f>K30*E30+H30*I30+#REF!*#REF!+J30*L30</f>
        <v>#REF!</v>
      </c>
      <c r="P30" s="547" t="str">
        <f>'Water-Meter'!E34</f>
        <v>0</v>
      </c>
      <c r="Q30" s="289" t="str">
        <f>IF('Water-Meter'!U34&lt;0,"0",'Water-Meter'!U34)</f>
        <v>0</v>
      </c>
      <c r="R30" s="289" t="str">
        <f>IF('Water-Meter'!X34&lt;0,"0",'Water-Meter'!X34)</f>
        <v>0</v>
      </c>
      <c r="S30" s="289" t="str">
        <f>IF('Water-Meter'!AA34&lt;0,"0",'Water-Meter'!AA34)</f>
        <v>0</v>
      </c>
      <c r="T30" s="289" t="str">
        <f>IF('Water-Meter'!AD34&lt;0,"0",'Water-Meter'!AD34)</f>
        <v>0</v>
      </c>
      <c r="U30" s="289" t="str">
        <f>IF('Water-Meter'!AG34&lt;0,"0",'Water-Meter'!AG34)</f>
        <v>0</v>
      </c>
      <c r="V30" s="289" t="str">
        <f>IF('Water-Meter'!AJ34&lt;0,"0",'Water-Meter'!AJ34)</f>
        <v>0</v>
      </c>
      <c r="W30" s="31">
        <f>'Water-Meter'!AN34</f>
        <v>0</v>
      </c>
      <c r="X30" s="558">
        <f>Total!K30</f>
        <v>5</v>
      </c>
    </row>
    <row r="31" spans="1:24">
      <c r="A31" s="542" t="s">
        <v>281</v>
      </c>
      <c r="B31" s="539">
        <v>30</v>
      </c>
      <c r="C31" s="545">
        <v>9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/>
      <c r="B32" s="539"/>
      <c r="C32" s="545"/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73" t="s">
        <v>315</v>
      </c>
      <c r="B1" s="773"/>
      <c r="C1" s="773"/>
      <c r="D1" s="773"/>
      <c r="E1" s="773"/>
      <c r="F1" s="773"/>
      <c r="G1" s="773"/>
      <c r="H1" s="773"/>
    </row>
    <row r="2" spans="1:9" ht="48" customHeight="1" thickBot="1">
      <c r="A2" s="288" t="s">
        <v>0</v>
      </c>
      <c r="B2" s="139" t="s">
        <v>1</v>
      </c>
      <c r="C2" s="469" t="s">
        <v>266</v>
      </c>
      <c r="D2" s="337" t="s">
        <v>267</v>
      </c>
      <c r="E2" s="467" t="s">
        <v>265</v>
      </c>
      <c r="F2" s="337" t="s">
        <v>262</v>
      </c>
      <c r="G2" s="337" t="s">
        <v>263</v>
      </c>
      <c r="H2" s="469" t="s">
        <v>264</v>
      </c>
      <c r="I2" s="337" t="s">
        <v>268</v>
      </c>
    </row>
    <row r="3" spans="1:9" ht="13.5">
      <c r="A3" s="468">
        <f>Gen!B11</f>
        <v>44075</v>
      </c>
      <c r="B3" s="470">
        <f>Gen!C11</f>
        <v>3.9E-2</v>
      </c>
      <c r="C3" s="471">
        <f>'Summery Report'!E5</f>
        <v>3</v>
      </c>
      <c r="D3" s="472">
        <v>1</v>
      </c>
      <c r="E3" s="471">
        <f>Gen!T11</f>
        <v>891.43</v>
      </c>
      <c r="F3" s="471">
        <f>Gen!U11</f>
        <v>2111</v>
      </c>
      <c r="G3" s="471">
        <f>'Water-Meter'!E6</f>
        <v>56</v>
      </c>
      <c r="H3" s="471">
        <f>'Utility report '!AC6</f>
        <v>74</v>
      </c>
      <c r="I3" s="471">
        <f>Gen!AK11</f>
        <v>69.209999999999994</v>
      </c>
    </row>
    <row r="4" spans="1:9" ht="13.5">
      <c r="A4" s="468">
        <f>Gen!B12</f>
        <v>44076</v>
      </c>
      <c r="B4" s="470">
        <f>Gen!C12</f>
        <v>3.9E-2</v>
      </c>
      <c r="C4" s="471">
        <f>'Summery Report'!E6</f>
        <v>4</v>
      </c>
      <c r="D4" s="472">
        <v>1</v>
      </c>
      <c r="E4" s="471">
        <f>Gen!T12</f>
        <v>821.92000000000007</v>
      </c>
      <c r="F4" s="471">
        <f>Gen!U12</f>
        <v>2147</v>
      </c>
      <c r="G4" s="471">
        <f>'Water-Meter'!E7</f>
        <v>58</v>
      </c>
      <c r="H4" s="471">
        <f>'Utility report '!AC7</f>
        <v>26</v>
      </c>
      <c r="I4" s="471">
        <f>Gen!AK12</f>
        <v>80.650000000000006</v>
      </c>
    </row>
    <row r="5" spans="1:9" ht="13.5">
      <c r="A5" s="468">
        <f>Gen!B13</f>
        <v>44077</v>
      </c>
      <c r="B5" s="470">
        <f>Gen!C13</f>
        <v>3.9E-2</v>
      </c>
      <c r="C5" s="471">
        <f>'Summery Report'!E7</f>
        <v>4</v>
      </c>
      <c r="D5" s="472">
        <v>1</v>
      </c>
      <c r="E5" s="471">
        <f>Gen!T13</f>
        <v>1090.28</v>
      </c>
      <c r="F5" s="471">
        <f>Gen!U13</f>
        <v>2188</v>
      </c>
      <c r="G5" s="471">
        <f>'Water-Meter'!E8</f>
        <v>51</v>
      </c>
      <c r="H5" s="471">
        <f>'Utility report '!AC8</f>
        <v>79</v>
      </c>
      <c r="I5" s="471">
        <f>Gen!AK13</f>
        <v>10.02</v>
      </c>
    </row>
    <row r="6" spans="1:9" ht="13.5">
      <c r="A6" s="468">
        <f>Gen!B14</f>
        <v>44078</v>
      </c>
      <c r="B6" s="470">
        <f>Gen!C14</f>
        <v>9.0899999999999995E-2</v>
      </c>
      <c r="C6" s="471">
        <f>'Summery Report'!E8</f>
        <v>8</v>
      </c>
      <c r="D6" s="472">
        <v>1</v>
      </c>
      <c r="E6" s="471">
        <f>Gen!T14</f>
        <v>868.39</v>
      </c>
      <c r="F6" s="471">
        <f>Gen!U14</f>
        <v>2448</v>
      </c>
      <c r="G6" s="471">
        <f>'Water-Meter'!E9</f>
        <v>54</v>
      </c>
      <c r="H6" s="471">
        <f>'Utility report '!AC9</f>
        <v>92</v>
      </c>
      <c r="I6" s="471">
        <f>Gen!AK14</f>
        <v>0</v>
      </c>
    </row>
    <row r="7" spans="1:9" ht="13.5">
      <c r="A7" s="468">
        <f>Gen!B15</f>
        <v>44079</v>
      </c>
      <c r="B7" s="470">
        <f>Gen!C15</f>
        <v>9.0899999999999995E-2</v>
      </c>
      <c r="C7" s="471">
        <f>'Summery Report'!E9</f>
        <v>8</v>
      </c>
      <c r="D7" s="472">
        <v>1</v>
      </c>
      <c r="E7" s="471">
        <f>Gen!T15</f>
        <v>841.98</v>
      </c>
      <c r="F7" s="471">
        <f>Gen!U15</f>
        <v>2152</v>
      </c>
      <c r="G7" s="471">
        <f>'Water-Meter'!E10</f>
        <v>50</v>
      </c>
      <c r="H7" s="471">
        <f>'Utility report '!AC10</f>
        <v>1</v>
      </c>
      <c r="I7" s="471">
        <f>Gen!AK15</f>
        <v>27.01</v>
      </c>
    </row>
    <row r="8" spans="1:9" ht="13.5">
      <c r="A8" s="468">
        <f>Gen!B16</f>
        <v>44080</v>
      </c>
      <c r="B8" s="470">
        <f>Gen!C16</f>
        <v>9.0899999999999995E-2</v>
      </c>
      <c r="C8" s="471">
        <f>'Summery Report'!E10</f>
        <v>7</v>
      </c>
      <c r="D8" s="472">
        <v>1</v>
      </c>
      <c r="E8" s="471">
        <f>Gen!T16</f>
        <v>938.54</v>
      </c>
      <c r="F8" s="471">
        <f>Gen!U16</f>
        <v>2052</v>
      </c>
      <c r="G8" s="471">
        <f>'Water-Meter'!E11</f>
        <v>52</v>
      </c>
      <c r="H8" s="471">
        <f>'Utility report '!AC11</f>
        <v>68</v>
      </c>
      <c r="I8" s="471">
        <f>Gen!AK16</f>
        <v>0</v>
      </c>
    </row>
    <row r="9" spans="1:9" ht="13.5">
      <c r="A9" s="468">
        <f>Gen!B17</f>
        <v>44081</v>
      </c>
      <c r="B9" s="470">
        <f>Gen!C17</f>
        <v>2.5999999999999999E-2</v>
      </c>
      <c r="C9" s="471">
        <f>'Summery Report'!E11</f>
        <v>3</v>
      </c>
      <c r="D9" s="472">
        <v>1</v>
      </c>
      <c r="E9" s="471">
        <f>Gen!T17</f>
        <v>910.27</v>
      </c>
      <c r="F9" s="471">
        <f>Gen!U17</f>
        <v>2010</v>
      </c>
      <c r="G9" s="471">
        <f>'Water-Meter'!E12</f>
        <v>58</v>
      </c>
      <c r="H9" s="471">
        <f>'Utility report '!AC12</f>
        <v>45</v>
      </c>
      <c r="I9" s="471">
        <f>Gen!AK17</f>
        <v>258.14</v>
      </c>
    </row>
    <row r="10" spans="1:9" ht="13.5">
      <c r="A10" s="468">
        <f>Gen!B18</f>
        <v>44082</v>
      </c>
      <c r="B10" s="470">
        <f>Gen!C18</f>
        <v>3.9E-2</v>
      </c>
      <c r="C10" s="471">
        <f>'Summery Report'!E12</f>
        <v>7</v>
      </c>
      <c r="D10" s="472">
        <v>1</v>
      </c>
      <c r="E10" s="471">
        <f>Gen!T18</f>
        <v>948.21</v>
      </c>
      <c r="F10" s="471">
        <f>Gen!U18</f>
        <v>2245</v>
      </c>
      <c r="G10" s="471">
        <f>'Water-Meter'!E13</f>
        <v>46</v>
      </c>
      <c r="H10" s="471">
        <f>'Utility report '!AC13</f>
        <v>54</v>
      </c>
      <c r="I10" s="471">
        <f>Gen!AK18</f>
        <v>123.3</v>
      </c>
    </row>
    <row r="11" spans="1:9" ht="13.5">
      <c r="A11" s="468">
        <f>Gen!B19</f>
        <v>44083</v>
      </c>
      <c r="B11" s="470">
        <f>Gen!C19</f>
        <v>6.5000000000000002E-2</v>
      </c>
      <c r="C11" s="471">
        <f>'Summery Report'!E13</f>
        <v>5</v>
      </c>
      <c r="D11" s="472">
        <v>1</v>
      </c>
      <c r="E11" s="471">
        <f>Gen!T19</f>
        <v>916.32999999999993</v>
      </c>
      <c r="F11" s="471">
        <f>Gen!U19</f>
        <v>2101</v>
      </c>
      <c r="G11" s="471">
        <f>'Water-Meter'!E14</f>
        <v>52</v>
      </c>
      <c r="H11" s="471">
        <f>'Utility report '!AC14</f>
        <v>46</v>
      </c>
      <c r="I11" s="471">
        <f>Gen!AK19</f>
        <v>0</v>
      </c>
    </row>
    <row r="12" spans="1:9" ht="13.5">
      <c r="A12" s="468">
        <f>Gen!B20</f>
        <v>44084</v>
      </c>
      <c r="B12" s="470">
        <f>Gen!C20</f>
        <v>1.2999999999999999E-2</v>
      </c>
      <c r="C12" s="471">
        <f>'Summery Report'!E14</f>
        <v>1</v>
      </c>
      <c r="D12" s="472">
        <v>1</v>
      </c>
      <c r="E12" s="471">
        <f>Gen!T20</f>
        <v>978.04</v>
      </c>
      <c r="F12" s="471">
        <f>Gen!U20</f>
        <v>2199</v>
      </c>
      <c r="G12" s="471">
        <f>'Water-Meter'!E15</f>
        <v>55</v>
      </c>
      <c r="H12" s="471">
        <f>'Utility report '!AC15</f>
        <v>103</v>
      </c>
      <c r="I12" s="471">
        <f>Gen!AK20</f>
        <v>0</v>
      </c>
    </row>
    <row r="13" spans="1:9" ht="13.5">
      <c r="A13" s="468">
        <f>Gen!B21</f>
        <v>44085</v>
      </c>
      <c r="B13" s="470">
        <f>Gen!C21</f>
        <v>3.9E-2</v>
      </c>
      <c r="C13" s="471">
        <f>'Summery Report'!E15</f>
        <v>3</v>
      </c>
      <c r="D13" s="472">
        <v>1</v>
      </c>
      <c r="E13" s="471">
        <f>Gen!T21</f>
        <v>782.55</v>
      </c>
      <c r="F13" s="471">
        <f>Gen!U21</f>
        <v>2126</v>
      </c>
      <c r="G13" s="471">
        <f>'Water-Meter'!E16</f>
        <v>94</v>
      </c>
      <c r="H13" s="471">
        <f>'Utility report '!AC16</f>
        <v>1</v>
      </c>
      <c r="I13" s="471">
        <f>Gen!AK21</f>
        <v>0</v>
      </c>
    </row>
    <row r="14" spans="1:9" ht="13.5">
      <c r="A14" s="468">
        <f>Gen!B22</f>
        <v>44086</v>
      </c>
      <c r="B14" s="470">
        <f>Gen!C22</f>
        <v>0.02</v>
      </c>
      <c r="C14" s="471">
        <f>'Summery Report'!E16</f>
        <v>3</v>
      </c>
      <c r="D14" s="472">
        <v>1</v>
      </c>
      <c r="E14" s="471">
        <f>Gen!T22</f>
        <v>732.78</v>
      </c>
      <c r="F14" s="471">
        <f>Gen!U22</f>
        <v>2174</v>
      </c>
      <c r="G14" s="471">
        <f>'Water-Meter'!E17</f>
        <v>59</v>
      </c>
      <c r="H14" s="471">
        <f>'Utility report '!AC17</f>
        <v>10</v>
      </c>
      <c r="I14" s="471">
        <f>Gen!AK22</f>
        <v>0</v>
      </c>
    </row>
    <row r="15" spans="1:9" ht="13.5">
      <c r="A15" s="468">
        <f>Gen!B23</f>
        <v>44087</v>
      </c>
      <c r="B15" s="470">
        <f>Gen!C23</f>
        <v>0.03</v>
      </c>
      <c r="C15" s="471">
        <f>'Summery Report'!E17</f>
        <v>3</v>
      </c>
      <c r="D15" s="472">
        <v>1</v>
      </c>
      <c r="E15" s="471">
        <f>Gen!T23</f>
        <v>935.74</v>
      </c>
      <c r="F15" s="471">
        <f>Gen!U23</f>
        <v>2113</v>
      </c>
      <c r="G15" s="471">
        <f>'Water-Meter'!E18</f>
        <v>36</v>
      </c>
      <c r="H15" s="471">
        <f>'Utility report '!AC18</f>
        <v>16</v>
      </c>
      <c r="I15" s="471">
        <f>Gen!AK23</f>
        <v>71.040000000000006</v>
      </c>
    </row>
    <row r="16" spans="1:9" ht="13.5">
      <c r="A16" s="468">
        <f>Gen!B24</f>
        <v>44088</v>
      </c>
      <c r="B16" s="470">
        <f>Gen!C24</f>
        <v>0.04</v>
      </c>
      <c r="C16" s="471">
        <f>'Summery Report'!E18</f>
        <v>4</v>
      </c>
      <c r="D16" s="472">
        <v>1</v>
      </c>
      <c r="E16" s="471">
        <f>Gen!T24</f>
        <v>890.08999999999992</v>
      </c>
      <c r="F16" s="471">
        <f>Gen!U24</f>
        <v>2040</v>
      </c>
      <c r="G16" s="471">
        <f>'Water-Meter'!E19</f>
        <v>53</v>
      </c>
      <c r="H16" s="471">
        <f>'Utility report '!AC19</f>
        <v>33</v>
      </c>
      <c r="I16" s="471">
        <f>Gen!AK24</f>
        <v>0</v>
      </c>
    </row>
    <row r="17" spans="1:9" ht="13.5">
      <c r="A17" s="468">
        <f>Gen!B25</f>
        <v>44089</v>
      </c>
      <c r="B17" s="470">
        <f>Gen!C25</f>
        <v>0.03</v>
      </c>
      <c r="C17" s="471">
        <f>'Summery Report'!E19</f>
        <v>4</v>
      </c>
      <c r="D17" s="472">
        <v>1</v>
      </c>
      <c r="E17" s="471">
        <f>Gen!T25</f>
        <v>888.98</v>
      </c>
      <c r="F17" s="471">
        <f>Gen!U25</f>
        <v>2084</v>
      </c>
      <c r="G17" s="471">
        <f>'Water-Meter'!E20</f>
        <v>40</v>
      </c>
      <c r="H17" s="471">
        <f>'Utility report '!AC20</f>
        <v>41</v>
      </c>
      <c r="I17" s="471">
        <f>Gen!AK25</f>
        <v>0</v>
      </c>
    </row>
    <row r="18" spans="1:9" ht="13.5">
      <c r="A18" s="468">
        <f>Gen!B26</f>
        <v>44090</v>
      </c>
      <c r="B18" s="470">
        <f>Gen!C26</f>
        <v>0.12989999999999999</v>
      </c>
      <c r="C18" s="471">
        <f>'Summery Report'!E20</f>
        <v>11</v>
      </c>
      <c r="D18" s="472">
        <v>1</v>
      </c>
      <c r="E18" s="471">
        <f>Gen!T26</f>
        <v>1095.46</v>
      </c>
      <c r="F18" s="471">
        <f>Gen!U26</f>
        <v>2489</v>
      </c>
      <c r="G18" s="471">
        <f>'Water-Meter'!E21</f>
        <v>30</v>
      </c>
      <c r="H18" s="471">
        <f>'Utility report '!AC21</f>
        <v>16</v>
      </c>
      <c r="I18" s="471">
        <f>Gen!AK26</f>
        <v>181.14</v>
      </c>
    </row>
    <row r="19" spans="1:9" ht="13.5">
      <c r="A19" s="468">
        <f>Gen!B27</f>
        <v>44091</v>
      </c>
      <c r="B19" s="470">
        <f>Gen!C27</f>
        <v>0.1169</v>
      </c>
      <c r="C19" s="471">
        <f>'Summery Report'!E21</f>
        <v>10</v>
      </c>
      <c r="D19" s="472">
        <v>1</v>
      </c>
      <c r="E19" s="471">
        <f>Gen!T27</f>
        <v>1018.0699999999999</v>
      </c>
      <c r="F19" s="471">
        <f>Gen!U27</f>
        <v>2499</v>
      </c>
      <c r="G19" s="471">
        <f>'Water-Meter'!E22</f>
        <v>49</v>
      </c>
      <c r="H19" s="471">
        <f>'Utility report '!AC22</f>
        <v>55</v>
      </c>
      <c r="I19" s="471">
        <f>Gen!AK27</f>
        <v>25.41</v>
      </c>
    </row>
    <row r="20" spans="1:9" ht="13.5">
      <c r="A20" s="468">
        <f>Gen!B28</f>
        <v>44092</v>
      </c>
      <c r="B20" s="470">
        <f>Gen!C28</f>
        <v>0.1429</v>
      </c>
      <c r="C20" s="471">
        <f>'Summery Report'!E22</f>
        <v>12</v>
      </c>
      <c r="D20" s="472">
        <v>1</v>
      </c>
      <c r="E20" s="471">
        <f>Gen!T28</f>
        <v>1041.27</v>
      </c>
      <c r="F20" s="471">
        <f>Gen!U28</f>
        <v>2622</v>
      </c>
      <c r="G20" s="471">
        <f>'Water-Meter'!E23</f>
        <v>50</v>
      </c>
      <c r="H20" s="471">
        <f>'Utility report '!AC23</f>
        <v>20</v>
      </c>
      <c r="I20" s="471">
        <f>Gen!AK28</f>
        <v>0</v>
      </c>
    </row>
    <row r="21" spans="1:9" ht="13.5">
      <c r="A21" s="468">
        <f>Gen!B29</f>
        <v>44093</v>
      </c>
      <c r="B21" s="470">
        <f>Gen!C29</f>
        <v>9.0899999999999995E-2</v>
      </c>
      <c r="C21" s="471">
        <f>'Summery Report'!E23</f>
        <v>8</v>
      </c>
      <c r="D21" s="472">
        <v>1</v>
      </c>
      <c r="E21" s="471">
        <f>Gen!T29</f>
        <v>1129.8800000000001</v>
      </c>
      <c r="F21" s="471">
        <f>Gen!U29</f>
        <v>2500</v>
      </c>
      <c r="G21" s="471">
        <f>'Water-Meter'!E24</f>
        <v>51</v>
      </c>
      <c r="H21" s="471">
        <f>'Utility report '!AC24</f>
        <v>42</v>
      </c>
      <c r="I21" s="471">
        <f>Gen!AK29</f>
        <v>374.38</v>
      </c>
    </row>
    <row r="22" spans="1:9" ht="13.5">
      <c r="A22" s="468">
        <f>Gen!B30</f>
        <v>44094</v>
      </c>
      <c r="B22" s="470">
        <f>Gen!C30</f>
        <v>6.4899999999999999E-2</v>
      </c>
      <c r="C22" s="471">
        <f>'Summery Report'!E24</f>
        <v>6</v>
      </c>
      <c r="D22" s="472">
        <v>1</v>
      </c>
      <c r="E22" s="471">
        <f>Gen!T30</f>
        <v>1055.6599999999999</v>
      </c>
      <c r="F22" s="471">
        <f>Gen!U30</f>
        <v>2313</v>
      </c>
      <c r="G22" s="471">
        <f>'Water-Meter'!E25</f>
        <v>46</v>
      </c>
      <c r="H22" s="471">
        <f>'Utility report '!AC25</f>
        <v>0</v>
      </c>
      <c r="I22" s="471">
        <f>Gen!AK30</f>
        <v>44.98</v>
      </c>
    </row>
    <row r="23" spans="1:9" ht="13.5">
      <c r="A23" s="468">
        <f>Gen!B31</f>
        <v>44095</v>
      </c>
      <c r="B23" s="470">
        <f>Gen!C31</f>
        <v>6.4899999999999999E-2</v>
      </c>
      <c r="C23" s="471">
        <f>'Summery Report'!E25</f>
        <v>6</v>
      </c>
      <c r="D23" s="472">
        <v>1</v>
      </c>
      <c r="E23" s="471">
        <f>Gen!T31</f>
        <v>957.7</v>
      </c>
      <c r="F23" s="471">
        <f>Gen!U31</f>
        <v>2356</v>
      </c>
      <c r="G23" s="471">
        <f>'Water-Meter'!E26</f>
        <v>46</v>
      </c>
      <c r="H23" s="471">
        <f>'Utility report '!AC26</f>
        <v>74</v>
      </c>
      <c r="I23" s="471">
        <f>Gen!AK31</f>
        <v>0</v>
      </c>
    </row>
    <row r="24" spans="1:9" ht="13.5">
      <c r="A24" s="468">
        <f>Gen!B32</f>
        <v>44096</v>
      </c>
      <c r="B24" s="470">
        <f>Gen!C32</f>
        <v>2.5999999999999999E-2</v>
      </c>
      <c r="C24" s="471">
        <f>'Summery Report'!E26</f>
        <v>3</v>
      </c>
      <c r="D24" s="472">
        <v>1</v>
      </c>
      <c r="E24" s="471">
        <f>Gen!T32</f>
        <v>982.5</v>
      </c>
      <c r="F24" s="471">
        <f>Gen!U32</f>
        <v>2289</v>
      </c>
      <c r="G24" s="471">
        <f>'Water-Meter'!E27</f>
        <v>56</v>
      </c>
      <c r="H24" s="471">
        <f>'Utility report '!AC27</f>
        <v>44</v>
      </c>
      <c r="I24" s="471">
        <f>Gen!AK32</f>
        <v>0</v>
      </c>
    </row>
    <row r="25" spans="1:9" ht="13.5">
      <c r="A25" s="468">
        <f>Gen!B33</f>
        <v>44097</v>
      </c>
      <c r="B25" s="470">
        <f>Gen!C33</f>
        <v>2.5999999999999999E-2</v>
      </c>
      <c r="C25" s="471">
        <f>'Summery Report'!E27</f>
        <v>3</v>
      </c>
      <c r="D25" s="472">
        <v>1</v>
      </c>
      <c r="E25" s="471">
        <f>Gen!T33</f>
        <v>989.79</v>
      </c>
      <c r="F25" s="471">
        <f>Gen!U33</f>
        <v>2286</v>
      </c>
      <c r="G25" s="471">
        <f>'Water-Meter'!E28</f>
        <v>49</v>
      </c>
      <c r="H25" s="471">
        <f>'Utility report '!AC28</f>
        <v>47</v>
      </c>
      <c r="I25" s="471">
        <f>Gen!AK33</f>
        <v>187.28</v>
      </c>
    </row>
    <row r="26" spans="1:9" ht="13.5">
      <c r="A26" s="468">
        <f>Gen!B34</f>
        <v>44098</v>
      </c>
      <c r="B26" s="470">
        <f>Gen!C34</f>
        <v>1.2999999999999999E-2</v>
      </c>
      <c r="C26" s="471">
        <f>'Summery Report'!E28</f>
        <v>2</v>
      </c>
      <c r="D26" s="472">
        <v>1</v>
      </c>
      <c r="E26" s="471">
        <f>Gen!T34</f>
        <v>1004.25</v>
      </c>
      <c r="F26" s="471">
        <f>Gen!U34</f>
        <v>2289</v>
      </c>
      <c r="G26" s="471">
        <f>'Water-Meter'!E29</f>
        <v>48</v>
      </c>
      <c r="H26" s="471">
        <f>'Utility report '!AC29</f>
        <v>56</v>
      </c>
      <c r="I26" s="471">
        <f>Gen!AK34</f>
        <v>0</v>
      </c>
    </row>
    <row r="27" spans="1:9" ht="13.5">
      <c r="A27" s="468">
        <f>Gen!B35</f>
        <v>44099</v>
      </c>
      <c r="B27" s="470">
        <f>Gen!C35</f>
        <v>1.2999999999999999E-2</v>
      </c>
      <c r="C27" s="471">
        <f>'Summery Report'!E29</f>
        <v>3</v>
      </c>
      <c r="D27" s="472">
        <v>1</v>
      </c>
      <c r="E27" s="471">
        <f>Gen!T35</f>
        <v>1019.08</v>
      </c>
      <c r="F27" s="471">
        <f>Gen!U35</f>
        <v>2244</v>
      </c>
      <c r="G27" s="471">
        <f>'Water-Meter'!E30</f>
        <v>50</v>
      </c>
      <c r="H27" s="471">
        <f>'Utility report '!AC30</f>
        <v>70</v>
      </c>
      <c r="I27" s="471">
        <f>Gen!AK35</f>
        <v>74.599999999999994</v>
      </c>
    </row>
    <row r="28" spans="1:9" ht="13.5">
      <c r="A28" s="468">
        <f>Gen!B36</f>
        <v>44100</v>
      </c>
      <c r="B28" s="470">
        <f>Gen!C36</f>
        <v>2.5999999999999999E-2</v>
      </c>
      <c r="C28" s="471">
        <f>'Summery Report'!E30</f>
        <v>4</v>
      </c>
      <c r="D28" s="472">
        <v>1</v>
      </c>
      <c r="E28" s="471">
        <f>Gen!T36</f>
        <v>878.8</v>
      </c>
      <c r="F28" s="471">
        <f>Gen!U36</f>
        <v>2313</v>
      </c>
      <c r="G28" s="471">
        <f>'Water-Meter'!E31</f>
        <v>55</v>
      </c>
      <c r="H28" s="471">
        <f>'Utility report '!AC31</f>
        <v>47</v>
      </c>
      <c r="I28" s="471">
        <f>Gen!AK36</f>
        <v>0</v>
      </c>
    </row>
    <row r="29" spans="1:9" ht="13.5">
      <c r="A29" s="468">
        <f>Gen!B37</f>
        <v>44101</v>
      </c>
      <c r="B29" s="470">
        <f>Gen!C37</f>
        <v>5.1900000000000002E-2</v>
      </c>
      <c r="C29" s="471">
        <f>'Summery Report'!E31</f>
        <v>5</v>
      </c>
      <c r="D29" s="472">
        <v>1</v>
      </c>
      <c r="E29" s="471">
        <f>Gen!T37</f>
        <v>975.74</v>
      </c>
      <c r="F29" s="471">
        <f>Gen!U37</f>
        <v>2327</v>
      </c>
      <c r="G29" s="471">
        <f>'Water-Meter'!E32</f>
        <v>58</v>
      </c>
      <c r="H29" s="471">
        <f>'Utility report '!AC32</f>
        <v>68</v>
      </c>
      <c r="I29" s="471">
        <f>Gen!AK37</f>
        <v>0</v>
      </c>
    </row>
    <row r="30" spans="1:9" ht="13.5">
      <c r="A30" s="468">
        <f>Gen!B38</f>
        <v>44102</v>
      </c>
      <c r="B30" s="470">
        <f>Gen!C38</f>
        <v>5.1900000000000002E-2</v>
      </c>
      <c r="C30" s="471">
        <f>'Summery Report'!E32</f>
        <v>5</v>
      </c>
      <c r="D30" s="472">
        <v>1</v>
      </c>
      <c r="E30" s="471">
        <f>Gen!T38</f>
        <v>969.3900000000001</v>
      </c>
      <c r="F30" s="471">
        <f>Gen!U38</f>
        <v>2289</v>
      </c>
      <c r="G30" s="471">
        <f>'Water-Meter'!E33</f>
        <v>52</v>
      </c>
      <c r="H30" s="471">
        <f>'Utility report '!AC33</f>
        <v>46</v>
      </c>
      <c r="I30" s="471">
        <f>Gen!AK38</f>
        <v>0</v>
      </c>
    </row>
    <row r="31" spans="1:9" ht="13.5">
      <c r="A31" s="468">
        <f>Gen!B39</f>
        <v>44103</v>
      </c>
      <c r="B31" s="470">
        <f>Gen!C39</f>
        <v>5.1900000000000002E-2</v>
      </c>
      <c r="C31" s="471">
        <f>'Summery Report'!E33</f>
        <v>5</v>
      </c>
      <c r="D31" s="472">
        <v>1</v>
      </c>
      <c r="E31" s="471">
        <f>Gen!T39</f>
        <v>0</v>
      </c>
      <c r="F31" s="471">
        <f>Gen!U39</f>
        <v>0</v>
      </c>
      <c r="G31" s="471" t="str">
        <f>'Water-Meter'!E34</f>
        <v>0</v>
      </c>
      <c r="H31" s="471">
        <f>'Utility report '!AC34</f>
        <v>-39082</v>
      </c>
      <c r="I31" s="471">
        <f>Gen!AK39</f>
        <v>0</v>
      </c>
    </row>
    <row r="32" spans="1:9" ht="13.5">
      <c r="A32" s="468">
        <f>Gen!B40</f>
        <v>44104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0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25" sqref="B25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139</v>
      </c>
      <c r="C4" s="531" t="s">
        <v>246</v>
      </c>
      <c r="D4" s="774" t="s">
        <v>133</v>
      </c>
      <c r="E4" s="774"/>
      <c r="F4" s="774"/>
      <c r="G4" s="775" t="s">
        <v>20</v>
      </c>
      <c r="H4" s="775"/>
      <c r="I4" s="775"/>
      <c r="J4" s="776" t="s">
        <v>54</v>
      </c>
      <c r="K4" s="776"/>
      <c r="L4" s="776"/>
      <c r="M4" s="776"/>
      <c r="N4" s="777" t="s">
        <v>141</v>
      </c>
      <c r="O4" s="777"/>
      <c r="P4" s="777"/>
      <c r="Q4" s="61"/>
      <c r="R4" s="61"/>
      <c r="S4" s="62"/>
    </row>
    <row r="5" spans="1:19" ht="25.5">
      <c r="A5" s="532"/>
      <c r="B5" s="319"/>
      <c r="C5" s="171"/>
      <c r="D5" s="176" t="s">
        <v>134</v>
      </c>
      <c r="E5" s="176" t="s">
        <v>135</v>
      </c>
      <c r="F5" s="176" t="s">
        <v>119</v>
      </c>
      <c r="G5" s="178" t="s">
        <v>136</v>
      </c>
      <c r="H5" s="178" t="s">
        <v>19</v>
      </c>
      <c r="I5" s="179" t="s">
        <v>137</v>
      </c>
      <c r="J5" s="181" t="s">
        <v>140</v>
      </c>
      <c r="K5" s="181" t="s">
        <v>138</v>
      </c>
      <c r="L5" s="181" t="s">
        <v>138</v>
      </c>
      <c r="M5" s="183" t="s">
        <v>18</v>
      </c>
      <c r="N5" s="172" t="s">
        <v>142</v>
      </c>
      <c r="O5" s="172" t="s">
        <v>144</v>
      </c>
      <c r="P5" s="173" t="s">
        <v>143</v>
      </c>
      <c r="Q5" s="184" t="s">
        <v>146</v>
      </c>
      <c r="R5" s="184" t="s">
        <v>145</v>
      </c>
      <c r="S5" s="533" t="s">
        <v>147</v>
      </c>
    </row>
    <row r="6" spans="1:19" ht="14.25">
      <c r="A6" s="534">
        <f>Gen!B11</f>
        <v>44075</v>
      </c>
      <c r="B6" s="6">
        <f>'Summery Report'!E5</f>
        <v>3</v>
      </c>
      <c r="C6" s="6">
        <f>Gen!U11</f>
        <v>2111</v>
      </c>
      <c r="D6" s="177">
        <f>Gen!T11</f>
        <v>891.43</v>
      </c>
      <c r="E6" s="177">
        <f>Gen!AK11</f>
        <v>69.209999999999994</v>
      </c>
      <c r="F6" s="177">
        <f>Gen!AS11</f>
        <v>960.64</v>
      </c>
      <c r="G6" s="180">
        <f>'Utility report '!AC6</f>
        <v>74</v>
      </c>
      <c r="H6" s="180">
        <f>'Utility report '!AE6</f>
        <v>47</v>
      </c>
      <c r="I6" s="348">
        <f>'Water-Meter'!E6</f>
        <v>56</v>
      </c>
      <c r="J6" s="182">
        <f>'Lpg (2)'!B10</f>
        <v>85</v>
      </c>
      <c r="K6" s="182">
        <f>'Lpg (2)'!C10</f>
        <v>85</v>
      </c>
      <c r="L6" s="182">
        <f>'Lpg (2)'!D10</f>
        <v>2</v>
      </c>
      <c r="M6" s="528">
        <f>'Lpg (2)'!G10</f>
        <v>76.031999999994881</v>
      </c>
      <c r="N6" s="6"/>
      <c r="O6" s="175">
        <f>E6</f>
        <v>69.209999999999994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5" t="e">
        <f t="shared" ref="S6:S37" si="1">Q6/B6</f>
        <v>#REF!</v>
      </c>
    </row>
    <row r="7" spans="1:19" ht="14.25">
      <c r="A7" s="534">
        <f>Gen!B12</f>
        <v>44076</v>
      </c>
      <c r="B7" s="6">
        <f>'Summery Report'!E6</f>
        <v>4</v>
      </c>
      <c r="C7" s="6">
        <f>Gen!U12</f>
        <v>2147</v>
      </c>
      <c r="D7" s="177">
        <f>Gen!T12</f>
        <v>821.92000000000007</v>
      </c>
      <c r="E7" s="177">
        <f>Gen!AK12</f>
        <v>80.650000000000006</v>
      </c>
      <c r="F7" s="177">
        <f>Gen!AS12</f>
        <v>902.57</v>
      </c>
      <c r="G7" s="180">
        <f>'Utility report '!AC7</f>
        <v>26</v>
      </c>
      <c r="H7" s="180">
        <f>'Utility report '!AE7</f>
        <v>30</v>
      </c>
      <c r="I7" s="348">
        <f>'Water-Meter'!E7</f>
        <v>58</v>
      </c>
      <c r="J7" s="182">
        <f>'Lpg (2)'!B11</f>
        <v>85</v>
      </c>
      <c r="K7" s="182">
        <f>'Lpg (2)'!C11</f>
        <v>85</v>
      </c>
      <c r="L7" s="182">
        <f>'Lpg (2)'!D11</f>
        <v>2</v>
      </c>
      <c r="M7" s="528">
        <f>'Lpg (2)'!G11</f>
        <v>58.607999999966708</v>
      </c>
      <c r="N7" s="175">
        <f>D7*1.4</f>
        <v>1150.6880000000001</v>
      </c>
      <c r="O7" s="175">
        <f>E7*1.4</f>
        <v>112.91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287.67200000000003</v>
      </c>
      <c r="S7" s="535" t="e">
        <f t="shared" si="1"/>
        <v>#REF!</v>
      </c>
    </row>
    <row r="8" spans="1:19" ht="14.25">
      <c r="A8" s="534">
        <f>Gen!B13</f>
        <v>44077</v>
      </c>
      <c r="B8" s="6">
        <f>'Summery Report'!E7</f>
        <v>4</v>
      </c>
      <c r="C8" s="6">
        <f>Gen!U13</f>
        <v>2188</v>
      </c>
      <c r="D8" s="177">
        <f>Gen!T13</f>
        <v>1090.28</v>
      </c>
      <c r="E8" s="177">
        <f>Gen!AK13</f>
        <v>10.02</v>
      </c>
      <c r="F8" s="177">
        <f>Gen!AS13</f>
        <v>1100.3</v>
      </c>
      <c r="G8" s="180">
        <f>'Utility report '!AC8</f>
        <v>79</v>
      </c>
      <c r="H8" s="180">
        <f>'Utility report '!AE8</f>
        <v>36</v>
      </c>
      <c r="I8" s="348">
        <f>'Water-Meter'!E8</f>
        <v>51</v>
      </c>
      <c r="J8" s="182">
        <f>'Lpg (2)'!B12</f>
        <v>85</v>
      </c>
      <c r="K8" s="182">
        <f>'Lpg (2)'!C12</f>
        <v>85</v>
      </c>
      <c r="L8" s="182">
        <f>'Lpg (2)'!D12</f>
        <v>1</v>
      </c>
      <c r="M8" s="528">
        <f>'Lpg (2)'!G12</f>
        <v>66.263999999989764</v>
      </c>
      <c r="N8" s="175">
        <f t="shared" ref="N8:O36" si="2">D8*1.4</f>
        <v>1526.3919999999998</v>
      </c>
      <c r="O8" s="175">
        <f t="shared" si="2"/>
        <v>14.027999999999999</v>
      </c>
      <c r="P8" s="174" t="e">
        <f>'[1]Lpg (2)'!#REF!</f>
        <v>#REF!</v>
      </c>
      <c r="Q8" s="175" t="e">
        <f>'[1]Summery Report'!#REF!</f>
        <v>#REF!</v>
      </c>
      <c r="R8" s="175">
        <f t="shared" si="0"/>
        <v>381.59799999999996</v>
      </c>
      <c r="S8" s="535" t="e">
        <f t="shared" si="1"/>
        <v>#REF!</v>
      </c>
    </row>
    <row r="9" spans="1:19" ht="14.25">
      <c r="A9" s="534">
        <f>Gen!B14</f>
        <v>44078</v>
      </c>
      <c r="B9" s="6">
        <f>'Summery Report'!E8</f>
        <v>8</v>
      </c>
      <c r="C9" s="6">
        <f>Gen!U14</f>
        <v>2448</v>
      </c>
      <c r="D9" s="177">
        <f>Gen!T14</f>
        <v>868.39</v>
      </c>
      <c r="E9" s="177">
        <f>Gen!AK14</f>
        <v>0</v>
      </c>
      <c r="F9" s="177">
        <f>Gen!AS14</f>
        <v>868.39</v>
      </c>
      <c r="G9" s="180">
        <f>'Utility report '!AC9</f>
        <v>92</v>
      </c>
      <c r="H9" s="180">
        <f>'Utility report '!AE9</f>
        <v>45</v>
      </c>
      <c r="I9" s="348">
        <f>'Water-Meter'!E9</f>
        <v>54</v>
      </c>
      <c r="J9" s="182">
        <f>'Lpg (2)'!B13</f>
        <v>85</v>
      </c>
      <c r="K9" s="182">
        <f>'Lpg (2)'!C13</f>
        <v>85</v>
      </c>
      <c r="L9" s="182">
        <f>'Lpg (2)'!D13</f>
        <v>1</v>
      </c>
      <c r="M9" s="528">
        <f>'Lpg (2)'!G13</f>
        <v>63.536000000010247</v>
      </c>
      <c r="N9" s="175">
        <f t="shared" si="2"/>
        <v>1215.7459999999999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>
        <f t="shared" si="0"/>
        <v>151.96824999999998</v>
      </c>
      <c r="S9" s="535" t="e">
        <f t="shared" si="1"/>
        <v>#REF!</v>
      </c>
    </row>
    <row r="10" spans="1:19" ht="14.25">
      <c r="A10" s="534">
        <f>Gen!B15</f>
        <v>44079</v>
      </c>
      <c r="B10" s="6">
        <f>'Summery Report'!E9</f>
        <v>8</v>
      </c>
      <c r="C10" s="6">
        <f>Gen!U15</f>
        <v>2152</v>
      </c>
      <c r="D10" s="177">
        <f>Gen!T15</f>
        <v>841.98</v>
      </c>
      <c r="E10" s="177">
        <f>Gen!AK15</f>
        <v>27.01</v>
      </c>
      <c r="F10" s="177">
        <f>Gen!AS15</f>
        <v>868.99</v>
      </c>
      <c r="G10" s="180">
        <f>'Utility report '!AC10</f>
        <v>1</v>
      </c>
      <c r="H10" s="180">
        <f>'Utility report '!AE10</f>
        <v>43</v>
      </c>
      <c r="I10" s="348">
        <f>'Water-Meter'!E10</f>
        <v>50</v>
      </c>
      <c r="J10" s="182">
        <f>'Lpg (2)'!B14</f>
        <v>85</v>
      </c>
      <c r="K10" s="182">
        <f>'Lpg (2)'!C14</f>
        <v>85</v>
      </c>
      <c r="L10" s="182">
        <f>'Lpg (2)'!D14</f>
        <v>1</v>
      </c>
      <c r="M10" s="528">
        <f>'Lpg (2)'!G14</f>
        <v>50.072000000020495</v>
      </c>
      <c r="N10" s="175">
        <f t="shared" si="2"/>
        <v>1178.7719999999999</v>
      </c>
      <c r="O10" s="175">
        <f t="shared" si="2"/>
        <v>37.814</v>
      </c>
      <c r="P10" s="174" t="e">
        <f>'[1]Lpg (2)'!#REF!</f>
        <v>#REF!</v>
      </c>
      <c r="Q10" s="175" t="e">
        <f>'[1]Summery Report'!#REF!</f>
        <v>#REF!</v>
      </c>
      <c r="R10" s="175">
        <f t="shared" si="0"/>
        <v>147.34649999999999</v>
      </c>
      <c r="S10" s="535" t="e">
        <f t="shared" si="1"/>
        <v>#REF!</v>
      </c>
    </row>
    <row r="11" spans="1:19" ht="14.25">
      <c r="A11" s="534">
        <f>Gen!B16</f>
        <v>44080</v>
      </c>
      <c r="B11" s="6">
        <f>'Summery Report'!E10</f>
        <v>7</v>
      </c>
      <c r="C11" s="6">
        <f>Gen!U16</f>
        <v>2052</v>
      </c>
      <c r="D11" s="177">
        <f>Gen!T16</f>
        <v>938.54</v>
      </c>
      <c r="E11" s="177">
        <f>Gen!AK16</f>
        <v>0</v>
      </c>
      <c r="F11" s="177">
        <f>Gen!AS16</f>
        <v>938.54</v>
      </c>
      <c r="G11" s="180">
        <f>'Utility report '!AC11</f>
        <v>68</v>
      </c>
      <c r="H11" s="180">
        <f>'Utility report '!AE11</f>
        <v>35</v>
      </c>
      <c r="I11" s="348">
        <f>'Water-Meter'!E11</f>
        <v>52</v>
      </c>
      <c r="J11" s="182">
        <f>'Lpg (2)'!B15</f>
        <v>85</v>
      </c>
      <c r="K11" s="182">
        <f>'Lpg (2)'!C15</f>
        <v>85</v>
      </c>
      <c r="L11" s="182">
        <f>'Lpg (2)'!D15</f>
        <v>1</v>
      </c>
      <c r="M11" s="528">
        <f>'Lpg (2)'!G15</f>
        <v>49.588000000017935</v>
      </c>
      <c r="N11" s="175">
        <f t="shared" si="2"/>
        <v>1313.9559999999999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>
        <f t="shared" si="0"/>
        <v>187.708</v>
      </c>
      <c r="S11" s="535" t="e">
        <f t="shared" si="1"/>
        <v>#REF!</v>
      </c>
    </row>
    <row r="12" spans="1:19" ht="14.25">
      <c r="A12" s="534">
        <f>Gen!B17</f>
        <v>44081</v>
      </c>
      <c r="B12" s="6">
        <f>'Summery Report'!E11</f>
        <v>3</v>
      </c>
      <c r="C12" s="6">
        <f>Gen!U17</f>
        <v>2010</v>
      </c>
      <c r="D12" s="177">
        <f>Gen!T17</f>
        <v>910.27</v>
      </c>
      <c r="E12" s="177">
        <f>Gen!AK17</f>
        <v>258.14</v>
      </c>
      <c r="F12" s="177">
        <f>Gen!AS17</f>
        <v>1168.4099999999999</v>
      </c>
      <c r="G12" s="180">
        <f>'Utility report '!AC12</f>
        <v>45</v>
      </c>
      <c r="H12" s="180">
        <f>'Utility report '!AE12</f>
        <v>44</v>
      </c>
      <c r="I12" s="348">
        <f>'Water-Meter'!E12</f>
        <v>58</v>
      </c>
      <c r="J12" s="182">
        <f>'Lpg (2)'!B16</f>
        <v>85</v>
      </c>
      <c r="K12" s="182">
        <f>'Lpg (2)'!C16</f>
        <v>85</v>
      </c>
      <c r="L12" s="182">
        <f>'Lpg (2)'!D16</f>
        <v>0</v>
      </c>
      <c r="M12" s="528">
        <f>'Lpg (2)'!G16</f>
        <v>62.567999999941101</v>
      </c>
      <c r="N12" s="175">
        <f t="shared" si="2"/>
        <v>1274.3779999999999</v>
      </c>
      <c r="O12" s="175">
        <f t="shared" si="2"/>
        <v>361.39599999999996</v>
      </c>
      <c r="P12" s="174" t="e">
        <f>'[1]Lpg (2)'!#REF!</f>
        <v>#REF!</v>
      </c>
      <c r="Q12" s="175" t="e">
        <f>'[1]Summery Report'!#REF!</f>
        <v>#REF!</v>
      </c>
      <c r="R12" s="175">
        <f t="shared" si="0"/>
        <v>424.79266666666666</v>
      </c>
      <c r="S12" s="535" t="e">
        <f t="shared" si="1"/>
        <v>#REF!</v>
      </c>
    </row>
    <row r="13" spans="1:19" ht="14.25">
      <c r="A13" s="534">
        <f>Gen!B18</f>
        <v>44082</v>
      </c>
      <c r="B13" s="6">
        <f>'Summery Report'!E12</f>
        <v>7</v>
      </c>
      <c r="C13" s="6">
        <f>Gen!U18</f>
        <v>2245</v>
      </c>
      <c r="D13" s="177">
        <f>Gen!T18</f>
        <v>948.21</v>
      </c>
      <c r="E13" s="177">
        <f>Gen!AK18</f>
        <v>123.3</v>
      </c>
      <c r="F13" s="177">
        <f>Gen!AS18</f>
        <v>1071.51</v>
      </c>
      <c r="G13" s="180">
        <f>'Utility report '!AC13</f>
        <v>54</v>
      </c>
      <c r="H13" s="180">
        <f>'Utility report '!AE13</f>
        <v>35</v>
      </c>
      <c r="I13" s="348">
        <f>'Water-Meter'!E13</f>
        <v>46</v>
      </c>
      <c r="J13" s="182">
        <f>'Lpg (2)'!B17</f>
        <v>85</v>
      </c>
      <c r="K13" s="182">
        <f>'Lpg (2)'!C17</f>
        <v>81</v>
      </c>
      <c r="L13" s="182">
        <f>'Lpg (2)'!D17</f>
        <v>0</v>
      </c>
      <c r="M13" s="528">
        <f>'Lpg (2)'!G17</f>
        <v>54.868000000005125</v>
      </c>
      <c r="N13" s="175">
        <f t="shared" si="2"/>
        <v>1327.4939999999999</v>
      </c>
      <c r="O13" s="175">
        <f t="shared" si="2"/>
        <v>172.61999999999998</v>
      </c>
      <c r="P13" s="174" t="e">
        <f>'[1]Lpg (2)'!#REF!</f>
        <v>#REF!</v>
      </c>
      <c r="Q13" s="175" t="e">
        <f>'[1]Summery Report'!#REF!</f>
        <v>#REF!</v>
      </c>
      <c r="R13" s="175">
        <f t="shared" si="0"/>
        <v>189.642</v>
      </c>
      <c r="S13" s="535" t="e">
        <f t="shared" si="1"/>
        <v>#REF!</v>
      </c>
    </row>
    <row r="14" spans="1:19" ht="14.25">
      <c r="A14" s="534">
        <f>Gen!B19</f>
        <v>44083</v>
      </c>
      <c r="B14" s="6">
        <f>'Summery Report'!E13</f>
        <v>5</v>
      </c>
      <c r="C14" s="6">
        <f>Gen!U19</f>
        <v>2101</v>
      </c>
      <c r="D14" s="177">
        <f>Gen!T19</f>
        <v>916.32999999999993</v>
      </c>
      <c r="E14" s="177">
        <f>Gen!AK19</f>
        <v>0</v>
      </c>
      <c r="F14" s="177">
        <f>Gen!AS19</f>
        <v>916.32999999999993</v>
      </c>
      <c r="G14" s="180">
        <f>'Utility report '!AC14</f>
        <v>46</v>
      </c>
      <c r="H14" s="180">
        <f>'Utility report '!AE14</f>
        <v>39</v>
      </c>
      <c r="I14" s="348">
        <f>'Water-Meter'!E14</f>
        <v>52</v>
      </c>
      <c r="J14" s="182">
        <f>'Lpg (2)'!B18</f>
        <v>85</v>
      </c>
      <c r="K14" s="182">
        <f>'Lpg (2)'!C18</f>
        <v>75</v>
      </c>
      <c r="L14" s="182">
        <f>'Lpg (2)'!D18</f>
        <v>0</v>
      </c>
      <c r="M14" s="528">
        <f>'Lpg (2)'!G18</f>
        <v>57.420000000012813</v>
      </c>
      <c r="N14" s="175">
        <f t="shared" si="2"/>
        <v>1282.8619999999999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256.57239999999996</v>
      </c>
      <c r="S14" s="535" t="e">
        <f t="shared" si="1"/>
        <v>#REF!</v>
      </c>
    </row>
    <row r="15" spans="1:19" ht="14.25">
      <c r="A15" s="534">
        <f>Gen!B20</f>
        <v>44084</v>
      </c>
      <c r="B15" s="6">
        <f>'Summery Report'!E14</f>
        <v>1</v>
      </c>
      <c r="C15" s="6">
        <f>Gen!U20</f>
        <v>2199</v>
      </c>
      <c r="D15" s="177">
        <f>Gen!T20</f>
        <v>978.04</v>
      </c>
      <c r="E15" s="177">
        <f>Gen!AK20</f>
        <v>0</v>
      </c>
      <c r="F15" s="177">
        <f>Gen!AS20</f>
        <v>978.04</v>
      </c>
      <c r="G15" s="180">
        <f>'Utility report '!AC15</f>
        <v>103</v>
      </c>
      <c r="H15" s="180">
        <f>'Utility report '!AE15</f>
        <v>34</v>
      </c>
      <c r="I15" s="348">
        <f>'Water-Meter'!E15</f>
        <v>55</v>
      </c>
      <c r="J15" s="182">
        <f>'Lpg (2)'!B19</f>
        <v>85</v>
      </c>
      <c r="K15" s="182">
        <f>'Lpg (2)'!C19</f>
        <v>72</v>
      </c>
      <c r="L15" s="182">
        <f>'Lpg (2)'!D19</f>
        <v>0</v>
      </c>
      <c r="M15" s="528">
        <f>'Lpg (2)'!G19</f>
        <v>44</v>
      </c>
      <c r="N15" s="175">
        <f t="shared" si="2"/>
        <v>1369.2559999999999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1369.2559999999999</v>
      </c>
      <c r="S15" s="535" t="e">
        <f t="shared" si="1"/>
        <v>#REF!</v>
      </c>
    </row>
    <row r="16" spans="1:19" ht="14.25">
      <c r="A16" s="534">
        <f>Gen!B21</f>
        <v>44085</v>
      </c>
      <c r="B16" s="6">
        <f>'Summery Report'!E15</f>
        <v>3</v>
      </c>
      <c r="C16" s="6">
        <f>Gen!U21</f>
        <v>2126</v>
      </c>
      <c r="D16" s="177">
        <f>Gen!T21</f>
        <v>782.55</v>
      </c>
      <c r="E16" s="177">
        <f>Gen!AK21</f>
        <v>0</v>
      </c>
      <c r="F16" s="177">
        <f>Gen!AS21</f>
        <v>782.55</v>
      </c>
      <c r="G16" s="180">
        <f>'Utility report '!AC16</f>
        <v>1</v>
      </c>
      <c r="H16" s="180">
        <f>'Utility report '!AE16</f>
        <v>29</v>
      </c>
      <c r="I16" s="348">
        <f>'Water-Meter'!E16</f>
        <v>94</v>
      </c>
      <c r="J16" s="182">
        <f>'Lpg (2)'!B20</f>
        <v>85</v>
      </c>
      <c r="K16" s="182">
        <f>'Lpg (2)'!C20</f>
        <v>68</v>
      </c>
      <c r="L16" s="182">
        <f>'Lpg (2)'!D20</f>
        <v>0</v>
      </c>
      <c r="M16" s="528">
        <f>'Lpg (2)'!G20</f>
        <v>70.927999999979519</v>
      </c>
      <c r="N16" s="175">
        <f t="shared" si="2"/>
        <v>1095.57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>
        <f t="shared" si="0"/>
        <v>365.19</v>
      </c>
      <c r="S16" s="535" t="e">
        <f t="shared" si="1"/>
        <v>#REF!</v>
      </c>
    </row>
    <row r="17" spans="1:19" ht="14.25">
      <c r="A17" s="534">
        <f>Gen!B22</f>
        <v>44086</v>
      </c>
      <c r="B17" s="6">
        <f>'Summery Report'!E16</f>
        <v>3</v>
      </c>
      <c r="C17" s="6">
        <f>Gen!U22</f>
        <v>2174</v>
      </c>
      <c r="D17" s="177">
        <f>Gen!T22</f>
        <v>732.78</v>
      </c>
      <c r="E17" s="177">
        <f>Gen!AK22</f>
        <v>0</v>
      </c>
      <c r="F17" s="177">
        <f>Gen!AS22</f>
        <v>732.78</v>
      </c>
      <c r="G17" s="180">
        <f>'Utility report '!AC17</f>
        <v>10</v>
      </c>
      <c r="H17" s="180">
        <f>'Utility report '!AE17</f>
        <v>33</v>
      </c>
      <c r="I17" s="348">
        <f>'Water-Meter'!E17</f>
        <v>59</v>
      </c>
      <c r="J17" s="182">
        <f>'Lpg (2)'!B21</f>
        <v>85</v>
      </c>
      <c r="K17" s="182">
        <f>'Lpg (2)'!C22</f>
        <v>58</v>
      </c>
      <c r="L17" s="182">
        <f>'Lpg (2)'!D21</f>
        <v>0</v>
      </c>
      <c r="M17" s="528">
        <f>'Lpg (2)'!G21</f>
        <v>53.900000000000006</v>
      </c>
      <c r="N17" s="175">
        <f t="shared" si="2"/>
        <v>1025.8919999999998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>
        <f t="shared" si="0"/>
        <v>341.96399999999994</v>
      </c>
      <c r="S17" s="535" t="e">
        <f t="shared" si="1"/>
        <v>#REF!</v>
      </c>
    </row>
    <row r="18" spans="1:19" ht="14.25">
      <c r="A18" s="534">
        <f>Gen!B23</f>
        <v>44087</v>
      </c>
      <c r="B18" s="6">
        <f>'Summery Report'!E17</f>
        <v>3</v>
      </c>
      <c r="C18" s="6">
        <f>Gen!U23</f>
        <v>2113</v>
      </c>
      <c r="D18" s="177">
        <f>Gen!T23</f>
        <v>935.74</v>
      </c>
      <c r="E18" s="177">
        <f>Gen!AK23</f>
        <v>71.040000000000006</v>
      </c>
      <c r="F18" s="177">
        <f>Gen!AS23</f>
        <v>1006.78</v>
      </c>
      <c r="G18" s="180">
        <f>'Utility report '!AC18</f>
        <v>16</v>
      </c>
      <c r="H18" s="180">
        <f>'Utility report '!AE18</f>
        <v>34</v>
      </c>
      <c r="I18" s="348">
        <f>'Water-Meter'!E18</f>
        <v>36</v>
      </c>
      <c r="J18" s="182">
        <f>'Lpg (2)'!B22</f>
        <v>85</v>
      </c>
      <c r="K18" s="182">
        <f>'Lpg (2)'!C23</f>
        <v>52</v>
      </c>
      <c r="L18" s="182">
        <f>'Lpg (2)'!D22</f>
        <v>0</v>
      </c>
      <c r="M18" s="528">
        <f>'Lpg (2)'!G22</f>
        <v>55.396000000048666</v>
      </c>
      <c r="N18" s="175">
        <f t="shared" si="2"/>
        <v>1310.0359999999998</v>
      </c>
      <c r="O18" s="175">
        <f t="shared" si="2"/>
        <v>99.456000000000003</v>
      </c>
      <c r="P18" s="174" t="e">
        <f>'[1]Lpg (2)'!#REF!</f>
        <v>#REF!</v>
      </c>
      <c r="Q18" s="175" t="e">
        <f>'[1]Summery Report'!#REF!</f>
        <v>#REF!</v>
      </c>
      <c r="R18" s="175">
        <f t="shared" si="0"/>
        <v>436.67866666666663</v>
      </c>
      <c r="S18" s="535" t="e">
        <f t="shared" si="1"/>
        <v>#REF!</v>
      </c>
    </row>
    <row r="19" spans="1:19" ht="14.25">
      <c r="A19" s="534">
        <f>Gen!B24</f>
        <v>44088</v>
      </c>
      <c r="B19" s="6">
        <f>'Summery Report'!E18</f>
        <v>4</v>
      </c>
      <c r="C19" s="6">
        <f>Gen!U24</f>
        <v>2040</v>
      </c>
      <c r="D19" s="177">
        <f>Gen!T24</f>
        <v>890.08999999999992</v>
      </c>
      <c r="E19" s="177">
        <f>Gen!AK24</f>
        <v>0</v>
      </c>
      <c r="F19" s="177">
        <f>Gen!AS24</f>
        <v>890.08999999999992</v>
      </c>
      <c r="G19" s="180">
        <f>'Utility report '!AC19</f>
        <v>33</v>
      </c>
      <c r="H19" s="180">
        <f>'Utility report '!AE19</f>
        <v>34</v>
      </c>
      <c r="I19" s="348">
        <f>'Water-Meter'!E19</f>
        <v>53</v>
      </c>
      <c r="J19" s="182">
        <f>'Lpg (2)'!B23</f>
        <v>85</v>
      </c>
      <c r="K19" s="182">
        <f>'Lpg (2)'!C24</f>
        <v>50</v>
      </c>
      <c r="L19" s="182">
        <f>'Lpg (2)'!D23</f>
        <v>0</v>
      </c>
      <c r="M19" s="528">
        <f>'Lpg (2)'!G23</f>
        <v>56.452000000007686</v>
      </c>
      <c r="N19" s="175">
        <f t="shared" si="2"/>
        <v>1246.1259999999997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>
        <f t="shared" si="0"/>
        <v>311.53149999999994</v>
      </c>
      <c r="S19" s="535" t="e">
        <f t="shared" si="1"/>
        <v>#REF!</v>
      </c>
    </row>
    <row r="20" spans="1:19" ht="14.25">
      <c r="A20" s="534">
        <f>Gen!B25</f>
        <v>44089</v>
      </c>
      <c r="B20" s="6">
        <f>'Summery Report'!E19</f>
        <v>4</v>
      </c>
      <c r="C20" s="6">
        <f>Gen!U25</f>
        <v>2084</v>
      </c>
      <c r="D20" s="177">
        <f>Gen!T25</f>
        <v>888.98</v>
      </c>
      <c r="E20" s="177">
        <f>Gen!AK25</f>
        <v>0</v>
      </c>
      <c r="F20" s="177">
        <f>Gen!AS25</f>
        <v>888.98</v>
      </c>
      <c r="G20" s="180">
        <f>'Utility report '!AC20</f>
        <v>41</v>
      </c>
      <c r="H20" s="180">
        <f>'Utility report '!AE20</f>
        <v>36</v>
      </c>
      <c r="I20" s="348">
        <f>'Water-Meter'!E20</f>
        <v>40</v>
      </c>
      <c r="J20" s="182">
        <f>'Lpg (2)'!B24</f>
        <v>85</v>
      </c>
      <c r="K20" s="182">
        <f>'Lpg (2)'!C25</f>
        <v>43</v>
      </c>
      <c r="L20" s="182">
        <f>'Lpg (2)'!D24</f>
        <v>0</v>
      </c>
      <c r="M20" s="528">
        <f>'Lpg (2)'!G24</f>
        <v>52.051999999943661</v>
      </c>
      <c r="N20" s="175">
        <f t="shared" si="2"/>
        <v>1244.5719999999999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>
        <f t="shared" si="0"/>
        <v>311.14299999999997</v>
      </c>
      <c r="S20" s="535" t="e">
        <f t="shared" si="1"/>
        <v>#REF!</v>
      </c>
    </row>
    <row r="21" spans="1:19" ht="14.25">
      <c r="A21" s="534">
        <f>Gen!B26</f>
        <v>44090</v>
      </c>
      <c r="B21" s="6">
        <f>'Summery Report'!E20</f>
        <v>11</v>
      </c>
      <c r="C21" s="6">
        <f>Gen!U26</f>
        <v>2489</v>
      </c>
      <c r="D21" s="177">
        <f>Gen!T26</f>
        <v>1095.46</v>
      </c>
      <c r="E21" s="177">
        <f>Gen!AK26</f>
        <v>181.14</v>
      </c>
      <c r="F21" s="177">
        <f>Gen!AS26</f>
        <v>1276.5999999999999</v>
      </c>
      <c r="G21" s="180">
        <f>'Utility report '!AC21</f>
        <v>16</v>
      </c>
      <c r="H21" s="180">
        <f>'Utility report '!AE21</f>
        <v>36</v>
      </c>
      <c r="I21" s="348">
        <f>'Water-Meter'!E21</f>
        <v>30</v>
      </c>
      <c r="J21" s="182">
        <f>'Lpg (2)'!B25</f>
        <v>85</v>
      </c>
      <c r="K21" s="182">
        <f>'Lpg (2)'!C25</f>
        <v>43</v>
      </c>
      <c r="L21" s="182">
        <f>'Lpg (2)'!D25</f>
        <v>0</v>
      </c>
      <c r="M21" s="528">
        <f>'Lpg (2)'!G25</f>
        <v>49.192000000033296</v>
      </c>
      <c r="N21" s="175">
        <f t="shared" si="2"/>
        <v>1533.644</v>
      </c>
      <c r="O21" s="175">
        <f t="shared" si="2"/>
        <v>253.59599999999998</v>
      </c>
      <c r="P21" s="174" t="e">
        <f>'[1]Lpg (2)'!#REF!</f>
        <v>#REF!</v>
      </c>
      <c r="Q21" s="175" t="e">
        <f>'[1]Summery Report'!#REF!</f>
        <v>#REF!</v>
      </c>
      <c r="R21" s="175">
        <f t="shared" si="0"/>
        <v>139.42218181818183</v>
      </c>
      <c r="S21" s="535" t="e">
        <f t="shared" si="1"/>
        <v>#REF!</v>
      </c>
    </row>
    <row r="22" spans="1:19" ht="14.25">
      <c r="A22" s="534">
        <f>Gen!B27</f>
        <v>44091</v>
      </c>
      <c r="B22" s="6">
        <f>'Summery Report'!E21</f>
        <v>10</v>
      </c>
      <c r="C22" s="6">
        <f>Gen!U27</f>
        <v>2499</v>
      </c>
      <c r="D22" s="177">
        <f>Gen!T27</f>
        <v>1018.0699999999999</v>
      </c>
      <c r="E22" s="177">
        <f>Gen!AK27</f>
        <v>25.41</v>
      </c>
      <c r="F22" s="177">
        <f>Gen!AS27</f>
        <v>1043.48</v>
      </c>
      <c r="G22" s="180">
        <f>'Utility report '!AC22</f>
        <v>55</v>
      </c>
      <c r="H22" s="180">
        <f>'Utility report '!AE22</f>
        <v>37</v>
      </c>
      <c r="I22" s="348">
        <f>'Water-Meter'!E22</f>
        <v>49</v>
      </c>
      <c r="J22" s="182">
        <f>'Lpg (2)'!B26</f>
        <v>85</v>
      </c>
      <c r="K22" s="182">
        <f>'Lpg (2)'!C26</f>
        <v>40</v>
      </c>
      <c r="L22" s="182">
        <f>'Lpg (2)'!D26</f>
        <v>0</v>
      </c>
      <c r="M22" s="528">
        <f>'Lpg (2)'!G26</f>
        <v>55.088000000017935</v>
      </c>
      <c r="N22" s="175">
        <f t="shared" si="2"/>
        <v>1425.2979999999998</v>
      </c>
      <c r="O22" s="175">
        <f t="shared" si="2"/>
        <v>35.573999999999998</v>
      </c>
      <c r="P22" s="174" t="e">
        <f>'[1]Lpg (2)'!#REF!</f>
        <v>#REF!</v>
      </c>
      <c r="Q22" s="175" t="e">
        <f>'[1]Summery Report'!#REF!</f>
        <v>#REF!</v>
      </c>
      <c r="R22" s="175">
        <f t="shared" si="0"/>
        <v>142.52979999999997</v>
      </c>
      <c r="S22" s="535" t="e">
        <f t="shared" si="1"/>
        <v>#REF!</v>
      </c>
    </row>
    <row r="23" spans="1:19" ht="14.25">
      <c r="A23" s="534">
        <f>Gen!B28</f>
        <v>44092</v>
      </c>
      <c r="B23" s="6">
        <f>'Summery Report'!E22</f>
        <v>12</v>
      </c>
      <c r="C23" s="6">
        <f>Gen!U28</f>
        <v>2622</v>
      </c>
      <c r="D23" s="177">
        <f>Gen!T28</f>
        <v>1041.27</v>
      </c>
      <c r="E23" s="177">
        <f>Gen!AK28</f>
        <v>0</v>
      </c>
      <c r="F23" s="177">
        <f>Gen!AS28</f>
        <v>1041.27</v>
      </c>
      <c r="G23" s="180">
        <f>'Utility report '!AC23</f>
        <v>20</v>
      </c>
      <c r="H23" s="180">
        <f>'Utility report '!AE23</f>
        <v>34</v>
      </c>
      <c r="I23" s="348">
        <f>'Water-Meter'!E23</f>
        <v>50</v>
      </c>
      <c r="J23" s="182">
        <f>'Lpg (2)'!B27</f>
        <v>85</v>
      </c>
      <c r="K23" s="182">
        <f>'Lpg (2)'!C27</f>
        <v>38</v>
      </c>
      <c r="L23" s="182">
        <f>'Lpg (2)'!D27</f>
        <v>0</v>
      </c>
      <c r="M23" s="528">
        <f>'Lpg (2)'!G27</f>
        <v>65.339999999961591</v>
      </c>
      <c r="N23" s="175">
        <f t="shared" si="2"/>
        <v>1457.7779999999998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>
        <f t="shared" si="0"/>
        <v>121.48149999999998</v>
      </c>
      <c r="S23" s="535" t="e">
        <f t="shared" si="1"/>
        <v>#REF!</v>
      </c>
    </row>
    <row r="24" spans="1:19" ht="14.25">
      <c r="A24" s="534">
        <f>Gen!B29</f>
        <v>44093</v>
      </c>
      <c r="B24" s="6">
        <f>'Summery Report'!E23</f>
        <v>8</v>
      </c>
      <c r="C24" s="6">
        <f>Gen!U29</f>
        <v>2500</v>
      </c>
      <c r="D24" s="177">
        <f>Gen!T29</f>
        <v>1129.8800000000001</v>
      </c>
      <c r="E24" s="177">
        <f>Gen!AK29</f>
        <v>374.38</v>
      </c>
      <c r="F24" s="177">
        <f>Gen!AS29</f>
        <v>1504.2600000000002</v>
      </c>
      <c r="G24" s="180">
        <f>'Utility report '!AC24</f>
        <v>42</v>
      </c>
      <c r="H24" s="180">
        <f>'Utility report '!AE24</f>
        <v>32</v>
      </c>
      <c r="I24" s="348">
        <f>'Water-Meter'!E24</f>
        <v>51</v>
      </c>
      <c r="J24" s="182">
        <f>'Lpg (2)'!B28</f>
        <v>85</v>
      </c>
      <c r="K24" s="182">
        <f>'Lpg (2)'!C28</f>
        <v>30</v>
      </c>
      <c r="L24" s="182">
        <f>'Lpg (2)'!D28</f>
        <v>0</v>
      </c>
      <c r="M24" s="528">
        <f>'Lpg (2)'!G28</f>
        <v>65.428000000043539</v>
      </c>
      <c r="N24" s="175">
        <f t="shared" si="2"/>
        <v>1581.8320000000001</v>
      </c>
      <c r="O24" s="175">
        <f t="shared" si="2"/>
        <v>524.13199999999995</v>
      </c>
      <c r="P24" s="174" t="e">
        <f>'[1]Lpg (2)'!#REF!</f>
        <v>#REF!</v>
      </c>
      <c r="Q24" s="175" t="e">
        <f>'[1]Summery Report'!#REF!</f>
        <v>#REF!</v>
      </c>
      <c r="R24" s="175">
        <f t="shared" si="0"/>
        <v>197.72900000000001</v>
      </c>
      <c r="S24" s="535" t="e">
        <f t="shared" si="1"/>
        <v>#REF!</v>
      </c>
    </row>
    <row r="25" spans="1:19" ht="14.25">
      <c r="A25" s="534">
        <f>Gen!B30</f>
        <v>44094</v>
      </c>
      <c r="B25" s="6">
        <f>'Summery Report'!E24</f>
        <v>6</v>
      </c>
      <c r="C25" s="6">
        <f>Gen!U30</f>
        <v>2313</v>
      </c>
      <c r="D25" s="177">
        <f>Gen!T30</f>
        <v>1055.6599999999999</v>
      </c>
      <c r="E25" s="177">
        <f>Gen!AK30</f>
        <v>44.98</v>
      </c>
      <c r="F25" s="177">
        <f>Gen!AS30</f>
        <v>1100.6399999999999</v>
      </c>
      <c r="G25" s="180">
        <f>'Utility report '!AC25</f>
        <v>0</v>
      </c>
      <c r="H25" s="180">
        <f>'Utility report '!AE25</f>
        <v>38</v>
      </c>
      <c r="I25" s="348">
        <f>'Water-Meter'!E25</f>
        <v>46</v>
      </c>
      <c r="J25" s="182">
        <f>'Lpg (2)'!B29</f>
        <v>85</v>
      </c>
      <c r="K25" s="182">
        <f>'Lpg (2)'!C29</f>
        <v>29</v>
      </c>
      <c r="L25" s="182">
        <f>'Lpg (2)'!D29</f>
        <v>0</v>
      </c>
      <c r="M25" s="528">
        <f>'Lpg (2)'!G29</f>
        <v>69.827999999979511</v>
      </c>
      <c r="N25" s="175">
        <f t="shared" si="2"/>
        <v>1477.9239999999998</v>
      </c>
      <c r="O25" s="175">
        <f t="shared" si="2"/>
        <v>62.971999999999994</v>
      </c>
      <c r="P25" s="174" t="e">
        <f>'[1]Lpg (2)'!#REF!</f>
        <v>#REF!</v>
      </c>
      <c r="Q25" s="175" t="e">
        <f>'[1]Summery Report'!#REF!</f>
        <v>#REF!</v>
      </c>
      <c r="R25" s="175">
        <f t="shared" si="0"/>
        <v>246.32066666666663</v>
      </c>
      <c r="S25" s="535" t="e">
        <f t="shared" si="1"/>
        <v>#REF!</v>
      </c>
    </row>
    <row r="26" spans="1:19" ht="14.25">
      <c r="A26" s="534">
        <f>Gen!B31</f>
        <v>44095</v>
      </c>
      <c r="B26" s="6">
        <f>'Summery Report'!E25</f>
        <v>6</v>
      </c>
      <c r="C26" s="6">
        <f>Gen!U31</f>
        <v>2356</v>
      </c>
      <c r="D26" s="177">
        <f>Gen!T31</f>
        <v>957.7</v>
      </c>
      <c r="E26" s="177">
        <f>Gen!AK31</f>
        <v>0</v>
      </c>
      <c r="F26" s="177">
        <f>Gen!AS31</f>
        <v>957.7</v>
      </c>
      <c r="G26" s="180">
        <f>'Utility report '!AC26</f>
        <v>74</v>
      </c>
      <c r="H26" s="180">
        <f>'Utility report '!AE26</f>
        <v>34</v>
      </c>
      <c r="I26" s="348">
        <f>'Water-Meter'!E26</f>
        <v>46</v>
      </c>
      <c r="J26" s="182">
        <f>'Lpg (2)'!B30</f>
        <v>85</v>
      </c>
      <c r="K26" s="182">
        <f>'Lpg (2)'!C30</f>
        <v>25</v>
      </c>
      <c r="L26" s="182">
        <f>'Lpg (2)'!D30</f>
        <v>0</v>
      </c>
      <c r="M26" s="528">
        <f>'Lpg (2)'!G30</f>
        <v>75.679999999987203</v>
      </c>
      <c r="N26" s="175">
        <f t="shared" si="2"/>
        <v>1340.78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>
        <f t="shared" si="0"/>
        <v>223.46333333333334</v>
      </c>
      <c r="S26" s="535" t="e">
        <f t="shared" si="1"/>
        <v>#REF!</v>
      </c>
    </row>
    <row r="27" spans="1:19" ht="14.25">
      <c r="A27" s="534">
        <f>Gen!B32</f>
        <v>44096</v>
      </c>
      <c r="B27" s="6">
        <f>'Summery Report'!E26</f>
        <v>3</v>
      </c>
      <c r="C27" s="6">
        <f>Gen!U32</f>
        <v>2289</v>
      </c>
      <c r="D27" s="177">
        <f>Gen!T32</f>
        <v>982.5</v>
      </c>
      <c r="E27" s="177">
        <f>Gen!AK32</f>
        <v>0</v>
      </c>
      <c r="F27" s="177">
        <f>Gen!AS32</f>
        <v>982.5</v>
      </c>
      <c r="G27" s="180">
        <f>'Utility report '!AC27</f>
        <v>44</v>
      </c>
      <c r="H27" s="180">
        <f>'Utility report '!AE27</f>
        <v>38</v>
      </c>
      <c r="I27" s="348">
        <f>'Water-Meter'!E27</f>
        <v>56</v>
      </c>
      <c r="J27" s="182">
        <f>'Lpg (2)'!B31</f>
        <v>85</v>
      </c>
      <c r="K27" s="182">
        <f>'Lpg (2)'!C31</f>
        <v>23</v>
      </c>
      <c r="L27" s="182">
        <f>'Lpg (2)'!D31</f>
        <v>0</v>
      </c>
      <c r="M27" s="528">
        <f>'Lpg (2)'!G31</f>
        <v>55.747999999992324</v>
      </c>
      <c r="N27" s="175">
        <f t="shared" si="2"/>
        <v>1375.5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>
        <f t="shared" si="0"/>
        <v>458.5</v>
      </c>
      <c r="S27" s="535" t="e">
        <f t="shared" si="1"/>
        <v>#REF!</v>
      </c>
    </row>
    <row r="28" spans="1:19" ht="14.25">
      <c r="A28" s="534">
        <f>Gen!B33</f>
        <v>44097</v>
      </c>
      <c r="B28" s="6">
        <f>'Summery Report'!E27</f>
        <v>3</v>
      </c>
      <c r="C28" s="6">
        <f>Gen!U33</f>
        <v>2286</v>
      </c>
      <c r="D28" s="177">
        <f>Gen!T33</f>
        <v>989.79</v>
      </c>
      <c r="E28" s="177">
        <f>Gen!AK33</f>
        <v>187.28</v>
      </c>
      <c r="F28" s="177">
        <f>Gen!AS33</f>
        <v>1177.07</v>
      </c>
      <c r="G28" s="180">
        <f>'Utility report '!AC28</f>
        <v>47</v>
      </c>
      <c r="H28" s="180">
        <f>'Utility report '!AE28</f>
        <v>31</v>
      </c>
      <c r="I28" s="348">
        <f>'Water-Meter'!E28</f>
        <v>49</v>
      </c>
      <c r="J28" s="182">
        <f>'Lpg (2)'!B32</f>
        <v>85</v>
      </c>
      <c r="K28" s="182">
        <f>'Lpg (2)'!C32</f>
        <v>20</v>
      </c>
      <c r="L28" s="182">
        <f>'Lpg (2)'!D32</f>
        <v>0</v>
      </c>
      <c r="M28" s="528">
        <f>'Lpg (2)'!G32</f>
        <v>39.20400000001537</v>
      </c>
      <c r="N28" s="175">
        <f t="shared" si="2"/>
        <v>1385.7059999999999</v>
      </c>
      <c r="O28" s="175">
        <f t="shared" si="2"/>
        <v>262.19200000000001</v>
      </c>
      <c r="P28" s="174" t="e">
        <f>'[1]Lpg (2)'!#REF!</f>
        <v>#REF!</v>
      </c>
      <c r="Q28" s="175" t="e">
        <f>'[1]Summery Report'!#REF!</f>
        <v>#REF!</v>
      </c>
      <c r="R28" s="175">
        <f t="shared" si="0"/>
        <v>461.90199999999999</v>
      </c>
      <c r="S28" s="535" t="e">
        <f t="shared" si="1"/>
        <v>#REF!</v>
      </c>
    </row>
    <row r="29" spans="1:19" ht="14.25">
      <c r="A29" s="534">
        <f>Gen!B34</f>
        <v>44098</v>
      </c>
      <c r="B29" s="6">
        <f>'Summery Report'!E28</f>
        <v>2</v>
      </c>
      <c r="C29" s="6">
        <f>Gen!U34</f>
        <v>2289</v>
      </c>
      <c r="D29" s="177">
        <f>Gen!T34</f>
        <v>1004.25</v>
      </c>
      <c r="E29" s="177">
        <f>Gen!AK34</f>
        <v>0</v>
      </c>
      <c r="F29" s="177">
        <f>Gen!AS34</f>
        <v>1004.25</v>
      </c>
      <c r="G29" s="180">
        <f>'Utility report '!AC29</f>
        <v>56</v>
      </c>
      <c r="H29" s="180">
        <f>'Utility report '!AE29</f>
        <v>36</v>
      </c>
      <c r="I29" s="348">
        <f>'Water-Meter'!E29</f>
        <v>48</v>
      </c>
      <c r="J29" s="182">
        <f>'Lpg (2)'!B33</f>
        <v>85</v>
      </c>
      <c r="K29" s="182">
        <f>'Lpg (2)'!C33</f>
        <v>19</v>
      </c>
      <c r="L29" s="182">
        <f>'Lpg (2)'!D33</f>
        <v>0</v>
      </c>
      <c r="M29" s="528">
        <f>'Lpg (2)'!G33</f>
        <v>72.600000000000009</v>
      </c>
      <c r="N29" s="175">
        <f t="shared" si="2"/>
        <v>1405.9499999999998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>
        <f t="shared" si="0"/>
        <v>702.97499999999991</v>
      </c>
      <c r="S29" s="535" t="e">
        <f t="shared" si="1"/>
        <v>#REF!</v>
      </c>
    </row>
    <row r="30" spans="1:19" ht="14.25">
      <c r="A30" s="534">
        <f>Gen!B35</f>
        <v>44099</v>
      </c>
      <c r="B30" s="6">
        <f>'Summery Report'!E29</f>
        <v>3</v>
      </c>
      <c r="C30" s="6">
        <f>Gen!U35</f>
        <v>2244</v>
      </c>
      <c r="D30" s="177">
        <f>Gen!T35</f>
        <v>1019.08</v>
      </c>
      <c r="E30" s="177">
        <f>Gen!AK35</f>
        <v>74.599999999999994</v>
      </c>
      <c r="F30" s="177">
        <f>Gen!AS35</f>
        <v>1093.68</v>
      </c>
      <c r="G30" s="180">
        <f>'Utility report '!AC30</f>
        <v>70</v>
      </c>
      <c r="H30" s="180">
        <f>'Utility report '!AE30</f>
        <v>30</v>
      </c>
      <c r="I30" s="348">
        <f>'Water-Meter'!E30</f>
        <v>50</v>
      </c>
      <c r="J30" s="182">
        <f>'Lpg (2)'!B34</f>
        <v>85</v>
      </c>
      <c r="K30" s="182">
        <f>'Lpg (2)'!C34</f>
        <v>18</v>
      </c>
      <c r="L30" s="182">
        <f>'Lpg (2)'!D34</f>
        <v>0</v>
      </c>
      <c r="M30" s="528">
        <f>'Lpg (2)'!G34</f>
        <v>63.272000000020498</v>
      </c>
      <c r="N30" s="175">
        <f t="shared" si="2"/>
        <v>1426.712</v>
      </c>
      <c r="O30" s="175">
        <f t="shared" si="2"/>
        <v>104.43999999999998</v>
      </c>
      <c r="P30" s="174" t="e">
        <f>'[1]Lpg (2)'!#REF!</f>
        <v>#REF!</v>
      </c>
      <c r="Q30" s="175" t="e">
        <f>'[1]Summery Report'!#REF!</f>
        <v>#REF!</v>
      </c>
      <c r="R30" s="175">
        <f t="shared" si="0"/>
        <v>475.57066666666668</v>
      </c>
      <c r="S30" s="535" t="e">
        <f t="shared" si="1"/>
        <v>#REF!</v>
      </c>
    </row>
    <row r="31" spans="1:19" ht="14.25">
      <c r="A31" s="534">
        <f>Gen!B36</f>
        <v>44100</v>
      </c>
      <c r="B31" s="6">
        <f>'Summery Report'!E30</f>
        <v>4</v>
      </c>
      <c r="C31" s="6">
        <f>Gen!U36</f>
        <v>2313</v>
      </c>
      <c r="D31" s="177">
        <f>Gen!T36</f>
        <v>878.8</v>
      </c>
      <c r="E31" s="177">
        <f>Gen!AK36</f>
        <v>0</v>
      </c>
      <c r="F31" s="177">
        <f>Gen!AS36</f>
        <v>878.8</v>
      </c>
      <c r="G31" s="180">
        <f>'Utility report '!AC31</f>
        <v>47</v>
      </c>
      <c r="H31" s="180">
        <f>'Utility report '!AE31</f>
        <v>33</v>
      </c>
      <c r="I31" s="348">
        <f>'Water-Meter'!E31</f>
        <v>55</v>
      </c>
      <c r="J31" s="182">
        <f>'Lpg (2)'!B35</f>
        <v>85</v>
      </c>
      <c r="K31" s="182">
        <f>'Lpg (2)'!C35</f>
        <v>17</v>
      </c>
      <c r="L31" s="182">
        <f>'Lpg (2)'!D35</f>
        <v>0</v>
      </c>
      <c r="M31" s="528">
        <f>'Lpg (2)'!G35</f>
        <v>63.668000000005129</v>
      </c>
      <c r="N31" s="175">
        <f t="shared" si="2"/>
        <v>1230.32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>
        <f t="shared" si="0"/>
        <v>307.58</v>
      </c>
      <c r="S31" s="535" t="e">
        <f t="shared" si="1"/>
        <v>#REF!</v>
      </c>
    </row>
    <row r="32" spans="1:19" ht="14.25">
      <c r="A32" s="534">
        <f>Gen!B37</f>
        <v>44101</v>
      </c>
      <c r="B32" s="6">
        <f>'Summery Report'!E31</f>
        <v>5</v>
      </c>
      <c r="C32" s="6">
        <f>Gen!U37</f>
        <v>2327</v>
      </c>
      <c r="D32" s="177">
        <f>Gen!T37</f>
        <v>975.74</v>
      </c>
      <c r="E32" s="177">
        <f>Gen!AK37</f>
        <v>0</v>
      </c>
      <c r="F32" s="177">
        <f>Gen!AS37</f>
        <v>975.74</v>
      </c>
      <c r="G32" s="180">
        <f>'Utility report '!AC32</f>
        <v>68</v>
      </c>
      <c r="H32" s="180">
        <f>'Utility report '!AE32</f>
        <v>37</v>
      </c>
      <c r="I32" s="348">
        <f>'Water-Meter'!E32</f>
        <v>58</v>
      </c>
      <c r="J32" s="182">
        <f>'Lpg (2)'!B36</f>
        <v>85</v>
      </c>
      <c r="K32" s="182">
        <f>'Lpg (2)'!C36</f>
        <v>16</v>
      </c>
      <c r="L32" s="182">
        <f>'Lpg (2)'!D36</f>
        <v>0</v>
      </c>
      <c r="M32" s="528">
        <f>'Lpg (2)'!G36</f>
        <v>54.691999999969269</v>
      </c>
      <c r="N32" s="175">
        <f t="shared" si="2"/>
        <v>1366.0359999999998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>
        <f t="shared" si="0"/>
        <v>273.20719999999994</v>
      </c>
      <c r="S32" s="535" t="e">
        <f t="shared" si="1"/>
        <v>#REF!</v>
      </c>
    </row>
    <row r="33" spans="1:20" ht="14.25">
      <c r="A33" s="534">
        <f>Gen!B38</f>
        <v>44102</v>
      </c>
      <c r="B33" s="6">
        <f>'Summery Report'!E32</f>
        <v>5</v>
      </c>
      <c r="C33" s="6">
        <f>Gen!U38</f>
        <v>2289</v>
      </c>
      <c r="D33" s="177">
        <f>Gen!T38</f>
        <v>969.3900000000001</v>
      </c>
      <c r="E33" s="177">
        <f>Gen!AK38</f>
        <v>0</v>
      </c>
      <c r="F33" s="177">
        <f>Gen!AS38</f>
        <v>969.3900000000001</v>
      </c>
      <c r="G33" s="180">
        <f>'Utility report '!AC33</f>
        <v>46</v>
      </c>
      <c r="H33" s="180">
        <f>'Utility report '!AE33</f>
        <v>35</v>
      </c>
      <c r="I33" s="348">
        <f>'Water-Meter'!E33</f>
        <v>52</v>
      </c>
      <c r="J33" s="182">
        <f>'Lpg (2)'!B37</f>
        <v>85</v>
      </c>
      <c r="K33" s="182">
        <f>'Lpg (2)'!C37</f>
        <v>15</v>
      </c>
      <c r="L33" s="182">
        <f>'Lpg (2)'!D37</f>
        <v>0</v>
      </c>
      <c r="M33" s="528">
        <f>'Lpg (2)'!G37</f>
        <v>75.679999999987203</v>
      </c>
      <c r="N33" s="175">
        <f t="shared" si="2"/>
        <v>1357.146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>
        <f t="shared" si="0"/>
        <v>271.42919999999998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44103</v>
      </c>
      <c r="B34" s="6">
        <f>'Summery Report'!E33</f>
        <v>5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-39082</v>
      </c>
      <c r="H34" s="180">
        <f>'Utility report '!AE34</f>
        <v>-205609</v>
      </c>
      <c r="I34" s="348" t="str">
        <f>'Water-Meter'!E34</f>
        <v>0</v>
      </c>
      <c r="J34" s="182">
        <f>'Lpg (2)'!B38</f>
        <v>85</v>
      </c>
      <c r="K34" s="182">
        <f>'Lpg (2)'!C38</f>
        <v>14</v>
      </c>
      <c r="L34" s="182">
        <f>'Lpg (2)'!D38</f>
        <v>0</v>
      </c>
      <c r="M34" s="528">
        <f>'Lpg (2)'!G38</f>
        <v>-318841.51199999999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>
        <f t="shared" si="0"/>
        <v>0</v>
      </c>
      <c r="S34" s="535" t="e">
        <f t="shared" si="1"/>
        <v>#REF!</v>
      </c>
    </row>
    <row r="35" spans="1:20" ht="14.25">
      <c r="A35" s="534">
        <f>Gen!B40</f>
        <v>44104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0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147</v>
      </c>
      <c r="C39" s="537">
        <f>SUM(C7:C35)</f>
        <v>60895</v>
      </c>
      <c r="D39" s="537">
        <f>SUM(D7:D35)</f>
        <v>25661.690000000006</v>
      </c>
      <c r="E39" s="537">
        <f t="shared" ref="E39:S39" si="3">SUM(E7:E35)</f>
        <v>1457.9499999999998</v>
      </c>
      <c r="F39" s="537">
        <f t="shared" si="3"/>
        <v>27119.640000000003</v>
      </c>
      <c r="G39" s="537">
        <f t="shared" si="3"/>
        <v>-37882</v>
      </c>
      <c r="H39" s="537">
        <f t="shared" si="3"/>
        <v>-204651</v>
      </c>
      <c r="I39" s="537">
        <f t="shared" si="3"/>
        <v>1398</v>
      </c>
      <c r="J39" s="537">
        <f t="shared" si="3"/>
        <v>2380</v>
      </c>
      <c r="K39" s="537">
        <f t="shared" si="3"/>
        <v>1356</v>
      </c>
      <c r="L39" s="537">
        <f t="shared" si="3"/>
        <v>6</v>
      </c>
      <c r="M39" s="537">
        <f t="shared" si="3"/>
        <v>-317240.44000000006</v>
      </c>
      <c r="N39" s="537">
        <f t="shared" si="3"/>
        <v>35926.365999999995</v>
      </c>
      <c r="O39" s="537">
        <f t="shared" si="3"/>
        <v>2041.1299999999999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5"/>
    </row>
    <row r="43" spans="1:20">
      <c r="I43" s="615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9" zoomScalePageLayoutView="85" workbookViewId="0">
      <pane xSplit="1" topLeftCell="L1" activePane="topRight" state="frozen"/>
      <selection pane="topRight" activeCell="AD36" sqref="AD3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6" t="s">
        <v>313</v>
      </c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787"/>
      <c r="M1" s="787"/>
      <c r="N1" s="787"/>
      <c r="O1" s="787"/>
      <c r="P1" s="787"/>
      <c r="Q1" s="787"/>
      <c r="R1" s="787"/>
      <c r="S1" s="787"/>
      <c r="T1" s="787"/>
      <c r="U1" s="787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8"/>
    </row>
    <row r="2" spans="1:37" ht="61.5" customHeight="1" thickBot="1">
      <c r="A2" s="148" t="s">
        <v>96</v>
      </c>
      <c r="B2" s="789" t="s">
        <v>97</v>
      </c>
      <c r="C2" s="790"/>
      <c r="D2" s="791"/>
      <c r="E2" s="149"/>
      <c r="F2" s="149"/>
      <c r="G2" s="149"/>
      <c r="H2" s="146" t="s">
        <v>122</v>
      </c>
      <c r="I2" s="335" t="s">
        <v>98</v>
      </c>
      <c r="J2" s="794" t="s">
        <v>120</v>
      </c>
      <c r="K2" s="487"/>
      <c r="L2" s="796" t="s">
        <v>121</v>
      </c>
      <c r="M2" s="486" t="s">
        <v>99</v>
      </c>
      <c r="N2" s="794" t="s">
        <v>100</v>
      </c>
      <c r="O2" s="778" t="s">
        <v>101</v>
      </c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336" t="s">
        <v>102</v>
      </c>
      <c r="AB2" s="789" t="s">
        <v>162</v>
      </c>
      <c r="AC2" s="791"/>
      <c r="AD2" s="145">
        <v>0</v>
      </c>
      <c r="AE2" s="466" t="s">
        <v>19</v>
      </c>
      <c r="AF2" s="150" t="s">
        <v>103</v>
      </c>
      <c r="AG2" s="146" t="s">
        <v>104</v>
      </c>
      <c r="AH2" s="150" t="s">
        <v>105</v>
      </c>
      <c r="AI2" s="146" t="s">
        <v>106</v>
      </c>
      <c r="AJ2" s="147" t="s">
        <v>107</v>
      </c>
      <c r="AK2" s="146" t="s">
        <v>108</v>
      </c>
    </row>
    <row r="3" spans="1:37" ht="44.25" customHeight="1" thickBot="1">
      <c r="A3" s="153" t="s">
        <v>123</v>
      </c>
      <c r="B3" s="154">
        <v>1640</v>
      </c>
      <c r="C3" s="152" t="s">
        <v>124</v>
      </c>
      <c r="D3" s="154">
        <v>2175</v>
      </c>
      <c r="E3" s="155"/>
      <c r="F3" s="792">
        <f>SUM(D3/B3)</f>
        <v>1.3262195121951219</v>
      </c>
      <c r="G3" s="793"/>
      <c r="H3" s="129">
        <f>Gen!D11</f>
        <v>41590.620000000003</v>
      </c>
      <c r="I3" s="139"/>
      <c r="J3" s="794"/>
      <c r="K3" s="487" t="s">
        <v>163</v>
      </c>
      <c r="L3" s="796"/>
      <c r="M3" s="337" t="s">
        <v>109</v>
      </c>
      <c r="N3" s="794"/>
      <c r="O3" s="778" t="s">
        <v>110</v>
      </c>
      <c r="P3" s="779"/>
      <c r="Q3" s="779"/>
      <c r="R3" s="779"/>
      <c r="S3" s="780" t="s">
        <v>111</v>
      </c>
      <c r="T3" s="781"/>
      <c r="U3" s="781"/>
      <c r="V3" s="782"/>
      <c r="W3" s="783" t="s">
        <v>112</v>
      </c>
      <c r="X3" s="784"/>
      <c r="Y3" s="784"/>
      <c r="Z3" s="785"/>
      <c r="AA3" s="338" t="s">
        <v>113</v>
      </c>
      <c r="AB3" s="128" t="s">
        <v>109</v>
      </c>
      <c r="AD3" s="128">
        <v>0</v>
      </c>
      <c r="AE3" s="128" t="s">
        <v>114</v>
      </c>
      <c r="AF3" s="130" t="s">
        <v>115</v>
      </c>
      <c r="AG3" s="131" t="s">
        <v>115</v>
      </c>
      <c r="AH3" s="132" t="s">
        <v>115</v>
      </c>
      <c r="AI3" s="133" t="s">
        <v>116</v>
      </c>
      <c r="AJ3" s="134" t="s">
        <v>113</v>
      </c>
      <c r="AK3" s="135" t="s">
        <v>113</v>
      </c>
    </row>
    <row r="4" spans="1:37" ht="60.75" thickBot="1">
      <c r="A4" s="202"/>
      <c r="B4" s="203" t="s">
        <v>128</v>
      </c>
      <c r="C4" s="204" t="s">
        <v>1</v>
      </c>
      <c r="D4" s="205" t="s">
        <v>125</v>
      </c>
      <c r="E4" s="206"/>
      <c r="F4" s="206" t="s">
        <v>126</v>
      </c>
      <c r="G4" s="206" t="s">
        <v>127</v>
      </c>
      <c r="H4" s="207"/>
      <c r="I4" s="207"/>
      <c r="J4" s="794"/>
      <c r="K4" s="487"/>
      <c r="L4" s="796"/>
      <c r="M4" s="141"/>
      <c r="N4" s="795"/>
      <c r="O4" s="339" t="s">
        <v>171</v>
      </c>
      <c r="P4" s="340" t="s">
        <v>169</v>
      </c>
      <c r="Q4" s="340" t="s">
        <v>118</v>
      </c>
      <c r="R4" s="205" t="s">
        <v>170</v>
      </c>
      <c r="S4" s="339" t="s">
        <v>171</v>
      </c>
      <c r="T4" s="340" t="s">
        <v>169</v>
      </c>
      <c r="U4" s="340" t="s">
        <v>118</v>
      </c>
      <c r="V4" s="205" t="s">
        <v>170</v>
      </c>
      <c r="W4" s="339" t="s">
        <v>171</v>
      </c>
      <c r="X4" s="341" t="s">
        <v>305</v>
      </c>
      <c r="Y4" s="341" t="s">
        <v>118</v>
      </c>
      <c r="Z4" s="340" t="s">
        <v>170</v>
      </c>
      <c r="AA4" s="342" t="s">
        <v>117</v>
      </c>
      <c r="AB4" s="222"/>
      <c r="AC4" s="213" t="s">
        <v>117</v>
      </c>
      <c r="AD4" s="222"/>
      <c r="AE4" s="213" t="s">
        <v>117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117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1"/>
      <c r="Q5" s="75"/>
      <c r="R5" s="212"/>
      <c r="S5" s="212"/>
      <c r="T5" s="565">
        <v>16846</v>
      </c>
      <c r="U5" s="212">
        <v>-11</v>
      </c>
      <c r="V5" s="212">
        <v>0</v>
      </c>
      <c r="W5" s="212"/>
      <c r="X5" s="565">
        <v>24962</v>
      </c>
      <c r="Y5" s="212">
        <v>23</v>
      </c>
      <c r="Z5" s="212">
        <v>0</v>
      </c>
      <c r="AA5" s="212">
        <v>0</v>
      </c>
      <c r="AB5" s="564">
        <v>37808</v>
      </c>
      <c r="AC5" s="136">
        <v>80</v>
      </c>
      <c r="AD5" s="446">
        <v>204604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44075</v>
      </c>
      <c r="B6" s="494">
        <f>'Summery Report'!E5</f>
        <v>3</v>
      </c>
      <c r="C6" s="156">
        <f>Gen!C11</f>
        <v>3.9E-2</v>
      </c>
      <c r="D6" s="495">
        <f>'Summery Report'!E5</f>
        <v>3</v>
      </c>
      <c r="E6" s="496">
        <f>SUM(F3)</f>
        <v>1.3262195121951219</v>
      </c>
      <c r="F6" s="497">
        <f>SUM(J6*E6)/D6</f>
        <v>394.07728658536581</v>
      </c>
      <c r="G6" s="497">
        <f t="shared" ref="G6:G36" si="0">SUM(L6*E6)/D6</f>
        <v>424.67317073170733</v>
      </c>
      <c r="H6" s="496">
        <f>Gen!D11</f>
        <v>41590.620000000003</v>
      </c>
      <c r="I6" s="498">
        <f>Gen!F11</f>
        <v>0</v>
      </c>
      <c r="J6" s="140">
        <f>Gen!T11</f>
        <v>891.43</v>
      </c>
      <c r="K6" s="140">
        <f>Gen!AK11</f>
        <v>69.209999999999994</v>
      </c>
      <c r="L6" s="140">
        <f t="shared" ref="L6:L37" si="1">SUM(J6:K6)</f>
        <v>960.64</v>
      </c>
      <c r="M6" s="527">
        <f>'Water-Meter'!K46</f>
        <v>555.23308870002575</v>
      </c>
      <c r="N6" s="201">
        <f>'Water-Meter'!E6</f>
        <v>56</v>
      </c>
      <c r="O6" s="212"/>
      <c r="P6" s="751">
        <v>19032</v>
      </c>
      <c r="Q6" s="499">
        <f t="shared" ref="Q6:Q36" si="2">SUM(P6-P5)</f>
        <v>19032</v>
      </c>
      <c r="R6" s="500">
        <f>SUM(Q6*O6)</f>
        <v>0</v>
      </c>
      <c r="S6" s="446">
        <v>2.5</v>
      </c>
      <c r="T6" s="565">
        <v>16868.189999999999</v>
      </c>
      <c r="U6" s="499">
        <f>T6-T5</f>
        <v>22.18999999999869</v>
      </c>
      <c r="V6" s="501" t="s">
        <v>244</v>
      </c>
      <c r="W6" s="212">
        <v>2.2999999999999998</v>
      </c>
      <c r="X6" s="565">
        <v>24962</v>
      </c>
      <c r="Y6" s="499">
        <f>X6-X5</f>
        <v>0</v>
      </c>
      <c r="Z6" s="499">
        <f t="shared" ref="Z6:AA6" si="3">Y6-Y5</f>
        <v>-23</v>
      </c>
      <c r="AA6" s="499">
        <f t="shared" si="3"/>
        <v>-23</v>
      </c>
      <c r="AB6" s="564">
        <v>37882</v>
      </c>
      <c r="AC6" s="136">
        <f>AB6-AB5</f>
        <v>74</v>
      </c>
      <c r="AD6" s="564">
        <v>204651</v>
      </c>
      <c r="AE6" s="219">
        <f>AD6-AD5</f>
        <v>47</v>
      </c>
      <c r="AF6" s="314">
        <f>'Lpg (2)'!B10*2000/85</f>
        <v>2000</v>
      </c>
      <c r="AG6" s="315">
        <f>'Lpg (2)'!C10*1000/85</f>
        <v>1000</v>
      </c>
      <c r="AH6" s="316">
        <f>'Lpg (2)'!D10*1000/85</f>
        <v>23.529411764705884</v>
      </c>
      <c r="AI6" s="502">
        <f>SUM(AF6*2000)+(AG6*1000)+(AH6*1000)</f>
        <v>5023529.4117647056</v>
      </c>
      <c r="AJ6" s="503">
        <f t="shared" ref="AJ6:AJ36" si="4">SUM(AI5-AI6)</f>
        <v>-5023529.4117647056</v>
      </c>
      <c r="AK6" s="220"/>
    </row>
    <row r="7" spans="1:37" ht="19.5" thickBot="1">
      <c r="A7" s="94">
        <f>Gen!B12</f>
        <v>44076</v>
      </c>
      <c r="B7" s="494">
        <f>'Summery Report'!E6</f>
        <v>4</v>
      </c>
      <c r="C7" s="156">
        <f>Gen!C12</f>
        <v>3.9E-2</v>
      </c>
      <c r="D7" s="495">
        <f>'Summery Report'!E6</f>
        <v>4</v>
      </c>
      <c r="E7" s="496">
        <f>SUM(E6)</f>
        <v>1.3262195121951219</v>
      </c>
      <c r="F7" s="497">
        <f>SUM(J7*E7)/D7</f>
        <v>272.51158536585365</v>
      </c>
      <c r="G7" s="497">
        <f t="shared" si="0"/>
        <v>299.25148628048782</v>
      </c>
      <c r="H7" s="496">
        <f>Gen!D12</f>
        <v>40629.980000000003</v>
      </c>
      <c r="I7" s="498">
        <f>Gen!F12</f>
        <v>0</v>
      </c>
      <c r="J7" s="140">
        <f>Gen!T12</f>
        <v>821.92000000000007</v>
      </c>
      <c r="K7" s="140">
        <f>Gen!AK12</f>
        <v>80.650000000000006</v>
      </c>
      <c r="L7" s="140">
        <f t="shared" si="1"/>
        <v>902.57</v>
      </c>
      <c r="M7" s="527">
        <f>'Water-Meter'!K47</f>
        <v>557.9892644194681</v>
      </c>
      <c r="N7" s="201">
        <f>'Water-Meter'!E7</f>
        <v>58</v>
      </c>
      <c r="O7" s="212"/>
      <c r="P7" s="751">
        <v>19032</v>
      </c>
      <c r="Q7" s="499">
        <f t="shared" si="2"/>
        <v>0</v>
      </c>
      <c r="R7" s="500">
        <f t="shared" ref="R7:R36" si="5">SUM(Q7*O7)</f>
        <v>0</v>
      </c>
      <c r="S7" s="446">
        <v>2.2000000000000002</v>
      </c>
      <c r="T7" s="565">
        <v>16868.189999999999</v>
      </c>
      <c r="U7" s="499">
        <f t="shared" ref="U7:U36" si="6">T7-T6</f>
        <v>0</v>
      </c>
      <c r="V7" s="501">
        <f t="shared" ref="V7:V9" si="7">SUM(U7*S7)</f>
        <v>0</v>
      </c>
      <c r="W7" s="212">
        <v>2.2999999999999998</v>
      </c>
      <c r="X7" s="563">
        <v>24974</v>
      </c>
      <c r="Y7" s="499">
        <f t="shared" ref="Y7:Y36" si="8">X7-X6</f>
        <v>12</v>
      </c>
      <c r="Z7" s="501">
        <f t="shared" ref="Z7:Z36" si="9">SUM(Y7*W7)</f>
        <v>27.599999999999998</v>
      </c>
      <c r="AA7" s="501">
        <f t="shared" ref="AA7:AA36" si="10">SUM(Z7*X9)</f>
        <v>689571.37199999997</v>
      </c>
      <c r="AB7" s="564">
        <v>37908</v>
      </c>
      <c r="AC7" s="136">
        <f t="shared" ref="AC7:AC27" si="11">AB7-AB6</f>
        <v>26</v>
      </c>
      <c r="AD7" s="564">
        <v>204681</v>
      </c>
      <c r="AE7" s="219">
        <f>AD7-AD6</f>
        <v>30</v>
      </c>
      <c r="AF7" s="314">
        <f>'Lpg (2)'!B11*2000/85</f>
        <v>2000</v>
      </c>
      <c r="AG7" s="315">
        <f>'Lpg (2)'!C11*1000/85</f>
        <v>1000</v>
      </c>
      <c r="AH7" s="316">
        <f>'Lpg (2)'!D11*1000/85</f>
        <v>23.529411764705884</v>
      </c>
      <c r="AI7" s="504">
        <f t="shared" ref="AI7:AI14" si="12">SUM(AF6*2000)+(AG7*1000)+(AH7*1000)</f>
        <v>5023529.4117647056</v>
      </c>
      <c r="AJ7" s="503">
        <f t="shared" si="4"/>
        <v>0</v>
      </c>
      <c r="AK7" s="142"/>
    </row>
    <row r="8" spans="1:37" ht="19.5" thickBot="1">
      <c r="A8" s="94">
        <f>Gen!B13</f>
        <v>44077</v>
      </c>
      <c r="B8" s="494">
        <f>'Summery Report'!E7</f>
        <v>4</v>
      </c>
      <c r="C8" s="156">
        <f>Gen!C13</f>
        <v>3.9E-2</v>
      </c>
      <c r="D8" s="495">
        <f>'Summery Report'!E7</f>
        <v>4</v>
      </c>
      <c r="E8" s="496">
        <f t="shared" ref="E8:E36" si="13">SUM(E7)</f>
        <v>1.3262195121951219</v>
      </c>
      <c r="F8" s="497">
        <f t="shared" ref="F8:F36" si="14">SUM(J8*E8)/D8</f>
        <v>361.48765243902437</v>
      </c>
      <c r="G8" s="497">
        <f t="shared" si="0"/>
        <v>364.80983231707313</v>
      </c>
      <c r="H8" s="496">
        <f>Gen!D13</f>
        <v>39727.410000000003</v>
      </c>
      <c r="I8" s="498">
        <f>Gen!F13</f>
        <v>0</v>
      </c>
      <c r="J8" s="140">
        <f>Gen!T13</f>
        <v>1090.28</v>
      </c>
      <c r="K8" s="140">
        <f>Gen!AK13</f>
        <v>10.02</v>
      </c>
      <c r="L8" s="140">
        <f t="shared" si="1"/>
        <v>1100.3</v>
      </c>
      <c r="M8" s="527">
        <f>'Water-Meter'!K48</f>
        <v>589.50579976886524</v>
      </c>
      <c r="N8" s="201">
        <f>'Water-Meter'!E8</f>
        <v>51</v>
      </c>
      <c r="O8" s="212"/>
      <c r="P8" s="751">
        <v>19032</v>
      </c>
      <c r="Q8" s="499">
        <f t="shared" si="2"/>
        <v>0</v>
      </c>
      <c r="R8" s="500">
        <f t="shared" si="5"/>
        <v>0</v>
      </c>
      <c r="S8" s="446">
        <v>2.2000000000000002</v>
      </c>
      <c r="T8" s="565">
        <v>16878</v>
      </c>
      <c r="U8" s="499">
        <f t="shared" si="6"/>
        <v>9.8100000000013097</v>
      </c>
      <c r="V8" s="501">
        <f t="shared" si="7"/>
        <v>21.582000000002882</v>
      </c>
      <c r="W8" s="212">
        <v>2.2999999999999998</v>
      </c>
      <c r="X8" s="563">
        <v>24976</v>
      </c>
      <c r="Y8" s="499">
        <f t="shared" si="8"/>
        <v>2</v>
      </c>
      <c r="Z8" s="501">
        <f t="shared" si="9"/>
        <v>4.5999999999999996</v>
      </c>
      <c r="AA8" s="501">
        <f t="shared" si="10"/>
        <v>114928.56199999999</v>
      </c>
      <c r="AB8" s="564">
        <v>37987</v>
      </c>
      <c r="AC8" s="136">
        <f t="shared" si="11"/>
        <v>79</v>
      </c>
      <c r="AD8" s="564">
        <v>204717</v>
      </c>
      <c r="AE8" s="219">
        <f t="shared" ref="AE8:AE37" si="15">AD8-AD7</f>
        <v>36</v>
      </c>
      <c r="AF8" s="314">
        <f>'Lpg (2)'!B12*2000/85</f>
        <v>2000</v>
      </c>
      <c r="AG8" s="315">
        <f>'Lpg (2)'!C12*1000/85</f>
        <v>1000</v>
      </c>
      <c r="AH8" s="316">
        <f>'Lpg (2)'!D12*1000/85</f>
        <v>11.764705882352942</v>
      </c>
      <c r="AI8" s="504">
        <f t="shared" si="12"/>
        <v>5011764.7058823528</v>
      </c>
      <c r="AJ8" s="503">
        <f t="shared" si="4"/>
        <v>11764.705882352777</v>
      </c>
      <c r="AK8" s="142"/>
    </row>
    <row r="9" spans="1:37" ht="19.5" thickBot="1">
      <c r="A9" s="94">
        <f>Gen!B14</f>
        <v>44078</v>
      </c>
      <c r="B9" s="494">
        <f>'Summery Report'!E8</f>
        <v>8</v>
      </c>
      <c r="C9" s="156">
        <f>Gen!C14</f>
        <v>9.0899999999999995E-2</v>
      </c>
      <c r="D9" s="495">
        <f>'Summery Report'!E8</f>
        <v>8</v>
      </c>
      <c r="E9" s="496">
        <f t="shared" si="13"/>
        <v>1.3262195121951219</v>
      </c>
      <c r="F9" s="497">
        <f t="shared" si="14"/>
        <v>143.95947027439024</v>
      </c>
      <c r="G9" s="497">
        <f t="shared" si="0"/>
        <v>143.95947027439024</v>
      </c>
      <c r="H9" s="496">
        <f>Gen!D14</f>
        <v>38627.11</v>
      </c>
      <c r="I9" s="498">
        <f>Gen!F14</f>
        <v>0</v>
      </c>
      <c r="J9" s="140">
        <f>Gen!T14</f>
        <v>868.39</v>
      </c>
      <c r="K9" s="140">
        <f>Gen!AK14</f>
        <v>0</v>
      </c>
      <c r="L9" s="140">
        <f t="shared" si="1"/>
        <v>868.39</v>
      </c>
      <c r="M9" s="527">
        <f>'Water-Meter'!K49</f>
        <v>604.6302708541441</v>
      </c>
      <c r="N9" s="201">
        <f>'Water-Meter'!E9</f>
        <v>54</v>
      </c>
      <c r="O9" s="212"/>
      <c r="P9" s="751">
        <v>19032</v>
      </c>
      <c r="Q9" s="499">
        <f t="shared" si="2"/>
        <v>0</v>
      </c>
      <c r="R9" s="500">
        <f t="shared" si="5"/>
        <v>0</v>
      </c>
      <c r="S9" s="446">
        <v>2.2000000000000002</v>
      </c>
      <c r="T9" s="565">
        <v>16889.900000000001</v>
      </c>
      <c r="U9" s="499">
        <f t="shared" si="6"/>
        <v>11.900000000001455</v>
      </c>
      <c r="V9" s="501">
        <f t="shared" si="7"/>
        <v>26.180000000003204</v>
      </c>
      <c r="W9" s="212">
        <v>2.2999999999999998</v>
      </c>
      <c r="X9" s="563">
        <v>24984.47</v>
      </c>
      <c r="Y9" s="499">
        <f t="shared" si="8"/>
        <v>8.4700000000011642</v>
      </c>
      <c r="Z9" s="501">
        <f t="shared" si="9"/>
        <v>19.481000000002677</v>
      </c>
      <c r="AA9" s="501">
        <f t="shared" si="10"/>
        <v>486722.46007006691</v>
      </c>
      <c r="AB9" s="564">
        <v>38079</v>
      </c>
      <c r="AC9" s="136">
        <f t="shared" si="11"/>
        <v>92</v>
      </c>
      <c r="AD9" s="564">
        <v>204762</v>
      </c>
      <c r="AE9" s="219">
        <f t="shared" si="15"/>
        <v>45</v>
      </c>
      <c r="AF9" s="314">
        <f>'Lpg (2)'!B13*2000/85</f>
        <v>2000</v>
      </c>
      <c r="AG9" s="315">
        <f>'Lpg (2)'!C13*1000/85</f>
        <v>1000</v>
      </c>
      <c r="AH9" s="316">
        <f>'Lpg (2)'!D13*1000/85</f>
        <v>11.764705882352942</v>
      </c>
      <c r="AI9" s="504">
        <f t="shared" si="12"/>
        <v>5011764.7058823528</v>
      </c>
      <c r="AJ9" s="503">
        <f t="shared" si="4"/>
        <v>0</v>
      </c>
      <c r="AK9" s="142"/>
    </row>
    <row r="10" spans="1:37" ht="19.5" thickBot="1">
      <c r="A10" s="94">
        <f>Gen!B15</f>
        <v>44079</v>
      </c>
      <c r="B10" s="494">
        <f>'Summery Report'!E9</f>
        <v>8</v>
      </c>
      <c r="C10" s="156">
        <f>Gen!C15</f>
        <v>9.0899999999999995E-2</v>
      </c>
      <c r="D10" s="495">
        <f>'Summery Report'!E9</f>
        <v>8</v>
      </c>
      <c r="E10" s="496">
        <f t="shared" si="13"/>
        <v>1.3262195121951219</v>
      </c>
      <c r="F10" s="497">
        <f t="shared" si="14"/>
        <v>139.58128810975609</v>
      </c>
      <c r="G10" s="497">
        <f t="shared" si="0"/>
        <v>144.05893673780488</v>
      </c>
      <c r="H10" s="496">
        <f>Gen!D15</f>
        <v>37758.720000000001</v>
      </c>
      <c r="I10" s="498">
        <f>Gen!F15</f>
        <v>0</v>
      </c>
      <c r="J10" s="140">
        <f>Gen!T15</f>
        <v>841.98</v>
      </c>
      <c r="K10" s="140">
        <f>Gen!AK15</f>
        <v>27.01</v>
      </c>
      <c r="L10" s="140">
        <f t="shared" si="1"/>
        <v>868.99</v>
      </c>
      <c r="M10" s="527">
        <f>'Water-Meter'!K50</f>
        <v>599.89609502056101</v>
      </c>
      <c r="N10" s="201">
        <f>'Water-Meter'!E10</f>
        <v>50</v>
      </c>
      <c r="O10" s="212"/>
      <c r="P10" s="751">
        <v>19032</v>
      </c>
      <c r="Q10" s="499">
        <f t="shared" si="2"/>
        <v>0</v>
      </c>
      <c r="R10" s="500">
        <f t="shared" si="5"/>
        <v>0</v>
      </c>
      <c r="S10" s="446"/>
      <c r="T10" s="565">
        <v>16889.900000000001</v>
      </c>
      <c r="U10" s="499">
        <f t="shared" si="6"/>
        <v>0</v>
      </c>
      <c r="V10" s="501">
        <f t="shared" ref="V10:V16" si="16">SUM(U10*S10)</f>
        <v>0</v>
      </c>
      <c r="W10" s="446"/>
      <c r="X10" s="563">
        <v>24984.47</v>
      </c>
      <c r="Y10" s="499">
        <f t="shared" si="8"/>
        <v>0</v>
      </c>
      <c r="Z10" s="501">
        <f t="shared" si="9"/>
        <v>0</v>
      </c>
      <c r="AA10" s="501">
        <f t="shared" si="10"/>
        <v>0</v>
      </c>
      <c r="AB10" s="564">
        <v>38080</v>
      </c>
      <c r="AC10" s="136">
        <f t="shared" si="11"/>
        <v>1</v>
      </c>
      <c r="AD10" s="564">
        <v>204805</v>
      </c>
      <c r="AE10" s="219">
        <f t="shared" si="15"/>
        <v>43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11.764705882352942</v>
      </c>
      <c r="AI10" s="504">
        <f t="shared" si="12"/>
        <v>5011764.7058823528</v>
      </c>
      <c r="AJ10" s="503">
        <f t="shared" si="4"/>
        <v>0</v>
      </c>
      <c r="AK10" s="142"/>
    </row>
    <row r="11" spans="1:37" ht="19.5" thickBot="1">
      <c r="A11" s="94">
        <f>Gen!B16</f>
        <v>44080</v>
      </c>
      <c r="B11" s="494">
        <f>'Summery Report'!E10</f>
        <v>7</v>
      </c>
      <c r="C11" s="156">
        <f>Gen!C16</f>
        <v>9.0899999999999995E-2</v>
      </c>
      <c r="D11" s="495">
        <f>'Summery Report'!E10</f>
        <v>7</v>
      </c>
      <c r="E11" s="496">
        <f t="shared" si="13"/>
        <v>1.3262195121951219</v>
      </c>
      <c r="F11" s="497">
        <f t="shared" si="14"/>
        <v>177.81572299651566</v>
      </c>
      <c r="G11" s="497">
        <f t="shared" si="0"/>
        <v>177.81572299651566</v>
      </c>
      <c r="H11" s="496">
        <f>Gen!D16</f>
        <v>36889.730000000003</v>
      </c>
      <c r="I11" s="498">
        <f>Gen!F16</f>
        <v>0</v>
      </c>
      <c r="J11" s="140">
        <f>Gen!T16</f>
        <v>938.54</v>
      </c>
      <c r="K11" s="140">
        <f>Gen!AK16</f>
        <v>0</v>
      </c>
      <c r="L11" s="140">
        <f t="shared" si="1"/>
        <v>938.54</v>
      </c>
      <c r="M11" s="527">
        <f>'Water-Meter'!K51</f>
        <v>568.30386514140741</v>
      </c>
      <c r="N11" s="201">
        <f>'Water-Meter'!E11</f>
        <v>52</v>
      </c>
      <c r="O11" s="212"/>
      <c r="P11" s="751">
        <v>19032</v>
      </c>
      <c r="Q11" s="499">
        <f t="shared" si="2"/>
        <v>0</v>
      </c>
      <c r="R11" s="500">
        <f t="shared" si="5"/>
        <v>0</v>
      </c>
      <c r="S11" s="446">
        <v>2.2000000000000002</v>
      </c>
      <c r="T11" s="565">
        <v>16901.900000000001</v>
      </c>
      <c r="U11" s="499">
        <f t="shared" si="6"/>
        <v>12</v>
      </c>
      <c r="V11" s="501">
        <f t="shared" si="16"/>
        <v>26.400000000000002</v>
      </c>
      <c r="W11" s="446"/>
      <c r="X11" s="563">
        <v>24984.47</v>
      </c>
      <c r="Y11" s="499">
        <f t="shared" si="8"/>
        <v>0</v>
      </c>
      <c r="Z11" s="501">
        <f t="shared" si="9"/>
        <v>0</v>
      </c>
      <c r="AA11" s="501">
        <f t="shared" si="10"/>
        <v>0</v>
      </c>
      <c r="AB11" s="564">
        <v>38148</v>
      </c>
      <c r="AC11" s="136">
        <f t="shared" si="11"/>
        <v>68</v>
      </c>
      <c r="AD11" s="564">
        <v>204840</v>
      </c>
      <c r="AE11" s="219">
        <f t="shared" si="15"/>
        <v>35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11.764705882352942</v>
      </c>
      <c r="AI11" s="504">
        <f t="shared" si="12"/>
        <v>5011764.7058823528</v>
      </c>
      <c r="AJ11" s="503">
        <f t="shared" si="4"/>
        <v>0</v>
      </c>
      <c r="AK11" s="142"/>
    </row>
    <row r="12" spans="1:37" ht="19.5" thickBot="1">
      <c r="A12" s="94">
        <f>Gen!B17</f>
        <v>44081</v>
      </c>
      <c r="B12" s="494">
        <f>'Summery Report'!E11</f>
        <v>3</v>
      </c>
      <c r="C12" s="156">
        <f>Gen!C17</f>
        <v>2.5999999999999999E-2</v>
      </c>
      <c r="D12" s="495">
        <f>'Summery Report'!E11</f>
        <v>3</v>
      </c>
      <c r="E12" s="496">
        <f t="shared" si="13"/>
        <v>1.3262195121951219</v>
      </c>
      <c r="F12" s="497">
        <f t="shared" si="14"/>
        <v>402.40594512195116</v>
      </c>
      <c r="G12" s="497">
        <f t="shared" si="0"/>
        <v>516.52271341463404</v>
      </c>
      <c r="H12" s="496">
        <f>Gen!D17</f>
        <v>35951.19</v>
      </c>
      <c r="I12" s="498">
        <f>Gen!F17</f>
        <v>0</v>
      </c>
      <c r="J12" s="140">
        <f>Gen!T17</f>
        <v>910.27</v>
      </c>
      <c r="K12" s="140">
        <f>Gen!AK17</f>
        <v>258.14</v>
      </c>
      <c r="L12" s="140">
        <f t="shared" si="1"/>
        <v>1168.4099999999999</v>
      </c>
      <c r="M12" s="527">
        <f>'Water-Meter'!K52</f>
        <v>579.92811930397215</v>
      </c>
      <c r="N12" s="201">
        <f>'Water-Meter'!E12</f>
        <v>58</v>
      </c>
      <c r="O12" s="212"/>
      <c r="P12" s="751">
        <v>19032</v>
      </c>
      <c r="Q12" s="499">
        <f t="shared" si="2"/>
        <v>0</v>
      </c>
      <c r="R12" s="500">
        <f t="shared" si="5"/>
        <v>0</v>
      </c>
      <c r="S12" s="446">
        <v>2.2000000000000002</v>
      </c>
      <c r="T12" s="565">
        <v>16905</v>
      </c>
      <c r="U12" s="499">
        <f t="shared" si="6"/>
        <v>3.0999999999985448</v>
      </c>
      <c r="V12" s="501">
        <f t="shared" si="16"/>
        <v>6.8199999999967993</v>
      </c>
      <c r="W12" s="446">
        <v>2.2999999999999998</v>
      </c>
      <c r="X12" s="563">
        <v>24988</v>
      </c>
      <c r="Y12" s="499">
        <f t="shared" si="8"/>
        <v>3.5299999999988358</v>
      </c>
      <c r="Z12" s="501">
        <f t="shared" si="9"/>
        <v>8.118999999997321</v>
      </c>
      <c r="AA12" s="501">
        <f t="shared" si="10"/>
        <v>203186.09399993296</v>
      </c>
      <c r="AB12" s="564">
        <v>38193</v>
      </c>
      <c r="AC12" s="136">
        <f t="shared" si="11"/>
        <v>45</v>
      </c>
      <c r="AD12" s="564">
        <v>204884</v>
      </c>
      <c r="AE12" s="219">
        <f t="shared" si="15"/>
        <v>44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0</v>
      </c>
      <c r="AI12" s="504">
        <f t="shared" si="12"/>
        <v>5000000</v>
      </c>
      <c r="AJ12" s="503">
        <f t="shared" si="4"/>
        <v>11764.705882352777</v>
      </c>
      <c r="AK12" s="142"/>
    </row>
    <row r="13" spans="1:37" ht="19.5" thickBot="1">
      <c r="A13" s="94">
        <f>Gen!B18</f>
        <v>44082</v>
      </c>
      <c r="B13" s="494">
        <f>'Summery Report'!E12</f>
        <v>7</v>
      </c>
      <c r="C13" s="156">
        <f>Gen!C18</f>
        <v>3.9E-2</v>
      </c>
      <c r="D13" s="495">
        <f>'Summery Report'!E12</f>
        <v>7</v>
      </c>
      <c r="E13" s="496">
        <f t="shared" si="13"/>
        <v>1.3262195121951219</v>
      </c>
      <c r="F13" s="497">
        <f t="shared" si="14"/>
        <v>179.64780052264808</v>
      </c>
      <c r="G13" s="497">
        <f t="shared" si="0"/>
        <v>203.00820993031357</v>
      </c>
      <c r="H13" s="496">
        <f>Gen!D18</f>
        <v>34782.78</v>
      </c>
      <c r="I13" s="498">
        <f>Gen!F18</f>
        <v>0</v>
      </c>
      <c r="J13" s="140">
        <f>Gen!T18</f>
        <v>948.21</v>
      </c>
      <c r="K13" s="140">
        <f>Gen!AK18</f>
        <v>123.3</v>
      </c>
      <c r="L13" s="140">
        <f t="shared" si="1"/>
        <v>1071.51</v>
      </c>
      <c r="M13" s="527">
        <f>'Water-Meter'!K53</f>
        <v>587.39318657558397</v>
      </c>
      <c r="N13" s="201">
        <f>'Water-Meter'!E13</f>
        <v>46</v>
      </c>
      <c r="O13" s="212"/>
      <c r="P13" s="751">
        <v>19032</v>
      </c>
      <c r="Q13" s="499">
        <f t="shared" si="2"/>
        <v>0</v>
      </c>
      <c r="R13" s="500">
        <f t="shared" si="5"/>
        <v>0</v>
      </c>
      <c r="S13" s="446">
        <v>2.2000000000000002</v>
      </c>
      <c r="T13" s="565">
        <v>16909</v>
      </c>
      <c r="U13" s="499">
        <f t="shared" si="6"/>
        <v>4</v>
      </c>
      <c r="V13" s="501">
        <f t="shared" si="16"/>
        <v>8.8000000000000007</v>
      </c>
      <c r="W13" s="446">
        <v>2.2999999999999998</v>
      </c>
      <c r="X13" s="563">
        <v>25002</v>
      </c>
      <c r="Y13" s="499">
        <f t="shared" si="8"/>
        <v>14</v>
      </c>
      <c r="Z13" s="501">
        <f t="shared" si="9"/>
        <v>32.199999999999996</v>
      </c>
      <c r="AA13" s="501">
        <f t="shared" si="10"/>
        <v>806159.19999999984</v>
      </c>
      <c r="AB13" s="564">
        <v>38247</v>
      </c>
      <c r="AC13" s="136">
        <f t="shared" si="11"/>
        <v>54</v>
      </c>
      <c r="AD13" s="564">
        <v>204919</v>
      </c>
      <c r="AE13" s="219">
        <f t="shared" si="15"/>
        <v>35</v>
      </c>
      <c r="AF13" s="314">
        <f>'Lpg (2)'!B17*2000/85</f>
        <v>2000</v>
      </c>
      <c r="AG13" s="315">
        <f>'Lpg (2)'!C17*1000/85</f>
        <v>952.94117647058829</v>
      </c>
      <c r="AH13" s="316">
        <f>'Lpg (2)'!D17*1000/85</f>
        <v>0</v>
      </c>
      <c r="AI13" s="504">
        <f t="shared" si="12"/>
        <v>4952941.176470588</v>
      </c>
      <c r="AJ13" s="503">
        <f t="shared" si="4"/>
        <v>47058.823529412039</v>
      </c>
      <c r="AK13" s="143"/>
    </row>
    <row r="14" spans="1:37" ht="19.5" thickBot="1">
      <c r="A14" s="94">
        <f>Gen!B19</f>
        <v>44083</v>
      </c>
      <c r="B14" s="494">
        <f>'Summery Report'!E13</f>
        <v>5</v>
      </c>
      <c r="C14" s="156">
        <f>Gen!C19</f>
        <v>6.5000000000000002E-2</v>
      </c>
      <c r="D14" s="495">
        <f>'Summery Report'!E13</f>
        <v>5</v>
      </c>
      <c r="E14" s="496">
        <f t="shared" si="13"/>
        <v>1.3262195121951219</v>
      </c>
      <c r="F14" s="497">
        <f t="shared" si="14"/>
        <v>243.0509451219512</v>
      </c>
      <c r="G14" s="497">
        <f t="shared" si="0"/>
        <v>243.0509451219512</v>
      </c>
      <c r="H14" s="496">
        <f>Gen!D19</f>
        <v>33711.269999999997</v>
      </c>
      <c r="I14" s="498">
        <f>Gen!F19</f>
        <v>0</v>
      </c>
      <c r="J14" s="140">
        <f>Gen!T19</f>
        <v>916.32999999999993</v>
      </c>
      <c r="K14" s="140">
        <f>Gen!AK19</f>
        <v>0</v>
      </c>
      <c r="L14" s="140">
        <f t="shared" si="1"/>
        <v>916.32999999999993</v>
      </c>
      <c r="M14" s="527">
        <f>'Water-Meter'!K54</f>
        <v>571.58439774994804</v>
      </c>
      <c r="N14" s="201">
        <f>'Water-Meter'!E14</f>
        <v>52</v>
      </c>
      <c r="O14" s="212"/>
      <c r="P14" s="751">
        <v>19032</v>
      </c>
      <c r="Q14" s="499">
        <f t="shared" si="2"/>
        <v>0</v>
      </c>
      <c r="R14" s="500">
        <f t="shared" si="5"/>
        <v>0</v>
      </c>
      <c r="S14" s="446"/>
      <c r="T14" s="565">
        <v>16909</v>
      </c>
      <c r="U14" s="499">
        <f t="shared" si="6"/>
        <v>0</v>
      </c>
      <c r="V14" s="501">
        <f t="shared" si="16"/>
        <v>0</v>
      </c>
      <c r="W14" s="446">
        <v>2.2999999999999998</v>
      </c>
      <c r="X14" s="563">
        <v>25026</v>
      </c>
      <c r="Y14" s="499">
        <f t="shared" si="8"/>
        <v>24</v>
      </c>
      <c r="Z14" s="501">
        <f t="shared" si="9"/>
        <v>55.199999999999996</v>
      </c>
      <c r="AA14" s="501">
        <f t="shared" si="10"/>
        <v>1381987.2</v>
      </c>
      <c r="AB14" s="564">
        <v>38293</v>
      </c>
      <c r="AC14" s="136">
        <f t="shared" si="11"/>
        <v>46</v>
      </c>
      <c r="AD14" s="564">
        <v>204958</v>
      </c>
      <c r="AE14" s="219">
        <f t="shared" si="15"/>
        <v>39</v>
      </c>
      <c r="AF14" s="314">
        <f>'Lpg (2)'!B18*2000/85</f>
        <v>2000</v>
      </c>
      <c r="AG14" s="315">
        <f>'Lpg (2)'!C18*1000/85</f>
        <v>882.35294117647061</v>
      </c>
      <c r="AH14" s="316">
        <f>'Lpg (2)'!D18*1000/85</f>
        <v>0</v>
      </c>
      <c r="AI14" s="504">
        <f t="shared" si="12"/>
        <v>4882352.9411764704</v>
      </c>
      <c r="AJ14" s="503">
        <f t="shared" si="4"/>
        <v>70588.235294117592</v>
      </c>
      <c r="AK14" s="142"/>
    </row>
    <row r="15" spans="1:37" ht="19.5" thickBot="1">
      <c r="A15" s="94">
        <f>Gen!B20</f>
        <v>44084</v>
      </c>
      <c r="B15" s="494">
        <f>'Summery Report'!E14</f>
        <v>1</v>
      </c>
      <c r="C15" s="156">
        <f>Gen!C20</f>
        <v>1.2999999999999999E-2</v>
      </c>
      <c r="D15" s="495">
        <f>'Summery Report'!E14</f>
        <v>1</v>
      </c>
      <c r="E15" s="496">
        <f t="shared" si="13"/>
        <v>1.3262195121951219</v>
      </c>
      <c r="F15" s="497">
        <f t="shared" si="14"/>
        <v>1297.0957317073169</v>
      </c>
      <c r="G15" s="497">
        <f t="shared" si="0"/>
        <v>1297.0957317073169</v>
      </c>
      <c r="H15" s="496">
        <f>Gen!D20</f>
        <v>32794.939999999995</v>
      </c>
      <c r="I15" s="498">
        <f>Gen!F20</f>
        <v>0</v>
      </c>
      <c r="J15" s="140">
        <f>Gen!T20</f>
        <v>978.04</v>
      </c>
      <c r="K15" s="140">
        <f>Gen!AK20</f>
        <v>0</v>
      </c>
      <c r="L15" s="140">
        <f t="shared" si="1"/>
        <v>978.04</v>
      </c>
      <c r="M15" s="527">
        <f>'Water-Meter'!K55</f>
        <v>531.82242725529113</v>
      </c>
      <c r="N15" s="201">
        <f>'Water-Meter'!E15</f>
        <v>55</v>
      </c>
      <c r="O15" s="212"/>
      <c r="P15" s="751">
        <v>19032</v>
      </c>
      <c r="Q15" s="499">
        <f t="shared" si="2"/>
        <v>0</v>
      </c>
      <c r="R15" s="500">
        <f t="shared" si="5"/>
        <v>0</v>
      </c>
      <c r="S15" s="446">
        <v>2.2000000000000002</v>
      </c>
      <c r="T15" s="565">
        <v>16923</v>
      </c>
      <c r="U15" s="499">
        <f t="shared" si="6"/>
        <v>14</v>
      </c>
      <c r="V15" s="501">
        <f t="shared" si="16"/>
        <v>30.800000000000004</v>
      </c>
      <c r="W15" s="446">
        <v>2.2999999999999998</v>
      </c>
      <c r="X15" s="563">
        <v>25036</v>
      </c>
      <c r="Y15" s="499">
        <f t="shared" si="8"/>
        <v>10</v>
      </c>
      <c r="Z15" s="501">
        <f t="shared" si="9"/>
        <v>23</v>
      </c>
      <c r="AA15" s="501">
        <f t="shared" si="10"/>
        <v>575874</v>
      </c>
      <c r="AB15" s="564">
        <v>38396</v>
      </c>
      <c r="AC15" s="136">
        <f t="shared" si="11"/>
        <v>103</v>
      </c>
      <c r="AD15" s="564">
        <v>204992</v>
      </c>
      <c r="AE15" s="219">
        <f>AD15-AD14</f>
        <v>34</v>
      </c>
      <c r="AF15" s="314">
        <f>'Lpg (2)'!B19*2000/85</f>
        <v>2000</v>
      </c>
      <c r="AG15" s="315">
        <f>'Lpg (2)'!C19*1000/85</f>
        <v>847.05882352941171</v>
      </c>
      <c r="AH15" s="316">
        <f>'Lpg (2)'!D19*1000/85</f>
        <v>0</v>
      </c>
      <c r="AI15" s="504">
        <f t="shared" ref="AI15:AI35" si="17">SUM(AF15*2000)+(AG15*1000)+(AH15*1000)</f>
        <v>4847058.823529412</v>
      </c>
      <c r="AJ15" s="503">
        <f t="shared" si="4"/>
        <v>35294.11764705833</v>
      </c>
      <c r="AK15" s="142"/>
    </row>
    <row r="16" spans="1:37" ht="19.5" thickBot="1">
      <c r="A16" s="94">
        <f>Gen!B21</f>
        <v>44085</v>
      </c>
      <c r="B16" s="494">
        <f>'Summery Report'!E15</f>
        <v>3</v>
      </c>
      <c r="C16" s="156">
        <f>Gen!C21</f>
        <v>3.9E-2</v>
      </c>
      <c r="D16" s="495">
        <f>'Summery Report'!E15</f>
        <v>3</v>
      </c>
      <c r="E16" s="496">
        <f t="shared" si="13"/>
        <v>1.3262195121951219</v>
      </c>
      <c r="F16" s="497">
        <f t="shared" si="14"/>
        <v>345.94435975609753</v>
      </c>
      <c r="G16" s="497">
        <f t="shared" si="0"/>
        <v>345.94435975609753</v>
      </c>
      <c r="H16" s="496">
        <f>Gen!D21</f>
        <v>31816.899999999994</v>
      </c>
      <c r="I16" s="498">
        <f>Gen!F21</f>
        <v>0</v>
      </c>
      <c r="J16" s="140">
        <f>Gen!T21</f>
        <v>782.55</v>
      </c>
      <c r="K16" s="140">
        <f>Gen!AK21</f>
        <v>0</v>
      </c>
      <c r="L16" s="140">
        <f t="shared" si="1"/>
        <v>782.55</v>
      </c>
      <c r="M16" s="527">
        <f>'Water-Meter'!K56</f>
        <v>487.7493737090856</v>
      </c>
      <c r="N16" s="201">
        <f>'Water-Meter'!E16</f>
        <v>94</v>
      </c>
      <c r="O16" s="212"/>
      <c r="P16" s="751">
        <v>19032</v>
      </c>
      <c r="Q16" s="499">
        <f t="shared" si="2"/>
        <v>0</v>
      </c>
      <c r="R16" s="500">
        <f t="shared" si="5"/>
        <v>0</v>
      </c>
      <c r="S16" s="446"/>
      <c r="T16" s="565">
        <v>16923</v>
      </c>
      <c r="U16" s="499">
        <f t="shared" si="6"/>
        <v>0</v>
      </c>
      <c r="V16" s="501">
        <f t="shared" si="16"/>
        <v>0</v>
      </c>
      <c r="W16" s="446"/>
      <c r="X16" s="563">
        <v>25036</v>
      </c>
      <c r="Y16" s="499">
        <f t="shared" si="8"/>
        <v>0</v>
      </c>
      <c r="Z16" s="501">
        <f t="shared" si="9"/>
        <v>0</v>
      </c>
      <c r="AA16" s="501">
        <f t="shared" si="10"/>
        <v>0</v>
      </c>
      <c r="AB16" s="564">
        <v>38397</v>
      </c>
      <c r="AC16" s="136">
        <f t="shared" si="11"/>
        <v>1</v>
      </c>
      <c r="AD16" s="564">
        <v>205021</v>
      </c>
      <c r="AE16" s="219">
        <f t="shared" si="15"/>
        <v>29</v>
      </c>
      <c r="AF16" s="314">
        <f>'Lpg (2)'!B20*2000/85</f>
        <v>2000</v>
      </c>
      <c r="AG16" s="315">
        <f>'Lpg (2)'!C20*1000/85</f>
        <v>800</v>
      </c>
      <c r="AH16" s="316">
        <f>'Lpg (2)'!D20*1000/85</f>
        <v>0</v>
      </c>
      <c r="AI16" s="504">
        <f t="shared" si="17"/>
        <v>4800000</v>
      </c>
      <c r="AJ16" s="503">
        <f t="shared" si="4"/>
        <v>47058.823529412039</v>
      </c>
      <c r="AK16" s="142"/>
    </row>
    <row r="17" spans="1:37" ht="19.5" thickBot="1">
      <c r="A17" s="94">
        <f>Gen!B22</f>
        <v>44086</v>
      </c>
      <c r="B17" s="494">
        <f>'Summery Report'!E16</f>
        <v>3</v>
      </c>
      <c r="C17" s="156">
        <f>Gen!C22</f>
        <v>0.02</v>
      </c>
      <c r="D17" s="495">
        <f>'Summery Report'!E16</f>
        <v>3</v>
      </c>
      <c r="E17" s="496">
        <f t="shared" si="13"/>
        <v>1.3262195121951219</v>
      </c>
      <c r="F17" s="497">
        <f t="shared" si="14"/>
        <v>323.94237804878048</v>
      </c>
      <c r="G17" s="497">
        <f t="shared" si="0"/>
        <v>323.94237804878048</v>
      </c>
      <c r="H17" s="496">
        <f>Gen!D22</f>
        <v>31034.349999999995</v>
      </c>
      <c r="I17" s="498">
        <f>Gen!F22</f>
        <v>0</v>
      </c>
      <c r="J17" s="140">
        <f>Gen!T22</f>
        <v>732.78</v>
      </c>
      <c r="K17" s="140">
        <f>Gen!AK22</f>
        <v>0</v>
      </c>
      <c r="L17" s="140">
        <f t="shared" si="1"/>
        <v>732.78</v>
      </c>
      <c r="M17" s="527">
        <f>'Water-Meter'!K57</f>
        <v>528.01041681142692</v>
      </c>
      <c r="N17" s="201">
        <f>'Water-Meter'!E17</f>
        <v>59</v>
      </c>
      <c r="O17" s="212"/>
      <c r="P17" s="751">
        <v>19032</v>
      </c>
      <c r="Q17" s="499">
        <f>SUM(P18-P16)</f>
        <v>0</v>
      </c>
      <c r="R17" s="500">
        <f t="shared" si="5"/>
        <v>0</v>
      </c>
      <c r="S17" s="446"/>
      <c r="T17" s="565">
        <v>16923</v>
      </c>
      <c r="U17" s="499">
        <f t="shared" si="6"/>
        <v>0</v>
      </c>
      <c r="V17" s="501">
        <f t="shared" ref="V17:V36" si="18">SUM(U17*S17)</f>
        <v>0</v>
      </c>
      <c r="W17" s="446"/>
      <c r="X17" s="563">
        <v>25038</v>
      </c>
      <c r="Y17" s="499">
        <f t="shared" si="8"/>
        <v>2</v>
      </c>
      <c r="Z17" s="501">
        <f t="shared" si="9"/>
        <v>0</v>
      </c>
      <c r="AA17" s="501">
        <f t="shared" si="10"/>
        <v>0</v>
      </c>
      <c r="AB17" s="564">
        <v>38407</v>
      </c>
      <c r="AC17" s="136">
        <f t="shared" si="11"/>
        <v>10</v>
      </c>
      <c r="AD17" s="564">
        <v>205054</v>
      </c>
      <c r="AE17" s="219">
        <f t="shared" si="15"/>
        <v>33</v>
      </c>
      <c r="AF17" s="314">
        <f>'Lpg (2)'!B21*2000/85</f>
        <v>2000</v>
      </c>
      <c r="AG17" s="315">
        <f>'Lpg (2)'!C21*1000/85</f>
        <v>705.88235294117646</v>
      </c>
      <c r="AH17" s="316">
        <f>'Lpg (2)'!D21*1000/85</f>
        <v>0</v>
      </c>
      <c r="AI17" s="504">
        <f t="shared" si="17"/>
        <v>4705882.3529411769</v>
      </c>
      <c r="AJ17" s="503">
        <f t="shared" si="4"/>
        <v>94117.647058823146</v>
      </c>
      <c r="AK17" s="142"/>
    </row>
    <row r="18" spans="1:37" ht="19.5" thickBot="1">
      <c r="A18" s="94">
        <f>Gen!B23</f>
        <v>44087</v>
      </c>
      <c r="B18" s="494">
        <f>'Summery Report'!E17</f>
        <v>3</v>
      </c>
      <c r="C18" s="156">
        <f>Gen!C23</f>
        <v>0.03</v>
      </c>
      <c r="D18" s="495">
        <f>'Summery Report'!E17</f>
        <v>3</v>
      </c>
      <c r="E18" s="496">
        <f t="shared" si="13"/>
        <v>1.3262195121951219</v>
      </c>
      <c r="F18" s="497">
        <f t="shared" si="14"/>
        <v>413.66554878048782</v>
      </c>
      <c r="G18" s="497">
        <f t="shared" si="0"/>
        <v>445.07042682926823</v>
      </c>
      <c r="H18" s="496">
        <f>Gen!D23</f>
        <v>30301.569999999996</v>
      </c>
      <c r="I18" s="498">
        <f>Gen!F23</f>
        <v>0</v>
      </c>
      <c r="J18" s="140">
        <f>Gen!T23</f>
        <v>935.74</v>
      </c>
      <c r="K18" s="140">
        <f>Gen!AK23</f>
        <v>71.040000000000006</v>
      </c>
      <c r="L18" s="140">
        <f t="shared" si="1"/>
        <v>1006.78</v>
      </c>
      <c r="M18" s="527">
        <f>'Water-Meter'!K58</f>
        <v>509.3018289732924</v>
      </c>
      <c r="N18" s="201">
        <f>'Water-Meter'!E18</f>
        <v>36</v>
      </c>
      <c r="O18" s="212"/>
      <c r="P18" s="751">
        <v>19032</v>
      </c>
      <c r="Q18" s="499"/>
      <c r="R18" s="500">
        <f t="shared" si="5"/>
        <v>0</v>
      </c>
      <c r="S18" s="446"/>
      <c r="T18" s="565">
        <v>16923</v>
      </c>
      <c r="U18" s="499">
        <f t="shared" si="6"/>
        <v>0</v>
      </c>
      <c r="V18" s="501">
        <f t="shared" si="18"/>
        <v>0</v>
      </c>
      <c r="W18" s="446"/>
      <c r="X18" s="563">
        <v>25042</v>
      </c>
      <c r="Y18" s="499">
        <f t="shared" si="8"/>
        <v>4</v>
      </c>
      <c r="Z18" s="501">
        <f t="shared" si="9"/>
        <v>0</v>
      </c>
      <c r="AA18" s="501">
        <f t="shared" si="10"/>
        <v>0</v>
      </c>
      <c r="AB18" s="564">
        <v>38423</v>
      </c>
      <c r="AC18" s="136">
        <f t="shared" si="11"/>
        <v>16</v>
      </c>
      <c r="AD18" s="564">
        <v>205088</v>
      </c>
      <c r="AE18" s="219">
        <f t="shared" si="15"/>
        <v>34</v>
      </c>
      <c r="AF18" s="314">
        <f>'Lpg (2)'!B22*2000/85</f>
        <v>2000</v>
      </c>
      <c r="AG18" s="315">
        <f>'Lpg (2)'!C22*1000/85</f>
        <v>682.35294117647061</v>
      </c>
      <c r="AH18" s="316">
        <f>'Lpg (2)'!D22*1000/85</f>
        <v>0</v>
      </c>
      <c r="AI18" s="504">
        <f t="shared" si="17"/>
        <v>4682352.9411764704</v>
      </c>
      <c r="AJ18" s="503">
        <f t="shared" si="4"/>
        <v>23529.411764706485</v>
      </c>
      <c r="AK18" s="142"/>
    </row>
    <row r="19" spans="1:37" ht="19.5" thickBot="1">
      <c r="A19" s="94">
        <f>Gen!B24</f>
        <v>44088</v>
      </c>
      <c r="B19" s="494">
        <f>'Summery Report'!E18</f>
        <v>4</v>
      </c>
      <c r="C19" s="156">
        <f>Gen!C24</f>
        <v>0.04</v>
      </c>
      <c r="D19" s="495">
        <f>'Summery Report'!E18</f>
        <v>4</v>
      </c>
      <c r="E19" s="496">
        <f t="shared" si="13"/>
        <v>1.3262195121951219</v>
      </c>
      <c r="F19" s="497">
        <f t="shared" si="14"/>
        <v>295.113681402439</v>
      </c>
      <c r="G19" s="497">
        <f t="shared" si="0"/>
        <v>295.113681402439</v>
      </c>
      <c r="H19" s="496">
        <f>Gen!D24</f>
        <v>29294.789999999997</v>
      </c>
      <c r="I19" s="498">
        <f>Gen!F24</f>
        <v>0</v>
      </c>
      <c r="J19" s="140">
        <f>Gen!T24</f>
        <v>890.08999999999992</v>
      </c>
      <c r="K19" s="140">
        <f>Gen!AK24</f>
        <v>0</v>
      </c>
      <c r="L19" s="140">
        <f t="shared" si="1"/>
        <v>890.08999999999992</v>
      </c>
      <c r="M19" s="527">
        <f>'Water-Meter'!K59</f>
        <v>517.21955920422511</v>
      </c>
      <c r="N19" s="201">
        <f>'Water-Meter'!E19</f>
        <v>53</v>
      </c>
      <c r="O19" s="212"/>
      <c r="P19" s="751">
        <v>19032</v>
      </c>
      <c r="Q19" s="499"/>
      <c r="R19" s="500">
        <f t="shared" si="5"/>
        <v>0</v>
      </c>
      <c r="S19" s="446"/>
      <c r="T19" s="565">
        <v>16923</v>
      </c>
      <c r="U19" s="499">
        <f t="shared" si="6"/>
        <v>0</v>
      </c>
      <c r="V19" s="501">
        <f t="shared" si="18"/>
        <v>0</v>
      </c>
      <c r="W19" s="446"/>
      <c r="X19" s="563">
        <v>25050</v>
      </c>
      <c r="Y19" s="499">
        <f t="shared" si="8"/>
        <v>8</v>
      </c>
      <c r="Z19" s="501">
        <f t="shared" si="9"/>
        <v>0</v>
      </c>
      <c r="AA19" s="501">
        <f t="shared" si="10"/>
        <v>0</v>
      </c>
      <c r="AB19" s="564">
        <v>38456</v>
      </c>
      <c r="AC19" s="136">
        <f t="shared" si="11"/>
        <v>33</v>
      </c>
      <c r="AD19" s="564">
        <v>205122</v>
      </c>
      <c r="AE19" s="219">
        <f t="shared" si="15"/>
        <v>34</v>
      </c>
      <c r="AF19" s="314">
        <f>'Lpg (2)'!B23*2000/85</f>
        <v>2000</v>
      </c>
      <c r="AG19" s="315">
        <f>'Lpg (2)'!C23*1000/85</f>
        <v>611.76470588235293</v>
      </c>
      <c r="AH19" s="316">
        <f>'Lpg (2)'!D23*1000/85</f>
        <v>0</v>
      </c>
      <c r="AI19" s="504">
        <f t="shared" si="17"/>
        <v>4611764.7058823528</v>
      </c>
      <c r="AJ19" s="503">
        <f t="shared" si="4"/>
        <v>70588.235294117592</v>
      </c>
      <c r="AK19" s="142"/>
    </row>
    <row r="20" spans="1:37" ht="19.5" thickBot="1">
      <c r="A20" s="94">
        <f>Gen!B25</f>
        <v>44089</v>
      </c>
      <c r="B20" s="494">
        <f>'Summery Report'!E19</f>
        <v>4</v>
      </c>
      <c r="C20" s="156">
        <f>Gen!C25</f>
        <v>0.03</v>
      </c>
      <c r="D20" s="495">
        <f>'Summery Report'!E19</f>
        <v>4</v>
      </c>
      <c r="E20" s="496">
        <f t="shared" si="13"/>
        <v>1.3262195121951219</v>
      </c>
      <c r="F20" s="497">
        <f t="shared" si="14"/>
        <v>294.74565548780487</v>
      </c>
      <c r="G20" s="497">
        <f t="shared" si="0"/>
        <v>294.74565548780487</v>
      </c>
      <c r="H20" s="496">
        <f>Gen!D25</f>
        <v>28404.699999999997</v>
      </c>
      <c r="I20" s="498">
        <f>Gen!F25</f>
        <v>10000</v>
      </c>
      <c r="J20" s="140">
        <f>Gen!T25</f>
        <v>888.98</v>
      </c>
      <c r="K20" s="140">
        <f>Gen!AK25</f>
        <v>0</v>
      </c>
      <c r="L20" s="140">
        <f t="shared" si="1"/>
        <v>888.98</v>
      </c>
      <c r="M20" s="527">
        <f>'Water-Meter'!K60</f>
        <v>473.3309152111425</v>
      </c>
      <c r="N20" s="201">
        <f>'Water-Meter'!E20</f>
        <v>40</v>
      </c>
      <c r="O20" s="212"/>
      <c r="P20" s="751">
        <v>19032</v>
      </c>
      <c r="Q20" s="499">
        <f t="shared" si="2"/>
        <v>0</v>
      </c>
      <c r="R20" s="500">
        <f t="shared" si="5"/>
        <v>0</v>
      </c>
      <c r="S20" s="446"/>
      <c r="T20" s="565">
        <v>16923</v>
      </c>
      <c r="U20" s="499">
        <f t="shared" si="6"/>
        <v>0</v>
      </c>
      <c r="V20" s="501">
        <f t="shared" si="18"/>
        <v>0</v>
      </c>
      <c r="W20" s="446"/>
      <c r="X20" s="563">
        <v>25053</v>
      </c>
      <c r="Y20" s="499">
        <f t="shared" si="8"/>
        <v>3</v>
      </c>
      <c r="Z20" s="501">
        <f t="shared" si="9"/>
        <v>0</v>
      </c>
      <c r="AA20" s="501">
        <f t="shared" si="10"/>
        <v>0</v>
      </c>
      <c r="AB20" s="564">
        <v>38497</v>
      </c>
      <c r="AC20" s="136">
        <f t="shared" si="11"/>
        <v>41</v>
      </c>
      <c r="AD20" s="564">
        <v>205158</v>
      </c>
      <c r="AE20" s="219">
        <f t="shared" si="15"/>
        <v>36</v>
      </c>
      <c r="AF20" s="314">
        <f>'Lpg (2)'!B24*2000/85</f>
        <v>2000</v>
      </c>
      <c r="AG20" s="315">
        <f>'Lpg (2)'!C24*1000/85</f>
        <v>588.23529411764707</v>
      </c>
      <c r="AH20" s="316">
        <f>'Lpg (2)'!D24*1000/85</f>
        <v>0</v>
      </c>
      <c r="AI20" s="504">
        <f t="shared" si="17"/>
        <v>4588235.2941176472</v>
      </c>
      <c r="AJ20" s="503">
        <f t="shared" si="4"/>
        <v>23529.411764705554</v>
      </c>
      <c r="AK20" s="142"/>
    </row>
    <row r="21" spans="1:37" ht="19.5" thickBot="1">
      <c r="A21" s="94">
        <f>Gen!B26</f>
        <v>44090</v>
      </c>
      <c r="B21" s="494">
        <f>'Summery Report'!E20</f>
        <v>11</v>
      </c>
      <c r="C21" s="156">
        <f>Gen!C26</f>
        <v>0.12989999999999999</v>
      </c>
      <c r="D21" s="495">
        <f>'Summery Report'!E20</f>
        <v>11</v>
      </c>
      <c r="E21" s="496">
        <f t="shared" si="13"/>
        <v>1.3262195121951219</v>
      </c>
      <c r="F21" s="497">
        <f t="shared" si="14"/>
        <v>132.07458425720623</v>
      </c>
      <c r="G21" s="497">
        <f t="shared" si="0"/>
        <v>153.91380266075387</v>
      </c>
      <c r="H21" s="496">
        <f>Gen!D26</f>
        <v>27515.719999999998</v>
      </c>
      <c r="I21" s="498">
        <f>Gen!F26</f>
        <v>0</v>
      </c>
      <c r="J21" s="140">
        <f>Gen!T26</f>
        <v>1095.46</v>
      </c>
      <c r="K21" s="140">
        <f>Gen!AK26</f>
        <v>181.14</v>
      </c>
      <c r="L21" s="140">
        <f t="shared" si="1"/>
        <v>1276.5999999999999</v>
      </c>
      <c r="M21" s="527">
        <f>'Water-Meter'!K61</f>
        <v>423.32230380371675</v>
      </c>
      <c r="N21" s="201">
        <f>'Water-Meter'!E21</f>
        <v>30</v>
      </c>
      <c r="O21" s="212"/>
      <c r="P21" s="751">
        <v>19032</v>
      </c>
      <c r="Q21" s="499">
        <f t="shared" si="2"/>
        <v>0</v>
      </c>
      <c r="R21" s="500">
        <f t="shared" si="5"/>
        <v>0</v>
      </c>
      <c r="S21" s="446"/>
      <c r="T21" s="565">
        <v>16923</v>
      </c>
      <c r="U21" s="499">
        <f>T22-T20</f>
        <v>0</v>
      </c>
      <c r="V21" s="501">
        <f t="shared" si="18"/>
        <v>0</v>
      </c>
      <c r="W21" s="446"/>
      <c r="X21" s="563">
        <v>25055</v>
      </c>
      <c r="Y21" s="499">
        <f t="shared" si="8"/>
        <v>2</v>
      </c>
      <c r="Z21" s="501">
        <f t="shared" si="9"/>
        <v>0</v>
      </c>
      <c r="AA21" s="501">
        <f t="shared" si="10"/>
        <v>0</v>
      </c>
      <c r="AB21" s="564">
        <v>38513</v>
      </c>
      <c r="AC21" s="136">
        <f t="shared" si="11"/>
        <v>16</v>
      </c>
      <c r="AD21" s="564">
        <v>205194</v>
      </c>
      <c r="AE21" s="219">
        <f t="shared" si="15"/>
        <v>36</v>
      </c>
      <c r="AF21" s="314">
        <f>'Lpg (2)'!B25*2000/85</f>
        <v>2000</v>
      </c>
      <c r="AG21" s="315">
        <f>'Lpg (2)'!C25*1000/85</f>
        <v>505.88235294117646</v>
      </c>
      <c r="AH21" s="316">
        <f>'Lpg (2)'!D25*1000/85</f>
        <v>0</v>
      </c>
      <c r="AI21" s="504">
        <f t="shared" si="17"/>
        <v>4505882.3529411769</v>
      </c>
      <c r="AJ21" s="503">
        <f t="shared" si="4"/>
        <v>82352.941176470369</v>
      </c>
      <c r="AK21" s="142"/>
    </row>
    <row r="22" spans="1:37" ht="19.5" thickBot="1">
      <c r="A22" s="94">
        <f>Gen!B27</f>
        <v>44091</v>
      </c>
      <c r="B22" s="494">
        <f>'Summery Report'!E21</f>
        <v>10</v>
      </c>
      <c r="C22" s="156">
        <f>Gen!C27</f>
        <v>0.1169</v>
      </c>
      <c r="D22" s="495">
        <f>'Summery Report'!E21</f>
        <v>10</v>
      </c>
      <c r="E22" s="496">
        <f t="shared" si="13"/>
        <v>1.3262195121951219</v>
      </c>
      <c r="F22" s="497">
        <f t="shared" si="14"/>
        <v>135.01842987804878</v>
      </c>
      <c r="G22" s="497">
        <f t="shared" si="0"/>
        <v>138.38835365853657</v>
      </c>
      <c r="H22" s="496">
        <f>Gen!D27</f>
        <v>36239.119999999995</v>
      </c>
      <c r="I22" s="498">
        <f>Gen!F27</f>
        <v>0</v>
      </c>
      <c r="J22" s="140">
        <f>Gen!T27</f>
        <v>1018.0699999999999</v>
      </c>
      <c r="K22" s="140">
        <f>Gen!AK27</f>
        <v>25.41</v>
      </c>
      <c r="L22" s="140">
        <f t="shared" si="1"/>
        <v>1043.48</v>
      </c>
      <c r="M22" s="527">
        <f>'Water-Meter'!K62</f>
        <v>418.14115392803916</v>
      </c>
      <c r="N22" s="201">
        <f>'Water-Meter'!E22</f>
        <v>49</v>
      </c>
      <c r="O22" s="212"/>
      <c r="P22" s="751">
        <v>19032</v>
      </c>
      <c r="Q22" s="499">
        <f t="shared" si="2"/>
        <v>0</v>
      </c>
      <c r="R22" s="500">
        <f t="shared" si="5"/>
        <v>0</v>
      </c>
      <c r="S22" s="446"/>
      <c r="T22" s="565">
        <v>16923</v>
      </c>
      <c r="U22" s="499">
        <f t="shared" ref="U22:U23" si="19">T23-T21</f>
        <v>0</v>
      </c>
      <c r="V22" s="501">
        <f t="shared" si="18"/>
        <v>0</v>
      </c>
      <c r="W22" s="446"/>
      <c r="X22" s="563">
        <v>25055</v>
      </c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>
        <v>38568</v>
      </c>
      <c r="AC22" s="136">
        <f t="shared" si="11"/>
        <v>55</v>
      </c>
      <c r="AD22" s="564">
        <v>205231</v>
      </c>
      <c r="AE22" s="219">
        <f t="shared" si="15"/>
        <v>37</v>
      </c>
      <c r="AF22" s="314">
        <f>'Lpg (2)'!B26*2000/85</f>
        <v>2000</v>
      </c>
      <c r="AG22" s="315">
        <f>'Lpg (2)'!C26*1000/85</f>
        <v>470.58823529411762</v>
      </c>
      <c r="AH22" s="316">
        <f>'Lpg (2)'!D26*1000/85</f>
        <v>0</v>
      </c>
      <c r="AI22" s="504">
        <f t="shared" si="17"/>
        <v>4470588.2352941176</v>
      </c>
      <c r="AJ22" s="503">
        <f t="shared" si="4"/>
        <v>35294.117647059262</v>
      </c>
      <c r="AK22" s="142"/>
    </row>
    <row r="23" spans="1:37" ht="19.5" thickBot="1">
      <c r="A23" s="94">
        <f>Gen!B28</f>
        <v>44092</v>
      </c>
      <c r="B23" s="494">
        <f>'Summery Report'!E22</f>
        <v>12</v>
      </c>
      <c r="C23" s="156">
        <f>Gen!C28</f>
        <v>0.1429</v>
      </c>
      <c r="D23" s="495">
        <f>'Summery Report'!E22</f>
        <v>12</v>
      </c>
      <c r="E23" s="496">
        <f t="shared" si="13"/>
        <v>1.3262195121951219</v>
      </c>
      <c r="F23" s="497">
        <f t="shared" si="14"/>
        <v>115.07938262195121</v>
      </c>
      <c r="G23" s="497">
        <f t="shared" si="0"/>
        <v>115.07938262195121</v>
      </c>
      <c r="H23" s="496">
        <f>Gen!D28</f>
        <v>35195.639999999992</v>
      </c>
      <c r="I23" s="498">
        <f>Gen!F28</f>
        <v>0</v>
      </c>
      <c r="J23" s="140">
        <f>Gen!T28</f>
        <v>1041.27</v>
      </c>
      <c r="K23" s="140">
        <f>Gen!AK28</f>
        <v>0</v>
      </c>
      <c r="L23" s="140">
        <f t="shared" si="1"/>
        <v>1041.27</v>
      </c>
      <c r="M23" s="527">
        <f>'Water-Meter'!K63</f>
        <v>390.17663310451479</v>
      </c>
      <c r="N23" s="201">
        <f>'Water-Meter'!E23</f>
        <v>50</v>
      </c>
      <c r="O23" s="212"/>
      <c r="P23" s="751">
        <v>19032</v>
      </c>
      <c r="Q23" s="499">
        <f t="shared" si="2"/>
        <v>0</v>
      </c>
      <c r="R23" s="500">
        <f t="shared" si="5"/>
        <v>0</v>
      </c>
      <c r="S23" s="446"/>
      <c r="T23" s="565">
        <v>16923</v>
      </c>
      <c r="U23" s="499">
        <f t="shared" si="19"/>
        <v>0</v>
      </c>
      <c r="V23" s="501">
        <f t="shared" si="18"/>
        <v>0</v>
      </c>
      <c r="W23" s="446"/>
      <c r="X23" s="563">
        <v>25055</v>
      </c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>
        <v>38588</v>
      </c>
      <c r="AC23" s="136">
        <f t="shared" si="11"/>
        <v>20</v>
      </c>
      <c r="AD23" s="564">
        <v>205265</v>
      </c>
      <c r="AE23" s="219">
        <f t="shared" si="15"/>
        <v>34</v>
      </c>
      <c r="AF23" s="314">
        <f>'Lpg (2)'!B27*2000/85</f>
        <v>2000</v>
      </c>
      <c r="AG23" s="315">
        <f>'Lpg (2)'!C27*1000/85</f>
        <v>447.05882352941177</v>
      </c>
      <c r="AH23" s="316">
        <f>'Lpg (2)'!D27*1000/85</f>
        <v>0</v>
      </c>
      <c r="AI23" s="504">
        <f t="shared" si="17"/>
        <v>4447058.823529412</v>
      </c>
      <c r="AJ23" s="503">
        <f t="shared" si="4"/>
        <v>23529.411764705554</v>
      </c>
      <c r="AK23" s="142"/>
    </row>
    <row r="24" spans="1:37" ht="19.5" thickBot="1">
      <c r="A24" s="94">
        <f>Gen!B29</f>
        <v>44093</v>
      </c>
      <c r="B24" s="494">
        <f>'Summery Report'!E23</f>
        <v>8</v>
      </c>
      <c r="C24" s="156">
        <f>Gen!C29</f>
        <v>9.0899999999999995E-2</v>
      </c>
      <c r="D24" s="495">
        <f>'Summery Report'!E23</f>
        <v>8</v>
      </c>
      <c r="E24" s="496">
        <f t="shared" si="13"/>
        <v>1.3262195121951219</v>
      </c>
      <c r="F24" s="497">
        <f t="shared" si="14"/>
        <v>187.30861280487807</v>
      </c>
      <c r="G24" s="497">
        <f t="shared" si="0"/>
        <v>249.37237042682929</v>
      </c>
      <c r="H24" s="496">
        <f>Gen!D29</f>
        <v>34154.369999999995</v>
      </c>
      <c r="I24" s="498">
        <f>Gen!F29</f>
        <v>0</v>
      </c>
      <c r="J24" s="140">
        <f>Gen!T29</f>
        <v>1129.8800000000001</v>
      </c>
      <c r="K24" s="140">
        <f>Gen!AK29</f>
        <v>374.38</v>
      </c>
      <c r="L24" s="140">
        <f t="shared" si="1"/>
        <v>1504.2600000000002</v>
      </c>
      <c r="M24" s="527">
        <f>'Water-Meter'!K64</f>
        <v>396.24042219604644</v>
      </c>
      <c r="N24" s="201">
        <f>'Water-Meter'!E24</f>
        <v>51</v>
      </c>
      <c r="O24" s="212"/>
      <c r="P24" s="751">
        <v>19032</v>
      </c>
      <c r="Q24" s="499">
        <f t="shared" si="2"/>
        <v>0</v>
      </c>
      <c r="R24" s="500">
        <f t="shared" si="5"/>
        <v>0</v>
      </c>
      <c r="S24" s="446"/>
      <c r="T24" s="565">
        <v>16923</v>
      </c>
      <c r="U24" s="499">
        <f t="shared" si="6"/>
        <v>0</v>
      </c>
      <c r="V24" s="501">
        <f t="shared" si="18"/>
        <v>0</v>
      </c>
      <c r="W24" s="446"/>
      <c r="X24" s="563">
        <v>25055</v>
      </c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>
        <v>38630</v>
      </c>
      <c r="AC24" s="136">
        <f t="shared" si="11"/>
        <v>42</v>
      </c>
      <c r="AD24" s="564">
        <v>205297</v>
      </c>
      <c r="AE24" s="219">
        <f t="shared" si="15"/>
        <v>32</v>
      </c>
      <c r="AF24" s="314">
        <f>'Lpg (2)'!B28*2000/85</f>
        <v>2000</v>
      </c>
      <c r="AG24" s="315">
        <f>'Lpg (2)'!C28*1000/85</f>
        <v>352.94117647058823</v>
      </c>
      <c r="AH24" s="316">
        <f>'Lpg (2)'!D28*1000/85</f>
        <v>0</v>
      </c>
      <c r="AI24" s="504">
        <f t="shared" si="17"/>
        <v>4352941.176470588</v>
      </c>
      <c r="AJ24" s="503">
        <f t="shared" si="4"/>
        <v>94117.647058824077</v>
      </c>
      <c r="AK24" s="142"/>
    </row>
    <row r="25" spans="1:37" ht="19.5" thickBot="1">
      <c r="A25" s="94">
        <f>Gen!B30</f>
        <v>44094</v>
      </c>
      <c r="B25" s="494">
        <f>'Summery Report'!E24</f>
        <v>6</v>
      </c>
      <c r="C25" s="156">
        <f>Gen!C30</f>
        <v>6.4899999999999999E-2</v>
      </c>
      <c r="D25" s="495">
        <f>'Summery Report'!E24</f>
        <v>6</v>
      </c>
      <c r="E25" s="496">
        <f t="shared" si="13"/>
        <v>1.3262195121951219</v>
      </c>
      <c r="F25" s="497">
        <f t="shared" si="14"/>
        <v>233.33948170731705</v>
      </c>
      <c r="G25" s="497">
        <f t="shared" si="0"/>
        <v>243.28170731707314</v>
      </c>
      <c r="H25" s="496">
        <f>Gen!D30</f>
        <v>32650.109999999993</v>
      </c>
      <c r="I25" s="498">
        <f>Gen!F30</f>
        <v>0</v>
      </c>
      <c r="J25" s="140">
        <f>Gen!T30</f>
        <v>1055.6599999999999</v>
      </c>
      <c r="K25" s="140">
        <f>Gen!AK30</f>
        <v>44.98</v>
      </c>
      <c r="L25" s="140">
        <f t="shared" si="1"/>
        <v>1100.6399999999999</v>
      </c>
      <c r="M25" s="527">
        <f>'Water-Meter'!K65</f>
        <v>442.68282733474484</v>
      </c>
      <c r="N25" s="201">
        <f>'Water-Meter'!E25</f>
        <v>46</v>
      </c>
      <c r="O25" s="212"/>
      <c r="P25" s="751">
        <v>19032</v>
      </c>
      <c r="Q25" s="499">
        <f t="shared" si="2"/>
        <v>0</v>
      </c>
      <c r="R25" s="500">
        <f t="shared" si="5"/>
        <v>0</v>
      </c>
      <c r="S25" s="446"/>
      <c r="T25" s="565">
        <v>16923</v>
      </c>
      <c r="U25" s="499">
        <f t="shared" si="6"/>
        <v>0</v>
      </c>
      <c r="V25" s="501">
        <f t="shared" si="18"/>
        <v>0</v>
      </c>
      <c r="W25" s="446"/>
      <c r="X25" s="563">
        <v>25055</v>
      </c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>
        <v>38630</v>
      </c>
      <c r="AC25" s="136">
        <f t="shared" si="11"/>
        <v>0</v>
      </c>
      <c r="AD25" s="564">
        <v>205335</v>
      </c>
      <c r="AE25" s="219">
        <f t="shared" si="15"/>
        <v>38</v>
      </c>
      <c r="AF25" s="314">
        <f>'Lpg (2)'!B29*2000/85</f>
        <v>2000</v>
      </c>
      <c r="AG25" s="315">
        <f>'Lpg (2)'!C29*1000/85</f>
        <v>341.1764705882353</v>
      </c>
      <c r="AH25" s="316">
        <f>'Lpg (2)'!D29*1000/85</f>
        <v>0</v>
      </c>
      <c r="AI25" s="504">
        <f t="shared" si="17"/>
        <v>4341176.4705882352</v>
      </c>
      <c r="AJ25" s="503">
        <f t="shared" si="4"/>
        <v>11764.705882352777</v>
      </c>
      <c r="AK25" s="142"/>
    </row>
    <row r="26" spans="1:37" ht="19.5" thickBot="1">
      <c r="A26" s="94">
        <f>Gen!B31</f>
        <v>44095</v>
      </c>
      <c r="B26" s="494">
        <f>'Summery Report'!E25</f>
        <v>6</v>
      </c>
      <c r="C26" s="156">
        <f>Gen!C31</f>
        <v>6.4899999999999999E-2</v>
      </c>
      <c r="D26" s="495">
        <f>'Summery Report'!E25</f>
        <v>6</v>
      </c>
      <c r="E26" s="496">
        <f t="shared" si="13"/>
        <v>1.3262195121951219</v>
      </c>
      <c r="F26" s="497">
        <f>SUM(J26*E26)/D26</f>
        <v>211.68673780487805</v>
      </c>
      <c r="G26" s="497">
        <f t="shared" si="0"/>
        <v>211.68673780487805</v>
      </c>
      <c r="H26" s="496">
        <f>Gen!D31</f>
        <v>31549.469999999994</v>
      </c>
      <c r="I26" s="498">
        <f>Gen!F31</f>
        <v>0</v>
      </c>
      <c r="J26" s="140">
        <f>Gen!T31</f>
        <v>957.7</v>
      </c>
      <c r="K26" s="140">
        <f>Gen!AK31</f>
        <v>0</v>
      </c>
      <c r="L26" s="140">
        <f t="shared" si="1"/>
        <v>957.7</v>
      </c>
      <c r="M26" s="527">
        <f>'Water-Meter'!K66</f>
        <v>437.55796394676679</v>
      </c>
      <c r="N26" s="201">
        <f>'Water-Meter'!E26</f>
        <v>46</v>
      </c>
      <c r="O26" s="212"/>
      <c r="P26" s="751">
        <v>19032</v>
      </c>
      <c r="Q26" s="499">
        <f t="shared" si="2"/>
        <v>0</v>
      </c>
      <c r="R26" s="500">
        <f t="shared" si="5"/>
        <v>0</v>
      </c>
      <c r="S26" s="446"/>
      <c r="T26" s="565">
        <v>16957</v>
      </c>
      <c r="U26" s="499">
        <f t="shared" si="6"/>
        <v>34</v>
      </c>
      <c r="V26" s="501">
        <f t="shared" si="18"/>
        <v>0</v>
      </c>
      <c r="W26" s="446">
        <v>2.2000000000000002</v>
      </c>
      <c r="X26" s="563">
        <v>25066</v>
      </c>
      <c r="Y26" s="499">
        <f t="shared" si="8"/>
        <v>11</v>
      </c>
      <c r="Z26" s="501">
        <f t="shared" si="9"/>
        <v>24.200000000000003</v>
      </c>
      <c r="AA26" s="501">
        <f t="shared" si="10"/>
        <v>606936.00000000012</v>
      </c>
      <c r="AB26" s="564">
        <v>38704</v>
      </c>
      <c r="AC26" s="136">
        <f t="shared" si="11"/>
        <v>74</v>
      </c>
      <c r="AD26" s="564">
        <v>205369</v>
      </c>
      <c r="AE26" s="219">
        <f t="shared" si="15"/>
        <v>34</v>
      </c>
      <c r="AF26" s="314">
        <f>'Lpg (2)'!B30*2000/85</f>
        <v>2000</v>
      </c>
      <c r="AG26" s="315">
        <f>'Lpg (2)'!C30*1000/85</f>
        <v>294.11764705882354</v>
      </c>
      <c r="AH26" s="316">
        <f>'Lpg (2)'!D30*1000/85</f>
        <v>0</v>
      </c>
      <c r="AI26" s="504">
        <f t="shared" si="17"/>
        <v>4294117.6470588231</v>
      </c>
      <c r="AJ26" s="503">
        <f t="shared" si="4"/>
        <v>47058.823529412039</v>
      </c>
      <c r="AK26" s="142"/>
    </row>
    <row r="27" spans="1:37" ht="19.5" thickBot="1">
      <c r="A27" s="94">
        <f>Gen!B32</f>
        <v>44096</v>
      </c>
      <c r="B27" s="494">
        <f>'Summery Report'!E26</f>
        <v>3</v>
      </c>
      <c r="C27" s="156">
        <f>Gen!C32</f>
        <v>2.5999999999999999E-2</v>
      </c>
      <c r="D27" s="495">
        <f>'Summery Report'!E26</f>
        <v>3</v>
      </c>
      <c r="E27" s="496">
        <f t="shared" si="13"/>
        <v>1.3262195121951219</v>
      </c>
      <c r="F27" s="497">
        <f t="shared" si="14"/>
        <v>434.33689024390242</v>
      </c>
      <c r="G27" s="497">
        <f t="shared" si="0"/>
        <v>434.33689024390242</v>
      </c>
      <c r="H27" s="496">
        <f>Gen!D32</f>
        <v>30591.769999999993</v>
      </c>
      <c r="I27" s="498">
        <f>Gen!F32</f>
        <v>0</v>
      </c>
      <c r="J27" s="140">
        <f>Gen!T32</f>
        <v>982.5</v>
      </c>
      <c r="K27" s="140">
        <f>Gen!AK32</f>
        <v>0</v>
      </c>
      <c r="L27" s="140">
        <f t="shared" si="1"/>
        <v>982.5</v>
      </c>
      <c r="M27" s="527">
        <f>'Water-Meter'!K67</f>
        <v>489.97873964697573</v>
      </c>
      <c r="N27" s="201">
        <f>'Water-Meter'!E27</f>
        <v>56</v>
      </c>
      <c r="O27" s="212"/>
      <c r="P27" s="751">
        <v>19032</v>
      </c>
      <c r="Q27" s="499">
        <f t="shared" si="2"/>
        <v>0</v>
      </c>
      <c r="R27" s="500">
        <f t="shared" si="5"/>
        <v>0</v>
      </c>
      <c r="S27" s="446"/>
      <c r="T27" s="565">
        <v>16957</v>
      </c>
      <c r="U27" s="499">
        <f t="shared" si="6"/>
        <v>0</v>
      </c>
      <c r="V27" s="501">
        <f t="shared" si="18"/>
        <v>0</v>
      </c>
      <c r="W27" s="446">
        <v>2.2000000000000002</v>
      </c>
      <c r="X27" s="563">
        <v>25074</v>
      </c>
      <c r="Y27" s="499">
        <f t="shared" si="8"/>
        <v>8</v>
      </c>
      <c r="Z27" s="501">
        <f t="shared" si="9"/>
        <v>17.600000000000001</v>
      </c>
      <c r="AA27" s="501">
        <f t="shared" si="10"/>
        <v>441496.00000000006</v>
      </c>
      <c r="AB27" s="564">
        <v>38748</v>
      </c>
      <c r="AC27" s="136">
        <f t="shared" si="11"/>
        <v>44</v>
      </c>
      <c r="AD27" s="564">
        <v>205407</v>
      </c>
      <c r="AE27" s="219">
        <f t="shared" si="15"/>
        <v>38</v>
      </c>
      <c r="AF27" s="314">
        <f>'Lpg (2)'!B31*2000/85</f>
        <v>2000</v>
      </c>
      <c r="AG27" s="315">
        <f>'Lpg (2)'!C31*1000/85</f>
        <v>270.58823529411762</v>
      </c>
      <c r="AH27" s="316">
        <f>'Lpg (2)'!D31*1000/85</f>
        <v>0</v>
      </c>
      <c r="AI27" s="504">
        <f t="shared" si="17"/>
        <v>4270588.2352941176</v>
      </c>
      <c r="AJ27" s="503">
        <f t="shared" si="4"/>
        <v>23529.411764705554</v>
      </c>
      <c r="AK27" s="142"/>
    </row>
    <row r="28" spans="1:37" ht="19.5" thickBot="1">
      <c r="A28" s="94">
        <f>Gen!B33</f>
        <v>44097</v>
      </c>
      <c r="B28" s="494">
        <f>'Summery Report'!E27</f>
        <v>3</v>
      </c>
      <c r="C28" s="156">
        <f>Gen!C33</f>
        <v>2.5999999999999999E-2</v>
      </c>
      <c r="D28" s="495">
        <f>'Summery Report'!E27</f>
        <v>3</v>
      </c>
      <c r="E28" s="496">
        <f t="shared" si="13"/>
        <v>1.3262195121951219</v>
      </c>
      <c r="F28" s="497">
        <f t="shared" si="14"/>
        <v>437.55960365853656</v>
      </c>
      <c r="G28" s="497">
        <f t="shared" si="0"/>
        <v>520.35106707317061</v>
      </c>
      <c r="H28" s="496">
        <f>Gen!D33</f>
        <v>29609.269999999993</v>
      </c>
      <c r="I28" s="498">
        <f>Gen!F33</f>
        <v>0</v>
      </c>
      <c r="J28" s="140">
        <f>Gen!T33</f>
        <v>989.79</v>
      </c>
      <c r="K28" s="140">
        <f>Gen!AK33</f>
        <v>187.28</v>
      </c>
      <c r="L28" s="140">
        <f t="shared" si="1"/>
        <v>1177.07</v>
      </c>
      <c r="M28" s="527">
        <f>'Water-Meter'!K68</f>
        <v>541.90348392850433</v>
      </c>
      <c r="N28" s="201">
        <f>'Water-Meter'!E28</f>
        <v>49</v>
      </c>
      <c r="O28" s="212"/>
      <c r="P28" s="751">
        <v>19032</v>
      </c>
      <c r="Q28" s="499">
        <f t="shared" si="2"/>
        <v>0</v>
      </c>
      <c r="R28" s="500">
        <f t="shared" si="5"/>
        <v>0</v>
      </c>
      <c r="S28" s="446"/>
      <c r="T28" s="565">
        <v>16957</v>
      </c>
      <c r="U28" s="499">
        <f t="shared" si="6"/>
        <v>0</v>
      </c>
      <c r="V28" s="501">
        <f t="shared" si="18"/>
        <v>0</v>
      </c>
      <c r="W28" s="446">
        <v>2.2000000000000002</v>
      </c>
      <c r="X28" s="563">
        <v>25080</v>
      </c>
      <c r="Y28" s="499">
        <f t="shared" si="8"/>
        <v>6</v>
      </c>
      <c r="Z28" s="501">
        <f t="shared" si="9"/>
        <v>13.200000000000001</v>
      </c>
      <c r="AA28" s="501">
        <f t="shared" si="10"/>
        <v>331425.60000000003</v>
      </c>
      <c r="AB28" s="564">
        <v>38795</v>
      </c>
      <c r="AC28" s="136">
        <f t="shared" ref="AC28:AC37" si="20">SUM(AB28-AB27)</f>
        <v>47</v>
      </c>
      <c r="AD28" s="564">
        <v>205438</v>
      </c>
      <c r="AE28" s="219">
        <f t="shared" si="15"/>
        <v>31</v>
      </c>
      <c r="AF28" s="314">
        <f>'Lpg (2)'!B32*2000/85</f>
        <v>2000</v>
      </c>
      <c r="AG28" s="315">
        <f>'Lpg (2)'!C32*1000/85</f>
        <v>235.29411764705881</v>
      </c>
      <c r="AH28" s="316">
        <f>'Lpg (2)'!D32*1000/85</f>
        <v>0</v>
      </c>
      <c r="AI28" s="504">
        <f t="shared" si="17"/>
        <v>4235294.1176470593</v>
      </c>
      <c r="AJ28" s="503">
        <f t="shared" si="4"/>
        <v>35294.11764705833</v>
      </c>
      <c r="AK28" s="142"/>
    </row>
    <row r="29" spans="1:37" ht="19.5" thickBot="1">
      <c r="A29" s="94">
        <f>Gen!B34</f>
        <v>44098</v>
      </c>
      <c r="B29" s="494">
        <f>'Summery Report'!E28</f>
        <v>2</v>
      </c>
      <c r="C29" s="156">
        <f>Gen!C34</f>
        <v>1.2999999999999999E-2</v>
      </c>
      <c r="D29" s="495">
        <f>'Summery Report'!E28</f>
        <v>2</v>
      </c>
      <c r="E29" s="496">
        <f t="shared" si="13"/>
        <v>1.3262195121951219</v>
      </c>
      <c r="F29" s="497">
        <f t="shared" si="14"/>
        <v>665.9279725609756</v>
      </c>
      <c r="G29" s="497">
        <f t="shared" si="0"/>
        <v>665.9279725609756</v>
      </c>
      <c r="H29" s="496">
        <f>Gen!D34</f>
        <v>28432.199999999993</v>
      </c>
      <c r="I29" s="498">
        <f>Gen!F34</f>
        <v>0</v>
      </c>
      <c r="J29" s="140">
        <f>Gen!T34</f>
        <v>1004.25</v>
      </c>
      <c r="K29" s="140">
        <f>Gen!AK34</f>
        <v>0</v>
      </c>
      <c r="L29" s="140">
        <f t="shared" si="1"/>
        <v>1004.25</v>
      </c>
      <c r="M29" s="527">
        <f>'Water-Meter'!K69</f>
        <v>571.66170347793422</v>
      </c>
      <c r="N29" s="201">
        <f>'Water-Meter'!E29</f>
        <v>48</v>
      </c>
      <c r="O29" s="212"/>
      <c r="P29" s="751">
        <v>19032</v>
      </c>
      <c r="Q29" s="499">
        <f t="shared" si="2"/>
        <v>0</v>
      </c>
      <c r="R29" s="500">
        <f t="shared" si="5"/>
        <v>0</v>
      </c>
      <c r="S29" s="446">
        <v>2.2999999999999998</v>
      </c>
      <c r="T29" s="565">
        <v>16978</v>
      </c>
      <c r="U29" s="499">
        <f t="shared" si="6"/>
        <v>21</v>
      </c>
      <c r="V29" s="501">
        <f t="shared" si="18"/>
        <v>48.3</v>
      </c>
      <c r="W29" s="446">
        <v>2.2000000000000002</v>
      </c>
      <c r="X29" s="563">
        <v>25085</v>
      </c>
      <c r="Y29" s="499">
        <f t="shared" si="8"/>
        <v>5</v>
      </c>
      <c r="Z29" s="501">
        <f t="shared" si="9"/>
        <v>11</v>
      </c>
      <c r="AA29" s="501">
        <f t="shared" si="10"/>
        <v>276188</v>
      </c>
      <c r="AB29" s="564">
        <v>38851</v>
      </c>
      <c r="AC29" s="136">
        <f t="shared" si="20"/>
        <v>56</v>
      </c>
      <c r="AD29" s="564">
        <v>205474</v>
      </c>
      <c r="AE29" s="219">
        <f t="shared" si="15"/>
        <v>36</v>
      </c>
      <c r="AF29" s="314">
        <f>'Lpg (2)'!B33*2000/85</f>
        <v>2000</v>
      </c>
      <c r="AG29" s="315">
        <f>'Lpg (2)'!C33*1000/85</f>
        <v>223.52941176470588</v>
      </c>
      <c r="AH29" s="316">
        <f>'Lpg (2)'!D33*1000/85</f>
        <v>0</v>
      </c>
      <c r="AI29" s="504">
        <f t="shared" si="17"/>
        <v>4223529.4117647056</v>
      </c>
      <c r="AJ29" s="503">
        <f t="shared" si="4"/>
        <v>11764.705882353708</v>
      </c>
      <c r="AK29" s="142"/>
    </row>
    <row r="30" spans="1:37" ht="19.5" thickBot="1">
      <c r="A30" s="94">
        <f>Gen!B35</f>
        <v>44099</v>
      </c>
      <c r="B30" s="494">
        <f>'Summery Report'!E29</f>
        <v>3</v>
      </c>
      <c r="C30" s="156">
        <f>Gen!C35</f>
        <v>1.2999999999999999E-2</v>
      </c>
      <c r="D30" s="495">
        <f>'Summery Report'!E29</f>
        <v>3</v>
      </c>
      <c r="E30" s="496">
        <f t="shared" si="13"/>
        <v>1.3262195121951219</v>
      </c>
      <c r="F30" s="497">
        <f t="shared" si="14"/>
        <v>450.50792682926834</v>
      </c>
      <c r="G30" s="497">
        <f t="shared" si="0"/>
        <v>483.48658536585367</v>
      </c>
      <c r="H30" s="496">
        <f>Gen!D35</f>
        <v>27427.949999999993</v>
      </c>
      <c r="I30" s="498">
        <f>Gen!F35</f>
        <v>0</v>
      </c>
      <c r="J30" s="140">
        <f>Gen!T35</f>
        <v>1019.08</v>
      </c>
      <c r="K30" s="140">
        <f>Gen!AK35</f>
        <v>74.599999999999994</v>
      </c>
      <c r="L30" s="140">
        <f t="shared" si="1"/>
        <v>1093.68</v>
      </c>
      <c r="M30" s="527">
        <f>'Water-Meter'!K70</f>
        <v>593.45976808150976</v>
      </c>
      <c r="N30" s="201">
        <f>'Water-Meter'!E30</f>
        <v>50</v>
      </c>
      <c r="O30" s="212"/>
      <c r="P30" s="751">
        <v>19032</v>
      </c>
      <c r="Q30" s="499">
        <f t="shared" si="2"/>
        <v>0</v>
      </c>
      <c r="R30" s="500">
        <f t="shared" si="5"/>
        <v>0</v>
      </c>
      <c r="S30" s="446">
        <v>2.2999999999999998</v>
      </c>
      <c r="T30" s="565">
        <v>16983</v>
      </c>
      <c r="U30" s="499">
        <f t="shared" si="6"/>
        <v>5</v>
      </c>
      <c r="V30" s="501">
        <f t="shared" si="18"/>
        <v>11.5</v>
      </c>
      <c r="W30" s="446">
        <v>2.2000000000000002</v>
      </c>
      <c r="X30" s="563">
        <v>25108</v>
      </c>
      <c r="Y30" s="499">
        <f t="shared" si="8"/>
        <v>23</v>
      </c>
      <c r="Z30" s="501">
        <f t="shared" si="9"/>
        <v>50.6</v>
      </c>
      <c r="AA30" s="501">
        <f t="shared" si="10"/>
        <v>1270464.8</v>
      </c>
      <c r="AB30" s="564">
        <v>38921</v>
      </c>
      <c r="AC30" s="136">
        <f t="shared" si="20"/>
        <v>70</v>
      </c>
      <c r="AD30" s="564">
        <v>205504</v>
      </c>
      <c r="AE30" s="219">
        <f t="shared" si="15"/>
        <v>30</v>
      </c>
      <c r="AF30" s="314">
        <f>'Lpg (2)'!B34*2000/85</f>
        <v>2000</v>
      </c>
      <c r="AG30" s="315">
        <f>'Lpg (2)'!C34*1000/85</f>
        <v>211.76470588235293</v>
      </c>
      <c r="AH30" s="316">
        <f>'Lpg (2)'!D34*1000/85</f>
        <v>0</v>
      </c>
      <c r="AI30" s="504">
        <f t="shared" si="17"/>
        <v>4211764.7058823528</v>
      </c>
      <c r="AJ30" s="503">
        <f t="shared" si="4"/>
        <v>11764.705882352777</v>
      </c>
      <c r="AK30" s="142"/>
    </row>
    <row r="31" spans="1:37" ht="19.5" thickBot="1">
      <c r="A31" s="94">
        <f>Gen!B36</f>
        <v>44100</v>
      </c>
      <c r="B31" s="494">
        <f>'Summery Report'!E30</f>
        <v>4</v>
      </c>
      <c r="C31" s="156">
        <f>Gen!C36</f>
        <v>2.5999999999999999E-2</v>
      </c>
      <c r="D31" s="495">
        <f>'Summery Report'!E30</f>
        <v>4</v>
      </c>
      <c r="E31" s="496">
        <f t="shared" si="13"/>
        <v>1.3262195121951219</v>
      </c>
      <c r="F31" s="497">
        <f t="shared" si="14"/>
        <v>291.37042682926824</v>
      </c>
      <c r="G31" s="497">
        <f t="shared" si="0"/>
        <v>291.37042682926824</v>
      </c>
      <c r="H31" s="496">
        <f>Gen!D36</f>
        <v>26334.269999999993</v>
      </c>
      <c r="I31" s="498">
        <f>Gen!F36</f>
        <v>0</v>
      </c>
      <c r="J31" s="140">
        <f>Gen!T36</f>
        <v>878.8</v>
      </c>
      <c r="K31" s="140">
        <f>Gen!AK36</f>
        <v>0</v>
      </c>
      <c r="L31" s="140">
        <f t="shared" si="1"/>
        <v>878.8</v>
      </c>
      <c r="M31" s="527">
        <f>'Water-Meter'!K71</f>
        <v>584.68184786578399</v>
      </c>
      <c r="N31" s="201">
        <f>'Water-Meter'!E31</f>
        <v>55</v>
      </c>
      <c r="O31" s="212"/>
      <c r="P31" s="751">
        <v>19032</v>
      </c>
      <c r="Q31" s="499">
        <f t="shared" si="2"/>
        <v>0</v>
      </c>
      <c r="R31" s="500">
        <f t="shared" si="5"/>
        <v>0</v>
      </c>
      <c r="S31" s="446"/>
      <c r="T31" s="565">
        <v>16983</v>
      </c>
      <c r="U31" s="499">
        <f t="shared" si="6"/>
        <v>0</v>
      </c>
      <c r="V31" s="501">
        <f t="shared" si="18"/>
        <v>0</v>
      </c>
      <c r="W31" s="446">
        <v>2.2000000000000002</v>
      </c>
      <c r="X31" s="563">
        <v>25108</v>
      </c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>
        <v>38968</v>
      </c>
      <c r="AC31" s="136">
        <f t="shared" si="20"/>
        <v>47</v>
      </c>
      <c r="AD31" s="564">
        <v>205537</v>
      </c>
      <c r="AE31" s="219">
        <f t="shared" si="15"/>
        <v>33</v>
      </c>
      <c r="AF31" s="314">
        <f>'Lpg (2)'!B35*2000/85</f>
        <v>2000</v>
      </c>
      <c r="AG31" s="315">
        <f>'Lpg (2)'!C35*1000/85</f>
        <v>200</v>
      </c>
      <c r="AH31" s="316">
        <f>'Lpg (2)'!D35*1000/85</f>
        <v>0</v>
      </c>
      <c r="AI31" s="504">
        <f t="shared" si="17"/>
        <v>4200000</v>
      </c>
      <c r="AJ31" s="503">
        <f t="shared" si="4"/>
        <v>11764.705882352777</v>
      </c>
      <c r="AK31" s="142"/>
    </row>
    <row r="32" spans="1:37" ht="19.5" thickBot="1">
      <c r="A32" s="94">
        <f>Gen!B37</f>
        <v>44101</v>
      </c>
      <c r="B32" s="494">
        <f>'Summery Report'!E31</f>
        <v>5</v>
      </c>
      <c r="C32" s="156">
        <f>Gen!C37</f>
        <v>5.1900000000000002E-2</v>
      </c>
      <c r="D32" s="495">
        <f>'Summery Report'!E31</f>
        <v>5</v>
      </c>
      <c r="E32" s="496">
        <f t="shared" si="13"/>
        <v>1.3262195121951219</v>
      </c>
      <c r="F32" s="497">
        <f t="shared" si="14"/>
        <v>258.80908536585366</v>
      </c>
      <c r="G32" s="497">
        <f t="shared" si="0"/>
        <v>258.80908536585366</v>
      </c>
      <c r="H32" s="496">
        <f>Gen!D37</f>
        <v>43455.469999999994</v>
      </c>
      <c r="I32" s="498">
        <f>Gen!F37</f>
        <v>18000</v>
      </c>
      <c r="J32" s="140">
        <f>Gen!T37</f>
        <v>975.74</v>
      </c>
      <c r="K32" s="140">
        <f>Gen!AK37</f>
        <v>0</v>
      </c>
      <c r="L32" s="140">
        <f t="shared" si="1"/>
        <v>975.74</v>
      </c>
      <c r="M32" s="527">
        <f>'Water-Meter'!K72</f>
        <v>587.44077773843389</v>
      </c>
      <c r="N32" s="201">
        <f>'Water-Meter'!E32</f>
        <v>58</v>
      </c>
      <c r="O32" s="212"/>
      <c r="P32" s="751">
        <v>19032</v>
      </c>
      <c r="Q32" s="499">
        <f t="shared" si="2"/>
        <v>0</v>
      </c>
      <c r="R32" s="500">
        <f t="shared" si="5"/>
        <v>0</v>
      </c>
      <c r="S32" s="446">
        <v>2.2000000000000002</v>
      </c>
      <c r="T32" s="565">
        <v>16989</v>
      </c>
      <c r="U32" s="499">
        <f t="shared" si="6"/>
        <v>6</v>
      </c>
      <c r="V32" s="501">
        <f t="shared" si="18"/>
        <v>13.200000000000001</v>
      </c>
      <c r="W32" s="446"/>
      <c r="X32" s="563">
        <v>25108</v>
      </c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>
        <v>39036</v>
      </c>
      <c r="AC32" s="136">
        <f t="shared" si="20"/>
        <v>68</v>
      </c>
      <c r="AD32" s="564">
        <v>205574</v>
      </c>
      <c r="AE32" s="219">
        <f t="shared" si="15"/>
        <v>37</v>
      </c>
      <c r="AF32" s="314">
        <f>'Lpg (2)'!B36*2000/85</f>
        <v>2000</v>
      </c>
      <c r="AG32" s="315">
        <f>'Lpg (2)'!C36*1000/85</f>
        <v>188.23529411764707</v>
      </c>
      <c r="AH32" s="316">
        <f>'Lpg (2)'!D36*1000/85</f>
        <v>0</v>
      </c>
      <c r="AI32" s="504">
        <f t="shared" si="17"/>
        <v>4188235.2941176472</v>
      </c>
      <c r="AJ32" s="503">
        <f t="shared" si="4"/>
        <v>11764.705882352777</v>
      </c>
      <c r="AK32" s="142"/>
    </row>
    <row r="33" spans="1:37" ht="19.5" thickBot="1">
      <c r="A33" s="94">
        <f>Gen!B38</f>
        <v>44102</v>
      </c>
      <c r="B33" s="494">
        <f>'Summery Report'!E32</f>
        <v>5</v>
      </c>
      <c r="C33" s="156">
        <f>Gen!C38</f>
        <v>5.1900000000000002E-2</v>
      </c>
      <c r="D33" s="495">
        <f>'Summery Report'!E32</f>
        <v>5</v>
      </c>
      <c r="E33" s="496">
        <f t="shared" si="13"/>
        <v>1.3262195121951219</v>
      </c>
      <c r="F33" s="497">
        <f t="shared" si="14"/>
        <v>257.12478658536588</v>
      </c>
      <c r="G33" s="497">
        <f t="shared" si="0"/>
        <v>257.12478658536588</v>
      </c>
      <c r="H33" s="496">
        <f>Gen!D38</f>
        <v>42479.729999999996</v>
      </c>
      <c r="I33" s="498">
        <f>Gen!F38</f>
        <v>0</v>
      </c>
      <c r="J33" s="140">
        <f>Gen!T38</f>
        <v>969.3900000000001</v>
      </c>
      <c r="K33" s="140">
        <f>Gen!AK38</f>
        <v>0</v>
      </c>
      <c r="L33" s="140">
        <f t="shared" si="1"/>
        <v>969.3900000000001</v>
      </c>
      <c r="M33" s="527">
        <f>'Water-Meter'!K73</f>
        <v>599.10194656960266</v>
      </c>
      <c r="N33" s="201">
        <f>'Water-Meter'!E33</f>
        <v>52</v>
      </c>
      <c r="O33" s="212"/>
      <c r="P33" s="751"/>
      <c r="Q33" s="499">
        <f t="shared" si="2"/>
        <v>-19032</v>
      </c>
      <c r="R33" s="500">
        <f t="shared" si="5"/>
        <v>0</v>
      </c>
      <c r="S33" s="446"/>
      <c r="T33" s="565"/>
      <c r="U33" s="499">
        <f t="shared" si="6"/>
        <v>-16989</v>
      </c>
      <c r="V33" s="501">
        <f t="shared" si="18"/>
        <v>0</v>
      </c>
      <c r="W33" s="446"/>
      <c r="X33" s="563"/>
      <c r="Y33" s="499">
        <f t="shared" si="8"/>
        <v>-25108</v>
      </c>
      <c r="Z33" s="501">
        <f t="shared" si="9"/>
        <v>0</v>
      </c>
      <c r="AA33" s="501">
        <f t="shared" si="10"/>
        <v>0</v>
      </c>
      <c r="AB33" s="564">
        <v>39082</v>
      </c>
      <c r="AC33" s="136">
        <f t="shared" si="20"/>
        <v>46</v>
      </c>
      <c r="AD33" s="564">
        <v>205609</v>
      </c>
      <c r="AE33" s="219">
        <f t="shared" si="15"/>
        <v>35</v>
      </c>
      <c r="AF33" s="314">
        <f>'Lpg (2)'!B37*2000/85</f>
        <v>2000</v>
      </c>
      <c r="AG33" s="315">
        <f>'Lpg (2)'!C37*1000/85</f>
        <v>176.47058823529412</v>
      </c>
      <c r="AH33" s="316">
        <f>'Lpg (2)'!D37*1000/85</f>
        <v>0</v>
      </c>
      <c r="AI33" s="504">
        <f t="shared" si="17"/>
        <v>4176470.588235294</v>
      </c>
      <c r="AJ33" s="503">
        <f t="shared" si="4"/>
        <v>11764.705882353242</v>
      </c>
      <c r="AK33" s="142"/>
    </row>
    <row r="34" spans="1:37" ht="19.5" thickBot="1">
      <c r="A34" s="94">
        <f>Gen!B39</f>
        <v>44103</v>
      </c>
      <c r="B34" s="494">
        <f>'Summery Report'!E33</f>
        <v>5</v>
      </c>
      <c r="C34" s="156">
        <f>Gen!C39</f>
        <v>5.1900000000000002E-2</v>
      </c>
      <c r="D34" s="495">
        <f>'Summery Report'!E33</f>
        <v>5</v>
      </c>
      <c r="E34" s="496">
        <f t="shared" si="13"/>
        <v>1.3262195121951219</v>
      </c>
      <c r="F34" s="497">
        <f t="shared" si="14"/>
        <v>0</v>
      </c>
      <c r="G34" s="497">
        <f t="shared" si="0"/>
        <v>0</v>
      </c>
      <c r="H34" s="496">
        <f>Gen!D39</f>
        <v>41510.339999999997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579.36164070060829</v>
      </c>
      <c r="N34" s="201" t="str">
        <f>'Water-Meter'!E34</f>
        <v>0</v>
      </c>
      <c r="O34" s="212"/>
      <c r="P34" s="751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-39082</v>
      </c>
      <c r="AD34" s="564"/>
      <c r="AE34" s="219">
        <f t="shared" si="15"/>
        <v>-205609</v>
      </c>
      <c r="AF34" s="314">
        <f>'Lpg (2)'!B38*2000/85</f>
        <v>2000</v>
      </c>
      <c r="AG34" s="315">
        <f>'Lpg (2)'!C38*1000/85</f>
        <v>164.70588235294119</v>
      </c>
      <c r="AH34" s="316">
        <f>'Lpg (2)'!D38*1000/85</f>
        <v>0</v>
      </c>
      <c r="AI34" s="504">
        <f t="shared" si="17"/>
        <v>4164705.8823529412</v>
      </c>
      <c r="AJ34" s="503">
        <f t="shared" si="4"/>
        <v>11764.705882352777</v>
      </c>
      <c r="AK34" s="142"/>
    </row>
    <row r="35" spans="1:37" ht="19.5" thickBot="1">
      <c r="A35" s="94">
        <f>Gen!B40</f>
        <v>44104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41510.339999999997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1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564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4164705.8823529412</v>
      </c>
      <c r="AK35" s="144"/>
    </row>
    <row r="36" spans="1:37" ht="19.5" thickBot="1">
      <c r="A36" s="94">
        <f>Gen!B41</f>
        <v>0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41510.339999999997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1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564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26553.120000000003</v>
      </c>
      <c r="K37" s="163"/>
      <c r="L37" s="140">
        <f t="shared" si="1"/>
        <v>26553.120000000003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49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topLeftCell="A16" zoomScale="70" zoomScaleNormal="70" workbookViewId="0">
      <selection activeCell="W33" sqref="W33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7" t="s">
        <v>148</v>
      </c>
      <c r="C1" s="798"/>
      <c r="D1" s="798"/>
      <c r="E1" s="798"/>
      <c r="F1" s="799"/>
      <c r="G1" s="187"/>
      <c r="H1" s="797" t="s">
        <v>149</v>
      </c>
      <c r="I1" s="798"/>
      <c r="J1" s="798"/>
      <c r="K1" s="798"/>
      <c r="L1" s="799"/>
      <c r="M1" s="797" t="s">
        <v>168</v>
      </c>
      <c r="N1" s="798"/>
      <c r="O1" s="798"/>
      <c r="P1" s="798"/>
      <c r="Q1" s="799"/>
      <c r="R1" s="187"/>
      <c r="T1" s="797" t="s">
        <v>164</v>
      </c>
      <c r="U1" s="798"/>
      <c r="V1" s="798"/>
      <c r="W1" s="798"/>
      <c r="X1" s="799"/>
      <c r="Y1" s="797" t="s">
        <v>167</v>
      </c>
      <c r="Z1" s="798"/>
      <c r="AA1" s="798"/>
      <c r="AB1" s="798"/>
      <c r="AC1" s="799"/>
    </row>
    <row r="2" spans="1:29" ht="45.75" thickBot="1">
      <c r="A2" s="703" t="s">
        <v>24</v>
      </c>
      <c r="B2" s="188" t="s">
        <v>150</v>
      </c>
      <c r="C2" s="189" t="s">
        <v>151</v>
      </c>
      <c r="D2" s="190" t="s">
        <v>152</v>
      </c>
      <c r="E2" s="190" t="s">
        <v>153</v>
      </c>
      <c r="F2" s="191" t="s">
        <v>157</v>
      </c>
      <c r="G2" s="192"/>
      <c r="H2" s="188" t="s">
        <v>150</v>
      </c>
      <c r="I2" s="189" t="s">
        <v>151</v>
      </c>
      <c r="J2" s="190" t="s">
        <v>161</v>
      </c>
      <c r="K2" s="190" t="s">
        <v>160</v>
      </c>
      <c r="L2" s="197" t="s">
        <v>158</v>
      </c>
      <c r="M2" s="188" t="s">
        <v>150</v>
      </c>
      <c r="N2" s="189" t="s">
        <v>151</v>
      </c>
      <c r="O2" s="190" t="s">
        <v>161</v>
      </c>
      <c r="P2" s="190" t="s">
        <v>160</v>
      </c>
      <c r="Q2" s="197" t="s">
        <v>158</v>
      </c>
      <c r="R2" s="400" t="s">
        <v>159</v>
      </c>
      <c r="S2" s="733" t="s">
        <v>156</v>
      </c>
      <c r="T2" s="188" t="s">
        <v>150</v>
      </c>
      <c r="U2" s="189" t="s">
        <v>151</v>
      </c>
      <c r="V2" s="190" t="s">
        <v>166</v>
      </c>
      <c r="W2" s="190" t="s">
        <v>165</v>
      </c>
      <c r="X2" s="191" t="s">
        <v>157</v>
      </c>
      <c r="Y2" s="188" t="s">
        <v>150</v>
      </c>
      <c r="Z2" s="189" t="s">
        <v>151</v>
      </c>
      <c r="AA2" s="190" t="s">
        <v>161</v>
      </c>
      <c r="AB2" s="190" t="s">
        <v>160</v>
      </c>
      <c r="AC2" s="191" t="s">
        <v>158</v>
      </c>
    </row>
    <row r="3" spans="1:29" ht="31.5" customHeight="1" thickBot="1">
      <c r="A3" s="704">
        <f>Gen!B11</f>
        <v>44075</v>
      </c>
      <c r="B3" s="800" t="s">
        <v>154</v>
      </c>
      <c r="C3" s="801"/>
      <c r="D3" s="196"/>
      <c r="E3" s="698">
        <v>8794.7000000000007</v>
      </c>
      <c r="F3" s="705" t="s">
        <v>155</v>
      </c>
      <c r="G3" s="706"/>
      <c r="H3" s="800" t="s">
        <v>154</v>
      </c>
      <c r="I3" s="801"/>
      <c r="J3" s="761">
        <f>'Water-Meter'!G5</f>
        <v>38000</v>
      </c>
      <c r="K3" s="707">
        <f>'Water-Meter'!G5</f>
        <v>38000</v>
      </c>
      <c r="L3" s="288"/>
      <c r="M3" s="800" t="s">
        <v>154</v>
      </c>
      <c r="N3" s="801"/>
      <c r="O3" s="196">
        <f>'Water-Meter'!J5</f>
        <v>8021</v>
      </c>
      <c r="P3" s="708">
        <f>'Water-Meter'!J5</f>
        <v>8021</v>
      </c>
      <c r="Q3" s="195"/>
      <c r="R3" s="695"/>
      <c r="S3" s="696"/>
      <c r="T3" s="800" t="s">
        <v>154</v>
      </c>
      <c r="U3" s="801"/>
      <c r="V3" s="196"/>
      <c r="W3" s="699">
        <v>7819.2</v>
      </c>
      <c r="X3" s="709">
        <f t="shared" ref="X3:X35" si="0">(W3-V3)*200</f>
        <v>1563840</v>
      </c>
      <c r="Y3" s="800" t="s">
        <v>154</v>
      </c>
      <c r="Z3" s="801"/>
      <c r="AA3" s="196"/>
      <c r="AB3" s="199"/>
      <c r="AC3" s="200"/>
    </row>
    <row r="4" spans="1:29" ht="19.5" thickBot="1">
      <c r="A4" s="710">
        <f>Gen!C11</f>
        <v>3.9E-2</v>
      </c>
      <c r="B4" s="714">
        <f>Gen!B11</f>
        <v>44075</v>
      </c>
      <c r="C4" s="715"/>
      <c r="D4" s="716">
        <f t="shared" ref="D4:D23" si="1">E3</f>
        <v>8794.7000000000007</v>
      </c>
      <c r="E4" s="698">
        <v>8796.2999999999993</v>
      </c>
      <c r="F4" s="716">
        <f t="shared" ref="F4:F15" si="2">SUM(E4-D4)*120</f>
        <v>191.99999999982538</v>
      </c>
      <c r="G4" s="715"/>
      <c r="H4" s="717">
        <f>B4</f>
        <v>44075</v>
      </c>
      <c r="I4" s="737"/>
      <c r="J4" s="761">
        <f>'Water-Meter'!G6</f>
        <v>38000</v>
      </c>
      <c r="K4" s="738">
        <f>'Water-Meter'!G6</f>
        <v>38000</v>
      </c>
      <c r="L4" s="739">
        <f t="shared" ref="L4:L34" si="3">SUM(K4-J4)</f>
        <v>0</v>
      </c>
      <c r="M4" s="726">
        <f>H4</f>
        <v>44075</v>
      </c>
      <c r="N4" s="715"/>
      <c r="O4" s="196">
        <f>'Water-Meter'!J6</f>
        <v>8023</v>
      </c>
      <c r="P4" s="727">
        <f>'Water-Meter'!J6</f>
        <v>8023</v>
      </c>
      <c r="Q4" s="739">
        <f>N4-O3</f>
        <v>-8021</v>
      </c>
      <c r="R4" s="743">
        <f t="shared" ref="R4:R20" si="4">SUM(Q4/1615)</f>
        <v>-4.9665634674922599</v>
      </c>
      <c r="S4" s="744">
        <f>Gen!T11</f>
        <v>891.43</v>
      </c>
      <c r="T4" s="741">
        <f>M4</f>
        <v>44075</v>
      </c>
      <c r="U4" s="715"/>
      <c r="V4" s="716">
        <f t="shared" ref="V4:V33" si="5">W3</f>
        <v>7819.2</v>
      </c>
      <c r="W4" s="699">
        <v>7819.6</v>
      </c>
      <c r="X4" s="735">
        <f>(W4-V4)*200</f>
        <v>80.000000000109139</v>
      </c>
      <c r="Y4" s="726">
        <f>T4</f>
        <v>44075</v>
      </c>
      <c r="Z4" s="715"/>
      <c r="AA4" s="715"/>
      <c r="AB4" s="727">
        <f>'Water-Meter'!P6</f>
        <v>20255</v>
      </c>
      <c r="AC4" s="728">
        <f>AA4-AB3</f>
        <v>0</v>
      </c>
    </row>
    <row r="5" spans="1:29" ht="19.5" thickBot="1">
      <c r="A5" s="711">
        <f>Gen!C12</f>
        <v>3.9E-2</v>
      </c>
      <c r="B5" s="718">
        <f>Gen!B12</f>
        <v>44076</v>
      </c>
      <c r="C5" s="697"/>
      <c r="D5" s="702">
        <f t="shared" si="1"/>
        <v>8796.2999999999993</v>
      </c>
      <c r="E5" s="698">
        <v>8797.9</v>
      </c>
      <c r="F5" s="702">
        <f t="shared" si="2"/>
        <v>192.00000000004366</v>
      </c>
      <c r="G5" s="697"/>
      <c r="H5" s="719">
        <f t="shared" ref="H5:H35" si="6">B5</f>
        <v>44076</v>
      </c>
      <c r="I5" s="712"/>
      <c r="J5" s="761">
        <f>'Water-Meter'!G7</f>
        <v>38000</v>
      </c>
      <c r="K5" s="738">
        <f>'Water-Meter'!G7</f>
        <v>38000</v>
      </c>
      <c r="L5" s="725">
        <f t="shared" si="3"/>
        <v>0</v>
      </c>
      <c r="M5" s="729">
        <f t="shared" ref="M5:M35" si="7">H5</f>
        <v>44076</v>
      </c>
      <c r="N5" s="697"/>
      <c r="O5" s="196">
        <f>'Water-Meter'!J7</f>
        <v>8024</v>
      </c>
      <c r="P5" s="701">
        <f>'Water-Meter'!J7</f>
        <v>8024</v>
      </c>
      <c r="Q5" s="739">
        <f t="shared" ref="Q5:Q20" si="8">N5-O4</f>
        <v>-8023</v>
      </c>
      <c r="R5" s="745">
        <f t="shared" si="4"/>
        <v>-4.9678018575851395</v>
      </c>
      <c r="S5" s="746">
        <f>Gen!T12</f>
        <v>821.92000000000007</v>
      </c>
      <c r="T5" s="734">
        <f t="shared" ref="T5:T30" si="9">M5</f>
        <v>44076</v>
      </c>
      <c r="U5" s="697"/>
      <c r="V5" s="702">
        <f t="shared" si="5"/>
        <v>7819.6</v>
      </c>
      <c r="W5" s="699">
        <v>7819.7</v>
      </c>
      <c r="X5" s="735">
        <f t="shared" si="0"/>
        <v>19.999999999890861</v>
      </c>
      <c r="Y5" s="729">
        <f t="shared" ref="Y5:Y30" si="10">T5</f>
        <v>44076</v>
      </c>
      <c r="Z5" s="697"/>
      <c r="AA5" s="697"/>
      <c r="AB5" s="727">
        <f>'Water-Meter'!P7</f>
        <v>20257</v>
      </c>
      <c r="AC5" s="728">
        <f t="shared" ref="AC5:AC35" si="11">AA5-AB4</f>
        <v>-20255</v>
      </c>
    </row>
    <row r="6" spans="1:29" ht="19.5" thickBot="1">
      <c r="A6" s="711">
        <f>Gen!C13</f>
        <v>3.9E-2</v>
      </c>
      <c r="B6" s="718">
        <f>Gen!B13</f>
        <v>44077</v>
      </c>
      <c r="C6" s="697"/>
      <c r="D6" s="702">
        <f t="shared" si="1"/>
        <v>8797.9</v>
      </c>
      <c r="E6" s="698">
        <v>8799.6</v>
      </c>
      <c r="F6" s="702">
        <f t="shared" si="2"/>
        <v>204.00000000008731</v>
      </c>
      <c r="G6" s="697"/>
      <c r="H6" s="719">
        <f t="shared" si="6"/>
        <v>44077</v>
      </c>
      <c r="I6" s="712"/>
      <c r="J6" s="761">
        <f>'Water-Meter'!G8</f>
        <v>38000</v>
      </c>
      <c r="K6" s="738">
        <f>'Water-Meter'!G8</f>
        <v>38000</v>
      </c>
      <c r="L6" s="725">
        <f t="shared" si="3"/>
        <v>0</v>
      </c>
      <c r="M6" s="729">
        <f t="shared" si="7"/>
        <v>44077</v>
      </c>
      <c r="N6" s="697"/>
      <c r="O6" s="196">
        <f>'Water-Meter'!J8</f>
        <v>8025</v>
      </c>
      <c r="P6" s="701">
        <f>'Water-Meter'!J8</f>
        <v>8025</v>
      </c>
      <c r="Q6" s="739">
        <f t="shared" si="8"/>
        <v>-8024</v>
      </c>
      <c r="R6" s="745">
        <f t="shared" si="4"/>
        <v>-4.9684210526315793</v>
      </c>
      <c r="S6" s="746">
        <f>Gen!T13</f>
        <v>1090.28</v>
      </c>
      <c r="T6" s="734">
        <f t="shared" si="9"/>
        <v>44077</v>
      </c>
      <c r="U6" s="697"/>
      <c r="V6" s="702">
        <f t="shared" si="5"/>
        <v>7819.7</v>
      </c>
      <c r="W6" s="699">
        <v>7819.9</v>
      </c>
      <c r="X6" s="735">
        <f t="shared" si="0"/>
        <v>39.99999999996362</v>
      </c>
      <c r="Y6" s="729">
        <f t="shared" si="10"/>
        <v>44077</v>
      </c>
      <c r="Z6" s="697"/>
      <c r="AA6" s="697"/>
      <c r="AB6" s="727">
        <f>'Water-Meter'!P8</f>
        <v>20258</v>
      </c>
      <c r="AC6" s="728">
        <f t="shared" si="11"/>
        <v>-20257</v>
      </c>
    </row>
    <row r="7" spans="1:29" ht="19.5" thickBot="1">
      <c r="A7" s="711">
        <f>Gen!C14</f>
        <v>9.0899999999999995E-2</v>
      </c>
      <c r="B7" s="718">
        <f>Gen!B14</f>
        <v>44078</v>
      </c>
      <c r="C7" s="697"/>
      <c r="D7" s="702">
        <f t="shared" si="1"/>
        <v>8799.6</v>
      </c>
      <c r="E7" s="698">
        <v>8801.4</v>
      </c>
      <c r="F7" s="702">
        <f t="shared" si="2"/>
        <v>215.99999999991269</v>
      </c>
      <c r="G7" s="697"/>
      <c r="H7" s="719">
        <f t="shared" si="6"/>
        <v>44078</v>
      </c>
      <c r="I7" s="712"/>
      <c r="J7" s="761">
        <f>'Water-Meter'!G9</f>
        <v>38000</v>
      </c>
      <c r="K7" s="738">
        <f>'Water-Meter'!G9</f>
        <v>38000</v>
      </c>
      <c r="L7" s="725">
        <f t="shared" si="3"/>
        <v>0</v>
      </c>
      <c r="M7" s="729">
        <f t="shared" si="7"/>
        <v>44078</v>
      </c>
      <c r="N7" s="697"/>
      <c r="O7" s="196">
        <f>'Water-Meter'!J9</f>
        <v>8026</v>
      </c>
      <c r="P7" s="701">
        <f>'Water-Meter'!J9</f>
        <v>8026</v>
      </c>
      <c r="Q7" s="739">
        <f t="shared" si="8"/>
        <v>-8025</v>
      </c>
      <c r="R7" s="745">
        <f t="shared" si="4"/>
        <v>-4.9690402476780182</v>
      </c>
      <c r="S7" s="746">
        <f>Gen!T14</f>
        <v>868.39</v>
      </c>
      <c r="T7" s="734">
        <f t="shared" si="9"/>
        <v>44078</v>
      </c>
      <c r="U7" s="697"/>
      <c r="V7" s="702">
        <f t="shared" si="5"/>
        <v>7819.9</v>
      </c>
      <c r="W7" s="699">
        <v>7820.4</v>
      </c>
      <c r="X7" s="735">
        <f t="shared" si="0"/>
        <v>100</v>
      </c>
      <c r="Y7" s="729">
        <f t="shared" si="10"/>
        <v>44078</v>
      </c>
      <c r="Z7" s="697"/>
      <c r="AA7" s="697"/>
      <c r="AB7" s="727">
        <f>'Water-Meter'!P9</f>
        <v>20259</v>
      </c>
      <c r="AC7" s="728">
        <f t="shared" si="11"/>
        <v>-20258</v>
      </c>
    </row>
    <row r="8" spans="1:29" ht="19.5" thickBot="1">
      <c r="A8" s="711">
        <f>Gen!C15</f>
        <v>9.0899999999999995E-2</v>
      </c>
      <c r="B8" s="718">
        <f>Gen!B15</f>
        <v>44079</v>
      </c>
      <c r="C8" s="697"/>
      <c r="D8" s="702">
        <f t="shared" si="1"/>
        <v>8801.4</v>
      </c>
      <c r="E8" s="698">
        <v>8803.1</v>
      </c>
      <c r="F8" s="702">
        <f t="shared" si="2"/>
        <v>204.00000000008731</v>
      </c>
      <c r="G8" s="697"/>
      <c r="H8" s="719">
        <f t="shared" si="6"/>
        <v>44079</v>
      </c>
      <c r="I8" s="712"/>
      <c r="J8" s="761">
        <f>'Water-Meter'!G10</f>
        <v>38000</v>
      </c>
      <c r="K8" s="738">
        <f>'Water-Meter'!G10</f>
        <v>38000</v>
      </c>
      <c r="L8" s="725">
        <f t="shared" si="3"/>
        <v>0</v>
      </c>
      <c r="M8" s="729">
        <f t="shared" si="7"/>
        <v>44079</v>
      </c>
      <c r="N8" s="697"/>
      <c r="O8" s="196">
        <f>'Water-Meter'!J10</f>
        <v>8027</v>
      </c>
      <c r="P8" s="701">
        <f>'Water-Meter'!J10</f>
        <v>8027</v>
      </c>
      <c r="Q8" s="739">
        <f t="shared" si="8"/>
        <v>-8026</v>
      </c>
      <c r="R8" s="745">
        <f t="shared" si="4"/>
        <v>-4.969659442724458</v>
      </c>
      <c r="S8" s="746">
        <f>Gen!T15</f>
        <v>841.98</v>
      </c>
      <c r="T8" s="734">
        <f t="shared" si="9"/>
        <v>44079</v>
      </c>
      <c r="U8" s="697"/>
      <c r="V8" s="702">
        <f t="shared" si="5"/>
        <v>7820.4</v>
      </c>
      <c r="W8" s="699">
        <v>7820.6</v>
      </c>
      <c r="X8" s="735">
        <f t="shared" si="0"/>
        <v>40.000000000145519</v>
      </c>
      <c r="Y8" s="729">
        <f t="shared" si="10"/>
        <v>44079</v>
      </c>
      <c r="Z8" s="697"/>
      <c r="AA8" s="697"/>
      <c r="AB8" s="727">
        <f>'Water-Meter'!P10</f>
        <v>20261</v>
      </c>
      <c r="AC8" s="728">
        <f t="shared" si="11"/>
        <v>-20259</v>
      </c>
    </row>
    <row r="9" spans="1:29" ht="19.5" thickBot="1">
      <c r="A9" s="711">
        <f>Gen!C16</f>
        <v>9.0899999999999995E-2</v>
      </c>
      <c r="B9" s="718">
        <f>Gen!B16</f>
        <v>44080</v>
      </c>
      <c r="C9" s="697"/>
      <c r="D9" s="702">
        <f t="shared" si="1"/>
        <v>8803.1</v>
      </c>
      <c r="E9" s="698">
        <v>8804.2999999999993</v>
      </c>
      <c r="F9" s="702">
        <f t="shared" si="2"/>
        <v>143.99999999986903</v>
      </c>
      <c r="G9" s="697"/>
      <c r="H9" s="719">
        <f t="shared" si="6"/>
        <v>44080</v>
      </c>
      <c r="I9" s="712"/>
      <c r="J9" s="761">
        <f>'Water-Meter'!G11</f>
        <v>38000</v>
      </c>
      <c r="K9" s="738">
        <f>'Water-Meter'!G11</f>
        <v>38000</v>
      </c>
      <c r="L9" s="725">
        <f t="shared" si="3"/>
        <v>0</v>
      </c>
      <c r="M9" s="729">
        <f t="shared" si="7"/>
        <v>44080</v>
      </c>
      <c r="N9" s="697"/>
      <c r="O9" s="196">
        <f>'Water-Meter'!J11</f>
        <v>8028</v>
      </c>
      <c r="P9" s="701">
        <f>'Water-Meter'!J11</f>
        <v>8028</v>
      </c>
      <c r="Q9" s="739">
        <f t="shared" si="8"/>
        <v>-8027</v>
      </c>
      <c r="R9" s="745">
        <f t="shared" si="4"/>
        <v>-4.9702786377708978</v>
      </c>
      <c r="S9" s="746">
        <f>Gen!T16</f>
        <v>938.54</v>
      </c>
      <c r="T9" s="734">
        <f t="shared" si="9"/>
        <v>44080</v>
      </c>
      <c r="U9" s="697"/>
      <c r="V9" s="702">
        <f t="shared" si="5"/>
        <v>7820.6</v>
      </c>
      <c r="W9" s="699">
        <v>7820.9</v>
      </c>
      <c r="X9" s="735">
        <f t="shared" si="0"/>
        <v>59.999999999854481</v>
      </c>
      <c r="Y9" s="729">
        <f t="shared" si="10"/>
        <v>44080</v>
      </c>
      <c r="Z9" s="697"/>
      <c r="AA9" s="697"/>
      <c r="AB9" s="727">
        <f>'Water-Meter'!P11</f>
        <v>20263</v>
      </c>
      <c r="AC9" s="728">
        <f t="shared" si="11"/>
        <v>-20261</v>
      </c>
    </row>
    <row r="10" spans="1:29" ht="19.5" thickBot="1">
      <c r="A10" s="711">
        <f>Gen!C17</f>
        <v>2.5999999999999999E-2</v>
      </c>
      <c r="B10" s="718">
        <f>Gen!B17</f>
        <v>44081</v>
      </c>
      <c r="C10" s="697"/>
      <c r="D10" s="702">
        <f t="shared" si="1"/>
        <v>8804.2999999999993</v>
      </c>
      <c r="E10" s="698">
        <v>8805.9</v>
      </c>
      <c r="F10" s="702">
        <f t="shared" si="2"/>
        <v>192.00000000004366</v>
      </c>
      <c r="G10" s="697"/>
      <c r="H10" s="719">
        <f t="shared" si="6"/>
        <v>44081</v>
      </c>
      <c r="I10" s="712"/>
      <c r="J10" s="761">
        <f>'Water-Meter'!G12</f>
        <v>38000</v>
      </c>
      <c r="K10" s="738">
        <f>'Water-Meter'!G12</f>
        <v>38000</v>
      </c>
      <c r="L10" s="725">
        <f t="shared" si="3"/>
        <v>0</v>
      </c>
      <c r="M10" s="729">
        <f t="shared" si="7"/>
        <v>44081</v>
      </c>
      <c r="N10" s="697"/>
      <c r="O10" s="196">
        <f>'Water-Meter'!J12</f>
        <v>8029</v>
      </c>
      <c r="P10" s="701">
        <f>'Water-Meter'!J12</f>
        <v>8029</v>
      </c>
      <c r="Q10" s="739">
        <f t="shared" si="8"/>
        <v>-8028</v>
      </c>
      <c r="R10" s="745">
        <f t="shared" si="4"/>
        <v>-4.9708978328173377</v>
      </c>
      <c r="S10" s="746">
        <f>Gen!T17</f>
        <v>910.27</v>
      </c>
      <c r="T10" s="734">
        <f t="shared" si="9"/>
        <v>44081</v>
      </c>
      <c r="U10" s="697"/>
      <c r="V10" s="702">
        <f t="shared" si="5"/>
        <v>7820.9</v>
      </c>
      <c r="W10" s="699">
        <v>7821.1</v>
      </c>
      <c r="X10" s="735">
        <f t="shared" si="0"/>
        <v>40.000000000145519</v>
      </c>
      <c r="Y10" s="729">
        <f t="shared" si="10"/>
        <v>44081</v>
      </c>
      <c r="Z10" s="697"/>
      <c r="AA10" s="697"/>
      <c r="AB10" s="727">
        <f>'Water-Meter'!P12</f>
        <v>20264</v>
      </c>
      <c r="AC10" s="728">
        <f t="shared" si="11"/>
        <v>-20263</v>
      </c>
    </row>
    <row r="11" spans="1:29" ht="19.5" thickBot="1">
      <c r="A11" s="711">
        <f>Gen!C18</f>
        <v>3.9E-2</v>
      </c>
      <c r="B11" s="718">
        <f>Gen!B18</f>
        <v>44082</v>
      </c>
      <c r="C11" s="697"/>
      <c r="D11" s="702">
        <f t="shared" si="1"/>
        <v>8805.9</v>
      </c>
      <c r="E11" s="698">
        <v>8807.5</v>
      </c>
      <c r="F11" s="702">
        <f t="shared" si="2"/>
        <v>192.00000000004366</v>
      </c>
      <c r="G11" s="697"/>
      <c r="H11" s="719">
        <f t="shared" si="6"/>
        <v>44082</v>
      </c>
      <c r="I11" s="712"/>
      <c r="J11" s="761">
        <f>'Water-Meter'!G13</f>
        <v>38000</v>
      </c>
      <c r="K11" s="738">
        <f>'Water-Meter'!G13</f>
        <v>38000</v>
      </c>
      <c r="L11" s="725">
        <f t="shared" si="3"/>
        <v>0</v>
      </c>
      <c r="M11" s="729">
        <f t="shared" si="7"/>
        <v>44082</v>
      </c>
      <c r="N11" s="697"/>
      <c r="O11" s="196">
        <f>'Water-Meter'!J13</f>
        <v>8030</v>
      </c>
      <c r="P11" s="701">
        <f>'Water-Meter'!J13</f>
        <v>8030</v>
      </c>
      <c r="Q11" s="739">
        <f t="shared" si="8"/>
        <v>-8029</v>
      </c>
      <c r="R11" s="745">
        <f t="shared" si="4"/>
        <v>-4.9715170278637775</v>
      </c>
      <c r="S11" s="746">
        <f>Gen!T18</f>
        <v>948.21</v>
      </c>
      <c r="T11" s="734">
        <f t="shared" si="9"/>
        <v>44082</v>
      </c>
      <c r="U11" s="697"/>
      <c r="V11" s="702">
        <f t="shared" si="5"/>
        <v>7821.1</v>
      </c>
      <c r="W11" s="699">
        <v>7821.4</v>
      </c>
      <c r="X11" s="735">
        <f t="shared" si="0"/>
        <v>59.999999999854481</v>
      </c>
      <c r="Y11" s="729">
        <f t="shared" si="10"/>
        <v>44082</v>
      </c>
      <c r="Z11" s="697"/>
      <c r="AA11" s="697"/>
      <c r="AB11" s="727">
        <f>'Water-Meter'!P13</f>
        <v>20268</v>
      </c>
      <c r="AC11" s="728">
        <f t="shared" si="11"/>
        <v>-20264</v>
      </c>
    </row>
    <row r="12" spans="1:29" ht="19.5" thickBot="1">
      <c r="A12" s="711">
        <f>Gen!C19</f>
        <v>6.5000000000000002E-2</v>
      </c>
      <c r="B12" s="718">
        <f>Gen!B19</f>
        <v>44083</v>
      </c>
      <c r="C12" s="697"/>
      <c r="D12" s="702">
        <f t="shared" si="1"/>
        <v>8807.5</v>
      </c>
      <c r="E12" s="698">
        <v>8809.1</v>
      </c>
      <c r="F12" s="702">
        <f t="shared" si="2"/>
        <v>192.00000000004366</v>
      </c>
      <c r="G12" s="697"/>
      <c r="H12" s="719">
        <f t="shared" si="6"/>
        <v>44083</v>
      </c>
      <c r="I12" s="712"/>
      <c r="J12" s="761">
        <f>'Water-Meter'!G14</f>
        <v>38000</v>
      </c>
      <c r="K12" s="738">
        <f>'Water-Meter'!G14</f>
        <v>38000</v>
      </c>
      <c r="L12" s="725">
        <f t="shared" si="3"/>
        <v>0</v>
      </c>
      <c r="M12" s="729">
        <f t="shared" si="7"/>
        <v>44083</v>
      </c>
      <c r="N12" s="697"/>
      <c r="O12" s="196">
        <f>'Water-Meter'!J14</f>
        <v>8032</v>
      </c>
      <c r="P12" s="701">
        <f>'Water-Meter'!J14</f>
        <v>8032</v>
      </c>
      <c r="Q12" s="739">
        <f t="shared" si="8"/>
        <v>-8030</v>
      </c>
      <c r="R12" s="745">
        <f t="shared" si="4"/>
        <v>-4.9721362229102164</v>
      </c>
      <c r="S12" s="746">
        <f>Gen!T19</f>
        <v>916.32999999999993</v>
      </c>
      <c r="T12" s="734">
        <f t="shared" si="9"/>
        <v>44083</v>
      </c>
      <c r="U12" s="697"/>
      <c r="V12" s="702">
        <f t="shared" si="5"/>
        <v>7821.4</v>
      </c>
      <c r="W12" s="699">
        <v>7821.4</v>
      </c>
      <c r="X12" s="735">
        <f t="shared" si="0"/>
        <v>0</v>
      </c>
      <c r="Y12" s="729">
        <f t="shared" si="10"/>
        <v>44083</v>
      </c>
      <c r="Z12" s="697"/>
      <c r="AA12" s="697"/>
      <c r="AB12" s="727">
        <f>'Water-Meter'!P14</f>
        <v>20269</v>
      </c>
      <c r="AC12" s="728">
        <f t="shared" si="11"/>
        <v>-20268</v>
      </c>
    </row>
    <row r="13" spans="1:29" ht="19.5" thickBot="1">
      <c r="A13" s="711">
        <f>Gen!C20</f>
        <v>1.2999999999999999E-2</v>
      </c>
      <c r="B13" s="718">
        <f>Gen!B20</f>
        <v>44084</v>
      </c>
      <c r="C13" s="697"/>
      <c r="D13" s="702">
        <f t="shared" si="1"/>
        <v>8809.1</v>
      </c>
      <c r="E13" s="698">
        <v>8810.7999999999993</v>
      </c>
      <c r="F13" s="702">
        <f t="shared" si="2"/>
        <v>203.99999999986903</v>
      </c>
      <c r="G13" s="697"/>
      <c r="H13" s="719">
        <f t="shared" si="6"/>
        <v>44084</v>
      </c>
      <c r="I13" s="712"/>
      <c r="J13" s="761">
        <f>'Water-Meter'!G15</f>
        <v>38000</v>
      </c>
      <c r="K13" s="738">
        <f>'Water-Meter'!G15</f>
        <v>38000</v>
      </c>
      <c r="L13" s="725">
        <f t="shared" si="3"/>
        <v>0</v>
      </c>
      <c r="M13" s="729">
        <f t="shared" si="7"/>
        <v>44084</v>
      </c>
      <c r="N13" s="697"/>
      <c r="O13" s="196">
        <f>'Water-Meter'!J15</f>
        <v>8033</v>
      </c>
      <c r="P13" s="701">
        <f>'Water-Meter'!J15</f>
        <v>8033</v>
      </c>
      <c r="Q13" s="739">
        <f t="shared" si="8"/>
        <v>-8032</v>
      </c>
      <c r="R13" s="745">
        <f t="shared" si="4"/>
        <v>-4.973374613003096</v>
      </c>
      <c r="S13" s="746">
        <f>Gen!T20</f>
        <v>978.04</v>
      </c>
      <c r="T13" s="734">
        <f t="shared" si="9"/>
        <v>44084</v>
      </c>
      <c r="U13" s="697"/>
      <c r="V13" s="702">
        <f t="shared" si="5"/>
        <v>7821.4</v>
      </c>
      <c r="W13" s="699">
        <v>7822.1</v>
      </c>
      <c r="X13" s="735">
        <f t="shared" si="0"/>
        <v>140.00000000014552</v>
      </c>
      <c r="Y13" s="729">
        <f t="shared" si="10"/>
        <v>44084</v>
      </c>
      <c r="Z13" s="697"/>
      <c r="AA13" s="697"/>
      <c r="AB13" s="727">
        <f>'Water-Meter'!P15</f>
        <v>20270</v>
      </c>
      <c r="AC13" s="728">
        <f t="shared" si="11"/>
        <v>-20269</v>
      </c>
    </row>
    <row r="14" spans="1:29" ht="19.5" thickBot="1">
      <c r="A14" s="711">
        <f>Gen!C21</f>
        <v>3.9E-2</v>
      </c>
      <c r="B14" s="718">
        <f>Gen!B21</f>
        <v>44085</v>
      </c>
      <c r="C14" s="697"/>
      <c r="D14" s="702">
        <f t="shared" si="1"/>
        <v>8810.7999999999993</v>
      </c>
      <c r="E14" s="698">
        <v>8812.4</v>
      </c>
      <c r="F14" s="702">
        <f t="shared" si="2"/>
        <v>192.00000000004366</v>
      </c>
      <c r="G14" s="697"/>
      <c r="H14" s="719">
        <f t="shared" si="6"/>
        <v>44085</v>
      </c>
      <c r="I14" s="712"/>
      <c r="J14" s="761">
        <f>'Water-Meter'!G16</f>
        <v>38000</v>
      </c>
      <c r="K14" s="738">
        <f>'Water-Meter'!G16</f>
        <v>38000</v>
      </c>
      <c r="L14" s="725">
        <f t="shared" si="3"/>
        <v>0</v>
      </c>
      <c r="M14" s="729">
        <f t="shared" si="7"/>
        <v>44085</v>
      </c>
      <c r="N14" s="697"/>
      <c r="O14" s="196">
        <f>'Water-Meter'!J16</f>
        <v>8034</v>
      </c>
      <c r="P14" s="701">
        <f>'Water-Meter'!J16</f>
        <v>8034</v>
      </c>
      <c r="Q14" s="739">
        <f t="shared" si="8"/>
        <v>-8033</v>
      </c>
      <c r="R14" s="745">
        <f t="shared" si="4"/>
        <v>-4.9739938080495358</v>
      </c>
      <c r="S14" s="746">
        <f>Gen!T21</f>
        <v>782.55</v>
      </c>
      <c r="T14" s="734">
        <f t="shared" si="9"/>
        <v>44085</v>
      </c>
      <c r="U14" s="697"/>
      <c r="V14" s="702">
        <f t="shared" si="5"/>
        <v>7822.1</v>
      </c>
      <c r="W14" s="699">
        <v>7822.2</v>
      </c>
      <c r="X14" s="735">
        <f t="shared" si="0"/>
        <v>19.999999999890861</v>
      </c>
      <c r="Y14" s="729">
        <f t="shared" si="10"/>
        <v>44085</v>
      </c>
      <c r="Z14" s="697"/>
      <c r="AA14" s="697"/>
      <c r="AB14" s="727">
        <f>'Water-Meter'!P16</f>
        <v>20271</v>
      </c>
      <c r="AC14" s="728">
        <f t="shared" si="11"/>
        <v>-20270</v>
      </c>
    </row>
    <row r="15" spans="1:29" ht="19.5" thickBot="1">
      <c r="A15" s="711">
        <f>Gen!C22</f>
        <v>0.02</v>
      </c>
      <c r="B15" s="718">
        <f>Gen!B22</f>
        <v>44086</v>
      </c>
      <c r="C15" s="697"/>
      <c r="D15" s="702">
        <f t="shared" si="1"/>
        <v>8812.4</v>
      </c>
      <c r="E15" s="698">
        <v>8813.9</v>
      </c>
      <c r="F15" s="702">
        <f t="shared" si="2"/>
        <v>180</v>
      </c>
      <c r="G15" s="697"/>
      <c r="H15" s="719">
        <f t="shared" si="6"/>
        <v>44086</v>
      </c>
      <c r="I15" s="712"/>
      <c r="J15" s="761">
        <f>'Water-Meter'!G17</f>
        <v>38000</v>
      </c>
      <c r="K15" s="738">
        <f>'Water-Meter'!G17</f>
        <v>38000</v>
      </c>
      <c r="L15" s="725">
        <f t="shared" si="3"/>
        <v>0</v>
      </c>
      <c r="M15" s="729">
        <f t="shared" si="7"/>
        <v>44086</v>
      </c>
      <c r="N15" s="697"/>
      <c r="O15" s="196">
        <f>'Water-Meter'!J17</f>
        <v>8035</v>
      </c>
      <c r="P15" s="701">
        <f>'Water-Meter'!J17</f>
        <v>8035</v>
      </c>
      <c r="Q15" s="739">
        <f t="shared" si="8"/>
        <v>-8034</v>
      </c>
      <c r="R15" s="745">
        <f t="shared" si="4"/>
        <v>-4.9746130030959756</v>
      </c>
      <c r="S15" s="746">
        <f>Gen!T22</f>
        <v>732.78</v>
      </c>
      <c r="T15" s="734">
        <f t="shared" si="9"/>
        <v>44086</v>
      </c>
      <c r="U15" s="697"/>
      <c r="V15" s="702">
        <f t="shared" si="5"/>
        <v>7822.2</v>
      </c>
      <c r="W15" s="699">
        <v>7822.3</v>
      </c>
      <c r="X15" s="735">
        <f t="shared" si="0"/>
        <v>20.00000000007276</v>
      </c>
      <c r="Y15" s="729">
        <f t="shared" si="10"/>
        <v>44086</v>
      </c>
      <c r="Z15" s="697"/>
      <c r="AA15" s="697"/>
      <c r="AB15" s="727">
        <f>'Water-Meter'!P17</f>
        <v>20272</v>
      </c>
      <c r="AC15" s="728">
        <f t="shared" si="11"/>
        <v>-20271</v>
      </c>
    </row>
    <row r="16" spans="1:29" ht="19.5" thickBot="1">
      <c r="A16" s="711">
        <f>Gen!C23</f>
        <v>0.03</v>
      </c>
      <c r="B16" s="718">
        <f>Gen!B23</f>
        <v>44087</v>
      </c>
      <c r="C16" s="697"/>
      <c r="D16" s="702">
        <f t="shared" si="1"/>
        <v>8813.9</v>
      </c>
      <c r="E16" s="698">
        <v>8815.4</v>
      </c>
      <c r="F16" s="702">
        <f>SUM(E16-D16)*120</f>
        <v>180</v>
      </c>
      <c r="G16" s="697"/>
      <c r="H16" s="719">
        <f t="shared" si="6"/>
        <v>44087</v>
      </c>
      <c r="I16" s="712"/>
      <c r="J16" s="761">
        <f>'Water-Meter'!G18</f>
        <v>38000</v>
      </c>
      <c r="K16" s="738">
        <f>'Water-Meter'!G18</f>
        <v>38000</v>
      </c>
      <c r="L16" s="725">
        <f t="shared" si="3"/>
        <v>0</v>
      </c>
      <c r="M16" s="729">
        <f t="shared" si="7"/>
        <v>44087</v>
      </c>
      <c r="N16" s="697"/>
      <c r="O16" s="196">
        <v>8036</v>
      </c>
      <c r="P16" s="701">
        <f>'Water-Meter'!J18</f>
        <v>8036</v>
      </c>
      <c r="Q16" s="739">
        <f t="shared" si="8"/>
        <v>-8035</v>
      </c>
      <c r="R16" s="745">
        <f t="shared" si="4"/>
        <v>-4.9752321981424146</v>
      </c>
      <c r="S16" s="746">
        <f>Gen!T23</f>
        <v>935.74</v>
      </c>
      <c r="T16" s="734">
        <f t="shared" si="9"/>
        <v>44087</v>
      </c>
      <c r="U16" s="697"/>
      <c r="V16" s="702">
        <f t="shared" si="5"/>
        <v>7822.3</v>
      </c>
      <c r="W16" s="699">
        <v>7822.5</v>
      </c>
      <c r="X16" s="735">
        <f t="shared" si="0"/>
        <v>39.99999999996362</v>
      </c>
      <c r="Y16" s="729">
        <f t="shared" si="10"/>
        <v>44087</v>
      </c>
      <c r="Z16" s="697"/>
      <c r="AA16" s="697"/>
      <c r="AB16" s="727">
        <f>'Water-Meter'!P18</f>
        <v>20273</v>
      </c>
      <c r="AC16" s="728">
        <f t="shared" si="11"/>
        <v>-20272</v>
      </c>
    </row>
    <row r="17" spans="1:29" ht="19.5" thickBot="1">
      <c r="A17" s="711">
        <f>Gen!C24</f>
        <v>0.04</v>
      </c>
      <c r="B17" s="718">
        <f>Gen!B24</f>
        <v>44088</v>
      </c>
      <c r="C17" s="697"/>
      <c r="D17" s="702">
        <f t="shared" si="1"/>
        <v>8815.4</v>
      </c>
      <c r="E17" s="698">
        <v>8817.1</v>
      </c>
      <c r="F17" s="702">
        <f>SUM(E17-D17)*120</f>
        <v>204.00000000008731</v>
      </c>
      <c r="G17" s="697"/>
      <c r="H17" s="719">
        <f t="shared" si="6"/>
        <v>44088</v>
      </c>
      <c r="I17" s="712"/>
      <c r="J17" s="761">
        <f>'Water-Meter'!G19</f>
        <v>38000</v>
      </c>
      <c r="K17" s="738">
        <f>'Water-Meter'!G19</f>
        <v>38000</v>
      </c>
      <c r="L17" s="725">
        <f t="shared" si="3"/>
        <v>0</v>
      </c>
      <c r="M17" s="729">
        <f t="shared" si="7"/>
        <v>44088</v>
      </c>
      <c r="N17" s="697"/>
      <c r="O17" s="196">
        <f>'Water-Meter'!J19</f>
        <v>8036</v>
      </c>
      <c r="P17" s="701">
        <f>'Water-Meter'!J19</f>
        <v>8036</v>
      </c>
      <c r="Q17" s="739">
        <f t="shared" si="8"/>
        <v>-8036</v>
      </c>
      <c r="R17" s="745">
        <f t="shared" si="4"/>
        <v>-4.9758513931888544</v>
      </c>
      <c r="S17" s="746">
        <f>Gen!T24</f>
        <v>890.08999999999992</v>
      </c>
      <c r="T17" s="734">
        <f t="shared" si="9"/>
        <v>44088</v>
      </c>
      <c r="U17" s="697"/>
      <c r="V17" s="702">
        <v>7822.5</v>
      </c>
      <c r="W17" s="699">
        <v>7822.9</v>
      </c>
      <c r="X17" s="735">
        <f t="shared" si="0"/>
        <v>79.99999999992724</v>
      </c>
      <c r="Y17" s="729">
        <f t="shared" si="10"/>
        <v>44088</v>
      </c>
      <c r="Z17" s="697"/>
      <c r="AA17" s="697"/>
      <c r="AB17" s="727">
        <f>'Water-Meter'!P19</f>
        <v>20276</v>
      </c>
      <c r="AC17" s="728">
        <f t="shared" si="11"/>
        <v>-20273</v>
      </c>
    </row>
    <row r="18" spans="1:29" ht="19.5" thickBot="1">
      <c r="A18" s="711">
        <f>Gen!C25</f>
        <v>0.03</v>
      </c>
      <c r="B18" s="718">
        <f>Gen!B25</f>
        <v>44089</v>
      </c>
      <c r="C18" s="697"/>
      <c r="D18" s="702">
        <f t="shared" si="1"/>
        <v>8817.1</v>
      </c>
      <c r="E18" s="698">
        <v>8818.7999999999993</v>
      </c>
      <c r="F18" s="702">
        <f t="shared" ref="F18:F22" si="12">SUM(E18-D18)*120</f>
        <v>203.99999999986903</v>
      </c>
      <c r="G18" s="697"/>
      <c r="H18" s="719">
        <f t="shared" si="6"/>
        <v>44089</v>
      </c>
      <c r="I18" s="712"/>
      <c r="J18" s="761">
        <f>'Water-Meter'!G20</f>
        <v>38000</v>
      </c>
      <c r="K18" s="738">
        <f>'Water-Meter'!G20</f>
        <v>38000</v>
      </c>
      <c r="L18" s="725">
        <f t="shared" si="3"/>
        <v>0</v>
      </c>
      <c r="M18" s="729">
        <f t="shared" si="7"/>
        <v>44089</v>
      </c>
      <c r="N18" s="697"/>
      <c r="O18" s="196">
        <f>'Water-Meter'!J20</f>
        <v>8037</v>
      </c>
      <c r="P18" s="701">
        <f>'Water-Meter'!J20</f>
        <v>8037</v>
      </c>
      <c r="Q18" s="739">
        <f t="shared" si="8"/>
        <v>-8036</v>
      </c>
      <c r="R18" s="745">
        <f t="shared" si="4"/>
        <v>-4.9758513931888544</v>
      </c>
      <c r="S18" s="746">
        <f>Gen!T25</f>
        <v>888.98</v>
      </c>
      <c r="T18" s="734">
        <f t="shared" si="9"/>
        <v>44089</v>
      </c>
      <c r="U18" s="697"/>
      <c r="V18" s="702">
        <f t="shared" si="5"/>
        <v>7822.9</v>
      </c>
      <c r="W18" s="699">
        <v>7823.1</v>
      </c>
      <c r="X18" s="735">
        <f t="shared" si="0"/>
        <v>40.000000000145519</v>
      </c>
      <c r="Y18" s="729">
        <f t="shared" si="10"/>
        <v>44089</v>
      </c>
      <c r="Z18" s="697"/>
      <c r="AA18" s="697"/>
      <c r="AB18" s="727">
        <f>'Water-Meter'!P20</f>
        <v>20278</v>
      </c>
      <c r="AC18" s="728">
        <f t="shared" si="11"/>
        <v>-20276</v>
      </c>
    </row>
    <row r="19" spans="1:29" ht="19.5" thickBot="1">
      <c r="A19" s="711">
        <f>Gen!C26</f>
        <v>0.12989999999999999</v>
      </c>
      <c r="B19" s="718">
        <f>Gen!B26</f>
        <v>44090</v>
      </c>
      <c r="C19" s="700"/>
      <c r="D19" s="702">
        <f t="shared" si="1"/>
        <v>8818.7999999999993</v>
      </c>
      <c r="E19" s="698">
        <v>8820.7000000000007</v>
      </c>
      <c r="F19" s="702">
        <f t="shared" si="12"/>
        <v>228.00000000017462</v>
      </c>
      <c r="G19" s="697"/>
      <c r="H19" s="719">
        <f t="shared" si="6"/>
        <v>44090</v>
      </c>
      <c r="I19" s="713"/>
      <c r="J19" s="761">
        <f>'Water-Meter'!G21</f>
        <v>38000</v>
      </c>
      <c r="K19" s="738">
        <f>'Water-Meter'!G21</f>
        <v>38000</v>
      </c>
      <c r="L19" s="725">
        <f t="shared" si="3"/>
        <v>0</v>
      </c>
      <c r="M19" s="729">
        <f t="shared" si="7"/>
        <v>44090</v>
      </c>
      <c r="N19" s="700"/>
      <c r="O19" s="196">
        <f>'Water-Meter'!J21</f>
        <v>8038</v>
      </c>
      <c r="P19" s="701">
        <f>'Water-Meter'!J21</f>
        <v>8038</v>
      </c>
      <c r="Q19" s="739">
        <f t="shared" si="8"/>
        <v>-8037</v>
      </c>
      <c r="R19" s="745">
        <f t="shared" si="4"/>
        <v>-4.9764705882352942</v>
      </c>
      <c r="S19" s="746">
        <f>Gen!T26</f>
        <v>1095.46</v>
      </c>
      <c r="T19" s="734">
        <f t="shared" si="9"/>
        <v>44090</v>
      </c>
      <c r="U19" s="700"/>
      <c r="V19" s="702">
        <f t="shared" si="5"/>
        <v>7823.1</v>
      </c>
      <c r="W19" s="699">
        <v>7823.4</v>
      </c>
      <c r="X19" s="735">
        <f t="shared" si="0"/>
        <v>59.999999999854481</v>
      </c>
      <c r="Y19" s="729">
        <f t="shared" si="10"/>
        <v>44090</v>
      </c>
      <c r="Z19" s="700"/>
      <c r="AA19" s="697"/>
      <c r="AB19" s="727">
        <f>'Water-Meter'!P21</f>
        <v>20280</v>
      </c>
      <c r="AC19" s="728">
        <f t="shared" si="11"/>
        <v>-20278</v>
      </c>
    </row>
    <row r="20" spans="1:29" ht="19.5" thickBot="1">
      <c r="A20" s="711">
        <f>Gen!C27</f>
        <v>0.1169</v>
      </c>
      <c r="B20" s="718">
        <f>Gen!B27</f>
        <v>44091</v>
      </c>
      <c r="C20" s="700"/>
      <c r="D20" s="702">
        <f t="shared" si="1"/>
        <v>8820.7000000000007</v>
      </c>
      <c r="E20" s="698">
        <v>8822.4</v>
      </c>
      <c r="F20" s="702">
        <f t="shared" si="12"/>
        <v>203.99999999986903</v>
      </c>
      <c r="G20" s="697"/>
      <c r="H20" s="719">
        <f t="shared" si="6"/>
        <v>44091</v>
      </c>
      <c r="I20" s="713"/>
      <c r="J20" s="761">
        <f>'Water-Meter'!G22</f>
        <v>38000</v>
      </c>
      <c r="K20" s="738">
        <f>'Water-Meter'!G22</f>
        <v>38000</v>
      </c>
      <c r="L20" s="725">
        <f t="shared" si="3"/>
        <v>0</v>
      </c>
      <c r="M20" s="729">
        <f t="shared" si="7"/>
        <v>44091</v>
      </c>
      <c r="N20" s="700"/>
      <c r="O20" s="196">
        <f>'Water-Meter'!J22</f>
        <v>8038</v>
      </c>
      <c r="P20" s="701">
        <f>'Water-Meter'!J22</f>
        <v>8038</v>
      </c>
      <c r="Q20" s="739">
        <f t="shared" si="8"/>
        <v>-8038</v>
      </c>
      <c r="R20" s="745">
        <f t="shared" si="4"/>
        <v>-4.977089783281734</v>
      </c>
      <c r="S20" s="746">
        <f>Gen!T27</f>
        <v>1018.0699999999999</v>
      </c>
      <c r="T20" s="734">
        <f t="shared" si="9"/>
        <v>44091</v>
      </c>
      <c r="U20" s="700"/>
      <c r="V20" s="702">
        <f t="shared" si="5"/>
        <v>7823.4</v>
      </c>
      <c r="W20" s="699">
        <v>7823.8</v>
      </c>
      <c r="X20" s="735">
        <f t="shared" si="0"/>
        <v>80.000000000109139</v>
      </c>
      <c r="Y20" s="729">
        <f t="shared" si="10"/>
        <v>44091</v>
      </c>
      <c r="Z20" s="700"/>
      <c r="AA20" s="697"/>
      <c r="AB20" s="727">
        <f>'Water-Meter'!P22</f>
        <v>20282</v>
      </c>
      <c r="AC20" s="728">
        <f t="shared" si="11"/>
        <v>-20280</v>
      </c>
    </row>
    <row r="21" spans="1:29" ht="19.5" thickBot="1">
      <c r="A21" s="711">
        <f>Gen!C28</f>
        <v>0.1429</v>
      </c>
      <c r="B21" s="718">
        <f>Gen!B28</f>
        <v>44092</v>
      </c>
      <c r="C21" s="700"/>
      <c r="D21" s="702">
        <f t="shared" si="1"/>
        <v>8822.4</v>
      </c>
      <c r="E21" s="698">
        <v>8824.2000000000007</v>
      </c>
      <c r="F21" s="702">
        <f t="shared" si="12"/>
        <v>216.00000000013097</v>
      </c>
      <c r="G21" s="697"/>
      <c r="H21" s="719">
        <f t="shared" si="6"/>
        <v>44092</v>
      </c>
      <c r="I21" s="713"/>
      <c r="J21" s="761">
        <f>'Water-Meter'!G23</f>
        <v>38000</v>
      </c>
      <c r="K21" s="738">
        <f>'Water-Meter'!G23</f>
        <v>38000</v>
      </c>
      <c r="L21" s="725">
        <f t="shared" si="3"/>
        <v>0</v>
      </c>
      <c r="M21" s="729">
        <f t="shared" si="7"/>
        <v>44092</v>
      </c>
      <c r="N21" s="700"/>
      <c r="O21" s="196">
        <f>'Water-Meter'!J23</f>
        <v>8039</v>
      </c>
      <c r="P21" s="701">
        <f>'Water-Meter'!J23</f>
        <v>8039</v>
      </c>
      <c r="Q21" s="739">
        <f t="shared" ref="Q21:Q35" si="13">N21-O20</f>
        <v>-8038</v>
      </c>
      <c r="R21" s="745">
        <f t="shared" ref="R21:R35" si="14">SUM(Q21/1615)</f>
        <v>-4.977089783281734</v>
      </c>
      <c r="S21" s="746">
        <f>Gen!T28</f>
        <v>1041.27</v>
      </c>
      <c r="T21" s="734">
        <f t="shared" si="9"/>
        <v>44092</v>
      </c>
      <c r="U21" s="700"/>
      <c r="V21" s="702">
        <f t="shared" si="5"/>
        <v>7823.8</v>
      </c>
      <c r="W21" s="699">
        <v>7824.1</v>
      </c>
      <c r="X21" s="735">
        <f t="shared" si="0"/>
        <v>60.00000000003638</v>
      </c>
      <c r="Y21" s="729">
        <f t="shared" si="10"/>
        <v>44092</v>
      </c>
      <c r="Z21" s="700"/>
      <c r="AA21" s="697"/>
      <c r="AB21" s="727">
        <f>'Water-Meter'!P23</f>
        <v>20284</v>
      </c>
      <c r="AC21" s="728">
        <f t="shared" si="11"/>
        <v>-20282</v>
      </c>
    </row>
    <row r="22" spans="1:29" ht="19.5" thickBot="1">
      <c r="A22" s="711">
        <f>Gen!C29</f>
        <v>9.0899999999999995E-2</v>
      </c>
      <c r="B22" s="718">
        <f>Gen!B29</f>
        <v>44093</v>
      </c>
      <c r="C22" s="697"/>
      <c r="D22" s="702">
        <f t="shared" si="1"/>
        <v>8824.2000000000007</v>
      </c>
      <c r="E22" s="698">
        <v>8826.1</v>
      </c>
      <c r="F22" s="702">
        <f t="shared" si="12"/>
        <v>227.99999999995634</v>
      </c>
      <c r="G22" s="697"/>
      <c r="H22" s="719">
        <f t="shared" si="6"/>
        <v>44093</v>
      </c>
      <c r="I22" s="712"/>
      <c r="J22" s="761">
        <f>'Water-Meter'!G24</f>
        <v>38000</v>
      </c>
      <c r="K22" s="738">
        <f>'Water-Meter'!G24</f>
        <v>38000</v>
      </c>
      <c r="L22" s="725">
        <f t="shared" si="3"/>
        <v>0</v>
      </c>
      <c r="M22" s="729">
        <f t="shared" si="7"/>
        <v>44093</v>
      </c>
      <c r="N22" s="697"/>
      <c r="O22" s="196">
        <f>'Water-Meter'!J24</f>
        <v>8040</v>
      </c>
      <c r="P22" s="701">
        <f>'Water-Meter'!J24</f>
        <v>8040</v>
      </c>
      <c r="Q22" s="739">
        <f t="shared" si="13"/>
        <v>-8039</v>
      </c>
      <c r="R22" s="745">
        <f t="shared" si="14"/>
        <v>-4.9777089783281729</v>
      </c>
      <c r="S22" s="746">
        <f>Gen!T29</f>
        <v>1129.8800000000001</v>
      </c>
      <c r="T22" s="734">
        <f t="shared" si="9"/>
        <v>44093</v>
      </c>
      <c r="U22" s="697"/>
      <c r="V22" s="702">
        <f t="shared" si="5"/>
        <v>7824.1</v>
      </c>
      <c r="W22" s="699">
        <v>7824.5</v>
      </c>
      <c r="X22" s="735">
        <f t="shared" si="0"/>
        <v>79.99999999992724</v>
      </c>
      <c r="Y22" s="729">
        <f t="shared" si="10"/>
        <v>44093</v>
      </c>
      <c r="Z22" s="697"/>
      <c r="AA22" s="697"/>
      <c r="AB22" s="727">
        <f>'Water-Meter'!P24</f>
        <v>20286</v>
      </c>
      <c r="AC22" s="728">
        <f t="shared" si="11"/>
        <v>-20284</v>
      </c>
    </row>
    <row r="23" spans="1:29" ht="19.5" thickBot="1">
      <c r="A23" s="711">
        <f>Gen!C30</f>
        <v>6.4899999999999999E-2</v>
      </c>
      <c r="B23" s="718">
        <f>Gen!B30</f>
        <v>44094</v>
      </c>
      <c r="C23" s="700"/>
      <c r="D23" s="702">
        <f t="shared" si="1"/>
        <v>8826.1</v>
      </c>
      <c r="E23" s="698">
        <v>8827.7999999999993</v>
      </c>
      <c r="F23" s="702">
        <f t="shared" ref="F23:F34" si="15">SUM(E23-D23)*120</f>
        <v>203.99999999986903</v>
      </c>
      <c r="G23" s="697"/>
      <c r="H23" s="719">
        <f t="shared" si="6"/>
        <v>44094</v>
      </c>
      <c r="I23" s="713"/>
      <c r="J23" s="761">
        <f>'Water-Meter'!G25</f>
        <v>38000</v>
      </c>
      <c r="K23" s="738">
        <f>'Water-Meter'!G26</f>
        <v>38000</v>
      </c>
      <c r="L23" s="725">
        <f t="shared" si="3"/>
        <v>0</v>
      </c>
      <c r="M23" s="729">
        <f t="shared" si="7"/>
        <v>44094</v>
      </c>
      <c r="N23" s="700"/>
      <c r="O23" s="196">
        <f>'Water-Meter'!J25</f>
        <v>8042</v>
      </c>
      <c r="P23" s="701">
        <f>'Water-Meter'!J25</f>
        <v>8042</v>
      </c>
      <c r="Q23" s="739">
        <f t="shared" si="13"/>
        <v>-8040</v>
      </c>
      <c r="R23" s="745">
        <f t="shared" si="14"/>
        <v>-4.9783281733746128</v>
      </c>
      <c r="S23" s="746">
        <f>Gen!T30</f>
        <v>1055.6599999999999</v>
      </c>
      <c r="T23" s="734">
        <f t="shared" si="9"/>
        <v>44094</v>
      </c>
      <c r="U23" s="700"/>
      <c r="V23" s="702">
        <f t="shared" si="5"/>
        <v>7824.5</v>
      </c>
      <c r="W23" s="699">
        <v>7824.9</v>
      </c>
      <c r="X23" s="735">
        <f t="shared" si="0"/>
        <v>79.99999999992724</v>
      </c>
      <c r="Y23" s="729">
        <f t="shared" si="10"/>
        <v>44094</v>
      </c>
      <c r="Z23" s="700"/>
      <c r="AA23" s="697"/>
      <c r="AB23" s="727">
        <f>'Water-Meter'!P25</f>
        <v>20288</v>
      </c>
      <c r="AC23" s="728">
        <f t="shared" si="11"/>
        <v>-20286</v>
      </c>
    </row>
    <row r="24" spans="1:29" ht="19.5" thickBot="1">
      <c r="A24" s="711">
        <f>Gen!C31</f>
        <v>6.4899999999999999E-2</v>
      </c>
      <c r="B24" s="718">
        <f>Gen!B31</f>
        <v>44095</v>
      </c>
      <c r="C24" s="700"/>
      <c r="D24" s="702">
        <f t="shared" ref="D24:D35" si="16">SUM(E23)</f>
        <v>8827.7999999999993</v>
      </c>
      <c r="E24" s="698">
        <v>8829.5</v>
      </c>
      <c r="F24" s="702">
        <f t="shared" si="15"/>
        <v>204.00000000008731</v>
      </c>
      <c r="G24" s="697"/>
      <c r="H24" s="719">
        <f t="shared" si="6"/>
        <v>44095</v>
      </c>
      <c r="I24" s="713"/>
      <c r="J24" s="761">
        <f>'Water-Meter'!G26</f>
        <v>38000</v>
      </c>
      <c r="K24" s="738">
        <f>'Water-Meter'!G27</f>
        <v>38000</v>
      </c>
      <c r="L24" s="725">
        <f t="shared" si="3"/>
        <v>0</v>
      </c>
      <c r="M24" s="729">
        <f t="shared" si="7"/>
        <v>44095</v>
      </c>
      <c r="N24" s="700"/>
      <c r="O24" s="196">
        <f>'Water-Meter'!J26</f>
        <v>8042</v>
      </c>
      <c r="P24" s="701">
        <f>'Water-Meter'!J26</f>
        <v>8042</v>
      </c>
      <c r="Q24" s="739">
        <f t="shared" si="13"/>
        <v>-8042</v>
      </c>
      <c r="R24" s="745">
        <f t="shared" si="14"/>
        <v>-4.9795665634674924</v>
      </c>
      <c r="S24" s="746">
        <f>Gen!T31</f>
        <v>957.7</v>
      </c>
      <c r="T24" s="734">
        <v>5835.7</v>
      </c>
      <c r="U24" s="700"/>
      <c r="V24" s="702">
        <f t="shared" si="5"/>
        <v>7824.9</v>
      </c>
      <c r="W24" s="699">
        <v>7825.2</v>
      </c>
      <c r="X24" s="735">
        <f t="shared" si="0"/>
        <v>60.00000000003638</v>
      </c>
      <c r="Y24" s="729">
        <f t="shared" si="10"/>
        <v>5835.7</v>
      </c>
      <c r="Z24" s="700"/>
      <c r="AA24" s="697"/>
      <c r="AB24" s="727">
        <f>'Water-Meter'!P26</f>
        <v>20290</v>
      </c>
      <c r="AC24" s="728">
        <f t="shared" si="11"/>
        <v>-20288</v>
      </c>
    </row>
    <row r="25" spans="1:29" ht="19.5" thickBot="1">
      <c r="A25" s="711">
        <f>Gen!C32</f>
        <v>2.5999999999999999E-2</v>
      </c>
      <c r="B25" s="718">
        <f>Gen!B32</f>
        <v>44096</v>
      </c>
      <c r="C25" s="700"/>
      <c r="D25" s="702">
        <f t="shared" si="16"/>
        <v>8829.5</v>
      </c>
      <c r="E25" s="698">
        <v>8831.2000000000007</v>
      </c>
      <c r="F25" s="702">
        <f t="shared" si="15"/>
        <v>204.00000000008731</v>
      </c>
      <c r="G25" s="697"/>
      <c r="H25" s="719">
        <f t="shared" si="6"/>
        <v>44096</v>
      </c>
      <c r="I25" s="713"/>
      <c r="J25" s="761">
        <f>'Water-Meter'!G27</f>
        <v>38000</v>
      </c>
      <c r="K25" s="738">
        <f>'Water-Meter'!G28</f>
        <v>38000</v>
      </c>
      <c r="L25" s="725">
        <f t="shared" si="3"/>
        <v>0</v>
      </c>
      <c r="M25" s="729">
        <f t="shared" si="7"/>
        <v>44096</v>
      </c>
      <c r="N25" s="700"/>
      <c r="O25" s="196">
        <f>'Water-Meter'!J27</f>
        <v>8043</v>
      </c>
      <c r="P25" s="701">
        <f>'Water-Meter'!J27</f>
        <v>8043</v>
      </c>
      <c r="Q25" s="739">
        <f t="shared" si="13"/>
        <v>-8042</v>
      </c>
      <c r="R25" s="745">
        <f t="shared" si="14"/>
        <v>-4.9795665634674924</v>
      </c>
      <c r="S25" s="746">
        <f>Gen!T32</f>
        <v>982.5</v>
      </c>
      <c r="T25" s="734">
        <f t="shared" si="9"/>
        <v>44096</v>
      </c>
      <c r="U25" s="700"/>
      <c r="V25" s="702">
        <f t="shared" si="5"/>
        <v>7825.2</v>
      </c>
      <c r="W25" s="699">
        <v>7825.2</v>
      </c>
      <c r="X25" s="735">
        <f t="shared" si="0"/>
        <v>0</v>
      </c>
      <c r="Y25" s="729">
        <f t="shared" si="10"/>
        <v>44096</v>
      </c>
      <c r="Z25" s="700"/>
      <c r="AA25" s="697"/>
      <c r="AB25" s="727">
        <f>'Water-Meter'!P27</f>
        <v>20292</v>
      </c>
      <c r="AC25" s="728">
        <f t="shared" si="11"/>
        <v>-20290</v>
      </c>
    </row>
    <row r="26" spans="1:29" ht="19.5" thickBot="1">
      <c r="A26" s="711">
        <f>Gen!C33</f>
        <v>2.5999999999999999E-2</v>
      </c>
      <c r="B26" s="718">
        <f>Gen!B33</f>
        <v>44097</v>
      </c>
      <c r="C26" s="700"/>
      <c r="D26" s="702">
        <f t="shared" si="16"/>
        <v>8831.2000000000007</v>
      </c>
      <c r="E26" s="698">
        <v>8833.1</v>
      </c>
      <c r="F26" s="702">
        <f t="shared" si="15"/>
        <v>227.99999999995634</v>
      </c>
      <c r="G26" s="697"/>
      <c r="H26" s="719">
        <f t="shared" si="6"/>
        <v>44097</v>
      </c>
      <c r="I26" s="713"/>
      <c r="J26" s="761">
        <f>'Water-Meter'!G28</f>
        <v>38000</v>
      </c>
      <c r="K26" s="738">
        <f>'Water-Meter'!G29</f>
        <v>38000</v>
      </c>
      <c r="L26" s="725">
        <f t="shared" si="3"/>
        <v>0</v>
      </c>
      <c r="M26" s="729">
        <f t="shared" si="7"/>
        <v>44097</v>
      </c>
      <c r="N26" s="700"/>
      <c r="O26" s="196">
        <f>'Water-Meter'!J28</f>
        <v>8044</v>
      </c>
      <c r="P26" s="701">
        <f>'Water-Meter'!J28</f>
        <v>8044</v>
      </c>
      <c r="Q26" s="739">
        <f t="shared" si="13"/>
        <v>-8043</v>
      </c>
      <c r="R26" s="745">
        <f t="shared" si="14"/>
        <v>-4.9801857585139322</v>
      </c>
      <c r="S26" s="746">
        <f>Gen!T33</f>
        <v>989.79</v>
      </c>
      <c r="T26" s="734">
        <f t="shared" si="9"/>
        <v>44097</v>
      </c>
      <c r="U26" s="700"/>
      <c r="V26" s="702">
        <f t="shared" si="5"/>
        <v>7825.2</v>
      </c>
      <c r="W26" s="699">
        <v>7825.7</v>
      </c>
      <c r="X26" s="735">
        <f t="shared" si="0"/>
        <v>100</v>
      </c>
      <c r="Y26" s="729">
        <f t="shared" si="10"/>
        <v>44097</v>
      </c>
      <c r="Z26" s="700"/>
      <c r="AA26" s="697"/>
      <c r="AB26" s="727">
        <f>'Water-Meter'!P28</f>
        <v>20294</v>
      </c>
      <c r="AC26" s="728">
        <f t="shared" si="11"/>
        <v>-20292</v>
      </c>
    </row>
    <row r="27" spans="1:29" ht="19.5" thickBot="1">
      <c r="A27" s="711">
        <f>Gen!C34</f>
        <v>1.2999999999999999E-2</v>
      </c>
      <c r="B27" s="718">
        <f>Gen!B34</f>
        <v>44098</v>
      </c>
      <c r="C27" s="700"/>
      <c r="D27" s="702">
        <f t="shared" si="16"/>
        <v>8833.1</v>
      </c>
      <c r="E27" s="698">
        <v>8834.7999999999993</v>
      </c>
      <c r="F27" s="702">
        <f t="shared" si="15"/>
        <v>203.99999999986903</v>
      </c>
      <c r="G27" s="697"/>
      <c r="H27" s="719">
        <f t="shared" si="6"/>
        <v>44098</v>
      </c>
      <c r="I27" s="713"/>
      <c r="J27" s="761">
        <f>'Water-Meter'!G29</f>
        <v>38000</v>
      </c>
      <c r="K27" s="738">
        <f>'Water-Meter'!G30</f>
        <v>38000</v>
      </c>
      <c r="L27" s="725">
        <f t="shared" si="3"/>
        <v>0</v>
      </c>
      <c r="M27" s="729">
        <f t="shared" si="7"/>
        <v>44098</v>
      </c>
      <c r="N27" s="700"/>
      <c r="O27" s="196">
        <f>'Water-Meter'!J29</f>
        <v>8045</v>
      </c>
      <c r="P27" s="701">
        <f>'Water-Meter'!J29</f>
        <v>8045</v>
      </c>
      <c r="Q27" s="739">
        <f t="shared" si="13"/>
        <v>-8044</v>
      </c>
      <c r="R27" s="745">
        <f t="shared" si="14"/>
        <v>-4.9808049535603711</v>
      </c>
      <c r="S27" s="746">
        <f>Gen!T34</f>
        <v>1004.25</v>
      </c>
      <c r="T27" s="734">
        <f t="shared" si="9"/>
        <v>44098</v>
      </c>
      <c r="U27" s="700"/>
      <c r="V27" s="702">
        <f t="shared" si="5"/>
        <v>7825.7</v>
      </c>
      <c r="W27" s="699">
        <v>7826.3</v>
      </c>
      <c r="X27" s="735">
        <f t="shared" si="0"/>
        <v>120.00000000007276</v>
      </c>
      <c r="Y27" s="729">
        <f t="shared" si="10"/>
        <v>44098</v>
      </c>
      <c r="Z27" s="700"/>
      <c r="AA27" s="697"/>
      <c r="AB27" s="727">
        <f>'Water-Meter'!P29</f>
        <v>20297</v>
      </c>
      <c r="AC27" s="728">
        <f t="shared" si="11"/>
        <v>-20294</v>
      </c>
    </row>
    <row r="28" spans="1:29" ht="19.5" thickBot="1">
      <c r="A28" s="711">
        <f>Gen!C35</f>
        <v>1.2999999999999999E-2</v>
      </c>
      <c r="B28" s="718">
        <f>Gen!B35</f>
        <v>44099</v>
      </c>
      <c r="C28" s="700"/>
      <c r="D28" s="702">
        <f t="shared" si="16"/>
        <v>8834.7999999999993</v>
      </c>
      <c r="E28" s="698">
        <v>8836.4</v>
      </c>
      <c r="F28" s="702">
        <f t="shared" si="15"/>
        <v>192.00000000004366</v>
      </c>
      <c r="G28" s="697"/>
      <c r="H28" s="719">
        <f t="shared" si="6"/>
        <v>44099</v>
      </c>
      <c r="I28" s="713"/>
      <c r="J28" s="761">
        <f>'Water-Meter'!G30</f>
        <v>38000</v>
      </c>
      <c r="K28" s="738">
        <f>'Water-Meter'!G31</f>
        <v>38000</v>
      </c>
      <c r="L28" s="725">
        <f t="shared" si="3"/>
        <v>0</v>
      </c>
      <c r="M28" s="729">
        <f t="shared" si="7"/>
        <v>44099</v>
      </c>
      <c r="N28" s="700"/>
      <c r="O28" s="196">
        <f>'Water-Meter'!J30</f>
        <v>8046</v>
      </c>
      <c r="P28" s="701">
        <f>'Water-Meter'!J30</f>
        <v>8046</v>
      </c>
      <c r="Q28" s="739">
        <f t="shared" si="13"/>
        <v>-8045</v>
      </c>
      <c r="R28" s="745">
        <f t="shared" si="14"/>
        <v>-4.9814241486068109</v>
      </c>
      <c r="S28" s="746">
        <f>Gen!T35</f>
        <v>1019.08</v>
      </c>
      <c r="T28" s="734">
        <f t="shared" si="9"/>
        <v>44099</v>
      </c>
      <c r="U28" s="700"/>
      <c r="V28" s="702">
        <f t="shared" si="5"/>
        <v>7826.3</v>
      </c>
      <c r="W28" s="699">
        <v>7826.8</v>
      </c>
      <c r="X28" s="735">
        <f t="shared" si="0"/>
        <v>100</v>
      </c>
      <c r="Y28" s="729">
        <f t="shared" si="10"/>
        <v>44099</v>
      </c>
      <c r="Z28" s="700"/>
      <c r="AA28" s="697"/>
      <c r="AB28" s="727">
        <f>'Water-Meter'!P30</f>
        <v>20303</v>
      </c>
      <c r="AC28" s="728">
        <f t="shared" si="11"/>
        <v>-20297</v>
      </c>
    </row>
    <row r="29" spans="1:29" ht="19.5" thickBot="1">
      <c r="A29" s="711">
        <f>Gen!C36</f>
        <v>2.5999999999999999E-2</v>
      </c>
      <c r="B29" s="718">
        <f>Gen!B36</f>
        <v>44100</v>
      </c>
      <c r="C29" s="700"/>
      <c r="D29" s="702">
        <f t="shared" si="16"/>
        <v>8836.4</v>
      </c>
      <c r="E29" s="698">
        <v>8838.1</v>
      </c>
      <c r="F29" s="702">
        <f t="shared" si="15"/>
        <v>204.00000000008731</v>
      </c>
      <c r="G29" s="697"/>
      <c r="H29" s="719">
        <f t="shared" si="6"/>
        <v>44100</v>
      </c>
      <c r="I29" s="713"/>
      <c r="J29" s="761">
        <f>'Water-Meter'!G31</f>
        <v>38000</v>
      </c>
      <c r="K29" s="738">
        <f>'Water-Meter'!G32</f>
        <v>38000</v>
      </c>
      <c r="L29" s="725">
        <f t="shared" si="3"/>
        <v>0</v>
      </c>
      <c r="M29" s="729">
        <f t="shared" si="7"/>
        <v>44100</v>
      </c>
      <c r="N29" s="700"/>
      <c r="O29" s="196">
        <f>'Water-Meter'!J31</f>
        <v>8047</v>
      </c>
      <c r="P29" s="701">
        <f>'Water-Meter'!J31</f>
        <v>8047</v>
      </c>
      <c r="Q29" s="739">
        <f t="shared" si="13"/>
        <v>-8046</v>
      </c>
      <c r="R29" s="745">
        <f t="shared" si="14"/>
        <v>-4.9820433436532507</v>
      </c>
      <c r="S29" s="746">
        <f>Gen!T36</f>
        <v>878.8</v>
      </c>
      <c r="T29" s="734">
        <f t="shared" si="9"/>
        <v>44100</v>
      </c>
      <c r="U29" s="700"/>
      <c r="V29" s="702">
        <f t="shared" si="5"/>
        <v>7826.8</v>
      </c>
      <c r="W29" s="699">
        <v>7827</v>
      </c>
      <c r="X29" s="735">
        <f t="shared" si="0"/>
        <v>39.99999999996362</v>
      </c>
      <c r="Y29" s="729">
        <f t="shared" si="10"/>
        <v>44100</v>
      </c>
      <c r="Z29" s="700"/>
      <c r="AA29" s="697"/>
      <c r="AB29" s="727">
        <f>'Water-Meter'!P31</f>
        <v>20307</v>
      </c>
      <c r="AC29" s="728">
        <f t="shared" si="11"/>
        <v>-20303</v>
      </c>
    </row>
    <row r="30" spans="1:29" ht="19.5" thickBot="1">
      <c r="A30" s="711">
        <f>Gen!C37</f>
        <v>5.1900000000000002E-2</v>
      </c>
      <c r="B30" s="718">
        <f>Gen!B37</f>
        <v>44101</v>
      </c>
      <c r="C30" s="700"/>
      <c r="D30" s="702">
        <f t="shared" si="16"/>
        <v>8838.1</v>
      </c>
      <c r="E30" s="698">
        <v>8839.7000000000007</v>
      </c>
      <c r="F30" s="702">
        <f t="shared" si="15"/>
        <v>192.00000000004366</v>
      </c>
      <c r="G30" s="697"/>
      <c r="H30" s="719">
        <f t="shared" si="6"/>
        <v>44101</v>
      </c>
      <c r="I30" s="713"/>
      <c r="J30" s="761">
        <f>'Water-Meter'!G32</f>
        <v>38000</v>
      </c>
      <c r="K30" s="738">
        <f>'Water-Meter'!G33</f>
        <v>38000</v>
      </c>
      <c r="L30" s="725">
        <f t="shared" si="3"/>
        <v>0</v>
      </c>
      <c r="M30" s="729">
        <f t="shared" si="7"/>
        <v>44101</v>
      </c>
      <c r="N30" s="700"/>
      <c r="O30" s="196">
        <f>'Water-Meter'!J32</f>
        <v>8048</v>
      </c>
      <c r="P30" s="701">
        <f>'Water-Meter'!J32</f>
        <v>8048</v>
      </c>
      <c r="Q30" s="739">
        <f t="shared" si="13"/>
        <v>-8047</v>
      </c>
      <c r="R30" s="745">
        <f t="shared" si="14"/>
        <v>-4.9826625386996906</v>
      </c>
      <c r="S30" s="746">
        <f>Gen!T37</f>
        <v>975.74</v>
      </c>
      <c r="T30" s="734">
        <f t="shared" si="9"/>
        <v>44101</v>
      </c>
      <c r="U30" s="700"/>
      <c r="V30" s="702">
        <f t="shared" si="5"/>
        <v>7827</v>
      </c>
      <c r="W30" s="699">
        <v>7827.2</v>
      </c>
      <c r="X30" s="735">
        <f t="shared" si="0"/>
        <v>39.99999999996362</v>
      </c>
      <c r="Y30" s="729">
        <f t="shared" si="10"/>
        <v>44101</v>
      </c>
      <c r="Z30" s="700"/>
      <c r="AA30" s="697"/>
      <c r="AB30" s="727">
        <f>'Water-Meter'!P32</f>
        <v>20310</v>
      </c>
      <c r="AC30" s="728">
        <f t="shared" si="11"/>
        <v>-20307</v>
      </c>
    </row>
    <row r="31" spans="1:29" ht="19.5" thickBot="1">
      <c r="A31" s="711">
        <f>Gen!C38</f>
        <v>5.1900000000000002E-2</v>
      </c>
      <c r="B31" s="718">
        <f>Gen!B38</f>
        <v>44102</v>
      </c>
      <c r="C31" s="700"/>
      <c r="D31" s="702">
        <f t="shared" si="16"/>
        <v>8839.7000000000007</v>
      </c>
      <c r="E31" s="698">
        <v>8841.4</v>
      </c>
      <c r="F31" s="702">
        <f t="shared" si="15"/>
        <v>203.99999999986903</v>
      </c>
      <c r="G31" s="697"/>
      <c r="H31" s="719">
        <f t="shared" si="6"/>
        <v>44102</v>
      </c>
      <c r="I31" s="713"/>
      <c r="J31" s="761">
        <f>'Water-Meter'!G33</f>
        <v>38000</v>
      </c>
      <c r="K31" s="738">
        <f>'Water-Meter'!G34</f>
        <v>0</v>
      </c>
      <c r="L31" s="725">
        <f t="shared" si="3"/>
        <v>-38000</v>
      </c>
      <c r="M31" s="729">
        <f t="shared" si="7"/>
        <v>44102</v>
      </c>
      <c r="N31" s="700"/>
      <c r="O31" s="196">
        <f>'Water-Meter'!J33</f>
        <v>8048</v>
      </c>
      <c r="P31" s="701">
        <f>'Water-Meter'!J33</f>
        <v>8048</v>
      </c>
      <c r="Q31" s="739">
        <f t="shared" si="13"/>
        <v>-8048</v>
      </c>
      <c r="R31" s="745">
        <f t="shared" si="14"/>
        <v>-4.9832817337461304</v>
      </c>
      <c r="S31" s="746">
        <f>Gen!T38</f>
        <v>969.3900000000001</v>
      </c>
      <c r="T31" s="734">
        <f>M31</f>
        <v>44102</v>
      </c>
      <c r="U31" s="700"/>
      <c r="V31" s="702">
        <f t="shared" si="5"/>
        <v>7827.2</v>
      </c>
      <c r="W31" s="699">
        <v>7827.7</v>
      </c>
      <c r="X31" s="735">
        <f t="shared" si="0"/>
        <v>100</v>
      </c>
      <c r="Y31" s="729">
        <f>T31</f>
        <v>44102</v>
      </c>
      <c r="Z31" s="700"/>
      <c r="AA31" s="697"/>
      <c r="AB31" s="727">
        <f>'Water-Meter'!P33</f>
        <v>20312</v>
      </c>
      <c r="AC31" s="728">
        <f t="shared" si="11"/>
        <v>-20310</v>
      </c>
    </row>
    <row r="32" spans="1:29" ht="19.5" thickBot="1">
      <c r="A32" s="711">
        <f>Gen!C39</f>
        <v>5.1900000000000002E-2</v>
      </c>
      <c r="B32" s="718">
        <f>Gen!B39</f>
        <v>44103</v>
      </c>
      <c r="C32" s="700"/>
      <c r="D32" s="702">
        <f t="shared" si="16"/>
        <v>8841.4</v>
      </c>
      <c r="E32" s="698"/>
      <c r="F32" s="702">
        <f t="shared" si="15"/>
        <v>-1060968</v>
      </c>
      <c r="G32" s="697"/>
      <c r="H32" s="719">
        <f t="shared" si="6"/>
        <v>44103</v>
      </c>
      <c r="I32" s="713"/>
      <c r="J32" s="761">
        <f>'Water-Meter'!G34</f>
        <v>0</v>
      </c>
      <c r="K32" s="738">
        <f>'Water-Meter'!G34</f>
        <v>0</v>
      </c>
      <c r="L32" s="725">
        <f t="shared" si="3"/>
        <v>0</v>
      </c>
      <c r="M32" s="729">
        <f t="shared" si="7"/>
        <v>44103</v>
      </c>
      <c r="N32" s="700"/>
      <c r="O32" s="196">
        <f>'Water-Meter'!J34</f>
        <v>0</v>
      </c>
      <c r="P32" s="701">
        <f>'Water-Meter'!J34</f>
        <v>0</v>
      </c>
      <c r="Q32" s="739">
        <f t="shared" si="13"/>
        <v>-8048</v>
      </c>
      <c r="R32" s="745">
        <f t="shared" si="14"/>
        <v>-4.9832817337461304</v>
      </c>
      <c r="S32" s="746">
        <f>Gen!T39</f>
        <v>0</v>
      </c>
      <c r="T32" s="734">
        <f t="shared" ref="T32:T35" si="17">M32</f>
        <v>44103</v>
      </c>
      <c r="U32" s="700"/>
      <c r="V32" s="702">
        <f t="shared" si="5"/>
        <v>7827.7</v>
      </c>
      <c r="W32" s="699"/>
      <c r="X32" s="735">
        <f t="shared" si="0"/>
        <v>-1565540</v>
      </c>
      <c r="Y32" s="729">
        <f t="shared" ref="Y32:Y35" si="18">T32</f>
        <v>44103</v>
      </c>
      <c r="Z32" s="700"/>
      <c r="AA32" s="697"/>
      <c r="AB32" s="727">
        <f>'Water-Meter'!P34</f>
        <v>0</v>
      </c>
      <c r="AC32" s="728">
        <f t="shared" si="11"/>
        <v>-20312</v>
      </c>
    </row>
    <row r="33" spans="1:29" ht="19.5" thickBot="1">
      <c r="A33" s="711">
        <f>Gen!C40</f>
        <v>0</v>
      </c>
      <c r="B33" s="718">
        <f>Gen!B40</f>
        <v>44104</v>
      </c>
      <c r="C33" s="700"/>
      <c r="D33" s="702">
        <f t="shared" si="16"/>
        <v>0</v>
      </c>
      <c r="E33" s="698"/>
      <c r="F33" s="702">
        <f t="shared" si="15"/>
        <v>0</v>
      </c>
      <c r="G33" s="697"/>
      <c r="H33" s="719">
        <f t="shared" si="6"/>
        <v>44104</v>
      </c>
      <c r="I33" s="713"/>
      <c r="J33" s="761">
        <f>'Water-Meter'!G35</f>
        <v>0</v>
      </c>
      <c r="K33" s="738">
        <f>'Water-Meter'!G35</f>
        <v>0</v>
      </c>
      <c r="L33" s="725">
        <f t="shared" si="3"/>
        <v>0</v>
      </c>
      <c r="M33" s="729">
        <f t="shared" si="7"/>
        <v>44104</v>
      </c>
      <c r="N33" s="700"/>
      <c r="O33" s="196">
        <f>'Water-Meter'!J35</f>
        <v>0</v>
      </c>
      <c r="P33" s="701">
        <f>'Water-Meter'!J35</f>
        <v>0</v>
      </c>
      <c r="Q33" s="739">
        <f t="shared" si="13"/>
        <v>0</v>
      </c>
      <c r="R33" s="745">
        <f t="shared" si="14"/>
        <v>0</v>
      </c>
      <c r="S33" s="746">
        <f>Gen!T40</f>
        <v>0</v>
      </c>
      <c r="T33" s="734">
        <f t="shared" si="17"/>
        <v>44104</v>
      </c>
      <c r="U33" s="700"/>
      <c r="V33" s="702">
        <f t="shared" si="5"/>
        <v>0</v>
      </c>
      <c r="W33" s="699"/>
      <c r="X33" s="735">
        <f t="shared" si="0"/>
        <v>0</v>
      </c>
      <c r="Y33" s="729">
        <f t="shared" si="18"/>
        <v>44104</v>
      </c>
      <c r="Z33" s="700"/>
      <c r="AA33" s="697"/>
      <c r="AB33" s="727">
        <f>'Water-Meter'!P35</f>
        <v>0</v>
      </c>
      <c r="AC33" s="728">
        <f t="shared" si="11"/>
        <v>0</v>
      </c>
    </row>
    <row r="34" spans="1:29" ht="19.5" thickBot="1">
      <c r="A34" s="711">
        <f>Gen!C41</f>
        <v>0</v>
      </c>
      <c r="B34" s="718">
        <f>Gen!B41</f>
        <v>0</v>
      </c>
      <c r="C34" s="6"/>
      <c r="D34" s="702">
        <f t="shared" si="16"/>
        <v>0</v>
      </c>
      <c r="E34" s="698"/>
      <c r="F34" s="702">
        <f t="shared" si="15"/>
        <v>0</v>
      </c>
      <c r="G34" s="6"/>
      <c r="H34" s="719">
        <f t="shared" si="6"/>
        <v>0</v>
      </c>
      <c r="I34" s="17"/>
      <c r="J34" s="761">
        <f>'Water-Meter'!G36</f>
        <v>0</v>
      </c>
      <c r="K34" s="738">
        <f>'Water-Meter'!G36</f>
        <v>0</v>
      </c>
      <c r="L34" s="725">
        <f t="shared" si="3"/>
        <v>0</v>
      </c>
      <c r="M34" s="729">
        <f t="shared" si="7"/>
        <v>0</v>
      </c>
      <c r="N34" s="6"/>
      <c r="O34" s="196">
        <f>'Water-Meter'!J36</f>
        <v>0</v>
      </c>
      <c r="P34" s="701">
        <f>'Water-Meter'!J36</f>
        <v>0</v>
      </c>
      <c r="Q34" s="739">
        <f t="shared" si="13"/>
        <v>0</v>
      </c>
      <c r="R34" s="745">
        <f t="shared" si="14"/>
        <v>0</v>
      </c>
      <c r="S34" s="746">
        <f>Gen!T41</f>
        <v>0</v>
      </c>
      <c r="T34" s="734">
        <f t="shared" si="17"/>
        <v>0</v>
      </c>
      <c r="U34" s="6"/>
      <c r="V34" s="702">
        <f t="shared" ref="V34:V35" si="19">SUM(W33)</f>
        <v>0</v>
      </c>
      <c r="W34" s="699"/>
      <c r="X34" s="735">
        <f t="shared" si="0"/>
        <v>0</v>
      </c>
      <c r="Y34" s="729">
        <f t="shared" si="18"/>
        <v>0</v>
      </c>
      <c r="Z34" s="6"/>
      <c r="AA34" s="697"/>
      <c r="AB34" s="701">
        <f>'Water-Meter'!P36</f>
        <v>0</v>
      </c>
      <c r="AC34" s="728">
        <f t="shared" si="11"/>
        <v>0</v>
      </c>
    </row>
    <row r="35" spans="1:29" ht="20.25" customHeight="1" thickBot="1">
      <c r="A35" s="711" t="e">
        <f>[1]Gen!B42</f>
        <v>#REF!</v>
      </c>
      <c r="B35" s="720" t="e">
        <f>[1]Gen!A42</f>
        <v>#REF!</v>
      </c>
      <c r="C35" s="8"/>
      <c r="D35" s="721">
        <f t="shared" si="16"/>
        <v>0</v>
      </c>
      <c r="E35" s="722"/>
      <c r="F35" s="723">
        <f>SUM(F4:F6)</f>
        <v>587.99999999995634</v>
      </c>
      <c r="G35" s="8"/>
      <c r="H35" s="724" t="e">
        <f t="shared" si="6"/>
        <v>#REF!</v>
      </c>
      <c r="I35" s="82"/>
      <c r="J35" s="731">
        <f t="shared" ref="J35" si="20">SUM(K34)</f>
        <v>0</v>
      </c>
      <c r="K35" s="738">
        <f>'Water-Meter'!G37</f>
        <v>0</v>
      </c>
      <c r="L35" s="740">
        <f>SUM(L5:L34)</f>
        <v>-38000</v>
      </c>
      <c r="M35" s="730" t="e">
        <f t="shared" si="7"/>
        <v>#REF!</v>
      </c>
      <c r="N35" s="8"/>
      <c r="O35" s="731"/>
      <c r="P35" s="732">
        <f>'Water-Meter'!J37</f>
        <v>0</v>
      </c>
      <c r="Q35" s="739">
        <f t="shared" si="13"/>
        <v>0</v>
      </c>
      <c r="R35" s="747">
        <f t="shared" si="14"/>
        <v>0</v>
      </c>
      <c r="S35" s="748">
        <f>Gen!T42</f>
        <v>0</v>
      </c>
      <c r="T35" s="742" t="e">
        <f t="shared" si="17"/>
        <v>#REF!</v>
      </c>
      <c r="U35" s="8"/>
      <c r="V35" s="721">
        <f t="shared" si="19"/>
        <v>0</v>
      </c>
      <c r="W35" s="736"/>
      <c r="X35" s="735">
        <f t="shared" si="0"/>
        <v>0</v>
      </c>
      <c r="Y35" s="730" t="e">
        <f t="shared" si="18"/>
        <v>#REF!</v>
      </c>
      <c r="Z35" s="8"/>
      <c r="AA35" s="731"/>
      <c r="AB35" s="732">
        <f>'Water-Meter'!P37</f>
        <v>0</v>
      </c>
      <c r="AC35" s="728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139.99999999996362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4" sqref="E3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02" t="s">
        <v>314</v>
      </c>
      <c r="B2" s="803"/>
      <c r="C2" s="803"/>
      <c r="D2" s="803"/>
      <c r="E2" s="804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201</v>
      </c>
      <c r="H4" s="53" t="s">
        <v>204</v>
      </c>
      <c r="I4" s="53" t="s">
        <v>202</v>
      </c>
      <c r="J4" s="53" t="s">
        <v>203</v>
      </c>
      <c r="K4" s="73" t="s">
        <v>51</v>
      </c>
      <c r="L4" s="73" t="s">
        <v>76</v>
      </c>
    </row>
    <row r="5" spans="1:13">
      <c r="A5" s="54">
        <f>Gen!B11</f>
        <v>44075</v>
      </c>
      <c r="B5" s="374">
        <f>'Daily report Gen'!AC6</f>
        <v>25</v>
      </c>
      <c r="C5" s="88">
        <f>Gen!C11</f>
        <v>3.9E-2</v>
      </c>
      <c r="D5" s="512">
        <f t="shared" ref="D5:D36" si="0">E5</f>
        <v>3</v>
      </c>
      <c r="E5" s="75">
        <v>3</v>
      </c>
      <c r="F5" s="71">
        <f>Gen!U9</f>
        <v>0</v>
      </c>
      <c r="G5" s="86">
        <f>Gen!T9</f>
        <v>0</v>
      </c>
      <c r="H5" s="86">
        <f>Gen!AK11</f>
        <v>69.209999999999994</v>
      </c>
      <c r="I5" s="86">
        <f t="shared" ref="I5:I36" si="1">SUM(G5:H5)</f>
        <v>69.209999999999994</v>
      </c>
      <c r="J5" s="525">
        <f>Gen!D11</f>
        <v>41590.620000000003</v>
      </c>
      <c r="K5" s="347">
        <f>'Water-Meter'!E6</f>
        <v>56</v>
      </c>
      <c r="L5" s="526">
        <f>'Lpg (2)'!G10</f>
        <v>76.031999999994881</v>
      </c>
      <c r="M5" s="80" t="e">
        <f>SUM(#REF!-#REF!)</f>
        <v>#REF!</v>
      </c>
    </row>
    <row r="6" spans="1:13">
      <c r="A6" s="54">
        <f>Gen!B12</f>
        <v>44076</v>
      </c>
      <c r="B6" s="374">
        <f>'Daily report Gen'!AC7</f>
        <v>24</v>
      </c>
      <c r="C6" s="88">
        <f>Gen!C12</f>
        <v>3.9E-2</v>
      </c>
      <c r="D6" s="512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80.650000000000006</v>
      </c>
      <c r="I6" s="86">
        <f t="shared" si="1"/>
        <v>80.650000000000006</v>
      </c>
      <c r="J6" s="525">
        <f>Gen!D12</f>
        <v>40629.980000000003</v>
      </c>
      <c r="K6" s="347">
        <f>'Water-Meter'!E7</f>
        <v>58</v>
      </c>
      <c r="L6" s="526">
        <f>'Lpg (2)'!G11</f>
        <v>58.607999999966708</v>
      </c>
      <c r="M6" s="80" t="e">
        <f>SUM(#REF!-#REF!)</f>
        <v>#REF!</v>
      </c>
    </row>
    <row r="7" spans="1:13">
      <c r="A7" s="54">
        <f>Gen!B13</f>
        <v>44077</v>
      </c>
      <c r="B7" s="374">
        <f>'Daily report Gen'!AC8</f>
        <v>24</v>
      </c>
      <c r="C7" s="88">
        <f>Gen!C13</f>
        <v>3.9E-2</v>
      </c>
      <c r="D7" s="512">
        <f t="shared" si="0"/>
        <v>4</v>
      </c>
      <c r="E7" s="75">
        <v>4</v>
      </c>
      <c r="F7" s="71">
        <f>Gen!U11</f>
        <v>2111</v>
      </c>
      <c r="G7" s="86">
        <f>Gen!T11</f>
        <v>891.43</v>
      </c>
      <c r="H7" s="86">
        <f>Gen!AK13</f>
        <v>10.02</v>
      </c>
      <c r="I7" s="86">
        <f t="shared" si="1"/>
        <v>901.44999999999993</v>
      </c>
      <c r="J7" s="525">
        <f>Gen!D13</f>
        <v>39727.410000000003</v>
      </c>
      <c r="K7" s="347">
        <f>'Water-Meter'!E8</f>
        <v>51</v>
      </c>
      <c r="L7" s="526">
        <f>'Lpg (2)'!G12</f>
        <v>66.263999999989764</v>
      </c>
      <c r="M7" s="80" t="e">
        <f>SUM(#REF!-#REF!)</f>
        <v>#REF!</v>
      </c>
    </row>
    <row r="8" spans="1:13">
      <c r="A8" s="54">
        <f>Gen!B14</f>
        <v>44078</v>
      </c>
      <c r="B8" s="374">
        <f>'Daily report Gen'!AC9</f>
        <v>25</v>
      </c>
      <c r="C8" s="88">
        <f>Gen!C14</f>
        <v>9.0899999999999995E-2</v>
      </c>
      <c r="D8" s="512">
        <f>E8</f>
        <v>8</v>
      </c>
      <c r="E8" s="75">
        <v>8</v>
      </c>
      <c r="F8" s="71">
        <f>Gen!U12</f>
        <v>2147</v>
      </c>
      <c r="G8" s="86">
        <f>Gen!T12</f>
        <v>821.92000000000007</v>
      </c>
      <c r="H8" s="86">
        <f>Gen!AK14</f>
        <v>0</v>
      </c>
      <c r="I8" s="86">
        <f t="shared" si="1"/>
        <v>821.92000000000007</v>
      </c>
      <c r="J8" s="525">
        <f>Gen!D14</f>
        <v>38627.11</v>
      </c>
      <c r="K8" s="347">
        <f>'Water-Meter'!E9</f>
        <v>54</v>
      </c>
      <c r="L8" s="526">
        <f>'Lpg (2)'!G13</f>
        <v>63.536000000010247</v>
      </c>
      <c r="M8" s="80" t="e">
        <f>SUM(#REF!-#REF!)</f>
        <v>#REF!</v>
      </c>
    </row>
    <row r="9" spans="1:13">
      <c r="A9" s="54">
        <f>Gen!B15</f>
        <v>44079</v>
      </c>
      <c r="B9" s="374">
        <f>'Daily report Gen'!AC10</f>
        <v>24</v>
      </c>
      <c r="C9" s="88">
        <f>Gen!C15</f>
        <v>9.0899999999999995E-2</v>
      </c>
      <c r="D9" s="512">
        <f t="shared" si="0"/>
        <v>8</v>
      </c>
      <c r="E9" s="75">
        <v>8</v>
      </c>
      <c r="F9" s="71">
        <f>Gen!U13</f>
        <v>2188</v>
      </c>
      <c r="G9" s="86">
        <f>Gen!T13</f>
        <v>1090.28</v>
      </c>
      <c r="H9" s="86">
        <f>Gen!AK15</f>
        <v>27.01</v>
      </c>
      <c r="I9" s="86">
        <f t="shared" si="1"/>
        <v>1117.29</v>
      </c>
      <c r="J9" s="525">
        <f>Gen!D15</f>
        <v>37758.720000000001</v>
      </c>
      <c r="K9" s="347">
        <f>'Water-Meter'!E10</f>
        <v>50</v>
      </c>
      <c r="L9" s="526">
        <f>'Lpg (2)'!G14</f>
        <v>50.072000000020495</v>
      </c>
      <c r="M9" s="80" t="e">
        <f>SUM(#REF!-#REF!)</f>
        <v>#REF!</v>
      </c>
    </row>
    <row r="10" spans="1:13">
      <c r="A10" s="54">
        <f>Gen!B16</f>
        <v>44080</v>
      </c>
      <c r="B10" s="374">
        <f>'Daily report Gen'!AC11</f>
        <v>23</v>
      </c>
      <c r="C10" s="88">
        <f>Gen!C16</f>
        <v>9.0899999999999995E-2</v>
      </c>
      <c r="D10" s="512">
        <f t="shared" si="0"/>
        <v>7</v>
      </c>
      <c r="E10" s="75">
        <v>7</v>
      </c>
      <c r="F10" s="71">
        <f>Gen!U14</f>
        <v>2448</v>
      </c>
      <c r="G10" s="86">
        <f>Gen!T14</f>
        <v>868.39</v>
      </c>
      <c r="H10" s="86">
        <f>Gen!AK16</f>
        <v>0</v>
      </c>
      <c r="I10" s="86">
        <f t="shared" si="1"/>
        <v>868.39</v>
      </c>
      <c r="J10" s="525">
        <f>Gen!D16</f>
        <v>36889.730000000003</v>
      </c>
      <c r="K10" s="347">
        <f>'Water-Meter'!E11</f>
        <v>52</v>
      </c>
      <c r="L10" s="526">
        <f>'Lpg (2)'!G15</f>
        <v>49.588000000017935</v>
      </c>
      <c r="M10" s="80" t="e">
        <f>SUM(#REF!-#REF!)</f>
        <v>#REF!</v>
      </c>
    </row>
    <row r="11" spans="1:13">
      <c r="A11" s="54">
        <f>Gen!B17</f>
        <v>44081</v>
      </c>
      <c r="B11" s="374">
        <f>'Daily report Gen'!AC12</f>
        <v>27</v>
      </c>
      <c r="C11" s="88">
        <f>Gen!C17</f>
        <v>2.5999999999999999E-2</v>
      </c>
      <c r="D11" s="512">
        <f t="shared" si="0"/>
        <v>3</v>
      </c>
      <c r="E11" s="75">
        <v>3</v>
      </c>
      <c r="F11" s="71">
        <f>Gen!U15</f>
        <v>2152</v>
      </c>
      <c r="G11" s="86">
        <f>Gen!T15</f>
        <v>841.98</v>
      </c>
      <c r="H11" s="86">
        <f>Gen!AK17</f>
        <v>258.14</v>
      </c>
      <c r="I11" s="86">
        <f t="shared" si="1"/>
        <v>1100.1199999999999</v>
      </c>
      <c r="J11" s="525">
        <f>Gen!D17</f>
        <v>35951.19</v>
      </c>
      <c r="K11" s="347">
        <f>'Water-Meter'!E12</f>
        <v>58</v>
      </c>
      <c r="L11" s="526">
        <f>'Lpg (2)'!G16</f>
        <v>62.567999999941101</v>
      </c>
      <c r="M11" s="80" t="e">
        <f>SUM(#REF!-#REF!)</f>
        <v>#REF!</v>
      </c>
    </row>
    <row r="12" spans="1:13">
      <c r="A12" s="54">
        <f>Gen!B18</f>
        <v>44082</v>
      </c>
      <c r="B12" s="374">
        <f>'Daily report Gen'!AC13</f>
        <v>25</v>
      </c>
      <c r="C12" s="88">
        <f>Gen!C18</f>
        <v>3.9E-2</v>
      </c>
      <c r="D12" s="512">
        <f t="shared" si="0"/>
        <v>7</v>
      </c>
      <c r="E12" s="75">
        <v>7</v>
      </c>
      <c r="F12" s="71">
        <f>Gen!U16</f>
        <v>2052</v>
      </c>
      <c r="G12" s="86">
        <f>Gen!T16</f>
        <v>938.54</v>
      </c>
      <c r="H12" s="86">
        <f>Gen!AK18</f>
        <v>123.3</v>
      </c>
      <c r="I12" s="86">
        <f t="shared" si="1"/>
        <v>1061.8399999999999</v>
      </c>
      <c r="J12" s="525">
        <f>Gen!D18</f>
        <v>34782.78</v>
      </c>
      <c r="K12" s="347">
        <f>'Water-Meter'!E13</f>
        <v>46</v>
      </c>
      <c r="L12" s="526">
        <f>'Lpg (2)'!G17</f>
        <v>54.868000000005125</v>
      </c>
      <c r="M12" s="80" t="e">
        <f>SUM(#REF!-#REF!)</f>
        <v>#REF!</v>
      </c>
    </row>
    <row r="13" spans="1:13">
      <c r="A13" s="54">
        <f>Gen!B19</f>
        <v>44083</v>
      </c>
      <c r="B13" s="374">
        <f>'Daily report Gen'!AC14</f>
        <v>23</v>
      </c>
      <c r="C13" s="88">
        <f>Gen!C19</f>
        <v>6.5000000000000002E-2</v>
      </c>
      <c r="D13" s="512">
        <f t="shared" si="0"/>
        <v>5</v>
      </c>
      <c r="E13" s="75">
        <v>5</v>
      </c>
      <c r="F13" s="71">
        <f>Gen!U17</f>
        <v>2010</v>
      </c>
      <c r="G13" s="86">
        <f>Gen!T17</f>
        <v>910.27</v>
      </c>
      <c r="H13" s="86">
        <f>Gen!AK19</f>
        <v>0</v>
      </c>
      <c r="I13" s="86">
        <f t="shared" si="1"/>
        <v>910.27</v>
      </c>
      <c r="J13" s="525">
        <f>Gen!D19</f>
        <v>33711.269999999997</v>
      </c>
      <c r="K13" s="347">
        <f>'Water-Meter'!E14</f>
        <v>52</v>
      </c>
      <c r="L13" s="526">
        <f>'Lpg (2)'!G18</f>
        <v>57.420000000012813</v>
      </c>
      <c r="M13" s="80" t="e">
        <f>SUM(#REF!-#REF!)</f>
        <v>#REF!</v>
      </c>
    </row>
    <row r="14" spans="1:13">
      <c r="A14" s="54">
        <f>Gen!B20</f>
        <v>44084</v>
      </c>
      <c r="B14" s="374">
        <f>'Daily report Gen'!AC15</f>
        <v>24</v>
      </c>
      <c r="C14" s="88">
        <f>Gen!C20</f>
        <v>1.2999999999999999E-2</v>
      </c>
      <c r="D14" s="512">
        <f t="shared" si="0"/>
        <v>1</v>
      </c>
      <c r="E14" s="75">
        <v>1</v>
      </c>
      <c r="F14" s="71">
        <f>Gen!U18</f>
        <v>2245</v>
      </c>
      <c r="G14" s="86">
        <f>Gen!T18</f>
        <v>948.21</v>
      </c>
      <c r="H14" s="86">
        <f>Gen!AK20</f>
        <v>0</v>
      </c>
      <c r="I14" s="86">
        <f t="shared" si="1"/>
        <v>948.21</v>
      </c>
      <c r="J14" s="525">
        <f>Gen!D20</f>
        <v>32794.939999999995</v>
      </c>
      <c r="K14" s="347">
        <f>'Water-Meter'!E15</f>
        <v>55</v>
      </c>
      <c r="L14" s="526">
        <f>'Lpg (2)'!G19</f>
        <v>44</v>
      </c>
      <c r="M14" s="80" t="e">
        <f>SUM(#REF!-#REF!)</f>
        <v>#REF!</v>
      </c>
    </row>
    <row r="15" spans="1:13">
      <c r="A15" s="54">
        <f>Gen!B21</f>
        <v>44085</v>
      </c>
      <c r="B15" s="374">
        <f>'Daily report Gen'!AC16</f>
        <v>13</v>
      </c>
      <c r="C15" s="88">
        <f>Gen!C21</f>
        <v>3.9E-2</v>
      </c>
      <c r="D15" s="512">
        <f t="shared" si="0"/>
        <v>3</v>
      </c>
      <c r="E15" s="75">
        <v>3</v>
      </c>
      <c r="F15" s="71">
        <f>Gen!U19</f>
        <v>2101</v>
      </c>
      <c r="G15" s="86">
        <f>Gen!T19</f>
        <v>916.32999999999993</v>
      </c>
      <c r="H15" s="86">
        <f>Gen!AK21</f>
        <v>0</v>
      </c>
      <c r="I15" s="86">
        <f t="shared" si="1"/>
        <v>916.32999999999993</v>
      </c>
      <c r="J15" s="525">
        <f>Gen!D21</f>
        <v>31816.899999999994</v>
      </c>
      <c r="K15" s="347">
        <f>'Water-Meter'!E16</f>
        <v>94</v>
      </c>
      <c r="L15" s="526">
        <f>'Lpg (2)'!G20</f>
        <v>70.927999999979519</v>
      </c>
      <c r="M15" s="80" t="e">
        <f>SUM(#REF!-#REF!)</f>
        <v>#REF!</v>
      </c>
    </row>
    <row r="16" spans="1:13">
      <c r="A16" s="54">
        <f>Gen!B22</f>
        <v>44086</v>
      </c>
      <c r="B16" s="374">
        <f>'Daily report Gen'!AC17</f>
        <v>24</v>
      </c>
      <c r="C16" s="88">
        <f>Gen!C22</f>
        <v>0.02</v>
      </c>
      <c r="D16" s="512">
        <f t="shared" si="0"/>
        <v>3</v>
      </c>
      <c r="E16" s="75">
        <v>3</v>
      </c>
      <c r="F16" s="71">
        <f>Gen!U20</f>
        <v>2199</v>
      </c>
      <c r="G16" s="86">
        <f>Gen!T20</f>
        <v>978.04</v>
      </c>
      <c r="H16" s="86">
        <f>Gen!AK22</f>
        <v>0</v>
      </c>
      <c r="I16" s="86">
        <f t="shared" si="1"/>
        <v>978.04</v>
      </c>
      <c r="J16" s="525">
        <f>Gen!D22</f>
        <v>31034.349999999995</v>
      </c>
      <c r="K16" s="347">
        <f>'Water-Meter'!E17</f>
        <v>59</v>
      </c>
      <c r="L16" s="526">
        <f>'Lpg (2)'!G21</f>
        <v>53.900000000000006</v>
      </c>
      <c r="M16" s="80" t="e">
        <f>SUM(#REF!-#REF!)</f>
        <v>#REF!</v>
      </c>
    </row>
    <row r="17" spans="1:13">
      <c r="A17" s="54">
        <f>Gen!B23</f>
        <v>44087</v>
      </c>
      <c r="B17" s="374">
        <f>'Daily report Gen'!AC18</f>
        <v>12</v>
      </c>
      <c r="C17" s="88">
        <f>Gen!C23</f>
        <v>0.03</v>
      </c>
      <c r="D17" s="512">
        <f t="shared" si="0"/>
        <v>3</v>
      </c>
      <c r="E17" s="75">
        <v>3</v>
      </c>
      <c r="F17" s="71">
        <f>Gen!U21</f>
        <v>2126</v>
      </c>
      <c r="G17" s="86">
        <f>Gen!T21</f>
        <v>782.55</v>
      </c>
      <c r="H17" s="86">
        <f>Gen!AK23</f>
        <v>71.040000000000006</v>
      </c>
      <c r="I17" s="86">
        <f t="shared" si="1"/>
        <v>853.58999999999992</v>
      </c>
      <c r="J17" s="525">
        <f>Gen!D23</f>
        <v>30301.569999999996</v>
      </c>
      <c r="K17" s="347">
        <f>'Water-Meter'!E18</f>
        <v>36</v>
      </c>
      <c r="L17" s="526">
        <f>'Lpg (2)'!G22</f>
        <v>55.396000000048666</v>
      </c>
      <c r="M17" s="80" t="e">
        <f>SUM(#REF!-#REF!)</f>
        <v>#REF!</v>
      </c>
    </row>
    <row r="18" spans="1:13">
      <c r="A18" s="54">
        <f>Gen!B24</f>
        <v>44088</v>
      </c>
      <c r="B18" s="374">
        <f>'Daily report Gen'!AC19</f>
        <v>25</v>
      </c>
      <c r="C18" s="88">
        <f>Gen!C24</f>
        <v>0.04</v>
      </c>
      <c r="D18" s="512">
        <f t="shared" si="0"/>
        <v>4</v>
      </c>
      <c r="E18" s="75">
        <v>4</v>
      </c>
      <c r="F18" s="71">
        <f>Gen!U22</f>
        <v>2174</v>
      </c>
      <c r="G18" s="86">
        <f>Gen!T22</f>
        <v>732.78</v>
      </c>
      <c r="H18" s="86">
        <f>Gen!AK24</f>
        <v>0</v>
      </c>
      <c r="I18" s="86">
        <f t="shared" si="1"/>
        <v>732.78</v>
      </c>
      <c r="J18" s="525">
        <f>Gen!D24</f>
        <v>29294.789999999997</v>
      </c>
      <c r="K18" s="347">
        <f>'Water-Meter'!E19</f>
        <v>53</v>
      </c>
      <c r="L18" s="526">
        <f>'Lpg (2)'!G23</f>
        <v>56.452000000007686</v>
      </c>
      <c r="M18" s="80" t="e">
        <f>SUM(#REF!-#REF!)</f>
        <v>#REF!</v>
      </c>
    </row>
    <row r="19" spans="1:13">
      <c r="A19" s="54">
        <f>Gen!B25</f>
        <v>44089</v>
      </c>
      <c r="B19" s="374">
        <f>'Daily report Gen'!AC20</f>
        <v>26</v>
      </c>
      <c r="C19" s="88">
        <f>Gen!C25</f>
        <v>0.03</v>
      </c>
      <c r="D19" s="512">
        <f t="shared" si="0"/>
        <v>4</v>
      </c>
      <c r="E19" s="75">
        <v>4</v>
      </c>
      <c r="F19" s="71">
        <f>Gen!U23</f>
        <v>2113</v>
      </c>
      <c r="G19" s="86">
        <f>Gen!T23</f>
        <v>935.74</v>
      </c>
      <c r="H19" s="86">
        <f>Gen!AK25</f>
        <v>0</v>
      </c>
      <c r="I19" s="86">
        <f t="shared" si="1"/>
        <v>935.74</v>
      </c>
      <c r="J19" s="525">
        <f>Gen!D25</f>
        <v>28404.699999999997</v>
      </c>
      <c r="K19" s="347">
        <f>'Water-Meter'!E20</f>
        <v>40</v>
      </c>
      <c r="L19" s="526">
        <f>'Lpg (2)'!G24</f>
        <v>52.051999999943661</v>
      </c>
      <c r="M19" s="80" t="e">
        <f>SUM(#REF!-#REF!)</f>
        <v>#REF!</v>
      </c>
    </row>
    <row r="20" spans="1:13">
      <c r="A20" s="54">
        <f>Gen!B26</f>
        <v>44090</v>
      </c>
      <c r="B20" s="374">
        <f>'Daily report Gen'!AC21</f>
        <v>26</v>
      </c>
      <c r="C20" s="88">
        <f>Gen!C26</f>
        <v>0.12989999999999999</v>
      </c>
      <c r="D20" s="512">
        <f t="shared" si="0"/>
        <v>11</v>
      </c>
      <c r="E20" s="75">
        <v>11</v>
      </c>
      <c r="F20" s="71">
        <f>Gen!U24</f>
        <v>2040</v>
      </c>
      <c r="G20" s="86">
        <f>Gen!T24</f>
        <v>890.08999999999992</v>
      </c>
      <c r="H20" s="86">
        <f>Gen!AK26</f>
        <v>181.14</v>
      </c>
      <c r="I20" s="86">
        <f t="shared" si="1"/>
        <v>1071.23</v>
      </c>
      <c r="J20" s="525">
        <f>Gen!D26</f>
        <v>27515.719999999998</v>
      </c>
      <c r="K20" s="347">
        <f>'Water-Meter'!E21</f>
        <v>30</v>
      </c>
      <c r="L20" s="526">
        <f>'Lpg (2)'!G25</f>
        <v>49.192000000033296</v>
      </c>
      <c r="M20" s="80" t="e">
        <f>SUM(#REF!-#REF!)</f>
        <v>#REF!</v>
      </c>
    </row>
    <row r="21" spans="1:13">
      <c r="A21" s="54">
        <f>Gen!B27</f>
        <v>44091</v>
      </c>
      <c r="B21" s="374">
        <f>'Daily report Gen'!AC22</f>
        <v>23</v>
      </c>
      <c r="C21" s="88">
        <f>Gen!C27</f>
        <v>0.1169</v>
      </c>
      <c r="D21" s="512">
        <f t="shared" si="0"/>
        <v>10</v>
      </c>
      <c r="E21" s="75">
        <v>10</v>
      </c>
      <c r="F21" s="71">
        <f>Gen!U25</f>
        <v>2084</v>
      </c>
      <c r="G21" s="86">
        <f>Gen!T25</f>
        <v>888.98</v>
      </c>
      <c r="H21" s="86">
        <f>Gen!AK27</f>
        <v>25.41</v>
      </c>
      <c r="I21" s="86">
        <f t="shared" si="1"/>
        <v>914.39</v>
      </c>
      <c r="J21" s="525">
        <f>Gen!D27</f>
        <v>36239.119999999995</v>
      </c>
      <c r="K21" s="347">
        <f>'Water-Meter'!E22</f>
        <v>49</v>
      </c>
      <c r="L21" s="526">
        <f>'Lpg (2)'!G26</f>
        <v>55.088000000017935</v>
      </c>
      <c r="M21" s="80" t="e">
        <f>SUM(#REF!-#REF!)</f>
        <v>#REF!</v>
      </c>
    </row>
    <row r="22" spans="1:13">
      <c r="A22" s="54">
        <f>Gen!B28</f>
        <v>44092</v>
      </c>
      <c r="B22" s="374">
        <f>'Daily report Gen'!AC23</f>
        <v>26</v>
      </c>
      <c r="C22" s="88">
        <f>Gen!C28</f>
        <v>0.1429</v>
      </c>
      <c r="D22" s="512">
        <f t="shared" si="0"/>
        <v>12</v>
      </c>
      <c r="E22" s="75">
        <v>12</v>
      </c>
      <c r="F22" s="71">
        <f>Gen!U26</f>
        <v>2489</v>
      </c>
      <c r="G22" s="86">
        <f>Gen!T26</f>
        <v>1095.46</v>
      </c>
      <c r="H22" s="86">
        <f>Gen!AK28</f>
        <v>0</v>
      </c>
      <c r="I22" s="86">
        <f t="shared" si="1"/>
        <v>1095.46</v>
      </c>
      <c r="J22" s="525">
        <f>Gen!D28</f>
        <v>35195.639999999992</v>
      </c>
      <c r="K22" s="347">
        <f>'Water-Meter'!E23</f>
        <v>50</v>
      </c>
      <c r="L22" s="526">
        <f>'Lpg (2)'!G27</f>
        <v>65.339999999961591</v>
      </c>
      <c r="M22" s="80" t="e">
        <f>SUM(#REF!-#REF!)</f>
        <v>#REF!</v>
      </c>
    </row>
    <row r="23" spans="1:13">
      <c r="A23" s="54">
        <f>Gen!B29</f>
        <v>44093</v>
      </c>
      <c r="B23" s="374">
        <f>'Daily report Gen'!AC24</f>
        <v>49</v>
      </c>
      <c r="C23" s="88">
        <f>Gen!C29</f>
        <v>9.0899999999999995E-2</v>
      </c>
      <c r="D23" s="512">
        <f t="shared" si="0"/>
        <v>8</v>
      </c>
      <c r="E23" s="75">
        <v>8</v>
      </c>
      <c r="F23" s="71">
        <f>Gen!U27</f>
        <v>2499</v>
      </c>
      <c r="G23" s="86">
        <f>Gen!T27</f>
        <v>1018.0699999999999</v>
      </c>
      <c r="H23" s="86">
        <f>Gen!AK29</f>
        <v>374.38</v>
      </c>
      <c r="I23" s="86">
        <f t="shared" si="1"/>
        <v>1392.4499999999998</v>
      </c>
      <c r="J23" s="525">
        <f>Gen!D29</f>
        <v>34154.369999999995</v>
      </c>
      <c r="K23" s="347">
        <f>'Water-Meter'!E24</f>
        <v>51</v>
      </c>
      <c r="L23" s="526">
        <f>'Lpg (2)'!G28</f>
        <v>65.428000000043539</v>
      </c>
      <c r="M23" s="80" t="e">
        <f>SUM(#REF!-#REF!)</f>
        <v>#REF!</v>
      </c>
    </row>
    <row r="24" spans="1:13">
      <c r="A24" s="54">
        <f>Gen!B30</f>
        <v>44094</v>
      </c>
      <c r="B24" s="374">
        <f>'Daily report Gen'!AC25</f>
        <v>26</v>
      </c>
      <c r="C24" s="88">
        <f>Gen!C30</f>
        <v>6.4899999999999999E-2</v>
      </c>
      <c r="D24" s="512">
        <f t="shared" si="0"/>
        <v>6</v>
      </c>
      <c r="E24" s="75">
        <v>6</v>
      </c>
      <c r="F24" s="71">
        <f>Gen!U28</f>
        <v>2622</v>
      </c>
      <c r="G24" s="86">
        <f>Gen!T28</f>
        <v>1041.27</v>
      </c>
      <c r="H24" s="86">
        <f>Gen!AK30</f>
        <v>44.98</v>
      </c>
      <c r="I24" s="86">
        <f t="shared" si="1"/>
        <v>1086.25</v>
      </c>
      <c r="J24" s="525">
        <f>Gen!D30</f>
        <v>32650.109999999993</v>
      </c>
      <c r="K24" s="347">
        <f>'Water-Meter'!E25</f>
        <v>46</v>
      </c>
      <c r="L24" s="526">
        <f>'Lpg (2)'!G29</f>
        <v>69.827999999979511</v>
      </c>
      <c r="M24" s="80" t="e">
        <f>SUM(#REF!-#REF!)</f>
        <v>#REF!</v>
      </c>
    </row>
    <row r="25" spans="1:13">
      <c r="A25" s="54">
        <f>Gen!B31</f>
        <v>44095</v>
      </c>
      <c r="B25" s="374">
        <f>'Daily report Gen'!AC26</f>
        <v>23</v>
      </c>
      <c r="C25" s="88">
        <f>Gen!C31</f>
        <v>6.4899999999999999E-2</v>
      </c>
      <c r="D25" s="512">
        <f t="shared" si="0"/>
        <v>6</v>
      </c>
      <c r="E25" s="75">
        <v>6</v>
      </c>
      <c r="F25" s="71">
        <f>Gen!U29</f>
        <v>2500</v>
      </c>
      <c r="G25" s="86">
        <f>Gen!T29</f>
        <v>1129.8800000000001</v>
      </c>
      <c r="H25" s="86">
        <f>Gen!AK31</f>
        <v>0</v>
      </c>
      <c r="I25" s="86">
        <f t="shared" si="1"/>
        <v>1129.8800000000001</v>
      </c>
      <c r="J25" s="525">
        <f>Gen!D31</f>
        <v>31549.469999999994</v>
      </c>
      <c r="K25" s="347">
        <f>'Water-Meter'!E26</f>
        <v>46</v>
      </c>
      <c r="L25" s="526">
        <f>'Lpg (2)'!G30</f>
        <v>75.679999999987203</v>
      </c>
      <c r="M25" s="80" t="e">
        <f>SUM(#REF!-#REF!)</f>
        <v>#REF!</v>
      </c>
    </row>
    <row r="26" spans="1:13">
      <c r="A26" s="54">
        <f>Gen!B32</f>
        <v>44096</v>
      </c>
      <c r="B26" s="374">
        <f>'Daily report Gen'!AC27</f>
        <v>25</v>
      </c>
      <c r="C26" s="88">
        <f>Gen!C32</f>
        <v>2.5999999999999999E-2</v>
      </c>
      <c r="D26" s="512">
        <f t="shared" si="0"/>
        <v>3</v>
      </c>
      <c r="E26" s="75">
        <v>3</v>
      </c>
      <c r="F26" s="71">
        <f>Gen!U30</f>
        <v>2313</v>
      </c>
      <c r="G26" s="86">
        <f>Gen!T30</f>
        <v>1055.6599999999999</v>
      </c>
      <c r="H26" s="86">
        <f>Gen!AK32</f>
        <v>0</v>
      </c>
      <c r="I26" s="86">
        <f t="shared" si="1"/>
        <v>1055.6599999999999</v>
      </c>
      <c r="J26" s="525">
        <f>Gen!D32</f>
        <v>30591.769999999993</v>
      </c>
      <c r="K26" s="347">
        <f>'Water-Meter'!E27</f>
        <v>56</v>
      </c>
      <c r="L26" s="526">
        <f>'Lpg (2)'!G31</f>
        <v>55.747999999992324</v>
      </c>
      <c r="M26" s="80" t="e">
        <f>SUM(#REF!-#REF!)</f>
        <v>#REF!</v>
      </c>
    </row>
    <row r="27" spans="1:13">
      <c r="A27" s="54">
        <f>Gen!B33</f>
        <v>44097</v>
      </c>
      <c r="B27" s="374">
        <f>'Daily report Gen'!AC28</f>
        <v>24</v>
      </c>
      <c r="C27" s="88">
        <f>Gen!C33</f>
        <v>2.5999999999999999E-2</v>
      </c>
      <c r="D27" s="512">
        <f t="shared" si="0"/>
        <v>3</v>
      </c>
      <c r="E27" s="75">
        <v>3</v>
      </c>
      <c r="F27" s="71">
        <f>Gen!U31</f>
        <v>2356</v>
      </c>
      <c r="G27" s="86">
        <f>Gen!T31</f>
        <v>957.7</v>
      </c>
      <c r="H27" s="86">
        <f>Gen!AK33</f>
        <v>187.28</v>
      </c>
      <c r="I27" s="86">
        <f t="shared" si="1"/>
        <v>1144.98</v>
      </c>
      <c r="J27" s="525">
        <f>Gen!D33</f>
        <v>29609.269999999993</v>
      </c>
      <c r="K27" s="347">
        <f>'Water-Meter'!E28</f>
        <v>49</v>
      </c>
      <c r="L27" s="526">
        <f>'Lpg (2)'!G32</f>
        <v>39.20400000001537</v>
      </c>
      <c r="M27" s="80" t="e">
        <f>SUM(#REF!-#REF!)</f>
        <v>#REF!</v>
      </c>
    </row>
    <row r="28" spans="1:13">
      <c r="A28" s="54">
        <f>Gen!B34</f>
        <v>44098</v>
      </c>
      <c r="B28" s="374">
        <f>'Daily report Gen'!AC29</f>
        <v>26</v>
      </c>
      <c r="C28" s="88">
        <f>Gen!C34</f>
        <v>1.2999999999999999E-2</v>
      </c>
      <c r="D28" s="512">
        <f t="shared" si="0"/>
        <v>2</v>
      </c>
      <c r="E28" s="75">
        <v>2</v>
      </c>
      <c r="F28" s="71">
        <f>Gen!U32</f>
        <v>2289</v>
      </c>
      <c r="G28" s="86">
        <f>Gen!T32</f>
        <v>982.5</v>
      </c>
      <c r="H28" s="86">
        <f>Gen!AK34</f>
        <v>0</v>
      </c>
      <c r="I28" s="86">
        <f t="shared" si="1"/>
        <v>982.5</v>
      </c>
      <c r="J28" s="525">
        <f>Gen!D34</f>
        <v>28432.199999999993</v>
      </c>
      <c r="K28" s="347">
        <f>'Water-Meter'!E29</f>
        <v>48</v>
      </c>
      <c r="L28" s="526">
        <f>'Lpg (2)'!G33</f>
        <v>72.600000000000009</v>
      </c>
      <c r="M28" s="80" t="e">
        <f>SUM(#REF!-#REF!)</f>
        <v>#REF!</v>
      </c>
    </row>
    <row r="29" spans="1:13">
      <c r="A29" s="54">
        <f>Gen!B35</f>
        <v>44099</v>
      </c>
      <c r="B29" s="374">
        <f>'Daily report Gen'!AC30</f>
        <v>24</v>
      </c>
      <c r="C29" s="88">
        <f>Gen!C35</f>
        <v>1.2999999999999999E-2</v>
      </c>
      <c r="D29" s="512">
        <f t="shared" si="0"/>
        <v>3</v>
      </c>
      <c r="E29" s="75">
        <v>3</v>
      </c>
      <c r="F29" s="71">
        <f>Gen!U33</f>
        <v>2286</v>
      </c>
      <c r="G29" s="86">
        <f>Gen!T33</f>
        <v>989.79</v>
      </c>
      <c r="H29" s="86">
        <f>Gen!AK35</f>
        <v>74.599999999999994</v>
      </c>
      <c r="I29" s="86">
        <f t="shared" si="1"/>
        <v>1064.3899999999999</v>
      </c>
      <c r="J29" s="525">
        <f>Gen!D35</f>
        <v>27427.949999999993</v>
      </c>
      <c r="K29" s="347">
        <f>'Water-Meter'!E30</f>
        <v>50</v>
      </c>
      <c r="L29" s="526">
        <f>'Lpg (2)'!G34</f>
        <v>63.272000000020498</v>
      </c>
      <c r="M29" s="80" t="e">
        <f>SUM(#REF!-#REF!)</f>
        <v>#REF!</v>
      </c>
    </row>
    <row r="30" spans="1:13">
      <c r="A30" s="54">
        <f>Gen!B36</f>
        <v>44100</v>
      </c>
      <c r="B30" s="374">
        <f>'Daily report Gen'!AC31</f>
        <v>24</v>
      </c>
      <c r="C30" s="88">
        <f>Gen!C36</f>
        <v>2.5999999999999999E-2</v>
      </c>
      <c r="D30" s="512">
        <f t="shared" si="0"/>
        <v>4</v>
      </c>
      <c r="E30" s="75">
        <v>4</v>
      </c>
      <c r="F30" s="71">
        <f>Gen!U34</f>
        <v>2289</v>
      </c>
      <c r="G30" s="86">
        <f>Gen!T34</f>
        <v>1004.25</v>
      </c>
      <c r="H30" s="86">
        <f>Gen!AK36</f>
        <v>0</v>
      </c>
      <c r="I30" s="86">
        <f t="shared" si="1"/>
        <v>1004.25</v>
      </c>
      <c r="J30" s="525">
        <f>Gen!D36</f>
        <v>26334.269999999993</v>
      </c>
      <c r="K30" s="347">
        <f>'Water-Meter'!E31</f>
        <v>55</v>
      </c>
      <c r="L30" s="526">
        <f>'Lpg (2)'!G35</f>
        <v>63.668000000005129</v>
      </c>
      <c r="M30" s="80" t="e">
        <f>SUM(#REF!-#REF!)</f>
        <v>#REF!</v>
      </c>
    </row>
    <row r="31" spans="1:13">
      <c r="A31" s="54">
        <f>Gen!B37</f>
        <v>44101</v>
      </c>
      <c r="B31" s="374">
        <f>'Daily report Gen'!AC32</f>
        <v>26</v>
      </c>
      <c r="C31" s="88">
        <f>Gen!C37</f>
        <v>5.1900000000000002E-2</v>
      </c>
      <c r="D31" s="512">
        <f t="shared" si="0"/>
        <v>5</v>
      </c>
      <c r="E31" s="75">
        <v>5</v>
      </c>
      <c r="F31" s="71">
        <f>Gen!U35</f>
        <v>2244</v>
      </c>
      <c r="G31" s="86">
        <f>Gen!T35</f>
        <v>1019.08</v>
      </c>
      <c r="H31" s="86">
        <f>Gen!AK37</f>
        <v>0</v>
      </c>
      <c r="I31" s="86">
        <f t="shared" si="1"/>
        <v>1019.08</v>
      </c>
      <c r="J31" s="525">
        <f>Gen!D37</f>
        <v>43455.469999999994</v>
      </c>
      <c r="K31" s="347">
        <f>'Water-Meter'!E32</f>
        <v>58</v>
      </c>
      <c r="L31" s="526">
        <f>'Lpg (2)'!G36</f>
        <v>54.691999999969269</v>
      </c>
      <c r="M31" s="80" t="e">
        <f>SUM(#REF!-#REF!)</f>
        <v>#REF!</v>
      </c>
    </row>
    <row r="32" spans="1:13">
      <c r="A32" s="54">
        <f>Gen!B38</f>
        <v>44102</v>
      </c>
      <c r="B32" s="374">
        <f>'Daily report Gen'!AC33</f>
        <v>24</v>
      </c>
      <c r="C32" s="88">
        <f>Gen!C38</f>
        <v>5.1900000000000002E-2</v>
      </c>
      <c r="D32" s="512">
        <f t="shared" si="0"/>
        <v>5</v>
      </c>
      <c r="E32" s="75">
        <v>5</v>
      </c>
      <c r="F32" s="71">
        <f>Gen!U36</f>
        <v>2313</v>
      </c>
      <c r="G32" s="86">
        <f>Gen!T36</f>
        <v>878.8</v>
      </c>
      <c r="H32" s="86">
        <f>Gen!AK38</f>
        <v>0</v>
      </c>
      <c r="I32" s="86">
        <f t="shared" si="1"/>
        <v>878.8</v>
      </c>
      <c r="J32" s="525">
        <f>Gen!D38</f>
        <v>42479.729999999996</v>
      </c>
      <c r="K32" s="347">
        <f>'Water-Meter'!E33</f>
        <v>52</v>
      </c>
      <c r="L32" s="526">
        <f>'Lpg (2)'!G37</f>
        <v>75.679999999987203</v>
      </c>
      <c r="M32" s="80" t="e">
        <f>SUM(#REF!-#REF!)</f>
        <v>#REF!</v>
      </c>
    </row>
    <row r="33" spans="1:13">
      <c r="A33" s="54">
        <f>Gen!B39</f>
        <v>44103</v>
      </c>
      <c r="B33" s="374">
        <f>'Daily report Gen'!AC34</f>
        <v>-154334</v>
      </c>
      <c r="C33" s="88">
        <f>Gen!C39</f>
        <v>5.1900000000000002E-2</v>
      </c>
      <c r="D33" s="512">
        <f t="shared" si="0"/>
        <v>5</v>
      </c>
      <c r="E33" s="75">
        <v>5</v>
      </c>
      <c r="F33" s="71">
        <f>Gen!U37</f>
        <v>2327</v>
      </c>
      <c r="G33" s="86">
        <f>Gen!T37</f>
        <v>975.74</v>
      </c>
      <c r="H33" s="86">
        <f>Gen!AK39</f>
        <v>0</v>
      </c>
      <c r="I33" s="86">
        <f t="shared" si="1"/>
        <v>975.74</v>
      </c>
      <c r="J33" s="525">
        <f>Gen!D39</f>
        <v>41510.339999999997</v>
      </c>
      <c r="K33" s="347" t="str">
        <f>'Water-Meter'!E34</f>
        <v>0</v>
      </c>
      <c r="L33" s="526">
        <f>'Lpg (2)'!G38</f>
        <v>-318841.51199999999</v>
      </c>
      <c r="M33" s="80" t="e">
        <f>SUM(#REF!-#REF!)</f>
        <v>#REF!</v>
      </c>
    </row>
    <row r="34" spans="1:13">
      <c r="A34" s="54">
        <f>Gen!B40</f>
        <v>44104</v>
      </c>
      <c r="B34" s="374">
        <f>'Daily report Gen'!AC35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2289</v>
      </c>
      <c r="G34" s="86">
        <f>Gen!T38</f>
        <v>969.3900000000001</v>
      </c>
      <c r="H34" s="86">
        <f>Gen!AK40</f>
        <v>0</v>
      </c>
      <c r="I34" s="86">
        <f t="shared" si="1"/>
        <v>969.3900000000001</v>
      </c>
      <c r="J34" s="525">
        <f>Gen!D40</f>
        <v>41510.339999999997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0</v>
      </c>
      <c r="B35" s="374">
        <f>'Daily report Gen'!AC36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41510.339999999997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Gen'!AC37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41510.339999999997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38"/>
  <sheetViews>
    <sheetView topLeftCell="A20" workbookViewId="0">
      <pane xSplit="1" topLeftCell="J1" activePane="topRight" state="frozen"/>
      <selection pane="topRight" activeCell="AD36" sqref="AD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10" width="12.42578125" customWidth="1"/>
    <col min="11" max="13" width="13.42578125" customWidth="1"/>
    <col min="14" max="14" width="10.85546875" customWidth="1"/>
    <col min="15" max="15" width="12.5703125" customWidth="1"/>
    <col min="16" max="16" width="9" customWidth="1"/>
    <col min="17" max="17" width="10.28515625" customWidth="1"/>
    <col min="18" max="18" width="11.7109375" customWidth="1"/>
    <col min="19" max="19" width="8.28515625" customWidth="1"/>
    <col min="20" max="20" width="10.140625" customWidth="1"/>
    <col min="21" max="21" width="12.28515625" customWidth="1"/>
    <col min="22" max="22" width="9.140625" customWidth="1"/>
    <col min="23" max="23" width="10.42578125" customWidth="1"/>
    <col min="24" max="24" width="12.140625" customWidth="1"/>
    <col min="25" max="25" width="8.42578125" customWidth="1"/>
    <col min="26" max="26" width="10.42578125" customWidth="1"/>
    <col min="27" max="27" width="12.140625" customWidth="1"/>
    <col min="28" max="28" width="7.85546875" customWidth="1"/>
    <col min="29" max="29" width="9.140625" customWidth="1"/>
    <col min="30" max="30" width="10.85546875" customWidth="1"/>
    <col min="31" max="31" width="10.42578125" customWidth="1"/>
    <col min="32" max="32" width="11.7109375" customWidth="1"/>
  </cols>
  <sheetData>
    <row r="1" spans="1:32" ht="12.75" customHeight="1">
      <c r="A1" s="805">
        <f>A6</f>
        <v>44075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6"/>
      <c r="Q1" s="806"/>
      <c r="R1" s="806"/>
      <c r="S1" s="806"/>
      <c r="T1" s="806"/>
      <c r="U1" s="806"/>
      <c r="V1" s="806"/>
      <c r="W1" s="806"/>
      <c r="X1" s="806"/>
      <c r="Y1" s="806"/>
      <c r="Z1" s="806"/>
      <c r="AA1" s="806"/>
      <c r="AB1" s="806"/>
      <c r="AC1" s="806"/>
      <c r="AD1" s="806"/>
      <c r="AE1" s="806"/>
      <c r="AF1" s="20"/>
    </row>
    <row r="2" spans="1:32" ht="12" customHeight="1" thickBot="1">
      <c r="A2" s="806"/>
      <c r="B2" s="806"/>
      <c r="C2" s="806"/>
      <c r="D2" s="806"/>
      <c r="E2" s="806"/>
      <c r="F2" s="806"/>
      <c r="G2" s="806"/>
      <c r="H2" s="806"/>
      <c r="I2" s="806"/>
      <c r="J2" s="806"/>
      <c r="K2" s="806"/>
      <c r="L2" s="806"/>
      <c r="M2" s="806"/>
      <c r="N2" s="806"/>
      <c r="O2" s="806"/>
      <c r="P2" s="806"/>
      <c r="Q2" s="806"/>
      <c r="R2" s="806"/>
      <c r="S2" s="806"/>
      <c r="T2" s="806"/>
      <c r="U2" s="806"/>
      <c r="V2" s="806"/>
      <c r="W2" s="806"/>
      <c r="X2" s="806"/>
      <c r="Y2" s="806"/>
      <c r="Z2" s="806"/>
      <c r="AA2" s="806"/>
      <c r="AB2" s="806"/>
      <c r="AC2" s="806"/>
      <c r="AD2" s="806"/>
      <c r="AE2" s="806"/>
      <c r="AF2" s="20"/>
    </row>
    <row r="3" spans="1:32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40"/>
      <c r="K3" s="20"/>
      <c r="L3" s="20"/>
      <c r="M3" s="20"/>
      <c r="N3" s="807" t="s">
        <v>296</v>
      </c>
      <c r="O3" s="808"/>
      <c r="P3" s="809"/>
      <c r="Q3" s="807" t="s">
        <v>297</v>
      </c>
      <c r="R3" s="808"/>
      <c r="S3" s="809"/>
      <c r="T3" s="807" t="s">
        <v>298</v>
      </c>
      <c r="U3" s="808"/>
      <c r="V3" s="809"/>
      <c r="W3" s="807" t="s">
        <v>299</v>
      </c>
      <c r="X3" s="808"/>
      <c r="Y3" s="809"/>
      <c r="Z3" s="807" t="s">
        <v>300</v>
      </c>
      <c r="AA3" s="808"/>
      <c r="AB3" s="809"/>
      <c r="AC3" s="358"/>
      <c r="AD3" s="20"/>
      <c r="AE3" s="20"/>
      <c r="AF3" s="20"/>
    </row>
    <row r="4" spans="1:32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240</v>
      </c>
      <c r="G4" s="394" t="s">
        <v>91</v>
      </c>
      <c r="H4" s="393" t="s">
        <v>92</v>
      </c>
      <c r="I4" s="394" t="s">
        <v>331</v>
      </c>
      <c r="J4" s="768" t="s">
        <v>333</v>
      </c>
      <c r="K4" s="395" t="s">
        <v>332</v>
      </c>
      <c r="L4" s="768" t="s">
        <v>333</v>
      </c>
      <c r="M4" s="768" t="s">
        <v>334</v>
      </c>
      <c r="N4" s="396" t="s">
        <v>189</v>
      </c>
      <c r="O4" s="394" t="s">
        <v>190</v>
      </c>
      <c r="P4" s="394" t="s">
        <v>200</v>
      </c>
      <c r="Q4" s="396" t="s">
        <v>189</v>
      </c>
      <c r="R4" s="394" t="s">
        <v>190</v>
      </c>
      <c r="S4" s="394" t="s">
        <v>200</v>
      </c>
      <c r="T4" s="396" t="s">
        <v>189</v>
      </c>
      <c r="U4" s="394" t="s">
        <v>190</v>
      </c>
      <c r="V4" s="394" t="s">
        <v>200</v>
      </c>
      <c r="W4" s="396" t="s">
        <v>189</v>
      </c>
      <c r="X4" s="394" t="s">
        <v>190</v>
      </c>
      <c r="Y4" s="394" t="s">
        <v>200</v>
      </c>
      <c r="Z4" s="396" t="s">
        <v>189</v>
      </c>
      <c r="AA4" s="394" t="s">
        <v>190</v>
      </c>
      <c r="AB4" s="395" t="s">
        <v>200</v>
      </c>
      <c r="AC4" s="397" t="s">
        <v>191</v>
      </c>
      <c r="AD4" s="393" t="s">
        <v>172</v>
      </c>
      <c r="AE4" s="398" t="s">
        <v>93</v>
      </c>
      <c r="AF4" s="399" t="s">
        <v>193</v>
      </c>
    </row>
    <row r="5" spans="1:32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769" t="s">
        <v>335</v>
      </c>
      <c r="K5" s="360"/>
      <c r="L5" s="769" t="s">
        <v>335</v>
      </c>
      <c r="M5" s="769"/>
      <c r="N5" s="555"/>
      <c r="O5" s="360">
        <v>34999</v>
      </c>
      <c r="P5" s="555"/>
      <c r="Q5" s="360"/>
      <c r="R5" s="360">
        <v>30116</v>
      </c>
      <c r="S5" s="391"/>
      <c r="T5" s="360"/>
      <c r="U5" s="360">
        <v>35490</v>
      </c>
      <c r="V5" s="391"/>
      <c r="W5" s="360"/>
      <c r="X5" s="360">
        <v>32209</v>
      </c>
      <c r="Y5" s="391"/>
      <c r="Z5" s="360"/>
      <c r="AA5" s="360">
        <v>20830</v>
      </c>
      <c r="AB5" s="391"/>
      <c r="AC5" s="391"/>
      <c r="AD5" s="127">
        <v>150</v>
      </c>
      <c r="AE5" s="127">
        <v>74</v>
      </c>
      <c r="AF5" s="391"/>
    </row>
    <row r="6" spans="1:32" ht="20.100000000000001" customHeight="1">
      <c r="A6" s="308">
        <f>Gen!B11</f>
        <v>44075</v>
      </c>
      <c r="B6" s="392">
        <v>3.9E-2</v>
      </c>
      <c r="C6" s="360">
        <v>22190.42</v>
      </c>
      <c r="D6" s="360">
        <v>16140.2</v>
      </c>
      <c r="E6" s="360"/>
      <c r="F6" s="360"/>
      <c r="G6" s="360">
        <v>69.209999999999994</v>
      </c>
      <c r="H6" s="360"/>
      <c r="I6" s="360">
        <v>30924.400000000001</v>
      </c>
      <c r="J6" s="769">
        <f>SUM(I7-I6)*351</f>
        <v>1158.2999999997446</v>
      </c>
      <c r="K6" s="360">
        <v>20515.400000000001</v>
      </c>
      <c r="L6" s="769">
        <f>SUM(K7-K6)*351</f>
        <v>947.69999999897846</v>
      </c>
      <c r="M6" s="769">
        <f>J6+L6</f>
        <v>2105.9999999987231</v>
      </c>
      <c r="N6" s="359">
        <f>O5</f>
        <v>34999</v>
      </c>
      <c r="O6" s="360">
        <v>35011</v>
      </c>
      <c r="P6" s="359">
        <f>O6-N6</f>
        <v>12</v>
      </c>
      <c r="Q6" s="361">
        <f>R5</f>
        <v>30116</v>
      </c>
      <c r="R6" s="360">
        <v>30116</v>
      </c>
      <c r="S6" s="359">
        <f>R6-Q6</f>
        <v>0</v>
      </c>
      <c r="T6" s="359">
        <f>U5</f>
        <v>35490</v>
      </c>
      <c r="U6" s="360">
        <v>35491</v>
      </c>
      <c r="V6" s="359">
        <f>U6-T6</f>
        <v>1</v>
      </c>
      <c r="W6" s="359">
        <f>X5</f>
        <v>32209</v>
      </c>
      <c r="X6" s="360">
        <v>32220</v>
      </c>
      <c r="Y6" s="359">
        <f>X6-W6</f>
        <v>11</v>
      </c>
      <c r="Z6" s="361">
        <f>AA5</f>
        <v>20830</v>
      </c>
      <c r="AA6" s="360">
        <v>20831</v>
      </c>
      <c r="AB6" s="359">
        <f>AA6-Z6</f>
        <v>1</v>
      </c>
      <c r="AC6" s="362">
        <f>AB6+Y6+V6+S6+P6</f>
        <v>25</v>
      </c>
      <c r="AD6" s="127">
        <v>160</v>
      </c>
      <c r="AE6" s="127">
        <v>100</v>
      </c>
      <c r="AF6" s="312">
        <f>Gen!T11</f>
        <v>891.43</v>
      </c>
    </row>
    <row r="7" spans="1:32" ht="20.100000000000001" customHeight="1">
      <c r="A7" s="308">
        <f>Gen!B12</f>
        <v>44076</v>
      </c>
      <c r="B7" s="392">
        <v>3.9E-2</v>
      </c>
      <c r="C7" s="360">
        <v>21229.78</v>
      </c>
      <c r="D7" s="360">
        <v>16140.2</v>
      </c>
      <c r="E7" s="360"/>
      <c r="F7" s="360"/>
      <c r="G7" s="360">
        <v>80.650000000000006</v>
      </c>
      <c r="H7" s="360"/>
      <c r="I7" s="360">
        <v>30927.7</v>
      </c>
      <c r="J7" s="769">
        <f t="shared" ref="J7:J36" si="0">SUM(I8-I7)*351</f>
        <v>1193.3999999992338</v>
      </c>
      <c r="K7" s="360">
        <v>20518.099999999999</v>
      </c>
      <c r="L7" s="769">
        <f t="shared" ref="L7:L36" si="1">SUM(K8-K7)*351</f>
        <v>982.80000000102154</v>
      </c>
      <c r="M7" s="769">
        <f t="shared" ref="M7:M36" si="2">J7+L7</f>
        <v>2176.2000000002554</v>
      </c>
      <c r="N7" s="359">
        <f t="shared" ref="N7:N37" si="3">O6</f>
        <v>35011</v>
      </c>
      <c r="O7" s="360">
        <v>35012</v>
      </c>
      <c r="P7" s="359">
        <f t="shared" ref="P7:P37" si="4">O7-N7</f>
        <v>1</v>
      </c>
      <c r="Q7" s="361">
        <f t="shared" ref="Q7:Q37" si="5">R6</f>
        <v>30116</v>
      </c>
      <c r="R7" s="360">
        <v>30127</v>
      </c>
      <c r="S7" s="359">
        <f t="shared" ref="S7:S37" si="6">R7-Q7</f>
        <v>11</v>
      </c>
      <c r="T7" s="359">
        <f t="shared" ref="T7:T37" si="7">U6</f>
        <v>35491</v>
      </c>
      <c r="U7" s="360">
        <v>35503</v>
      </c>
      <c r="V7" s="359">
        <f t="shared" ref="V7:V37" si="8">U7-T7</f>
        <v>12</v>
      </c>
      <c r="W7" s="359">
        <f t="shared" ref="W7:W37" si="9">X6</f>
        <v>32220</v>
      </c>
      <c r="X7" s="360">
        <v>32220</v>
      </c>
      <c r="Y7" s="359">
        <f t="shared" ref="Y7:Y37" si="10">X7-W7</f>
        <v>0</v>
      </c>
      <c r="Z7" s="361">
        <f t="shared" ref="Z7:Z37" si="11">AA6</f>
        <v>20831</v>
      </c>
      <c r="AA7" s="360">
        <v>20831</v>
      </c>
      <c r="AB7" s="359">
        <f t="shared" ref="AB7:AB37" si="12">AA7-Z7</f>
        <v>0</v>
      </c>
      <c r="AC7" s="362">
        <f t="shared" ref="AC7:AC25" si="13">AB7+Y7+V7+S7+P7</f>
        <v>24</v>
      </c>
      <c r="AD7" s="127">
        <v>200</v>
      </c>
      <c r="AE7" s="127">
        <v>98</v>
      </c>
      <c r="AF7" s="312">
        <f>Gen!T12</f>
        <v>821.92000000000007</v>
      </c>
    </row>
    <row r="8" spans="1:32" ht="20.100000000000001" customHeight="1">
      <c r="A8" s="308">
        <f>Gen!B13</f>
        <v>44077</v>
      </c>
      <c r="B8" s="392">
        <v>3.9E-2</v>
      </c>
      <c r="C8" s="360">
        <v>20407.86</v>
      </c>
      <c r="D8" s="360">
        <v>16140.2</v>
      </c>
      <c r="E8" s="360"/>
      <c r="F8" s="360"/>
      <c r="G8" s="360">
        <v>10.02</v>
      </c>
      <c r="H8" s="360"/>
      <c r="I8" s="360">
        <v>30931.1</v>
      </c>
      <c r="J8" s="769">
        <f t="shared" si="0"/>
        <v>1088.1000000007662</v>
      </c>
      <c r="K8" s="360">
        <v>20520.900000000001</v>
      </c>
      <c r="L8" s="769">
        <f t="shared" si="1"/>
        <v>1053</v>
      </c>
      <c r="M8" s="769">
        <f t="shared" si="2"/>
        <v>2141.1000000007662</v>
      </c>
      <c r="N8" s="359">
        <f t="shared" si="3"/>
        <v>35012</v>
      </c>
      <c r="O8" s="360">
        <v>35024</v>
      </c>
      <c r="P8" s="359">
        <f t="shared" si="4"/>
        <v>12</v>
      </c>
      <c r="Q8" s="361">
        <f t="shared" si="5"/>
        <v>30127</v>
      </c>
      <c r="R8" s="360">
        <v>30127</v>
      </c>
      <c r="S8" s="359">
        <f t="shared" si="6"/>
        <v>0</v>
      </c>
      <c r="T8" s="359">
        <f t="shared" si="7"/>
        <v>35503</v>
      </c>
      <c r="U8" s="360">
        <v>35504</v>
      </c>
      <c r="V8" s="359">
        <f t="shared" si="8"/>
        <v>1</v>
      </c>
      <c r="W8" s="359">
        <f t="shared" si="9"/>
        <v>32220</v>
      </c>
      <c r="X8" s="360">
        <v>32220</v>
      </c>
      <c r="Y8" s="359">
        <f t="shared" si="10"/>
        <v>0</v>
      </c>
      <c r="Z8" s="361">
        <f t="shared" si="11"/>
        <v>20831</v>
      </c>
      <c r="AA8" s="360">
        <v>20842</v>
      </c>
      <c r="AB8" s="359">
        <f t="shared" si="12"/>
        <v>11</v>
      </c>
      <c r="AC8" s="362">
        <f t="shared" si="13"/>
        <v>24</v>
      </c>
      <c r="AD8" s="127">
        <v>220</v>
      </c>
      <c r="AE8" s="127">
        <v>120</v>
      </c>
      <c r="AF8" s="312">
        <f>Gen!T13</f>
        <v>1090.28</v>
      </c>
    </row>
    <row r="9" spans="1:32" ht="20.100000000000001" customHeight="1">
      <c r="A9" s="308">
        <f>Gen!B14</f>
        <v>44078</v>
      </c>
      <c r="B9" s="392">
        <v>9.0899999999999995E-2</v>
      </c>
      <c r="C9" s="360">
        <v>19227.93</v>
      </c>
      <c r="D9" s="360">
        <v>16140.2</v>
      </c>
      <c r="E9" s="360"/>
      <c r="F9" s="360"/>
      <c r="G9" s="360"/>
      <c r="H9" s="360"/>
      <c r="I9" s="360">
        <v>30934.2</v>
      </c>
      <c r="J9" s="769">
        <f t="shared" si="0"/>
        <v>1228.5</v>
      </c>
      <c r="K9" s="360">
        <v>20523.900000000001</v>
      </c>
      <c r="L9" s="769">
        <f t="shared" si="1"/>
        <v>1158.2999999997446</v>
      </c>
      <c r="M9" s="769">
        <f t="shared" si="2"/>
        <v>2386.7999999997446</v>
      </c>
      <c r="N9" s="359">
        <f t="shared" si="3"/>
        <v>35024</v>
      </c>
      <c r="O9" s="360">
        <v>35024</v>
      </c>
      <c r="P9" s="359">
        <f t="shared" si="4"/>
        <v>0</v>
      </c>
      <c r="Q9" s="361">
        <f t="shared" si="5"/>
        <v>30127</v>
      </c>
      <c r="R9" s="360">
        <v>30127</v>
      </c>
      <c r="S9" s="359">
        <f t="shared" si="6"/>
        <v>0</v>
      </c>
      <c r="T9" s="359">
        <f t="shared" si="7"/>
        <v>35504</v>
      </c>
      <c r="U9" s="360">
        <v>35504</v>
      </c>
      <c r="V9" s="359">
        <f t="shared" si="8"/>
        <v>0</v>
      </c>
      <c r="W9" s="359">
        <f t="shared" si="9"/>
        <v>32220</v>
      </c>
      <c r="X9" s="360">
        <v>32233</v>
      </c>
      <c r="Y9" s="359">
        <f t="shared" si="10"/>
        <v>13</v>
      </c>
      <c r="Z9" s="361">
        <f t="shared" si="11"/>
        <v>20842</v>
      </c>
      <c r="AA9" s="360">
        <v>20854</v>
      </c>
      <c r="AB9" s="359">
        <f t="shared" si="12"/>
        <v>12</v>
      </c>
      <c r="AC9" s="362">
        <f t="shared" si="13"/>
        <v>25</v>
      </c>
      <c r="AD9" s="127">
        <v>180</v>
      </c>
      <c r="AE9" s="127">
        <v>100</v>
      </c>
      <c r="AF9" s="312">
        <f>Gen!T14</f>
        <v>868.39</v>
      </c>
    </row>
    <row r="10" spans="1:32" ht="20.100000000000001" customHeight="1">
      <c r="A10" s="308">
        <f>Gen!B15</f>
        <v>44079</v>
      </c>
      <c r="B10" s="392">
        <v>9.0899999999999995E-2</v>
      </c>
      <c r="C10" s="360">
        <v>18358.52</v>
      </c>
      <c r="D10" s="360">
        <v>16140.2</v>
      </c>
      <c r="E10" s="360"/>
      <c r="F10" s="360"/>
      <c r="G10" s="360">
        <v>27.01</v>
      </c>
      <c r="H10" s="360"/>
      <c r="I10" s="360">
        <v>30937.7</v>
      </c>
      <c r="J10" s="769">
        <f t="shared" si="0"/>
        <v>2246.3999999992338</v>
      </c>
      <c r="K10" s="360">
        <v>20527.2</v>
      </c>
      <c r="L10" s="769">
        <f t="shared" si="1"/>
        <v>2070.8999999992338</v>
      </c>
      <c r="M10" s="769">
        <f t="shared" si="2"/>
        <v>4317.2999999984677</v>
      </c>
      <c r="N10" s="359">
        <f t="shared" si="3"/>
        <v>35024</v>
      </c>
      <c r="O10" s="360">
        <v>35036</v>
      </c>
      <c r="P10" s="359">
        <f t="shared" si="4"/>
        <v>12</v>
      </c>
      <c r="Q10" s="361">
        <f t="shared" si="5"/>
        <v>30127</v>
      </c>
      <c r="R10" s="360">
        <v>30139</v>
      </c>
      <c r="S10" s="359">
        <f t="shared" si="6"/>
        <v>12</v>
      </c>
      <c r="T10" s="359">
        <f t="shared" si="7"/>
        <v>35504</v>
      </c>
      <c r="U10" s="360">
        <v>35504</v>
      </c>
      <c r="V10" s="359">
        <f t="shared" si="8"/>
        <v>0</v>
      </c>
      <c r="W10" s="359">
        <f t="shared" si="9"/>
        <v>32233</v>
      </c>
      <c r="X10" s="360">
        <v>32233</v>
      </c>
      <c r="Y10" s="359">
        <f t="shared" si="10"/>
        <v>0</v>
      </c>
      <c r="Z10" s="361">
        <f t="shared" si="11"/>
        <v>20854</v>
      </c>
      <c r="AA10" s="360">
        <v>20854</v>
      </c>
      <c r="AB10" s="359">
        <f t="shared" si="12"/>
        <v>0</v>
      </c>
      <c r="AC10" s="362">
        <f t="shared" si="13"/>
        <v>24</v>
      </c>
      <c r="AD10" s="127">
        <v>130</v>
      </c>
      <c r="AE10" s="127">
        <v>75</v>
      </c>
      <c r="AF10" s="312">
        <f>Gen!T15</f>
        <v>841.98</v>
      </c>
    </row>
    <row r="11" spans="1:32" ht="20.100000000000001" customHeight="1">
      <c r="A11" s="308">
        <f>Gen!B16</f>
        <v>44080</v>
      </c>
      <c r="B11" s="392">
        <v>9.0899999999999995E-2</v>
      </c>
      <c r="C11" s="360">
        <v>17489.53</v>
      </c>
      <c r="D11" s="360">
        <v>16140.2</v>
      </c>
      <c r="E11" s="360"/>
      <c r="F11" s="360"/>
      <c r="G11" s="360"/>
      <c r="H11" s="360"/>
      <c r="I11" s="360">
        <v>30944.1</v>
      </c>
      <c r="J11" s="769">
        <f t="shared" si="0"/>
        <v>1053</v>
      </c>
      <c r="K11" s="360">
        <v>20533.099999999999</v>
      </c>
      <c r="L11" s="769">
        <f t="shared" si="1"/>
        <v>1053</v>
      </c>
      <c r="M11" s="769">
        <f t="shared" si="2"/>
        <v>2106</v>
      </c>
      <c r="N11" s="359">
        <f t="shared" si="3"/>
        <v>35036</v>
      </c>
      <c r="O11" s="360">
        <v>35036</v>
      </c>
      <c r="P11" s="359">
        <f t="shared" si="4"/>
        <v>0</v>
      </c>
      <c r="Q11" s="361">
        <f t="shared" si="5"/>
        <v>30139</v>
      </c>
      <c r="R11" s="360">
        <v>30139</v>
      </c>
      <c r="S11" s="359">
        <f t="shared" si="6"/>
        <v>0</v>
      </c>
      <c r="T11" s="359">
        <f t="shared" si="7"/>
        <v>35504</v>
      </c>
      <c r="U11" s="360">
        <v>35515</v>
      </c>
      <c r="V11" s="359">
        <f t="shared" si="8"/>
        <v>11</v>
      </c>
      <c r="W11" s="359">
        <f t="shared" si="9"/>
        <v>32233</v>
      </c>
      <c r="X11" s="360">
        <v>32245</v>
      </c>
      <c r="Y11" s="359">
        <f t="shared" si="10"/>
        <v>12</v>
      </c>
      <c r="Z11" s="361">
        <f t="shared" si="11"/>
        <v>20854</v>
      </c>
      <c r="AA11" s="360">
        <v>20854</v>
      </c>
      <c r="AB11" s="359">
        <f t="shared" si="12"/>
        <v>0</v>
      </c>
      <c r="AC11" s="362">
        <f t="shared" si="13"/>
        <v>23</v>
      </c>
      <c r="AD11" s="127">
        <v>180</v>
      </c>
      <c r="AE11" s="127">
        <v>99</v>
      </c>
      <c r="AF11" s="312">
        <f>Gen!T16</f>
        <v>938.54</v>
      </c>
    </row>
    <row r="12" spans="1:32" ht="20.100000000000001" customHeight="1">
      <c r="A12" s="308">
        <f>Gen!B17</f>
        <v>44081</v>
      </c>
      <c r="B12" s="392">
        <v>2.5999999999999999E-2</v>
      </c>
      <c r="C12" s="360">
        <v>16550.990000000002</v>
      </c>
      <c r="D12" s="360">
        <v>16140.2</v>
      </c>
      <c r="E12" s="360"/>
      <c r="F12" s="360"/>
      <c r="G12" s="360">
        <v>258.14</v>
      </c>
      <c r="H12" s="360"/>
      <c r="I12" s="360">
        <v>30947.1</v>
      </c>
      <c r="J12" s="769">
        <f t="shared" si="0"/>
        <v>1123.2000000002554</v>
      </c>
      <c r="K12" s="360">
        <v>20536.099999999999</v>
      </c>
      <c r="L12" s="769">
        <f t="shared" si="1"/>
        <v>1053</v>
      </c>
      <c r="M12" s="769">
        <f t="shared" si="2"/>
        <v>2176.2000000002554</v>
      </c>
      <c r="N12" s="359">
        <f t="shared" si="3"/>
        <v>35036</v>
      </c>
      <c r="O12" s="360">
        <v>35049</v>
      </c>
      <c r="P12" s="359">
        <f t="shared" si="4"/>
        <v>13</v>
      </c>
      <c r="Q12" s="361">
        <f t="shared" si="5"/>
        <v>30139</v>
      </c>
      <c r="R12" s="360">
        <v>30140</v>
      </c>
      <c r="S12" s="359">
        <f t="shared" si="6"/>
        <v>1</v>
      </c>
      <c r="T12" s="359">
        <f t="shared" si="7"/>
        <v>35515</v>
      </c>
      <c r="U12" s="360">
        <v>35515</v>
      </c>
      <c r="V12" s="359">
        <f t="shared" si="8"/>
        <v>0</v>
      </c>
      <c r="W12" s="359">
        <f t="shared" si="9"/>
        <v>32245</v>
      </c>
      <c r="X12" s="360">
        <v>32246</v>
      </c>
      <c r="Y12" s="359">
        <f t="shared" si="10"/>
        <v>1</v>
      </c>
      <c r="Z12" s="361">
        <f t="shared" si="11"/>
        <v>20854</v>
      </c>
      <c r="AA12" s="360">
        <v>20866</v>
      </c>
      <c r="AB12" s="359">
        <f t="shared" si="12"/>
        <v>12</v>
      </c>
      <c r="AC12" s="362">
        <f t="shared" si="13"/>
        <v>27</v>
      </c>
      <c r="AD12" s="127">
        <v>200</v>
      </c>
      <c r="AE12" s="127">
        <v>110</v>
      </c>
      <c r="AF12" s="312">
        <f>Gen!T17</f>
        <v>910.27</v>
      </c>
    </row>
    <row r="13" spans="1:32" ht="20.100000000000001" customHeight="1">
      <c r="A13" s="308">
        <f>Gen!B18</f>
        <v>44082</v>
      </c>
      <c r="B13" s="392">
        <v>3.9E-2</v>
      </c>
      <c r="C13" s="360">
        <v>15382.58</v>
      </c>
      <c r="D13" s="360">
        <v>16140.2</v>
      </c>
      <c r="E13" s="360"/>
      <c r="F13" s="360"/>
      <c r="G13" s="360">
        <v>123.3</v>
      </c>
      <c r="H13" s="360"/>
      <c r="I13" s="360">
        <v>30950.3</v>
      </c>
      <c r="J13" s="769">
        <f t="shared" si="0"/>
        <v>1088.1000000007662</v>
      </c>
      <c r="K13" s="360">
        <v>20539.099999999999</v>
      </c>
      <c r="L13" s="769">
        <f t="shared" si="1"/>
        <v>912.60000000076616</v>
      </c>
      <c r="M13" s="769">
        <f t="shared" si="2"/>
        <v>2000.7000000015323</v>
      </c>
      <c r="N13" s="359">
        <f t="shared" si="3"/>
        <v>35049</v>
      </c>
      <c r="O13" s="360">
        <v>35049</v>
      </c>
      <c r="P13" s="359">
        <f t="shared" si="4"/>
        <v>0</v>
      </c>
      <c r="Q13" s="361">
        <f t="shared" si="5"/>
        <v>30140</v>
      </c>
      <c r="R13" s="360">
        <v>30152</v>
      </c>
      <c r="S13" s="359">
        <f t="shared" si="6"/>
        <v>12</v>
      </c>
      <c r="T13" s="359">
        <f t="shared" si="7"/>
        <v>35515</v>
      </c>
      <c r="U13" s="360">
        <v>35528</v>
      </c>
      <c r="V13" s="359">
        <f t="shared" si="8"/>
        <v>13</v>
      </c>
      <c r="W13" s="359">
        <f t="shared" si="9"/>
        <v>32246</v>
      </c>
      <c r="X13" s="360">
        <v>32246</v>
      </c>
      <c r="Y13" s="359">
        <f t="shared" si="10"/>
        <v>0</v>
      </c>
      <c r="Z13" s="361">
        <f t="shared" si="11"/>
        <v>20866</v>
      </c>
      <c r="AA13" s="360">
        <v>20866</v>
      </c>
      <c r="AB13" s="359">
        <f t="shared" si="12"/>
        <v>0</v>
      </c>
      <c r="AC13" s="362">
        <f t="shared" si="13"/>
        <v>25</v>
      </c>
      <c r="AD13" s="127">
        <v>200</v>
      </c>
      <c r="AE13" s="127">
        <v>100</v>
      </c>
      <c r="AF13" s="312">
        <f>Gen!T18</f>
        <v>948.21</v>
      </c>
    </row>
    <row r="14" spans="1:32" ht="20.100000000000001" customHeight="1">
      <c r="A14" s="308">
        <f>Gen!B19</f>
        <v>44083</v>
      </c>
      <c r="B14" s="392">
        <v>6.5000000000000002E-2</v>
      </c>
      <c r="C14" s="360">
        <v>14311.07</v>
      </c>
      <c r="D14" s="360">
        <v>16140.2</v>
      </c>
      <c r="E14" s="360"/>
      <c r="F14" s="360"/>
      <c r="G14" s="360"/>
      <c r="H14" s="360"/>
      <c r="I14" s="360">
        <v>30953.4</v>
      </c>
      <c r="J14" s="769">
        <f t="shared" si="0"/>
        <v>1158.2999999997446</v>
      </c>
      <c r="K14" s="360">
        <v>20541.7</v>
      </c>
      <c r="L14" s="769">
        <f t="shared" si="1"/>
        <v>947.70000000025539</v>
      </c>
      <c r="M14" s="769">
        <f t="shared" si="2"/>
        <v>2106</v>
      </c>
      <c r="N14" s="359">
        <f t="shared" si="3"/>
        <v>35049</v>
      </c>
      <c r="O14" s="360">
        <v>35049</v>
      </c>
      <c r="P14" s="359">
        <f t="shared" si="4"/>
        <v>0</v>
      </c>
      <c r="Q14" s="361">
        <f t="shared" si="5"/>
        <v>30152</v>
      </c>
      <c r="R14" s="360">
        <v>30152</v>
      </c>
      <c r="S14" s="359">
        <f t="shared" si="6"/>
        <v>0</v>
      </c>
      <c r="T14" s="359">
        <f t="shared" si="7"/>
        <v>35528</v>
      </c>
      <c r="U14" s="360">
        <v>35528</v>
      </c>
      <c r="V14" s="359">
        <f t="shared" si="8"/>
        <v>0</v>
      </c>
      <c r="W14" s="359">
        <f t="shared" si="9"/>
        <v>32246</v>
      </c>
      <c r="X14" s="360">
        <v>32257</v>
      </c>
      <c r="Y14" s="359">
        <f t="shared" si="10"/>
        <v>11</v>
      </c>
      <c r="Z14" s="361">
        <f t="shared" si="11"/>
        <v>20866</v>
      </c>
      <c r="AA14" s="360">
        <v>20878</v>
      </c>
      <c r="AB14" s="359">
        <f t="shared" si="12"/>
        <v>12</v>
      </c>
      <c r="AC14" s="362">
        <f t="shared" si="13"/>
        <v>23</v>
      </c>
      <c r="AD14" s="127">
        <v>180</v>
      </c>
      <c r="AE14" s="127">
        <v>90</v>
      </c>
      <c r="AF14" s="312">
        <f>Gen!T19</f>
        <v>916.32999999999993</v>
      </c>
    </row>
    <row r="15" spans="1:32" ht="20.100000000000001" customHeight="1">
      <c r="A15" s="308">
        <f>Gen!B20</f>
        <v>44084</v>
      </c>
      <c r="B15" s="392">
        <v>1.2999999999999999E-2</v>
      </c>
      <c r="C15" s="360">
        <v>13394.74</v>
      </c>
      <c r="D15" s="360">
        <v>16140.2</v>
      </c>
      <c r="E15" s="360"/>
      <c r="F15" s="360"/>
      <c r="G15" s="360"/>
      <c r="H15" s="360"/>
      <c r="I15" s="360">
        <v>30956.7</v>
      </c>
      <c r="J15" s="769">
        <f t="shared" si="0"/>
        <v>0</v>
      </c>
      <c r="K15" s="360">
        <v>20544.400000000001</v>
      </c>
      <c r="L15" s="769">
        <f t="shared" si="1"/>
        <v>-7211084.4000000004</v>
      </c>
      <c r="M15" s="769">
        <f t="shared" si="2"/>
        <v>-7211084.4000000004</v>
      </c>
      <c r="N15" s="359">
        <f t="shared" si="3"/>
        <v>35049</v>
      </c>
      <c r="O15" s="360">
        <v>35060</v>
      </c>
      <c r="P15" s="359">
        <f t="shared" si="4"/>
        <v>11</v>
      </c>
      <c r="Q15" s="361">
        <f t="shared" si="5"/>
        <v>30152</v>
      </c>
      <c r="R15" s="360">
        <v>30152</v>
      </c>
      <c r="S15" s="359">
        <f t="shared" si="6"/>
        <v>0</v>
      </c>
      <c r="T15" s="359">
        <f t="shared" si="7"/>
        <v>35528</v>
      </c>
      <c r="U15" s="360">
        <v>35540</v>
      </c>
      <c r="V15" s="359">
        <f t="shared" si="8"/>
        <v>12</v>
      </c>
      <c r="W15" s="359">
        <f t="shared" si="9"/>
        <v>32257</v>
      </c>
      <c r="X15" s="360">
        <v>32258</v>
      </c>
      <c r="Y15" s="359">
        <f t="shared" si="10"/>
        <v>1</v>
      </c>
      <c r="Z15" s="361">
        <f t="shared" si="11"/>
        <v>20878</v>
      </c>
      <c r="AA15" s="360">
        <v>20878</v>
      </c>
      <c r="AB15" s="359">
        <f t="shared" si="12"/>
        <v>0</v>
      </c>
      <c r="AC15" s="362">
        <f t="shared" si="13"/>
        <v>24</v>
      </c>
      <c r="AD15" s="127">
        <v>190</v>
      </c>
      <c r="AE15" s="127">
        <v>90</v>
      </c>
      <c r="AF15" s="312">
        <f>Gen!T20</f>
        <v>978.04</v>
      </c>
    </row>
    <row r="16" spans="1:32" ht="20.100000000000001" customHeight="1">
      <c r="A16" s="308">
        <f>Gen!B21</f>
        <v>44085</v>
      </c>
      <c r="B16" s="392">
        <v>3.9E-2</v>
      </c>
      <c r="C16" s="360">
        <v>12416.7</v>
      </c>
      <c r="D16" s="360">
        <v>16140.2</v>
      </c>
      <c r="E16" s="360"/>
      <c r="F16" s="360"/>
      <c r="G16" s="360"/>
      <c r="H16" s="360"/>
      <c r="I16" s="360">
        <v>30956.7</v>
      </c>
      <c r="J16" s="769">
        <f t="shared" si="0"/>
        <v>1228.5</v>
      </c>
      <c r="K16" s="360"/>
      <c r="L16" s="769">
        <f t="shared" si="1"/>
        <v>7212032.0999999996</v>
      </c>
      <c r="M16" s="769">
        <f t="shared" si="2"/>
        <v>7213260.5999999996</v>
      </c>
      <c r="N16" s="359">
        <f t="shared" si="3"/>
        <v>35060</v>
      </c>
      <c r="O16" s="360">
        <v>35060</v>
      </c>
      <c r="P16" s="359">
        <f>O16-N16</f>
        <v>0</v>
      </c>
      <c r="Q16" s="361">
        <f t="shared" si="5"/>
        <v>30152</v>
      </c>
      <c r="R16" s="360">
        <v>30152</v>
      </c>
      <c r="S16" s="359">
        <f t="shared" si="6"/>
        <v>0</v>
      </c>
      <c r="T16" s="359">
        <f t="shared" si="7"/>
        <v>35540</v>
      </c>
      <c r="U16" s="360">
        <v>35540</v>
      </c>
      <c r="V16" s="359">
        <f t="shared" si="8"/>
        <v>0</v>
      </c>
      <c r="W16" s="359">
        <f t="shared" si="9"/>
        <v>32258</v>
      </c>
      <c r="X16" s="360">
        <v>32258</v>
      </c>
      <c r="Y16" s="359">
        <f t="shared" si="10"/>
        <v>0</v>
      </c>
      <c r="Z16" s="361">
        <f t="shared" si="11"/>
        <v>20878</v>
      </c>
      <c r="AA16" s="360">
        <v>20891</v>
      </c>
      <c r="AB16" s="359">
        <f t="shared" si="12"/>
        <v>13</v>
      </c>
      <c r="AC16" s="362">
        <f t="shared" si="13"/>
        <v>13</v>
      </c>
      <c r="AD16" s="127">
        <v>160</v>
      </c>
      <c r="AE16" s="127">
        <v>75</v>
      </c>
      <c r="AF16" s="312">
        <f>Gen!T21</f>
        <v>782.55</v>
      </c>
    </row>
    <row r="17" spans="1:32" ht="20.100000000000001" customHeight="1">
      <c r="A17" s="308">
        <f>Gen!B22</f>
        <v>44086</v>
      </c>
      <c r="B17" s="392">
        <v>0.02</v>
      </c>
      <c r="C17" s="767">
        <f>Gen!D22-'Daily report Gen'!D17</f>
        <v>14894.149999999994</v>
      </c>
      <c r="D17" s="360">
        <v>16140.2</v>
      </c>
      <c r="E17" s="584"/>
      <c r="F17" s="360"/>
      <c r="G17" s="360"/>
      <c r="H17" s="360"/>
      <c r="I17" s="360">
        <v>30960.2</v>
      </c>
      <c r="J17" s="769">
        <f t="shared" si="0"/>
        <v>2211.2999999997446</v>
      </c>
      <c r="K17" s="360">
        <v>20547.099999999999</v>
      </c>
      <c r="L17" s="769">
        <f t="shared" si="1"/>
        <v>1895.4000000005108</v>
      </c>
      <c r="M17" s="769">
        <f t="shared" si="2"/>
        <v>4106.7000000002554</v>
      </c>
      <c r="N17" s="359">
        <f>O16</f>
        <v>35060</v>
      </c>
      <c r="O17" s="360">
        <v>35060</v>
      </c>
      <c r="P17" s="359">
        <f>O17-N17</f>
        <v>0</v>
      </c>
      <c r="Q17" s="361">
        <f t="shared" si="5"/>
        <v>30152</v>
      </c>
      <c r="R17" s="360">
        <v>30164</v>
      </c>
      <c r="S17" s="359">
        <f t="shared" si="6"/>
        <v>12</v>
      </c>
      <c r="T17" s="359">
        <f t="shared" si="7"/>
        <v>35540</v>
      </c>
      <c r="U17" s="360">
        <v>35540</v>
      </c>
      <c r="V17" s="359">
        <f t="shared" si="8"/>
        <v>0</v>
      </c>
      <c r="W17" s="359">
        <f t="shared" si="9"/>
        <v>32258</v>
      </c>
      <c r="X17" s="360">
        <v>32258</v>
      </c>
      <c r="Y17" s="359">
        <f t="shared" si="10"/>
        <v>0</v>
      </c>
      <c r="Z17" s="361">
        <f t="shared" si="11"/>
        <v>20891</v>
      </c>
      <c r="AA17" s="360">
        <v>20903</v>
      </c>
      <c r="AB17" s="359">
        <f t="shared" si="12"/>
        <v>12</v>
      </c>
      <c r="AC17" s="362">
        <f t="shared" si="13"/>
        <v>24</v>
      </c>
      <c r="AD17" s="127">
        <v>200</v>
      </c>
      <c r="AE17" s="127">
        <v>90</v>
      </c>
      <c r="AF17" s="312">
        <f>Gen!T22</f>
        <v>732.78</v>
      </c>
    </row>
    <row r="18" spans="1:32" ht="20.100000000000001" customHeight="1">
      <c r="A18" s="308">
        <f>Gen!B23</f>
        <v>44087</v>
      </c>
      <c r="B18" s="392">
        <v>0.03</v>
      </c>
      <c r="C18" s="360">
        <v>10901.37</v>
      </c>
      <c r="D18" s="360">
        <v>16140.2</v>
      </c>
      <c r="E18" s="360"/>
      <c r="F18" s="360"/>
      <c r="G18" s="360"/>
      <c r="H18" s="360"/>
      <c r="I18" s="360">
        <v>30966.5</v>
      </c>
      <c r="J18" s="769">
        <f t="shared" si="0"/>
        <v>1158.2999999997446</v>
      </c>
      <c r="K18" s="360">
        <v>20552.5</v>
      </c>
      <c r="L18" s="769">
        <f t="shared" si="1"/>
        <v>912.59999999948923</v>
      </c>
      <c r="M18" s="769">
        <f t="shared" si="2"/>
        <v>2070.8999999992338</v>
      </c>
      <c r="N18" s="359">
        <f>O17</f>
        <v>35060</v>
      </c>
      <c r="O18" s="360">
        <v>35060</v>
      </c>
      <c r="P18" s="359">
        <f t="shared" si="4"/>
        <v>0</v>
      </c>
      <c r="Q18" s="361">
        <f t="shared" si="5"/>
        <v>30164</v>
      </c>
      <c r="R18" s="360">
        <v>30164</v>
      </c>
      <c r="S18" s="359">
        <f t="shared" si="6"/>
        <v>0</v>
      </c>
      <c r="T18" s="359">
        <f t="shared" si="7"/>
        <v>35540</v>
      </c>
      <c r="U18" s="360">
        <v>35540</v>
      </c>
      <c r="V18" s="359">
        <f t="shared" si="8"/>
        <v>0</v>
      </c>
      <c r="W18" s="359">
        <f t="shared" si="9"/>
        <v>32258</v>
      </c>
      <c r="X18" s="360">
        <v>32270</v>
      </c>
      <c r="Y18" s="359">
        <f t="shared" si="10"/>
        <v>12</v>
      </c>
      <c r="Z18" s="361">
        <f t="shared" si="11"/>
        <v>20903</v>
      </c>
      <c r="AA18" s="360">
        <v>20903</v>
      </c>
      <c r="AB18" s="359">
        <f t="shared" si="12"/>
        <v>0</v>
      </c>
      <c r="AC18" s="362">
        <f t="shared" si="13"/>
        <v>12</v>
      </c>
      <c r="AD18" s="127">
        <v>190</v>
      </c>
      <c r="AE18" s="127">
        <v>99</v>
      </c>
      <c r="AF18" s="312">
        <f>Gen!T23</f>
        <v>935.74</v>
      </c>
    </row>
    <row r="19" spans="1:32" ht="20.100000000000001" customHeight="1">
      <c r="A19" s="308">
        <f>Gen!B24</f>
        <v>44088</v>
      </c>
      <c r="B19" s="392">
        <v>0.04</v>
      </c>
      <c r="C19" s="360">
        <v>9894.59</v>
      </c>
      <c r="D19" s="360">
        <v>16140.2</v>
      </c>
      <c r="E19" s="360"/>
      <c r="F19" s="360"/>
      <c r="G19" s="360"/>
      <c r="H19" s="360"/>
      <c r="I19" s="360">
        <v>30969.8</v>
      </c>
      <c r="J19" s="769">
        <f t="shared" si="0"/>
        <v>1193.4000000005108</v>
      </c>
      <c r="K19" s="360">
        <v>20555.099999999999</v>
      </c>
      <c r="L19" s="769">
        <f t="shared" si="1"/>
        <v>912.60000000076616</v>
      </c>
      <c r="M19" s="769">
        <f t="shared" si="2"/>
        <v>2106.0000000012769</v>
      </c>
      <c r="N19" s="359">
        <f t="shared" si="3"/>
        <v>35060</v>
      </c>
      <c r="O19" s="360">
        <v>35073</v>
      </c>
      <c r="P19" s="359">
        <f t="shared" si="4"/>
        <v>13</v>
      </c>
      <c r="Q19" s="361">
        <f t="shared" si="5"/>
        <v>30164</v>
      </c>
      <c r="R19" s="360">
        <v>30164</v>
      </c>
      <c r="S19" s="359">
        <f t="shared" si="6"/>
        <v>0</v>
      </c>
      <c r="T19" s="359">
        <f t="shared" si="7"/>
        <v>35540</v>
      </c>
      <c r="U19" s="360">
        <v>35540</v>
      </c>
      <c r="V19" s="359">
        <f t="shared" si="8"/>
        <v>0</v>
      </c>
      <c r="W19" s="359">
        <f t="shared" si="9"/>
        <v>32270</v>
      </c>
      <c r="X19" s="360">
        <v>32282</v>
      </c>
      <c r="Y19" s="359">
        <f t="shared" si="10"/>
        <v>12</v>
      </c>
      <c r="Z19" s="361">
        <f t="shared" si="11"/>
        <v>20903</v>
      </c>
      <c r="AA19" s="360">
        <v>20903</v>
      </c>
      <c r="AB19" s="359">
        <f t="shared" si="12"/>
        <v>0</v>
      </c>
      <c r="AC19" s="362">
        <f t="shared" si="13"/>
        <v>25</v>
      </c>
      <c r="AD19" s="127">
        <v>200</v>
      </c>
      <c r="AE19" s="127">
        <v>110</v>
      </c>
      <c r="AF19" s="312">
        <f>Gen!T24</f>
        <v>890.08999999999992</v>
      </c>
    </row>
    <row r="20" spans="1:32" ht="20.100000000000001" customHeight="1">
      <c r="A20" s="308">
        <f>Gen!B25</f>
        <v>44089</v>
      </c>
      <c r="B20" s="392">
        <v>0.03</v>
      </c>
      <c r="C20" s="360">
        <v>9004.5</v>
      </c>
      <c r="D20" s="360">
        <v>16140.2</v>
      </c>
      <c r="E20" s="360"/>
      <c r="F20" s="360"/>
      <c r="G20" s="360"/>
      <c r="H20" s="360"/>
      <c r="I20" s="360">
        <v>30973.200000000001</v>
      </c>
      <c r="J20" s="769">
        <f t="shared" si="0"/>
        <v>1368.8999999992338</v>
      </c>
      <c r="K20" s="360">
        <v>20557.7</v>
      </c>
      <c r="L20" s="769">
        <f t="shared" si="1"/>
        <v>1474.2000000002554</v>
      </c>
      <c r="M20" s="769">
        <f t="shared" si="2"/>
        <v>2843.0999999994892</v>
      </c>
      <c r="N20" s="359">
        <f t="shared" si="3"/>
        <v>35073</v>
      </c>
      <c r="O20" s="360">
        <v>35086</v>
      </c>
      <c r="P20" s="359">
        <f t="shared" si="4"/>
        <v>13</v>
      </c>
      <c r="Q20" s="361">
        <f t="shared" si="5"/>
        <v>30164</v>
      </c>
      <c r="R20" s="360">
        <v>30164</v>
      </c>
      <c r="S20" s="359">
        <f t="shared" si="6"/>
        <v>0</v>
      </c>
      <c r="T20" s="359">
        <f t="shared" si="7"/>
        <v>35540</v>
      </c>
      <c r="U20" s="360">
        <v>35552</v>
      </c>
      <c r="V20" s="359">
        <f t="shared" si="8"/>
        <v>12</v>
      </c>
      <c r="W20" s="359">
        <f t="shared" si="9"/>
        <v>32282</v>
      </c>
      <c r="X20" s="360">
        <v>32282</v>
      </c>
      <c r="Y20" s="359">
        <f t="shared" si="10"/>
        <v>0</v>
      </c>
      <c r="Z20" s="361">
        <f t="shared" si="11"/>
        <v>20903</v>
      </c>
      <c r="AA20" s="360">
        <v>20904</v>
      </c>
      <c r="AB20" s="359">
        <f t="shared" si="12"/>
        <v>1</v>
      </c>
      <c r="AC20" s="362">
        <f t="shared" si="13"/>
        <v>26</v>
      </c>
      <c r="AD20" s="127">
        <v>190</v>
      </c>
      <c r="AE20" s="127">
        <v>100</v>
      </c>
      <c r="AF20" s="312">
        <f>Gen!T25</f>
        <v>888.98</v>
      </c>
    </row>
    <row r="21" spans="1:32" ht="20.100000000000001" customHeight="1">
      <c r="A21" s="308">
        <f>Gen!B26</f>
        <v>44090</v>
      </c>
      <c r="B21" s="392">
        <v>0.11</v>
      </c>
      <c r="C21" s="360">
        <v>8115.52</v>
      </c>
      <c r="D21" s="360">
        <v>16140.2</v>
      </c>
      <c r="E21" s="360"/>
      <c r="F21" s="360"/>
      <c r="G21" s="360"/>
      <c r="H21" s="360"/>
      <c r="I21" s="360">
        <v>30977.1</v>
      </c>
      <c r="J21" s="769">
        <f t="shared" si="0"/>
        <v>1404</v>
      </c>
      <c r="K21" s="360">
        <v>20561.900000000001</v>
      </c>
      <c r="L21" s="769">
        <f t="shared" si="1"/>
        <v>772.19999999897846</v>
      </c>
      <c r="M21" s="769">
        <f t="shared" si="2"/>
        <v>2176.1999999989785</v>
      </c>
      <c r="N21" s="359">
        <f t="shared" si="3"/>
        <v>35086</v>
      </c>
      <c r="O21" s="360">
        <v>35086</v>
      </c>
      <c r="P21" s="359">
        <f t="shared" si="4"/>
        <v>0</v>
      </c>
      <c r="Q21" s="361">
        <f t="shared" si="5"/>
        <v>30164</v>
      </c>
      <c r="R21" s="360">
        <v>30164</v>
      </c>
      <c r="S21" s="359">
        <f t="shared" si="6"/>
        <v>0</v>
      </c>
      <c r="T21" s="359">
        <f t="shared" si="7"/>
        <v>35552</v>
      </c>
      <c r="U21" s="360">
        <v>35564</v>
      </c>
      <c r="V21" s="359">
        <f t="shared" si="8"/>
        <v>12</v>
      </c>
      <c r="W21" s="359">
        <f t="shared" si="9"/>
        <v>32282</v>
      </c>
      <c r="X21" s="360">
        <v>32296</v>
      </c>
      <c r="Y21" s="359">
        <f t="shared" si="10"/>
        <v>14</v>
      </c>
      <c r="Z21" s="361">
        <f t="shared" si="11"/>
        <v>20904</v>
      </c>
      <c r="AA21" s="360">
        <v>20904</v>
      </c>
      <c r="AB21" s="359">
        <f t="shared" si="12"/>
        <v>0</v>
      </c>
      <c r="AC21" s="362">
        <f t="shared" si="13"/>
        <v>26</v>
      </c>
      <c r="AD21" s="127">
        <v>200</v>
      </c>
      <c r="AE21" s="127">
        <v>95</v>
      </c>
      <c r="AF21" s="312">
        <f>Gen!T26</f>
        <v>1095.46</v>
      </c>
    </row>
    <row r="22" spans="1:32" ht="18.75" customHeight="1">
      <c r="A22" s="308">
        <f>Gen!B27</f>
        <v>44091</v>
      </c>
      <c r="B22" s="392">
        <v>0.1</v>
      </c>
      <c r="C22" s="360">
        <v>6838.92</v>
      </c>
      <c r="D22" s="360">
        <v>16140.2</v>
      </c>
      <c r="E22" s="360"/>
      <c r="F22" s="360"/>
      <c r="G22" s="360"/>
      <c r="H22" s="360"/>
      <c r="I22" s="360">
        <v>30981.1</v>
      </c>
      <c r="J22" s="769">
        <f t="shared" si="0"/>
        <v>1404</v>
      </c>
      <c r="K22" s="360">
        <v>20564.099999999999</v>
      </c>
      <c r="L22" s="769">
        <f t="shared" si="1"/>
        <v>1123.2000000002554</v>
      </c>
      <c r="M22" s="769">
        <f t="shared" si="2"/>
        <v>2527.2000000002554</v>
      </c>
      <c r="N22" s="359">
        <f t="shared" si="3"/>
        <v>35086</v>
      </c>
      <c r="O22" s="360">
        <v>35098</v>
      </c>
      <c r="P22" s="359">
        <f t="shared" si="4"/>
        <v>12</v>
      </c>
      <c r="Q22" s="361">
        <f t="shared" si="5"/>
        <v>30164</v>
      </c>
      <c r="R22" s="360">
        <v>30164</v>
      </c>
      <c r="S22" s="359">
        <f t="shared" si="6"/>
        <v>0</v>
      </c>
      <c r="T22" s="359">
        <f t="shared" si="7"/>
        <v>35564</v>
      </c>
      <c r="U22" s="360">
        <v>35564</v>
      </c>
      <c r="V22" s="359">
        <f t="shared" si="8"/>
        <v>0</v>
      </c>
      <c r="W22" s="359">
        <f t="shared" si="9"/>
        <v>32296</v>
      </c>
      <c r="X22" s="360">
        <v>32296</v>
      </c>
      <c r="Y22" s="359">
        <f t="shared" si="10"/>
        <v>0</v>
      </c>
      <c r="Z22" s="361">
        <f t="shared" si="11"/>
        <v>20904</v>
      </c>
      <c r="AA22" s="360">
        <v>20915</v>
      </c>
      <c r="AB22" s="359">
        <f t="shared" si="12"/>
        <v>11</v>
      </c>
      <c r="AC22" s="362">
        <f t="shared" si="13"/>
        <v>23</v>
      </c>
      <c r="AD22" s="127">
        <v>210</v>
      </c>
      <c r="AE22" s="127">
        <v>120</v>
      </c>
      <c r="AF22" s="312">
        <f>Gen!T27</f>
        <v>1018.0699999999999</v>
      </c>
    </row>
    <row r="23" spans="1:32" ht="20.100000000000001" customHeight="1">
      <c r="A23" s="308">
        <f>Gen!B28</f>
        <v>44092</v>
      </c>
      <c r="B23" s="392">
        <v>0.12</v>
      </c>
      <c r="C23" s="360">
        <v>15795.44</v>
      </c>
      <c r="D23" s="360">
        <v>16140.2</v>
      </c>
      <c r="E23" s="584"/>
      <c r="F23" s="360"/>
      <c r="G23" s="360"/>
      <c r="H23" s="360"/>
      <c r="I23" s="360">
        <v>30985.1</v>
      </c>
      <c r="J23" s="769">
        <f t="shared" si="0"/>
        <v>1263.6000000007662</v>
      </c>
      <c r="K23" s="360">
        <v>20567.3</v>
      </c>
      <c r="L23" s="769">
        <f t="shared" si="1"/>
        <v>1088.1000000007662</v>
      </c>
      <c r="M23" s="769">
        <f t="shared" si="2"/>
        <v>2351.7000000015323</v>
      </c>
      <c r="N23" s="359">
        <f t="shared" si="3"/>
        <v>35098</v>
      </c>
      <c r="O23" s="360">
        <v>35098</v>
      </c>
      <c r="P23" s="359">
        <f t="shared" si="4"/>
        <v>0</v>
      </c>
      <c r="Q23" s="361">
        <f t="shared" si="5"/>
        <v>30164</v>
      </c>
      <c r="R23" s="360">
        <v>30165</v>
      </c>
      <c r="S23" s="359">
        <f t="shared" si="6"/>
        <v>1</v>
      </c>
      <c r="T23" s="359">
        <f t="shared" si="7"/>
        <v>35564</v>
      </c>
      <c r="U23" s="360">
        <v>35577</v>
      </c>
      <c r="V23" s="359">
        <f t="shared" si="8"/>
        <v>13</v>
      </c>
      <c r="W23" s="359">
        <f t="shared" si="9"/>
        <v>32296</v>
      </c>
      <c r="X23" s="360">
        <v>32296</v>
      </c>
      <c r="Y23" s="359">
        <f t="shared" si="10"/>
        <v>0</v>
      </c>
      <c r="Z23" s="361">
        <f t="shared" si="11"/>
        <v>20915</v>
      </c>
      <c r="AA23" s="360">
        <v>20927</v>
      </c>
      <c r="AB23" s="359">
        <f t="shared" si="12"/>
        <v>12</v>
      </c>
      <c r="AC23" s="362">
        <f t="shared" si="13"/>
        <v>26</v>
      </c>
      <c r="AD23" s="127">
        <v>230</v>
      </c>
      <c r="AE23" s="127">
        <v>130</v>
      </c>
      <c r="AF23" s="312">
        <f>Gen!T28</f>
        <v>1041.27</v>
      </c>
    </row>
    <row r="24" spans="1:32" ht="20.100000000000001" customHeight="1">
      <c r="A24" s="308">
        <f>Gen!B29</f>
        <v>44093</v>
      </c>
      <c r="B24" s="392">
        <v>9.0899999999999995E-2</v>
      </c>
      <c r="C24" s="360">
        <v>14754.17</v>
      </c>
      <c r="D24" s="360">
        <v>16140.2</v>
      </c>
      <c r="E24" s="360"/>
      <c r="F24" s="360"/>
      <c r="G24" s="360">
        <v>374.38</v>
      </c>
      <c r="H24" s="360"/>
      <c r="I24" s="360">
        <v>30988.7</v>
      </c>
      <c r="J24" s="769">
        <f t="shared" si="0"/>
        <v>1333.7999999997446</v>
      </c>
      <c r="K24" s="360">
        <v>20570.400000000001</v>
      </c>
      <c r="L24" s="769">
        <f t="shared" si="1"/>
        <v>1017.8999999992338</v>
      </c>
      <c r="M24" s="769">
        <f t="shared" si="2"/>
        <v>2351.6999999989785</v>
      </c>
      <c r="N24" s="359">
        <f t="shared" si="3"/>
        <v>35098</v>
      </c>
      <c r="O24" s="360">
        <v>35110</v>
      </c>
      <c r="P24" s="359">
        <f t="shared" si="4"/>
        <v>12</v>
      </c>
      <c r="Q24" s="361">
        <f t="shared" si="5"/>
        <v>30165</v>
      </c>
      <c r="R24" s="360">
        <v>30165</v>
      </c>
      <c r="S24" s="359">
        <f t="shared" si="6"/>
        <v>0</v>
      </c>
      <c r="T24" s="359">
        <f t="shared" si="7"/>
        <v>35577</v>
      </c>
      <c r="U24" s="360">
        <v>35589</v>
      </c>
      <c r="V24" s="359">
        <f t="shared" si="8"/>
        <v>12</v>
      </c>
      <c r="W24" s="359">
        <f t="shared" si="9"/>
        <v>32296</v>
      </c>
      <c r="X24" s="360">
        <v>32308</v>
      </c>
      <c r="Y24" s="359">
        <f t="shared" si="10"/>
        <v>12</v>
      </c>
      <c r="Z24" s="361">
        <f t="shared" si="11"/>
        <v>20927</v>
      </c>
      <c r="AA24" s="360">
        <v>20940</v>
      </c>
      <c r="AB24" s="359">
        <f t="shared" si="12"/>
        <v>13</v>
      </c>
      <c r="AC24" s="362">
        <f t="shared" si="13"/>
        <v>49</v>
      </c>
      <c r="AD24" s="127">
        <v>220</v>
      </c>
      <c r="AE24" s="127">
        <v>122</v>
      </c>
      <c r="AF24" s="312">
        <f>Gen!T29</f>
        <v>1129.8800000000001</v>
      </c>
    </row>
    <row r="25" spans="1:32" ht="18.75" customHeight="1">
      <c r="A25" s="308">
        <f>Gen!B30</f>
        <v>44094</v>
      </c>
      <c r="B25" s="392">
        <v>6.4899999999999999E-2</v>
      </c>
      <c r="C25" s="360">
        <v>13319.02</v>
      </c>
      <c r="D25" s="360">
        <v>16140.2</v>
      </c>
      <c r="E25" s="360"/>
      <c r="F25" s="360"/>
      <c r="G25" s="360">
        <v>44.98</v>
      </c>
      <c r="H25" s="360"/>
      <c r="I25" s="360">
        <v>30992.5</v>
      </c>
      <c r="J25" s="769">
        <f t="shared" si="0"/>
        <v>1263.5999999994892</v>
      </c>
      <c r="K25" s="360">
        <v>20573.3</v>
      </c>
      <c r="L25" s="769">
        <f t="shared" si="1"/>
        <v>1053</v>
      </c>
      <c r="M25" s="769">
        <f t="shared" si="2"/>
        <v>2316.5999999994892</v>
      </c>
      <c r="N25" s="359">
        <f t="shared" si="3"/>
        <v>35110</v>
      </c>
      <c r="O25" s="360">
        <v>35111</v>
      </c>
      <c r="P25" s="359">
        <f t="shared" si="4"/>
        <v>1</v>
      </c>
      <c r="Q25" s="361">
        <f t="shared" si="5"/>
        <v>30165</v>
      </c>
      <c r="R25" s="360">
        <v>30165</v>
      </c>
      <c r="S25" s="359">
        <f t="shared" si="6"/>
        <v>0</v>
      </c>
      <c r="T25" s="359">
        <f t="shared" si="7"/>
        <v>35589</v>
      </c>
      <c r="U25" s="360">
        <v>35601</v>
      </c>
      <c r="V25" s="359">
        <f t="shared" si="8"/>
        <v>12</v>
      </c>
      <c r="W25" s="359">
        <f t="shared" si="9"/>
        <v>32308</v>
      </c>
      <c r="X25" s="360">
        <v>32321</v>
      </c>
      <c r="Y25" s="359">
        <f t="shared" si="10"/>
        <v>13</v>
      </c>
      <c r="Z25" s="361">
        <f t="shared" si="11"/>
        <v>20940</v>
      </c>
      <c r="AA25" s="360">
        <v>20940</v>
      </c>
      <c r="AB25" s="359">
        <f t="shared" si="12"/>
        <v>0</v>
      </c>
      <c r="AC25" s="362">
        <f t="shared" si="13"/>
        <v>26</v>
      </c>
      <c r="AD25" s="127">
        <v>230</v>
      </c>
      <c r="AE25" s="127">
        <v>130</v>
      </c>
      <c r="AF25" s="312">
        <f>Gen!T30</f>
        <v>1055.6599999999999</v>
      </c>
    </row>
    <row r="26" spans="1:32" ht="20.100000000000001" customHeight="1">
      <c r="A26" s="308">
        <f>Gen!B31</f>
        <v>44095</v>
      </c>
      <c r="B26" s="392">
        <v>6.4899999999999999E-2</v>
      </c>
      <c r="C26" s="360">
        <v>12149.27</v>
      </c>
      <c r="D26" s="360">
        <v>16140.2</v>
      </c>
      <c r="E26" s="360"/>
      <c r="F26" s="360"/>
      <c r="G26" s="360"/>
      <c r="H26" s="360"/>
      <c r="I26" s="360">
        <v>30996.1</v>
      </c>
      <c r="J26" s="769">
        <f t="shared" si="0"/>
        <v>1193.4000000005108</v>
      </c>
      <c r="K26" s="360">
        <v>20576.3</v>
      </c>
      <c r="L26" s="769">
        <f t="shared" si="1"/>
        <v>1017.9000000005108</v>
      </c>
      <c r="M26" s="769">
        <f t="shared" si="2"/>
        <v>2211.3000000010215</v>
      </c>
      <c r="N26" s="359">
        <f t="shared" si="3"/>
        <v>35111</v>
      </c>
      <c r="O26" s="360">
        <v>35122</v>
      </c>
      <c r="P26" s="359">
        <f t="shared" si="4"/>
        <v>11</v>
      </c>
      <c r="Q26" s="361">
        <f t="shared" si="5"/>
        <v>30165</v>
      </c>
      <c r="R26" s="360">
        <v>30165</v>
      </c>
      <c r="S26" s="359">
        <f t="shared" si="6"/>
        <v>0</v>
      </c>
      <c r="T26" s="359">
        <f t="shared" si="7"/>
        <v>35601</v>
      </c>
      <c r="U26" s="360">
        <v>35601</v>
      </c>
      <c r="V26" s="359">
        <f t="shared" si="8"/>
        <v>0</v>
      </c>
      <c r="W26" s="359">
        <f t="shared" si="9"/>
        <v>32321</v>
      </c>
      <c r="X26" s="360">
        <v>32321</v>
      </c>
      <c r="Y26" s="359">
        <f t="shared" si="10"/>
        <v>0</v>
      </c>
      <c r="Z26" s="361">
        <f t="shared" si="11"/>
        <v>20940</v>
      </c>
      <c r="AA26" s="360">
        <v>20952</v>
      </c>
      <c r="AB26" s="359">
        <f t="shared" si="12"/>
        <v>12</v>
      </c>
      <c r="AC26" s="362">
        <f t="shared" ref="AC26:AC37" si="14">AB26+Y26+V26+S26+P26</f>
        <v>23</v>
      </c>
      <c r="AD26" s="127">
        <v>200</v>
      </c>
      <c r="AE26" s="127">
        <v>100</v>
      </c>
      <c r="AF26" s="312">
        <f>Gen!T31</f>
        <v>957.7</v>
      </c>
    </row>
    <row r="27" spans="1:32" ht="20.100000000000001" customHeight="1">
      <c r="A27" s="308">
        <f>Gen!B32</f>
        <v>44096</v>
      </c>
      <c r="B27" s="392">
        <v>2.5999999999999999E-2</v>
      </c>
      <c r="C27" s="360">
        <v>11191.57</v>
      </c>
      <c r="D27" s="360">
        <v>16140.2</v>
      </c>
      <c r="E27" s="360"/>
      <c r="F27" s="360"/>
      <c r="G27" s="360"/>
      <c r="H27" s="360"/>
      <c r="I27" s="360">
        <v>30999.5</v>
      </c>
      <c r="J27" s="769">
        <f t="shared" si="0"/>
        <v>1263.5999999994892</v>
      </c>
      <c r="K27" s="360">
        <v>20579.2</v>
      </c>
      <c r="L27" s="769">
        <f t="shared" si="1"/>
        <v>1017.8999999992338</v>
      </c>
      <c r="M27" s="769">
        <f t="shared" si="2"/>
        <v>2281.4999999987231</v>
      </c>
      <c r="N27" s="359">
        <f t="shared" si="3"/>
        <v>35122</v>
      </c>
      <c r="O27" s="360">
        <v>35123</v>
      </c>
      <c r="P27" s="359">
        <f t="shared" si="4"/>
        <v>1</v>
      </c>
      <c r="Q27" s="361">
        <f t="shared" si="5"/>
        <v>30165</v>
      </c>
      <c r="R27" s="360">
        <v>30165</v>
      </c>
      <c r="S27" s="359">
        <f t="shared" si="6"/>
        <v>0</v>
      </c>
      <c r="T27" s="359">
        <f t="shared" si="7"/>
        <v>35601</v>
      </c>
      <c r="U27" s="360">
        <v>35613</v>
      </c>
      <c r="V27" s="359">
        <f t="shared" si="8"/>
        <v>12</v>
      </c>
      <c r="W27" s="359">
        <f t="shared" si="9"/>
        <v>32321</v>
      </c>
      <c r="X27" s="360">
        <v>32333</v>
      </c>
      <c r="Y27" s="359">
        <f t="shared" si="10"/>
        <v>12</v>
      </c>
      <c r="Z27" s="361">
        <f t="shared" si="11"/>
        <v>20952</v>
      </c>
      <c r="AA27" s="360">
        <v>20952</v>
      </c>
      <c r="AB27" s="359">
        <f t="shared" si="12"/>
        <v>0</v>
      </c>
      <c r="AC27" s="362">
        <f t="shared" si="14"/>
        <v>25</v>
      </c>
      <c r="AD27" s="127">
        <v>190</v>
      </c>
      <c r="AE27" s="127">
        <v>95</v>
      </c>
      <c r="AF27" s="312">
        <f>Gen!T32</f>
        <v>982.5</v>
      </c>
    </row>
    <row r="28" spans="1:32" ht="20.100000000000001" customHeight="1">
      <c r="A28" s="308">
        <f>Gen!B33</f>
        <v>44097</v>
      </c>
      <c r="B28" s="392">
        <v>2.5999999999999999E-2</v>
      </c>
      <c r="C28" s="360">
        <v>10209.700000000001</v>
      </c>
      <c r="D28" s="360">
        <v>16140.2</v>
      </c>
      <c r="E28" s="360"/>
      <c r="F28" s="360"/>
      <c r="G28" s="360">
        <v>187.28</v>
      </c>
      <c r="H28" s="360"/>
      <c r="I28" s="360">
        <v>31003.1</v>
      </c>
      <c r="J28" s="769">
        <f t="shared" si="0"/>
        <v>1263.6000000007662</v>
      </c>
      <c r="K28" s="360">
        <v>20582.099999999999</v>
      </c>
      <c r="L28" s="769">
        <f t="shared" si="1"/>
        <v>947.70000000025539</v>
      </c>
      <c r="M28" s="769">
        <f t="shared" si="2"/>
        <v>2211.3000000010215</v>
      </c>
      <c r="N28" s="359">
        <f t="shared" si="3"/>
        <v>35123</v>
      </c>
      <c r="O28" s="360">
        <v>35134</v>
      </c>
      <c r="P28" s="359">
        <f t="shared" si="4"/>
        <v>11</v>
      </c>
      <c r="Q28" s="361">
        <f t="shared" si="5"/>
        <v>30165</v>
      </c>
      <c r="R28" s="360">
        <v>30165</v>
      </c>
      <c r="S28" s="359">
        <f t="shared" si="6"/>
        <v>0</v>
      </c>
      <c r="T28" s="359">
        <f t="shared" si="7"/>
        <v>35613</v>
      </c>
      <c r="U28" s="360">
        <v>35613</v>
      </c>
      <c r="V28" s="359">
        <f t="shared" si="8"/>
        <v>0</v>
      </c>
      <c r="W28" s="359">
        <f t="shared" si="9"/>
        <v>32333</v>
      </c>
      <c r="X28" s="360">
        <v>32333</v>
      </c>
      <c r="Y28" s="359">
        <f t="shared" si="10"/>
        <v>0</v>
      </c>
      <c r="Z28" s="361">
        <f t="shared" si="11"/>
        <v>20952</v>
      </c>
      <c r="AA28" s="360">
        <v>20965</v>
      </c>
      <c r="AB28" s="359">
        <f t="shared" si="12"/>
        <v>13</v>
      </c>
      <c r="AC28" s="362">
        <f t="shared" si="14"/>
        <v>24</v>
      </c>
      <c r="AD28" s="127">
        <v>200</v>
      </c>
      <c r="AE28" s="127">
        <v>99</v>
      </c>
      <c r="AF28" s="312">
        <f>Gen!T33</f>
        <v>989.79</v>
      </c>
    </row>
    <row r="29" spans="1:32" ht="20.100000000000001" customHeight="1">
      <c r="A29" s="308">
        <f>Gen!B34</f>
        <v>44098</v>
      </c>
      <c r="B29" s="392">
        <v>1.2999999999999999E-2</v>
      </c>
      <c r="C29" s="360">
        <v>9036.01</v>
      </c>
      <c r="D29" s="360">
        <v>16140.2</v>
      </c>
      <c r="E29" s="360"/>
      <c r="F29" s="360"/>
      <c r="G29" s="360"/>
      <c r="H29" s="360"/>
      <c r="I29" s="360">
        <v>31006.7</v>
      </c>
      <c r="J29" s="769">
        <f t="shared" si="0"/>
        <v>1193.3999999992338</v>
      </c>
      <c r="K29" s="360">
        <v>20584.8</v>
      </c>
      <c r="L29" s="769">
        <f t="shared" si="1"/>
        <v>982.79999999974461</v>
      </c>
      <c r="M29" s="769">
        <f t="shared" si="2"/>
        <v>2176.1999999989785</v>
      </c>
      <c r="N29" s="359">
        <f t="shared" si="3"/>
        <v>35134</v>
      </c>
      <c r="O29" s="360">
        <v>35135</v>
      </c>
      <c r="P29" s="359">
        <f t="shared" si="4"/>
        <v>1</v>
      </c>
      <c r="Q29" s="361">
        <f t="shared" si="5"/>
        <v>30165</v>
      </c>
      <c r="R29" s="360">
        <v>30165</v>
      </c>
      <c r="S29" s="359">
        <f t="shared" si="6"/>
        <v>0</v>
      </c>
      <c r="T29" s="359">
        <f t="shared" si="7"/>
        <v>35613</v>
      </c>
      <c r="U29" s="360">
        <v>35625</v>
      </c>
      <c r="V29" s="359">
        <f t="shared" si="8"/>
        <v>12</v>
      </c>
      <c r="W29" s="359">
        <f t="shared" si="9"/>
        <v>32333</v>
      </c>
      <c r="X29" s="360">
        <v>32346</v>
      </c>
      <c r="Y29" s="359">
        <f t="shared" si="10"/>
        <v>13</v>
      </c>
      <c r="Z29" s="361">
        <f t="shared" si="11"/>
        <v>20965</v>
      </c>
      <c r="AA29" s="360">
        <v>20965</v>
      </c>
      <c r="AB29" s="359">
        <f t="shared" si="12"/>
        <v>0</v>
      </c>
      <c r="AC29" s="362">
        <f t="shared" si="14"/>
        <v>26</v>
      </c>
      <c r="AD29" s="127">
        <v>200</v>
      </c>
      <c r="AE29" s="127">
        <v>90</v>
      </c>
      <c r="AF29" s="312">
        <f>Gen!T34</f>
        <v>1004.25</v>
      </c>
    </row>
    <row r="30" spans="1:32" ht="20.100000000000001" customHeight="1">
      <c r="A30" s="308">
        <f>Gen!B35</f>
        <v>44099</v>
      </c>
      <c r="B30" s="392">
        <v>1.2999999999999999E-2</v>
      </c>
      <c r="C30" s="360">
        <v>8017.75</v>
      </c>
      <c r="D30" s="360">
        <v>16140.2</v>
      </c>
      <c r="E30" s="360"/>
      <c r="F30" s="360"/>
      <c r="G30" s="360">
        <v>74.599999999999994</v>
      </c>
      <c r="H30" s="360"/>
      <c r="I30" s="360">
        <v>31010.1</v>
      </c>
      <c r="J30" s="769">
        <f t="shared" si="0"/>
        <v>1263.6000000007662</v>
      </c>
      <c r="K30" s="360">
        <v>20587.599999999999</v>
      </c>
      <c r="L30" s="769">
        <f t="shared" si="1"/>
        <v>1017.9000000005108</v>
      </c>
      <c r="M30" s="769">
        <f t="shared" si="2"/>
        <v>2281.5000000012769</v>
      </c>
      <c r="N30" s="359">
        <f t="shared" si="3"/>
        <v>35135</v>
      </c>
      <c r="O30" s="360">
        <v>35147</v>
      </c>
      <c r="P30" s="359">
        <f t="shared" si="4"/>
        <v>12</v>
      </c>
      <c r="Q30" s="361">
        <f t="shared" si="5"/>
        <v>30165</v>
      </c>
      <c r="R30" s="360">
        <v>30165</v>
      </c>
      <c r="S30" s="359">
        <f t="shared" si="6"/>
        <v>0</v>
      </c>
      <c r="T30" s="359">
        <f t="shared" si="7"/>
        <v>35625</v>
      </c>
      <c r="U30" s="360">
        <v>35625</v>
      </c>
      <c r="V30" s="359">
        <f t="shared" si="8"/>
        <v>0</v>
      </c>
      <c r="W30" s="359">
        <f t="shared" si="9"/>
        <v>32346</v>
      </c>
      <c r="X30" s="360">
        <v>32346</v>
      </c>
      <c r="Y30" s="359">
        <f t="shared" si="10"/>
        <v>0</v>
      </c>
      <c r="Z30" s="361">
        <f t="shared" si="11"/>
        <v>20965</v>
      </c>
      <c r="AA30" s="360">
        <v>20977</v>
      </c>
      <c r="AB30" s="359">
        <f t="shared" si="12"/>
        <v>12</v>
      </c>
      <c r="AC30" s="362">
        <f t="shared" si="14"/>
        <v>24</v>
      </c>
      <c r="AD30" s="127">
        <v>190</v>
      </c>
      <c r="AE30" s="127">
        <v>89</v>
      </c>
      <c r="AF30" s="312">
        <f>Gen!T35</f>
        <v>1019.08</v>
      </c>
    </row>
    <row r="31" spans="1:32" ht="20.100000000000001" customHeight="1">
      <c r="A31" s="308">
        <f>Gen!B36</f>
        <v>44100</v>
      </c>
      <c r="B31" s="392">
        <v>2.5999999999999999E-2</v>
      </c>
      <c r="C31" s="360">
        <v>6934.07</v>
      </c>
      <c r="D31" s="360">
        <v>16140.2</v>
      </c>
      <c r="E31" s="360"/>
      <c r="F31" s="360"/>
      <c r="G31" s="360"/>
      <c r="H31" s="360"/>
      <c r="I31" s="360">
        <v>31013.7</v>
      </c>
      <c r="J31" s="769">
        <f t="shared" si="0"/>
        <v>1298.7000000002554</v>
      </c>
      <c r="K31" s="360">
        <v>20590.5</v>
      </c>
      <c r="L31" s="769">
        <f t="shared" si="1"/>
        <v>1017.9000000005108</v>
      </c>
      <c r="M31" s="769">
        <f t="shared" si="2"/>
        <v>2316.6000000007662</v>
      </c>
      <c r="N31" s="359">
        <f t="shared" si="3"/>
        <v>35147</v>
      </c>
      <c r="O31" s="360">
        <v>35147</v>
      </c>
      <c r="P31" s="359">
        <f t="shared" si="4"/>
        <v>0</v>
      </c>
      <c r="Q31" s="361">
        <f t="shared" si="5"/>
        <v>30165</v>
      </c>
      <c r="R31" s="360">
        <v>30165</v>
      </c>
      <c r="S31" s="359">
        <f t="shared" si="6"/>
        <v>0</v>
      </c>
      <c r="T31" s="359">
        <f t="shared" si="7"/>
        <v>35625</v>
      </c>
      <c r="U31" s="360">
        <v>35637</v>
      </c>
      <c r="V31" s="359">
        <f t="shared" si="8"/>
        <v>12</v>
      </c>
      <c r="W31" s="359">
        <f t="shared" si="9"/>
        <v>32346</v>
      </c>
      <c r="X31" s="360">
        <v>32358</v>
      </c>
      <c r="Y31" s="359">
        <f t="shared" si="10"/>
        <v>12</v>
      </c>
      <c r="Z31" s="361">
        <f t="shared" si="11"/>
        <v>20977</v>
      </c>
      <c r="AA31" s="360">
        <v>20977</v>
      </c>
      <c r="AB31" s="359">
        <f t="shared" si="12"/>
        <v>0</v>
      </c>
      <c r="AC31" s="362">
        <f t="shared" si="14"/>
        <v>24</v>
      </c>
      <c r="AD31" s="127">
        <v>180</v>
      </c>
      <c r="AE31" s="127">
        <v>80</v>
      </c>
      <c r="AF31" s="312">
        <f>Gen!T36</f>
        <v>878.8</v>
      </c>
    </row>
    <row r="32" spans="1:32" ht="20.100000000000001" customHeight="1">
      <c r="A32" s="308">
        <f>Gen!B37</f>
        <v>44101</v>
      </c>
      <c r="B32" s="392">
        <v>5.1900000000000002E-2</v>
      </c>
      <c r="C32" s="360">
        <v>27055.4</v>
      </c>
      <c r="D32" s="360">
        <v>16140.2</v>
      </c>
      <c r="E32" s="360"/>
      <c r="F32" s="360">
        <v>18000</v>
      </c>
      <c r="G32" s="360"/>
      <c r="H32" s="360"/>
      <c r="I32" s="360">
        <v>31017.4</v>
      </c>
      <c r="J32" s="769">
        <f t="shared" si="0"/>
        <v>1298.6999999989785</v>
      </c>
      <c r="K32" s="360">
        <v>20593.400000000001</v>
      </c>
      <c r="L32" s="769">
        <f t="shared" si="1"/>
        <v>982.79999999974461</v>
      </c>
      <c r="M32" s="769">
        <f t="shared" si="2"/>
        <v>2281.4999999987231</v>
      </c>
      <c r="N32" s="359">
        <f t="shared" si="3"/>
        <v>35147</v>
      </c>
      <c r="O32" s="360">
        <v>35159</v>
      </c>
      <c r="P32" s="359">
        <f t="shared" si="4"/>
        <v>12</v>
      </c>
      <c r="Q32" s="361">
        <f t="shared" si="5"/>
        <v>30165</v>
      </c>
      <c r="R32" s="360">
        <v>30165</v>
      </c>
      <c r="S32" s="359">
        <f t="shared" si="6"/>
        <v>0</v>
      </c>
      <c r="T32" s="359">
        <f t="shared" si="7"/>
        <v>35637</v>
      </c>
      <c r="U32" s="360">
        <v>35638</v>
      </c>
      <c r="V32" s="359">
        <f t="shared" si="8"/>
        <v>1</v>
      </c>
      <c r="W32" s="359">
        <f t="shared" si="9"/>
        <v>32358</v>
      </c>
      <c r="X32" s="360">
        <v>32359</v>
      </c>
      <c r="Y32" s="359">
        <f t="shared" si="10"/>
        <v>1</v>
      </c>
      <c r="Z32" s="361">
        <f t="shared" si="11"/>
        <v>20977</v>
      </c>
      <c r="AA32" s="360">
        <v>20989</v>
      </c>
      <c r="AB32" s="359">
        <f t="shared" si="12"/>
        <v>12</v>
      </c>
      <c r="AC32" s="362">
        <f t="shared" si="14"/>
        <v>26</v>
      </c>
      <c r="AD32" s="127">
        <v>189</v>
      </c>
      <c r="AE32" s="127">
        <v>90</v>
      </c>
      <c r="AF32" s="312">
        <f>Gen!T37</f>
        <v>975.74</v>
      </c>
    </row>
    <row r="33" spans="1:32" ht="20.100000000000001" customHeight="1">
      <c r="A33" s="308">
        <f>Gen!B38</f>
        <v>44102</v>
      </c>
      <c r="B33" s="392">
        <v>5.1900000000000002E-2</v>
      </c>
      <c r="C33" s="360">
        <v>26339.53</v>
      </c>
      <c r="D33" s="360">
        <v>16140.2</v>
      </c>
      <c r="E33" s="360"/>
      <c r="F33" s="360"/>
      <c r="G33" s="360"/>
      <c r="H33" s="360"/>
      <c r="I33" s="360">
        <v>31021.1</v>
      </c>
      <c r="J33" s="769">
        <f t="shared" si="0"/>
        <v>-10888406.1</v>
      </c>
      <c r="K33" s="360">
        <v>20596.2</v>
      </c>
      <c r="L33" s="769">
        <f t="shared" si="1"/>
        <v>-7229266.2000000002</v>
      </c>
      <c r="M33" s="769">
        <f t="shared" si="2"/>
        <v>-18117672.300000001</v>
      </c>
      <c r="N33" s="359">
        <f t="shared" si="3"/>
        <v>35159</v>
      </c>
      <c r="O33" s="360">
        <v>35160</v>
      </c>
      <c r="P33" s="359">
        <f t="shared" si="4"/>
        <v>1</v>
      </c>
      <c r="Q33" s="361">
        <f t="shared" si="5"/>
        <v>30165</v>
      </c>
      <c r="R33" s="360">
        <v>30165</v>
      </c>
      <c r="S33" s="359">
        <f t="shared" si="6"/>
        <v>0</v>
      </c>
      <c r="T33" s="359">
        <f t="shared" si="7"/>
        <v>35638</v>
      </c>
      <c r="U33" s="360">
        <v>35649</v>
      </c>
      <c r="V33" s="359">
        <f t="shared" si="8"/>
        <v>11</v>
      </c>
      <c r="W33" s="359">
        <f t="shared" si="9"/>
        <v>32359</v>
      </c>
      <c r="X33" s="360">
        <v>32371</v>
      </c>
      <c r="Y33" s="359">
        <f t="shared" si="10"/>
        <v>12</v>
      </c>
      <c r="Z33" s="361">
        <f t="shared" si="11"/>
        <v>20989</v>
      </c>
      <c r="AA33" s="360">
        <v>20989</v>
      </c>
      <c r="AB33" s="359">
        <f t="shared" si="12"/>
        <v>0</v>
      </c>
      <c r="AC33" s="362">
        <f t="shared" si="14"/>
        <v>24</v>
      </c>
      <c r="AD33" s="127">
        <v>195</v>
      </c>
      <c r="AE33" s="127">
        <v>90</v>
      </c>
      <c r="AF33" s="312">
        <f>Gen!T38</f>
        <v>969.3900000000001</v>
      </c>
    </row>
    <row r="34" spans="1:32" ht="20.100000000000001" customHeight="1">
      <c r="A34" s="308">
        <f>Gen!B39</f>
        <v>44103</v>
      </c>
      <c r="B34" s="392">
        <v>5.1900000000000002E-2</v>
      </c>
      <c r="C34" s="360">
        <v>25370.14</v>
      </c>
      <c r="D34" s="360">
        <v>16140.2</v>
      </c>
      <c r="E34" s="360"/>
      <c r="F34" s="360"/>
      <c r="G34" s="360"/>
      <c r="H34" s="360"/>
      <c r="I34" s="360"/>
      <c r="J34" s="769">
        <f t="shared" si="0"/>
        <v>0</v>
      </c>
      <c r="K34" s="360"/>
      <c r="L34" s="769">
        <f t="shared" si="1"/>
        <v>0</v>
      </c>
      <c r="M34" s="769">
        <f t="shared" si="2"/>
        <v>0</v>
      </c>
      <c r="N34" s="359">
        <f t="shared" si="3"/>
        <v>35160</v>
      </c>
      <c r="O34" s="360"/>
      <c r="P34" s="359">
        <f t="shared" si="4"/>
        <v>-35160</v>
      </c>
      <c r="Q34" s="361">
        <f t="shared" si="5"/>
        <v>30165</v>
      </c>
      <c r="R34" s="360"/>
      <c r="S34" s="359">
        <f t="shared" si="6"/>
        <v>-30165</v>
      </c>
      <c r="T34" s="359">
        <f t="shared" si="7"/>
        <v>35649</v>
      </c>
      <c r="U34" s="360"/>
      <c r="V34" s="359">
        <f t="shared" si="8"/>
        <v>-35649</v>
      </c>
      <c r="W34" s="359">
        <f t="shared" si="9"/>
        <v>32371</v>
      </c>
      <c r="X34" s="360"/>
      <c r="Y34" s="359">
        <f t="shared" si="10"/>
        <v>-32371</v>
      </c>
      <c r="Z34" s="361">
        <f t="shared" si="11"/>
        <v>20989</v>
      </c>
      <c r="AA34" s="360"/>
      <c r="AB34" s="359">
        <f t="shared" si="12"/>
        <v>-20989</v>
      </c>
      <c r="AC34" s="362">
        <f t="shared" si="14"/>
        <v>-154334</v>
      </c>
      <c r="AD34" s="127"/>
      <c r="AE34" s="127"/>
      <c r="AF34" s="312">
        <f>Gen!T39</f>
        <v>0</v>
      </c>
    </row>
    <row r="35" spans="1:32" ht="20.100000000000001" customHeight="1">
      <c r="A35" s="308">
        <f>Gen!B40</f>
        <v>44104</v>
      </c>
      <c r="B35" s="392"/>
      <c r="C35" s="360"/>
      <c r="D35" s="360"/>
      <c r="E35" s="360"/>
      <c r="F35" s="360"/>
      <c r="G35" s="360"/>
      <c r="H35" s="360"/>
      <c r="I35" s="360"/>
      <c r="J35" s="769">
        <f t="shared" si="0"/>
        <v>0</v>
      </c>
      <c r="K35" s="360"/>
      <c r="L35" s="769">
        <f t="shared" si="1"/>
        <v>0</v>
      </c>
      <c r="M35" s="769">
        <f t="shared" si="2"/>
        <v>0</v>
      </c>
      <c r="N35" s="359">
        <f t="shared" si="3"/>
        <v>0</v>
      </c>
      <c r="O35" s="360"/>
      <c r="P35" s="359">
        <f t="shared" si="4"/>
        <v>0</v>
      </c>
      <c r="Q35" s="361">
        <f t="shared" si="5"/>
        <v>0</v>
      </c>
      <c r="R35" s="360"/>
      <c r="S35" s="359">
        <f t="shared" si="6"/>
        <v>0</v>
      </c>
      <c r="T35" s="359">
        <f t="shared" si="7"/>
        <v>0</v>
      </c>
      <c r="U35" s="360"/>
      <c r="V35" s="359">
        <f t="shared" si="8"/>
        <v>0</v>
      </c>
      <c r="W35" s="359">
        <f t="shared" si="9"/>
        <v>0</v>
      </c>
      <c r="X35" s="360"/>
      <c r="Y35" s="359">
        <f t="shared" si="10"/>
        <v>0</v>
      </c>
      <c r="Z35" s="361">
        <f t="shared" si="11"/>
        <v>0</v>
      </c>
      <c r="AA35" s="360"/>
      <c r="AB35" s="359">
        <f t="shared" si="12"/>
        <v>0</v>
      </c>
      <c r="AC35" s="362">
        <f t="shared" si="14"/>
        <v>0</v>
      </c>
      <c r="AD35" s="127"/>
      <c r="AE35" s="127"/>
      <c r="AF35" s="312">
        <f>Gen!T40</f>
        <v>0</v>
      </c>
    </row>
    <row r="36" spans="1:32" ht="20.100000000000001" customHeight="1">
      <c r="A36" s="308">
        <f>Gen!B41</f>
        <v>0</v>
      </c>
      <c r="B36" s="392"/>
      <c r="C36" s="360"/>
      <c r="D36" s="360"/>
      <c r="E36" s="360"/>
      <c r="F36" s="360"/>
      <c r="G36" s="360"/>
      <c r="H36" s="360"/>
      <c r="I36" s="360"/>
      <c r="J36" s="769">
        <f t="shared" si="0"/>
        <v>0</v>
      </c>
      <c r="K36" s="360"/>
      <c r="L36" s="769">
        <f t="shared" si="1"/>
        <v>0</v>
      </c>
      <c r="M36" s="769">
        <f t="shared" si="2"/>
        <v>0</v>
      </c>
      <c r="N36" s="359">
        <f t="shared" si="3"/>
        <v>0</v>
      </c>
      <c r="O36" s="360"/>
      <c r="P36" s="359">
        <f t="shared" si="4"/>
        <v>0</v>
      </c>
      <c r="Q36" s="361">
        <f t="shared" si="5"/>
        <v>0</v>
      </c>
      <c r="R36" s="360"/>
      <c r="S36" s="359">
        <f t="shared" si="6"/>
        <v>0</v>
      </c>
      <c r="T36" s="359">
        <f t="shared" si="7"/>
        <v>0</v>
      </c>
      <c r="U36" s="360"/>
      <c r="V36" s="359">
        <f t="shared" si="8"/>
        <v>0</v>
      </c>
      <c r="W36" s="359">
        <f t="shared" si="9"/>
        <v>0</v>
      </c>
      <c r="X36" s="360"/>
      <c r="Y36" s="359">
        <f t="shared" si="10"/>
        <v>0</v>
      </c>
      <c r="Z36" s="361">
        <f t="shared" si="11"/>
        <v>0</v>
      </c>
      <c r="AA36" s="360"/>
      <c r="AB36" s="359">
        <f t="shared" si="12"/>
        <v>0</v>
      </c>
      <c r="AC36" s="362">
        <f t="shared" si="14"/>
        <v>0</v>
      </c>
      <c r="AD36" s="127"/>
      <c r="AE36" s="127"/>
      <c r="AF36" s="312">
        <f>Gen!T41</f>
        <v>0</v>
      </c>
    </row>
    <row r="37" spans="1:32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60"/>
      <c r="L37" s="360"/>
      <c r="M37" s="360"/>
      <c r="N37" s="359">
        <f t="shared" si="3"/>
        <v>0</v>
      </c>
      <c r="O37" s="360"/>
      <c r="P37" s="359">
        <f t="shared" si="4"/>
        <v>0</v>
      </c>
      <c r="Q37" s="361">
        <f t="shared" si="5"/>
        <v>0</v>
      </c>
      <c r="R37" s="360"/>
      <c r="S37" s="359">
        <f t="shared" si="6"/>
        <v>0</v>
      </c>
      <c r="T37" s="359">
        <f t="shared" si="7"/>
        <v>0</v>
      </c>
      <c r="U37" s="360"/>
      <c r="V37" s="359">
        <f t="shared" si="8"/>
        <v>0</v>
      </c>
      <c r="W37" s="359">
        <f t="shared" si="9"/>
        <v>0</v>
      </c>
      <c r="X37" s="360"/>
      <c r="Y37" s="359">
        <f t="shared" si="10"/>
        <v>0</v>
      </c>
      <c r="Z37" s="361">
        <f t="shared" si="11"/>
        <v>0</v>
      </c>
      <c r="AA37" s="360"/>
      <c r="AB37" s="359">
        <f t="shared" si="12"/>
        <v>0</v>
      </c>
      <c r="AC37" s="362">
        <f t="shared" si="14"/>
        <v>0</v>
      </c>
      <c r="AD37" s="127"/>
      <c r="AE37" s="127"/>
      <c r="AF37" s="312">
        <f>Gen!T42</f>
        <v>0</v>
      </c>
    </row>
    <row r="38" spans="1:32">
      <c r="A38" s="308"/>
      <c r="B38" s="308"/>
      <c r="C38" s="308"/>
      <c r="D38" s="308"/>
    </row>
  </sheetData>
  <mergeCells count="6">
    <mergeCell ref="A1:AE2"/>
    <mergeCell ref="N3:P3"/>
    <mergeCell ref="Q3:S3"/>
    <mergeCell ref="T3:V3"/>
    <mergeCell ref="W3:Y3"/>
    <mergeCell ref="Z3:AB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13" zoomScale="110" zoomScaleNormal="110" workbookViewId="0">
      <pane xSplit="2" topLeftCell="C1" activePane="topRight" state="frozen"/>
      <selection pane="topRight" activeCell="C50" sqref="C50:G50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16"/>
      <c r="C1" s="816"/>
    </row>
    <row r="2" spans="2:47" ht="26.25">
      <c r="B2" s="816"/>
      <c r="C2" s="816"/>
      <c r="E2" s="817" t="s">
        <v>318</v>
      </c>
      <c r="F2" s="817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818"/>
      <c r="S2" s="818"/>
      <c r="T2" s="818"/>
      <c r="U2" s="818"/>
      <c r="V2" s="818"/>
      <c r="W2" s="818"/>
      <c r="X2" s="818"/>
      <c r="Y2" s="818"/>
      <c r="Z2" s="818"/>
      <c r="AA2" s="818"/>
      <c r="AB2" s="818"/>
      <c r="AC2" s="818"/>
      <c r="AD2" s="818"/>
      <c r="AE2" s="818"/>
      <c r="AF2" s="818"/>
      <c r="AG2" s="818"/>
      <c r="AH2" s="818"/>
      <c r="AI2" s="818"/>
      <c r="AJ2" s="818"/>
      <c r="AK2" s="818"/>
      <c r="AL2" s="818"/>
      <c r="AM2" s="818"/>
      <c r="AN2" s="818"/>
      <c r="AO2" s="818"/>
      <c r="AP2" s="818"/>
      <c r="AQ2" s="818"/>
      <c r="AR2" s="818"/>
      <c r="AS2" s="818"/>
      <c r="AT2" s="818"/>
      <c r="AU2" s="818"/>
    </row>
    <row r="3" spans="2:47" ht="12.75" customHeight="1">
      <c r="B3" s="816"/>
      <c r="C3" s="816"/>
      <c r="I3" s="834">
        <f>'Daily report Gen'!A6</f>
        <v>44075</v>
      </c>
      <c r="J3" s="834"/>
      <c r="K3" s="834"/>
      <c r="L3" s="224"/>
      <c r="R3" s="224"/>
    </row>
    <row r="4" spans="2:47">
      <c r="B4" s="816"/>
      <c r="C4" s="816"/>
      <c r="I4" s="834"/>
      <c r="J4" s="834"/>
      <c r="K4" s="834"/>
      <c r="L4" s="224"/>
      <c r="R4" s="224"/>
    </row>
    <row r="5" spans="2:47" ht="12" thickBot="1">
      <c r="B5" s="816"/>
      <c r="C5" s="816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16"/>
      <c r="C6" s="816"/>
      <c r="D6" s="229"/>
      <c r="G6" s="825" t="s">
        <v>57</v>
      </c>
      <c r="H6" s="826"/>
      <c r="I6" s="826"/>
      <c r="J6" s="826"/>
      <c r="K6" s="826"/>
      <c r="L6" s="826"/>
      <c r="M6" s="827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9" t="s">
        <v>199</v>
      </c>
      <c r="H7" s="820"/>
      <c r="I7" s="820"/>
      <c r="J7" s="820"/>
      <c r="K7" s="820"/>
      <c r="L7" s="820"/>
      <c r="M7" s="821"/>
      <c r="N7" s="822" t="s">
        <v>40</v>
      </c>
      <c r="O7" s="823"/>
      <c r="P7" s="823"/>
      <c r="Q7" s="823"/>
      <c r="R7" s="823"/>
      <c r="S7" s="824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197</v>
      </c>
      <c r="AE7" s="413" t="s">
        <v>30</v>
      </c>
      <c r="AF7" s="413" t="s">
        <v>95</v>
      </c>
      <c r="AG7" s="415" t="s">
        <v>22</v>
      </c>
      <c r="AH7" s="416" t="s">
        <v>29</v>
      </c>
      <c r="AI7" s="413" t="s">
        <v>84</v>
      </c>
      <c r="AJ7" s="417" t="s">
        <v>188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309</v>
      </c>
      <c r="D8" s="443" t="s">
        <v>2</v>
      </c>
      <c r="E8" s="444" t="s">
        <v>38</v>
      </c>
      <c r="F8" s="444" t="s">
        <v>94</v>
      </c>
      <c r="G8" s="445" t="s">
        <v>304</v>
      </c>
      <c r="H8" s="586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196</v>
      </c>
      <c r="W8" s="419" t="s">
        <v>33</v>
      </c>
      <c r="X8" s="420" t="s">
        <v>32</v>
      </c>
      <c r="Y8" s="420" t="s">
        <v>35</v>
      </c>
      <c r="Z8" s="421" t="s">
        <v>206</v>
      </c>
      <c r="AA8" s="421" t="s">
        <v>205</v>
      </c>
      <c r="AB8" s="421" t="s">
        <v>207</v>
      </c>
      <c r="AC8" s="420" t="s">
        <v>310</v>
      </c>
      <c r="AD8" s="422" t="s">
        <v>34</v>
      </c>
      <c r="AE8" s="420" t="s">
        <v>31</v>
      </c>
      <c r="AF8" s="420" t="s">
        <v>208</v>
      </c>
      <c r="AG8" s="420" t="s">
        <v>209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198</v>
      </c>
      <c r="AT8" s="431" t="s">
        <v>43</v>
      </c>
      <c r="AU8" s="430" t="s">
        <v>3</v>
      </c>
    </row>
    <row r="9" spans="2:47" ht="14.25">
      <c r="B9" s="587"/>
      <c r="C9" s="237"/>
      <c r="D9" s="685">
        <v>41590.620000000003</v>
      </c>
      <c r="E9" s="686"/>
      <c r="F9" s="687"/>
      <c r="G9" s="432"/>
      <c r="H9" s="658"/>
      <c r="I9" s="659"/>
      <c r="J9" s="660"/>
      <c r="K9" s="661"/>
      <c r="L9" s="662"/>
      <c r="M9" s="663"/>
      <c r="N9" s="433"/>
      <c r="O9" s="434"/>
      <c r="P9" s="434"/>
      <c r="Q9" s="434"/>
      <c r="R9" s="434"/>
      <c r="S9" s="668"/>
      <c r="T9" s="674">
        <f t="shared" ref="T9:T45" si="0">SUM(G9:M9)</f>
        <v>0</v>
      </c>
      <c r="U9" s="675">
        <f t="shared" ref="U9:U43" si="1">SUM(N9:S9)</f>
        <v>0</v>
      </c>
      <c r="V9" s="676"/>
      <c r="W9" s="672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8"/>
      <c r="C10" s="681"/>
      <c r="D10" s="688"/>
      <c r="E10" s="238"/>
      <c r="F10" s="689"/>
      <c r="G10" s="351"/>
      <c r="H10" s="664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69"/>
      <c r="T10" s="677">
        <f t="shared" si="0"/>
        <v>0</v>
      </c>
      <c r="U10" s="264">
        <f t="shared" si="1"/>
        <v>0</v>
      </c>
      <c r="V10" s="678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4">
        <v>44075</v>
      </c>
      <c r="C11" s="682">
        <v>3.9E-2</v>
      </c>
      <c r="D11" s="690">
        <f>SUM(D9+E11)</f>
        <v>41590.620000000003</v>
      </c>
      <c r="E11" s="269"/>
      <c r="F11" s="689"/>
      <c r="G11" s="351"/>
      <c r="H11" s="251">
        <v>355.12</v>
      </c>
      <c r="I11" s="250"/>
      <c r="K11" s="250"/>
      <c r="L11" s="250">
        <v>536.30999999999995</v>
      </c>
      <c r="M11" s="351"/>
      <c r="N11" s="252">
        <v>1002</v>
      </c>
      <c r="O11" s="253"/>
      <c r="P11" s="252"/>
      <c r="Q11" s="252"/>
      <c r="R11" s="252">
        <v>1109</v>
      </c>
      <c r="S11" s="669"/>
      <c r="T11" s="677">
        <f t="shared" si="0"/>
        <v>891.43</v>
      </c>
      <c r="U11" s="264">
        <f t="shared" si="1"/>
        <v>2111</v>
      </c>
      <c r="V11" s="678">
        <f t="shared" ref="V11:V41" si="4">T11/U11</f>
        <v>0.42227854097584083</v>
      </c>
      <c r="W11" s="257"/>
      <c r="X11" s="255"/>
      <c r="Y11" s="241"/>
      <c r="Z11" s="255"/>
      <c r="AA11" s="255">
        <v>69.209999999999994</v>
      </c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69.209999999999994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960.64</v>
      </c>
      <c r="AT11" s="267">
        <f>AS11*AV11</f>
        <v>0</v>
      </c>
      <c r="AU11" s="334">
        <f t="shared" ref="AU11:AU43" si="5">D11</f>
        <v>41590.620000000003</v>
      </c>
    </row>
    <row r="12" spans="2:47" ht="13.5" customHeight="1">
      <c r="B12" s="694">
        <v>44076</v>
      </c>
      <c r="C12" s="682">
        <v>3.9E-2</v>
      </c>
      <c r="D12" s="690">
        <f t="shared" ref="D12:D43" si="6">SUM(D11-AS11+E12)</f>
        <v>40629.980000000003</v>
      </c>
      <c r="E12" s="269"/>
      <c r="F12" s="689"/>
      <c r="G12" s="351"/>
      <c r="H12" s="664"/>
      <c r="I12" s="250">
        <v>409.57</v>
      </c>
      <c r="J12" s="270"/>
      <c r="K12" s="250">
        <v>412.35</v>
      </c>
      <c r="L12" s="250"/>
      <c r="M12" s="351"/>
      <c r="N12" s="350"/>
      <c r="O12" s="252">
        <v>1041</v>
      </c>
      <c r="P12" s="252"/>
      <c r="Q12" s="252">
        <v>1106</v>
      </c>
      <c r="R12" s="252"/>
      <c r="S12" s="669"/>
      <c r="T12" s="677">
        <f t="shared" si="0"/>
        <v>821.92000000000007</v>
      </c>
      <c r="U12" s="264">
        <f t="shared" si="1"/>
        <v>2147</v>
      </c>
      <c r="V12" s="678">
        <f t="shared" si="4"/>
        <v>0.38282254308337216</v>
      </c>
      <c r="W12" s="257"/>
      <c r="X12" s="255"/>
      <c r="Y12" s="255"/>
      <c r="Z12" s="255"/>
      <c r="AA12" s="255">
        <v>80.650000000000006</v>
      </c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80.650000000000006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902.57</v>
      </c>
      <c r="AT12" s="267">
        <f t="shared" ref="AT12:AT44" si="7">AS12*AV12</f>
        <v>0</v>
      </c>
      <c r="AU12" s="334">
        <f t="shared" si="5"/>
        <v>40629.980000000003</v>
      </c>
    </row>
    <row r="13" spans="2:47" ht="13.5" customHeight="1">
      <c r="B13" s="694">
        <v>44077</v>
      </c>
      <c r="C13" s="682">
        <v>3.9E-2</v>
      </c>
      <c r="D13" s="690">
        <f t="shared" si="6"/>
        <v>39727.410000000003</v>
      </c>
      <c r="E13" s="269"/>
      <c r="F13" s="689"/>
      <c r="G13" s="684"/>
      <c r="H13" s="664">
        <v>494.46</v>
      </c>
      <c r="I13" s="250"/>
      <c r="J13" s="270"/>
      <c r="K13" s="250"/>
      <c r="L13" s="250"/>
      <c r="M13" s="351">
        <v>595.82000000000005</v>
      </c>
      <c r="N13" s="350">
        <v>1067</v>
      </c>
      <c r="O13" s="252"/>
      <c r="P13" s="252"/>
      <c r="Q13" s="252"/>
      <c r="R13" s="252"/>
      <c r="S13" s="669">
        <v>1121</v>
      </c>
      <c r="T13" s="677">
        <f t="shared" si="0"/>
        <v>1090.28</v>
      </c>
      <c r="U13" s="264">
        <f t="shared" si="1"/>
        <v>2188</v>
      </c>
      <c r="V13" s="678">
        <f t="shared" si="4"/>
        <v>0.4982998171846435</v>
      </c>
      <c r="W13" s="257"/>
      <c r="X13" s="265"/>
      <c r="Y13" s="583">
        <v>10.02</v>
      </c>
      <c r="Z13" s="583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10.02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1100.3</v>
      </c>
      <c r="AT13" s="267">
        <f t="shared" si="7"/>
        <v>0</v>
      </c>
      <c r="AU13" s="334">
        <f t="shared" si="5"/>
        <v>39727.410000000003</v>
      </c>
    </row>
    <row r="14" spans="2:47" ht="13.5" customHeight="1">
      <c r="B14" s="694">
        <v>44078</v>
      </c>
      <c r="C14" s="682">
        <v>9.0899999999999995E-2</v>
      </c>
      <c r="D14" s="690">
        <f t="shared" si="6"/>
        <v>38627.11</v>
      </c>
      <c r="E14" s="269"/>
      <c r="F14" s="689"/>
      <c r="G14" s="684"/>
      <c r="H14" s="664"/>
      <c r="I14" s="250"/>
      <c r="J14" s="270"/>
      <c r="K14" s="250"/>
      <c r="L14" s="250">
        <v>481.15</v>
      </c>
      <c r="M14" s="351">
        <v>387.24</v>
      </c>
      <c r="N14" s="350"/>
      <c r="O14" s="252"/>
      <c r="P14" s="252"/>
      <c r="Q14" s="252"/>
      <c r="R14" s="252">
        <v>1284</v>
      </c>
      <c r="S14" s="669">
        <v>1164</v>
      </c>
      <c r="T14" s="677">
        <f t="shared" si="0"/>
        <v>868.39</v>
      </c>
      <c r="U14" s="264">
        <f t="shared" si="1"/>
        <v>2448</v>
      </c>
      <c r="V14" s="678">
        <f t="shared" si="4"/>
        <v>0.35473447712418299</v>
      </c>
      <c r="W14" s="257"/>
      <c r="X14" s="265"/>
      <c r="Z14" s="583"/>
      <c r="AA14" s="250"/>
      <c r="AB14" s="324"/>
      <c r="AC14" s="265"/>
      <c r="AD14" s="265"/>
      <c r="AE14" s="265"/>
      <c r="AF14" s="265"/>
      <c r="AG14" s="265"/>
      <c r="AH14" s="265"/>
      <c r="AI14" s="265"/>
      <c r="AJ14" s="451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868.39</v>
      </c>
      <c r="AT14" s="267">
        <f t="shared" si="7"/>
        <v>0</v>
      </c>
      <c r="AU14" s="334">
        <f t="shared" si="5"/>
        <v>38627.11</v>
      </c>
    </row>
    <row r="15" spans="2:47" ht="13.5" customHeight="1">
      <c r="B15" s="694">
        <v>44079</v>
      </c>
      <c r="C15" s="682">
        <v>9.0899999999999995E-2</v>
      </c>
      <c r="D15" s="690">
        <f t="shared" si="6"/>
        <v>37758.720000000001</v>
      </c>
      <c r="E15" s="269"/>
      <c r="F15" s="689"/>
      <c r="G15" s="684"/>
      <c r="H15" s="664">
        <v>507.97</v>
      </c>
      <c r="I15" s="250">
        <v>334.01</v>
      </c>
      <c r="J15" s="270"/>
      <c r="K15" s="250"/>
      <c r="L15" s="250"/>
      <c r="M15" s="351"/>
      <c r="N15" s="350">
        <v>1136</v>
      </c>
      <c r="O15" s="252">
        <v>1016</v>
      </c>
      <c r="P15" s="252"/>
      <c r="Q15" s="252"/>
      <c r="R15" s="252"/>
      <c r="S15" s="669"/>
      <c r="T15" s="677">
        <f t="shared" si="0"/>
        <v>841.98</v>
      </c>
      <c r="U15" s="264">
        <f t="shared" si="1"/>
        <v>2152</v>
      </c>
      <c r="V15" s="678">
        <f t="shared" si="4"/>
        <v>0.39125464684014871</v>
      </c>
      <c r="W15" s="257"/>
      <c r="X15" s="265"/>
      <c r="Y15" s="241">
        <v>27.01</v>
      </c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27.01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868.99</v>
      </c>
      <c r="AT15" s="267">
        <f t="shared" si="7"/>
        <v>0</v>
      </c>
      <c r="AU15" s="334">
        <f t="shared" si="5"/>
        <v>37758.720000000001</v>
      </c>
    </row>
    <row r="16" spans="2:47" ht="13.5" customHeight="1">
      <c r="B16" s="694">
        <v>44080</v>
      </c>
      <c r="C16" s="682">
        <v>9.0899999999999995E-2</v>
      </c>
      <c r="D16" s="690">
        <f t="shared" si="6"/>
        <v>36889.730000000003</v>
      </c>
      <c r="E16" s="269"/>
      <c r="F16" s="689"/>
      <c r="G16" s="684"/>
      <c r="H16" s="664"/>
      <c r="I16" s="250"/>
      <c r="J16" s="270"/>
      <c r="K16" s="250">
        <v>532.58000000000004</v>
      </c>
      <c r="L16" s="250">
        <v>405.96</v>
      </c>
      <c r="M16" s="351"/>
      <c r="N16" s="350"/>
      <c r="O16" s="252"/>
      <c r="P16" s="252"/>
      <c r="Q16" s="252">
        <v>1081</v>
      </c>
      <c r="R16" s="252">
        <v>971</v>
      </c>
      <c r="S16" s="669"/>
      <c r="T16" s="677">
        <f t="shared" si="0"/>
        <v>938.54</v>
      </c>
      <c r="U16" s="264">
        <f t="shared" si="1"/>
        <v>2052</v>
      </c>
      <c r="V16" s="678">
        <f t="shared" si="4"/>
        <v>0.45737816764132549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938.54</v>
      </c>
      <c r="AT16" s="267">
        <f t="shared" si="7"/>
        <v>0</v>
      </c>
      <c r="AU16" s="334">
        <f t="shared" si="5"/>
        <v>36889.730000000003</v>
      </c>
    </row>
    <row r="17" spans="2:47" ht="13.5" customHeight="1">
      <c r="B17" s="694">
        <v>44081</v>
      </c>
      <c r="C17" s="682">
        <v>2.5999999999999999E-2</v>
      </c>
      <c r="D17" s="690">
        <f t="shared" si="6"/>
        <v>35951.19</v>
      </c>
      <c r="E17" s="269"/>
      <c r="F17" s="689"/>
      <c r="G17" s="684"/>
      <c r="H17" s="664">
        <v>394.85</v>
      </c>
      <c r="I17" s="250"/>
      <c r="J17" s="270"/>
      <c r="K17" s="250"/>
      <c r="L17" s="250"/>
      <c r="M17" s="351">
        <v>515.41999999999996</v>
      </c>
      <c r="N17" s="350">
        <v>1017</v>
      </c>
      <c r="O17" s="252"/>
      <c r="P17" s="252"/>
      <c r="Q17" s="252"/>
      <c r="R17" s="252"/>
      <c r="S17" s="669">
        <v>993</v>
      </c>
      <c r="T17" s="677">
        <f t="shared" si="0"/>
        <v>910.27</v>
      </c>
      <c r="U17" s="264">
        <f t="shared" si="1"/>
        <v>2010</v>
      </c>
      <c r="V17" s="678">
        <f t="shared" si="4"/>
        <v>0.45287064676616917</v>
      </c>
      <c r="W17" s="257"/>
      <c r="X17" s="265"/>
      <c r="Y17" s="241">
        <v>27.13</v>
      </c>
      <c r="Z17" s="265"/>
      <c r="AA17" s="250"/>
      <c r="AB17" s="324"/>
      <c r="AC17" s="265"/>
      <c r="AD17" s="265"/>
      <c r="AE17" s="265"/>
      <c r="AF17" s="265"/>
      <c r="AG17" s="265"/>
      <c r="AH17" s="265"/>
      <c r="AI17" s="265">
        <v>146</v>
      </c>
      <c r="AJ17" s="451">
        <v>85.01</v>
      </c>
      <c r="AK17" s="322">
        <f t="shared" si="3"/>
        <v>258.14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1168.4099999999999</v>
      </c>
      <c r="AT17" s="267">
        <f t="shared" si="7"/>
        <v>0</v>
      </c>
      <c r="AU17" s="334">
        <f t="shared" si="5"/>
        <v>35951.19</v>
      </c>
    </row>
    <row r="18" spans="2:47" ht="13.5" customHeight="1">
      <c r="B18" s="694">
        <v>44082</v>
      </c>
      <c r="C18" s="682">
        <v>3.9E-2</v>
      </c>
      <c r="D18" s="690">
        <f t="shared" si="6"/>
        <v>34782.78</v>
      </c>
      <c r="E18" s="269"/>
      <c r="F18" s="689"/>
      <c r="G18" s="684"/>
      <c r="H18" s="664"/>
      <c r="I18" s="250">
        <v>554.04999999999995</v>
      </c>
      <c r="J18" s="270"/>
      <c r="K18" s="250">
        <v>394.16</v>
      </c>
      <c r="L18" s="250"/>
      <c r="M18" s="351"/>
      <c r="N18" s="350"/>
      <c r="O18" s="252">
        <v>1087</v>
      </c>
      <c r="P18" s="252"/>
      <c r="Q18" s="252">
        <v>1158</v>
      </c>
      <c r="R18" s="252"/>
      <c r="S18" s="669"/>
      <c r="T18" s="677">
        <f t="shared" si="0"/>
        <v>948.21</v>
      </c>
      <c r="U18" s="264">
        <f t="shared" si="1"/>
        <v>2245</v>
      </c>
      <c r="V18" s="678">
        <f t="shared" si="4"/>
        <v>0.42236525612472164</v>
      </c>
      <c r="W18" s="257"/>
      <c r="X18" s="265">
        <v>35.659999999999997</v>
      </c>
      <c r="Y18" s="241"/>
      <c r="Z18" s="250"/>
      <c r="AA18" s="250">
        <v>87.64</v>
      </c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123.3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1071.51</v>
      </c>
      <c r="AT18" s="267">
        <f t="shared" si="7"/>
        <v>0</v>
      </c>
      <c r="AU18" s="334">
        <f t="shared" si="5"/>
        <v>34782.78</v>
      </c>
    </row>
    <row r="19" spans="2:47" ht="13.5" customHeight="1">
      <c r="B19" s="694">
        <v>44083</v>
      </c>
      <c r="C19" s="682">
        <v>6.5000000000000002E-2</v>
      </c>
      <c r="D19" s="690">
        <f t="shared" si="6"/>
        <v>33711.269999999997</v>
      </c>
      <c r="E19" s="269"/>
      <c r="F19" s="689"/>
      <c r="G19" s="684"/>
      <c r="H19" s="664"/>
      <c r="I19" s="250"/>
      <c r="J19" s="270"/>
      <c r="K19" s="250"/>
      <c r="L19" s="250">
        <v>433.34</v>
      </c>
      <c r="M19" s="351">
        <v>482.99</v>
      </c>
      <c r="N19" s="350"/>
      <c r="O19" s="252"/>
      <c r="P19" s="252"/>
      <c r="Q19" s="252"/>
      <c r="R19" s="252">
        <v>966</v>
      </c>
      <c r="S19" s="669">
        <v>1135</v>
      </c>
      <c r="T19" s="677">
        <f t="shared" si="0"/>
        <v>916.32999999999993</v>
      </c>
      <c r="U19" s="264">
        <f t="shared" si="1"/>
        <v>2101</v>
      </c>
      <c r="V19" s="678">
        <f t="shared" si="4"/>
        <v>0.43613993336506424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/>
      <c r="AJ19" s="451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916.32999999999993</v>
      </c>
      <c r="AT19" s="267">
        <f t="shared" si="7"/>
        <v>0</v>
      </c>
      <c r="AU19" s="334">
        <f t="shared" si="5"/>
        <v>33711.269999999997</v>
      </c>
    </row>
    <row r="20" spans="2:47" ht="14.25">
      <c r="B20" s="694">
        <v>44084</v>
      </c>
      <c r="C20" s="682">
        <v>1.2999999999999999E-2</v>
      </c>
      <c r="D20" s="690">
        <f t="shared" si="6"/>
        <v>32794.939999999995</v>
      </c>
      <c r="E20" s="269"/>
      <c r="F20" s="689"/>
      <c r="G20" s="684"/>
      <c r="H20" s="664">
        <v>414.86</v>
      </c>
      <c r="I20" s="265"/>
      <c r="J20" s="270"/>
      <c r="K20" s="250">
        <v>563.17999999999995</v>
      </c>
      <c r="L20" s="250"/>
      <c r="M20" s="627"/>
      <c r="N20" s="350">
        <v>1010</v>
      </c>
      <c r="O20" s="252"/>
      <c r="P20" s="252"/>
      <c r="Q20" s="252">
        <v>1189</v>
      </c>
      <c r="R20" s="252"/>
      <c r="S20" s="670"/>
      <c r="T20" s="677">
        <f t="shared" si="0"/>
        <v>978.04</v>
      </c>
      <c r="U20" s="264">
        <f t="shared" si="1"/>
        <v>2199</v>
      </c>
      <c r="V20" s="678">
        <f t="shared" si="4"/>
        <v>0.44476580263756249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978.04</v>
      </c>
      <c r="AT20" s="267">
        <f t="shared" si="7"/>
        <v>0</v>
      </c>
      <c r="AU20" s="334">
        <f t="shared" si="5"/>
        <v>32794.939999999995</v>
      </c>
    </row>
    <row r="21" spans="2:47" ht="14.25">
      <c r="B21" s="694">
        <v>44085</v>
      </c>
      <c r="C21" s="682">
        <v>3.9E-2</v>
      </c>
      <c r="D21" s="690">
        <f t="shared" si="6"/>
        <v>31816.899999999994</v>
      </c>
      <c r="E21" s="269"/>
      <c r="F21" s="689"/>
      <c r="G21" s="684"/>
      <c r="H21" s="664"/>
      <c r="I21" s="265"/>
      <c r="J21" s="270"/>
      <c r="K21" s="250">
        <v>337.42</v>
      </c>
      <c r="L21" s="250"/>
      <c r="M21" s="589">
        <v>445.13</v>
      </c>
      <c r="N21" s="350"/>
      <c r="O21" s="350"/>
      <c r="P21" s="252"/>
      <c r="Q21" s="252">
        <v>939</v>
      </c>
      <c r="R21" s="252"/>
      <c r="S21" s="669">
        <v>1187</v>
      </c>
      <c r="T21" s="677">
        <f t="shared" si="0"/>
        <v>782.55</v>
      </c>
      <c r="U21" s="264">
        <f t="shared" si="1"/>
        <v>2126</v>
      </c>
      <c r="V21" s="678">
        <f t="shared" si="4"/>
        <v>0.36808560677328311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1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782.55</v>
      </c>
      <c r="AT21" s="267">
        <f t="shared" si="7"/>
        <v>0</v>
      </c>
      <c r="AU21" s="334">
        <f t="shared" si="5"/>
        <v>31816.899999999994</v>
      </c>
    </row>
    <row r="22" spans="2:47" ht="14.25">
      <c r="B22" s="694">
        <v>44086</v>
      </c>
      <c r="C22" s="682">
        <v>0.02</v>
      </c>
      <c r="D22" s="690">
        <f t="shared" si="6"/>
        <v>31034.349999999995</v>
      </c>
      <c r="E22" s="269"/>
      <c r="F22" s="689"/>
      <c r="G22" s="684"/>
      <c r="H22" s="664"/>
      <c r="I22" s="250">
        <v>348.67</v>
      </c>
      <c r="J22" s="270"/>
      <c r="K22" s="250"/>
      <c r="L22" s="250"/>
      <c r="M22" s="627">
        <v>384.11</v>
      </c>
      <c r="N22" s="350">
        <v>1133</v>
      </c>
      <c r="O22" s="350"/>
      <c r="P22" s="252"/>
      <c r="Q22" s="252"/>
      <c r="R22" s="252">
        <v>1041</v>
      </c>
      <c r="S22" s="669"/>
      <c r="T22" s="677">
        <f t="shared" si="0"/>
        <v>732.78</v>
      </c>
      <c r="U22" s="264">
        <f t="shared" si="1"/>
        <v>2174</v>
      </c>
      <c r="V22" s="678">
        <f t="shared" si="4"/>
        <v>0.3370653173873045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732.78</v>
      </c>
      <c r="AT22" s="267">
        <f t="shared" si="7"/>
        <v>0</v>
      </c>
      <c r="AU22" s="334">
        <f t="shared" si="5"/>
        <v>31034.349999999995</v>
      </c>
    </row>
    <row r="23" spans="2:47" ht="14.25">
      <c r="B23" s="694">
        <v>44087</v>
      </c>
      <c r="C23" s="682">
        <v>0.03</v>
      </c>
      <c r="D23" s="690">
        <f t="shared" si="6"/>
        <v>30301.569999999996</v>
      </c>
      <c r="E23" s="269"/>
      <c r="F23" s="689"/>
      <c r="G23" s="684"/>
      <c r="H23" s="664">
        <v>480.77</v>
      </c>
      <c r="I23" s="265"/>
      <c r="J23" s="270"/>
      <c r="K23" s="250"/>
      <c r="L23" s="250">
        <v>454.97</v>
      </c>
      <c r="M23" s="627"/>
      <c r="N23" s="350">
        <v>1010</v>
      </c>
      <c r="O23" s="252"/>
      <c r="P23" s="252"/>
      <c r="Q23" s="252"/>
      <c r="R23" s="252">
        <v>1103</v>
      </c>
      <c r="S23" s="669"/>
      <c r="T23" s="677">
        <f t="shared" si="0"/>
        <v>935.74</v>
      </c>
      <c r="U23" s="264">
        <f t="shared" si="1"/>
        <v>2113</v>
      </c>
      <c r="V23" s="678">
        <f t="shared" si="4"/>
        <v>0.44284902981542829</v>
      </c>
      <c r="W23" s="257"/>
      <c r="X23" s="265"/>
      <c r="Y23" s="241"/>
      <c r="Z23" s="265"/>
      <c r="AA23" s="250">
        <v>71.040000000000006</v>
      </c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71.040000000000006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1006.78</v>
      </c>
      <c r="AT23" s="267">
        <f t="shared" si="7"/>
        <v>0</v>
      </c>
      <c r="AU23" s="334">
        <f t="shared" si="5"/>
        <v>30301.569999999996</v>
      </c>
    </row>
    <row r="24" spans="2:47" ht="14.25">
      <c r="B24" s="694">
        <v>44088</v>
      </c>
      <c r="C24" s="682">
        <v>0.04</v>
      </c>
      <c r="D24" s="690">
        <f t="shared" si="6"/>
        <v>29294.789999999997</v>
      </c>
      <c r="E24" s="249"/>
      <c r="F24" s="689"/>
      <c r="G24" s="684"/>
      <c r="H24" s="772"/>
      <c r="I24" s="250"/>
      <c r="J24" s="270"/>
      <c r="K24" s="250">
        <v>413.7</v>
      </c>
      <c r="L24" s="250">
        <v>476.39</v>
      </c>
      <c r="M24" s="627"/>
      <c r="N24" s="350"/>
      <c r="O24" s="350"/>
      <c r="P24" s="252"/>
      <c r="Q24" s="252">
        <v>999</v>
      </c>
      <c r="R24" s="252">
        <v>1041</v>
      </c>
      <c r="S24" s="669"/>
      <c r="T24" s="677">
        <f t="shared" si="0"/>
        <v>890.08999999999992</v>
      </c>
      <c r="U24" s="264">
        <f t="shared" si="1"/>
        <v>2040</v>
      </c>
      <c r="V24" s="678">
        <f t="shared" si="4"/>
        <v>0.43631862745098038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890.08999999999992</v>
      </c>
      <c r="AT24" s="267">
        <f t="shared" si="7"/>
        <v>0</v>
      </c>
      <c r="AU24" s="334">
        <f t="shared" si="5"/>
        <v>29294.789999999997</v>
      </c>
    </row>
    <row r="25" spans="2:47" ht="14.25">
      <c r="B25" s="694">
        <v>44089</v>
      </c>
      <c r="C25" s="682">
        <v>0.03</v>
      </c>
      <c r="D25" s="690">
        <f t="shared" si="6"/>
        <v>28404.699999999997</v>
      </c>
      <c r="E25" s="269"/>
      <c r="F25" s="689">
        <v>10000</v>
      </c>
      <c r="G25" s="752" t="s">
        <v>308</v>
      </c>
      <c r="H25" s="664">
        <v>448.3</v>
      </c>
      <c r="I25" s="265"/>
      <c r="J25" s="270"/>
      <c r="K25" s="250"/>
      <c r="L25" s="250"/>
      <c r="M25" s="627">
        <v>440.68</v>
      </c>
      <c r="N25" s="350">
        <v>1074</v>
      </c>
      <c r="O25" s="252"/>
      <c r="P25" s="252"/>
      <c r="Q25" s="252"/>
      <c r="R25" s="252"/>
      <c r="S25" s="669">
        <v>1010</v>
      </c>
      <c r="T25" s="677">
        <f t="shared" si="0"/>
        <v>888.98</v>
      </c>
      <c r="U25" s="264">
        <f t="shared" si="1"/>
        <v>2084</v>
      </c>
      <c r="V25" s="678">
        <f t="shared" si="4"/>
        <v>0.426573896353167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888.98</v>
      </c>
      <c r="AT25" s="267">
        <f t="shared" si="7"/>
        <v>0</v>
      </c>
      <c r="AU25" s="334">
        <f t="shared" si="5"/>
        <v>28404.699999999997</v>
      </c>
    </row>
    <row r="26" spans="2:47" ht="14.25">
      <c r="B26" s="694">
        <v>44090</v>
      </c>
      <c r="C26" s="682">
        <v>0.12989999999999999</v>
      </c>
      <c r="D26" s="690">
        <f t="shared" si="6"/>
        <v>27515.719999999998</v>
      </c>
      <c r="E26" s="269"/>
      <c r="F26" s="689"/>
      <c r="G26" s="684"/>
      <c r="H26" s="664"/>
      <c r="I26" s="265"/>
      <c r="J26" s="270"/>
      <c r="K26" s="250">
        <v>576.66</v>
      </c>
      <c r="L26" s="250">
        <v>518.79999999999995</v>
      </c>
      <c r="M26" s="627"/>
      <c r="N26" s="350"/>
      <c r="O26" s="252"/>
      <c r="P26" s="252"/>
      <c r="Q26" s="252">
        <v>1275</v>
      </c>
      <c r="R26" s="252">
        <v>1214</v>
      </c>
      <c r="S26" s="669"/>
      <c r="T26" s="677">
        <f t="shared" si="0"/>
        <v>1095.46</v>
      </c>
      <c r="U26" s="264">
        <f t="shared" si="1"/>
        <v>2489</v>
      </c>
      <c r="V26" s="678">
        <f t="shared" si="4"/>
        <v>0.44012053033346726</v>
      </c>
      <c r="W26" s="257"/>
      <c r="X26" s="265"/>
      <c r="Y26" s="241">
        <v>39.14</v>
      </c>
      <c r="Z26" s="265"/>
      <c r="AA26" s="265">
        <v>73</v>
      </c>
      <c r="AB26" s="324"/>
      <c r="AC26" s="265"/>
      <c r="AD26" s="265"/>
      <c r="AE26" s="265"/>
      <c r="AF26" s="265"/>
      <c r="AG26" s="265"/>
      <c r="AH26" s="265"/>
      <c r="AI26" s="265">
        <v>69</v>
      </c>
      <c r="AJ26" s="451"/>
      <c r="AK26" s="322">
        <f t="shared" si="3"/>
        <v>181.14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1276.5999999999999</v>
      </c>
      <c r="AT26" s="267">
        <f t="shared" si="7"/>
        <v>0</v>
      </c>
      <c r="AU26" s="334">
        <f t="shared" si="5"/>
        <v>27515.719999999998</v>
      </c>
    </row>
    <row r="27" spans="2:47" ht="14.25">
      <c r="B27" s="694">
        <v>44091</v>
      </c>
      <c r="C27" s="682">
        <v>0.1169</v>
      </c>
      <c r="D27" s="690">
        <f t="shared" si="6"/>
        <v>36239.119999999995</v>
      </c>
      <c r="E27" s="269">
        <v>10000</v>
      </c>
      <c r="F27" s="689"/>
      <c r="G27" s="684"/>
      <c r="H27" s="664">
        <v>482.52</v>
      </c>
      <c r="I27" s="265"/>
      <c r="J27" s="270"/>
      <c r="K27" s="250"/>
      <c r="L27" s="250"/>
      <c r="M27" s="627">
        <v>535.54999999999995</v>
      </c>
      <c r="N27" s="350">
        <v>1186</v>
      </c>
      <c r="O27" s="252"/>
      <c r="P27" s="252"/>
      <c r="Q27" s="252"/>
      <c r="R27" s="252"/>
      <c r="S27" s="669">
        <v>1313</v>
      </c>
      <c r="T27" s="677">
        <f t="shared" si="0"/>
        <v>1018.0699999999999</v>
      </c>
      <c r="U27" s="264">
        <f t="shared" si="1"/>
        <v>2499</v>
      </c>
      <c r="V27" s="678">
        <f t="shared" si="4"/>
        <v>0.40739095638255302</v>
      </c>
      <c r="W27" s="257"/>
      <c r="X27" s="265">
        <v>25.41</v>
      </c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25.41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1043.48</v>
      </c>
      <c r="AT27" s="267">
        <f t="shared" si="7"/>
        <v>0</v>
      </c>
      <c r="AU27" s="334">
        <f t="shared" si="5"/>
        <v>36239.119999999995</v>
      </c>
    </row>
    <row r="28" spans="2:47" ht="14.25">
      <c r="B28" s="694">
        <v>44092</v>
      </c>
      <c r="C28" s="682">
        <v>0.1429</v>
      </c>
      <c r="D28" s="690">
        <f t="shared" si="6"/>
        <v>35195.639999999992</v>
      </c>
      <c r="E28" s="269"/>
      <c r="F28" s="689"/>
      <c r="G28" s="684"/>
      <c r="H28" s="664"/>
      <c r="I28" s="265"/>
      <c r="J28" s="251"/>
      <c r="K28" s="250">
        <v>487.16</v>
      </c>
      <c r="L28" s="250">
        <v>554.11</v>
      </c>
      <c r="M28" s="627"/>
      <c r="N28" s="350"/>
      <c r="O28" s="252"/>
      <c r="P28" s="252"/>
      <c r="Q28" s="252">
        <v>1199</v>
      </c>
      <c r="R28" s="252">
        <v>1423</v>
      </c>
      <c r="S28" s="669"/>
      <c r="T28" s="677">
        <f t="shared" si="0"/>
        <v>1041.27</v>
      </c>
      <c r="U28" s="264">
        <f t="shared" si="1"/>
        <v>2622</v>
      </c>
      <c r="V28" s="678">
        <f t="shared" si="4"/>
        <v>0.39712814645308925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1041.27</v>
      </c>
      <c r="AT28" s="267">
        <f t="shared" si="7"/>
        <v>0</v>
      </c>
      <c r="AU28" s="334">
        <f t="shared" si="5"/>
        <v>35195.639999999992</v>
      </c>
    </row>
    <row r="29" spans="2:47" ht="14.25">
      <c r="B29" s="694">
        <v>44093</v>
      </c>
      <c r="C29" s="682">
        <v>9.0899999999999995E-2</v>
      </c>
      <c r="D29" s="690">
        <f t="shared" si="6"/>
        <v>34154.369999999995</v>
      </c>
      <c r="E29" s="269"/>
      <c r="F29" s="689"/>
      <c r="G29" s="684"/>
      <c r="H29" s="664">
        <v>471.9</v>
      </c>
      <c r="I29" s="265"/>
      <c r="J29" s="251"/>
      <c r="K29" s="250"/>
      <c r="L29" s="250"/>
      <c r="M29" s="627">
        <v>657.98</v>
      </c>
      <c r="N29" s="350">
        <v>1103</v>
      </c>
      <c r="O29" s="252"/>
      <c r="P29" s="252"/>
      <c r="Q29" s="252"/>
      <c r="R29" s="252"/>
      <c r="S29" s="669">
        <v>1397</v>
      </c>
      <c r="T29" s="677">
        <f t="shared" si="0"/>
        <v>1129.8800000000001</v>
      </c>
      <c r="U29" s="264">
        <f t="shared" si="1"/>
        <v>2500</v>
      </c>
      <c r="V29" s="678">
        <f t="shared" si="4"/>
        <v>0.45195200000000002</v>
      </c>
      <c r="W29" s="257"/>
      <c r="X29" s="265"/>
      <c r="Y29" s="241"/>
      <c r="Z29" s="265">
        <v>80.25</v>
      </c>
      <c r="AA29" s="250">
        <v>69.13</v>
      </c>
      <c r="AB29" s="324"/>
      <c r="AC29" s="265"/>
      <c r="AD29" s="265"/>
      <c r="AE29" s="265"/>
      <c r="AF29" s="265"/>
      <c r="AG29" s="265"/>
      <c r="AH29" s="265"/>
      <c r="AI29" s="265">
        <v>225</v>
      </c>
      <c r="AJ29" s="451"/>
      <c r="AK29" s="322">
        <f t="shared" si="3"/>
        <v>374.38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1504.2600000000002</v>
      </c>
      <c r="AT29" s="267">
        <f t="shared" si="7"/>
        <v>0</v>
      </c>
      <c r="AU29" s="334">
        <f t="shared" si="5"/>
        <v>34154.369999999995</v>
      </c>
    </row>
    <row r="30" spans="2:47" ht="14.25">
      <c r="B30" s="694">
        <v>44094</v>
      </c>
      <c r="C30" s="682">
        <v>6.4899999999999999E-2</v>
      </c>
      <c r="D30" s="690">
        <f t="shared" si="6"/>
        <v>32650.109999999993</v>
      </c>
      <c r="E30" s="269"/>
      <c r="F30" s="689"/>
      <c r="G30" s="771"/>
      <c r="H30" s="664"/>
      <c r="I30" s="265"/>
      <c r="J30" s="251"/>
      <c r="K30" s="250">
        <v>459.51</v>
      </c>
      <c r="L30" s="250">
        <v>596.15</v>
      </c>
      <c r="M30" s="627"/>
      <c r="N30" s="350"/>
      <c r="O30" s="252"/>
      <c r="P30" s="252"/>
      <c r="Q30" s="252">
        <v>1080</v>
      </c>
      <c r="R30" s="252">
        <v>1233</v>
      </c>
      <c r="S30" s="669"/>
      <c r="T30" s="677">
        <f t="shared" si="0"/>
        <v>1055.6599999999999</v>
      </c>
      <c r="U30" s="264">
        <f t="shared" si="1"/>
        <v>2313</v>
      </c>
      <c r="V30" s="678">
        <f t="shared" si="4"/>
        <v>0.45640293990488534</v>
      </c>
      <c r="W30" s="257"/>
      <c r="X30" s="265"/>
      <c r="Y30" s="241"/>
      <c r="Z30" s="265"/>
      <c r="AA30" s="250">
        <v>44.98</v>
      </c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44.98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1100.6399999999999</v>
      </c>
      <c r="AT30" s="267">
        <f t="shared" si="7"/>
        <v>0</v>
      </c>
      <c r="AU30" s="334">
        <f t="shared" si="5"/>
        <v>32650.109999999993</v>
      </c>
    </row>
    <row r="31" spans="2:47" ht="14.25">
      <c r="B31" s="694">
        <v>44095</v>
      </c>
      <c r="C31" s="682">
        <v>6.4899999999999999E-2</v>
      </c>
      <c r="D31" s="690">
        <f t="shared" si="6"/>
        <v>31549.469999999994</v>
      </c>
      <c r="E31" s="269"/>
      <c r="F31" s="689"/>
      <c r="G31" s="771"/>
      <c r="H31" s="664">
        <v>464.24</v>
      </c>
      <c r="I31" s="265"/>
      <c r="J31" s="251"/>
      <c r="K31" s="250"/>
      <c r="L31" s="250"/>
      <c r="M31" s="627">
        <v>493.46</v>
      </c>
      <c r="N31" s="350">
        <v>1128</v>
      </c>
      <c r="O31" s="252"/>
      <c r="P31" s="252"/>
      <c r="Q31" s="252"/>
      <c r="R31" s="252"/>
      <c r="S31" s="669">
        <v>1228</v>
      </c>
      <c r="T31" s="677">
        <f t="shared" si="0"/>
        <v>957.7</v>
      </c>
      <c r="U31" s="264">
        <f t="shared" si="1"/>
        <v>2356</v>
      </c>
      <c r="V31" s="678">
        <f t="shared" si="4"/>
        <v>0.40649405772495756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957.7</v>
      </c>
      <c r="AT31" s="267">
        <f t="shared" si="7"/>
        <v>0</v>
      </c>
      <c r="AU31" s="334">
        <f t="shared" si="5"/>
        <v>31549.469999999994</v>
      </c>
    </row>
    <row r="32" spans="2:47" ht="14.25">
      <c r="B32" s="694">
        <v>44096</v>
      </c>
      <c r="C32" s="682">
        <v>2.5999999999999999E-2</v>
      </c>
      <c r="D32" s="690">
        <f t="shared" si="6"/>
        <v>30591.769999999993</v>
      </c>
      <c r="E32" s="269"/>
      <c r="F32" s="689"/>
      <c r="G32" s="771"/>
      <c r="H32" s="664"/>
      <c r="I32" s="265"/>
      <c r="J32" s="251"/>
      <c r="K32" s="250">
        <v>475.4</v>
      </c>
      <c r="L32" s="250">
        <v>507.1</v>
      </c>
      <c r="M32" s="627"/>
      <c r="N32" s="350"/>
      <c r="O32" s="252"/>
      <c r="P32" s="252"/>
      <c r="Q32" s="252">
        <v>1060</v>
      </c>
      <c r="R32" s="252">
        <v>1229</v>
      </c>
      <c r="S32" s="669"/>
      <c r="T32" s="677">
        <f t="shared" si="0"/>
        <v>982.5</v>
      </c>
      <c r="U32" s="264">
        <f t="shared" si="1"/>
        <v>2289</v>
      </c>
      <c r="V32" s="678">
        <f t="shared" si="4"/>
        <v>0.4292267365661861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982.5</v>
      </c>
      <c r="AT32" s="267">
        <f t="shared" si="7"/>
        <v>0</v>
      </c>
      <c r="AU32" s="334">
        <f t="shared" si="5"/>
        <v>30591.769999999993</v>
      </c>
    </row>
    <row r="33" spans="2:47" ht="14.25">
      <c r="B33" s="694">
        <v>44097</v>
      </c>
      <c r="C33" s="682">
        <v>2.5999999999999999E-2</v>
      </c>
      <c r="D33" s="690">
        <f t="shared" si="6"/>
        <v>29609.269999999993</v>
      </c>
      <c r="E33" s="269"/>
      <c r="F33" s="689"/>
      <c r="G33" s="771"/>
      <c r="H33" s="664">
        <v>343.34</v>
      </c>
      <c r="I33" s="265"/>
      <c r="J33" s="251"/>
      <c r="K33" s="250"/>
      <c r="L33" s="250"/>
      <c r="M33" s="627">
        <v>646.45000000000005</v>
      </c>
      <c r="N33" s="350">
        <v>978</v>
      </c>
      <c r="O33" s="252"/>
      <c r="P33" s="252"/>
      <c r="Q33" s="252"/>
      <c r="R33" s="252"/>
      <c r="S33" s="669">
        <v>1308</v>
      </c>
      <c r="T33" s="677">
        <f t="shared" si="0"/>
        <v>989.79</v>
      </c>
      <c r="U33" s="264">
        <f t="shared" si="1"/>
        <v>2286</v>
      </c>
      <c r="V33" s="678">
        <f t="shared" si="4"/>
        <v>0.43297900262467193</v>
      </c>
      <c r="W33" s="257"/>
      <c r="X33" s="265">
        <v>34.270000000000003</v>
      </c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>
        <v>153.01</v>
      </c>
      <c r="AJ33" s="451"/>
      <c r="AK33" s="322">
        <f t="shared" si="3"/>
        <v>187.28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1177.07</v>
      </c>
      <c r="AT33" s="267">
        <f t="shared" si="7"/>
        <v>0</v>
      </c>
      <c r="AU33" s="334">
        <f t="shared" si="5"/>
        <v>29609.269999999993</v>
      </c>
    </row>
    <row r="34" spans="2:47" ht="14.25">
      <c r="B34" s="694">
        <v>44098</v>
      </c>
      <c r="C34" s="682">
        <v>1.2999999999999999E-2</v>
      </c>
      <c r="D34" s="690">
        <f t="shared" si="6"/>
        <v>28432.199999999993</v>
      </c>
      <c r="E34" s="269"/>
      <c r="F34" s="689"/>
      <c r="G34" s="684"/>
      <c r="H34" s="664"/>
      <c r="I34" s="250"/>
      <c r="J34" s="250"/>
      <c r="K34" s="250">
        <v>477.44</v>
      </c>
      <c r="L34" s="250">
        <v>526.80999999999995</v>
      </c>
      <c r="M34" s="627"/>
      <c r="N34" s="350"/>
      <c r="O34" s="252"/>
      <c r="P34" s="252"/>
      <c r="Q34" s="252">
        <v>1025</v>
      </c>
      <c r="R34" s="252">
        <v>1264</v>
      </c>
      <c r="S34" s="669"/>
      <c r="T34" s="677">
        <f t="shared" si="0"/>
        <v>1004.25</v>
      </c>
      <c r="U34" s="264">
        <f t="shared" si="1"/>
        <v>2289</v>
      </c>
      <c r="V34" s="678">
        <f t="shared" si="4"/>
        <v>0.43872870249017037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1004.25</v>
      </c>
      <c r="AT34" s="267">
        <f t="shared" si="7"/>
        <v>0</v>
      </c>
      <c r="AU34" s="334">
        <f t="shared" si="5"/>
        <v>28432.199999999993</v>
      </c>
    </row>
    <row r="35" spans="2:47" ht="14.25">
      <c r="B35" s="694">
        <v>44099</v>
      </c>
      <c r="C35" s="682">
        <v>1.2999999999999999E-2</v>
      </c>
      <c r="D35" s="690">
        <f t="shared" si="6"/>
        <v>27427.949999999993</v>
      </c>
      <c r="E35" s="269"/>
      <c r="F35" s="689"/>
      <c r="G35" s="684"/>
      <c r="H35" s="664">
        <v>444.98</v>
      </c>
      <c r="I35" s="265"/>
      <c r="J35" s="251"/>
      <c r="K35" s="250"/>
      <c r="L35" s="250"/>
      <c r="M35" s="627">
        <v>574.1</v>
      </c>
      <c r="N35" s="350">
        <v>1079</v>
      </c>
      <c r="O35" s="252"/>
      <c r="P35" s="252"/>
      <c r="Q35" s="252"/>
      <c r="R35" s="252"/>
      <c r="S35" s="669">
        <v>1165</v>
      </c>
      <c r="T35" s="677">
        <f t="shared" si="0"/>
        <v>1019.08</v>
      </c>
      <c r="U35" s="264">
        <f t="shared" si="1"/>
        <v>2244</v>
      </c>
      <c r="V35" s="678">
        <f t="shared" si="4"/>
        <v>0.45413547237076651</v>
      </c>
      <c r="W35" s="257"/>
      <c r="X35" s="265">
        <v>27.39</v>
      </c>
      <c r="Y35" s="241"/>
      <c r="Z35" s="265">
        <v>47.21</v>
      </c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74.599999999999994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1093.68</v>
      </c>
      <c r="AT35" s="267">
        <f t="shared" si="7"/>
        <v>0</v>
      </c>
      <c r="AU35" s="334">
        <f t="shared" si="5"/>
        <v>27427.949999999993</v>
      </c>
    </row>
    <row r="36" spans="2:47" ht="14.25">
      <c r="B36" s="694">
        <v>44100</v>
      </c>
      <c r="C36" s="682">
        <v>2.5999999999999999E-2</v>
      </c>
      <c r="D36" s="690">
        <f t="shared" si="6"/>
        <v>26334.269999999993</v>
      </c>
      <c r="E36" s="269"/>
      <c r="F36" s="689"/>
      <c r="G36" s="627"/>
      <c r="H36" s="664"/>
      <c r="I36" s="265"/>
      <c r="J36" s="251"/>
      <c r="K36" s="250">
        <v>371.89</v>
      </c>
      <c r="L36" s="250">
        <v>506.91</v>
      </c>
      <c r="M36" s="627"/>
      <c r="N36" s="350"/>
      <c r="O36" s="252"/>
      <c r="P36" s="252"/>
      <c r="Q36" s="252">
        <v>1079</v>
      </c>
      <c r="R36" s="252">
        <v>1234</v>
      </c>
      <c r="S36" s="669"/>
      <c r="T36" s="677">
        <f t="shared" si="0"/>
        <v>878.8</v>
      </c>
      <c r="U36" s="264">
        <f t="shared" si="1"/>
        <v>2313</v>
      </c>
      <c r="V36" s="678">
        <f t="shared" si="4"/>
        <v>0.37993947254647642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878.8</v>
      </c>
      <c r="AT36" s="267">
        <f t="shared" si="7"/>
        <v>0</v>
      </c>
      <c r="AU36" s="334">
        <f t="shared" si="5"/>
        <v>26334.269999999993</v>
      </c>
    </row>
    <row r="37" spans="2:47" ht="14.25">
      <c r="B37" s="694">
        <v>44101</v>
      </c>
      <c r="C37" s="682">
        <v>5.1900000000000002E-2</v>
      </c>
      <c r="D37" s="690">
        <f t="shared" si="6"/>
        <v>43455.469999999994</v>
      </c>
      <c r="E37" s="269">
        <v>18000</v>
      </c>
      <c r="F37" s="689">
        <v>18000</v>
      </c>
      <c r="G37" s="752" t="s">
        <v>308</v>
      </c>
      <c r="H37" s="664">
        <v>473.74</v>
      </c>
      <c r="I37" s="265"/>
      <c r="J37" s="251"/>
      <c r="K37" s="250"/>
      <c r="L37" s="250"/>
      <c r="M37" s="627">
        <v>502</v>
      </c>
      <c r="N37" s="350">
        <v>1093</v>
      </c>
      <c r="O37" s="252"/>
      <c r="P37" s="252"/>
      <c r="Q37" s="252"/>
      <c r="R37" s="252"/>
      <c r="S37" s="669">
        <v>1234</v>
      </c>
      <c r="T37" s="677">
        <f t="shared" si="0"/>
        <v>975.74</v>
      </c>
      <c r="U37" s="264">
        <f t="shared" si="1"/>
        <v>2327</v>
      </c>
      <c r="V37" s="678">
        <f t="shared" si="4"/>
        <v>0.41931241942415126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975.74</v>
      </c>
      <c r="AT37" s="267">
        <f t="shared" si="7"/>
        <v>0</v>
      </c>
      <c r="AU37" s="334">
        <f t="shared" si="5"/>
        <v>43455.469999999994</v>
      </c>
    </row>
    <row r="38" spans="2:47" ht="14.25">
      <c r="B38" s="694">
        <v>44102</v>
      </c>
      <c r="C38" s="682">
        <v>5.1900000000000002E-2</v>
      </c>
      <c r="D38" s="690">
        <f t="shared" si="6"/>
        <v>42479.729999999996</v>
      </c>
      <c r="E38" s="269"/>
      <c r="F38" s="689"/>
      <c r="G38" s="627"/>
      <c r="H38" s="664"/>
      <c r="I38" s="265"/>
      <c r="J38" s="251"/>
      <c r="K38" s="250">
        <v>442.32</v>
      </c>
      <c r="L38" s="250">
        <v>527.07000000000005</v>
      </c>
      <c r="M38" s="627"/>
      <c r="N38" s="350"/>
      <c r="O38" s="252"/>
      <c r="P38" s="252"/>
      <c r="Q38" s="252">
        <v>1021</v>
      </c>
      <c r="R38" s="252">
        <v>1268</v>
      </c>
      <c r="S38" s="669"/>
      <c r="T38" s="677">
        <f t="shared" si="0"/>
        <v>969.3900000000001</v>
      </c>
      <c r="U38" s="264">
        <f t="shared" si="1"/>
        <v>2289</v>
      </c>
      <c r="V38" s="678">
        <f t="shared" si="4"/>
        <v>0.42349934469200529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969.3900000000001</v>
      </c>
      <c r="AT38" s="267">
        <f t="shared" si="7"/>
        <v>0</v>
      </c>
      <c r="AU38" s="334">
        <f t="shared" si="5"/>
        <v>42479.729999999996</v>
      </c>
    </row>
    <row r="39" spans="2:47" ht="14.25">
      <c r="B39" s="694">
        <v>44103</v>
      </c>
      <c r="C39" s="682">
        <v>5.1900000000000002E-2</v>
      </c>
      <c r="D39" s="690">
        <f t="shared" si="6"/>
        <v>41510.339999999997</v>
      </c>
      <c r="E39" s="269"/>
      <c r="F39" s="689"/>
      <c r="G39" s="627"/>
      <c r="H39" s="664"/>
      <c r="I39" s="265"/>
      <c r="J39" s="274"/>
      <c r="K39" s="250"/>
      <c r="L39" s="250"/>
      <c r="M39" s="627"/>
      <c r="N39" s="350"/>
      <c r="O39" s="252"/>
      <c r="P39" s="275"/>
      <c r="Q39" s="252"/>
      <c r="R39" s="252"/>
      <c r="S39" s="669"/>
      <c r="T39" s="677">
        <f t="shared" si="0"/>
        <v>0</v>
      </c>
      <c r="U39" s="264">
        <f t="shared" si="1"/>
        <v>0</v>
      </c>
      <c r="V39" s="678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41510.339999999997</v>
      </c>
    </row>
    <row r="40" spans="2:47" ht="14.25">
      <c r="B40" s="694">
        <v>44104</v>
      </c>
      <c r="C40" s="682"/>
      <c r="D40" s="690">
        <f t="shared" si="6"/>
        <v>41510.339999999997</v>
      </c>
      <c r="E40" s="269"/>
      <c r="F40" s="689"/>
      <c r="G40" s="351"/>
      <c r="H40" s="664"/>
      <c r="I40" s="265"/>
      <c r="J40" s="251"/>
      <c r="K40" s="250"/>
      <c r="L40" s="250"/>
      <c r="M40" s="627"/>
      <c r="N40" s="350"/>
      <c r="O40" s="252"/>
      <c r="P40" s="252"/>
      <c r="Q40" s="252"/>
      <c r="R40" s="252"/>
      <c r="S40" s="669"/>
      <c r="T40" s="677">
        <f t="shared" si="0"/>
        <v>0</v>
      </c>
      <c r="U40" s="264">
        <f t="shared" si="1"/>
        <v>0</v>
      </c>
      <c r="V40" s="678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41510.339999999997</v>
      </c>
    </row>
    <row r="41" spans="2:47" ht="14.25">
      <c r="B41" s="694"/>
      <c r="C41" s="682"/>
      <c r="D41" s="690">
        <f t="shared" si="6"/>
        <v>41510.339999999997</v>
      </c>
      <c r="E41" s="269"/>
      <c r="F41" s="689"/>
      <c r="G41" s="351"/>
      <c r="H41" s="664"/>
      <c r="I41" s="250"/>
      <c r="J41" s="250"/>
      <c r="K41" s="250"/>
      <c r="L41" s="250"/>
      <c r="M41" s="627"/>
      <c r="N41" s="350"/>
      <c r="O41" s="252"/>
      <c r="P41" s="252"/>
      <c r="Q41" s="252"/>
      <c r="R41" s="252"/>
      <c r="S41" s="669"/>
      <c r="T41" s="677">
        <f t="shared" si="0"/>
        <v>0</v>
      </c>
      <c r="U41" s="264">
        <f t="shared" si="1"/>
        <v>0</v>
      </c>
      <c r="V41" s="678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41510.339999999997</v>
      </c>
    </row>
    <row r="42" spans="2:47" ht="14.25">
      <c r="B42" s="694"/>
      <c r="C42" s="683"/>
      <c r="D42" s="690">
        <f t="shared" si="6"/>
        <v>41510.339999999997</v>
      </c>
      <c r="E42" s="248"/>
      <c r="F42" s="689"/>
      <c r="G42" s="351"/>
      <c r="H42" s="664"/>
      <c r="I42" s="250"/>
      <c r="J42" s="250"/>
      <c r="K42" s="250"/>
      <c r="L42" s="250"/>
      <c r="M42" s="627"/>
      <c r="N42" s="350"/>
      <c r="O42" s="252"/>
      <c r="P42" s="252"/>
      <c r="Q42" s="252"/>
      <c r="R42" s="252"/>
      <c r="S42" s="669"/>
      <c r="T42" s="677">
        <f t="shared" si="0"/>
        <v>0</v>
      </c>
      <c r="U42" s="264">
        <f t="shared" si="1"/>
        <v>0</v>
      </c>
      <c r="V42" s="678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41510.339999999997</v>
      </c>
    </row>
    <row r="43" spans="2:47" ht="14.25">
      <c r="B43" s="590" t="s">
        <v>25</v>
      </c>
      <c r="C43" s="554">
        <f>AVERAGE(C11:C42)</f>
        <v>5.3855172413793104E-2</v>
      </c>
      <c r="D43" s="688">
        <f t="shared" si="6"/>
        <v>41510.339999999997</v>
      </c>
      <c r="E43" s="248"/>
      <c r="F43" s="689"/>
      <c r="G43" s="351"/>
      <c r="H43" s="608"/>
      <c r="I43" s="250"/>
      <c r="J43" s="250"/>
      <c r="K43" s="250"/>
      <c r="L43" s="250"/>
      <c r="M43" s="627"/>
      <c r="N43" s="350"/>
      <c r="O43" s="252"/>
      <c r="P43" s="252"/>
      <c r="Q43" s="252"/>
      <c r="R43" s="252"/>
      <c r="S43" s="669"/>
      <c r="T43" s="677">
        <f t="shared" si="0"/>
        <v>0</v>
      </c>
      <c r="U43" s="264">
        <f t="shared" si="1"/>
        <v>0</v>
      </c>
      <c r="V43" s="678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41510.339999999997</v>
      </c>
    </row>
    <row r="44" spans="2:47" ht="15" thickBot="1">
      <c r="B44" s="591"/>
      <c r="C44" s="592"/>
      <c r="D44" s="691"/>
      <c r="E44" s="692"/>
      <c r="F44" s="693"/>
      <c r="G44" s="352"/>
      <c r="H44" s="665"/>
      <c r="I44" s="666"/>
      <c r="J44" s="666"/>
      <c r="K44" s="666"/>
      <c r="L44" s="666"/>
      <c r="M44" s="667"/>
      <c r="N44" s="349"/>
      <c r="O44" s="239"/>
      <c r="P44" s="239"/>
      <c r="Q44" s="239"/>
      <c r="R44" s="239"/>
      <c r="S44" s="671"/>
      <c r="T44" s="677">
        <f t="shared" si="0"/>
        <v>0</v>
      </c>
      <c r="U44" s="679"/>
      <c r="V44" s="680"/>
      <c r="W44" s="673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8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5"/>
      <c r="C45" s="655"/>
      <c r="D45" s="656"/>
      <c r="E45" s="363">
        <f>SUM(E11:E44)</f>
        <v>28000</v>
      </c>
      <c r="F45" s="368">
        <f>SUM(F11:F42)</f>
        <v>28000</v>
      </c>
      <c r="G45" s="369">
        <f t="shared" ref="G45:P45" si="8">SUM(G11:G44)</f>
        <v>0</v>
      </c>
      <c r="H45" s="368">
        <f>SUM(H11:H44)</f>
        <v>5777.0500000000011</v>
      </c>
      <c r="I45" s="363">
        <f t="shared" si="8"/>
        <v>1646.3</v>
      </c>
      <c r="J45" s="368">
        <f t="shared" si="8"/>
        <v>0</v>
      </c>
      <c r="K45" s="363">
        <f t="shared" si="8"/>
        <v>5943.7699999999986</v>
      </c>
      <c r="L45" s="368">
        <f t="shared" si="8"/>
        <v>6525.07</v>
      </c>
      <c r="M45" s="363">
        <f t="shared" si="8"/>
        <v>6660.93</v>
      </c>
      <c r="N45" s="368">
        <f t="shared" si="8"/>
        <v>15016</v>
      </c>
      <c r="O45" s="657">
        <f t="shared" si="8"/>
        <v>3144</v>
      </c>
      <c r="P45" s="368">
        <f t="shared" si="8"/>
        <v>0</v>
      </c>
      <c r="Q45" s="363">
        <f>SUM(Q11:Q43)</f>
        <v>14211</v>
      </c>
      <c r="R45" s="368">
        <f>SUM(R11:R44)</f>
        <v>16380</v>
      </c>
      <c r="S45" s="363">
        <f>SUM(S11:S44)</f>
        <v>14255</v>
      </c>
      <c r="T45" s="654">
        <f t="shared" si="0"/>
        <v>26553.119999999999</v>
      </c>
      <c r="U45" s="363">
        <f>SUM(N45:S45)</f>
        <v>63006</v>
      </c>
      <c r="V45" s="281" t="e">
        <f>SUM(V11:V42)</f>
        <v>#DIV/0!</v>
      </c>
      <c r="W45" s="649">
        <f t="shared" ref="W45:AC45" si="9">SUM(W9:W44)</f>
        <v>0</v>
      </c>
      <c r="X45" s="281">
        <f t="shared" si="9"/>
        <v>122.73</v>
      </c>
      <c r="Y45" s="649">
        <f t="shared" si="9"/>
        <v>103.3</v>
      </c>
      <c r="Z45" s="281">
        <f t="shared" si="9"/>
        <v>127.46000000000001</v>
      </c>
      <c r="AA45" s="649">
        <f t="shared" si="9"/>
        <v>495.65000000000003</v>
      </c>
      <c r="AB45" s="281">
        <f t="shared" si="9"/>
        <v>0</v>
      </c>
      <c r="AC45" s="649">
        <f t="shared" si="9"/>
        <v>0</v>
      </c>
      <c r="AD45" s="281">
        <f>SUM(AD10:AD44)</f>
        <v>0</v>
      </c>
      <c r="AE45" s="649">
        <f>SUM(AE10:AE44)</f>
        <v>0</v>
      </c>
      <c r="AF45" s="281">
        <f>SUM(AF9:AF44)</f>
        <v>0</v>
      </c>
      <c r="AG45" s="649">
        <f>SUM(AG9:AG44)</f>
        <v>0</v>
      </c>
      <c r="AH45" s="281">
        <f>SUM(AH9:AH44)</f>
        <v>0</v>
      </c>
      <c r="AI45" s="649">
        <f>SUM(AI9:AI43)</f>
        <v>593.01</v>
      </c>
      <c r="AJ45" s="281">
        <f>SUM(AJ9:AJ39)</f>
        <v>85.01</v>
      </c>
      <c r="AK45" s="649">
        <f>SUM(AK9:AK44)</f>
        <v>1527.1599999999996</v>
      </c>
      <c r="AL45" s="281"/>
      <c r="AM45" s="281"/>
      <c r="AN45" s="281"/>
      <c r="AO45" s="281"/>
      <c r="AP45" s="281"/>
      <c r="AQ45" s="281"/>
      <c r="AR45" s="650"/>
      <c r="AS45" s="651">
        <f>SUM(AS11:AS43)</f>
        <v>28080.280000000002</v>
      </c>
      <c r="AT45" s="652">
        <f>SUM(AT11:AT44)</f>
        <v>0</v>
      </c>
      <c r="AU45" s="653"/>
    </row>
    <row r="46" spans="2:47" ht="14.25" thickBot="1">
      <c r="B46" s="490" t="s">
        <v>67</v>
      </c>
      <c r="T46" s="750">
        <f>AVERAGE(T11:T26)</f>
        <v>908.18687499999987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61470472.799999997</v>
      </c>
      <c r="V47" s="373" t="s">
        <v>242</v>
      </c>
      <c r="AS47" s="617">
        <f>AS45*2143</f>
        <v>60176040.040000007</v>
      </c>
      <c r="AT47" s="616" t="s">
        <v>242</v>
      </c>
      <c r="AU47" s="223"/>
    </row>
    <row r="48" spans="2:47" ht="14.25" thickBot="1">
      <c r="B48" s="381" t="s">
        <v>245</v>
      </c>
      <c r="C48" s="285"/>
      <c r="U48" s="372">
        <f>U47/2289</f>
        <v>26854.728178243775</v>
      </c>
      <c r="V48" s="373" t="s">
        <v>243</v>
      </c>
      <c r="X48" s="234"/>
      <c r="Y48" s="234"/>
      <c r="Z48" s="234"/>
      <c r="AA48" s="234"/>
      <c r="AB48" s="234"/>
      <c r="AS48" s="372">
        <f>AS47/2289</f>
        <v>26289.226754041068</v>
      </c>
      <c r="AT48" s="618" t="s">
        <v>243</v>
      </c>
      <c r="AU48" s="283"/>
    </row>
    <row r="49" spans="3:47" ht="14.25" thickBot="1">
      <c r="H49" s="585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10" t="s">
        <v>239</v>
      </c>
      <c r="D50" s="811"/>
      <c r="E50" s="811"/>
      <c r="F50" s="811"/>
      <c r="G50" s="812"/>
      <c r="H50" s="628"/>
      <c r="I50" s="813" t="s">
        <v>211</v>
      </c>
      <c r="J50" s="814"/>
      <c r="K50" s="814"/>
      <c r="L50" s="814"/>
      <c r="M50" s="815"/>
      <c r="N50" s="628"/>
      <c r="O50" s="828" t="s">
        <v>307</v>
      </c>
      <c r="P50" s="829"/>
      <c r="Q50" s="829"/>
      <c r="R50" s="829"/>
      <c r="S50" s="830"/>
      <c r="U50" s="831" t="s">
        <v>224</v>
      </c>
      <c r="V50" s="832"/>
      <c r="W50" s="832"/>
      <c r="X50" s="832"/>
      <c r="Y50" s="832"/>
      <c r="Z50" s="833"/>
    </row>
    <row r="51" spans="3:47" ht="25.5" customHeight="1" thickBot="1">
      <c r="C51" s="596" t="s">
        <v>96</v>
      </c>
      <c r="D51" s="489" t="s">
        <v>194</v>
      </c>
      <c r="E51" s="597" t="s">
        <v>195</v>
      </c>
      <c r="F51" s="597" t="s">
        <v>210</v>
      </c>
      <c r="G51" s="598" t="s">
        <v>306</v>
      </c>
      <c r="H51" s="628"/>
      <c r="I51" s="596" t="s">
        <v>96</v>
      </c>
      <c r="J51" s="489" t="s">
        <v>194</v>
      </c>
      <c r="K51" s="647" t="s">
        <v>195</v>
      </c>
      <c r="L51" s="600" t="s">
        <v>210</v>
      </c>
      <c r="M51" s="598" t="s">
        <v>306</v>
      </c>
      <c r="N51" s="628"/>
      <c r="O51" s="645" t="s">
        <v>96</v>
      </c>
      <c r="P51" s="639" t="s">
        <v>194</v>
      </c>
      <c r="Q51" s="646" t="s">
        <v>195</v>
      </c>
      <c r="R51" s="640" t="s">
        <v>210</v>
      </c>
      <c r="S51" s="641" t="s">
        <v>213</v>
      </c>
      <c r="U51" s="405" t="s">
        <v>0</v>
      </c>
      <c r="V51" s="764" t="s">
        <v>194</v>
      </c>
      <c r="W51" s="766" t="s">
        <v>225</v>
      </c>
      <c r="X51" s="765" t="s">
        <v>210</v>
      </c>
      <c r="Y51" s="406" t="s">
        <v>226</v>
      </c>
      <c r="Z51" s="407" t="s">
        <v>227</v>
      </c>
    </row>
    <row r="52" spans="3:47" ht="11.25" customHeight="1">
      <c r="C52" s="593">
        <v>44081</v>
      </c>
      <c r="D52" s="594" t="s">
        <v>328</v>
      </c>
      <c r="E52" s="595">
        <v>146</v>
      </c>
      <c r="F52" s="594" t="s">
        <v>319</v>
      </c>
      <c r="G52" s="629" t="s">
        <v>320</v>
      </c>
      <c r="H52" s="628"/>
      <c r="I52" s="632"/>
      <c r="J52" s="601"/>
      <c r="K52" s="601"/>
      <c r="L52" s="601"/>
      <c r="M52" s="633"/>
      <c r="N52" s="628"/>
      <c r="O52" s="408"/>
      <c r="P52" s="601"/>
      <c r="Q52" s="619"/>
      <c r="R52" s="619"/>
      <c r="S52" s="605"/>
      <c r="U52" s="408">
        <v>44081</v>
      </c>
      <c r="V52" s="634" t="s">
        <v>321</v>
      </c>
      <c r="W52" s="762">
        <v>39</v>
      </c>
      <c r="X52" s="635" t="s">
        <v>322</v>
      </c>
      <c r="Y52" s="635" t="s">
        <v>320</v>
      </c>
      <c r="Z52" s="636" t="s">
        <v>323</v>
      </c>
    </row>
    <row r="53" spans="3:47" ht="11.25" customHeight="1">
      <c r="C53" s="401">
        <v>44090</v>
      </c>
      <c r="D53" s="357" t="s">
        <v>327</v>
      </c>
      <c r="E53" s="447">
        <v>69</v>
      </c>
      <c r="F53" s="357" t="s">
        <v>326</v>
      </c>
      <c r="G53" s="629" t="s">
        <v>320</v>
      </c>
      <c r="H53" s="628"/>
      <c r="I53" s="610"/>
      <c r="J53" s="313"/>
      <c r="K53" s="313"/>
      <c r="L53" s="313"/>
      <c r="M53" s="629"/>
      <c r="N53" s="628"/>
      <c r="O53" s="401"/>
      <c r="P53" s="313"/>
      <c r="Q53" s="488"/>
      <c r="R53" s="488"/>
      <c r="S53" s="606"/>
      <c r="U53" s="401">
        <v>44081</v>
      </c>
      <c r="V53" s="451" t="s">
        <v>324</v>
      </c>
      <c r="W53" s="763">
        <v>46.01</v>
      </c>
      <c r="X53" s="357" t="s">
        <v>325</v>
      </c>
      <c r="Y53" s="357" t="s">
        <v>320</v>
      </c>
      <c r="Z53" s="637" t="s">
        <v>323</v>
      </c>
    </row>
    <row r="54" spans="3:47" ht="11.25" customHeight="1">
      <c r="C54" s="401">
        <v>44093</v>
      </c>
      <c r="D54" s="357" t="s">
        <v>327</v>
      </c>
      <c r="E54" s="447">
        <v>118</v>
      </c>
      <c r="F54" s="357" t="s">
        <v>326</v>
      </c>
      <c r="G54" s="629" t="s">
        <v>320</v>
      </c>
      <c r="H54" s="628"/>
      <c r="I54" s="610"/>
      <c r="J54" s="313"/>
      <c r="K54" s="313"/>
      <c r="L54" s="313"/>
      <c r="M54" s="630"/>
      <c r="N54" s="628"/>
      <c r="O54" s="401"/>
      <c r="P54" s="313"/>
      <c r="Q54" s="488"/>
      <c r="R54" s="488"/>
      <c r="S54" s="606"/>
      <c r="U54" s="401"/>
      <c r="V54" s="451"/>
      <c r="W54" s="763"/>
      <c r="X54" s="357"/>
      <c r="Y54" s="357"/>
      <c r="Z54" s="637"/>
    </row>
    <row r="55" spans="3:47" ht="11.25" customHeight="1">
      <c r="C55" s="401">
        <v>44093</v>
      </c>
      <c r="D55" s="357" t="s">
        <v>329</v>
      </c>
      <c r="E55" s="447">
        <v>107</v>
      </c>
      <c r="F55" s="357" t="s">
        <v>330</v>
      </c>
      <c r="G55" s="629" t="s">
        <v>320</v>
      </c>
      <c r="H55" s="628"/>
      <c r="I55" s="602"/>
      <c r="J55" s="313"/>
      <c r="K55" s="313"/>
      <c r="L55" s="313"/>
      <c r="M55" s="630"/>
      <c r="N55" s="628"/>
      <c r="O55" s="608"/>
      <c r="P55" s="313"/>
      <c r="Q55" s="488"/>
      <c r="R55" s="488"/>
      <c r="S55" s="606"/>
      <c r="U55" s="401"/>
      <c r="V55" s="451"/>
      <c r="W55" s="763"/>
      <c r="X55" s="357"/>
      <c r="Y55" s="357"/>
      <c r="Z55" s="637"/>
    </row>
    <row r="56" spans="3:47" ht="11.25" customHeight="1">
      <c r="C56" s="401">
        <v>44097</v>
      </c>
      <c r="D56" s="357" t="s">
        <v>328</v>
      </c>
      <c r="E56" s="447">
        <v>110</v>
      </c>
      <c r="F56" s="357" t="s">
        <v>336</v>
      </c>
      <c r="G56" s="629" t="s">
        <v>320</v>
      </c>
      <c r="H56" s="628"/>
      <c r="I56" s="602"/>
      <c r="J56" s="313"/>
      <c r="K56" s="313"/>
      <c r="L56" s="313"/>
      <c r="M56" s="630"/>
      <c r="N56" s="628"/>
      <c r="O56" s="608"/>
      <c r="P56" s="313"/>
      <c r="Q56" s="488"/>
      <c r="R56" s="488"/>
      <c r="S56" s="606"/>
      <c r="U56" s="401"/>
      <c r="V56" s="451"/>
      <c r="W56" s="763"/>
      <c r="X56" s="357"/>
      <c r="Y56" s="357"/>
      <c r="Z56" s="637"/>
    </row>
    <row r="57" spans="3:47" ht="11.25" customHeight="1">
      <c r="C57" s="401">
        <v>44097</v>
      </c>
      <c r="D57" s="357" t="s">
        <v>327</v>
      </c>
      <c r="E57" s="447">
        <v>43</v>
      </c>
      <c r="F57" s="357" t="s">
        <v>326</v>
      </c>
      <c r="G57" s="629" t="s">
        <v>320</v>
      </c>
      <c r="H57" s="628"/>
      <c r="I57" s="602"/>
      <c r="J57" s="313"/>
      <c r="K57" s="313"/>
      <c r="L57" s="313"/>
      <c r="M57" s="630"/>
      <c r="N57" s="628"/>
      <c r="O57" s="608"/>
      <c r="P57" s="313"/>
      <c r="Q57" s="488"/>
      <c r="R57" s="488"/>
      <c r="S57" s="606"/>
      <c r="U57" s="401"/>
      <c r="V57" s="451"/>
      <c r="W57" s="763"/>
      <c r="X57" s="357"/>
      <c r="Y57" s="357"/>
      <c r="Z57" s="637"/>
    </row>
    <row r="58" spans="3:47" ht="11.25" customHeight="1">
      <c r="C58" s="401"/>
      <c r="D58" s="357"/>
      <c r="E58" s="447"/>
      <c r="F58" s="357"/>
      <c r="G58" s="630"/>
      <c r="H58" s="628"/>
      <c r="I58" s="602"/>
      <c r="J58" s="313"/>
      <c r="K58" s="313"/>
      <c r="L58" s="313"/>
      <c r="M58" s="630"/>
      <c r="N58" s="628"/>
      <c r="O58" s="608"/>
      <c r="P58" s="313"/>
      <c r="Q58" s="488"/>
      <c r="R58" s="488"/>
      <c r="S58" s="606"/>
      <c r="U58" s="401"/>
      <c r="V58" s="451"/>
      <c r="W58" s="763"/>
      <c r="X58" s="357"/>
      <c r="Y58" s="357"/>
      <c r="Z58" s="637"/>
    </row>
    <row r="59" spans="3:47" ht="11.25" customHeight="1">
      <c r="C59" s="401"/>
      <c r="D59" s="357"/>
      <c r="E59" s="447"/>
      <c r="F59" s="357"/>
      <c r="G59" s="630"/>
      <c r="H59" s="628"/>
      <c r="I59" s="602"/>
      <c r="J59" s="313"/>
      <c r="K59" s="313"/>
      <c r="L59" s="313"/>
      <c r="M59" s="630"/>
      <c r="N59" s="628"/>
      <c r="O59" s="608"/>
      <c r="P59" s="313"/>
      <c r="Q59" s="488"/>
      <c r="R59" s="488"/>
      <c r="S59" s="606"/>
      <c r="U59" s="401"/>
      <c r="V59" s="451"/>
      <c r="W59" s="763"/>
      <c r="X59" s="357"/>
      <c r="Y59" s="357"/>
      <c r="Z59" s="637"/>
    </row>
    <row r="60" spans="3:47" ht="11.25" customHeight="1">
      <c r="C60" s="401"/>
      <c r="D60" s="357"/>
      <c r="E60" s="447"/>
      <c r="F60" s="357"/>
      <c r="G60" s="630"/>
      <c r="H60" s="628"/>
      <c r="I60" s="602"/>
      <c r="J60" s="313"/>
      <c r="K60" s="313"/>
      <c r="L60" s="313"/>
      <c r="M60" s="630"/>
      <c r="N60" s="628"/>
      <c r="O60" s="608"/>
      <c r="P60" s="313"/>
      <c r="Q60" s="488"/>
      <c r="R60" s="488"/>
      <c r="S60" s="606"/>
      <c r="U60" s="401"/>
      <c r="V60" s="451"/>
      <c r="W60" s="763"/>
      <c r="X60" s="357"/>
      <c r="Y60" s="357"/>
      <c r="Z60" s="637"/>
    </row>
    <row r="61" spans="3:47" ht="11.25" customHeight="1">
      <c r="C61" s="401"/>
      <c r="D61" s="357"/>
      <c r="E61" s="447"/>
      <c r="F61" s="357"/>
      <c r="G61" s="630"/>
      <c r="H61" s="628"/>
      <c r="I61" s="602"/>
      <c r="J61" s="313"/>
      <c r="K61" s="313"/>
      <c r="L61" s="313"/>
      <c r="M61" s="630"/>
      <c r="N61" s="628"/>
      <c r="O61" s="608"/>
      <c r="P61" s="313"/>
      <c r="Q61" s="488"/>
      <c r="R61" s="488"/>
      <c r="S61" s="606"/>
      <c r="U61" s="401"/>
      <c r="V61" s="451"/>
      <c r="W61" s="763"/>
      <c r="X61" s="357"/>
      <c r="Y61" s="357"/>
      <c r="Z61" s="637"/>
    </row>
    <row r="62" spans="3:47" ht="11.25" customHeight="1">
      <c r="C62" s="401"/>
      <c r="D62" s="357"/>
      <c r="E62" s="447"/>
      <c r="F62" s="357"/>
      <c r="G62" s="630"/>
      <c r="H62" s="628"/>
      <c r="I62" s="602"/>
      <c r="J62" s="313"/>
      <c r="K62" s="313"/>
      <c r="L62" s="313"/>
      <c r="M62" s="630"/>
      <c r="N62" s="628"/>
      <c r="O62" s="608"/>
      <c r="P62" s="313"/>
      <c r="Q62" s="488"/>
      <c r="R62" s="488"/>
      <c r="S62" s="606"/>
      <c r="U62" s="401"/>
      <c r="V62" s="451"/>
      <c r="W62" s="763"/>
      <c r="X62" s="357"/>
      <c r="Y62" s="357"/>
      <c r="Z62" s="637"/>
    </row>
    <row r="63" spans="3:47" ht="11.25" customHeight="1">
      <c r="C63" s="401"/>
      <c r="D63" s="357"/>
      <c r="E63" s="447"/>
      <c r="F63" s="357"/>
      <c r="G63" s="630"/>
      <c r="H63" s="628"/>
      <c r="I63" s="602"/>
      <c r="J63" s="313"/>
      <c r="K63" s="313"/>
      <c r="L63" s="313"/>
      <c r="M63" s="630"/>
      <c r="N63" s="628"/>
      <c r="O63" s="608"/>
      <c r="P63" s="313"/>
      <c r="Q63" s="488"/>
      <c r="R63" s="488"/>
      <c r="S63" s="606"/>
      <c r="U63" s="401"/>
      <c r="V63" s="451"/>
      <c r="W63" s="763"/>
      <c r="X63" s="357"/>
      <c r="Y63" s="357"/>
      <c r="Z63" s="637"/>
    </row>
    <row r="64" spans="3:47" ht="11.25" customHeight="1">
      <c r="C64" s="401"/>
      <c r="D64" s="357"/>
      <c r="E64" s="447"/>
      <c r="F64" s="357"/>
      <c r="G64" s="630"/>
      <c r="H64" s="628"/>
      <c r="I64" s="602"/>
      <c r="J64" s="313"/>
      <c r="K64" s="313"/>
      <c r="L64" s="313"/>
      <c r="M64" s="630"/>
      <c r="N64" s="628"/>
      <c r="O64" s="608"/>
      <c r="P64" s="313"/>
      <c r="Q64" s="488"/>
      <c r="R64" s="488"/>
      <c r="S64" s="606"/>
      <c r="U64" s="401"/>
      <c r="V64" s="451"/>
      <c r="W64" s="763"/>
      <c r="X64" s="357"/>
      <c r="Y64" s="357"/>
      <c r="Z64" s="637"/>
    </row>
    <row r="65" spans="3:26" ht="11.25" customHeight="1">
      <c r="C65" s="401"/>
      <c r="D65" s="357"/>
      <c r="E65" s="447"/>
      <c r="F65" s="357"/>
      <c r="G65" s="630"/>
      <c r="H65" s="628"/>
      <c r="I65" s="602"/>
      <c r="J65" s="313"/>
      <c r="K65" s="313"/>
      <c r="L65" s="313"/>
      <c r="M65" s="630"/>
      <c r="N65" s="628"/>
      <c r="O65" s="608"/>
      <c r="P65" s="313"/>
      <c r="Q65" s="488"/>
      <c r="R65" s="488"/>
      <c r="S65" s="606"/>
      <c r="U65" s="401"/>
      <c r="V65" s="451"/>
      <c r="W65" s="763"/>
      <c r="X65" s="357"/>
      <c r="Y65" s="357"/>
      <c r="Z65" s="637"/>
    </row>
    <row r="66" spans="3:26" ht="11.25" customHeight="1">
      <c r="C66" s="401"/>
      <c r="D66" s="357"/>
      <c r="E66" s="447"/>
      <c r="F66" s="357"/>
      <c r="G66" s="630"/>
      <c r="H66" s="628"/>
      <c r="I66" s="602"/>
      <c r="J66" s="313"/>
      <c r="K66" s="313"/>
      <c r="L66" s="313"/>
      <c r="M66" s="630"/>
      <c r="N66" s="628"/>
      <c r="O66" s="608"/>
      <c r="P66" s="313"/>
      <c r="Q66" s="313"/>
      <c r="R66" s="642"/>
      <c r="S66" s="606"/>
      <c r="U66" s="401"/>
      <c r="V66" s="451"/>
      <c r="W66" s="763"/>
      <c r="X66" s="357"/>
      <c r="Y66" s="357"/>
      <c r="Z66" s="637"/>
    </row>
    <row r="67" spans="3:26" ht="11.25" customHeight="1">
      <c r="C67" s="401"/>
      <c r="D67" s="357"/>
      <c r="E67" s="447"/>
      <c r="F67" s="357"/>
      <c r="G67" s="630"/>
      <c r="H67" s="628"/>
      <c r="I67" s="602"/>
      <c r="J67" s="313"/>
      <c r="K67" s="313"/>
      <c r="L67" s="313"/>
      <c r="M67" s="630"/>
      <c r="N67" s="628"/>
      <c r="O67" s="608"/>
      <c r="P67" s="313"/>
      <c r="Q67" s="313"/>
      <c r="R67" s="642"/>
      <c r="S67" s="606"/>
      <c r="U67" s="401"/>
      <c r="V67" s="451"/>
      <c r="W67" s="763"/>
      <c r="X67" s="357"/>
      <c r="Y67" s="357"/>
      <c r="Z67" s="637"/>
    </row>
    <row r="68" spans="3:26" ht="11.25" customHeight="1">
      <c r="C68" s="401"/>
      <c r="D68" s="357"/>
      <c r="E68" s="447"/>
      <c r="F68" s="357"/>
      <c r="G68" s="630"/>
      <c r="H68" s="628"/>
      <c r="I68" s="602"/>
      <c r="J68" s="313"/>
      <c r="K68" s="313"/>
      <c r="L68" s="313"/>
      <c r="M68" s="630"/>
      <c r="N68" s="628"/>
      <c r="O68" s="608"/>
      <c r="P68" s="313"/>
      <c r="Q68" s="313"/>
      <c r="R68" s="488"/>
      <c r="S68" s="606"/>
      <c r="U68" s="401"/>
      <c r="V68" s="451"/>
      <c r="W68" s="763"/>
      <c r="X68" s="357"/>
      <c r="Y68" s="357"/>
      <c r="Z68" s="637"/>
    </row>
    <row r="69" spans="3:26" ht="11.25" customHeight="1">
      <c r="C69" s="401"/>
      <c r="D69" s="357"/>
      <c r="E69" s="447"/>
      <c r="F69" s="357"/>
      <c r="G69" s="630"/>
      <c r="H69" s="628"/>
      <c r="I69" s="602"/>
      <c r="J69" s="313"/>
      <c r="K69" s="313"/>
      <c r="L69" s="313"/>
      <c r="M69" s="630"/>
      <c r="N69" s="628"/>
      <c r="O69" s="608"/>
      <c r="P69" s="313"/>
      <c r="Q69" s="313"/>
      <c r="R69" s="488"/>
      <c r="S69" s="606"/>
      <c r="U69" s="401"/>
      <c r="V69" s="451"/>
      <c r="W69" s="763"/>
      <c r="X69" s="357"/>
      <c r="Y69" s="357"/>
      <c r="Z69" s="637"/>
    </row>
    <row r="70" spans="3:26" ht="11.25" customHeight="1">
      <c r="C70" s="401"/>
      <c r="D70" s="357"/>
      <c r="E70" s="447"/>
      <c r="F70" s="357"/>
      <c r="G70" s="630"/>
      <c r="H70" s="628"/>
      <c r="I70" s="602"/>
      <c r="J70" s="313"/>
      <c r="K70" s="313"/>
      <c r="L70" s="313"/>
      <c r="M70" s="630"/>
      <c r="N70" s="628"/>
      <c r="O70" s="608"/>
      <c r="P70" s="313"/>
      <c r="Q70" s="313"/>
      <c r="R70" s="488"/>
      <c r="S70" s="606"/>
      <c r="U70" s="401"/>
      <c r="V70" s="451"/>
      <c r="W70" s="763"/>
      <c r="X70" s="357"/>
      <c r="Y70" s="357"/>
      <c r="Z70" s="637"/>
    </row>
    <row r="71" spans="3:26" ht="11.25" customHeight="1">
      <c r="C71" s="401"/>
      <c r="D71" s="357"/>
      <c r="E71" s="447"/>
      <c r="F71" s="357"/>
      <c r="G71" s="630"/>
      <c r="H71" s="628"/>
      <c r="I71" s="602"/>
      <c r="J71" s="313"/>
      <c r="K71" s="313"/>
      <c r="L71" s="313"/>
      <c r="M71" s="630"/>
      <c r="N71" s="628"/>
      <c r="O71" s="608"/>
      <c r="P71" s="313"/>
      <c r="Q71" s="313"/>
      <c r="R71" s="488"/>
      <c r="S71" s="606"/>
      <c r="U71" s="401"/>
      <c r="V71" s="451"/>
      <c r="W71" s="763"/>
      <c r="X71" s="357"/>
      <c r="Y71" s="357"/>
      <c r="Z71" s="637"/>
    </row>
    <row r="72" spans="3:26" ht="11.25" customHeight="1">
      <c r="C72" s="401"/>
      <c r="D72" s="357"/>
      <c r="E72" s="447"/>
      <c r="F72" s="357"/>
      <c r="G72" s="630"/>
      <c r="H72" s="628"/>
      <c r="I72" s="603"/>
      <c r="J72" s="317"/>
      <c r="K72" s="317"/>
      <c r="L72" s="317"/>
      <c r="M72" s="630"/>
      <c r="N72" s="628"/>
      <c r="O72" s="608"/>
      <c r="P72" s="313"/>
      <c r="Q72" s="313"/>
      <c r="R72" s="643"/>
      <c r="S72" s="606"/>
      <c r="U72" s="401"/>
      <c r="V72" s="451"/>
      <c r="W72" s="763"/>
      <c r="X72" s="357"/>
      <c r="Y72" s="357"/>
      <c r="Z72" s="637"/>
    </row>
    <row r="73" spans="3:26" ht="11.25" customHeight="1">
      <c r="C73" s="401"/>
      <c r="D73" s="357"/>
      <c r="E73" s="447"/>
      <c r="F73" s="357"/>
      <c r="G73" s="630"/>
      <c r="H73" s="628"/>
      <c r="I73" s="602"/>
      <c r="J73" s="313"/>
      <c r="K73" s="313"/>
      <c r="L73" s="313"/>
      <c r="M73" s="630"/>
      <c r="N73" s="628"/>
      <c r="O73" s="608"/>
      <c r="P73" s="313"/>
      <c r="Q73" s="313"/>
      <c r="R73" s="488"/>
      <c r="S73" s="606"/>
      <c r="U73" s="401"/>
      <c r="V73" s="451"/>
      <c r="W73" s="763"/>
      <c r="X73" s="357"/>
      <c r="Y73" s="357"/>
      <c r="Z73" s="637"/>
    </row>
    <row r="74" spans="3:26" ht="11.25" customHeight="1">
      <c r="C74" s="401"/>
      <c r="D74" s="357"/>
      <c r="E74" s="447"/>
      <c r="F74" s="357"/>
      <c r="G74" s="630"/>
      <c r="H74" s="628"/>
      <c r="I74" s="602"/>
      <c r="J74" s="313"/>
      <c r="K74" s="313"/>
      <c r="L74" s="313"/>
      <c r="M74" s="630"/>
      <c r="N74" s="628"/>
      <c r="O74" s="608"/>
      <c r="P74" s="313"/>
      <c r="Q74" s="313"/>
      <c r="R74" s="488"/>
      <c r="S74" s="606"/>
      <c r="U74" s="401"/>
      <c r="V74" s="451"/>
      <c r="W74" s="763"/>
      <c r="X74" s="357"/>
      <c r="Y74" s="357"/>
      <c r="Z74" s="637"/>
    </row>
    <row r="75" spans="3:26" ht="11.25" customHeight="1">
      <c r="C75" s="401"/>
      <c r="D75" s="357"/>
      <c r="E75" s="447"/>
      <c r="F75" s="357"/>
      <c r="G75" s="630"/>
      <c r="H75" s="628"/>
      <c r="I75" s="602"/>
      <c r="J75" s="313"/>
      <c r="K75" s="313"/>
      <c r="L75" s="313"/>
      <c r="M75" s="630"/>
      <c r="N75" s="628"/>
      <c r="O75" s="608"/>
      <c r="P75" s="313"/>
      <c r="Q75" s="313"/>
      <c r="R75" s="488"/>
      <c r="S75" s="606"/>
      <c r="U75" s="401"/>
      <c r="V75" s="451"/>
      <c r="W75" s="763"/>
      <c r="X75" s="357"/>
      <c r="Y75" s="357"/>
      <c r="Z75" s="637"/>
    </row>
    <row r="76" spans="3:26" ht="9.75" customHeight="1">
      <c r="C76" s="401"/>
      <c r="D76" s="357"/>
      <c r="E76" s="447"/>
      <c r="F76" s="357"/>
      <c r="G76" s="630"/>
      <c r="H76" s="628"/>
      <c r="I76" s="602"/>
      <c r="J76" s="313"/>
      <c r="K76" s="313"/>
      <c r="L76" s="313"/>
      <c r="M76" s="630"/>
      <c r="N76" s="628"/>
      <c r="O76" s="608"/>
      <c r="P76" s="313"/>
      <c r="Q76" s="313"/>
      <c r="R76" s="488"/>
      <c r="S76" s="606"/>
      <c r="U76" s="401"/>
      <c r="V76" s="451"/>
      <c r="W76" s="762"/>
      <c r="X76" s="357"/>
      <c r="Y76" s="357"/>
      <c r="Z76" s="637"/>
    </row>
    <row r="77" spans="3:26" ht="11.25" hidden="1" customHeight="1">
      <c r="C77" s="401"/>
      <c r="D77" s="357"/>
      <c r="E77" s="447"/>
      <c r="F77" s="357"/>
      <c r="G77" s="630"/>
      <c r="H77" s="628"/>
      <c r="I77" s="602"/>
      <c r="J77" s="488"/>
      <c r="K77" s="488"/>
      <c r="L77" s="313"/>
      <c r="M77" s="630"/>
      <c r="N77" s="628"/>
      <c r="O77" s="608"/>
      <c r="P77" s="313"/>
      <c r="Q77" s="313"/>
      <c r="R77" s="488"/>
      <c r="S77" s="606"/>
      <c r="U77" s="401"/>
      <c r="V77" s="451"/>
      <c r="W77" s="357"/>
      <c r="X77" s="357"/>
      <c r="Y77" s="357"/>
      <c r="Z77" s="637"/>
    </row>
    <row r="78" spans="3:26" ht="11.25" customHeight="1">
      <c r="C78" s="401"/>
      <c r="D78" s="357"/>
      <c r="E78" s="447"/>
      <c r="F78" s="357"/>
      <c r="G78" s="630"/>
      <c r="H78" s="628"/>
      <c r="I78" s="602"/>
      <c r="J78" s="313"/>
      <c r="K78" s="313"/>
      <c r="L78" s="313"/>
      <c r="M78" s="630"/>
      <c r="N78" s="628"/>
      <c r="O78" s="608"/>
      <c r="P78" s="313"/>
      <c r="Q78" s="313"/>
      <c r="R78" s="488"/>
      <c r="S78" s="606"/>
      <c r="U78" s="401"/>
      <c r="V78" s="451"/>
      <c r="W78" s="357"/>
      <c r="X78" s="357"/>
      <c r="Y78" s="357"/>
      <c r="Z78" s="637"/>
    </row>
    <row r="79" spans="3:26" ht="11.25" customHeight="1">
      <c r="C79" s="401"/>
      <c r="D79" s="357"/>
      <c r="E79" s="447"/>
      <c r="F79" s="357"/>
      <c r="G79" s="630"/>
      <c r="H79" s="628"/>
      <c r="I79" s="602"/>
      <c r="J79" s="313"/>
      <c r="K79" s="313"/>
      <c r="L79" s="313"/>
      <c r="M79" s="630"/>
      <c r="N79" s="628"/>
      <c r="O79" s="608"/>
      <c r="P79" s="313"/>
      <c r="Q79" s="313"/>
      <c r="R79" s="488"/>
      <c r="S79" s="606"/>
      <c r="U79" s="401"/>
      <c r="V79" s="451"/>
      <c r="W79" s="357"/>
      <c r="X79" s="357"/>
      <c r="Y79" s="357"/>
      <c r="Z79" s="637"/>
    </row>
    <row r="80" spans="3:26" ht="11.25" customHeight="1">
      <c r="C80" s="401"/>
      <c r="D80" s="357"/>
      <c r="E80" s="447"/>
      <c r="F80" s="357"/>
      <c r="G80" s="630"/>
      <c r="H80" s="628"/>
      <c r="I80" s="602"/>
      <c r="J80" s="313"/>
      <c r="K80" s="313"/>
      <c r="L80" s="313"/>
      <c r="M80" s="630"/>
      <c r="N80" s="628"/>
      <c r="O80" s="608"/>
      <c r="P80" s="313"/>
      <c r="Q80" s="313"/>
      <c r="R80" s="488"/>
      <c r="S80" s="606"/>
      <c r="U80" s="401"/>
      <c r="V80" s="451"/>
      <c r="W80" s="357"/>
      <c r="X80" s="357"/>
      <c r="Y80" s="357"/>
      <c r="Z80" s="637"/>
    </row>
    <row r="81" spans="3:26" ht="11.25" customHeight="1">
      <c r="C81" s="401"/>
      <c r="D81" s="357"/>
      <c r="E81" s="447"/>
      <c r="F81" s="357"/>
      <c r="G81" s="630"/>
      <c r="H81" s="628"/>
      <c r="I81" s="602"/>
      <c r="J81" s="313"/>
      <c r="K81" s="313"/>
      <c r="L81" s="313"/>
      <c r="M81" s="630"/>
      <c r="N81" s="628"/>
      <c r="O81" s="608"/>
      <c r="P81" s="313"/>
      <c r="Q81" s="313"/>
      <c r="R81" s="488"/>
      <c r="S81" s="606"/>
      <c r="U81" s="401"/>
      <c r="V81" s="451"/>
      <c r="W81" s="357"/>
      <c r="X81" s="357"/>
      <c r="Y81" s="357"/>
      <c r="Z81" s="637"/>
    </row>
    <row r="82" spans="3:26" ht="11.25" customHeight="1">
      <c r="C82" s="401"/>
      <c r="D82" s="357"/>
      <c r="E82" s="447"/>
      <c r="F82" s="357"/>
      <c r="G82" s="630"/>
      <c r="H82" s="628"/>
      <c r="I82" s="602"/>
      <c r="J82" s="313"/>
      <c r="K82" s="313"/>
      <c r="L82" s="313"/>
      <c r="M82" s="630"/>
      <c r="N82" s="628"/>
      <c r="O82" s="608"/>
      <c r="P82" s="313"/>
      <c r="Q82" s="313"/>
      <c r="R82" s="488"/>
      <c r="S82" s="606"/>
      <c r="U82" s="401"/>
      <c r="V82" s="451"/>
      <c r="W82" s="357"/>
      <c r="X82" s="357"/>
      <c r="Y82" s="357"/>
      <c r="Z82" s="637"/>
    </row>
    <row r="83" spans="3:26" ht="11.25" customHeight="1">
      <c r="C83" s="401"/>
      <c r="D83" s="357"/>
      <c r="E83" s="447"/>
      <c r="F83" s="357"/>
      <c r="G83" s="630"/>
      <c r="H83" s="628"/>
      <c r="I83" s="602"/>
      <c r="J83" s="313"/>
      <c r="K83" s="313"/>
      <c r="L83" s="313"/>
      <c r="M83" s="630"/>
      <c r="N83" s="628"/>
      <c r="O83" s="608"/>
      <c r="P83" s="313"/>
      <c r="Q83" s="313"/>
      <c r="R83" s="488"/>
      <c r="S83" s="606"/>
      <c r="U83" s="401"/>
      <c r="V83" s="451"/>
      <c r="W83" s="357"/>
      <c r="X83" s="357"/>
      <c r="Y83" s="357"/>
      <c r="Z83" s="637"/>
    </row>
    <row r="84" spans="3:26" ht="11.25" customHeight="1">
      <c r="C84" s="401"/>
      <c r="D84" s="357"/>
      <c r="E84" s="447"/>
      <c r="F84" s="357"/>
      <c r="G84" s="630"/>
      <c r="H84" s="628"/>
      <c r="I84" s="602"/>
      <c r="J84" s="313"/>
      <c r="K84" s="313"/>
      <c r="L84" s="313"/>
      <c r="M84" s="630"/>
      <c r="N84" s="628"/>
      <c r="O84" s="608"/>
      <c r="P84" s="313"/>
      <c r="Q84" s="313"/>
      <c r="R84" s="488"/>
      <c r="S84" s="606"/>
      <c r="U84" s="401"/>
      <c r="V84" s="357"/>
      <c r="W84" s="357"/>
      <c r="X84" s="357"/>
      <c r="Y84" s="357"/>
      <c r="Z84" s="637"/>
    </row>
    <row r="85" spans="3:26" ht="11.25" customHeight="1">
      <c r="C85" s="401"/>
      <c r="D85" s="357"/>
      <c r="E85" s="447"/>
      <c r="F85" s="357"/>
      <c r="G85" s="630"/>
      <c r="H85" s="628"/>
      <c r="I85" s="602"/>
      <c r="J85" s="313"/>
      <c r="K85" s="313"/>
      <c r="L85" s="313"/>
      <c r="M85" s="630"/>
      <c r="N85" s="628"/>
      <c r="O85" s="608"/>
      <c r="P85" s="313"/>
      <c r="Q85" s="313"/>
      <c r="R85" s="488"/>
      <c r="S85" s="606"/>
      <c r="U85" s="401"/>
      <c r="V85" s="357"/>
      <c r="W85" s="357"/>
      <c r="X85" s="357"/>
      <c r="Y85" s="357"/>
      <c r="Z85" s="637"/>
    </row>
    <row r="86" spans="3:26" ht="11.25" customHeight="1">
      <c r="C86" s="401"/>
      <c r="D86" s="357"/>
      <c r="E86" s="447"/>
      <c r="F86" s="357"/>
      <c r="G86" s="630"/>
      <c r="H86" s="628"/>
      <c r="I86" s="602"/>
      <c r="J86" s="313"/>
      <c r="K86" s="313"/>
      <c r="L86" s="313"/>
      <c r="M86" s="630"/>
      <c r="N86" s="628"/>
      <c r="O86" s="608"/>
      <c r="P86" s="313"/>
      <c r="Q86" s="313"/>
      <c r="R86" s="488"/>
      <c r="S86" s="606"/>
      <c r="U86" s="401"/>
      <c r="V86" s="357"/>
      <c r="W86" s="357"/>
      <c r="X86" s="357"/>
      <c r="Y86" s="357"/>
      <c r="Z86" s="637"/>
    </row>
    <row r="87" spans="3:26" ht="11.25" customHeight="1">
      <c r="C87" s="401"/>
      <c r="D87" s="357"/>
      <c r="E87" s="447"/>
      <c r="F87" s="357"/>
      <c r="G87" s="630"/>
      <c r="H87" s="628"/>
      <c r="I87" s="602"/>
      <c r="J87" s="313"/>
      <c r="K87" s="313"/>
      <c r="L87" s="313"/>
      <c r="M87" s="630"/>
      <c r="N87" s="628"/>
      <c r="O87" s="608"/>
      <c r="P87" s="313"/>
      <c r="Q87" s="313"/>
      <c r="R87" s="488"/>
      <c r="S87" s="606"/>
      <c r="U87" s="401"/>
      <c r="V87" s="357"/>
      <c r="W87" s="357"/>
      <c r="X87" s="357"/>
      <c r="Y87" s="357"/>
      <c r="Z87" s="637"/>
    </row>
    <row r="88" spans="3:26" ht="11.25" customHeight="1">
      <c r="C88" s="401"/>
      <c r="D88" s="357"/>
      <c r="E88" s="447"/>
      <c r="F88" s="357"/>
      <c r="G88" s="630"/>
      <c r="H88" s="628"/>
      <c r="I88" s="602"/>
      <c r="J88" s="313"/>
      <c r="K88" s="313"/>
      <c r="L88" s="313"/>
      <c r="M88" s="630"/>
      <c r="N88" s="628"/>
      <c r="O88" s="608"/>
      <c r="P88" s="313"/>
      <c r="Q88" s="313"/>
      <c r="R88" s="488"/>
      <c r="S88" s="606"/>
      <c r="U88" s="401"/>
      <c r="V88" s="357"/>
      <c r="W88" s="357"/>
      <c r="X88" s="357"/>
      <c r="Y88" s="357"/>
      <c r="Z88" s="637"/>
    </row>
    <row r="89" spans="3:26" ht="11.25" customHeight="1">
      <c r="C89" s="401"/>
      <c r="D89" s="357"/>
      <c r="E89" s="447"/>
      <c r="F89" s="357"/>
      <c r="G89" s="630"/>
      <c r="H89" s="628"/>
      <c r="I89" s="602"/>
      <c r="J89" s="313"/>
      <c r="K89" s="313"/>
      <c r="L89" s="313"/>
      <c r="M89" s="630"/>
      <c r="N89" s="628"/>
      <c r="O89" s="608"/>
      <c r="P89" s="313"/>
      <c r="Q89" s="313"/>
      <c r="R89" s="488"/>
      <c r="S89" s="606"/>
      <c r="U89" s="401"/>
      <c r="V89" s="357"/>
      <c r="W89" s="357"/>
      <c r="X89" s="357"/>
      <c r="Y89" s="357"/>
      <c r="Z89" s="637"/>
    </row>
    <row r="90" spans="3:26" ht="11.25" customHeight="1">
      <c r="C90" s="401"/>
      <c r="D90" s="357"/>
      <c r="E90" s="447"/>
      <c r="F90" s="357"/>
      <c r="G90" s="630"/>
      <c r="H90" s="628"/>
      <c r="I90" s="602"/>
      <c r="J90" s="313"/>
      <c r="K90" s="313"/>
      <c r="L90" s="313"/>
      <c r="M90" s="630"/>
      <c r="N90" s="628"/>
      <c r="O90" s="608"/>
      <c r="P90" s="313"/>
      <c r="Q90" s="313"/>
      <c r="R90" s="488"/>
      <c r="S90" s="606"/>
      <c r="U90" s="401"/>
      <c r="V90" s="357"/>
      <c r="W90" s="357"/>
      <c r="X90" s="357"/>
      <c r="Y90" s="357"/>
      <c r="Z90" s="637"/>
    </row>
    <row r="91" spans="3:26">
      <c r="C91" s="401"/>
      <c r="D91" s="357"/>
      <c r="E91" s="447"/>
      <c r="F91" s="357"/>
      <c r="G91" s="630"/>
      <c r="H91" s="628"/>
      <c r="I91" s="602"/>
      <c r="J91" s="313"/>
      <c r="K91" s="313"/>
      <c r="L91" s="313"/>
      <c r="M91" s="630"/>
      <c r="N91" s="628"/>
      <c r="O91" s="608"/>
      <c r="P91" s="313"/>
      <c r="Q91" s="313"/>
      <c r="R91" s="488"/>
      <c r="S91" s="606"/>
      <c r="U91" s="401"/>
      <c r="V91" s="357"/>
      <c r="W91" s="357"/>
      <c r="X91" s="357"/>
      <c r="Y91" s="357"/>
      <c r="Z91" s="637"/>
    </row>
    <row r="92" spans="3:26">
      <c r="C92" s="401"/>
      <c r="D92" s="357"/>
      <c r="E92" s="447"/>
      <c r="F92" s="357"/>
      <c r="G92" s="630"/>
      <c r="H92" s="628"/>
      <c r="I92" s="602"/>
      <c r="J92" s="313"/>
      <c r="K92" s="313"/>
      <c r="L92" s="313"/>
      <c r="M92" s="630"/>
      <c r="N92" s="628"/>
      <c r="O92" s="608"/>
      <c r="P92" s="313"/>
      <c r="Q92" s="313"/>
      <c r="R92" s="488"/>
      <c r="S92" s="606"/>
      <c r="U92" s="401"/>
      <c r="V92" s="357"/>
      <c r="W92" s="357"/>
      <c r="X92" s="357"/>
      <c r="Y92" s="357"/>
      <c r="Z92" s="637"/>
    </row>
    <row r="93" spans="3:26">
      <c r="C93" s="401"/>
      <c r="D93" s="357"/>
      <c r="E93" s="447"/>
      <c r="F93" s="357"/>
      <c r="G93" s="630"/>
      <c r="H93" s="628"/>
      <c r="I93" s="602"/>
      <c r="J93" s="313"/>
      <c r="K93" s="313"/>
      <c r="L93" s="313"/>
      <c r="M93" s="630"/>
      <c r="N93" s="628"/>
      <c r="O93" s="608"/>
      <c r="P93" s="313"/>
      <c r="Q93" s="313"/>
      <c r="R93" s="488"/>
      <c r="S93" s="606"/>
      <c r="U93" s="401"/>
      <c r="V93" s="357"/>
      <c r="W93" s="357"/>
      <c r="X93" s="357"/>
      <c r="Y93" s="357"/>
      <c r="Z93" s="637"/>
    </row>
    <row r="94" spans="3:26">
      <c r="C94" s="401"/>
      <c r="D94" s="357"/>
      <c r="E94" s="447"/>
      <c r="F94" s="357"/>
      <c r="G94" s="630"/>
      <c r="H94" s="628"/>
      <c r="I94" s="602"/>
      <c r="J94" s="313"/>
      <c r="K94" s="313"/>
      <c r="L94" s="313"/>
      <c r="M94" s="630"/>
      <c r="N94" s="628"/>
      <c r="O94" s="608"/>
      <c r="P94" s="313"/>
      <c r="Q94" s="313"/>
      <c r="R94" s="488"/>
      <c r="S94" s="606"/>
      <c r="U94" s="401"/>
      <c r="V94" s="357"/>
      <c r="W94" s="357"/>
      <c r="X94" s="357"/>
      <c r="Y94" s="357"/>
      <c r="Z94" s="637"/>
    </row>
    <row r="95" spans="3:26">
      <c r="C95" s="401"/>
      <c r="D95" s="357"/>
      <c r="E95" s="447"/>
      <c r="F95" s="357"/>
      <c r="G95" s="630"/>
      <c r="H95" s="628"/>
      <c r="I95" s="602"/>
      <c r="J95" s="313"/>
      <c r="K95" s="313"/>
      <c r="L95" s="313"/>
      <c r="M95" s="630"/>
      <c r="N95" s="628"/>
      <c r="O95" s="608"/>
      <c r="P95" s="313"/>
      <c r="Q95" s="313"/>
      <c r="R95" s="488"/>
      <c r="S95" s="606"/>
      <c r="U95" s="401"/>
      <c r="V95" s="357"/>
      <c r="W95" s="357"/>
      <c r="X95" s="357"/>
      <c r="Y95" s="357"/>
      <c r="Z95" s="637"/>
    </row>
    <row r="96" spans="3:26">
      <c r="C96" s="401"/>
      <c r="D96" s="357"/>
      <c r="E96" s="447"/>
      <c r="F96" s="357"/>
      <c r="G96" s="630"/>
      <c r="H96" s="628"/>
      <c r="I96" s="602"/>
      <c r="J96" s="313"/>
      <c r="K96" s="313"/>
      <c r="L96" s="313"/>
      <c r="M96" s="630"/>
      <c r="N96" s="628"/>
      <c r="O96" s="608"/>
      <c r="P96" s="313"/>
      <c r="Q96" s="313"/>
      <c r="R96" s="488"/>
      <c r="S96" s="606"/>
      <c r="U96" s="401"/>
      <c r="V96" s="357"/>
      <c r="W96" s="357"/>
      <c r="X96" s="357"/>
      <c r="Y96" s="357"/>
      <c r="Z96" s="637"/>
    </row>
    <row r="97" spans="3:26" ht="12" thickBot="1">
      <c r="C97" s="402"/>
      <c r="D97" s="403"/>
      <c r="E97" s="404"/>
      <c r="F97" s="403"/>
      <c r="G97" s="631"/>
      <c r="H97" s="628"/>
      <c r="I97" s="604"/>
      <c r="J97" s="599"/>
      <c r="K97" s="599"/>
      <c r="L97" s="599"/>
      <c r="M97" s="631"/>
      <c r="N97" s="628"/>
      <c r="O97" s="609"/>
      <c r="P97" s="599"/>
      <c r="Q97" s="599"/>
      <c r="R97" s="644"/>
      <c r="S97" s="607"/>
      <c r="U97" s="402"/>
      <c r="V97" s="403"/>
      <c r="W97" s="403"/>
      <c r="X97" s="403"/>
      <c r="Y97" s="403"/>
      <c r="Z97" s="638"/>
    </row>
    <row r="98" spans="3:26">
      <c r="H98" s="628"/>
      <c r="N98" s="628"/>
    </row>
    <row r="99" spans="3:26">
      <c r="H99" s="62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261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44075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44076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44077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44078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44079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44080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44081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44082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44083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44084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44085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44086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44087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44088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44089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44090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44091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44092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44093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44094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44095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44096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44097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44098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44099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44100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44101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44102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44103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44104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0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39" sqref="F3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1" t="s">
        <v>70</v>
      </c>
      <c r="D3" s="612"/>
      <c r="E3" s="612"/>
      <c r="F3" s="613"/>
      <c r="G3" s="614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36"/>
      <c r="D6" s="837"/>
      <c r="E6" s="838"/>
      <c r="F6" s="838"/>
      <c r="G6" s="49" t="s">
        <v>4</v>
      </c>
      <c r="H6" s="47" t="s">
        <v>14</v>
      </c>
      <c r="I6" s="42"/>
      <c r="J6" s="115"/>
    </row>
    <row r="7" spans="1:15" ht="18" customHeight="1">
      <c r="A7" s="839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40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>
        <v>72082.820000000007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44075</v>
      </c>
      <c r="B10" s="318">
        <v>85</v>
      </c>
      <c r="C10" s="318">
        <v>85</v>
      </c>
      <c r="D10" s="318">
        <v>2</v>
      </c>
      <c r="E10" s="318"/>
      <c r="F10" s="318">
        <v>72100.100000000006</v>
      </c>
      <c r="G10" s="318">
        <f t="shared" ref="G10:G40" si="0">(F10-F9)*4.4</f>
        <v>76.031999999994881</v>
      </c>
      <c r="H10" s="113">
        <f>Gen!C11</f>
        <v>3.9E-2</v>
      </c>
      <c r="I10" s="6">
        <f>SUM(F10/H10)</f>
        <v>1848720.512820513</v>
      </c>
      <c r="J10" s="118">
        <f t="shared" ref="J10:J40" si="1">SUM(G10/I10)</f>
        <v>4.11268222928928E-5</v>
      </c>
      <c r="N10" s="186"/>
      <c r="O10" s="186"/>
    </row>
    <row r="11" spans="1:15" ht="18.75">
      <c r="A11" s="96">
        <f>Gen!B12</f>
        <v>44076</v>
      </c>
      <c r="B11" s="318">
        <v>85</v>
      </c>
      <c r="C11" s="318">
        <v>85</v>
      </c>
      <c r="D11" s="318">
        <v>2</v>
      </c>
      <c r="E11" s="318"/>
      <c r="F11" s="318">
        <v>72113.42</v>
      </c>
      <c r="G11" s="318">
        <f t="shared" si="0"/>
        <v>58.607999999966708</v>
      </c>
      <c r="H11" s="113">
        <f>Gen!C12</f>
        <v>3.9E-2</v>
      </c>
      <c r="I11" s="6">
        <f t="shared" ref="I11:I28" si="2">SUM(F11/H11)</f>
        <v>1849062.0512820513</v>
      </c>
      <c r="J11" s="118">
        <f t="shared" si="1"/>
        <v>3.1696069885448526E-5</v>
      </c>
      <c r="M11" s="186"/>
      <c r="N11" s="186"/>
    </row>
    <row r="12" spans="1:15" ht="18.75">
      <c r="A12" s="96">
        <f>Gen!B13</f>
        <v>44077</v>
      </c>
      <c r="B12" s="318">
        <v>85</v>
      </c>
      <c r="C12" s="318">
        <v>85</v>
      </c>
      <c r="D12" s="318">
        <v>1</v>
      </c>
      <c r="E12" s="318"/>
      <c r="F12" s="318">
        <v>72128.479999999996</v>
      </c>
      <c r="G12" s="318">
        <f t="shared" si="0"/>
        <v>66.263999999989764</v>
      </c>
      <c r="H12" s="113">
        <f>Gen!C13</f>
        <v>3.9E-2</v>
      </c>
      <c r="I12" s="6">
        <f t="shared" si="2"/>
        <v>1849448.205128205</v>
      </c>
      <c r="J12" s="118">
        <f t="shared" si="1"/>
        <v>3.5829065023962809E-5</v>
      </c>
      <c r="M12" s="186"/>
      <c r="N12" s="186"/>
    </row>
    <row r="13" spans="1:15" ht="18.75">
      <c r="A13" s="96">
        <f>Gen!B14</f>
        <v>44078</v>
      </c>
      <c r="B13" s="318">
        <v>85</v>
      </c>
      <c r="C13" s="318">
        <v>85</v>
      </c>
      <c r="D13" s="318">
        <v>1</v>
      </c>
      <c r="E13" s="318"/>
      <c r="F13" s="318">
        <v>72142.92</v>
      </c>
      <c r="G13" s="318">
        <f t="shared" si="0"/>
        <v>63.536000000010247</v>
      </c>
      <c r="H13" s="113">
        <f>Gen!C14</f>
        <v>9.0899999999999995E-2</v>
      </c>
      <c r="I13" s="6">
        <f t="shared" si="2"/>
        <v>793651.48514851485</v>
      </c>
      <c r="J13" s="118">
        <f t="shared" si="1"/>
        <v>8.0055290248868931E-5</v>
      </c>
      <c r="M13" s="186"/>
      <c r="N13" s="186"/>
    </row>
    <row r="14" spans="1:15" ht="18.75">
      <c r="A14" s="96">
        <f>Gen!B15</f>
        <v>44079</v>
      </c>
      <c r="B14" s="318">
        <v>85</v>
      </c>
      <c r="C14" s="318">
        <v>85</v>
      </c>
      <c r="D14" s="318">
        <v>1</v>
      </c>
      <c r="E14" s="318"/>
      <c r="F14" s="318">
        <v>72154.3</v>
      </c>
      <c r="G14" s="318">
        <f t="shared" si="0"/>
        <v>50.072000000020495</v>
      </c>
      <c r="H14" s="113">
        <f>Gen!C15</f>
        <v>9.0899999999999995E-2</v>
      </c>
      <c r="I14" s="6">
        <f t="shared" si="2"/>
        <v>793776.67766776681</v>
      </c>
      <c r="J14" s="118">
        <f t="shared" si="1"/>
        <v>6.3080714524316124E-5</v>
      </c>
      <c r="M14" s="186"/>
      <c r="N14" s="186"/>
    </row>
    <row r="15" spans="1:15" ht="18.75">
      <c r="A15" s="96">
        <f>Gen!B16</f>
        <v>44080</v>
      </c>
      <c r="B15" s="318">
        <v>85</v>
      </c>
      <c r="C15" s="318">
        <v>85</v>
      </c>
      <c r="D15" s="318">
        <v>1</v>
      </c>
      <c r="E15" s="318"/>
      <c r="F15" s="318">
        <v>72165.570000000007</v>
      </c>
      <c r="G15" s="318">
        <f t="shared" si="0"/>
        <v>49.588000000017935</v>
      </c>
      <c r="H15" s="113">
        <f>Gen!C16</f>
        <v>9.0899999999999995E-2</v>
      </c>
      <c r="I15" s="6">
        <f t="shared" si="2"/>
        <v>793900.66006600671</v>
      </c>
      <c r="J15" s="118">
        <f t="shared" si="1"/>
        <v>6.2461215230498839E-5</v>
      </c>
      <c r="M15" s="186"/>
      <c r="N15" s="186"/>
    </row>
    <row r="16" spans="1:15" ht="18.75">
      <c r="A16" s="96">
        <f>Gen!B17</f>
        <v>44081</v>
      </c>
      <c r="B16" s="318">
        <v>85</v>
      </c>
      <c r="C16" s="318">
        <v>85</v>
      </c>
      <c r="D16" s="318">
        <v>0</v>
      </c>
      <c r="E16" s="318"/>
      <c r="F16" s="318">
        <v>72179.789999999994</v>
      </c>
      <c r="G16" s="318">
        <f t="shared" si="0"/>
        <v>62.567999999941101</v>
      </c>
      <c r="H16" s="113">
        <f>Gen!C17</f>
        <v>2.5999999999999999E-2</v>
      </c>
      <c r="I16" s="6">
        <f t="shared" si="2"/>
        <v>2776145.769230769</v>
      </c>
      <c r="J16" s="118">
        <f t="shared" si="1"/>
        <v>2.2537721431421023E-5</v>
      </c>
      <c r="M16" s="186"/>
      <c r="N16" s="186"/>
    </row>
    <row r="17" spans="1:14" ht="18.75">
      <c r="A17" s="96">
        <f>Gen!B18</f>
        <v>44082</v>
      </c>
      <c r="B17" s="318">
        <v>85</v>
      </c>
      <c r="C17" s="318">
        <v>81</v>
      </c>
      <c r="D17" s="318">
        <v>0</v>
      </c>
      <c r="E17" s="318"/>
      <c r="F17" s="318">
        <v>72192.259999999995</v>
      </c>
      <c r="G17" s="318">
        <f t="shared" si="0"/>
        <v>54.868000000005125</v>
      </c>
      <c r="H17" s="113">
        <f>Gen!C18</f>
        <v>3.9E-2</v>
      </c>
      <c r="I17" s="6">
        <f t="shared" si="2"/>
        <v>1851083.5897435895</v>
      </c>
      <c r="J17" s="118">
        <f t="shared" si="1"/>
        <v>2.9641016917882889E-5</v>
      </c>
      <c r="M17" s="186"/>
      <c r="N17" s="186"/>
    </row>
    <row r="18" spans="1:14" ht="18.75">
      <c r="A18" s="96">
        <f>Gen!B19</f>
        <v>44083</v>
      </c>
      <c r="B18" s="318">
        <v>85</v>
      </c>
      <c r="C18" s="318">
        <v>75</v>
      </c>
      <c r="D18" s="318">
        <v>0</v>
      </c>
      <c r="E18" s="318"/>
      <c r="F18" s="318">
        <v>72205.31</v>
      </c>
      <c r="G18" s="318">
        <f t="shared" si="0"/>
        <v>57.420000000012813</v>
      </c>
      <c r="H18" s="113">
        <f>Gen!C19</f>
        <v>6.5000000000000002E-2</v>
      </c>
      <c r="I18" s="6">
        <f t="shared" si="2"/>
        <v>1110850.923076923</v>
      </c>
      <c r="J18" s="118">
        <f t="shared" si="1"/>
        <v>5.1690104231957912E-5</v>
      </c>
      <c r="M18" s="186"/>
      <c r="N18" s="186"/>
    </row>
    <row r="19" spans="1:14" ht="18.75">
      <c r="A19" s="96">
        <f>Gen!B20</f>
        <v>44084</v>
      </c>
      <c r="B19" s="318">
        <v>85</v>
      </c>
      <c r="C19" s="318">
        <v>72</v>
      </c>
      <c r="D19" s="318">
        <v>0</v>
      </c>
      <c r="E19" s="318"/>
      <c r="F19" s="318">
        <v>72215.31</v>
      </c>
      <c r="G19" s="318">
        <f t="shared" si="0"/>
        <v>44</v>
      </c>
      <c r="H19" s="113">
        <f>Gen!C20</f>
        <v>1.2999999999999999E-2</v>
      </c>
      <c r="I19" s="6">
        <f t="shared" si="2"/>
        <v>5555023.846153846</v>
      </c>
      <c r="J19" s="118">
        <f t="shared" si="1"/>
        <v>7.9207580774769235E-6</v>
      </c>
      <c r="M19" s="186"/>
      <c r="N19" s="186"/>
    </row>
    <row r="20" spans="1:14" ht="18.75">
      <c r="A20" s="96">
        <f>Gen!B21</f>
        <v>44085</v>
      </c>
      <c r="B20" s="318">
        <v>85</v>
      </c>
      <c r="C20" s="318">
        <v>68</v>
      </c>
      <c r="D20" s="318">
        <v>0</v>
      </c>
      <c r="E20" s="318"/>
      <c r="F20" s="318">
        <v>72231.429999999993</v>
      </c>
      <c r="G20" s="318">
        <f t="shared" si="0"/>
        <v>70.927999999979519</v>
      </c>
      <c r="H20" s="113">
        <f>Gen!C21</f>
        <v>3.9E-2</v>
      </c>
      <c r="I20" s="6">
        <f t="shared" si="2"/>
        <v>1852087.9487179485</v>
      </c>
      <c r="J20" s="118">
        <f t="shared" si="1"/>
        <v>3.8296237524291042E-5</v>
      </c>
    </row>
    <row r="21" spans="1:14" ht="18.75">
      <c r="A21" s="96">
        <f>Gen!B22</f>
        <v>44086</v>
      </c>
      <c r="B21" s="318">
        <v>85</v>
      </c>
      <c r="C21" s="318">
        <v>60</v>
      </c>
      <c r="D21" s="318">
        <v>0</v>
      </c>
      <c r="E21" s="318"/>
      <c r="F21" s="318">
        <v>72243.679999999993</v>
      </c>
      <c r="G21" s="318">
        <f t="shared" si="0"/>
        <v>53.900000000000006</v>
      </c>
      <c r="H21" s="113">
        <f>Gen!C22</f>
        <v>0.02</v>
      </c>
      <c r="I21" s="6">
        <f t="shared" si="2"/>
        <v>3612183.9999999995</v>
      </c>
      <c r="J21" s="118">
        <f t="shared" si="1"/>
        <v>1.4921720488214335E-5</v>
      </c>
    </row>
    <row r="22" spans="1:14" ht="18.75">
      <c r="A22" s="96">
        <f>Gen!B23</f>
        <v>44087</v>
      </c>
      <c r="B22" s="318">
        <v>85</v>
      </c>
      <c r="C22" s="318">
        <v>58</v>
      </c>
      <c r="D22" s="318">
        <v>0</v>
      </c>
      <c r="E22" s="318"/>
      <c r="F22" s="318">
        <v>72256.27</v>
      </c>
      <c r="G22" s="318">
        <f t="shared" si="0"/>
        <v>55.396000000048666</v>
      </c>
      <c r="H22" s="113">
        <f>Gen!C23</f>
        <v>0.03</v>
      </c>
      <c r="I22" s="6">
        <f t="shared" si="2"/>
        <v>2408542.3333333335</v>
      </c>
      <c r="J22" s="118">
        <f t="shared" si="1"/>
        <v>2.299980333888616E-5</v>
      </c>
    </row>
    <row r="23" spans="1:14" ht="18.75">
      <c r="A23" s="96">
        <f>Gen!B24</f>
        <v>44088</v>
      </c>
      <c r="B23" s="318">
        <v>85</v>
      </c>
      <c r="C23" s="318">
        <v>52</v>
      </c>
      <c r="D23" s="318">
        <v>0</v>
      </c>
      <c r="E23" s="318"/>
      <c r="F23" s="318">
        <v>72269.100000000006</v>
      </c>
      <c r="G23" s="318">
        <f t="shared" si="0"/>
        <v>56.452000000007686</v>
      </c>
      <c r="H23" s="113">
        <f>Gen!C24</f>
        <v>0.04</v>
      </c>
      <c r="I23" s="6">
        <f t="shared" si="2"/>
        <v>1806727.5</v>
      </c>
      <c r="J23" s="118">
        <f t="shared" si="1"/>
        <v>3.1245442381326283E-5</v>
      </c>
    </row>
    <row r="24" spans="1:14" ht="18.75">
      <c r="A24" s="96">
        <f>Gen!B25</f>
        <v>44089</v>
      </c>
      <c r="B24" s="318">
        <v>85</v>
      </c>
      <c r="C24" s="318">
        <v>50</v>
      </c>
      <c r="D24" s="318">
        <v>0</v>
      </c>
      <c r="E24" s="318"/>
      <c r="F24" s="318">
        <v>72280.929999999993</v>
      </c>
      <c r="G24" s="318">
        <f t="shared" si="0"/>
        <v>52.051999999943661</v>
      </c>
      <c r="H24" s="113">
        <f>Gen!C25</f>
        <v>0.03</v>
      </c>
      <c r="I24" s="6">
        <f t="shared" si="2"/>
        <v>2409364.333333333</v>
      </c>
      <c r="J24" s="118">
        <f t="shared" si="1"/>
        <v>2.1604038575573252E-5</v>
      </c>
    </row>
    <row r="25" spans="1:14" ht="18.75">
      <c r="A25" s="96">
        <f>Gen!B26</f>
        <v>44090</v>
      </c>
      <c r="B25" s="318">
        <v>85</v>
      </c>
      <c r="C25" s="318">
        <v>43</v>
      </c>
      <c r="D25" s="318">
        <v>0</v>
      </c>
      <c r="E25" s="318"/>
      <c r="F25" s="318">
        <v>72292.11</v>
      </c>
      <c r="G25" s="318">
        <f t="shared" si="0"/>
        <v>49.192000000033296</v>
      </c>
      <c r="H25" s="113">
        <f>Gen!C26</f>
        <v>0.12989999999999999</v>
      </c>
      <c r="I25" s="6">
        <f t="shared" si="2"/>
        <v>556521.24711316405</v>
      </c>
      <c r="J25" s="118">
        <f t="shared" si="1"/>
        <v>8.8391953146814E-5</v>
      </c>
    </row>
    <row r="26" spans="1:14" ht="18.75">
      <c r="A26" s="96">
        <f>Gen!B27</f>
        <v>44091</v>
      </c>
      <c r="B26" s="318">
        <v>85</v>
      </c>
      <c r="C26" s="318">
        <v>40</v>
      </c>
      <c r="D26" s="318">
        <v>0</v>
      </c>
      <c r="E26" s="318"/>
      <c r="F26" s="318">
        <v>72304.63</v>
      </c>
      <c r="G26" s="318">
        <f t="shared" si="0"/>
        <v>55.088000000017935</v>
      </c>
      <c r="H26" s="113">
        <f>Gen!C27</f>
        <v>0.1169</v>
      </c>
      <c r="I26" s="6">
        <f t="shared" si="2"/>
        <v>618516.93755346455</v>
      </c>
      <c r="J26" s="118">
        <f t="shared" si="1"/>
        <v>8.9064658791589084E-5</v>
      </c>
    </row>
    <row r="27" spans="1:14" ht="18.75">
      <c r="A27" s="96">
        <f>Gen!B28</f>
        <v>44092</v>
      </c>
      <c r="B27" s="318">
        <v>85</v>
      </c>
      <c r="C27" s="318">
        <v>38</v>
      </c>
      <c r="D27" s="318">
        <v>0</v>
      </c>
      <c r="E27" s="318"/>
      <c r="F27" s="318">
        <v>72319.48</v>
      </c>
      <c r="G27" s="318">
        <f t="shared" si="0"/>
        <v>65.339999999961591</v>
      </c>
      <c r="H27" s="113">
        <f>Gen!C28</f>
        <v>0.1429</v>
      </c>
      <c r="I27" s="6">
        <f t="shared" si="2"/>
        <v>506084.53463960811</v>
      </c>
      <c r="J27" s="118">
        <f t="shared" si="1"/>
        <v>1.2910886527384477E-4</v>
      </c>
    </row>
    <row r="28" spans="1:14" ht="18.75">
      <c r="A28" s="96">
        <f>Gen!B29</f>
        <v>44093</v>
      </c>
      <c r="B28" s="318">
        <v>85</v>
      </c>
      <c r="C28" s="318">
        <v>30</v>
      </c>
      <c r="D28" s="318">
        <v>0</v>
      </c>
      <c r="E28" s="318"/>
      <c r="F28" s="318">
        <v>72334.350000000006</v>
      </c>
      <c r="G28" s="318">
        <f t="shared" si="0"/>
        <v>65.428000000043539</v>
      </c>
      <c r="H28" s="113">
        <f>Gen!C29</f>
        <v>9.0899999999999995E-2</v>
      </c>
      <c r="I28" s="6">
        <f t="shared" si="2"/>
        <v>795757.42574257439</v>
      </c>
      <c r="J28" s="118">
        <f t="shared" si="1"/>
        <v>8.2221036063833531E-5</v>
      </c>
    </row>
    <row r="29" spans="1:14" ht="18.75">
      <c r="A29" s="96">
        <f>Gen!B30</f>
        <v>44094</v>
      </c>
      <c r="B29" s="318">
        <v>85</v>
      </c>
      <c r="C29" s="318">
        <v>29</v>
      </c>
      <c r="D29" s="318">
        <v>0</v>
      </c>
      <c r="E29" s="318">
        <v>0</v>
      </c>
      <c r="F29" s="318">
        <v>72350.22</v>
      </c>
      <c r="G29" s="318">
        <f t="shared" si="0"/>
        <v>69.827999999979511</v>
      </c>
      <c r="H29" s="113">
        <f>Gen!C30</f>
        <v>6.4899999999999999E-2</v>
      </c>
      <c r="I29" s="6">
        <f t="shared" ref="I29:I41" si="3">SUM(F29/H29)</f>
        <v>1114795.3775038521</v>
      </c>
      <c r="J29" s="118">
        <f t="shared" si="1"/>
        <v>6.2637504073915329E-5</v>
      </c>
    </row>
    <row r="30" spans="1:14" ht="18.75">
      <c r="A30" s="96">
        <f>Gen!B31</f>
        <v>44095</v>
      </c>
      <c r="B30" s="318">
        <v>85</v>
      </c>
      <c r="C30" s="318">
        <v>25</v>
      </c>
      <c r="D30" s="318">
        <v>0</v>
      </c>
      <c r="E30" s="318"/>
      <c r="F30" s="318">
        <v>72367.42</v>
      </c>
      <c r="G30" s="318">
        <f t="shared" si="0"/>
        <v>75.679999999987203</v>
      </c>
      <c r="H30" s="113">
        <f>Gen!C31</f>
        <v>6.4899999999999999E-2</v>
      </c>
      <c r="I30" s="6">
        <f t="shared" si="3"/>
        <v>1115060.4006163329</v>
      </c>
      <c r="J30" s="118">
        <f t="shared" si="1"/>
        <v>6.7870762837740647E-5</v>
      </c>
    </row>
    <row r="31" spans="1:14" ht="18.75">
      <c r="A31" s="96">
        <f>Gen!B32</f>
        <v>44096</v>
      </c>
      <c r="B31" s="318">
        <v>85</v>
      </c>
      <c r="C31" s="318">
        <v>23</v>
      </c>
      <c r="D31" s="318">
        <v>0</v>
      </c>
      <c r="E31" s="318"/>
      <c r="F31" s="318">
        <v>72380.09</v>
      </c>
      <c r="G31" s="318">
        <f t="shared" si="0"/>
        <v>55.747999999992324</v>
      </c>
      <c r="H31" s="113">
        <f>Gen!C32</f>
        <v>2.5999999999999999E-2</v>
      </c>
      <c r="I31" s="6">
        <f t="shared" si="3"/>
        <v>2783849.6153846155</v>
      </c>
      <c r="J31" s="118">
        <f t="shared" si="1"/>
        <v>2.002550701442621E-5</v>
      </c>
    </row>
    <row r="32" spans="1:14" ht="18.75">
      <c r="A32" s="96">
        <f>Gen!B33</f>
        <v>44097</v>
      </c>
      <c r="B32" s="318">
        <v>85</v>
      </c>
      <c r="C32" s="318">
        <v>20</v>
      </c>
      <c r="D32" s="318">
        <v>0</v>
      </c>
      <c r="E32" s="318"/>
      <c r="F32" s="318">
        <v>72389</v>
      </c>
      <c r="G32" s="318">
        <f t="shared" si="0"/>
        <v>39.20400000001537</v>
      </c>
      <c r="H32" s="113">
        <f>Gen!C33</f>
        <v>2.5999999999999999E-2</v>
      </c>
      <c r="I32" s="6">
        <f t="shared" si="3"/>
        <v>2784192.307692308</v>
      </c>
      <c r="J32" s="118">
        <f t="shared" si="1"/>
        <v>1.408092389728273E-5</v>
      </c>
    </row>
    <row r="33" spans="1:10" ht="18.75">
      <c r="A33" s="96">
        <f>Gen!B34</f>
        <v>44098</v>
      </c>
      <c r="B33" s="318">
        <v>85</v>
      </c>
      <c r="C33" s="318">
        <v>19</v>
      </c>
      <c r="D33" s="318">
        <v>0</v>
      </c>
      <c r="E33" s="318"/>
      <c r="F33" s="318">
        <v>72405.5</v>
      </c>
      <c r="G33" s="318">
        <f t="shared" si="0"/>
        <v>72.600000000000009</v>
      </c>
      <c r="H33" s="113">
        <f>Gen!C34</f>
        <v>1.2999999999999999E-2</v>
      </c>
      <c r="I33" s="6">
        <f t="shared" si="3"/>
        <v>5569653.846153846</v>
      </c>
      <c r="J33" s="118">
        <f t="shared" si="1"/>
        <v>1.3034921380281886E-5</v>
      </c>
    </row>
    <row r="34" spans="1:10" ht="18.75">
      <c r="A34" s="96">
        <f>Gen!B35</f>
        <v>44099</v>
      </c>
      <c r="B34" s="318">
        <v>85</v>
      </c>
      <c r="C34" s="318">
        <v>18</v>
      </c>
      <c r="D34" s="318">
        <v>0</v>
      </c>
      <c r="E34" s="318"/>
      <c r="F34" s="318">
        <v>72419.88</v>
      </c>
      <c r="G34" s="318">
        <f t="shared" si="0"/>
        <v>63.272000000020498</v>
      </c>
      <c r="H34" s="113">
        <f>Gen!C35</f>
        <v>1.2999999999999999E-2</v>
      </c>
      <c r="I34" s="6">
        <f t="shared" si="3"/>
        <v>5570760.0000000009</v>
      </c>
      <c r="J34" s="118">
        <f t="shared" si="1"/>
        <v>1.1357875765608371E-5</v>
      </c>
    </row>
    <row r="35" spans="1:10" ht="18.75">
      <c r="A35" s="96">
        <f>Gen!B36</f>
        <v>44100</v>
      </c>
      <c r="B35" s="318">
        <v>85</v>
      </c>
      <c r="C35" s="318">
        <v>17</v>
      </c>
      <c r="D35" s="318">
        <v>0</v>
      </c>
      <c r="E35" s="318"/>
      <c r="F35" s="318">
        <v>72434.350000000006</v>
      </c>
      <c r="G35" s="318">
        <f t="shared" si="0"/>
        <v>63.668000000005129</v>
      </c>
      <c r="H35" s="113">
        <f>Gen!C36</f>
        <v>2.5999999999999999E-2</v>
      </c>
      <c r="I35" s="6">
        <f t="shared" si="3"/>
        <v>2785936.538461539</v>
      </c>
      <c r="J35" s="118">
        <f t="shared" si="1"/>
        <v>2.2853356177009015E-5</v>
      </c>
    </row>
    <row r="36" spans="1:10" ht="18.75">
      <c r="A36" s="96">
        <f>Gen!B37</f>
        <v>44101</v>
      </c>
      <c r="B36" s="318">
        <v>85</v>
      </c>
      <c r="C36" s="318">
        <v>16</v>
      </c>
      <c r="D36" s="318">
        <v>0</v>
      </c>
      <c r="E36" s="318"/>
      <c r="F36" s="318">
        <v>72446.78</v>
      </c>
      <c r="G36" s="318">
        <f t="shared" si="0"/>
        <v>54.691999999969269</v>
      </c>
      <c r="H36" s="113">
        <f>Gen!C37</f>
        <v>5.1900000000000002E-2</v>
      </c>
      <c r="I36" s="6">
        <f t="shared" si="3"/>
        <v>1395891.7148362235</v>
      </c>
      <c r="J36" s="118">
        <f t="shared" si="1"/>
        <v>3.9180689604126021E-5</v>
      </c>
    </row>
    <row r="37" spans="1:10" ht="18.75">
      <c r="A37" s="96">
        <f>Gen!B38</f>
        <v>44102</v>
      </c>
      <c r="B37" s="318">
        <v>85</v>
      </c>
      <c r="C37" s="318">
        <v>15</v>
      </c>
      <c r="D37" s="318">
        <v>0</v>
      </c>
      <c r="E37" s="318"/>
      <c r="F37" s="318">
        <v>72463.98</v>
      </c>
      <c r="G37" s="318">
        <f t="shared" si="0"/>
        <v>75.679999999987203</v>
      </c>
      <c r="H37" s="113">
        <f>Gen!C38</f>
        <v>5.1900000000000002E-2</v>
      </c>
      <c r="I37" s="6">
        <f t="shared" si="3"/>
        <v>1396223.1213872831</v>
      </c>
      <c r="J37" s="118">
        <f t="shared" si="1"/>
        <v>5.4203371109333716E-5</v>
      </c>
    </row>
    <row r="38" spans="1:10" ht="18.75">
      <c r="A38" s="96">
        <f>Gen!B39</f>
        <v>44103</v>
      </c>
      <c r="B38" s="318">
        <v>85</v>
      </c>
      <c r="C38" s="318">
        <v>14</v>
      </c>
      <c r="D38" s="318">
        <v>0</v>
      </c>
      <c r="E38" s="318"/>
      <c r="F38" s="318"/>
      <c r="G38" s="318">
        <f t="shared" si="0"/>
        <v>-318841.51199999999</v>
      </c>
      <c r="H38" s="113">
        <f>Gen!C39</f>
        <v>5.1900000000000002E-2</v>
      </c>
      <c r="I38" s="6">
        <f t="shared" si="3"/>
        <v>0</v>
      </c>
      <c r="J38" s="118" t="e">
        <f t="shared" si="1"/>
        <v>#DIV/0!</v>
      </c>
    </row>
    <row r="39" spans="1:10" ht="18.75">
      <c r="A39" s="96">
        <f>Gen!B40</f>
        <v>44104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0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35" t="s">
        <v>6</v>
      </c>
      <c r="D42" s="835"/>
      <c r="E42" s="2">
        <f t="shared" ref="E42:F42" si="4">SUM(E10:E40)</f>
        <v>0</v>
      </c>
      <c r="F42" s="2">
        <f t="shared" si="4"/>
        <v>2023786.66</v>
      </c>
      <c r="G42" s="103">
        <f>SUM(G10:G40)</f>
        <v>-317164.40800000005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44075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44076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44077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44078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44079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44080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44081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44082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44083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44084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44085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44086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44087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44088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44089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44090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44091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44092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44093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44094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44095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44096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44097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44098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44099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44100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44101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44102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44103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44104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0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25" zoomScale="94" zoomScaleNormal="94" workbookViewId="0">
      <pane xSplit="1" topLeftCell="R1" activePane="topRight" state="frozen"/>
      <selection pane="topRight" activeCell="AI35" sqref="AI3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60" t="s">
        <v>316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</row>
    <row r="2" spans="1:40" ht="13.5" customHeight="1" thickTop="1">
      <c r="A2" s="30"/>
      <c r="B2" s="30"/>
      <c r="C2" s="859" t="s">
        <v>52</v>
      </c>
      <c r="D2" s="859"/>
      <c r="E2" s="859"/>
      <c r="F2" s="859" t="s">
        <v>17</v>
      </c>
      <c r="G2" s="859"/>
      <c r="H2" s="859"/>
      <c r="I2" s="859" t="s">
        <v>129</v>
      </c>
      <c r="J2" s="859"/>
      <c r="K2" s="859"/>
      <c r="L2" s="859" t="s">
        <v>132</v>
      </c>
      <c r="M2" s="859"/>
      <c r="N2" s="859"/>
      <c r="O2" s="859" t="s">
        <v>130</v>
      </c>
      <c r="P2" s="859"/>
      <c r="Q2" s="859"/>
      <c r="R2" s="299"/>
      <c r="S2" s="868" t="s">
        <v>179</v>
      </c>
      <c r="T2" s="869"/>
      <c r="U2" s="870"/>
      <c r="V2" s="868" t="s">
        <v>180</v>
      </c>
      <c r="W2" s="869"/>
      <c r="X2" s="870"/>
      <c r="Y2" s="868" t="s">
        <v>181</v>
      </c>
      <c r="Z2" s="869"/>
      <c r="AA2" s="870"/>
      <c r="AB2" s="868" t="s">
        <v>182</v>
      </c>
      <c r="AC2" s="869"/>
      <c r="AD2" s="870"/>
      <c r="AE2" s="862" t="s">
        <v>237</v>
      </c>
      <c r="AF2" s="863"/>
      <c r="AG2" s="874"/>
      <c r="AH2" s="862" t="s">
        <v>241</v>
      </c>
      <c r="AI2" s="863"/>
      <c r="AJ2" s="874"/>
      <c r="AK2" s="862" t="s">
        <v>238</v>
      </c>
      <c r="AL2" s="863"/>
      <c r="AM2" s="863"/>
      <c r="AN2" s="866" t="s">
        <v>187</v>
      </c>
    </row>
    <row r="3" spans="1:40" ht="21.75" customHeight="1" thickBot="1">
      <c r="A3" s="857" t="s">
        <v>7</v>
      </c>
      <c r="B3" s="30"/>
      <c r="C3" s="859" t="s">
        <v>131</v>
      </c>
      <c r="D3" s="859" t="s">
        <v>15</v>
      </c>
      <c r="E3" s="859" t="s">
        <v>16</v>
      </c>
      <c r="F3" s="859" t="s">
        <v>131</v>
      </c>
      <c r="G3" s="859" t="s">
        <v>15</v>
      </c>
      <c r="H3" s="859" t="s">
        <v>16</v>
      </c>
      <c r="I3" s="859" t="s">
        <v>131</v>
      </c>
      <c r="J3" s="859" t="s">
        <v>15</v>
      </c>
      <c r="K3" s="859" t="s">
        <v>16</v>
      </c>
      <c r="L3" s="859" t="s">
        <v>131</v>
      </c>
      <c r="M3" s="859" t="s">
        <v>15</v>
      </c>
      <c r="N3" s="859" t="s">
        <v>16</v>
      </c>
      <c r="O3" s="859" t="s">
        <v>131</v>
      </c>
      <c r="P3" s="859" t="s">
        <v>15</v>
      </c>
      <c r="Q3" s="859" t="s">
        <v>16</v>
      </c>
      <c r="R3" s="876" t="s">
        <v>183</v>
      </c>
      <c r="S3" s="871"/>
      <c r="T3" s="872"/>
      <c r="U3" s="873"/>
      <c r="V3" s="871"/>
      <c r="W3" s="872"/>
      <c r="X3" s="873"/>
      <c r="Y3" s="871"/>
      <c r="Z3" s="872"/>
      <c r="AA3" s="873"/>
      <c r="AB3" s="871"/>
      <c r="AC3" s="872"/>
      <c r="AD3" s="873"/>
      <c r="AE3" s="864"/>
      <c r="AF3" s="865"/>
      <c r="AG3" s="875"/>
      <c r="AH3" s="864"/>
      <c r="AI3" s="865"/>
      <c r="AJ3" s="875"/>
      <c r="AK3" s="864"/>
      <c r="AL3" s="865"/>
      <c r="AM3" s="865"/>
      <c r="AN3" s="867"/>
    </row>
    <row r="4" spans="1:40" ht="15.75" thickTop="1">
      <c r="A4" s="858"/>
      <c r="B4" s="291"/>
      <c r="C4" s="859"/>
      <c r="D4" s="859"/>
      <c r="E4" s="859"/>
      <c r="F4" s="859"/>
      <c r="G4" s="859"/>
      <c r="H4" s="859"/>
      <c r="I4" s="859"/>
      <c r="J4" s="859"/>
      <c r="K4" s="859"/>
      <c r="L4" s="859"/>
      <c r="M4" s="859"/>
      <c r="N4" s="859"/>
      <c r="O4" s="859"/>
      <c r="P4" s="859"/>
      <c r="Q4" s="859"/>
      <c r="R4" s="876"/>
      <c r="S4" s="305" t="s">
        <v>184</v>
      </c>
      <c r="T4" s="306" t="s">
        <v>185</v>
      </c>
      <c r="U4" s="303" t="s">
        <v>186</v>
      </c>
      <c r="V4" s="301" t="s">
        <v>184</v>
      </c>
      <c r="W4" s="302" t="s">
        <v>185</v>
      </c>
      <c r="X4" s="303" t="s">
        <v>186</v>
      </c>
      <c r="Y4" s="301" t="s">
        <v>184</v>
      </c>
      <c r="Z4" s="302" t="s">
        <v>185</v>
      </c>
      <c r="AA4" s="303" t="s">
        <v>186</v>
      </c>
      <c r="AB4" s="753" t="s">
        <v>184</v>
      </c>
      <c r="AC4" s="754" t="s">
        <v>185</v>
      </c>
      <c r="AD4" s="755" t="s">
        <v>117</v>
      </c>
      <c r="AE4" s="301" t="s">
        <v>184</v>
      </c>
      <c r="AF4" s="302" t="s">
        <v>185</v>
      </c>
      <c r="AG4" s="343" t="s">
        <v>117</v>
      </c>
      <c r="AH4" s="301" t="s">
        <v>184</v>
      </c>
      <c r="AI4" s="302" t="s">
        <v>185</v>
      </c>
      <c r="AJ4" s="343" t="s">
        <v>117</v>
      </c>
      <c r="AK4" s="301" t="s">
        <v>184</v>
      </c>
      <c r="AL4" s="302" t="s">
        <v>185</v>
      </c>
      <c r="AM4" s="343" t="s">
        <v>117</v>
      </c>
      <c r="AN4" s="344"/>
    </row>
    <row r="5" spans="1:40" ht="20.25">
      <c r="A5" s="4"/>
      <c r="B5" s="4"/>
      <c r="C5" s="97">
        <f t="shared" ref="C5:C24" si="0">D4</f>
        <v>0</v>
      </c>
      <c r="D5" s="1">
        <v>239973</v>
      </c>
      <c r="E5" s="59">
        <v>45</v>
      </c>
      <c r="F5" s="97">
        <v>38000</v>
      </c>
      <c r="G5" s="452">
        <v>38000</v>
      </c>
      <c r="H5" s="559">
        <v>0</v>
      </c>
      <c r="I5" s="97">
        <v>8020</v>
      </c>
      <c r="J5" s="1">
        <v>8021</v>
      </c>
      <c r="K5" s="559">
        <v>1</v>
      </c>
      <c r="L5" s="97">
        <v>12710</v>
      </c>
      <c r="M5" s="1">
        <v>12740</v>
      </c>
      <c r="N5" s="559">
        <v>0</v>
      </c>
      <c r="O5" s="97">
        <v>20252</v>
      </c>
      <c r="P5" s="448">
        <v>20254</v>
      </c>
      <c r="Q5" s="559">
        <f t="shared" ref="Q5:Q27" si="1">IF((P5-P4)&lt;0,"0",(P5-P4))</f>
        <v>20254</v>
      </c>
      <c r="R5" s="293"/>
      <c r="S5" s="292"/>
      <c r="T5" s="449">
        <v>58181</v>
      </c>
      <c r="U5" s="292"/>
      <c r="V5" s="292">
        <v>73030</v>
      </c>
      <c r="W5" s="449">
        <v>73030</v>
      </c>
      <c r="X5" s="293">
        <v>0</v>
      </c>
      <c r="Y5" s="292">
        <v>83091</v>
      </c>
      <c r="Z5" s="449">
        <v>83091</v>
      </c>
      <c r="AA5" s="293">
        <v>0</v>
      </c>
      <c r="AB5" s="756">
        <v>15108</v>
      </c>
      <c r="AC5" s="293">
        <v>15123</v>
      </c>
      <c r="AD5" s="758"/>
      <c r="AE5" s="292">
        <v>18300</v>
      </c>
      <c r="AF5" s="450">
        <v>18300</v>
      </c>
      <c r="AG5" s="307">
        <v>0</v>
      </c>
      <c r="AH5" s="292">
        <v>25336</v>
      </c>
      <c r="AI5" s="450">
        <v>25336</v>
      </c>
      <c r="AJ5" s="307"/>
      <c r="AK5" s="371" t="str">
        <f t="shared" ref="AK5:AK37" si="2">AL4</f>
        <v>FINAL</v>
      </c>
      <c r="AL5" s="449"/>
      <c r="AM5" s="307"/>
      <c r="AN5" s="454"/>
    </row>
    <row r="6" spans="1:40" ht="23.1" customHeight="1">
      <c r="A6" s="58">
        <f>Gen!B11</f>
        <v>44075</v>
      </c>
      <c r="B6" s="4"/>
      <c r="C6" s="97">
        <f t="shared" si="0"/>
        <v>239973</v>
      </c>
      <c r="D6" s="1">
        <v>240029</v>
      </c>
      <c r="E6" s="59">
        <f t="shared" ref="E6:E15" si="3">IF((D6-D5)&lt;0,"0",(D6-D5))</f>
        <v>56</v>
      </c>
      <c r="F6" s="97">
        <f t="shared" ref="F6:F37" si="4">G5</f>
        <v>38000</v>
      </c>
      <c r="G6" s="452">
        <v>38000</v>
      </c>
      <c r="H6" s="559">
        <f t="shared" ref="H6:H24" si="5">IF((G6-G5)&lt;0,"0",(G6-G5))</f>
        <v>0</v>
      </c>
      <c r="I6" s="97">
        <f t="shared" ref="I6:I24" si="6">J5</f>
        <v>8021</v>
      </c>
      <c r="J6" s="1">
        <v>8023</v>
      </c>
      <c r="K6" s="559">
        <f>J6-J5</f>
        <v>2</v>
      </c>
      <c r="L6" s="97">
        <f t="shared" ref="L6:L24" si="7">M5</f>
        <v>12740</v>
      </c>
      <c r="M6" s="1">
        <v>12745</v>
      </c>
      <c r="N6" s="559">
        <f t="shared" ref="N6:N24" si="8">IF((M6-M5)&lt;0,"0",(M6-M5))</f>
        <v>5</v>
      </c>
      <c r="O6" s="97">
        <f t="shared" ref="O6:O25" si="9">P5</f>
        <v>20254</v>
      </c>
      <c r="P6" s="448">
        <v>20255</v>
      </c>
      <c r="Q6" s="559">
        <f t="shared" si="1"/>
        <v>1</v>
      </c>
      <c r="R6" s="297"/>
      <c r="S6" s="292">
        <f t="shared" ref="S6:S24" si="10">T5</f>
        <v>58181</v>
      </c>
      <c r="T6" s="449">
        <v>58267</v>
      </c>
      <c r="U6" s="560">
        <f t="shared" ref="U6:U24" si="11">IF((T6-T5)&lt;0,"0",(T6-T5))</f>
        <v>86</v>
      </c>
      <c r="V6" s="292">
        <f t="shared" ref="V6:V20" si="12">W5</f>
        <v>73030</v>
      </c>
      <c r="W6" s="449">
        <v>73030</v>
      </c>
      <c r="X6" s="560">
        <f t="shared" ref="X6:X37" si="13">IF((W6-W5)&lt;0,"0",(W6-W5))</f>
        <v>0</v>
      </c>
      <c r="Y6" s="292">
        <f t="shared" ref="Y6:Y37" si="14">Z5</f>
        <v>83091</v>
      </c>
      <c r="Z6" s="449">
        <v>83091</v>
      </c>
      <c r="AA6" s="560">
        <f t="shared" ref="AA6:AA37" si="15">IF((Z6-Z5)&lt;0,"0",(Z6-Z5))</f>
        <v>0</v>
      </c>
      <c r="AB6" s="756">
        <f>AC5</f>
        <v>15123</v>
      </c>
      <c r="AC6" s="757">
        <v>15138</v>
      </c>
      <c r="AD6" s="759">
        <f>IF((AC6-AC5)&lt;0,"0",(AC6-AC5))</f>
        <v>15</v>
      </c>
      <c r="AE6" s="292">
        <f t="shared" ref="AE6:AE37" si="16">AF5</f>
        <v>18300</v>
      </c>
      <c r="AF6" s="450">
        <v>18300</v>
      </c>
      <c r="AG6" s="560">
        <f t="shared" ref="AG6:AG37" si="17">IF((AF6-AF5)&lt;0,"0",(AF6-AF5))</f>
        <v>0</v>
      </c>
      <c r="AH6" s="292">
        <f t="shared" ref="AH6:AH37" si="18">AI5</f>
        <v>25336</v>
      </c>
      <c r="AI6" s="450">
        <v>25341</v>
      </c>
      <c r="AJ6" s="560">
        <f t="shared" ref="AJ6:AJ37" si="19">IF((AI6-AI5)&lt;0,"0",(AI6-AI5))</f>
        <v>5</v>
      </c>
      <c r="AK6" s="371">
        <f t="shared" si="2"/>
        <v>0</v>
      </c>
      <c r="AL6" s="449"/>
      <c r="AM6" s="560">
        <f t="shared" ref="AM6:AM37" si="20">IF((AL6-AL5)&lt;0,"0",(AL6-AL5))</f>
        <v>0</v>
      </c>
      <c r="AN6" s="454">
        <f>U6+X6+AA6+AD6+AG6+AJ6+AM6</f>
        <v>106</v>
      </c>
    </row>
    <row r="7" spans="1:40" ht="23.1" customHeight="1">
      <c r="A7" s="58">
        <f>Gen!B12</f>
        <v>44076</v>
      </c>
      <c r="B7" s="4"/>
      <c r="C7" s="97">
        <f t="shared" si="0"/>
        <v>240029</v>
      </c>
      <c r="D7" s="1">
        <v>240087</v>
      </c>
      <c r="E7" s="59">
        <f t="shared" si="3"/>
        <v>58</v>
      </c>
      <c r="F7" s="97">
        <f t="shared" si="4"/>
        <v>38000</v>
      </c>
      <c r="G7" s="452">
        <v>38000</v>
      </c>
      <c r="H7" s="559">
        <f t="shared" si="5"/>
        <v>0</v>
      </c>
      <c r="I7" s="97">
        <f t="shared" si="6"/>
        <v>8023</v>
      </c>
      <c r="J7" s="1">
        <v>8024</v>
      </c>
      <c r="K7" s="559">
        <f>J7-J6</f>
        <v>1</v>
      </c>
      <c r="L7" s="97">
        <f t="shared" si="7"/>
        <v>12745</v>
      </c>
      <c r="M7" s="1">
        <v>12745</v>
      </c>
      <c r="N7" s="559">
        <f t="shared" si="8"/>
        <v>0</v>
      </c>
      <c r="O7" s="97">
        <f t="shared" si="9"/>
        <v>20255</v>
      </c>
      <c r="P7" s="448">
        <v>20257</v>
      </c>
      <c r="Q7" s="559">
        <f t="shared" si="1"/>
        <v>2</v>
      </c>
      <c r="R7" s="297"/>
      <c r="S7" s="292">
        <f t="shared" si="10"/>
        <v>58267</v>
      </c>
      <c r="T7" s="449">
        <v>58349</v>
      </c>
      <c r="U7" s="560">
        <f t="shared" si="11"/>
        <v>82</v>
      </c>
      <c r="V7" s="292">
        <f t="shared" si="12"/>
        <v>73030</v>
      </c>
      <c r="W7" s="449">
        <v>73030</v>
      </c>
      <c r="X7" s="560">
        <f t="shared" si="13"/>
        <v>0</v>
      </c>
      <c r="Y7" s="292">
        <f t="shared" si="14"/>
        <v>83091</v>
      </c>
      <c r="Z7" s="449">
        <v>83091</v>
      </c>
      <c r="AA7" s="560">
        <f t="shared" si="15"/>
        <v>0</v>
      </c>
      <c r="AB7" s="756">
        <f t="shared" ref="AB7:AB37" si="21">AC6</f>
        <v>15138</v>
      </c>
      <c r="AC7" s="757">
        <v>15155</v>
      </c>
      <c r="AD7" s="759">
        <f t="shared" ref="AD7:AD37" si="22">IF((AC7-AC6)&lt;0,"0",(AC7-AC6))</f>
        <v>17</v>
      </c>
      <c r="AE7" s="292">
        <f t="shared" si="16"/>
        <v>18300</v>
      </c>
      <c r="AF7" s="450">
        <v>18300</v>
      </c>
      <c r="AG7" s="560">
        <f t="shared" si="17"/>
        <v>0</v>
      </c>
      <c r="AH7" s="292">
        <f t="shared" si="18"/>
        <v>25341</v>
      </c>
      <c r="AI7" s="450">
        <v>25367</v>
      </c>
      <c r="AJ7" s="560">
        <f t="shared" si="19"/>
        <v>26</v>
      </c>
      <c r="AK7" s="371">
        <f t="shared" si="2"/>
        <v>0</v>
      </c>
      <c r="AL7" s="449"/>
      <c r="AM7" s="560">
        <f t="shared" si="20"/>
        <v>0</v>
      </c>
      <c r="AN7" s="454">
        <f t="shared" ref="AN7:AN36" si="23">U7+X7+AA7+AD7+AG7+AJ7+AM7</f>
        <v>125</v>
      </c>
    </row>
    <row r="8" spans="1:40" ht="23.1" customHeight="1">
      <c r="A8" s="58">
        <f>Gen!B13</f>
        <v>44077</v>
      </c>
      <c r="B8" s="4"/>
      <c r="C8" s="97">
        <f t="shared" si="0"/>
        <v>240087</v>
      </c>
      <c r="D8" s="1">
        <v>240138</v>
      </c>
      <c r="E8" s="59">
        <f t="shared" si="3"/>
        <v>51</v>
      </c>
      <c r="F8" s="97">
        <f t="shared" si="4"/>
        <v>38000</v>
      </c>
      <c r="G8" s="452">
        <v>38000</v>
      </c>
      <c r="H8" s="559">
        <f t="shared" si="5"/>
        <v>0</v>
      </c>
      <c r="I8" s="97">
        <f t="shared" si="6"/>
        <v>8024</v>
      </c>
      <c r="J8" s="1">
        <v>8025</v>
      </c>
      <c r="K8" s="559">
        <f>J8-J7</f>
        <v>1</v>
      </c>
      <c r="L8" s="97">
        <f t="shared" si="7"/>
        <v>12745</v>
      </c>
      <c r="M8" s="1">
        <v>12745</v>
      </c>
      <c r="N8" s="559">
        <f t="shared" si="8"/>
        <v>0</v>
      </c>
      <c r="O8" s="97">
        <f t="shared" si="9"/>
        <v>20257</v>
      </c>
      <c r="P8" s="448">
        <v>20258</v>
      </c>
      <c r="Q8" s="559">
        <f t="shared" si="1"/>
        <v>1</v>
      </c>
      <c r="R8" s="297"/>
      <c r="S8" s="292">
        <f t="shared" si="10"/>
        <v>58349</v>
      </c>
      <c r="T8" s="449">
        <v>58432</v>
      </c>
      <c r="U8" s="560">
        <f t="shared" si="11"/>
        <v>83</v>
      </c>
      <c r="V8" s="292">
        <f t="shared" si="12"/>
        <v>73030</v>
      </c>
      <c r="W8" s="449">
        <v>73030</v>
      </c>
      <c r="X8" s="560">
        <f t="shared" si="13"/>
        <v>0</v>
      </c>
      <c r="Y8" s="292">
        <f t="shared" si="14"/>
        <v>83091</v>
      </c>
      <c r="Z8" s="449">
        <v>83091</v>
      </c>
      <c r="AA8" s="560">
        <f t="shared" si="15"/>
        <v>0</v>
      </c>
      <c r="AB8" s="756">
        <f t="shared" si="21"/>
        <v>15155</v>
      </c>
      <c r="AC8" s="757">
        <v>15170</v>
      </c>
      <c r="AD8" s="759">
        <f t="shared" si="22"/>
        <v>15</v>
      </c>
      <c r="AE8" s="292">
        <f t="shared" si="16"/>
        <v>18300</v>
      </c>
      <c r="AF8" s="450">
        <v>18300</v>
      </c>
      <c r="AG8" s="560">
        <f t="shared" si="17"/>
        <v>0</v>
      </c>
      <c r="AH8" s="292">
        <f t="shared" si="18"/>
        <v>25367</v>
      </c>
      <c r="AI8" s="450">
        <v>25393</v>
      </c>
      <c r="AJ8" s="560">
        <f t="shared" si="19"/>
        <v>26</v>
      </c>
      <c r="AK8" s="371">
        <f t="shared" si="2"/>
        <v>0</v>
      </c>
      <c r="AL8" s="449"/>
      <c r="AM8" s="560">
        <f t="shared" si="20"/>
        <v>0</v>
      </c>
      <c r="AN8" s="454">
        <f t="shared" si="23"/>
        <v>124</v>
      </c>
    </row>
    <row r="9" spans="1:40" ht="23.1" customHeight="1">
      <c r="A9" s="58">
        <f>Gen!B14</f>
        <v>44078</v>
      </c>
      <c r="B9" s="4"/>
      <c r="C9" s="97">
        <f t="shared" si="0"/>
        <v>240138</v>
      </c>
      <c r="D9" s="1">
        <v>240192</v>
      </c>
      <c r="E9" s="59">
        <f t="shared" si="3"/>
        <v>54</v>
      </c>
      <c r="F9" s="97">
        <f t="shared" si="4"/>
        <v>38000</v>
      </c>
      <c r="G9" s="452">
        <v>38000</v>
      </c>
      <c r="H9" s="559">
        <f t="shared" si="5"/>
        <v>0</v>
      </c>
      <c r="I9" s="97">
        <f t="shared" si="6"/>
        <v>8025</v>
      </c>
      <c r="J9" s="1">
        <v>8026</v>
      </c>
      <c r="K9" s="559">
        <f>J9-J8</f>
        <v>1</v>
      </c>
      <c r="L9" s="97">
        <f t="shared" si="7"/>
        <v>12745</v>
      </c>
      <c r="M9" s="1">
        <v>12750</v>
      </c>
      <c r="N9" s="559">
        <f t="shared" si="8"/>
        <v>5</v>
      </c>
      <c r="O9" s="97">
        <f t="shared" si="9"/>
        <v>20258</v>
      </c>
      <c r="P9" s="448">
        <v>20259</v>
      </c>
      <c r="Q9" s="559">
        <f t="shared" si="1"/>
        <v>1</v>
      </c>
      <c r="R9" s="297"/>
      <c r="S9" s="292">
        <f t="shared" si="10"/>
        <v>58432</v>
      </c>
      <c r="T9" s="449">
        <v>58509</v>
      </c>
      <c r="U9" s="560">
        <f t="shared" si="11"/>
        <v>77</v>
      </c>
      <c r="V9" s="292">
        <f t="shared" si="12"/>
        <v>73030</v>
      </c>
      <c r="W9" s="449">
        <v>73030</v>
      </c>
      <c r="X9" s="560">
        <f t="shared" si="13"/>
        <v>0</v>
      </c>
      <c r="Y9" s="292">
        <f t="shared" si="14"/>
        <v>83091</v>
      </c>
      <c r="Z9" s="449">
        <v>83116</v>
      </c>
      <c r="AA9" s="560">
        <f t="shared" si="15"/>
        <v>25</v>
      </c>
      <c r="AB9" s="756">
        <f t="shared" si="21"/>
        <v>15170</v>
      </c>
      <c r="AC9" s="757">
        <v>15185</v>
      </c>
      <c r="AD9" s="759">
        <f t="shared" si="22"/>
        <v>15</v>
      </c>
      <c r="AE9" s="292">
        <f t="shared" si="16"/>
        <v>18300</v>
      </c>
      <c r="AF9" s="450">
        <v>18300</v>
      </c>
      <c r="AG9" s="560">
        <f t="shared" si="17"/>
        <v>0</v>
      </c>
      <c r="AH9" s="292">
        <f t="shared" ref="AH9" si="24">AI9</f>
        <v>25415</v>
      </c>
      <c r="AI9" s="450">
        <v>25415</v>
      </c>
      <c r="AJ9" s="560">
        <f t="shared" si="19"/>
        <v>22</v>
      </c>
      <c r="AK9" s="371">
        <f t="shared" si="2"/>
        <v>0</v>
      </c>
      <c r="AL9" s="449"/>
      <c r="AM9" s="560">
        <f t="shared" si="20"/>
        <v>0</v>
      </c>
      <c r="AN9" s="454">
        <f t="shared" si="23"/>
        <v>139</v>
      </c>
    </row>
    <row r="10" spans="1:40" ht="23.1" customHeight="1">
      <c r="A10" s="58">
        <f>Gen!B15</f>
        <v>44079</v>
      </c>
      <c r="B10" s="4"/>
      <c r="C10" s="97">
        <f t="shared" si="0"/>
        <v>240192</v>
      </c>
      <c r="D10" s="1">
        <v>240242</v>
      </c>
      <c r="E10" s="59">
        <f t="shared" si="3"/>
        <v>50</v>
      </c>
      <c r="F10" s="97">
        <f t="shared" si="4"/>
        <v>38000</v>
      </c>
      <c r="G10" s="452">
        <v>38000</v>
      </c>
      <c r="H10" s="559">
        <f t="shared" si="5"/>
        <v>0</v>
      </c>
      <c r="I10" s="97">
        <f t="shared" si="6"/>
        <v>8026</v>
      </c>
      <c r="J10" s="1">
        <v>8027</v>
      </c>
      <c r="K10" s="559">
        <f t="shared" ref="K10:K27" si="25">IF((J10-J9)&lt;0,"0",(J10-J9))</f>
        <v>1</v>
      </c>
      <c r="L10" s="97">
        <f t="shared" si="7"/>
        <v>12750</v>
      </c>
      <c r="M10" s="1">
        <v>12750</v>
      </c>
      <c r="N10" s="559">
        <f t="shared" si="8"/>
        <v>0</v>
      </c>
      <c r="O10" s="97">
        <f t="shared" si="9"/>
        <v>20259</v>
      </c>
      <c r="P10" s="448">
        <v>20261</v>
      </c>
      <c r="Q10" s="559">
        <f t="shared" si="1"/>
        <v>2</v>
      </c>
      <c r="R10" s="297"/>
      <c r="S10" s="292">
        <f t="shared" si="10"/>
        <v>58509</v>
      </c>
      <c r="T10" s="449">
        <v>58529</v>
      </c>
      <c r="U10" s="560">
        <f t="shared" si="11"/>
        <v>20</v>
      </c>
      <c r="V10" s="292">
        <f t="shared" si="12"/>
        <v>73030</v>
      </c>
      <c r="W10" s="449">
        <v>73030</v>
      </c>
      <c r="X10" s="560">
        <f t="shared" si="13"/>
        <v>0</v>
      </c>
      <c r="Y10" s="292">
        <f t="shared" si="14"/>
        <v>83116</v>
      </c>
      <c r="Z10" s="449">
        <v>83159</v>
      </c>
      <c r="AA10" s="560">
        <f t="shared" si="15"/>
        <v>43</v>
      </c>
      <c r="AB10" s="756">
        <f t="shared" si="21"/>
        <v>15185</v>
      </c>
      <c r="AC10" s="757">
        <v>15201</v>
      </c>
      <c r="AD10" s="759">
        <f t="shared" si="22"/>
        <v>16</v>
      </c>
      <c r="AE10" s="292">
        <f t="shared" si="16"/>
        <v>18300</v>
      </c>
      <c r="AF10" s="450">
        <v>18300</v>
      </c>
      <c r="AG10" s="560">
        <f t="shared" si="17"/>
        <v>0</v>
      </c>
      <c r="AH10" s="292">
        <f t="shared" si="18"/>
        <v>25415</v>
      </c>
      <c r="AI10" s="450">
        <v>25439</v>
      </c>
      <c r="AJ10" s="560">
        <f t="shared" si="19"/>
        <v>24</v>
      </c>
      <c r="AK10" s="371">
        <f t="shared" si="2"/>
        <v>0</v>
      </c>
      <c r="AL10" s="449"/>
      <c r="AM10" s="560">
        <f t="shared" si="20"/>
        <v>0</v>
      </c>
      <c r="AN10" s="454">
        <f t="shared" si="23"/>
        <v>103</v>
      </c>
    </row>
    <row r="11" spans="1:40" ht="23.1" customHeight="1">
      <c r="A11" s="58">
        <f>Gen!B16</f>
        <v>44080</v>
      </c>
      <c r="B11" s="4"/>
      <c r="C11" s="97">
        <f t="shared" si="0"/>
        <v>240242</v>
      </c>
      <c r="D11" s="1">
        <v>240294</v>
      </c>
      <c r="E11" s="59">
        <f t="shared" si="3"/>
        <v>52</v>
      </c>
      <c r="F11" s="97">
        <f t="shared" si="4"/>
        <v>38000</v>
      </c>
      <c r="G11" s="452">
        <v>38000</v>
      </c>
      <c r="H11" s="559">
        <f t="shared" si="5"/>
        <v>0</v>
      </c>
      <c r="I11" s="97">
        <f t="shared" si="6"/>
        <v>8027</v>
      </c>
      <c r="J11" s="1">
        <v>8028</v>
      </c>
      <c r="K11" s="559">
        <f t="shared" si="25"/>
        <v>1</v>
      </c>
      <c r="L11" s="97">
        <f t="shared" si="7"/>
        <v>12750</v>
      </c>
      <c r="M11" s="1">
        <v>12755</v>
      </c>
      <c r="N11" s="559">
        <f t="shared" si="8"/>
        <v>5</v>
      </c>
      <c r="O11" s="97">
        <f t="shared" si="9"/>
        <v>20261</v>
      </c>
      <c r="P11" s="448">
        <v>20263</v>
      </c>
      <c r="Q11" s="559">
        <f t="shared" si="1"/>
        <v>2</v>
      </c>
      <c r="R11" s="297"/>
      <c r="S11" s="292">
        <f t="shared" si="10"/>
        <v>58529</v>
      </c>
      <c r="T11" s="449">
        <v>58542</v>
      </c>
      <c r="U11" s="560">
        <f t="shared" si="11"/>
        <v>13</v>
      </c>
      <c r="V11" s="292">
        <f t="shared" si="12"/>
        <v>73030</v>
      </c>
      <c r="W11" s="449">
        <v>73030</v>
      </c>
      <c r="X11" s="560">
        <f t="shared" si="13"/>
        <v>0</v>
      </c>
      <c r="Y11" s="292">
        <f t="shared" si="14"/>
        <v>83159</v>
      </c>
      <c r="Z11" s="449">
        <v>83192</v>
      </c>
      <c r="AA11" s="560">
        <f t="shared" si="15"/>
        <v>33</v>
      </c>
      <c r="AB11" s="756">
        <f t="shared" si="21"/>
        <v>15201</v>
      </c>
      <c r="AC11" s="757">
        <v>15216</v>
      </c>
      <c r="AD11" s="759">
        <f t="shared" si="22"/>
        <v>15</v>
      </c>
      <c r="AE11" s="292">
        <f>AF11</f>
        <v>18300</v>
      </c>
      <c r="AF11" s="450">
        <v>18300</v>
      </c>
      <c r="AG11" s="560">
        <f t="shared" si="17"/>
        <v>0</v>
      </c>
      <c r="AH11" s="292">
        <f t="shared" si="18"/>
        <v>25439</v>
      </c>
      <c r="AI11" s="450">
        <v>25461</v>
      </c>
      <c r="AJ11" s="560">
        <f t="shared" si="19"/>
        <v>22</v>
      </c>
      <c r="AK11" s="371">
        <f t="shared" si="2"/>
        <v>0</v>
      </c>
      <c r="AL11" s="449"/>
      <c r="AM11" s="560">
        <f t="shared" si="20"/>
        <v>0</v>
      </c>
      <c r="AN11" s="454">
        <f t="shared" si="23"/>
        <v>83</v>
      </c>
    </row>
    <row r="12" spans="1:40" ht="23.1" customHeight="1">
      <c r="A12" s="58">
        <f>Gen!B17</f>
        <v>44081</v>
      </c>
      <c r="B12" s="4"/>
      <c r="C12" s="97">
        <f t="shared" si="0"/>
        <v>240294</v>
      </c>
      <c r="D12" s="1">
        <v>240352</v>
      </c>
      <c r="E12" s="59">
        <f t="shared" si="3"/>
        <v>58</v>
      </c>
      <c r="F12" s="97">
        <f t="shared" si="4"/>
        <v>38000</v>
      </c>
      <c r="G12" s="452">
        <v>38000</v>
      </c>
      <c r="H12" s="559">
        <f t="shared" si="5"/>
        <v>0</v>
      </c>
      <c r="I12" s="97">
        <f t="shared" si="6"/>
        <v>8028</v>
      </c>
      <c r="J12" s="1">
        <v>8029</v>
      </c>
      <c r="K12" s="559">
        <f t="shared" si="25"/>
        <v>1</v>
      </c>
      <c r="L12" s="97">
        <f t="shared" si="7"/>
        <v>12755</v>
      </c>
      <c r="M12" s="1">
        <v>12755</v>
      </c>
      <c r="N12" s="559">
        <f t="shared" si="8"/>
        <v>0</v>
      </c>
      <c r="O12" s="97">
        <f t="shared" si="9"/>
        <v>20263</v>
      </c>
      <c r="P12" s="448">
        <v>20264</v>
      </c>
      <c r="Q12" s="559">
        <f t="shared" si="1"/>
        <v>1</v>
      </c>
      <c r="R12" s="297"/>
      <c r="S12" s="292">
        <f t="shared" si="10"/>
        <v>58542</v>
      </c>
      <c r="T12" s="449">
        <v>58563</v>
      </c>
      <c r="U12" s="560">
        <f t="shared" si="11"/>
        <v>21</v>
      </c>
      <c r="V12" s="292">
        <f t="shared" si="12"/>
        <v>73030</v>
      </c>
      <c r="W12" s="449">
        <v>73030</v>
      </c>
      <c r="X12" s="560">
        <f t="shared" si="13"/>
        <v>0</v>
      </c>
      <c r="Y12" s="292">
        <f t="shared" si="14"/>
        <v>83192</v>
      </c>
      <c r="Z12" s="449">
        <v>83235</v>
      </c>
      <c r="AA12" s="560">
        <f t="shared" si="15"/>
        <v>43</v>
      </c>
      <c r="AB12" s="756">
        <f t="shared" si="21"/>
        <v>15216</v>
      </c>
      <c r="AC12" s="757">
        <v>15233</v>
      </c>
      <c r="AD12" s="759">
        <f t="shared" si="22"/>
        <v>17</v>
      </c>
      <c r="AE12" s="292">
        <f t="shared" ref="AE12:AE20" si="26">AF12</f>
        <v>18300</v>
      </c>
      <c r="AF12" s="450">
        <v>18300</v>
      </c>
      <c r="AG12" s="560">
        <f t="shared" si="17"/>
        <v>0</v>
      </c>
      <c r="AH12" s="292">
        <f t="shared" si="18"/>
        <v>25461</v>
      </c>
      <c r="AI12" s="450">
        <v>25486</v>
      </c>
      <c r="AJ12" s="560">
        <f t="shared" si="19"/>
        <v>25</v>
      </c>
      <c r="AK12" s="371">
        <f t="shared" si="2"/>
        <v>0</v>
      </c>
      <c r="AL12" s="449"/>
      <c r="AM12" s="560">
        <f t="shared" si="20"/>
        <v>0</v>
      </c>
      <c r="AN12" s="454">
        <f t="shared" si="23"/>
        <v>106</v>
      </c>
    </row>
    <row r="13" spans="1:40" ht="23.1" customHeight="1">
      <c r="A13" s="58">
        <f>Gen!B18</f>
        <v>44082</v>
      </c>
      <c r="B13" s="4"/>
      <c r="C13" s="97">
        <f t="shared" si="0"/>
        <v>240352</v>
      </c>
      <c r="D13" s="1">
        <v>240398</v>
      </c>
      <c r="E13" s="59">
        <f t="shared" si="3"/>
        <v>46</v>
      </c>
      <c r="F13" s="97">
        <f t="shared" si="4"/>
        <v>38000</v>
      </c>
      <c r="G13" s="452">
        <v>38000</v>
      </c>
      <c r="H13" s="559">
        <f t="shared" si="5"/>
        <v>0</v>
      </c>
      <c r="I13" s="97">
        <f t="shared" si="6"/>
        <v>8029</v>
      </c>
      <c r="J13" s="1">
        <v>8030</v>
      </c>
      <c r="K13" s="559">
        <f t="shared" si="25"/>
        <v>1</v>
      </c>
      <c r="L13" s="97">
        <f t="shared" si="7"/>
        <v>12755</v>
      </c>
      <c r="M13" s="1">
        <v>12755</v>
      </c>
      <c r="N13" s="559">
        <f t="shared" si="8"/>
        <v>0</v>
      </c>
      <c r="O13" s="97">
        <f t="shared" si="9"/>
        <v>20264</v>
      </c>
      <c r="P13" s="448">
        <v>20268</v>
      </c>
      <c r="Q13" s="559">
        <f t="shared" si="1"/>
        <v>4</v>
      </c>
      <c r="R13" s="297"/>
      <c r="S13" s="292">
        <f t="shared" si="10"/>
        <v>58563</v>
      </c>
      <c r="T13" s="449">
        <v>58625</v>
      </c>
      <c r="U13" s="560">
        <f t="shared" si="11"/>
        <v>62</v>
      </c>
      <c r="V13" s="292">
        <f t="shared" si="12"/>
        <v>73030</v>
      </c>
      <c r="W13" s="449">
        <v>73030</v>
      </c>
      <c r="X13" s="560">
        <f t="shared" si="13"/>
        <v>0</v>
      </c>
      <c r="Y13" s="292">
        <f t="shared" si="14"/>
        <v>83235</v>
      </c>
      <c r="Z13" s="449">
        <v>83273</v>
      </c>
      <c r="AA13" s="560">
        <f t="shared" si="15"/>
        <v>38</v>
      </c>
      <c r="AB13" s="756">
        <f t="shared" si="21"/>
        <v>15233</v>
      </c>
      <c r="AC13" s="757">
        <v>15248</v>
      </c>
      <c r="AD13" s="759">
        <f t="shared" si="22"/>
        <v>15</v>
      </c>
      <c r="AE13" s="292">
        <f t="shared" si="26"/>
        <v>18300</v>
      </c>
      <c r="AF13" s="450">
        <v>18300</v>
      </c>
      <c r="AG13" s="560">
        <f t="shared" si="17"/>
        <v>0</v>
      </c>
      <c r="AH13" s="292">
        <f t="shared" si="18"/>
        <v>25486</v>
      </c>
      <c r="AI13" s="450">
        <v>25509</v>
      </c>
      <c r="AJ13" s="560">
        <f t="shared" si="19"/>
        <v>23</v>
      </c>
      <c r="AK13" s="371">
        <f t="shared" si="2"/>
        <v>0</v>
      </c>
      <c r="AL13" s="449"/>
      <c r="AM13" s="560">
        <f t="shared" si="20"/>
        <v>0</v>
      </c>
      <c r="AN13" s="454">
        <f t="shared" si="23"/>
        <v>138</v>
      </c>
    </row>
    <row r="14" spans="1:40" ht="23.1" customHeight="1">
      <c r="A14" s="58">
        <f>Gen!B19</f>
        <v>44083</v>
      </c>
      <c r="B14" s="4"/>
      <c r="C14" s="97">
        <f t="shared" si="0"/>
        <v>240398</v>
      </c>
      <c r="D14" s="1">
        <v>240450</v>
      </c>
      <c r="E14" s="59">
        <f t="shared" si="3"/>
        <v>52</v>
      </c>
      <c r="F14" s="97">
        <f t="shared" si="4"/>
        <v>38000</v>
      </c>
      <c r="G14" s="452">
        <v>38000</v>
      </c>
      <c r="H14" s="559">
        <f t="shared" si="5"/>
        <v>0</v>
      </c>
      <c r="I14" s="97">
        <f t="shared" si="6"/>
        <v>8030</v>
      </c>
      <c r="J14" s="1">
        <v>8032</v>
      </c>
      <c r="K14" s="559">
        <f t="shared" si="25"/>
        <v>2</v>
      </c>
      <c r="L14" s="97">
        <f t="shared" si="7"/>
        <v>12755</v>
      </c>
      <c r="M14" s="1">
        <v>12755</v>
      </c>
      <c r="N14" s="559">
        <f t="shared" si="8"/>
        <v>0</v>
      </c>
      <c r="O14" s="97">
        <f t="shared" si="9"/>
        <v>20268</v>
      </c>
      <c r="P14" s="448">
        <v>20269</v>
      </c>
      <c r="Q14" s="559">
        <f t="shared" si="1"/>
        <v>1</v>
      </c>
      <c r="R14" s="297"/>
      <c r="S14" s="292">
        <f t="shared" si="10"/>
        <v>58625</v>
      </c>
      <c r="T14" s="449">
        <v>58642</v>
      </c>
      <c r="U14" s="560">
        <f t="shared" si="11"/>
        <v>17</v>
      </c>
      <c r="V14" s="292">
        <f t="shared" si="12"/>
        <v>73030</v>
      </c>
      <c r="W14" s="449">
        <v>73030</v>
      </c>
      <c r="X14" s="560">
        <f t="shared" si="13"/>
        <v>0</v>
      </c>
      <c r="Y14" s="292">
        <f t="shared" si="14"/>
        <v>83273</v>
      </c>
      <c r="Z14" s="449">
        <v>83310</v>
      </c>
      <c r="AA14" s="560">
        <f t="shared" si="15"/>
        <v>37</v>
      </c>
      <c r="AB14" s="756">
        <f t="shared" si="21"/>
        <v>15248</v>
      </c>
      <c r="AC14" s="760">
        <v>15265</v>
      </c>
      <c r="AD14" s="759">
        <f t="shared" si="22"/>
        <v>17</v>
      </c>
      <c r="AE14" s="292">
        <f t="shared" si="26"/>
        <v>18300</v>
      </c>
      <c r="AF14" s="450">
        <v>18300</v>
      </c>
      <c r="AG14" s="560">
        <f t="shared" si="17"/>
        <v>0</v>
      </c>
      <c r="AH14" s="292">
        <f t="shared" si="18"/>
        <v>25509</v>
      </c>
      <c r="AI14" s="450">
        <v>25530</v>
      </c>
      <c r="AJ14" s="560">
        <f t="shared" si="19"/>
        <v>21</v>
      </c>
      <c r="AK14" s="371">
        <f t="shared" si="2"/>
        <v>0</v>
      </c>
      <c r="AL14" s="449"/>
      <c r="AM14" s="560">
        <f t="shared" si="20"/>
        <v>0</v>
      </c>
      <c r="AN14" s="454">
        <f t="shared" si="23"/>
        <v>92</v>
      </c>
    </row>
    <row r="15" spans="1:40" ht="23.1" customHeight="1">
      <c r="A15" s="58">
        <f>Gen!B20</f>
        <v>44084</v>
      </c>
      <c r="B15" s="4"/>
      <c r="C15" s="97">
        <f t="shared" si="0"/>
        <v>240450</v>
      </c>
      <c r="D15" s="1">
        <v>240505</v>
      </c>
      <c r="E15" s="59">
        <f t="shared" si="3"/>
        <v>55</v>
      </c>
      <c r="F15" s="97">
        <f t="shared" si="4"/>
        <v>38000</v>
      </c>
      <c r="G15" s="452">
        <v>38000</v>
      </c>
      <c r="H15" s="559">
        <f t="shared" si="5"/>
        <v>0</v>
      </c>
      <c r="I15" s="97">
        <f t="shared" si="6"/>
        <v>8032</v>
      </c>
      <c r="J15" s="1">
        <v>8033</v>
      </c>
      <c r="K15" s="559">
        <f t="shared" si="25"/>
        <v>1</v>
      </c>
      <c r="L15" s="97">
        <f t="shared" si="7"/>
        <v>12755</v>
      </c>
      <c r="M15" s="1">
        <v>12755</v>
      </c>
      <c r="N15" s="559">
        <f t="shared" si="8"/>
        <v>0</v>
      </c>
      <c r="O15" s="97">
        <f t="shared" si="9"/>
        <v>20269</v>
      </c>
      <c r="P15" s="448">
        <v>20270</v>
      </c>
      <c r="Q15" s="559">
        <f t="shared" si="1"/>
        <v>1</v>
      </c>
      <c r="R15" s="297"/>
      <c r="S15" s="292">
        <f t="shared" si="10"/>
        <v>58642</v>
      </c>
      <c r="T15" s="449">
        <v>58662</v>
      </c>
      <c r="U15" s="560">
        <f t="shared" si="11"/>
        <v>20</v>
      </c>
      <c r="V15" s="292">
        <f t="shared" si="12"/>
        <v>73030</v>
      </c>
      <c r="W15" s="449">
        <v>73030</v>
      </c>
      <c r="X15" s="560">
        <f t="shared" si="13"/>
        <v>0</v>
      </c>
      <c r="Y15" s="292">
        <f t="shared" si="14"/>
        <v>83310</v>
      </c>
      <c r="Z15" s="449">
        <v>83348</v>
      </c>
      <c r="AA15" s="560">
        <f>IF((Z15-Z14)&lt;0,"0",(Z15-Z14))</f>
        <v>38</v>
      </c>
      <c r="AB15" s="756">
        <f t="shared" si="21"/>
        <v>15265</v>
      </c>
      <c r="AC15" s="760">
        <v>15285</v>
      </c>
      <c r="AD15" s="759">
        <f t="shared" si="22"/>
        <v>20</v>
      </c>
      <c r="AE15" s="292">
        <f t="shared" si="26"/>
        <v>18300</v>
      </c>
      <c r="AF15" s="450">
        <v>18300</v>
      </c>
      <c r="AG15" s="560">
        <f t="shared" si="17"/>
        <v>0</v>
      </c>
      <c r="AH15" s="292">
        <f t="shared" si="18"/>
        <v>25530</v>
      </c>
      <c r="AI15" s="450">
        <v>25553</v>
      </c>
      <c r="AJ15" s="560">
        <f t="shared" si="19"/>
        <v>23</v>
      </c>
      <c r="AK15" s="371">
        <f t="shared" si="2"/>
        <v>0</v>
      </c>
      <c r="AL15" s="449"/>
      <c r="AM15" s="560">
        <f t="shared" si="20"/>
        <v>0</v>
      </c>
      <c r="AN15" s="454">
        <f t="shared" si="23"/>
        <v>101</v>
      </c>
    </row>
    <row r="16" spans="1:40" ht="23.1" customHeight="1">
      <c r="A16" s="58">
        <f>Gen!B21</f>
        <v>44085</v>
      </c>
      <c r="B16" s="4"/>
      <c r="C16" s="97">
        <f t="shared" si="0"/>
        <v>240505</v>
      </c>
      <c r="D16" s="1">
        <v>240599</v>
      </c>
      <c r="E16" s="59">
        <f>IF((D16-D15)&lt;0,"0",(D16-D15))</f>
        <v>94</v>
      </c>
      <c r="F16" s="97">
        <f t="shared" si="4"/>
        <v>38000</v>
      </c>
      <c r="G16" s="452">
        <v>38000</v>
      </c>
      <c r="H16" s="559">
        <f t="shared" si="5"/>
        <v>0</v>
      </c>
      <c r="I16" s="97">
        <f t="shared" si="6"/>
        <v>8033</v>
      </c>
      <c r="J16" s="1">
        <v>8034</v>
      </c>
      <c r="K16" s="559">
        <f t="shared" si="25"/>
        <v>1</v>
      </c>
      <c r="L16" s="97">
        <f t="shared" si="7"/>
        <v>12755</v>
      </c>
      <c r="M16" s="1">
        <v>12755</v>
      </c>
      <c r="N16" s="559">
        <f t="shared" si="8"/>
        <v>0</v>
      </c>
      <c r="O16" s="97">
        <f t="shared" si="9"/>
        <v>20270</v>
      </c>
      <c r="P16" s="448">
        <v>20271</v>
      </c>
      <c r="Q16" s="559">
        <f t="shared" si="1"/>
        <v>1</v>
      </c>
      <c r="R16" s="297"/>
      <c r="S16" s="292">
        <f t="shared" si="10"/>
        <v>58662</v>
      </c>
      <c r="T16" s="449">
        <v>58683</v>
      </c>
      <c r="U16" s="560">
        <f t="shared" si="11"/>
        <v>21</v>
      </c>
      <c r="V16" s="292">
        <f t="shared" si="12"/>
        <v>73030</v>
      </c>
      <c r="W16" s="449">
        <v>73030</v>
      </c>
      <c r="X16" s="560">
        <f t="shared" si="13"/>
        <v>0</v>
      </c>
      <c r="Y16" s="292">
        <f>Z15</f>
        <v>83348</v>
      </c>
      <c r="Z16" s="449">
        <v>83385</v>
      </c>
      <c r="AA16" s="560">
        <f>IF((Z16-Z15)&lt;0,"0",(Z16-Z15))</f>
        <v>37</v>
      </c>
      <c r="AB16" s="756">
        <f t="shared" si="21"/>
        <v>15285</v>
      </c>
      <c r="AC16" s="760">
        <v>15305</v>
      </c>
      <c r="AD16" s="759">
        <f t="shared" si="22"/>
        <v>20</v>
      </c>
      <c r="AE16" s="292">
        <f t="shared" si="26"/>
        <v>18300</v>
      </c>
      <c r="AF16" s="450">
        <v>18300</v>
      </c>
      <c r="AG16" s="560">
        <f t="shared" si="17"/>
        <v>0</v>
      </c>
      <c r="AH16" s="292">
        <f t="shared" si="18"/>
        <v>25553</v>
      </c>
      <c r="AI16" s="450">
        <v>25576</v>
      </c>
      <c r="AJ16" s="560">
        <f t="shared" si="19"/>
        <v>23</v>
      </c>
      <c r="AK16" s="371">
        <f t="shared" si="2"/>
        <v>0</v>
      </c>
      <c r="AL16" s="449"/>
      <c r="AM16" s="560">
        <f t="shared" si="20"/>
        <v>0</v>
      </c>
      <c r="AN16" s="454">
        <f t="shared" si="23"/>
        <v>101</v>
      </c>
    </row>
    <row r="17" spans="1:40" ht="23.1" customHeight="1">
      <c r="A17" s="58">
        <f>Gen!B22</f>
        <v>44086</v>
      </c>
      <c r="B17" s="4"/>
      <c r="C17" s="97">
        <f t="shared" si="0"/>
        <v>240599</v>
      </c>
      <c r="D17" s="1">
        <v>240658</v>
      </c>
      <c r="E17" s="559">
        <f>IF((D17-D16)&lt;0,"0",(D17-D16))</f>
        <v>59</v>
      </c>
      <c r="F17" s="97">
        <f t="shared" si="4"/>
        <v>38000</v>
      </c>
      <c r="G17" s="452">
        <v>38000</v>
      </c>
      <c r="H17" s="559">
        <f t="shared" si="5"/>
        <v>0</v>
      </c>
      <c r="I17" s="97">
        <f t="shared" si="6"/>
        <v>8034</v>
      </c>
      <c r="J17" s="1">
        <v>8035</v>
      </c>
      <c r="K17" s="559">
        <f t="shared" si="25"/>
        <v>1</v>
      </c>
      <c r="L17" s="97">
        <f t="shared" si="7"/>
        <v>12755</v>
      </c>
      <c r="M17" s="1">
        <v>12755</v>
      </c>
      <c r="N17" s="559">
        <f t="shared" si="8"/>
        <v>0</v>
      </c>
      <c r="O17" s="97">
        <f t="shared" si="9"/>
        <v>20271</v>
      </c>
      <c r="P17" s="448">
        <v>20272</v>
      </c>
      <c r="Q17" s="559">
        <f t="shared" si="1"/>
        <v>1</v>
      </c>
      <c r="R17" s="297"/>
      <c r="S17" s="292">
        <f t="shared" si="10"/>
        <v>58683</v>
      </c>
      <c r="T17" s="449">
        <v>58692</v>
      </c>
      <c r="U17" s="560">
        <f t="shared" si="11"/>
        <v>9</v>
      </c>
      <c r="V17" s="292">
        <f t="shared" si="12"/>
        <v>73030</v>
      </c>
      <c r="W17" s="449">
        <v>73030</v>
      </c>
      <c r="X17" s="560">
        <f>IF((W17-W16)&lt;0,"0",(W17-W16))</f>
        <v>0</v>
      </c>
      <c r="Y17" s="292">
        <f>Z16</f>
        <v>83385</v>
      </c>
      <c r="Z17" s="449">
        <v>83421</v>
      </c>
      <c r="AA17" s="560">
        <f>IF((Z17-Z16)&lt;0,"0",(Z17-Z16))</f>
        <v>36</v>
      </c>
      <c r="AB17" s="756">
        <f t="shared" si="21"/>
        <v>15305</v>
      </c>
      <c r="AC17" s="760">
        <v>15324</v>
      </c>
      <c r="AD17" s="759">
        <f t="shared" si="22"/>
        <v>19</v>
      </c>
      <c r="AE17" s="292">
        <f t="shared" si="26"/>
        <v>18300</v>
      </c>
      <c r="AF17" s="450">
        <v>18300</v>
      </c>
      <c r="AG17" s="560">
        <f t="shared" si="17"/>
        <v>0</v>
      </c>
      <c r="AH17" s="292">
        <f t="shared" si="18"/>
        <v>25576</v>
      </c>
      <c r="AI17" s="450">
        <v>25598</v>
      </c>
      <c r="AJ17" s="560">
        <f t="shared" si="19"/>
        <v>22</v>
      </c>
      <c r="AK17" s="371">
        <f t="shared" si="2"/>
        <v>0</v>
      </c>
      <c r="AL17" s="449"/>
      <c r="AM17" s="560">
        <f>IF((AL17-AL16)&lt;0,"0",(AL17-AL16))</f>
        <v>0</v>
      </c>
      <c r="AN17" s="454">
        <f t="shared" si="23"/>
        <v>86</v>
      </c>
    </row>
    <row r="18" spans="1:40" ht="23.1" customHeight="1">
      <c r="A18" s="58">
        <f>Gen!B23</f>
        <v>44087</v>
      </c>
      <c r="B18" s="4"/>
      <c r="C18" s="97">
        <f t="shared" si="0"/>
        <v>240658</v>
      </c>
      <c r="D18" s="1">
        <v>240694</v>
      </c>
      <c r="E18" s="559">
        <f t="shared" ref="E18:E37" si="27">IF((D18-D17)&lt;0,"0",(D18-D17))</f>
        <v>36</v>
      </c>
      <c r="F18" s="97">
        <f t="shared" si="4"/>
        <v>38000</v>
      </c>
      <c r="G18" s="452">
        <v>38000</v>
      </c>
      <c r="H18" s="559">
        <f t="shared" si="5"/>
        <v>0</v>
      </c>
      <c r="I18" s="97">
        <f t="shared" si="6"/>
        <v>8035</v>
      </c>
      <c r="J18" s="1">
        <v>8036</v>
      </c>
      <c r="K18" s="559">
        <f t="shared" si="25"/>
        <v>1</v>
      </c>
      <c r="L18" s="97">
        <f t="shared" si="7"/>
        <v>12755</v>
      </c>
      <c r="M18" s="1">
        <v>12755</v>
      </c>
      <c r="N18" s="559">
        <f t="shared" si="8"/>
        <v>0</v>
      </c>
      <c r="O18" s="97">
        <f t="shared" si="9"/>
        <v>20272</v>
      </c>
      <c r="P18" s="448">
        <v>20273</v>
      </c>
      <c r="Q18" s="559">
        <f t="shared" si="1"/>
        <v>1</v>
      </c>
      <c r="R18" s="297"/>
      <c r="S18" s="292">
        <f t="shared" si="10"/>
        <v>58692</v>
      </c>
      <c r="T18" s="449">
        <v>58774</v>
      </c>
      <c r="U18" s="560">
        <f t="shared" si="11"/>
        <v>82</v>
      </c>
      <c r="V18" s="292">
        <f t="shared" si="12"/>
        <v>73030</v>
      </c>
      <c r="W18" s="449">
        <v>73030</v>
      </c>
      <c r="X18" s="560">
        <f t="shared" si="13"/>
        <v>0</v>
      </c>
      <c r="Y18" s="292">
        <f t="shared" si="14"/>
        <v>83421</v>
      </c>
      <c r="Z18" s="449">
        <v>83457</v>
      </c>
      <c r="AA18" s="560">
        <f t="shared" si="15"/>
        <v>36</v>
      </c>
      <c r="AB18" s="756">
        <f t="shared" si="21"/>
        <v>15324</v>
      </c>
      <c r="AC18" s="760">
        <v>15344</v>
      </c>
      <c r="AD18" s="759">
        <f t="shared" si="22"/>
        <v>20</v>
      </c>
      <c r="AE18" s="292">
        <f t="shared" si="26"/>
        <v>18300</v>
      </c>
      <c r="AF18" s="450">
        <v>18300</v>
      </c>
      <c r="AG18" s="560">
        <f t="shared" si="17"/>
        <v>0</v>
      </c>
      <c r="AH18" s="292">
        <f>AI17</f>
        <v>25598</v>
      </c>
      <c r="AI18" s="450">
        <v>25621</v>
      </c>
      <c r="AJ18" s="560">
        <f t="shared" si="19"/>
        <v>23</v>
      </c>
      <c r="AK18" s="371">
        <f t="shared" si="2"/>
        <v>0</v>
      </c>
      <c r="AL18" s="449"/>
      <c r="AM18" s="560">
        <f t="shared" ref="AM18:AM26" si="28">IF((AL18-AL17)&lt;0,"0",(AL18-AL17))</f>
        <v>0</v>
      </c>
      <c r="AN18" s="454">
        <f t="shared" si="23"/>
        <v>161</v>
      </c>
    </row>
    <row r="19" spans="1:40" ht="23.1" customHeight="1">
      <c r="A19" s="58">
        <f>Gen!B24</f>
        <v>44088</v>
      </c>
      <c r="B19" s="4"/>
      <c r="C19" s="97">
        <f t="shared" si="0"/>
        <v>240694</v>
      </c>
      <c r="D19" s="1">
        <v>240747</v>
      </c>
      <c r="E19" s="559">
        <f t="shared" si="27"/>
        <v>53</v>
      </c>
      <c r="F19" s="97">
        <f t="shared" si="4"/>
        <v>38000</v>
      </c>
      <c r="G19" s="452">
        <v>38000</v>
      </c>
      <c r="H19" s="559">
        <f t="shared" si="5"/>
        <v>0</v>
      </c>
      <c r="I19" s="97">
        <f t="shared" si="6"/>
        <v>8036</v>
      </c>
      <c r="J19" s="1">
        <v>8036</v>
      </c>
      <c r="K19" s="559">
        <f t="shared" si="25"/>
        <v>0</v>
      </c>
      <c r="L19" s="97">
        <f t="shared" si="7"/>
        <v>12755</v>
      </c>
      <c r="M19" s="1">
        <v>12755</v>
      </c>
      <c r="N19" s="559">
        <f t="shared" si="8"/>
        <v>0</v>
      </c>
      <c r="O19" s="97">
        <f t="shared" si="9"/>
        <v>20273</v>
      </c>
      <c r="P19" s="448">
        <v>20276</v>
      </c>
      <c r="Q19" s="559">
        <f t="shared" si="1"/>
        <v>3</v>
      </c>
      <c r="R19" s="297"/>
      <c r="S19" s="292">
        <f t="shared" si="10"/>
        <v>58774</v>
      </c>
      <c r="T19" s="449">
        <v>58795</v>
      </c>
      <c r="U19" s="560">
        <f t="shared" si="11"/>
        <v>21</v>
      </c>
      <c r="V19" s="292">
        <f t="shared" si="12"/>
        <v>73030</v>
      </c>
      <c r="W19" s="449">
        <v>73030</v>
      </c>
      <c r="X19" s="560">
        <f t="shared" si="13"/>
        <v>0</v>
      </c>
      <c r="Y19" s="292">
        <f t="shared" si="14"/>
        <v>83457</v>
      </c>
      <c r="Z19" s="449">
        <v>83494</v>
      </c>
      <c r="AA19" s="560">
        <f t="shared" si="15"/>
        <v>37</v>
      </c>
      <c r="AB19" s="756">
        <f t="shared" si="21"/>
        <v>15344</v>
      </c>
      <c r="AC19" s="760">
        <v>15364</v>
      </c>
      <c r="AD19" s="759">
        <f t="shared" si="22"/>
        <v>20</v>
      </c>
      <c r="AE19" s="292">
        <f t="shared" si="26"/>
        <v>18300</v>
      </c>
      <c r="AF19" s="450">
        <v>18300</v>
      </c>
      <c r="AG19" s="560">
        <f t="shared" si="17"/>
        <v>0</v>
      </c>
      <c r="AH19" s="292">
        <f>AI18</f>
        <v>25621</v>
      </c>
      <c r="AI19" s="450">
        <v>25643</v>
      </c>
      <c r="AJ19" s="560">
        <f t="shared" si="19"/>
        <v>22</v>
      </c>
      <c r="AK19" s="371">
        <f t="shared" si="2"/>
        <v>0</v>
      </c>
      <c r="AL19" s="449"/>
      <c r="AM19" s="560">
        <f t="shared" si="28"/>
        <v>0</v>
      </c>
      <c r="AN19" s="454">
        <f t="shared" si="23"/>
        <v>100</v>
      </c>
    </row>
    <row r="20" spans="1:40" ht="23.1" customHeight="1">
      <c r="A20" s="58">
        <f>Gen!B25</f>
        <v>44089</v>
      </c>
      <c r="B20" s="4"/>
      <c r="C20" s="97">
        <f t="shared" si="0"/>
        <v>240747</v>
      </c>
      <c r="D20" s="1">
        <v>240787</v>
      </c>
      <c r="E20" s="559">
        <f t="shared" si="27"/>
        <v>40</v>
      </c>
      <c r="F20" s="97">
        <f t="shared" si="4"/>
        <v>38000</v>
      </c>
      <c r="G20" s="452">
        <v>38000</v>
      </c>
      <c r="H20" s="559">
        <f t="shared" si="5"/>
        <v>0</v>
      </c>
      <c r="I20" s="97">
        <f t="shared" si="6"/>
        <v>8036</v>
      </c>
      <c r="J20" s="1">
        <v>8037</v>
      </c>
      <c r="K20" s="559">
        <f t="shared" si="25"/>
        <v>1</v>
      </c>
      <c r="L20" s="97">
        <f t="shared" si="7"/>
        <v>12755</v>
      </c>
      <c r="M20" s="1">
        <v>12755</v>
      </c>
      <c r="N20" s="559">
        <f t="shared" si="8"/>
        <v>0</v>
      </c>
      <c r="O20" s="97">
        <f t="shared" si="9"/>
        <v>20276</v>
      </c>
      <c r="P20" s="448">
        <v>20278</v>
      </c>
      <c r="Q20" s="559">
        <f t="shared" si="1"/>
        <v>2</v>
      </c>
      <c r="R20" s="297"/>
      <c r="S20" s="292">
        <f t="shared" si="10"/>
        <v>58795</v>
      </c>
      <c r="T20" s="449">
        <v>58795</v>
      </c>
      <c r="U20" s="560">
        <f t="shared" si="11"/>
        <v>0</v>
      </c>
      <c r="V20" s="292">
        <f t="shared" si="12"/>
        <v>73030</v>
      </c>
      <c r="W20" s="449">
        <v>73030</v>
      </c>
      <c r="X20" s="560">
        <f t="shared" si="13"/>
        <v>0</v>
      </c>
      <c r="Y20" s="292">
        <f t="shared" si="14"/>
        <v>83494</v>
      </c>
      <c r="Z20" s="449">
        <v>83530</v>
      </c>
      <c r="AA20" s="560">
        <f t="shared" si="15"/>
        <v>36</v>
      </c>
      <c r="AB20" s="756">
        <f t="shared" si="21"/>
        <v>15364</v>
      </c>
      <c r="AC20" s="760">
        <v>15383</v>
      </c>
      <c r="AD20" s="759">
        <f t="shared" si="22"/>
        <v>19</v>
      </c>
      <c r="AE20" s="292">
        <f t="shared" si="26"/>
        <v>18300</v>
      </c>
      <c r="AF20" s="450">
        <v>18300</v>
      </c>
      <c r="AG20" s="560">
        <f t="shared" si="17"/>
        <v>0</v>
      </c>
      <c r="AH20" s="292">
        <f t="shared" si="18"/>
        <v>25643</v>
      </c>
      <c r="AI20" s="450">
        <v>25665</v>
      </c>
      <c r="AJ20" s="560">
        <f t="shared" si="19"/>
        <v>22</v>
      </c>
      <c r="AK20" s="371">
        <f t="shared" si="2"/>
        <v>0</v>
      </c>
      <c r="AL20" s="449"/>
      <c r="AM20" s="560">
        <f t="shared" si="28"/>
        <v>0</v>
      </c>
      <c r="AN20" s="454">
        <f t="shared" si="23"/>
        <v>77</v>
      </c>
    </row>
    <row r="21" spans="1:40" ht="23.1" customHeight="1">
      <c r="A21" s="58">
        <f>Gen!B26</f>
        <v>44090</v>
      </c>
      <c r="B21" s="4"/>
      <c r="C21" s="97">
        <f t="shared" si="0"/>
        <v>240787</v>
      </c>
      <c r="D21" s="1">
        <v>240817</v>
      </c>
      <c r="E21" s="559">
        <f t="shared" si="27"/>
        <v>30</v>
      </c>
      <c r="F21" s="97">
        <f t="shared" si="4"/>
        <v>38000</v>
      </c>
      <c r="G21" s="452">
        <v>38000</v>
      </c>
      <c r="H21" s="559">
        <f t="shared" si="5"/>
        <v>0</v>
      </c>
      <c r="I21" s="97">
        <f t="shared" si="6"/>
        <v>8037</v>
      </c>
      <c r="J21" s="1">
        <v>8038</v>
      </c>
      <c r="K21" s="559">
        <f t="shared" si="25"/>
        <v>1</v>
      </c>
      <c r="L21" s="97">
        <f t="shared" si="7"/>
        <v>12755</v>
      </c>
      <c r="M21" s="1">
        <v>12755</v>
      </c>
      <c r="N21" s="559">
        <f t="shared" si="8"/>
        <v>0</v>
      </c>
      <c r="O21" s="97">
        <f t="shared" si="9"/>
        <v>20278</v>
      </c>
      <c r="P21" s="448">
        <v>20280</v>
      </c>
      <c r="Q21" s="559">
        <f t="shared" si="1"/>
        <v>2</v>
      </c>
      <c r="R21" s="297"/>
      <c r="S21" s="292">
        <f t="shared" si="10"/>
        <v>58795</v>
      </c>
      <c r="T21" s="449">
        <v>58865</v>
      </c>
      <c r="U21" s="560">
        <f t="shared" si="11"/>
        <v>70</v>
      </c>
      <c r="V21" s="292">
        <f t="shared" ref="V21:V37" si="29">W20</f>
        <v>73030</v>
      </c>
      <c r="W21" s="449">
        <v>73030</v>
      </c>
      <c r="X21" s="560">
        <f t="shared" si="13"/>
        <v>0</v>
      </c>
      <c r="Y21" s="292">
        <f t="shared" si="14"/>
        <v>83530</v>
      </c>
      <c r="Z21" s="449">
        <v>83567</v>
      </c>
      <c r="AA21" s="560">
        <f t="shared" si="15"/>
        <v>37</v>
      </c>
      <c r="AB21" s="756">
        <f t="shared" si="21"/>
        <v>15383</v>
      </c>
      <c r="AC21" s="760">
        <v>15403</v>
      </c>
      <c r="AD21" s="759">
        <f t="shared" si="22"/>
        <v>20</v>
      </c>
      <c r="AE21" s="292">
        <f t="shared" si="16"/>
        <v>18300</v>
      </c>
      <c r="AF21" s="450">
        <v>18300</v>
      </c>
      <c r="AG21" s="560">
        <f t="shared" si="17"/>
        <v>0</v>
      </c>
      <c r="AH21" s="292">
        <f t="shared" si="18"/>
        <v>25665</v>
      </c>
      <c r="AI21" s="450">
        <v>25687</v>
      </c>
      <c r="AJ21" s="560">
        <f t="shared" si="19"/>
        <v>22</v>
      </c>
      <c r="AK21" s="371">
        <f t="shared" si="2"/>
        <v>0</v>
      </c>
      <c r="AL21" s="449"/>
      <c r="AM21" s="560">
        <f t="shared" si="28"/>
        <v>0</v>
      </c>
      <c r="AN21" s="454">
        <f t="shared" si="23"/>
        <v>149</v>
      </c>
    </row>
    <row r="22" spans="1:40" ht="23.1" customHeight="1">
      <c r="A22" s="58">
        <f>Gen!B27</f>
        <v>44091</v>
      </c>
      <c r="B22" s="4"/>
      <c r="C22" s="97">
        <f t="shared" si="0"/>
        <v>240817</v>
      </c>
      <c r="D22" s="1">
        <v>240866</v>
      </c>
      <c r="E22" s="559">
        <f t="shared" si="27"/>
        <v>49</v>
      </c>
      <c r="F22" s="97">
        <f t="shared" si="4"/>
        <v>38000</v>
      </c>
      <c r="G22" s="452">
        <v>38000</v>
      </c>
      <c r="H22" s="559">
        <f t="shared" si="5"/>
        <v>0</v>
      </c>
      <c r="I22" s="97">
        <f t="shared" si="6"/>
        <v>8038</v>
      </c>
      <c r="J22" s="1">
        <v>8038</v>
      </c>
      <c r="K22" s="559">
        <f t="shared" si="25"/>
        <v>0</v>
      </c>
      <c r="L22" s="97">
        <f t="shared" si="7"/>
        <v>12755</v>
      </c>
      <c r="M22" s="1">
        <v>12755</v>
      </c>
      <c r="N22" s="559">
        <f t="shared" si="8"/>
        <v>0</v>
      </c>
      <c r="O22" s="97">
        <f t="shared" si="9"/>
        <v>20280</v>
      </c>
      <c r="P22" s="448">
        <v>20282</v>
      </c>
      <c r="Q22" s="559">
        <f t="shared" si="1"/>
        <v>2</v>
      </c>
      <c r="R22" s="297"/>
      <c r="S22" s="292">
        <f t="shared" si="10"/>
        <v>58865</v>
      </c>
      <c r="T22" s="449">
        <v>58890</v>
      </c>
      <c r="U22" s="560">
        <f t="shared" si="11"/>
        <v>25</v>
      </c>
      <c r="V22" s="292">
        <f t="shared" si="29"/>
        <v>73030</v>
      </c>
      <c r="W22" s="449">
        <v>73030</v>
      </c>
      <c r="X22" s="560">
        <f t="shared" si="13"/>
        <v>0</v>
      </c>
      <c r="Y22" s="292">
        <f t="shared" si="14"/>
        <v>83567</v>
      </c>
      <c r="Z22" s="449">
        <v>83604</v>
      </c>
      <c r="AA22" s="560">
        <f t="shared" si="15"/>
        <v>37</v>
      </c>
      <c r="AB22" s="756">
        <f t="shared" si="21"/>
        <v>15403</v>
      </c>
      <c r="AC22" s="760">
        <v>15423</v>
      </c>
      <c r="AD22" s="759">
        <f t="shared" si="22"/>
        <v>20</v>
      </c>
      <c r="AE22" s="292">
        <f t="shared" si="16"/>
        <v>18300</v>
      </c>
      <c r="AF22" s="450">
        <v>18300</v>
      </c>
      <c r="AG22" s="560">
        <f t="shared" si="17"/>
        <v>0</v>
      </c>
      <c r="AH22" s="292">
        <f t="shared" si="18"/>
        <v>25687</v>
      </c>
      <c r="AI22" s="450">
        <v>25710</v>
      </c>
      <c r="AJ22" s="560">
        <f t="shared" si="19"/>
        <v>23</v>
      </c>
      <c r="AK22" s="371">
        <f t="shared" si="2"/>
        <v>0</v>
      </c>
      <c r="AL22" s="449"/>
      <c r="AM22" s="560">
        <f t="shared" si="28"/>
        <v>0</v>
      </c>
      <c r="AN22" s="454">
        <f t="shared" si="23"/>
        <v>105</v>
      </c>
    </row>
    <row r="23" spans="1:40" ht="23.1" customHeight="1">
      <c r="A23" s="58">
        <f>Gen!B28</f>
        <v>44092</v>
      </c>
      <c r="B23" s="4"/>
      <c r="C23" s="97">
        <f t="shared" si="0"/>
        <v>240866</v>
      </c>
      <c r="D23" s="1">
        <v>240916</v>
      </c>
      <c r="E23" s="559">
        <f t="shared" si="27"/>
        <v>50</v>
      </c>
      <c r="F23" s="97">
        <f t="shared" si="4"/>
        <v>38000</v>
      </c>
      <c r="G23" s="452">
        <v>38000</v>
      </c>
      <c r="H23" s="559">
        <f t="shared" si="5"/>
        <v>0</v>
      </c>
      <c r="I23" s="97">
        <f t="shared" si="6"/>
        <v>8038</v>
      </c>
      <c r="J23" s="1">
        <v>8039</v>
      </c>
      <c r="K23" s="559">
        <f t="shared" si="25"/>
        <v>1</v>
      </c>
      <c r="L23" s="97">
        <f t="shared" si="7"/>
        <v>12755</v>
      </c>
      <c r="M23" s="1">
        <v>12755</v>
      </c>
      <c r="N23" s="559">
        <f t="shared" si="8"/>
        <v>0</v>
      </c>
      <c r="O23" s="97">
        <f t="shared" si="9"/>
        <v>20282</v>
      </c>
      <c r="P23" s="448">
        <v>20284</v>
      </c>
      <c r="Q23" s="559">
        <f t="shared" si="1"/>
        <v>2</v>
      </c>
      <c r="R23" s="297"/>
      <c r="S23" s="292">
        <f t="shared" si="10"/>
        <v>58890</v>
      </c>
      <c r="T23" s="449">
        <v>58918</v>
      </c>
      <c r="U23" s="560">
        <f t="shared" si="11"/>
        <v>28</v>
      </c>
      <c r="V23" s="292">
        <f t="shared" si="29"/>
        <v>73030</v>
      </c>
      <c r="W23" s="449">
        <v>73030</v>
      </c>
      <c r="X23" s="560">
        <f t="shared" si="13"/>
        <v>0</v>
      </c>
      <c r="Y23" s="292">
        <f t="shared" si="14"/>
        <v>83604</v>
      </c>
      <c r="Z23" s="449">
        <v>83639</v>
      </c>
      <c r="AA23" s="560">
        <f t="shared" si="15"/>
        <v>35</v>
      </c>
      <c r="AB23" s="756">
        <f t="shared" si="21"/>
        <v>15423</v>
      </c>
      <c r="AC23" s="760">
        <v>15442</v>
      </c>
      <c r="AD23" s="759">
        <f t="shared" si="22"/>
        <v>19</v>
      </c>
      <c r="AE23" s="292">
        <f t="shared" si="16"/>
        <v>18300</v>
      </c>
      <c r="AF23" s="450">
        <v>18300</v>
      </c>
      <c r="AG23" s="560">
        <f t="shared" si="17"/>
        <v>0</v>
      </c>
      <c r="AH23" s="292">
        <f t="shared" si="18"/>
        <v>25710</v>
      </c>
      <c r="AI23" s="450">
        <v>25732</v>
      </c>
      <c r="AJ23" s="560">
        <f t="shared" si="19"/>
        <v>22</v>
      </c>
      <c r="AK23" s="371">
        <f t="shared" si="2"/>
        <v>0</v>
      </c>
      <c r="AL23" s="449"/>
      <c r="AM23" s="560">
        <f t="shared" si="28"/>
        <v>0</v>
      </c>
      <c r="AN23" s="454">
        <f t="shared" si="23"/>
        <v>104</v>
      </c>
    </row>
    <row r="24" spans="1:40" ht="23.1" customHeight="1">
      <c r="A24" s="58">
        <f>Gen!B29</f>
        <v>44093</v>
      </c>
      <c r="B24" s="4"/>
      <c r="C24" s="97">
        <f t="shared" si="0"/>
        <v>240916</v>
      </c>
      <c r="D24" s="1">
        <v>240967</v>
      </c>
      <c r="E24" s="559">
        <f t="shared" si="27"/>
        <v>51</v>
      </c>
      <c r="F24" s="97">
        <f t="shared" si="4"/>
        <v>38000</v>
      </c>
      <c r="G24" s="452">
        <v>38000</v>
      </c>
      <c r="H24" s="559">
        <f t="shared" si="5"/>
        <v>0</v>
      </c>
      <c r="I24" s="97">
        <f t="shared" si="6"/>
        <v>8039</v>
      </c>
      <c r="J24" s="1">
        <v>8040</v>
      </c>
      <c r="K24" s="559">
        <f t="shared" si="25"/>
        <v>1</v>
      </c>
      <c r="L24" s="97">
        <f t="shared" si="7"/>
        <v>12755</v>
      </c>
      <c r="M24" s="1">
        <v>12755</v>
      </c>
      <c r="N24" s="559">
        <f t="shared" si="8"/>
        <v>0</v>
      </c>
      <c r="O24" s="97">
        <f t="shared" si="9"/>
        <v>20284</v>
      </c>
      <c r="P24" s="448">
        <v>20286</v>
      </c>
      <c r="Q24" s="559">
        <f t="shared" si="1"/>
        <v>2</v>
      </c>
      <c r="R24" s="297"/>
      <c r="S24" s="292">
        <f t="shared" si="10"/>
        <v>58918</v>
      </c>
      <c r="T24" s="449">
        <v>58993</v>
      </c>
      <c r="U24" s="560">
        <f t="shared" si="11"/>
        <v>75</v>
      </c>
      <c r="V24" s="292">
        <f t="shared" si="29"/>
        <v>73030</v>
      </c>
      <c r="W24" s="449">
        <v>73030</v>
      </c>
      <c r="X24" s="560">
        <f t="shared" si="13"/>
        <v>0</v>
      </c>
      <c r="Y24" s="292">
        <f t="shared" si="14"/>
        <v>83639</v>
      </c>
      <c r="Z24" s="449">
        <v>83675</v>
      </c>
      <c r="AA24" s="560">
        <f t="shared" si="15"/>
        <v>36</v>
      </c>
      <c r="AB24" s="756">
        <f t="shared" si="21"/>
        <v>15442</v>
      </c>
      <c r="AC24" s="760">
        <v>15461</v>
      </c>
      <c r="AD24" s="759">
        <f t="shared" si="22"/>
        <v>19</v>
      </c>
      <c r="AE24" s="292">
        <f t="shared" si="16"/>
        <v>18300</v>
      </c>
      <c r="AF24" s="450">
        <v>18300</v>
      </c>
      <c r="AG24" s="560">
        <f t="shared" si="17"/>
        <v>0</v>
      </c>
      <c r="AH24" s="292">
        <f t="shared" si="18"/>
        <v>25732</v>
      </c>
      <c r="AI24" s="450">
        <v>25753</v>
      </c>
      <c r="AJ24" s="560">
        <f t="shared" si="19"/>
        <v>21</v>
      </c>
      <c r="AK24" s="371">
        <f t="shared" si="2"/>
        <v>0</v>
      </c>
      <c r="AL24" s="449"/>
      <c r="AM24" s="560">
        <f t="shared" si="28"/>
        <v>0</v>
      </c>
      <c r="AN24" s="454">
        <f t="shared" si="23"/>
        <v>151</v>
      </c>
    </row>
    <row r="25" spans="1:40" ht="23.1" customHeight="1">
      <c r="A25" s="58">
        <f>Gen!B30</f>
        <v>44094</v>
      </c>
      <c r="B25" s="4"/>
      <c r="C25" s="97">
        <f>D24</f>
        <v>240967</v>
      </c>
      <c r="D25" s="1">
        <v>241013</v>
      </c>
      <c r="E25" s="559">
        <f t="shared" si="27"/>
        <v>46</v>
      </c>
      <c r="F25" s="97">
        <f t="shared" si="4"/>
        <v>38000</v>
      </c>
      <c r="G25" s="452">
        <v>38000</v>
      </c>
      <c r="H25" s="559">
        <f>IF((G26-G24)&lt;0,"0",(G26-G24))</f>
        <v>0</v>
      </c>
      <c r="I25" s="97">
        <f t="shared" ref="I25:I37" si="30">J24</f>
        <v>8040</v>
      </c>
      <c r="J25" s="1">
        <v>8042</v>
      </c>
      <c r="K25" s="559">
        <f t="shared" si="25"/>
        <v>2</v>
      </c>
      <c r="L25" s="97">
        <f t="shared" ref="L25:L37" si="31">M24</f>
        <v>12755</v>
      </c>
      <c r="M25" s="1">
        <v>12755</v>
      </c>
      <c r="N25" s="559">
        <f t="shared" ref="N25:N37" si="32">IF((M25-M24)&lt;0,"0",(M25-M24))</f>
        <v>0</v>
      </c>
      <c r="O25" s="97">
        <f t="shared" si="9"/>
        <v>20286</v>
      </c>
      <c r="P25" s="448">
        <v>20288</v>
      </c>
      <c r="Q25" s="559">
        <f t="shared" si="1"/>
        <v>2</v>
      </c>
      <c r="R25" s="297"/>
      <c r="S25" s="292">
        <f t="shared" ref="S25:S37" si="33">T24</f>
        <v>58993</v>
      </c>
      <c r="T25" s="449">
        <v>59066</v>
      </c>
      <c r="U25" s="560">
        <f t="shared" ref="U25:U37" si="34">IF((T25-T24)&lt;0,"0",(T25-T24))</f>
        <v>73</v>
      </c>
      <c r="V25" s="292">
        <f t="shared" si="29"/>
        <v>73030</v>
      </c>
      <c r="W25" s="449">
        <v>73030</v>
      </c>
      <c r="X25" s="560">
        <f t="shared" si="13"/>
        <v>0</v>
      </c>
      <c r="Y25" s="292">
        <f t="shared" si="14"/>
        <v>83675</v>
      </c>
      <c r="Z25" s="449">
        <v>83711</v>
      </c>
      <c r="AA25" s="560">
        <f t="shared" si="15"/>
        <v>36</v>
      </c>
      <c r="AB25" s="756">
        <f t="shared" si="21"/>
        <v>15461</v>
      </c>
      <c r="AC25" s="760">
        <v>15481</v>
      </c>
      <c r="AD25" s="759">
        <f t="shared" si="22"/>
        <v>20</v>
      </c>
      <c r="AE25" s="292">
        <f t="shared" si="16"/>
        <v>18300</v>
      </c>
      <c r="AF25" s="450">
        <v>18300</v>
      </c>
      <c r="AG25" s="560">
        <f t="shared" si="17"/>
        <v>0</v>
      </c>
      <c r="AH25" s="292">
        <f t="shared" si="18"/>
        <v>25753</v>
      </c>
      <c r="AI25" s="450">
        <v>25776</v>
      </c>
      <c r="AJ25" s="560">
        <f t="shared" si="19"/>
        <v>23</v>
      </c>
      <c r="AK25" s="371">
        <f t="shared" si="2"/>
        <v>0</v>
      </c>
      <c r="AL25" s="449"/>
      <c r="AM25" s="560">
        <f t="shared" si="28"/>
        <v>0</v>
      </c>
      <c r="AN25" s="454">
        <f t="shared" si="23"/>
        <v>152</v>
      </c>
    </row>
    <row r="26" spans="1:40" ht="23.1" customHeight="1">
      <c r="A26" s="58">
        <f>Gen!B31</f>
        <v>44095</v>
      </c>
      <c r="B26" s="4"/>
      <c r="C26" s="97">
        <f>D25</f>
        <v>241013</v>
      </c>
      <c r="D26" s="1">
        <v>241059</v>
      </c>
      <c r="E26" s="559">
        <f t="shared" si="27"/>
        <v>46</v>
      </c>
      <c r="F26" s="97">
        <f>G26</f>
        <v>38000</v>
      </c>
      <c r="G26" s="452">
        <v>38000</v>
      </c>
      <c r="H26" s="559">
        <f t="shared" ref="H26:H27" si="35">IF((G27-G25)&lt;0,"0",(G27-G25))</f>
        <v>0</v>
      </c>
      <c r="I26" s="97">
        <f t="shared" si="30"/>
        <v>8042</v>
      </c>
      <c r="J26" s="1">
        <v>8042</v>
      </c>
      <c r="K26" s="559">
        <f t="shared" si="25"/>
        <v>0</v>
      </c>
      <c r="L26" s="97">
        <f t="shared" si="31"/>
        <v>12755</v>
      </c>
      <c r="M26" s="1">
        <v>12755</v>
      </c>
      <c r="N26" s="559">
        <f t="shared" si="32"/>
        <v>0</v>
      </c>
      <c r="O26" s="97">
        <f t="shared" ref="O26:O37" si="36">P25</f>
        <v>20288</v>
      </c>
      <c r="P26" s="448">
        <v>20290</v>
      </c>
      <c r="Q26" s="559">
        <f t="shared" si="1"/>
        <v>2</v>
      </c>
      <c r="R26" s="297"/>
      <c r="S26" s="292">
        <f t="shared" si="33"/>
        <v>59066</v>
      </c>
      <c r="T26" s="449">
        <v>59127</v>
      </c>
      <c r="U26" s="560">
        <f t="shared" si="34"/>
        <v>61</v>
      </c>
      <c r="V26" s="292">
        <f t="shared" si="29"/>
        <v>73030</v>
      </c>
      <c r="W26" s="449">
        <v>73030</v>
      </c>
      <c r="X26" s="560">
        <f t="shared" si="13"/>
        <v>0</v>
      </c>
      <c r="Y26" s="292">
        <f t="shared" si="14"/>
        <v>83711</v>
      </c>
      <c r="Z26" s="449">
        <v>83747</v>
      </c>
      <c r="AA26" s="560">
        <f t="shared" si="15"/>
        <v>36</v>
      </c>
      <c r="AB26" s="756">
        <f t="shared" si="21"/>
        <v>15481</v>
      </c>
      <c r="AC26" s="760">
        <v>15500</v>
      </c>
      <c r="AD26" s="759">
        <f t="shared" si="22"/>
        <v>19</v>
      </c>
      <c r="AE26" s="292">
        <f t="shared" si="16"/>
        <v>18300</v>
      </c>
      <c r="AF26" s="450">
        <v>18300</v>
      </c>
      <c r="AG26" s="560">
        <f t="shared" si="17"/>
        <v>0</v>
      </c>
      <c r="AH26" s="292">
        <f t="shared" si="18"/>
        <v>25776</v>
      </c>
      <c r="AI26" s="450">
        <v>25797</v>
      </c>
      <c r="AJ26" s="560">
        <f t="shared" si="19"/>
        <v>21</v>
      </c>
      <c r="AK26" s="371">
        <f t="shared" si="2"/>
        <v>0</v>
      </c>
      <c r="AL26" s="449"/>
      <c r="AM26" s="560">
        <f t="shared" si="28"/>
        <v>0</v>
      </c>
      <c r="AN26" s="454">
        <f t="shared" si="23"/>
        <v>137</v>
      </c>
    </row>
    <row r="27" spans="1:40" ht="23.1" customHeight="1">
      <c r="A27" s="58">
        <f>Gen!B32</f>
        <v>44096</v>
      </c>
      <c r="B27" s="4"/>
      <c r="C27" s="97">
        <f>D26</f>
        <v>241059</v>
      </c>
      <c r="D27" s="1">
        <v>241115</v>
      </c>
      <c r="E27" s="559">
        <f t="shared" si="27"/>
        <v>56</v>
      </c>
      <c r="F27" s="97">
        <f t="shared" ref="F27:F31" si="37">G27</f>
        <v>38000</v>
      </c>
      <c r="G27" s="452">
        <v>38000</v>
      </c>
      <c r="H27" s="559">
        <f t="shared" si="35"/>
        <v>0</v>
      </c>
      <c r="I27" s="97">
        <f t="shared" si="30"/>
        <v>8042</v>
      </c>
      <c r="J27" s="1">
        <v>8043</v>
      </c>
      <c r="K27" s="559">
        <f t="shared" si="25"/>
        <v>1</v>
      </c>
      <c r="L27" s="97">
        <f t="shared" si="31"/>
        <v>12755</v>
      </c>
      <c r="M27" s="1">
        <v>12755</v>
      </c>
      <c r="N27" s="559">
        <f t="shared" si="32"/>
        <v>0</v>
      </c>
      <c r="O27" s="97">
        <f t="shared" si="36"/>
        <v>20290</v>
      </c>
      <c r="P27" s="448">
        <v>20292</v>
      </c>
      <c r="Q27" s="559">
        <f t="shared" si="1"/>
        <v>2</v>
      </c>
      <c r="R27" s="297"/>
      <c r="S27" s="292">
        <f t="shared" si="33"/>
        <v>59127</v>
      </c>
      <c r="T27" s="449">
        <v>59198</v>
      </c>
      <c r="U27" s="560">
        <f t="shared" si="34"/>
        <v>71</v>
      </c>
      <c r="V27" s="292">
        <f t="shared" si="29"/>
        <v>73030</v>
      </c>
      <c r="W27" s="449">
        <v>73030</v>
      </c>
      <c r="X27" s="560">
        <f t="shared" si="13"/>
        <v>0</v>
      </c>
      <c r="Y27" s="292">
        <f t="shared" si="14"/>
        <v>83747</v>
      </c>
      <c r="Z27" s="449">
        <v>83782</v>
      </c>
      <c r="AA27" s="560">
        <f t="shared" si="15"/>
        <v>35</v>
      </c>
      <c r="AB27" s="756">
        <f t="shared" si="21"/>
        <v>15500</v>
      </c>
      <c r="AC27" s="760">
        <v>15519</v>
      </c>
      <c r="AD27" s="759">
        <f t="shared" si="22"/>
        <v>19</v>
      </c>
      <c r="AE27" s="292">
        <f t="shared" si="16"/>
        <v>18300</v>
      </c>
      <c r="AF27" s="450">
        <v>18300</v>
      </c>
      <c r="AG27" s="560">
        <f t="shared" si="17"/>
        <v>0</v>
      </c>
      <c r="AH27" s="292">
        <f t="shared" si="18"/>
        <v>25797</v>
      </c>
      <c r="AI27" s="450">
        <v>25819</v>
      </c>
      <c r="AJ27" s="560">
        <f t="shared" si="19"/>
        <v>22</v>
      </c>
      <c r="AK27" s="371">
        <f t="shared" si="2"/>
        <v>0</v>
      </c>
      <c r="AL27" s="449"/>
      <c r="AM27" s="560">
        <f t="shared" si="20"/>
        <v>0</v>
      </c>
      <c r="AN27" s="454">
        <f t="shared" si="23"/>
        <v>147</v>
      </c>
    </row>
    <row r="28" spans="1:40" ht="23.1" customHeight="1">
      <c r="A28" s="58">
        <f>Gen!B33</f>
        <v>44097</v>
      </c>
      <c r="B28" s="4"/>
      <c r="C28" s="97">
        <f t="shared" ref="C28:C37" si="38">D27</f>
        <v>241115</v>
      </c>
      <c r="D28" s="1">
        <v>241164</v>
      </c>
      <c r="E28" s="559">
        <f t="shared" si="27"/>
        <v>49</v>
      </c>
      <c r="F28" s="97">
        <f t="shared" si="37"/>
        <v>38000</v>
      </c>
      <c r="G28" s="452">
        <v>38000</v>
      </c>
      <c r="H28" s="559">
        <f t="shared" ref="H28:H37" si="39">IF((G28-G27)&lt;0,"0",(G28-G27))</f>
        <v>0</v>
      </c>
      <c r="I28" s="97">
        <f t="shared" si="30"/>
        <v>8043</v>
      </c>
      <c r="J28" s="1">
        <v>8044</v>
      </c>
      <c r="K28" s="559">
        <f>IF((J28-J27)&lt;0,"0",(J28-J27))</f>
        <v>1</v>
      </c>
      <c r="L28" s="97">
        <f t="shared" si="31"/>
        <v>12755</v>
      </c>
      <c r="M28" s="1">
        <v>12755</v>
      </c>
      <c r="N28" s="559">
        <f t="shared" si="32"/>
        <v>0</v>
      </c>
      <c r="O28" s="97">
        <f t="shared" si="36"/>
        <v>20292</v>
      </c>
      <c r="P28" s="448">
        <v>20294</v>
      </c>
      <c r="Q28" s="559">
        <f t="shared" ref="Q28:Q37" si="40">IF((P28-P27)&lt;0,"0",(P28-P27))</f>
        <v>2</v>
      </c>
      <c r="R28" s="297"/>
      <c r="S28" s="292">
        <f t="shared" si="33"/>
        <v>59198</v>
      </c>
      <c r="T28" s="449">
        <v>59260</v>
      </c>
      <c r="U28" s="560">
        <f t="shared" si="34"/>
        <v>62</v>
      </c>
      <c r="V28" s="292">
        <f t="shared" si="29"/>
        <v>73030</v>
      </c>
      <c r="W28" s="449">
        <v>73030</v>
      </c>
      <c r="X28" s="560">
        <f t="shared" si="13"/>
        <v>0</v>
      </c>
      <c r="Y28" s="292">
        <f t="shared" si="14"/>
        <v>83782</v>
      </c>
      <c r="Z28" s="449">
        <v>83817</v>
      </c>
      <c r="AA28" s="560">
        <f t="shared" si="15"/>
        <v>35</v>
      </c>
      <c r="AB28" s="756">
        <f t="shared" si="21"/>
        <v>15519</v>
      </c>
      <c r="AC28" s="760">
        <v>15537</v>
      </c>
      <c r="AD28" s="759">
        <f t="shared" si="22"/>
        <v>18</v>
      </c>
      <c r="AE28" s="292">
        <f t="shared" si="16"/>
        <v>18300</v>
      </c>
      <c r="AF28" s="450">
        <v>18300</v>
      </c>
      <c r="AG28" s="560">
        <f t="shared" si="17"/>
        <v>0</v>
      </c>
      <c r="AH28" s="292">
        <f t="shared" si="18"/>
        <v>25819</v>
      </c>
      <c r="AI28" s="450">
        <v>25841</v>
      </c>
      <c r="AJ28" s="560">
        <f t="shared" si="19"/>
        <v>22</v>
      </c>
      <c r="AK28" s="371">
        <f t="shared" si="2"/>
        <v>0</v>
      </c>
      <c r="AL28" s="449"/>
      <c r="AM28" s="560">
        <f t="shared" si="20"/>
        <v>0</v>
      </c>
      <c r="AN28" s="454">
        <f t="shared" si="23"/>
        <v>137</v>
      </c>
    </row>
    <row r="29" spans="1:40" ht="23.1" customHeight="1">
      <c r="A29" s="58">
        <f>Gen!B34</f>
        <v>44098</v>
      </c>
      <c r="B29" s="4"/>
      <c r="C29" s="97">
        <f t="shared" si="38"/>
        <v>241164</v>
      </c>
      <c r="D29" s="1">
        <v>241212</v>
      </c>
      <c r="E29" s="559">
        <f t="shared" si="27"/>
        <v>48</v>
      </c>
      <c r="F29" s="97">
        <f t="shared" si="37"/>
        <v>38000</v>
      </c>
      <c r="G29" s="452">
        <v>38000</v>
      </c>
      <c r="H29" s="559">
        <f t="shared" si="39"/>
        <v>0</v>
      </c>
      <c r="I29" s="97">
        <f t="shared" si="30"/>
        <v>8044</v>
      </c>
      <c r="J29" s="1">
        <v>8045</v>
      </c>
      <c r="K29" s="559">
        <f t="shared" ref="K29:K37" si="41">IF((J29-J28)&lt;0,"0",(J29-J28))</f>
        <v>1</v>
      </c>
      <c r="L29" s="97">
        <f t="shared" si="31"/>
        <v>12755</v>
      </c>
      <c r="M29" s="1">
        <v>12755</v>
      </c>
      <c r="N29" s="559">
        <f t="shared" si="32"/>
        <v>0</v>
      </c>
      <c r="O29" s="97">
        <f t="shared" si="36"/>
        <v>20294</v>
      </c>
      <c r="P29" s="448">
        <v>20297</v>
      </c>
      <c r="Q29" s="559">
        <f t="shared" si="40"/>
        <v>3</v>
      </c>
      <c r="R29" s="297"/>
      <c r="S29" s="292">
        <f t="shared" si="33"/>
        <v>59260</v>
      </c>
      <c r="T29" s="449">
        <v>59317</v>
      </c>
      <c r="U29" s="560">
        <f t="shared" si="34"/>
        <v>57</v>
      </c>
      <c r="V29" s="292">
        <f t="shared" si="29"/>
        <v>73030</v>
      </c>
      <c r="W29" s="449">
        <v>73030</v>
      </c>
      <c r="X29" s="560">
        <f t="shared" si="13"/>
        <v>0</v>
      </c>
      <c r="Y29" s="292">
        <f t="shared" si="14"/>
        <v>83817</v>
      </c>
      <c r="Z29" s="449">
        <v>83853</v>
      </c>
      <c r="AA29" s="560">
        <f t="shared" si="15"/>
        <v>36</v>
      </c>
      <c r="AB29" s="756">
        <f t="shared" si="21"/>
        <v>15537</v>
      </c>
      <c r="AC29" s="760">
        <v>15556</v>
      </c>
      <c r="AD29" s="759">
        <f t="shared" si="22"/>
        <v>19</v>
      </c>
      <c r="AE29" s="292">
        <f t="shared" si="16"/>
        <v>18300</v>
      </c>
      <c r="AF29" s="450">
        <v>18300</v>
      </c>
      <c r="AG29" s="560">
        <f t="shared" si="17"/>
        <v>0</v>
      </c>
      <c r="AH29" s="292">
        <f t="shared" si="18"/>
        <v>25841</v>
      </c>
      <c r="AI29" s="450">
        <v>25863</v>
      </c>
      <c r="AJ29" s="560">
        <f t="shared" si="19"/>
        <v>22</v>
      </c>
      <c r="AK29" s="371">
        <f t="shared" si="2"/>
        <v>0</v>
      </c>
      <c r="AL29" s="449"/>
      <c r="AM29" s="560">
        <f t="shared" si="20"/>
        <v>0</v>
      </c>
      <c r="AN29" s="454">
        <f t="shared" si="23"/>
        <v>134</v>
      </c>
    </row>
    <row r="30" spans="1:40" ht="23.1" customHeight="1">
      <c r="A30" s="58">
        <f>Gen!B35</f>
        <v>44099</v>
      </c>
      <c r="B30" s="4"/>
      <c r="C30" s="97">
        <f t="shared" si="38"/>
        <v>241212</v>
      </c>
      <c r="D30" s="1">
        <v>241262</v>
      </c>
      <c r="E30" s="559">
        <f t="shared" si="27"/>
        <v>50</v>
      </c>
      <c r="F30" s="97">
        <f t="shared" si="37"/>
        <v>38000</v>
      </c>
      <c r="G30" s="452">
        <v>38000</v>
      </c>
      <c r="H30" s="559">
        <f t="shared" si="39"/>
        <v>0</v>
      </c>
      <c r="I30" s="97">
        <f t="shared" si="30"/>
        <v>8045</v>
      </c>
      <c r="J30" s="1">
        <v>8046</v>
      </c>
      <c r="K30" s="559">
        <f t="shared" si="41"/>
        <v>1</v>
      </c>
      <c r="L30" s="97">
        <f t="shared" si="31"/>
        <v>12755</v>
      </c>
      <c r="M30" s="1">
        <v>12755</v>
      </c>
      <c r="N30" s="559">
        <f t="shared" si="32"/>
        <v>0</v>
      </c>
      <c r="O30" s="97">
        <f t="shared" si="36"/>
        <v>20297</v>
      </c>
      <c r="P30" s="448">
        <v>20303</v>
      </c>
      <c r="Q30" s="559">
        <f t="shared" si="40"/>
        <v>6</v>
      </c>
      <c r="R30" s="297"/>
      <c r="S30" s="292">
        <f t="shared" si="33"/>
        <v>59317</v>
      </c>
      <c r="T30" s="449">
        <v>59368</v>
      </c>
      <c r="U30" s="560">
        <f t="shared" si="34"/>
        <v>51</v>
      </c>
      <c r="V30" s="292">
        <f t="shared" si="29"/>
        <v>73030</v>
      </c>
      <c r="W30" s="449">
        <v>73030</v>
      </c>
      <c r="X30" s="560">
        <f t="shared" si="13"/>
        <v>0</v>
      </c>
      <c r="Y30" s="292">
        <f t="shared" si="14"/>
        <v>83853</v>
      </c>
      <c r="Z30" s="449">
        <v>83889</v>
      </c>
      <c r="AA30" s="560">
        <f t="shared" si="15"/>
        <v>36</v>
      </c>
      <c r="AB30" s="756">
        <f t="shared" si="21"/>
        <v>15556</v>
      </c>
      <c r="AC30" s="760">
        <v>15574</v>
      </c>
      <c r="AD30" s="759">
        <f t="shared" si="22"/>
        <v>18</v>
      </c>
      <c r="AE30" s="292">
        <f t="shared" si="16"/>
        <v>18300</v>
      </c>
      <c r="AF30" s="450">
        <v>18300</v>
      </c>
      <c r="AG30" s="560">
        <f t="shared" si="17"/>
        <v>0</v>
      </c>
      <c r="AH30" s="292">
        <f t="shared" si="18"/>
        <v>25863</v>
      </c>
      <c r="AI30" s="450">
        <v>25885</v>
      </c>
      <c r="AJ30" s="560">
        <f t="shared" si="19"/>
        <v>22</v>
      </c>
      <c r="AK30" s="371">
        <f t="shared" si="2"/>
        <v>0</v>
      </c>
      <c r="AL30" s="449"/>
      <c r="AM30" s="560">
        <f t="shared" si="20"/>
        <v>0</v>
      </c>
      <c r="AN30" s="454">
        <f t="shared" si="23"/>
        <v>127</v>
      </c>
    </row>
    <row r="31" spans="1:40" ht="23.1" customHeight="1">
      <c r="A31" s="58">
        <f>Gen!B36</f>
        <v>44100</v>
      </c>
      <c r="B31" s="4"/>
      <c r="C31" s="97">
        <f t="shared" si="38"/>
        <v>241262</v>
      </c>
      <c r="D31" s="1">
        <v>241317</v>
      </c>
      <c r="E31" s="559">
        <f t="shared" si="27"/>
        <v>55</v>
      </c>
      <c r="F31" s="97">
        <f t="shared" si="37"/>
        <v>38000</v>
      </c>
      <c r="G31" s="452">
        <v>38000</v>
      </c>
      <c r="H31" s="559">
        <f t="shared" si="39"/>
        <v>0</v>
      </c>
      <c r="I31" s="97">
        <f t="shared" si="30"/>
        <v>8046</v>
      </c>
      <c r="J31" s="1">
        <v>8047</v>
      </c>
      <c r="K31" s="559">
        <f t="shared" si="41"/>
        <v>1</v>
      </c>
      <c r="L31" s="97">
        <f t="shared" si="31"/>
        <v>12755</v>
      </c>
      <c r="M31" s="1">
        <v>12765</v>
      </c>
      <c r="N31" s="559">
        <f t="shared" si="32"/>
        <v>10</v>
      </c>
      <c r="O31" s="97">
        <f t="shared" si="36"/>
        <v>20303</v>
      </c>
      <c r="P31" s="448">
        <v>20307</v>
      </c>
      <c r="Q31" s="559">
        <f t="shared" si="40"/>
        <v>4</v>
      </c>
      <c r="R31" s="297"/>
      <c r="S31" s="292">
        <f t="shared" si="33"/>
        <v>59368</v>
      </c>
      <c r="T31" s="449">
        <v>59434</v>
      </c>
      <c r="U31" s="560">
        <f t="shared" si="34"/>
        <v>66</v>
      </c>
      <c r="V31" s="292">
        <f t="shared" si="29"/>
        <v>73030</v>
      </c>
      <c r="W31" s="449">
        <v>73030</v>
      </c>
      <c r="X31" s="560">
        <f t="shared" si="13"/>
        <v>0</v>
      </c>
      <c r="Y31" s="292">
        <f t="shared" si="14"/>
        <v>83889</v>
      </c>
      <c r="Z31" s="449">
        <v>83924</v>
      </c>
      <c r="AA31" s="560">
        <f t="shared" si="15"/>
        <v>35</v>
      </c>
      <c r="AB31" s="756">
        <f t="shared" si="21"/>
        <v>15574</v>
      </c>
      <c r="AC31" s="760">
        <v>15593</v>
      </c>
      <c r="AD31" s="759">
        <f t="shared" si="22"/>
        <v>19</v>
      </c>
      <c r="AE31" s="292">
        <f t="shared" si="16"/>
        <v>18300</v>
      </c>
      <c r="AF31" s="450">
        <v>18300</v>
      </c>
      <c r="AG31" s="560">
        <f t="shared" si="17"/>
        <v>0</v>
      </c>
      <c r="AH31" s="292">
        <f t="shared" si="18"/>
        <v>25885</v>
      </c>
      <c r="AI31" s="450">
        <v>25906</v>
      </c>
      <c r="AJ31" s="560">
        <f t="shared" si="19"/>
        <v>21</v>
      </c>
      <c r="AK31" s="371">
        <f t="shared" si="2"/>
        <v>0</v>
      </c>
      <c r="AL31" s="449"/>
      <c r="AM31" s="560">
        <f t="shared" si="20"/>
        <v>0</v>
      </c>
      <c r="AN31" s="454">
        <f t="shared" si="23"/>
        <v>141</v>
      </c>
    </row>
    <row r="32" spans="1:40" ht="23.1" customHeight="1">
      <c r="A32" s="58">
        <f>Gen!B37</f>
        <v>44101</v>
      </c>
      <c r="B32" s="4" t="s">
        <v>27</v>
      </c>
      <c r="C32" s="97">
        <f t="shared" si="38"/>
        <v>241317</v>
      </c>
      <c r="D32" s="1">
        <v>241375</v>
      </c>
      <c r="E32" s="559">
        <f t="shared" si="27"/>
        <v>58</v>
      </c>
      <c r="F32" s="97">
        <f t="shared" si="4"/>
        <v>38000</v>
      </c>
      <c r="G32" s="452">
        <v>38000</v>
      </c>
      <c r="H32" s="559">
        <f t="shared" si="39"/>
        <v>0</v>
      </c>
      <c r="I32" s="97">
        <f t="shared" si="30"/>
        <v>8047</v>
      </c>
      <c r="J32" s="1">
        <v>8048</v>
      </c>
      <c r="K32" s="559">
        <f t="shared" si="41"/>
        <v>1</v>
      </c>
      <c r="L32" s="97">
        <f t="shared" si="31"/>
        <v>12765</v>
      </c>
      <c r="M32" s="1">
        <v>12765</v>
      </c>
      <c r="N32" s="559">
        <f t="shared" si="32"/>
        <v>0</v>
      </c>
      <c r="O32" s="97">
        <f t="shared" si="36"/>
        <v>20307</v>
      </c>
      <c r="P32" s="448">
        <v>20310</v>
      </c>
      <c r="Q32" s="559">
        <f t="shared" si="40"/>
        <v>3</v>
      </c>
      <c r="R32" s="297"/>
      <c r="S32" s="292">
        <f t="shared" si="33"/>
        <v>59434</v>
      </c>
      <c r="T32" s="449">
        <v>59501</v>
      </c>
      <c r="U32" s="560">
        <f t="shared" si="34"/>
        <v>67</v>
      </c>
      <c r="V32" s="292">
        <f t="shared" si="29"/>
        <v>73030</v>
      </c>
      <c r="W32" s="449">
        <v>73030</v>
      </c>
      <c r="X32" s="560">
        <f t="shared" si="13"/>
        <v>0</v>
      </c>
      <c r="Y32" s="292">
        <f t="shared" si="14"/>
        <v>83924</v>
      </c>
      <c r="Z32" s="449">
        <v>83960</v>
      </c>
      <c r="AA32" s="560">
        <f t="shared" si="15"/>
        <v>36</v>
      </c>
      <c r="AB32" s="756">
        <f t="shared" si="21"/>
        <v>15593</v>
      </c>
      <c r="AC32" s="760">
        <v>15611</v>
      </c>
      <c r="AD32" s="759">
        <f t="shared" si="22"/>
        <v>18</v>
      </c>
      <c r="AE32" s="292">
        <f t="shared" si="16"/>
        <v>18300</v>
      </c>
      <c r="AF32" s="450">
        <v>18300</v>
      </c>
      <c r="AG32" s="560">
        <f t="shared" si="17"/>
        <v>0</v>
      </c>
      <c r="AH32" s="292">
        <f t="shared" si="18"/>
        <v>25906</v>
      </c>
      <c r="AI32" s="450">
        <v>25928</v>
      </c>
      <c r="AJ32" s="560">
        <f t="shared" si="19"/>
        <v>22</v>
      </c>
      <c r="AK32" s="371">
        <f t="shared" si="2"/>
        <v>0</v>
      </c>
      <c r="AL32" s="449"/>
      <c r="AM32" s="560">
        <f t="shared" si="20"/>
        <v>0</v>
      </c>
      <c r="AN32" s="454">
        <f t="shared" si="23"/>
        <v>143</v>
      </c>
    </row>
    <row r="33" spans="1:41" ht="23.1" customHeight="1">
      <c r="A33" s="58">
        <f>Gen!B38</f>
        <v>44102</v>
      </c>
      <c r="B33" s="4"/>
      <c r="C33" s="97">
        <f t="shared" si="38"/>
        <v>241375</v>
      </c>
      <c r="D33" s="1">
        <v>241427</v>
      </c>
      <c r="E33" s="559">
        <f t="shared" si="27"/>
        <v>52</v>
      </c>
      <c r="F33" s="97">
        <f t="shared" si="4"/>
        <v>38000</v>
      </c>
      <c r="G33" s="452">
        <v>38000</v>
      </c>
      <c r="H33" s="559">
        <f t="shared" si="39"/>
        <v>0</v>
      </c>
      <c r="I33" s="97">
        <f t="shared" si="30"/>
        <v>8048</v>
      </c>
      <c r="J33" s="1">
        <v>8048</v>
      </c>
      <c r="K33" s="559">
        <f t="shared" si="41"/>
        <v>0</v>
      </c>
      <c r="L33" s="97">
        <f t="shared" si="31"/>
        <v>12765</v>
      </c>
      <c r="M33" s="1">
        <v>12765</v>
      </c>
      <c r="N33" s="559">
        <f t="shared" si="32"/>
        <v>0</v>
      </c>
      <c r="O33" s="97">
        <f t="shared" si="36"/>
        <v>20310</v>
      </c>
      <c r="P33" s="448">
        <v>20312</v>
      </c>
      <c r="Q33" s="559">
        <f t="shared" si="40"/>
        <v>2</v>
      </c>
      <c r="R33" s="297"/>
      <c r="S33" s="292">
        <f t="shared" si="33"/>
        <v>59501</v>
      </c>
      <c r="T33" s="449">
        <v>59531</v>
      </c>
      <c r="U33" s="560">
        <f t="shared" si="34"/>
        <v>30</v>
      </c>
      <c r="V33" s="292">
        <f t="shared" si="29"/>
        <v>73030</v>
      </c>
      <c r="W33" s="449">
        <v>73030</v>
      </c>
      <c r="X33" s="560">
        <f t="shared" si="13"/>
        <v>0</v>
      </c>
      <c r="Y33" s="292">
        <f t="shared" si="14"/>
        <v>83960</v>
      </c>
      <c r="Z33" s="449">
        <v>83995</v>
      </c>
      <c r="AA33" s="560">
        <f t="shared" si="15"/>
        <v>35</v>
      </c>
      <c r="AB33" s="756">
        <f t="shared" si="21"/>
        <v>15611</v>
      </c>
      <c r="AC33" s="760">
        <v>15630</v>
      </c>
      <c r="AD33" s="759">
        <f t="shared" si="22"/>
        <v>19</v>
      </c>
      <c r="AE33" s="292">
        <f t="shared" si="16"/>
        <v>18300</v>
      </c>
      <c r="AF33" s="450">
        <v>18300</v>
      </c>
      <c r="AG33" s="560">
        <f t="shared" si="17"/>
        <v>0</v>
      </c>
      <c r="AH33" s="292">
        <f t="shared" si="18"/>
        <v>25928</v>
      </c>
      <c r="AI33" s="450">
        <v>25950</v>
      </c>
      <c r="AJ33" s="560">
        <f t="shared" si="19"/>
        <v>22</v>
      </c>
      <c r="AK33" s="371">
        <f t="shared" si="2"/>
        <v>0</v>
      </c>
      <c r="AL33" s="449"/>
      <c r="AM33" s="560">
        <f t="shared" si="20"/>
        <v>0</v>
      </c>
      <c r="AN33" s="454">
        <f t="shared" si="23"/>
        <v>106</v>
      </c>
    </row>
    <row r="34" spans="1:41" ht="23.1" customHeight="1">
      <c r="A34" s="58">
        <f>Gen!B39</f>
        <v>44103</v>
      </c>
      <c r="B34" s="169"/>
      <c r="C34" s="97">
        <f t="shared" si="38"/>
        <v>241427</v>
      </c>
      <c r="D34" s="1"/>
      <c r="E34" s="559" t="str">
        <f t="shared" si="27"/>
        <v>0</v>
      </c>
      <c r="F34" s="97">
        <f t="shared" si="4"/>
        <v>38000</v>
      </c>
      <c r="G34" s="452"/>
      <c r="H34" s="559" t="str">
        <f t="shared" si="39"/>
        <v>0</v>
      </c>
      <c r="I34" s="97">
        <f t="shared" si="30"/>
        <v>8048</v>
      </c>
      <c r="J34" s="1"/>
      <c r="K34" s="559" t="str">
        <f t="shared" si="41"/>
        <v>0</v>
      </c>
      <c r="L34" s="97">
        <f t="shared" si="31"/>
        <v>12765</v>
      </c>
      <c r="M34" s="1"/>
      <c r="N34" s="559" t="str">
        <f t="shared" si="32"/>
        <v>0</v>
      </c>
      <c r="O34" s="97">
        <f t="shared" si="36"/>
        <v>20312</v>
      </c>
      <c r="P34" s="448"/>
      <c r="Q34" s="559" t="str">
        <f t="shared" si="40"/>
        <v>0</v>
      </c>
      <c r="R34" s="297"/>
      <c r="S34" s="292">
        <f t="shared" si="33"/>
        <v>59531</v>
      </c>
      <c r="T34" s="449"/>
      <c r="U34" s="560" t="str">
        <f t="shared" si="34"/>
        <v>0</v>
      </c>
      <c r="V34" s="292">
        <f t="shared" si="29"/>
        <v>73030</v>
      </c>
      <c r="W34" s="449"/>
      <c r="X34" s="560" t="str">
        <f t="shared" si="13"/>
        <v>0</v>
      </c>
      <c r="Y34" s="292">
        <f t="shared" si="14"/>
        <v>83995</v>
      </c>
      <c r="Z34" s="449"/>
      <c r="AA34" s="560" t="str">
        <f t="shared" si="15"/>
        <v>0</v>
      </c>
      <c r="AB34" s="756">
        <f t="shared" si="21"/>
        <v>15630</v>
      </c>
      <c r="AC34" s="760"/>
      <c r="AD34" s="759" t="str">
        <f t="shared" si="22"/>
        <v>0</v>
      </c>
      <c r="AE34" s="292">
        <f t="shared" si="16"/>
        <v>18300</v>
      </c>
      <c r="AF34" s="450"/>
      <c r="AG34" s="560" t="str">
        <f t="shared" si="17"/>
        <v>0</v>
      </c>
      <c r="AH34" s="292">
        <f t="shared" si="18"/>
        <v>25950</v>
      </c>
      <c r="AI34" s="450"/>
      <c r="AJ34" s="560" t="str">
        <f t="shared" si="19"/>
        <v>0</v>
      </c>
      <c r="AK34" s="371">
        <f t="shared" si="2"/>
        <v>0</v>
      </c>
      <c r="AL34" s="449"/>
      <c r="AM34" s="560">
        <f t="shared" si="20"/>
        <v>0</v>
      </c>
      <c r="AN34" s="454">
        <f t="shared" si="23"/>
        <v>0</v>
      </c>
    </row>
    <row r="35" spans="1:41" ht="23.1" customHeight="1">
      <c r="A35" s="58">
        <f>Gen!B40</f>
        <v>44104</v>
      </c>
      <c r="B35" s="169"/>
      <c r="C35" s="97">
        <f t="shared" si="38"/>
        <v>0</v>
      </c>
      <c r="D35" s="1"/>
      <c r="E35" s="559">
        <f t="shared" si="27"/>
        <v>0</v>
      </c>
      <c r="F35" s="97">
        <f t="shared" si="4"/>
        <v>0</v>
      </c>
      <c r="G35" s="452"/>
      <c r="H35" s="559">
        <f t="shared" si="39"/>
        <v>0</v>
      </c>
      <c r="I35" s="97">
        <f t="shared" si="30"/>
        <v>0</v>
      </c>
      <c r="J35" s="1"/>
      <c r="K35" s="559">
        <f t="shared" si="41"/>
        <v>0</v>
      </c>
      <c r="L35" s="97">
        <f t="shared" si="31"/>
        <v>0</v>
      </c>
      <c r="M35" s="1"/>
      <c r="N35" s="559">
        <f t="shared" si="32"/>
        <v>0</v>
      </c>
      <c r="O35" s="97">
        <f t="shared" si="36"/>
        <v>0</v>
      </c>
      <c r="P35" s="448"/>
      <c r="Q35" s="559">
        <f t="shared" si="40"/>
        <v>0</v>
      </c>
      <c r="R35" s="297"/>
      <c r="S35" s="292">
        <f t="shared" si="33"/>
        <v>0</v>
      </c>
      <c r="T35" s="449"/>
      <c r="U35" s="560">
        <f t="shared" si="34"/>
        <v>0</v>
      </c>
      <c r="V35" s="292">
        <f t="shared" si="29"/>
        <v>0</v>
      </c>
      <c r="W35" s="449"/>
      <c r="X35" s="560">
        <f t="shared" si="13"/>
        <v>0</v>
      </c>
      <c r="Y35" s="292">
        <f t="shared" si="14"/>
        <v>0</v>
      </c>
      <c r="Z35" s="449"/>
      <c r="AA35" s="560">
        <f t="shared" si="15"/>
        <v>0</v>
      </c>
      <c r="AB35" s="756">
        <f t="shared" si="21"/>
        <v>0</v>
      </c>
      <c r="AC35" s="760"/>
      <c r="AD35" s="759">
        <f t="shared" si="22"/>
        <v>0</v>
      </c>
      <c r="AE35" s="292">
        <f t="shared" si="16"/>
        <v>0</v>
      </c>
      <c r="AF35" s="450"/>
      <c r="AG35" s="560">
        <f t="shared" si="17"/>
        <v>0</v>
      </c>
      <c r="AH35" s="292">
        <f t="shared" si="18"/>
        <v>0</v>
      </c>
      <c r="AI35" s="450"/>
      <c r="AJ35" s="560">
        <f t="shared" si="19"/>
        <v>0</v>
      </c>
      <c r="AK35" s="371">
        <f t="shared" si="2"/>
        <v>0</v>
      </c>
      <c r="AL35" s="449"/>
      <c r="AM35" s="560">
        <f t="shared" si="20"/>
        <v>0</v>
      </c>
      <c r="AN35" s="454">
        <f t="shared" si="23"/>
        <v>0</v>
      </c>
    </row>
    <row r="36" spans="1:41" ht="23.1" customHeight="1">
      <c r="A36" s="58">
        <f>Gen!B41</f>
        <v>0</v>
      </c>
      <c r="B36" s="170"/>
      <c r="C36" s="97">
        <f t="shared" si="38"/>
        <v>0</v>
      </c>
      <c r="D36" s="1"/>
      <c r="E36" s="559">
        <f t="shared" si="27"/>
        <v>0</v>
      </c>
      <c r="F36" s="97">
        <f t="shared" si="4"/>
        <v>0</v>
      </c>
      <c r="G36" s="452"/>
      <c r="H36" s="559">
        <f t="shared" si="39"/>
        <v>0</v>
      </c>
      <c r="I36" s="97">
        <f t="shared" si="30"/>
        <v>0</v>
      </c>
      <c r="J36" s="1"/>
      <c r="K36" s="559">
        <f t="shared" si="41"/>
        <v>0</v>
      </c>
      <c r="L36" s="97">
        <f t="shared" si="31"/>
        <v>0</v>
      </c>
      <c r="M36" s="1"/>
      <c r="N36" s="559">
        <f t="shared" si="32"/>
        <v>0</v>
      </c>
      <c r="O36" s="97">
        <f t="shared" si="36"/>
        <v>0</v>
      </c>
      <c r="P36" s="448"/>
      <c r="Q36" s="559">
        <f t="shared" si="40"/>
        <v>0</v>
      </c>
      <c r="R36" s="297"/>
      <c r="S36" s="292">
        <f t="shared" si="33"/>
        <v>0</v>
      </c>
      <c r="T36" s="449"/>
      <c r="U36" s="560">
        <f t="shared" si="34"/>
        <v>0</v>
      </c>
      <c r="V36" s="292">
        <f t="shared" si="29"/>
        <v>0</v>
      </c>
      <c r="W36" s="449"/>
      <c r="X36" s="560">
        <f t="shared" si="13"/>
        <v>0</v>
      </c>
      <c r="Y36" s="292">
        <f t="shared" si="14"/>
        <v>0</v>
      </c>
      <c r="Z36" s="449"/>
      <c r="AA36" s="560">
        <f t="shared" si="15"/>
        <v>0</v>
      </c>
      <c r="AB36" s="756">
        <f t="shared" si="21"/>
        <v>0</v>
      </c>
      <c r="AC36" s="760"/>
      <c r="AD36" s="759">
        <f t="shared" si="22"/>
        <v>0</v>
      </c>
      <c r="AE36" s="292">
        <f t="shared" si="16"/>
        <v>0</v>
      </c>
      <c r="AF36" s="450"/>
      <c r="AG36" s="560">
        <f t="shared" si="17"/>
        <v>0</v>
      </c>
      <c r="AH36" s="292">
        <f t="shared" si="18"/>
        <v>0</v>
      </c>
      <c r="AI36" s="450"/>
      <c r="AJ36" s="560">
        <f t="shared" si="19"/>
        <v>0</v>
      </c>
      <c r="AK36" s="371">
        <f t="shared" si="2"/>
        <v>0</v>
      </c>
      <c r="AL36" s="449"/>
      <c r="AM36" s="560">
        <f t="shared" si="20"/>
        <v>0</v>
      </c>
      <c r="AN36" s="454">
        <f t="shared" si="23"/>
        <v>0</v>
      </c>
    </row>
    <row r="37" spans="1:41" ht="24" customHeight="1">
      <c r="A37" s="58">
        <f>Gen!B42</f>
        <v>0</v>
      </c>
      <c r="B37" s="3"/>
      <c r="C37" s="97">
        <f t="shared" si="38"/>
        <v>0</v>
      </c>
      <c r="D37" s="1"/>
      <c r="E37" s="559">
        <f t="shared" si="27"/>
        <v>0</v>
      </c>
      <c r="F37" s="97">
        <f t="shared" si="4"/>
        <v>0</v>
      </c>
      <c r="G37" s="452"/>
      <c r="H37" s="559">
        <f t="shared" si="39"/>
        <v>0</v>
      </c>
      <c r="I37" s="97">
        <f t="shared" si="30"/>
        <v>0</v>
      </c>
      <c r="J37" s="1"/>
      <c r="K37" s="559">
        <f t="shared" si="41"/>
        <v>0</v>
      </c>
      <c r="L37" s="97">
        <f t="shared" si="31"/>
        <v>0</v>
      </c>
      <c r="M37" s="1"/>
      <c r="N37" s="559">
        <f t="shared" si="32"/>
        <v>0</v>
      </c>
      <c r="O37" s="97">
        <f t="shared" si="36"/>
        <v>0</v>
      </c>
      <c r="P37" s="448"/>
      <c r="Q37" s="559">
        <f t="shared" si="40"/>
        <v>0</v>
      </c>
      <c r="R37" s="297"/>
      <c r="S37" s="292">
        <f t="shared" si="33"/>
        <v>0</v>
      </c>
      <c r="T37" s="449"/>
      <c r="U37" s="560">
        <f t="shared" si="34"/>
        <v>0</v>
      </c>
      <c r="V37" s="292">
        <f t="shared" si="29"/>
        <v>0</v>
      </c>
      <c r="W37" s="449"/>
      <c r="X37" s="560">
        <f t="shared" si="13"/>
        <v>0</v>
      </c>
      <c r="Y37" s="292">
        <f t="shared" si="14"/>
        <v>0</v>
      </c>
      <c r="Z37" s="449"/>
      <c r="AA37" s="560">
        <f t="shared" si="15"/>
        <v>0</v>
      </c>
      <c r="AB37" s="756">
        <f t="shared" si="21"/>
        <v>0</v>
      </c>
      <c r="AC37" s="760"/>
      <c r="AD37" s="759">
        <f t="shared" si="22"/>
        <v>0</v>
      </c>
      <c r="AE37" s="292">
        <f t="shared" si="16"/>
        <v>0</v>
      </c>
      <c r="AF37" s="450"/>
      <c r="AG37" s="560">
        <f t="shared" si="17"/>
        <v>0</v>
      </c>
      <c r="AH37" s="292">
        <f t="shared" si="18"/>
        <v>0</v>
      </c>
      <c r="AI37" s="450"/>
      <c r="AJ37" s="560">
        <f t="shared" si="19"/>
        <v>0</v>
      </c>
      <c r="AK37" s="371">
        <f t="shared" si="2"/>
        <v>0</v>
      </c>
      <c r="AL37" s="449"/>
      <c r="AM37" s="560">
        <f t="shared" si="20"/>
        <v>0</v>
      </c>
      <c r="AN37" s="454">
        <f t="shared" ref="AN37" si="42">U38+X38+AA38+AD38+AG38+AJ38+AM38</f>
        <v>1350</v>
      </c>
    </row>
    <row r="38" spans="1:41" ht="18.75">
      <c r="A38" s="58"/>
      <c r="B38" s="22"/>
      <c r="C38" s="877" t="s">
        <v>6</v>
      </c>
      <c r="D38" s="877"/>
      <c r="E38" s="23">
        <f>SUM(E6:E36)</f>
        <v>1454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27</v>
      </c>
      <c r="L38" s="168"/>
      <c r="M38" s="168"/>
      <c r="N38" s="29">
        <f t="shared" ref="N38" si="43">M38-M37</f>
        <v>0</v>
      </c>
      <c r="O38" s="27"/>
      <c r="P38" s="294"/>
      <c r="Q38" s="295">
        <f t="shared" ref="Q38" si="44">P38-O38</f>
        <v>0</v>
      </c>
      <c r="R38" s="296">
        <f>E38</f>
        <v>1454</v>
      </c>
      <c r="S38" s="294"/>
      <c r="T38" s="294"/>
      <c r="U38" s="304">
        <f>SUM(U6:U37)</f>
        <v>1350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5">IF((AI39-AI37)&lt;0,"0",(AI39-AI37))</f>
        <v>0</v>
      </c>
      <c r="AK38" s="294"/>
      <c r="AL38" s="294"/>
      <c r="AM38" s="294"/>
      <c r="AN38" s="300">
        <f t="shared" ref="AN38" si="46">U38+X38+AA38+AD38+AG38+AJ38+AM38</f>
        <v>1350</v>
      </c>
    </row>
    <row r="40" spans="1:41">
      <c r="R40" s="20"/>
      <c r="AF40" t="s">
        <v>251</v>
      </c>
    </row>
    <row r="41" spans="1:41" ht="13.5" thickBot="1">
      <c r="R41" s="20"/>
    </row>
    <row r="42" spans="1:41" ht="18.75" thickBot="1">
      <c r="A42" s="846"/>
      <c r="B42" s="328"/>
      <c r="C42" s="843" t="s">
        <v>220</v>
      </c>
      <c r="D42" s="844"/>
      <c r="E42" s="844"/>
      <c r="F42" s="844"/>
      <c r="G42" s="844"/>
      <c r="H42" s="844"/>
      <c r="I42" s="844"/>
      <c r="J42" s="844"/>
      <c r="K42" s="845"/>
      <c r="R42" s="20"/>
    </row>
    <row r="43" spans="1:41" ht="24.75" customHeight="1">
      <c r="A43" s="847"/>
      <c r="B43" s="20"/>
      <c r="C43" s="849" t="s">
        <v>214</v>
      </c>
      <c r="D43" s="850"/>
      <c r="E43" s="851" t="s">
        <v>235</v>
      </c>
      <c r="F43" s="852"/>
      <c r="G43" s="853" t="s">
        <v>215</v>
      </c>
      <c r="H43" s="854"/>
      <c r="I43" s="853" t="s">
        <v>236</v>
      </c>
      <c r="J43" s="854"/>
      <c r="K43" s="841" t="s">
        <v>221</v>
      </c>
      <c r="R43" s="20"/>
      <c r="T43" s="566"/>
      <c r="U43" s="566"/>
      <c r="V43" s="566"/>
      <c r="W43" s="566"/>
      <c r="X43" s="566"/>
      <c r="Y43" s="566"/>
      <c r="Z43" s="566"/>
      <c r="AA43" s="566"/>
      <c r="AB43" s="566"/>
      <c r="AC43" s="566"/>
      <c r="AD43" s="566"/>
      <c r="AE43" s="566"/>
      <c r="AF43" s="566"/>
      <c r="AG43" s="566"/>
      <c r="AH43" s="566"/>
      <c r="AI43" s="566"/>
      <c r="AJ43" s="566"/>
      <c r="AK43" s="566"/>
      <c r="AL43" s="566"/>
      <c r="AM43" s="566"/>
      <c r="AN43" s="566"/>
      <c r="AO43" s="566"/>
    </row>
    <row r="44" spans="1:41" ht="21" customHeight="1" thickBot="1">
      <c r="A44" s="847"/>
      <c r="B44" s="20"/>
      <c r="C44" s="855" t="s">
        <v>216</v>
      </c>
      <c r="D44" s="856"/>
      <c r="E44" s="855" t="s">
        <v>217</v>
      </c>
      <c r="F44" s="856"/>
      <c r="G44" s="855" t="s">
        <v>218</v>
      </c>
      <c r="H44" s="856"/>
      <c r="I44" s="855" t="s">
        <v>219</v>
      </c>
      <c r="J44" s="856"/>
      <c r="K44" s="842"/>
      <c r="R44" s="20"/>
      <c r="T44" s="566"/>
      <c r="U44" s="566"/>
      <c r="V44" s="566"/>
      <c r="W44" s="566"/>
      <c r="X44" s="566"/>
      <c r="Y44" s="566"/>
      <c r="Z44" s="566"/>
      <c r="AA44" s="566"/>
      <c r="AB44" s="566"/>
      <c r="AC44" s="566"/>
      <c r="AD44" s="566"/>
      <c r="AE44" s="566"/>
      <c r="AF44" s="566"/>
      <c r="AG44" s="566"/>
      <c r="AH44" s="566"/>
      <c r="AI44" s="566"/>
      <c r="AJ44" s="566"/>
      <c r="AK44" s="566"/>
      <c r="AL44" s="566"/>
      <c r="AM44" s="566"/>
      <c r="AN44" s="566"/>
      <c r="AO44" s="566"/>
    </row>
    <row r="45" spans="1:41" ht="21" customHeight="1" thickBot="1">
      <c r="A45" s="848"/>
      <c r="B45" s="20"/>
      <c r="C45" s="383" t="s">
        <v>223</v>
      </c>
      <c r="D45" s="384" t="s">
        <v>222</v>
      </c>
      <c r="E45" s="385" t="s">
        <v>223</v>
      </c>
      <c r="F45" s="386" t="s">
        <v>222</v>
      </c>
      <c r="G45" s="561"/>
      <c r="H45" s="386" t="s">
        <v>222</v>
      </c>
      <c r="I45" s="385" t="s">
        <v>223</v>
      </c>
      <c r="J45" s="386" t="s">
        <v>222</v>
      </c>
      <c r="K45" s="387" t="s">
        <v>222</v>
      </c>
      <c r="R45" s="20"/>
      <c r="T45" s="566"/>
      <c r="U45" s="566"/>
      <c r="V45" s="566"/>
      <c r="W45" s="566"/>
      <c r="X45" s="566"/>
      <c r="Y45" s="566"/>
      <c r="Z45" s="566"/>
      <c r="AA45" s="566"/>
      <c r="AB45" s="566"/>
      <c r="AC45" s="566"/>
      <c r="AD45" s="566"/>
      <c r="AE45" s="566"/>
      <c r="AF45" s="566"/>
      <c r="AG45" s="566"/>
      <c r="AH45" s="566"/>
      <c r="AI45" s="566"/>
      <c r="AJ45" s="566"/>
      <c r="AK45" s="566"/>
      <c r="AL45" s="566"/>
      <c r="AM45" s="566"/>
      <c r="AN45" s="566"/>
      <c r="AO45" s="566"/>
    </row>
    <row r="46" spans="1:41" ht="20.25" customHeight="1">
      <c r="A46" s="345">
        <f>Gen!B11</f>
        <v>44075</v>
      </c>
      <c r="B46" s="20"/>
      <c r="C46" s="63">
        <v>285</v>
      </c>
      <c r="D46" s="382">
        <f t="shared" ref="D46:D77" si="47">C46*217/300</f>
        <v>206.15</v>
      </c>
      <c r="E46" s="6">
        <v>215</v>
      </c>
      <c r="F46" s="382">
        <f t="shared" ref="F46:F77" si="48">E46*92/305</f>
        <v>64.852459016393439</v>
      </c>
      <c r="G46" s="562">
        <v>205</v>
      </c>
      <c r="H46" s="382">
        <f t="shared" ref="H46:H77" si="49">G46*146/383</f>
        <v>78.146214099216706</v>
      </c>
      <c r="I46" s="6">
        <v>298</v>
      </c>
      <c r="J46" s="382">
        <f t="shared" ref="J46:J77" si="50">I46*213/308</f>
        <v>206.08441558441558</v>
      </c>
      <c r="K46" s="388">
        <f>D46+F46+H46+J46</f>
        <v>555.23308870002575</v>
      </c>
      <c r="T46" s="566"/>
      <c r="U46" s="566"/>
      <c r="V46" s="566"/>
      <c r="W46" s="566"/>
      <c r="X46" s="566"/>
      <c r="Y46" s="566"/>
      <c r="Z46" s="566"/>
      <c r="AA46" s="566"/>
      <c r="AB46" s="566"/>
      <c r="AC46" s="566"/>
      <c r="AD46" s="566"/>
      <c r="AE46" s="566"/>
      <c r="AF46" s="566"/>
      <c r="AG46" s="566"/>
      <c r="AH46" s="566"/>
      <c r="AI46" s="566"/>
      <c r="AJ46" s="566"/>
      <c r="AK46" s="566"/>
      <c r="AL46" s="566"/>
      <c r="AM46" s="566"/>
      <c r="AN46" s="566"/>
      <c r="AO46" s="566"/>
    </row>
    <row r="47" spans="1:41" ht="13.5">
      <c r="A47" s="345">
        <f>Gen!B12</f>
        <v>44076</v>
      </c>
      <c r="B47" s="20"/>
      <c r="C47" s="63">
        <v>245</v>
      </c>
      <c r="D47" s="382">
        <f t="shared" si="47"/>
        <v>177.21666666666667</v>
      </c>
      <c r="E47" s="6">
        <v>200</v>
      </c>
      <c r="F47" s="382">
        <f t="shared" si="48"/>
        <v>60.327868852459019</v>
      </c>
      <c r="G47" s="562">
        <v>300</v>
      </c>
      <c r="H47" s="382">
        <f t="shared" si="49"/>
        <v>114.36031331592689</v>
      </c>
      <c r="I47" s="6">
        <v>298</v>
      </c>
      <c r="J47" s="382">
        <f t="shared" si="50"/>
        <v>206.08441558441558</v>
      </c>
      <c r="K47" s="388">
        <f t="shared" ref="K47:K77" si="51">D47+F47+H47+J47</f>
        <v>557.9892644194681</v>
      </c>
      <c r="T47" s="566"/>
      <c r="U47" s="566"/>
      <c r="V47" s="566"/>
      <c r="W47" s="566"/>
      <c r="X47" s="566"/>
      <c r="Y47" s="566"/>
      <c r="Z47" s="566"/>
      <c r="AA47" s="566"/>
      <c r="AB47" s="566"/>
      <c r="AC47" s="566"/>
      <c r="AD47" s="566"/>
      <c r="AE47" s="566"/>
      <c r="AF47" s="566"/>
      <c r="AG47" s="566"/>
      <c r="AH47" s="566"/>
      <c r="AI47" s="566"/>
      <c r="AJ47" s="566"/>
      <c r="AK47" s="566"/>
      <c r="AL47" s="566"/>
      <c r="AM47" s="566"/>
      <c r="AN47" s="566"/>
      <c r="AO47" s="566"/>
    </row>
    <row r="48" spans="1:41" ht="13.5">
      <c r="A48" s="345">
        <f>Gen!B13</f>
        <v>44077</v>
      </c>
      <c r="B48" s="20"/>
      <c r="C48" s="63">
        <v>300</v>
      </c>
      <c r="D48" s="382">
        <f t="shared" si="47"/>
        <v>217</v>
      </c>
      <c r="E48" s="6">
        <v>295</v>
      </c>
      <c r="F48" s="382">
        <f t="shared" si="48"/>
        <v>88.983606557377044</v>
      </c>
      <c r="G48" s="562">
        <v>185</v>
      </c>
      <c r="H48" s="382">
        <f t="shared" si="49"/>
        <v>70.522193211488258</v>
      </c>
      <c r="I48" s="6">
        <v>308</v>
      </c>
      <c r="J48" s="382">
        <f t="shared" si="50"/>
        <v>213</v>
      </c>
      <c r="K48" s="388">
        <f t="shared" si="51"/>
        <v>589.50579976886524</v>
      </c>
      <c r="T48" s="566"/>
      <c r="U48" s="566"/>
      <c r="V48" s="566"/>
      <c r="W48" s="566"/>
      <c r="X48" s="566"/>
      <c r="Y48" s="566"/>
      <c r="Z48" s="566"/>
      <c r="AA48" s="566"/>
      <c r="AB48" s="566"/>
      <c r="AC48" s="566"/>
      <c r="AD48" s="566"/>
      <c r="AE48" s="566"/>
      <c r="AF48" s="566"/>
      <c r="AG48" s="566"/>
      <c r="AH48" s="566"/>
      <c r="AI48" s="566"/>
      <c r="AJ48" s="566"/>
      <c r="AK48" s="566"/>
      <c r="AL48" s="566"/>
      <c r="AM48" s="566"/>
      <c r="AN48" s="566"/>
      <c r="AO48" s="566"/>
    </row>
    <row r="49" spans="1:15" ht="13.5">
      <c r="A49" s="345">
        <f>Gen!B14</f>
        <v>44078</v>
      </c>
      <c r="B49" s="20"/>
      <c r="C49" s="63">
        <v>295</v>
      </c>
      <c r="D49" s="382">
        <f t="shared" si="47"/>
        <v>213.38333333333333</v>
      </c>
      <c r="E49" s="6">
        <v>260</v>
      </c>
      <c r="F49" s="382">
        <f t="shared" si="48"/>
        <v>78.426229508196727</v>
      </c>
      <c r="G49" s="562">
        <v>280</v>
      </c>
      <c r="H49" s="382">
        <f t="shared" si="49"/>
        <v>106.73629242819844</v>
      </c>
      <c r="I49" s="6">
        <v>298</v>
      </c>
      <c r="J49" s="382">
        <f t="shared" si="50"/>
        <v>206.08441558441558</v>
      </c>
      <c r="K49" s="388">
        <f t="shared" si="51"/>
        <v>604.6302708541441</v>
      </c>
    </row>
    <row r="50" spans="1:15" ht="13.5">
      <c r="A50" s="345">
        <f>Gen!B15</f>
        <v>44079</v>
      </c>
      <c r="B50" s="20"/>
      <c r="C50" s="63">
        <v>280</v>
      </c>
      <c r="D50" s="382">
        <f t="shared" si="47"/>
        <v>202.53333333333333</v>
      </c>
      <c r="E50" s="6">
        <v>255</v>
      </c>
      <c r="F50" s="382">
        <f t="shared" si="48"/>
        <v>76.918032786885249</v>
      </c>
      <c r="G50" s="562">
        <v>300</v>
      </c>
      <c r="H50" s="382">
        <f t="shared" si="49"/>
        <v>114.36031331592689</v>
      </c>
      <c r="I50" s="6">
        <v>298</v>
      </c>
      <c r="J50" s="382">
        <f t="shared" si="50"/>
        <v>206.08441558441558</v>
      </c>
      <c r="K50" s="388">
        <f t="shared" si="51"/>
        <v>599.89609502056101</v>
      </c>
    </row>
    <row r="51" spans="1:15" ht="13.5">
      <c r="A51" s="345">
        <f>Gen!B16</f>
        <v>44080</v>
      </c>
      <c r="B51" s="20"/>
      <c r="C51" s="63">
        <v>300</v>
      </c>
      <c r="D51" s="382">
        <f t="shared" si="47"/>
        <v>217</v>
      </c>
      <c r="E51" s="6">
        <v>235</v>
      </c>
      <c r="F51" s="382">
        <f t="shared" si="48"/>
        <v>70.885245901639351</v>
      </c>
      <c r="G51" s="562">
        <v>195</v>
      </c>
      <c r="H51" s="382">
        <f t="shared" si="49"/>
        <v>74.334203655352482</v>
      </c>
      <c r="I51" s="6">
        <v>298</v>
      </c>
      <c r="J51" s="382">
        <f t="shared" si="50"/>
        <v>206.08441558441558</v>
      </c>
      <c r="K51" s="388">
        <f t="shared" si="51"/>
        <v>568.30386514140741</v>
      </c>
    </row>
    <row r="52" spans="1:15" ht="13.5">
      <c r="A52" s="345">
        <f>Gen!B17</f>
        <v>44081</v>
      </c>
      <c r="B52" s="20"/>
      <c r="C52" s="63">
        <v>285</v>
      </c>
      <c r="D52" s="382">
        <f t="shared" si="47"/>
        <v>206.15</v>
      </c>
      <c r="E52" s="6">
        <v>240</v>
      </c>
      <c r="F52" s="382">
        <f t="shared" si="48"/>
        <v>72.393442622950815</v>
      </c>
      <c r="G52" s="562">
        <v>250</v>
      </c>
      <c r="H52" s="382">
        <f t="shared" si="49"/>
        <v>95.300261096605738</v>
      </c>
      <c r="I52" s="6">
        <v>298</v>
      </c>
      <c r="J52" s="382">
        <f t="shared" si="50"/>
        <v>206.08441558441558</v>
      </c>
      <c r="K52" s="388">
        <f t="shared" si="51"/>
        <v>579.92811930397215</v>
      </c>
    </row>
    <row r="53" spans="1:15" ht="13.5">
      <c r="A53" s="345">
        <f>Gen!B18</f>
        <v>44082</v>
      </c>
      <c r="B53" s="20"/>
      <c r="C53" s="63">
        <v>295</v>
      </c>
      <c r="D53" s="382">
        <f t="shared" si="47"/>
        <v>213.38333333333333</v>
      </c>
      <c r="E53" s="6">
        <v>285</v>
      </c>
      <c r="F53" s="382">
        <f t="shared" si="48"/>
        <v>85.967213114754102</v>
      </c>
      <c r="G53" s="562">
        <v>215</v>
      </c>
      <c r="H53" s="382">
        <f t="shared" si="49"/>
        <v>81.958224543080945</v>
      </c>
      <c r="I53" s="6">
        <v>298</v>
      </c>
      <c r="J53" s="382">
        <f t="shared" si="50"/>
        <v>206.08441558441558</v>
      </c>
      <c r="K53" s="388">
        <f t="shared" si="51"/>
        <v>587.39318657558397</v>
      </c>
    </row>
    <row r="54" spans="1:15" ht="13.5">
      <c r="A54" s="345">
        <f>Gen!B19</f>
        <v>44083</v>
      </c>
      <c r="B54" s="20"/>
      <c r="C54" s="63">
        <v>275</v>
      </c>
      <c r="D54" s="382">
        <f t="shared" si="47"/>
        <v>198.91666666666666</v>
      </c>
      <c r="E54" s="6">
        <v>230</v>
      </c>
      <c r="F54" s="382">
        <f t="shared" si="48"/>
        <v>69.377049180327873</v>
      </c>
      <c r="G54" s="562">
        <v>255</v>
      </c>
      <c r="H54" s="382">
        <f t="shared" si="49"/>
        <v>97.206266318537857</v>
      </c>
      <c r="I54" s="6">
        <v>298</v>
      </c>
      <c r="J54" s="382">
        <f t="shared" si="50"/>
        <v>206.08441558441558</v>
      </c>
      <c r="K54" s="388">
        <f t="shared" si="51"/>
        <v>571.58439774994804</v>
      </c>
    </row>
    <row r="55" spans="1:15" ht="13.5">
      <c r="A55" s="345">
        <f>Gen!B20</f>
        <v>44084</v>
      </c>
      <c r="B55" s="20"/>
      <c r="C55" s="63">
        <v>250</v>
      </c>
      <c r="D55" s="382">
        <f t="shared" si="47"/>
        <v>180.83333333333334</v>
      </c>
      <c r="E55" s="6">
        <v>215</v>
      </c>
      <c r="F55" s="382">
        <f t="shared" si="48"/>
        <v>64.852459016393439</v>
      </c>
      <c r="G55" s="562">
        <v>210</v>
      </c>
      <c r="H55" s="382">
        <f t="shared" si="49"/>
        <v>80.052219321148826</v>
      </c>
      <c r="I55" s="6">
        <v>298</v>
      </c>
      <c r="J55" s="382">
        <f t="shared" si="50"/>
        <v>206.08441558441558</v>
      </c>
      <c r="K55" s="388">
        <f t="shared" si="51"/>
        <v>531.82242725529113</v>
      </c>
    </row>
    <row r="56" spans="1:15" ht="13.5">
      <c r="A56" s="345">
        <f>Gen!B21</f>
        <v>44085</v>
      </c>
      <c r="B56" s="20"/>
      <c r="C56" s="63">
        <v>175</v>
      </c>
      <c r="D56" s="382">
        <f t="shared" si="47"/>
        <v>126.58333333333333</v>
      </c>
      <c r="E56" s="6">
        <v>135</v>
      </c>
      <c r="F56" s="382">
        <f t="shared" si="48"/>
        <v>40.721311475409834</v>
      </c>
      <c r="G56" s="562">
        <v>300</v>
      </c>
      <c r="H56" s="382">
        <f t="shared" si="49"/>
        <v>114.36031331592689</v>
      </c>
      <c r="I56" s="6">
        <v>298</v>
      </c>
      <c r="J56" s="382">
        <f t="shared" si="50"/>
        <v>206.08441558441558</v>
      </c>
      <c r="K56" s="388">
        <f t="shared" si="51"/>
        <v>487.7493737090856</v>
      </c>
    </row>
    <row r="57" spans="1:15" ht="13.5">
      <c r="A57" s="345">
        <f>Gen!B22</f>
        <v>44086</v>
      </c>
      <c r="B57" s="20"/>
      <c r="C57" s="63">
        <v>250</v>
      </c>
      <c r="D57" s="382">
        <f t="shared" si="47"/>
        <v>180.83333333333334</v>
      </c>
      <c r="E57" s="6">
        <v>215</v>
      </c>
      <c r="F57" s="382">
        <f t="shared" si="48"/>
        <v>64.852459016393439</v>
      </c>
      <c r="G57" s="562">
        <v>200</v>
      </c>
      <c r="H57" s="382">
        <f t="shared" si="49"/>
        <v>76.240208877284601</v>
      </c>
      <c r="I57" s="6">
        <v>298</v>
      </c>
      <c r="J57" s="382">
        <f t="shared" si="50"/>
        <v>206.08441558441558</v>
      </c>
      <c r="K57" s="388">
        <f t="shared" si="51"/>
        <v>528.01041681142692</v>
      </c>
    </row>
    <row r="58" spans="1:15" ht="13.5">
      <c r="A58" s="345">
        <f>Gen!B23</f>
        <v>44087</v>
      </c>
      <c r="B58" s="20"/>
      <c r="C58" s="63">
        <v>280</v>
      </c>
      <c r="D58" s="382">
        <f t="shared" si="47"/>
        <v>202.53333333333333</v>
      </c>
      <c r="E58" s="6">
        <v>255</v>
      </c>
      <c r="F58" s="382">
        <f t="shared" si="48"/>
        <v>76.918032786885249</v>
      </c>
      <c r="G58" s="562">
        <v>95</v>
      </c>
      <c r="H58" s="382">
        <f t="shared" si="49"/>
        <v>36.214099216710181</v>
      </c>
      <c r="I58" s="6">
        <v>280</v>
      </c>
      <c r="J58" s="382">
        <f t="shared" si="50"/>
        <v>193.63636363636363</v>
      </c>
      <c r="K58" s="388">
        <f t="shared" si="51"/>
        <v>509.3018289732924</v>
      </c>
    </row>
    <row r="59" spans="1:15" ht="13.5">
      <c r="A59" s="345">
        <f>Gen!B24</f>
        <v>44088</v>
      </c>
      <c r="B59" s="20"/>
      <c r="C59" s="63">
        <v>300</v>
      </c>
      <c r="D59" s="382">
        <f t="shared" si="47"/>
        <v>217</v>
      </c>
      <c r="E59" s="6">
        <v>300</v>
      </c>
      <c r="F59" s="382">
        <f t="shared" si="48"/>
        <v>90.491803278688522</v>
      </c>
      <c r="G59" s="562">
        <v>15</v>
      </c>
      <c r="H59" s="382">
        <f t="shared" si="49"/>
        <v>5.7180156657963446</v>
      </c>
      <c r="I59" s="6">
        <v>295</v>
      </c>
      <c r="J59" s="382">
        <f t="shared" si="50"/>
        <v>204.00974025974025</v>
      </c>
      <c r="K59" s="388">
        <f t="shared" si="51"/>
        <v>517.21955920422511</v>
      </c>
    </row>
    <row r="60" spans="1:15" ht="13.5">
      <c r="A60" s="345">
        <f>Gen!B25</f>
        <v>44089</v>
      </c>
      <c r="B60" s="20"/>
      <c r="C60" s="63">
        <v>300</v>
      </c>
      <c r="D60" s="382">
        <f t="shared" si="47"/>
        <v>217</v>
      </c>
      <c r="E60" s="6">
        <v>300</v>
      </c>
      <c r="F60" s="382">
        <f t="shared" si="48"/>
        <v>90.491803278688522</v>
      </c>
      <c r="G60" s="562">
        <v>45</v>
      </c>
      <c r="H60" s="382">
        <f t="shared" si="49"/>
        <v>17.154046997389035</v>
      </c>
      <c r="I60" s="6">
        <v>215</v>
      </c>
      <c r="J60" s="382">
        <f t="shared" si="50"/>
        <v>148.68506493506493</v>
      </c>
      <c r="K60" s="388">
        <f t="shared" si="51"/>
        <v>473.3309152111425</v>
      </c>
      <c r="L60" t="s">
        <v>247</v>
      </c>
      <c r="O60" t="s">
        <v>248</v>
      </c>
    </row>
    <row r="61" spans="1:15" ht="13.5">
      <c r="A61" s="345">
        <f>Gen!B26</f>
        <v>44090</v>
      </c>
      <c r="B61" s="20"/>
      <c r="C61" s="63">
        <v>300</v>
      </c>
      <c r="D61" s="382">
        <f t="shared" si="47"/>
        <v>217</v>
      </c>
      <c r="E61" s="6">
        <v>290</v>
      </c>
      <c r="F61" s="382">
        <f t="shared" si="48"/>
        <v>87.47540983606558</v>
      </c>
      <c r="G61" s="562">
        <v>85</v>
      </c>
      <c r="H61" s="382">
        <f t="shared" si="49"/>
        <v>32.40208877284595</v>
      </c>
      <c r="I61" s="6">
        <v>125</v>
      </c>
      <c r="J61" s="382">
        <f t="shared" si="50"/>
        <v>86.444805194805198</v>
      </c>
      <c r="K61" s="388">
        <f t="shared" si="51"/>
        <v>423.32230380371675</v>
      </c>
      <c r="L61" t="s">
        <v>250</v>
      </c>
      <c r="N61" t="s">
        <v>249</v>
      </c>
    </row>
    <row r="62" spans="1:15" ht="13.5">
      <c r="A62" s="345">
        <f>Gen!B27</f>
        <v>44091</v>
      </c>
      <c r="B62" s="20"/>
      <c r="C62" s="63">
        <v>300</v>
      </c>
      <c r="D62" s="382">
        <f t="shared" si="47"/>
        <v>217</v>
      </c>
      <c r="E62" s="6">
        <v>300</v>
      </c>
      <c r="F62" s="382">
        <f t="shared" si="48"/>
        <v>90.491803278688522</v>
      </c>
      <c r="G62" s="562">
        <v>0</v>
      </c>
      <c r="H62" s="382">
        <f t="shared" si="49"/>
        <v>0</v>
      </c>
      <c r="I62" s="6">
        <v>160</v>
      </c>
      <c r="J62" s="382">
        <f t="shared" si="50"/>
        <v>110.64935064935065</v>
      </c>
      <c r="K62" s="388">
        <f t="shared" si="51"/>
        <v>418.14115392803916</v>
      </c>
    </row>
    <row r="63" spans="1:15" ht="13.5">
      <c r="A63" s="345">
        <f>Gen!B28</f>
        <v>44092</v>
      </c>
      <c r="B63" s="20"/>
      <c r="C63" s="63">
        <v>270</v>
      </c>
      <c r="D63" s="382">
        <f t="shared" si="47"/>
        <v>195.3</v>
      </c>
      <c r="E63" s="6">
        <v>235</v>
      </c>
      <c r="F63" s="382">
        <f t="shared" si="48"/>
        <v>70.885245901639351</v>
      </c>
      <c r="G63" s="562">
        <v>35</v>
      </c>
      <c r="H63" s="382">
        <f t="shared" si="49"/>
        <v>13.342036553524805</v>
      </c>
      <c r="I63" s="6">
        <v>160</v>
      </c>
      <c r="J63" s="382">
        <f t="shared" si="50"/>
        <v>110.64935064935065</v>
      </c>
      <c r="K63" s="388">
        <f t="shared" si="51"/>
        <v>390.17663310451479</v>
      </c>
    </row>
    <row r="64" spans="1:15" ht="13.5">
      <c r="A64" s="345">
        <f>Gen!B29</f>
        <v>44093</v>
      </c>
      <c r="B64" s="20"/>
      <c r="C64" s="63">
        <v>300</v>
      </c>
      <c r="D64" s="382">
        <f t="shared" si="47"/>
        <v>217</v>
      </c>
      <c r="E64" s="6">
        <v>295</v>
      </c>
      <c r="F64" s="382">
        <f t="shared" si="48"/>
        <v>88.983606557377044</v>
      </c>
      <c r="G64" s="562">
        <v>10</v>
      </c>
      <c r="H64" s="382">
        <f t="shared" si="49"/>
        <v>3.8120104438642297</v>
      </c>
      <c r="I64" s="6">
        <v>125</v>
      </c>
      <c r="J64" s="382">
        <f t="shared" si="50"/>
        <v>86.444805194805198</v>
      </c>
      <c r="K64" s="388">
        <f t="shared" si="51"/>
        <v>396.24042219604644</v>
      </c>
    </row>
    <row r="65" spans="1:11" ht="13.5">
      <c r="A65" s="345">
        <f>Gen!B30</f>
        <v>44094</v>
      </c>
      <c r="B65" s="20"/>
      <c r="C65" s="63">
        <v>200</v>
      </c>
      <c r="D65" s="382">
        <f t="shared" si="47"/>
        <v>144.66666666666666</v>
      </c>
      <c r="E65" s="6">
        <v>160</v>
      </c>
      <c r="F65" s="382">
        <f t="shared" si="48"/>
        <v>48.26229508196721</v>
      </c>
      <c r="G65" s="562">
        <v>120</v>
      </c>
      <c r="H65" s="382">
        <f t="shared" si="49"/>
        <v>45.744125326370757</v>
      </c>
      <c r="I65" s="6">
        <v>295</v>
      </c>
      <c r="J65" s="382">
        <f t="shared" si="50"/>
        <v>204.00974025974025</v>
      </c>
      <c r="K65" s="388">
        <f t="shared" si="51"/>
        <v>442.68282733474484</v>
      </c>
    </row>
    <row r="66" spans="1:11" ht="13.5">
      <c r="A66" s="345">
        <f>Gen!B31</f>
        <v>44095</v>
      </c>
      <c r="B66" s="20"/>
      <c r="C66" s="63">
        <v>195</v>
      </c>
      <c r="D66" s="382">
        <f t="shared" si="47"/>
        <v>141.05000000000001</v>
      </c>
      <c r="E66" s="6">
        <v>155</v>
      </c>
      <c r="F66" s="382">
        <f t="shared" si="48"/>
        <v>46.754098360655739</v>
      </c>
      <c r="G66" s="562">
        <v>120</v>
      </c>
      <c r="H66" s="382">
        <f t="shared" si="49"/>
        <v>45.744125326370757</v>
      </c>
      <c r="I66" s="6">
        <v>295</v>
      </c>
      <c r="J66" s="382">
        <f t="shared" si="50"/>
        <v>204.00974025974025</v>
      </c>
      <c r="K66" s="388">
        <f t="shared" si="51"/>
        <v>437.55796394676679</v>
      </c>
    </row>
    <row r="67" spans="1:11" ht="13.5">
      <c r="A67" s="345">
        <f>Gen!B32</f>
        <v>44096</v>
      </c>
      <c r="B67" s="20"/>
      <c r="C67" s="63">
        <v>200</v>
      </c>
      <c r="D67" s="382">
        <f t="shared" si="47"/>
        <v>144.66666666666666</v>
      </c>
      <c r="E67" s="6">
        <v>160</v>
      </c>
      <c r="F67" s="382">
        <f t="shared" si="48"/>
        <v>48.26229508196721</v>
      </c>
      <c r="G67" s="562">
        <v>235</v>
      </c>
      <c r="H67" s="382">
        <f t="shared" si="49"/>
        <v>89.582245430809394</v>
      </c>
      <c r="I67" s="6">
        <v>300</v>
      </c>
      <c r="J67" s="382">
        <f t="shared" si="50"/>
        <v>207.46753246753246</v>
      </c>
      <c r="K67" s="388">
        <f t="shared" si="51"/>
        <v>489.97873964697573</v>
      </c>
    </row>
    <row r="68" spans="1:11" ht="13.5">
      <c r="A68" s="345">
        <f>Gen!B33</f>
        <v>44097</v>
      </c>
      <c r="B68" s="20"/>
      <c r="C68" s="63">
        <v>260</v>
      </c>
      <c r="D68" s="382">
        <f t="shared" si="47"/>
        <v>188.06666666666666</v>
      </c>
      <c r="E68" s="6">
        <v>225</v>
      </c>
      <c r="F68" s="382">
        <f t="shared" si="48"/>
        <v>67.868852459016395</v>
      </c>
      <c r="G68" s="562">
        <v>215</v>
      </c>
      <c r="H68" s="382">
        <f t="shared" si="49"/>
        <v>81.958224543080945</v>
      </c>
      <c r="I68" s="6">
        <v>295</v>
      </c>
      <c r="J68" s="382">
        <f t="shared" si="50"/>
        <v>204.00974025974025</v>
      </c>
      <c r="K68" s="388">
        <f t="shared" si="51"/>
        <v>541.90348392850433</v>
      </c>
    </row>
    <row r="69" spans="1:11" ht="13.5">
      <c r="A69" s="345">
        <f>Gen!B34</f>
        <v>44098</v>
      </c>
      <c r="B69" s="20"/>
      <c r="C69" s="63">
        <v>295</v>
      </c>
      <c r="D69" s="382">
        <f t="shared" si="47"/>
        <v>213.38333333333333</v>
      </c>
      <c r="E69" s="6">
        <v>265</v>
      </c>
      <c r="F69" s="382">
        <f t="shared" si="48"/>
        <v>79.93442622950819</v>
      </c>
      <c r="G69" s="562">
        <v>195</v>
      </c>
      <c r="H69" s="382">
        <f t="shared" si="49"/>
        <v>74.334203655352482</v>
      </c>
      <c r="I69" s="6">
        <v>295</v>
      </c>
      <c r="J69" s="382">
        <f t="shared" si="50"/>
        <v>204.00974025974025</v>
      </c>
      <c r="K69" s="388">
        <f t="shared" si="51"/>
        <v>571.66170347793422</v>
      </c>
    </row>
    <row r="70" spans="1:11" ht="13.5">
      <c r="A70" s="345">
        <f>Gen!B35</f>
        <v>44099</v>
      </c>
      <c r="B70" s="20"/>
      <c r="C70" s="63">
        <v>300</v>
      </c>
      <c r="D70" s="382">
        <f t="shared" si="47"/>
        <v>217</v>
      </c>
      <c r="E70" s="6">
        <v>300</v>
      </c>
      <c r="F70" s="382">
        <f t="shared" si="48"/>
        <v>90.491803278688522</v>
      </c>
      <c r="G70" s="562">
        <v>215</v>
      </c>
      <c r="H70" s="382">
        <f t="shared" si="49"/>
        <v>81.958224543080945</v>
      </c>
      <c r="I70" s="6">
        <v>295</v>
      </c>
      <c r="J70" s="382">
        <f t="shared" si="50"/>
        <v>204.00974025974025</v>
      </c>
      <c r="K70" s="388">
        <f t="shared" si="51"/>
        <v>593.45976808150976</v>
      </c>
    </row>
    <row r="71" spans="1:11" ht="13.5">
      <c r="A71" s="345">
        <f>Gen!B36</f>
        <v>44100</v>
      </c>
      <c r="B71" s="20"/>
      <c r="C71" s="63">
        <v>285</v>
      </c>
      <c r="D71" s="382">
        <f t="shared" si="47"/>
        <v>206.15</v>
      </c>
      <c r="E71" s="6">
        <v>250</v>
      </c>
      <c r="F71" s="382">
        <f t="shared" si="48"/>
        <v>75.409836065573771</v>
      </c>
      <c r="G71" s="562">
        <v>260</v>
      </c>
      <c r="H71" s="382">
        <f t="shared" si="49"/>
        <v>99.112271540469976</v>
      </c>
      <c r="I71" s="6">
        <v>295</v>
      </c>
      <c r="J71" s="382">
        <f t="shared" si="50"/>
        <v>204.00974025974025</v>
      </c>
      <c r="K71" s="388">
        <f t="shared" si="51"/>
        <v>584.68184786578399</v>
      </c>
    </row>
    <row r="72" spans="1:11" ht="13.5">
      <c r="A72" s="345">
        <f>Gen!B37</f>
        <v>44101</v>
      </c>
      <c r="B72" s="20"/>
      <c r="C72" s="63">
        <v>298</v>
      </c>
      <c r="D72" s="382">
        <f t="shared" si="47"/>
        <v>215.55333333333334</v>
      </c>
      <c r="E72" s="6">
        <v>275</v>
      </c>
      <c r="F72" s="382">
        <f t="shared" si="48"/>
        <v>82.950819672131146</v>
      </c>
      <c r="G72" s="562">
        <v>250</v>
      </c>
      <c r="H72" s="382">
        <f t="shared" si="49"/>
        <v>95.300261096605738</v>
      </c>
      <c r="I72" s="6">
        <v>280</v>
      </c>
      <c r="J72" s="382">
        <f t="shared" si="50"/>
        <v>193.63636363636363</v>
      </c>
      <c r="K72" s="388">
        <f t="shared" si="51"/>
        <v>587.44077773843389</v>
      </c>
    </row>
    <row r="73" spans="1:11" ht="13.5">
      <c r="A73" s="345">
        <f>Gen!B38</f>
        <v>44102</v>
      </c>
      <c r="B73" s="20"/>
      <c r="C73" s="63">
        <v>295</v>
      </c>
      <c r="D73" s="382">
        <f t="shared" si="47"/>
        <v>213.38333333333333</v>
      </c>
      <c r="E73" s="6">
        <v>275</v>
      </c>
      <c r="F73" s="382">
        <f t="shared" si="48"/>
        <v>82.950819672131146</v>
      </c>
      <c r="G73" s="562">
        <v>250</v>
      </c>
      <c r="H73" s="382">
        <f t="shared" si="49"/>
        <v>95.300261096605738</v>
      </c>
      <c r="I73" s="6">
        <v>300</v>
      </c>
      <c r="J73" s="382">
        <f t="shared" si="50"/>
        <v>207.46753246753246</v>
      </c>
      <c r="K73" s="388">
        <f t="shared" si="51"/>
        <v>599.10194656960266</v>
      </c>
    </row>
    <row r="74" spans="1:11" ht="13.5">
      <c r="A74" s="345">
        <f>Gen!B39</f>
        <v>44103</v>
      </c>
      <c r="B74" s="20"/>
      <c r="C74" s="63">
        <v>285</v>
      </c>
      <c r="D74" s="382">
        <f t="shared" si="47"/>
        <v>206.15</v>
      </c>
      <c r="E74" s="6">
        <v>245</v>
      </c>
      <c r="F74" s="382">
        <f t="shared" si="48"/>
        <v>73.901639344262293</v>
      </c>
      <c r="G74" s="562">
        <v>250</v>
      </c>
      <c r="H74" s="382">
        <f t="shared" si="49"/>
        <v>95.300261096605738</v>
      </c>
      <c r="I74" s="6">
        <v>295</v>
      </c>
      <c r="J74" s="382">
        <f t="shared" si="50"/>
        <v>204.00974025974025</v>
      </c>
      <c r="K74" s="388">
        <f t="shared" si="51"/>
        <v>579.36164070060829</v>
      </c>
    </row>
    <row r="75" spans="1:11" ht="14.25" thickBot="1">
      <c r="A75" s="345">
        <f>Gen!B40</f>
        <v>44104</v>
      </c>
      <c r="B75" s="298"/>
      <c r="C75" s="63"/>
      <c r="D75" s="382">
        <f t="shared" si="47"/>
        <v>0</v>
      </c>
      <c r="E75" s="6"/>
      <c r="F75" s="382">
        <f t="shared" si="48"/>
        <v>0</v>
      </c>
      <c r="G75" s="562"/>
      <c r="H75" s="382">
        <f t="shared" si="49"/>
        <v>0</v>
      </c>
      <c r="I75" s="6"/>
      <c r="J75" s="382">
        <f t="shared" si="50"/>
        <v>0</v>
      </c>
      <c r="K75" s="388">
        <f t="shared" si="51"/>
        <v>0</v>
      </c>
    </row>
    <row r="76" spans="1:11" ht="13.5">
      <c r="A76" s="345">
        <f>Gen!B41</f>
        <v>0</v>
      </c>
      <c r="C76" s="63"/>
      <c r="D76" s="382">
        <f t="shared" si="47"/>
        <v>0</v>
      </c>
      <c r="E76" s="6"/>
      <c r="F76" s="382">
        <f t="shared" si="48"/>
        <v>0</v>
      </c>
      <c r="G76" s="562"/>
      <c r="H76" s="382">
        <f t="shared" si="49"/>
        <v>0</v>
      </c>
      <c r="I76" s="6"/>
      <c r="J76" s="382">
        <f t="shared" si="50"/>
        <v>0</v>
      </c>
      <c r="K76" s="388">
        <f t="shared" si="51"/>
        <v>0</v>
      </c>
    </row>
    <row r="77" spans="1:11" ht="14.25" thickBot="1">
      <c r="A77" s="345">
        <f>Gen!B42</f>
        <v>0</v>
      </c>
      <c r="C77" s="63"/>
      <c r="D77" s="382">
        <f t="shared" si="47"/>
        <v>0</v>
      </c>
      <c r="E77" s="6"/>
      <c r="F77" s="382">
        <f t="shared" si="48"/>
        <v>0</v>
      </c>
      <c r="G77" s="562"/>
      <c r="H77" s="382">
        <f t="shared" si="49"/>
        <v>0</v>
      </c>
      <c r="I77" s="6"/>
      <c r="J77" s="382">
        <f t="shared" si="50"/>
        <v>0</v>
      </c>
      <c r="K77" s="389">
        <f t="shared" si="51"/>
        <v>0</v>
      </c>
    </row>
    <row r="78" spans="1:11" ht="13.5">
      <c r="A78" s="345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44075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44076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44077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44078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44079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44080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44081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44082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44083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44084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44085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44086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44087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44088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44089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44090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44091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44092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44093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44094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44095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44096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44097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44098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44099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44100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44101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44102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44103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44104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0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02" t="s">
        <v>317</v>
      </c>
      <c r="B2" s="803"/>
      <c r="C2" s="803"/>
      <c r="D2" s="803"/>
      <c r="E2" s="804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44075</v>
      </c>
      <c r="B5" s="83">
        <v>0</v>
      </c>
      <c r="C5" s="88">
        <f>Gen!C11</f>
        <v>3.9E-2</v>
      </c>
      <c r="D5" s="512">
        <f>SUM(77*C5)</f>
        <v>3.0030000000000001</v>
      </c>
      <c r="E5" s="75"/>
      <c r="F5" s="71">
        <f>Gen!U11</f>
        <v>2111</v>
      </c>
      <c r="G5" s="86">
        <f>Gen!T11</f>
        <v>891.43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56</v>
      </c>
      <c r="L5" s="526">
        <f>'Lpg (2)'!G10</f>
        <v>76.031999999994881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3.606060606060606</v>
      </c>
      <c r="U5" s="124">
        <f>SUM(L5*1963)/X5</f>
        <v>94.223999999993651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44076</v>
      </c>
      <c r="B6" s="83">
        <v>0</v>
      </c>
      <c r="C6" s="88">
        <f>Gen!C12</f>
        <v>3.9E-2</v>
      </c>
      <c r="D6" s="512">
        <f t="shared" ref="D6:D35" si="2">SUM(77*C6)</f>
        <v>3.0030000000000001</v>
      </c>
      <c r="E6" s="75"/>
      <c r="F6" s="71">
        <f>Gen!U12</f>
        <v>2147</v>
      </c>
      <c r="G6" s="86">
        <f>Gen!T12</f>
        <v>821.92000000000007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58</v>
      </c>
      <c r="L6" s="526">
        <f>'Lpg (2)'!G11</f>
        <v>58.607999999966708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3.7348484848484849</v>
      </c>
      <c r="U6" s="124">
        <f t="shared" ref="U6:U35" si="6">SUM(L6*1963)/X6</f>
        <v>72.630999999958746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44077</v>
      </c>
      <c r="B7" s="83">
        <v>0</v>
      </c>
      <c r="C7" s="88">
        <f>Gen!C13</f>
        <v>3.9E-2</v>
      </c>
      <c r="D7" s="512">
        <f t="shared" si="2"/>
        <v>3.0030000000000001</v>
      </c>
      <c r="E7" s="75"/>
      <c r="F7" s="71">
        <f>Gen!U13</f>
        <v>2188</v>
      </c>
      <c r="G7" s="86">
        <f>Gen!T13</f>
        <v>1090.28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51</v>
      </c>
      <c r="L7" s="526">
        <f>'Lpg (2)'!G12</f>
        <v>66.263999999989764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3.2840909090909092</v>
      </c>
      <c r="U7" s="124">
        <f t="shared" si="6"/>
        <v>82.118833333320651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44078</v>
      </c>
      <c r="B8" s="83">
        <v>0</v>
      </c>
      <c r="C8" s="88">
        <f>Gen!C14</f>
        <v>9.0899999999999995E-2</v>
      </c>
      <c r="D8" s="512">
        <f t="shared" si="2"/>
        <v>6.9992999999999999</v>
      </c>
      <c r="E8" s="75"/>
      <c r="F8" s="71">
        <f>Gen!U14</f>
        <v>2448</v>
      </c>
      <c r="G8" s="86">
        <f>Gen!T14</f>
        <v>868.39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54</v>
      </c>
      <c r="L8" s="526">
        <f>'Lpg (2)'!G13</f>
        <v>63.536000000010247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3.4772727272727271</v>
      </c>
      <c r="U8" s="124">
        <f t="shared" si="6"/>
        <v>78.738111111123814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44079</v>
      </c>
      <c r="B9" s="83">
        <v>0</v>
      </c>
      <c r="C9" s="88">
        <f>Gen!C15</f>
        <v>9.0899999999999995E-2</v>
      </c>
      <c r="D9" s="512">
        <f t="shared" si="2"/>
        <v>6.9992999999999999</v>
      </c>
      <c r="E9" s="75"/>
      <c r="F9" s="71">
        <f>Gen!U15</f>
        <v>2152</v>
      </c>
      <c r="G9" s="86">
        <f>Gen!T15</f>
        <v>841.98</v>
      </c>
      <c r="H9" s="86">
        <f>[1]Gen!AJ10</f>
        <v>0</v>
      </c>
      <c r="I9" s="86">
        <f t="shared" si="0"/>
        <v>841.98</v>
      </c>
      <c r="J9" s="86">
        <f>[1]Gen!AT15</f>
        <v>37525.210000000021</v>
      </c>
      <c r="K9" s="70">
        <f>'Water-Meter'!E10</f>
        <v>50</v>
      </c>
      <c r="L9" s="526">
        <f>'Lpg (2)'!G14</f>
        <v>50.072000000020495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1860649.503</v>
      </c>
      <c r="R9" s="77">
        <f t="shared" si="3"/>
        <v>167.82427728703607</v>
      </c>
      <c r="S9" s="516" t="e">
        <f t="shared" si="4"/>
        <v>#DIV/0!</v>
      </c>
      <c r="T9" s="77">
        <f t="shared" si="5"/>
        <v>3.2196969696969697</v>
      </c>
      <c r="U9" s="124">
        <f t="shared" si="6"/>
        <v>62.052611111136507</v>
      </c>
      <c r="V9" s="18">
        <f t="shared" si="7"/>
        <v>1860714.7753080809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44080</v>
      </c>
      <c r="B10" s="83">
        <v>0</v>
      </c>
      <c r="C10" s="88">
        <f>Gen!C16</f>
        <v>9.0899999999999995E-2</v>
      </c>
      <c r="D10" s="512">
        <f t="shared" si="2"/>
        <v>6.9992999999999999</v>
      </c>
      <c r="E10" s="75"/>
      <c r="F10" s="71">
        <f>Gen!U16</f>
        <v>2052</v>
      </c>
      <c r="G10" s="86">
        <f>Gen!T16</f>
        <v>938.54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52</v>
      </c>
      <c r="L10" s="526">
        <f>'Lpg (2)'!G15</f>
        <v>49.588000000017935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3.3484848484848486</v>
      </c>
      <c r="U10" s="124">
        <f t="shared" si="6"/>
        <v>61.452805555577783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44081</v>
      </c>
      <c r="B11" s="83">
        <v>0</v>
      </c>
      <c r="C11" s="88">
        <f>Gen!C17</f>
        <v>2.5999999999999999E-2</v>
      </c>
      <c r="D11" s="512">
        <f t="shared" si="2"/>
        <v>2.0019999999999998</v>
      </c>
      <c r="E11" s="75"/>
      <c r="F11" s="71">
        <f>Gen!U17</f>
        <v>2010</v>
      </c>
      <c r="G11" s="86">
        <f>Gen!T17</f>
        <v>910.27</v>
      </c>
      <c r="H11" s="86">
        <f>[1]Gen!AJ25</f>
        <v>80.56</v>
      </c>
      <c r="I11" s="86">
        <f t="shared" si="0"/>
        <v>990.82999999999993</v>
      </c>
      <c r="J11" s="86">
        <f>[1]Gen!AT17</f>
        <v>47513.140000000029</v>
      </c>
      <c r="K11" s="70">
        <f>'Water-Meter'!E12</f>
        <v>58</v>
      </c>
      <c r="L11" s="526">
        <f>'Lpg (2)'!G16</f>
        <v>62.567999999941101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2189585.6754999999</v>
      </c>
      <c r="R11" s="77">
        <f t="shared" si="3"/>
        <v>690.46662791123015</v>
      </c>
      <c r="S11" s="516" t="e">
        <f t="shared" si="4"/>
        <v>#DIV/0!</v>
      </c>
      <c r="T11" s="77">
        <f t="shared" si="5"/>
        <v>3.7348484848484849</v>
      </c>
      <c r="U11" s="124">
        <f t="shared" si="6"/>
        <v>77.538499999927012</v>
      </c>
      <c r="V11" s="18">
        <f t="shared" si="7"/>
        <v>2189666.9488484845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44082</v>
      </c>
      <c r="B12" s="83">
        <v>0</v>
      </c>
      <c r="C12" s="88">
        <f>Gen!C18</f>
        <v>3.9E-2</v>
      </c>
      <c r="D12" s="512">
        <f t="shared" si="2"/>
        <v>3.0030000000000001</v>
      </c>
      <c r="E12" s="75"/>
      <c r="F12" s="71">
        <f>Gen!U18</f>
        <v>2245</v>
      </c>
      <c r="G12" s="86">
        <f>Gen!T18</f>
        <v>948.21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526">
        <f>'Lpg (2)'!G17</f>
        <v>54.868000000005125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2.9621212121212119</v>
      </c>
      <c r="U12" s="124">
        <f t="shared" si="6"/>
        <v>67.996138888895246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44083</v>
      </c>
      <c r="B13" s="83">
        <v>0</v>
      </c>
      <c r="C13" s="88">
        <f>Gen!C19</f>
        <v>6.5000000000000002E-2</v>
      </c>
      <c r="D13" s="512">
        <f t="shared" si="2"/>
        <v>5.0049999999999999</v>
      </c>
      <c r="E13" s="75"/>
      <c r="F13" s="71">
        <f>Gen!U19</f>
        <v>2101</v>
      </c>
      <c r="G13" s="86">
        <f>Gen!T19</f>
        <v>916.32999999999993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52</v>
      </c>
      <c r="L13" s="526">
        <f>'Lpg (2)'!G18</f>
        <v>57.420000000012813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3.3484848484848486</v>
      </c>
      <c r="U13" s="124">
        <f t="shared" si="6"/>
        <v>71.158750000015885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44084</v>
      </c>
      <c r="B14" s="83">
        <v>0</v>
      </c>
      <c r="C14" s="88">
        <f>Gen!C20</f>
        <v>1.2999999999999999E-2</v>
      </c>
      <c r="D14" s="512">
        <f t="shared" si="2"/>
        <v>1.0009999999999999</v>
      </c>
      <c r="E14" s="75"/>
      <c r="F14" s="71">
        <f>Gen!U20</f>
        <v>2199</v>
      </c>
      <c r="G14" s="86">
        <f>Gen!T20</f>
        <v>978.04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55</v>
      </c>
      <c r="L14" s="526">
        <f>'Lpg (2)'!G19</f>
        <v>44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3.5416666666666665</v>
      </c>
      <c r="U14" s="124">
        <f t="shared" si="6"/>
        <v>54.527777777777779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44085</v>
      </c>
      <c r="B15" s="83">
        <v>0</v>
      </c>
      <c r="C15" s="88">
        <f>Gen!C21</f>
        <v>3.9E-2</v>
      </c>
      <c r="D15" s="512">
        <f t="shared" si="2"/>
        <v>3.0030000000000001</v>
      </c>
      <c r="E15" s="75"/>
      <c r="F15" s="71">
        <f>Gen!U21</f>
        <v>2126</v>
      </c>
      <c r="G15" s="86">
        <f>Gen!T21</f>
        <v>782.55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94</v>
      </c>
      <c r="L15" s="526">
        <f>'Lpg (2)'!G20</f>
        <v>70.927999999979519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6.0530303030303028</v>
      </c>
      <c r="U15" s="124">
        <f t="shared" si="6"/>
        <v>87.8987777777524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44086</v>
      </c>
      <c r="B16" s="83">
        <v>0</v>
      </c>
      <c r="C16" s="88">
        <f>Gen!C22</f>
        <v>0.02</v>
      </c>
      <c r="D16" s="512">
        <f t="shared" si="2"/>
        <v>1.54</v>
      </c>
      <c r="E16" s="75"/>
      <c r="F16" s="71">
        <f>Gen!U22</f>
        <v>2174</v>
      </c>
      <c r="G16" s="86">
        <f>Gen!T22</f>
        <v>732.78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59</v>
      </c>
      <c r="L16" s="526">
        <f>'Lpg (2)'!G21</f>
        <v>53.900000000000006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3.7992424242424243</v>
      </c>
      <c r="U16" s="124">
        <f t="shared" si="6"/>
        <v>66.796527777777783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44087</v>
      </c>
      <c r="B17" s="83">
        <v>0</v>
      </c>
      <c r="C17" s="88">
        <f>Gen!C23</f>
        <v>0.03</v>
      </c>
      <c r="D17" s="512">
        <f t="shared" si="2"/>
        <v>2.31</v>
      </c>
      <c r="E17" s="75"/>
      <c r="F17" s="71">
        <f>Gen!U23</f>
        <v>2113</v>
      </c>
      <c r="G17" s="86">
        <f>Gen!T23</f>
        <v>935.74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36</v>
      </c>
      <c r="L17" s="526">
        <f>'Lpg (2)'!G22</f>
        <v>55.396000000048666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2.3181818181818183</v>
      </c>
      <c r="U17" s="124">
        <f t="shared" si="6"/>
        <v>68.650472222282531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44088</v>
      </c>
      <c r="B18" s="83">
        <v>0</v>
      </c>
      <c r="C18" s="88">
        <f>Gen!C24</f>
        <v>0.04</v>
      </c>
      <c r="D18" s="512">
        <f t="shared" si="2"/>
        <v>3.08</v>
      </c>
      <c r="E18" s="75"/>
      <c r="F18" s="71">
        <f>Gen!U24</f>
        <v>2040</v>
      </c>
      <c r="G18" s="86">
        <f>Gen!T24</f>
        <v>890.08999999999992</v>
      </c>
      <c r="H18" s="86">
        <f>[1]Gen!AJ27</f>
        <v>597.9</v>
      </c>
      <c r="I18" s="86">
        <f t="shared" si="0"/>
        <v>1487.9899999999998</v>
      </c>
      <c r="J18" s="86">
        <f>[1]Gen!AT24</f>
        <v>29915.45000000003</v>
      </c>
      <c r="K18" s="70">
        <f>'Water-Meter'!E19</f>
        <v>53</v>
      </c>
      <c r="L18" s="526">
        <f>'Lpg (2)'!G23</f>
        <v>56.452000000007686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3288234.7014999995</v>
      </c>
      <c r="R18" s="77">
        <f t="shared" si="3"/>
        <v>673.99537204430658</v>
      </c>
      <c r="S18" s="516" t="e">
        <f t="shared" si="4"/>
        <v>#DIV/0!</v>
      </c>
      <c r="T18" s="77">
        <f t="shared" si="5"/>
        <v>3.4128787878787881</v>
      </c>
      <c r="U18" s="124">
        <f t="shared" si="6"/>
        <v>69.959138888898408</v>
      </c>
      <c r="V18" s="18">
        <f t="shared" si="7"/>
        <v>3288308.0735176764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44089</v>
      </c>
      <c r="B19" s="83">
        <v>0</v>
      </c>
      <c r="C19" s="88">
        <f>Gen!C25</f>
        <v>0.03</v>
      </c>
      <c r="D19" s="512">
        <f t="shared" si="2"/>
        <v>2.31</v>
      </c>
      <c r="E19" s="75"/>
      <c r="F19" s="71">
        <f>Gen!U25</f>
        <v>2084</v>
      </c>
      <c r="G19" s="86">
        <f>Gen!T25</f>
        <v>888.98</v>
      </c>
      <c r="H19" s="86">
        <f>[1]Gen!AJ28</f>
        <v>227.73000000000002</v>
      </c>
      <c r="I19" s="86">
        <f t="shared" si="0"/>
        <v>1116.71</v>
      </c>
      <c r="J19" s="86">
        <f>[1]Gen!AT25</f>
        <v>42248.240000000034</v>
      </c>
      <c r="K19" s="70">
        <f>'Water-Meter'!E20</f>
        <v>40</v>
      </c>
      <c r="L19" s="526">
        <f>'Lpg (2)'!G24</f>
        <v>52.051999999943661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2467761.5935</v>
      </c>
      <c r="R19" s="77">
        <f t="shared" si="3"/>
        <v>674.42870083409855</v>
      </c>
      <c r="S19" s="516" t="e">
        <f t="shared" si="4"/>
        <v>#DIV/0!</v>
      </c>
      <c r="T19" s="77">
        <f t="shared" si="5"/>
        <v>2.5757575757575757</v>
      </c>
      <c r="U19" s="124">
        <f t="shared" si="6"/>
        <v>64.506361111041286</v>
      </c>
      <c r="V19" s="18">
        <f t="shared" si="7"/>
        <v>2467828.6756186867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44090</v>
      </c>
      <c r="B20" s="83">
        <v>0</v>
      </c>
      <c r="C20" s="88">
        <f>Gen!C26</f>
        <v>0.12989999999999999</v>
      </c>
      <c r="D20" s="512">
        <f t="shared" si="2"/>
        <v>10.002299999999998</v>
      </c>
      <c r="E20" s="75"/>
      <c r="F20" s="71">
        <f>Gen!U26</f>
        <v>2489</v>
      </c>
      <c r="G20" s="86">
        <f>Gen!T26</f>
        <v>1095.46</v>
      </c>
      <c r="H20" s="86">
        <f>[1]Gen!AJ29</f>
        <v>88.289999999999992</v>
      </c>
      <c r="I20" s="86">
        <f t="shared" si="0"/>
        <v>1183.75</v>
      </c>
      <c r="J20" s="86">
        <f>[1]Gen!AT26</f>
        <v>39497.370000000032</v>
      </c>
      <c r="K20" s="70">
        <f>'Water-Meter'!E21</f>
        <v>30</v>
      </c>
      <c r="L20" s="526">
        <f>'Lpg (2)'!G25</f>
        <v>49.192000000033296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2615909.9375</v>
      </c>
      <c r="R20" s="77">
        <f t="shared" si="3"/>
        <v>165.10785458107264</v>
      </c>
      <c r="S20" s="516" t="e">
        <f t="shared" si="4"/>
        <v>#DIV/0!</v>
      </c>
      <c r="T20" s="77">
        <f t="shared" si="5"/>
        <v>1.9318181818181819</v>
      </c>
      <c r="U20" s="124">
        <f t="shared" si="6"/>
        <v>60.96205555559682</v>
      </c>
      <c r="V20" s="18">
        <f t="shared" si="7"/>
        <v>2615972.8313737372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44091</v>
      </c>
      <c r="B21" s="83">
        <v>0</v>
      </c>
      <c r="C21" s="88">
        <f>Gen!C27</f>
        <v>0.1169</v>
      </c>
      <c r="D21" s="512">
        <f t="shared" si="2"/>
        <v>9.0013000000000005</v>
      </c>
      <c r="E21" s="75"/>
      <c r="F21" s="71">
        <f>Gen!U27</f>
        <v>2499</v>
      </c>
      <c r="G21" s="86">
        <f>Gen!T27</f>
        <v>1018.0699999999999</v>
      </c>
      <c r="H21" s="86">
        <f>[1]Gen!AJ30</f>
        <v>783.92</v>
      </c>
      <c r="I21" s="86">
        <f t="shared" si="0"/>
        <v>1801.9899999999998</v>
      </c>
      <c r="J21" s="86">
        <f>[1]Gen!AT27</f>
        <v>36688.350000000035</v>
      </c>
      <c r="K21" s="70">
        <f>'Water-Meter'!E22</f>
        <v>49</v>
      </c>
      <c r="L21" s="526">
        <f>'Lpg (2)'!G26</f>
        <v>55.088000000017935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3982127.6014999994</v>
      </c>
      <c r="R21" s="77">
        <f t="shared" si="3"/>
        <v>279.2895965462115</v>
      </c>
      <c r="S21" s="516" t="e">
        <f t="shared" si="4"/>
        <v>#DIV/0!</v>
      </c>
      <c r="T21" s="77">
        <f t="shared" si="5"/>
        <v>3.1553030303030303</v>
      </c>
      <c r="U21" s="124">
        <f t="shared" si="6"/>
        <v>68.268777777800011</v>
      </c>
      <c r="V21" s="18">
        <f t="shared" si="7"/>
        <v>3982199.0255808076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44092</v>
      </c>
      <c r="B22" s="83">
        <v>0</v>
      </c>
      <c r="C22" s="88">
        <f>Gen!C28</f>
        <v>0.1429</v>
      </c>
      <c r="D22" s="512">
        <f t="shared" si="2"/>
        <v>11.003299999999999</v>
      </c>
      <c r="E22" s="75"/>
      <c r="F22" s="71">
        <f>Gen!U28</f>
        <v>2622</v>
      </c>
      <c r="G22" s="86">
        <f>Gen!T28</f>
        <v>1041.27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50</v>
      </c>
      <c r="L22" s="526">
        <f>'Lpg (2)'!G27</f>
        <v>65.339999999961591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3.2196969696969697</v>
      </c>
      <c r="U22" s="124">
        <f t="shared" si="6"/>
        <v>80.973749999952403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44093</v>
      </c>
      <c r="B23" s="83">
        <v>0</v>
      </c>
      <c r="C23" s="88">
        <f>Gen!C29</f>
        <v>9.0899999999999995E-2</v>
      </c>
      <c r="D23" s="512">
        <f t="shared" si="2"/>
        <v>6.9992999999999999</v>
      </c>
      <c r="E23" s="75"/>
      <c r="F23" s="71">
        <f>Gen!U29</f>
        <v>2500</v>
      </c>
      <c r="G23" s="86">
        <f>Gen!T29</f>
        <v>1129.8800000000001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51</v>
      </c>
      <c r="L23" s="526">
        <f>'Lpg (2)'!G28</f>
        <v>65.428000000043539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3.2840909090909092</v>
      </c>
      <c r="U23" s="124">
        <f t="shared" si="6"/>
        <v>81.082805555609511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44094</v>
      </c>
      <c r="B24" s="83">
        <v>0</v>
      </c>
      <c r="C24" s="88">
        <f>Gen!C30</f>
        <v>6.4899999999999999E-2</v>
      </c>
      <c r="D24" s="512">
        <f t="shared" si="2"/>
        <v>4.9973000000000001</v>
      </c>
      <c r="E24" s="75"/>
      <c r="F24" s="71">
        <f>Gen!U30</f>
        <v>2313</v>
      </c>
      <c r="G24" s="86">
        <f>Gen!T30</f>
        <v>1055.6599999999999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46</v>
      </c>
      <c r="L24" s="526">
        <f>'Lpg (2)'!G29</f>
        <v>69.827999999979511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2.9621212121212119</v>
      </c>
      <c r="U24" s="124">
        <f t="shared" si="6"/>
        <v>86.53558333330794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44095</v>
      </c>
      <c r="B25" s="83">
        <v>0</v>
      </c>
      <c r="C25" s="88">
        <f>Gen!C31</f>
        <v>6.4899999999999999E-2</v>
      </c>
      <c r="D25" s="512">
        <f t="shared" si="2"/>
        <v>4.9973000000000001</v>
      </c>
      <c r="E25" s="75"/>
      <c r="F25" s="71">
        <f>Gen!U31</f>
        <v>2356</v>
      </c>
      <c r="G25" s="86">
        <f>Gen!T31</f>
        <v>957.7</v>
      </c>
      <c r="H25" s="86">
        <f>[1]Gen!AJ31</f>
        <v>172.05</v>
      </c>
      <c r="I25" s="86">
        <f t="shared" si="0"/>
        <v>1129.75</v>
      </c>
      <c r="J25" s="86">
        <f>[1]Gen!AT31</f>
        <v>41422.370000000032</v>
      </c>
      <c r="K25" s="70">
        <f>'Water-Meter'!E26</f>
        <v>46</v>
      </c>
      <c r="L25" s="526">
        <f>'Lpg (2)'!G30</f>
        <v>75.679999999987203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2496578.0375000001</v>
      </c>
      <c r="R25" s="77">
        <f t="shared" si="3"/>
        <v>315.3948128833004</v>
      </c>
      <c r="S25" s="516" t="e">
        <f t="shared" si="4"/>
        <v>#DIV/0!</v>
      </c>
      <c r="T25" s="77">
        <f t="shared" si="5"/>
        <v>2.9621212121212119</v>
      </c>
      <c r="U25" s="124">
        <f t="shared" si="6"/>
        <v>93.787777777761917</v>
      </c>
      <c r="V25" s="18">
        <f t="shared" si="7"/>
        <v>2496674.7873989898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44096</v>
      </c>
      <c r="B26" s="83">
        <v>0</v>
      </c>
      <c r="C26" s="88">
        <f>Gen!C32</f>
        <v>2.5999999999999999E-2</v>
      </c>
      <c r="D26" s="512">
        <f t="shared" si="2"/>
        <v>2.0019999999999998</v>
      </c>
      <c r="E26" s="75"/>
      <c r="F26" s="71">
        <f>Gen!U32</f>
        <v>2289</v>
      </c>
      <c r="G26" s="86">
        <f>Gen!T32</f>
        <v>982.5</v>
      </c>
      <c r="H26" s="86">
        <f>[1]Gen!AJ32</f>
        <v>18.63</v>
      </c>
      <c r="I26" s="86">
        <f t="shared" si="0"/>
        <v>1001.13</v>
      </c>
      <c r="J26" s="86">
        <f>[1]Gen!AT32</f>
        <v>38988.160000000033</v>
      </c>
      <c r="K26" s="70">
        <f>'Water-Meter'!E27</f>
        <v>56</v>
      </c>
      <c r="L26" s="526">
        <f>'Lpg (2)'!G31</f>
        <v>55.747999999992324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2212347.1305</v>
      </c>
      <c r="R26" s="77">
        <f t="shared" si="3"/>
        <v>697.6442530007871</v>
      </c>
      <c r="S26" s="516" t="e">
        <f t="shared" si="4"/>
        <v>#DIV/0!</v>
      </c>
      <c r="T26" s="77">
        <f t="shared" si="5"/>
        <v>3.606060606060606</v>
      </c>
      <c r="U26" s="124">
        <f t="shared" si="6"/>
        <v>69.086694444434926</v>
      </c>
      <c r="V26" s="18">
        <f t="shared" si="7"/>
        <v>2212419.8232550505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44097</v>
      </c>
      <c r="B27" s="83">
        <v>0</v>
      </c>
      <c r="C27" s="88">
        <f>Gen!C33</f>
        <v>2.5999999999999999E-2</v>
      </c>
      <c r="D27" s="512">
        <f t="shared" si="2"/>
        <v>2.0019999999999998</v>
      </c>
      <c r="E27" s="75"/>
      <c r="F27" s="71">
        <f>Gen!U33</f>
        <v>2286</v>
      </c>
      <c r="G27" s="86">
        <f>Gen!T33</f>
        <v>989.79</v>
      </c>
      <c r="H27" s="86">
        <f>[1]Gen!AJ33</f>
        <v>311.34000000000003</v>
      </c>
      <c r="I27" s="86">
        <f t="shared" si="0"/>
        <v>1301.1300000000001</v>
      </c>
      <c r="J27" s="86">
        <f>[1]Gen!AT33</f>
        <v>36682.670000000035</v>
      </c>
      <c r="K27" s="70">
        <f>'Water-Meter'!E28</f>
        <v>49</v>
      </c>
      <c r="L27" s="526">
        <f>'Lpg (2)'!G32</f>
        <v>39.20400000001537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2875302.1305</v>
      </c>
      <c r="R27" s="77">
        <f t="shared" si="3"/>
        <v>906.70129444419229</v>
      </c>
      <c r="S27" s="516" t="e">
        <f t="shared" si="4"/>
        <v>#DIV/0!</v>
      </c>
      <c r="T27" s="77">
        <f t="shared" si="5"/>
        <v>3.1553030303030303</v>
      </c>
      <c r="U27" s="124">
        <f t="shared" si="6"/>
        <v>48.584250000019047</v>
      </c>
      <c r="V27" s="18">
        <f t="shared" si="7"/>
        <v>2875353.8700530301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44098</v>
      </c>
      <c r="B28" s="83">
        <v>0</v>
      </c>
      <c r="C28" s="88">
        <f>Gen!C34</f>
        <v>1.2999999999999999E-2</v>
      </c>
      <c r="D28" s="512">
        <f t="shared" si="2"/>
        <v>1.0009999999999999</v>
      </c>
      <c r="E28" s="75"/>
      <c r="F28" s="71">
        <f>Gen!U34</f>
        <v>2289</v>
      </c>
      <c r="G28" s="86">
        <f>Gen!T34</f>
        <v>1004.25</v>
      </c>
      <c r="H28" s="86">
        <f>[1]Gen!AJ34</f>
        <v>380.7</v>
      </c>
      <c r="I28" s="86">
        <f t="shared" si="0"/>
        <v>1384.95</v>
      </c>
      <c r="J28" s="86">
        <f>[1]Gen!AT34</f>
        <v>44223.030000000035</v>
      </c>
      <c r="K28" s="70">
        <f>'Water-Meter'!E29</f>
        <v>48</v>
      </c>
      <c r="L28" s="526">
        <f>'Lpg (2)'!G33</f>
        <v>72.600000000000009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3060531.7574999998</v>
      </c>
      <c r="R28" s="77">
        <f t="shared" si="3"/>
        <v>1930.2236636469593</v>
      </c>
      <c r="S28" s="516" t="e">
        <f t="shared" si="4"/>
        <v>#DIV/0!</v>
      </c>
      <c r="T28" s="77">
        <f t="shared" si="5"/>
        <v>3.0909090909090908</v>
      </c>
      <c r="U28" s="124">
        <f t="shared" si="6"/>
        <v>89.970833333333346</v>
      </c>
      <c r="V28" s="18">
        <f t="shared" si="7"/>
        <v>3060624.8192424239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44099</v>
      </c>
      <c r="B29" s="83">
        <v>0</v>
      </c>
      <c r="C29" s="88">
        <f>Gen!C35</f>
        <v>1.2999999999999999E-2</v>
      </c>
      <c r="D29" s="512">
        <f t="shared" si="2"/>
        <v>1.0009999999999999</v>
      </c>
      <c r="E29" s="75"/>
      <c r="F29" s="71">
        <f>Gen!U35</f>
        <v>2244</v>
      </c>
      <c r="G29" s="86">
        <f>Gen!T35</f>
        <v>1019.08</v>
      </c>
      <c r="H29" s="86">
        <f>[1]Gen!AJ35</f>
        <v>273.37</v>
      </c>
      <c r="I29" s="86">
        <f t="shared" si="0"/>
        <v>1292.45</v>
      </c>
      <c r="J29" s="86">
        <f>[1]Gen!AT35</f>
        <v>41629.060000000034</v>
      </c>
      <c r="K29" s="70">
        <f>'Water-Meter'!E30</f>
        <v>50</v>
      </c>
      <c r="L29" s="526">
        <f>'Lpg (2)'!G34</f>
        <v>63.272000000020498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2856120.6324999998</v>
      </c>
      <c r="R29" s="77">
        <f t="shared" si="3"/>
        <v>1801.3051547568596</v>
      </c>
      <c r="S29" s="516" t="e">
        <f t="shared" si="4"/>
        <v>#DIV/0!</v>
      </c>
      <c r="T29" s="77">
        <f t="shared" si="5"/>
        <v>3.2196969696969697</v>
      </c>
      <c r="U29" s="124">
        <f t="shared" si="6"/>
        <v>78.410944444469848</v>
      </c>
      <c r="V29" s="18">
        <f t="shared" si="7"/>
        <v>2856202.2631414142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44100</v>
      </c>
      <c r="B30" s="83">
        <v>0</v>
      </c>
      <c r="C30" s="88">
        <f>Gen!C36</f>
        <v>2.5999999999999999E-2</v>
      </c>
      <c r="D30" s="512">
        <f t="shared" si="2"/>
        <v>2.0019999999999998</v>
      </c>
      <c r="E30" s="75"/>
      <c r="F30" s="71">
        <f>Gen!U36</f>
        <v>2313</v>
      </c>
      <c r="G30" s="86">
        <f>Gen!T36</f>
        <v>878.8</v>
      </c>
      <c r="H30" s="86">
        <f>[1]Gen!AJ36</f>
        <v>396.56</v>
      </c>
      <c r="I30" s="86">
        <f t="shared" si="0"/>
        <v>1275.3599999999999</v>
      </c>
      <c r="J30" s="86">
        <f>[1]Gen!AT36</f>
        <v>39251.170000000035</v>
      </c>
      <c r="K30" s="70">
        <f>'Water-Meter'!E31</f>
        <v>55</v>
      </c>
      <c r="L30" s="526">
        <f>'Lpg (2)'!G35</f>
        <v>63.668000000005129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2818354.2959999996</v>
      </c>
      <c r="R30" s="77">
        <f t="shared" si="3"/>
        <v>888.74329458420368</v>
      </c>
      <c r="S30" s="516" t="e">
        <f t="shared" si="4"/>
        <v>#DIV/0!</v>
      </c>
      <c r="T30" s="77">
        <f t="shared" si="5"/>
        <v>3.5416666666666665</v>
      </c>
      <c r="U30" s="124">
        <f t="shared" si="6"/>
        <v>78.901694444450797</v>
      </c>
      <c r="V30" s="18">
        <f t="shared" si="7"/>
        <v>2818436.7393611106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44101</v>
      </c>
      <c r="B31" s="83">
        <v>0</v>
      </c>
      <c r="C31" s="88">
        <f>Gen!C37</f>
        <v>5.1900000000000002E-2</v>
      </c>
      <c r="D31" s="512">
        <f t="shared" si="2"/>
        <v>3.9963000000000002</v>
      </c>
      <c r="E31" s="75"/>
      <c r="F31" s="71">
        <f>Gen!U37</f>
        <v>2327</v>
      </c>
      <c r="G31" s="86">
        <f>Gen!T37</f>
        <v>975.74</v>
      </c>
      <c r="H31" s="86">
        <f>[1]Gen!AJ37</f>
        <v>280.63</v>
      </c>
      <c r="I31" s="86">
        <f t="shared" si="0"/>
        <v>1256.3699999999999</v>
      </c>
      <c r="J31" s="86">
        <f>[1]Gen!AT37</f>
        <v>36384.370000000032</v>
      </c>
      <c r="K31" s="70">
        <f>'Water-Meter'!E32</f>
        <v>58</v>
      </c>
      <c r="L31" s="526">
        <f>'Lpg (2)'!G36</f>
        <v>54.691999999969269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2776389.2444999996</v>
      </c>
      <c r="R31" s="77">
        <f t="shared" si="3"/>
        <v>438.59845048905072</v>
      </c>
      <c r="S31" s="516" t="e">
        <f t="shared" si="4"/>
        <v>#DIV/0!</v>
      </c>
      <c r="T31" s="77">
        <f t="shared" si="5"/>
        <v>3.7348484848484849</v>
      </c>
      <c r="U31" s="124">
        <f t="shared" si="6"/>
        <v>67.778027777739695</v>
      </c>
      <c r="V31" s="18">
        <f t="shared" si="7"/>
        <v>2776460.757376262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44102</v>
      </c>
      <c r="B32" s="83">
        <v>0</v>
      </c>
      <c r="C32" s="88">
        <f>Gen!C38</f>
        <v>5.1900000000000002E-2</v>
      </c>
      <c r="D32" s="512">
        <f t="shared" si="2"/>
        <v>3.9963000000000002</v>
      </c>
      <c r="E32" s="75"/>
      <c r="F32" s="71">
        <f>Gen!U38</f>
        <v>2289</v>
      </c>
      <c r="G32" s="86">
        <f>Gen!T38</f>
        <v>969.3900000000001</v>
      </c>
      <c r="H32" s="86">
        <f>[1]Gen!AJ38</f>
        <v>0</v>
      </c>
      <c r="I32" s="86">
        <f t="shared" si="0"/>
        <v>969.3900000000001</v>
      </c>
      <c r="J32" s="86">
        <f>[1]Gen!AT38</f>
        <v>33780.000000000029</v>
      </c>
      <c r="K32" s="70">
        <f>'Water-Meter'!E33</f>
        <v>52</v>
      </c>
      <c r="L32" s="526">
        <f>'Lpg (2)'!G37</f>
        <v>75.679999999987203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2142206.4915</v>
      </c>
      <c r="R32" s="77">
        <f t="shared" si="3"/>
        <v>338.41380478647295</v>
      </c>
      <c r="S32" s="516" t="e">
        <f t="shared" si="4"/>
        <v>#DIV/0!</v>
      </c>
      <c r="T32" s="77">
        <f t="shared" si="5"/>
        <v>3.3484848484848486</v>
      </c>
      <c r="U32" s="124">
        <f t="shared" si="6"/>
        <v>93.787777777761917</v>
      </c>
      <c r="V32" s="18">
        <f t="shared" si="7"/>
        <v>2142303.6277626264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44103</v>
      </c>
      <c r="B33" s="83">
        <v>0</v>
      </c>
      <c r="C33" s="88">
        <f>Gen!C39</f>
        <v>5.1900000000000002E-2</v>
      </c>
      <c r="D33" s="512">
        <f t="shared" si="2"/>
        <v>3.9963000000000002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 t="str">
        <f>'Water-Meter'!E34</f>
        <v>0</v>
      </c>
      <c r="L33" s="526">
        <f>'Lpg (2)'!G38</f>
        <v>-318841.51199999999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>
        <f t="shared" si="3"/>
        <v>0</v>
      </c>
      <c r="S33" s="516" t="e">
        <f t="shared" si="4"/>
        <v>#DIV/0!</v>
      </c>
      <c r="T33" s="77">
        <f t="shared" si="5"/>
        <v>0</v>
      </c>
      <c r="U33" s="124">
        <f t="shared" si="6"/>
        <v>-395129.97983333335</v>
      </c>
      <c r="V33" s="18">
        <f t="shared" si="7"/>
        <v>-395129.97983333335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44104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0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1454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1940.4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8" t="s">
        <v>178</v>
      </c>
      <c r="B1" s="879"/>
      <c r="C1" s="879"/>
      <c r="D1" s="879"/>
      <c r="E1" s="879"/>
      <c r="F1" s="879"/>
      <c r="G1" s="880"/>
    </row>
    <row r="2" spans="1:7" ht="13.5" thickBot="1">
      <c r="A2" s="354"/>
      <c r="B2" s="881" t="s">
        <v>173</v>
      </c>
      <c r="C2" s="882"/>
      <c r="D2" s="883"/>
      <c r="E2" s="881" t="s">
        <v>174</v>
      </c>
      <c r="F2" s="882"/>
      <c r="G2" s="883"/>
    </row>
    <row r="3" spans="1:7" ht="40.5" customHeight="1">
      <c r="A3" s="375" t="s">
        <v>7</v>
      </c>
      <c r="B3" s="376" t="s">
        <v>175</v>
      </c>
      <c r="C3" s="376" t="s">
        <v>176</v>
      </c>
      <c r="D3" s="376" t="s">
        <v>177</v>
      </c>
      <c r="E3" s="376" t="s">
        <v>175</v>
      </c>
      <c r="F3" s="376" t="s">
        <v>176</v>
      </c>
      <c r="G3" s="377" t="s">
        <v>177</v>
      </c>
    </row>
    <row r="4" spans="1:7">
      <c r="A4" s="287">
        <v>42736</v>
      </c>
      <c r="B4" s="567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7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7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7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7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7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7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7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7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7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7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7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7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7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7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7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7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7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7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7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7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7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7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7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7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7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7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7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7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7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7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7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7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7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7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7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7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7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7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7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7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7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7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7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7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7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7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7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7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7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7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7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7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7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7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7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7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7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7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7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7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7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7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7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7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7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7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7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7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7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7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7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7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7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8">
        <f t="shared" si="6"/>
        <v>0</v>
      </c>
      <c r="C78" s="8"/>
      <c r="D78" s="569">
        <f t="shared" si="4"/>
        <v>0</v>
      </c>
      <c r="E78" s="570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28" workbookViewId="0">
      <selection activeCell="E53" sqref="E5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8" t="s">
        <v>228</v>
      </c>
      <c r="B1" s="879"/>
      <c r="C1" s="879"/>
      <c r="D1" s="879"/>
      <c r="G1" s="325"/>
      <c r="H1" s="326" t="s">
        <v>229</v>
      </c>
      <c r="I1" s="326"/>
      <c r="J1" s="325"/>
      <c r="K1" s="325"/>
    </row>
    <row r="2" spans="1:12" ht="39" thickBot="1">
      <c r="A2" s="571" t="s">
        <v>7</v>
      </c>
      <c r="B2" s="572" t="s">
        <v>175</v>
      </c>
      <c r="C2" s="572" t="s">
        <v>176</v>
      </c>
      <c r="D2" s="573" t="s">
        <v>192</v>
      </c>
      <c r="E2" s="573" t="s">
        <v>234</v>
      </c>
      <c r="F2" s="574" t="s">
        <v>212</v>
      </c>
      <c r="G2" s="575" t="s">
        <v>230</v>
      </c>
      <c r="H2" s="576" t="s">
        <v>231</v>
      </c>
      <c r="I2" s="577" t="s">
        <v>232</v>
      </c>
      <c r="J2" s="576" t="s">
        <v>233</v>
      </c>
      <c r="K2" s="576" t="s">
        <v>212</v>
      </c>
      <c r="L2" s="578" t="s">
        <v>193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79">
        <f t="shared" ref="F3:F66" si="1">D3-E3</f>
        <v>2.930000000000291</v>
      </c>
      <c r="G3" s="580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1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79">
        <f t="shared" si="1"/>
        <v>-0.90000000000145519</v>
      </c>
      <c r="G4" s="580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1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2">
        <v>66820.89</v>
      </c>
      <c r="F5" s="579">
        <f t="shared" si="1"/>
        <v>0.11000000000058208</v>
      </c>
      <c r="G5" s="580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1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79">
        <f t="shared" si="1"/>
        <v>0.62000000000261934</v>
      </c>
      <c r="G6" s="580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1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79">
        <f t="shared" si="1"/>
        <v>3.5299999999988358</v>
      </c>
      <c r="G7" s="580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1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79">
        <f t="shared" si="1"/>
        <v>-0.60000000000582077</v>
      </c>
      <c r="G8" s="580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1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79">
        <f t="shared" si="1"/>
        <v>0</v>
      </c>
      <c r="G9" s="580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1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79">
        <f t="shared" si="1"/>
        <v>1.1000000000058208</v>
      </c>
      <c r="G10" s="580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1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79">
        <f t="shared" si="1"/>
        <v>0.37999999999738066</v>
      </c>
      <c r="G11" s="580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1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79">
        <f t="shared" si="1"/>
        <v>3.2100000000064028</v>
      </c>
      <c r="G12" s="580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1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79">
        <f t="shared" si="1"/>
        <v>0.48999999999796273</v>
      </c>
      <c r="G13" s="580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1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79">
        <f t="shared" si="1"/>
        <v>-1.1399999999994179</v>
      </c>
      <c r="G14" s="580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1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79">
        <f t="shared" si="1"/>
        <v>-1.7700000000040745</v>
      </c>
      <c r="G15" s="580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1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79">
        <f t="shared" si="1"/>
        <v>0.97000000000116415</v>
      </c>
      <c r="G16" s="580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1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79">
        <f t="shared" si="1"/>
        <v>0.25</v>
      </c>
      <c r="G17" s="580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1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79">
        <f t="shared" si="1"/>
        <v>0.72000000000116415</v>
      </c>
      <c r="G18" s="580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1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79">
        <f t="shared" si="1"/>
        <v>0.52999999999883585</v>
      </c>
      <c r="G19" s="580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1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79">
        <f t="shared" si="1"/>
        <v>0.71000000000640284</v>
      </c>
      <c r="G20" s="580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1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79">
        <f t="shared" si="1"/>
        <v>-0.25</v>
      </c>
      <c r="G21" s="580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1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79">
        <f t="shared" si="1"/>
        <v>-1.5599999999976717</v>
      </c>
      <c r="G22" s="580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1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79">
        <f t="shared" si="1"/>
        <v>-1.9600000000064028</v>
      </c>
      <c r="G23" s="580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1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79">
        <f t="shared" si="1"/>
        <v>1.1600000000034925</v>
      </c>
      <c r="G24" s="580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1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79">
        <f t="shared" si="1"/>
        <v>0.11999999999534339</v>
      </c>
      <c r="G25" s="580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1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79">
        <f t="shared" si="1"/>
        <v>0.77999999999883585</v>
      </c>
      <c r="G26" s="580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1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79">
        <f t="shared" si="1"/>
        <v>1.1399999999994179</v>
      </c>
      <c r="G27" s="580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1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79">
        <f t="shared" si="1"/>
        <v>0.73000000000320142</v>
      </c>
      <c r="G28" s="580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1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79">
        <f t="shared" si="1"/>
        <v>1.3500000000058208</v>
      </c>
      <c r="G29" s="580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1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79">
        <f t="shared" si="1"/>
        <v>0.42999999999301508</v>
      </c>
      <c r="G30" s="580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1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79">
        <f t="shared" si="1"/>
        <v>-0.47999999999592546</v>
      </c>
      <c r="G31" s="580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1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79">
        <f>D32-E32</f>
        <v>5.8000000000029104</v>
      </c>
      <c r="G32" s="580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1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79">
        <f t="shared" si="1"/>
        <v>0.74000000000523869</v>
      </c>
      <c r="G33" s="580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1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79">
        <f>D34-E34</f>
        <v>-0.60000000000582077</v>
      </c>
      <c r="G34" s="580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1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79">
        <f t="shared" si="1"/>
        <v>0.69000000000232831</v>
      </c>
      <c r="G35" s="580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1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79">
        <f t="shared" si="1"/>
        <v>0.75999999999476131</v>
      </c>
      <c r="G36" s="580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1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79">
        <f t="shared" si="1"/>
        <v>1.5599999999976717</v>
      </c>
      <c r="G37" s="580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1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79">
        <f t="shared" si="1"/>
        <v>0.37000000000261934</v>
      </c>
      <c r="G38" s="580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1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79">
        <f t="shared" si="1"/>
        <v>0.25</v>
      </c>
      <c r="G39" s="580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1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79">
        <f t="shared" si="1"/>
        <v>0.78999999999359716</v>
      </c>
      <c r="G40" s="580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1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79">
        <f t="shared" si="1"/>
        <v>0.41999999999825377</v>
      </c>
      <c r="G41" s="580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1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79">
        <f t="shared" si="1"/>
        <v>0.22999999999956344</v>
      </c>
      <c r="G42" s="580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1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79">
        <f t="shared" si="1"/>
        <v>9.9999999983992893E-3</v>
      </c>
      <c r="G43" s="580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1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79">
        <f t="shared" si="1"/>
        <v>-1.8300000000017462</v>
      </c>
      <c r="G44" s="580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1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79">
        <f t="shared" si="1"/>
        <v>-0.54000000000087311</v>
      </c>
      <c r="G45" s="580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1">
        <f t="shared" si="6"/>
        <v>22974</v>
      </c>
    </row>
    <row r="46" spans="1:12">
      <c r="A46" s="287">
        <v>44044</v>
      </c>
      <c r="B46" s="370">
        <f t="shared" si="4"/>
        <v>8401424</v>
      </c>
      <c r="C46" s="321">
        <v>8425982</v>
      </c>
      <c r="D46" s="457">
        <f t="shared" si="0"/>
        <v>24558</v>
      </c>
      <c r="E46" s="321">
        <v>24556.98</v>
      </c>
      <c r="F46" s="579">
        <f t="shared" si="1"/>
        <v>1.0200000000004366</v>
      </c>
      <c r="G46" s="580">
        <f t="shared" si="5"/>
        <v>267428</v>
      </c>
      <c r="H46" s="321">
        <v>268712</v>
      </c>
      <c r="I46" s="320">
        <f t="shared" si="2"/>
        <v>1284</v>
      </c>
      <c r="J46" s="321">
        <v>1284.27</v>
      </c>
      <c r="K46" s="327">
        <f t="shared" si="3"/>
        <v>-0.26999999999998181</v>
      </c>
      <c r="L46" s="581">
        <f t="shared" si="6"/>
        <v>25842</v>
      </c>
    </row>
    <row r="47" spans="1:12">
      <c r="A47" s="287">
        <v>44075</v>
      </c>
      <c r="B47" s="370">
        <f t="shared" si="4"/>
        <v>8425982</v>
      </c>
      <c r="C47" s="770">
        <v>8448580</v>
      </c>
      <c r="D47" s="457">
        <f t="shared" si="0"/>
        <v>22598</v>
      </c>
      <c r="E47" s="770">
        <v>22710</v>
      </c>
      <c r="F47" s="579">
        <f t="shared" si="1"/>
        <v>-112</v>
      </c>
      <c r="G47" s="580">
        <f t="shared" si="5"/>
        <v>268712</v>
      </c>
      <c r="H47" s="289"/>
      <c r="I47" s="320">
        <f t="shared" si="2"/>
        <v>-268712</v>
      </c>
      <c r="J47" s="289"/>
      <c r="K47" s="327">
        <f t="shared" si="3"/>
        <v>-268712</v>
      </c>
      <c r="L47" s="581">
        <f t="shared" si="6"/>
        <v>-246114</v>
      </c>
    </row>
    <row r="48" spans="1:12">
      <c r="A48" s="287">
        <v>44105</v>
      </c>
      <c r="B48" s="370">
        <f t="shared" si="4"/>
        <v>8448580</v>
      </c>
      <c r="C48" s="289"/>
      <c r="D48" s="457">
        <f t="shared" si="0"/>
        <v>-8448580</v>
      </c>
      <c r="E48" s="289"/>
      <c r="F48" s="579">
        <f t="shared" si="1"/>
        <v>-8448580</v>
      </c>
      <c r="G48" s="580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1">
        <f t="shared" si="6"/>
        <v>-8448580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79">
        <f t="shared" si="1"/>
        <v>0</v>
      </c>
      <c r="G49" s="580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1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79">
        <f t="shared" si="1"/>
        <v>0</v>
      </c>
      <c r="G50" s="580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1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79">
        <f t="shared" si="1"/>
        <v>0</v>
      </c>
      <c r="G51" s="580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1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79">
        <f t="shared" si="1"/>
        <v>0</v>
      </c>
      <c r="G52" s="580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1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79">
        <f t="shared" si="1"/>
        <v>0</v>
      </c>
      <c r="G53" s="580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1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79">
        <f t="shared" si="1"/>
        <v>0</v>
      </c>
      <c r="G54" s="580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1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79">
        <f t="shared" si="1"/>
        <v>0</v>
      </c>
      <c r="G55" s="580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1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79">
        <f t="shared" si="1"/>
        <v>0</v>
      </c>
      <c r="G56" s="580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1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79">
        <f t="shared" si="1"/>
        <v>0</v>
      </c>
      <c r="G57" s="580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1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79">
        <f t="shared" si="1"/>
        <v>0</v>
      </c>
      <c r="G58" s="580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1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79">
        <f t="shared" si="1"/>
        <v>0</v>
      </c>
      <c r="G59" s="580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1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79">
        <f t="shared" si="1"/>
        <v>0</v>
      </c>
      <c r="G60" s="580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1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79">
        <f t="shared" si="1"/>
        <v>0</v>
      </c>
      <c r="G61" s="580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1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79">
        <f t="shared" si="1"/>
        <v>0</v>
      </c>
      <c r="G62" s="580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1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79">
        <f t="shared" si="1"/>
        <v>0</v>
      </c>
      <c r="G63" s="580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1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79">
        <f t="shared" si="1"/>
        <v>0</v>
      </c>
      <c r="G64" s="580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1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79">
        <f t="shared" si="1"/>
        <v>0</v>
      </c>
      <c r="G65" s="580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1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79">
        <f t="shared" si="1"/>
        <v>0</v>
      </c>
      <c r="G66" s="580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1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79">
        <f t="shared" ref="F67:F77" si="8">D67-E67</f>
        <v>0</v>
      </c>
      <c r="G67" s="580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1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79">
        <f t="shared" si="8"/>
        <v>0</v>
      </c>
      <c r="G68" s="580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1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79">
        <f t="shared" si="8"/>
        <v>0</v>
      </c>
      <c r="G69" s="580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1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79">
        <f t="shared" si="8"/>
        <v>0</v>
      </c>
      <c r="G70" s="580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1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79">
        <f t="shared" si="8"/>
        <v>0</v>
      </c>
      <c r="G71" s="580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1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79">
        <f t="shared" si="8"/>
        <v>0</v>
      </c>
      <c r="G72" s="580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1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79">
        <f t="shared" si="8"/>
        <v>0</v>
      </c>
      <c r="G73" s="580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1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79">
        <f t="shared" si="8"/>
        <v>0</v>
      </c>
      <c r="G74" s="580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1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79">
        <f t="shared" si="8"/>
        <v>0</v>
      </c>
      <c r="G75" s="580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1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79">
        <f t="shared" si="8"/>
        <v>0</v>
      </c>
      <c r="G76" s="580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1">
        <f t="shared" si="13"/>
        <v>0</v>
      </c>
    </row>
    <row r="77" spans="1:12" ht="13.5" thickBot="1">
      <c r="A77" s="287">
        <v>44986</v>
      </c>
      <c r="B77" s="620">
        <f t="shared" si="11"/>
        <v>0</v>
      </c>
      <c r="C77" s="543"/>
      <c r="D77" s="621">
        <f t="shared" si="7"/>
        <v>0</v>
      </c>
      <c r="E77" s="543"/>
      <c r="F77" s="622">
        <f t="shared" si="8"/>
        <v>0</v>
      </c>
      <c r="G77" s="623">
        <f t="shared" si="12"/>
        <v>0</v>
      </c>
      <c r="H77" s="543"/>
      <c r="I77" s="624">
        <f t="shared" si="9"/>
        <v>0</v>
      </c>
      <c r="J77" s="543"/>
      <c r="K77" s="625">
        <f t="shared" si="10"/>
        <v>0</v>
      </c>
      <c r="L77" s="626">
        <f t="shared" si="13"/>
        <v>0</v>
      </c>
    </row>
    <row r="78" spans="1:12" ht="13.5" thickBot="1"/>
    <row r="79" spans="1:12">
      <c r="B79" s="884"/>
      <c r="C79" s="885"/>
      <c r="D79" s="885"/>
      <c r="E79" s="886"/>
      <c r="H79" s="884"/>
      <c r="I79" s="885"/>
      <c r="J79" s="885"/>
      <c r="K79" s="885"/>
      <c r="L79" s="886"/>
    </row>
    <row r="80" spans="1:12">
      <c r="B80" s="887"/>
      <c r="C80" s="888"/>
      <c r="D80" s="888"/>
      <c r="E80" s="889"/>
      <c r="H80" s="887"/>
      <c r="I80" s="888"/>
      <c r="J80" s="888"/>
      <c r="K80" s="888"/>
      <c r="L80" s="889"/>
    </row>
    <row r="81" spans="2:12">
      <c r="B81" s="887"/>
      <c r="C81" s="888"/>
      <c r="D81" s="888"/>
      <c r="E81" s="889"/>
      <c r="H81" s="887"/>
      <c r="I81" s="888"/>
      <c r="J81" s="888"/>
      <c r="K81" s="888"/>
      <c r="L81" s="889"/>
    </row>
    <row r="82" spans="2:12">
      <c r="B82" s="887"/>
      <c r="C82" s="888"/>
      <c r="D82" s="888"/>
      <c r="E82" s="889"/>
      <c r="H82" s="887"/>
      <c r="I82" s="888"/>
      <c r="J82" s="888"/>
      <c r="K82" s="888"/>
      <c r="L82" s="889"/>
    </row>
    <row r="83" spans="2:12">
      <c r="B83" s="887"/>
      <c r="C83" s="888"/>
      <c r="D83" s="888"/>
      <c r="E83" s="889"/>
      <c r="H83" s="887"/>
      <c r="I83" s="888"/>
      <c r="J83" s="888"/>
      <c r="K83" s="888"/>
      <c r="L83" s="889"/>
    </row>
    <row r="84" spans="2:12">
      <c r="B84" s="887"/>
      <c r="C84" s="888"/>
      <c r="D84" s="888"/>
      <c r="E84" s="889"/>
      <c r="H84" s="887"/>
      <c r="I84" s="888"/>
      <c r="J84" s="888"/>
      <c r="K84" s="888"/>
      <c r="L84" s="889"/>
    </row>
    <row r="85" spans="2:12">
      <c r="B85" s="887"/>
      <c r="C85" s="888"/>
      <c r="D85" s="888"/>
      <c r="E85" s="889"/>
      <c r="H85" s="887"/>
      <c r="I85" s="888"/>
      <c r="J85" s="888"/>
      <c r="K85" s="888"/>
      <c r="L85" s="889"/>
    </row>
    <row r="86" spans="2:12">
      <c r="B86" s="887"/>
      <c r="C86" s="888"/>
      <c r="D86" s="888"/>
      <c r="E86" s="889"/>
      <c r="H86" s="887"/>
      <c r="I86" s="888"/>
      <c r="J86" s="888"/>
      <c r="K86" s="888"/>
      <c r="L86" s="889"/>
    </row>
    <row r="87" spans="2:12">
      <c r="B87" s="887"/>
      <c r="C87" s="888"/>
      <c r="D87" s="888"/>
      <c r="E87" s="889"/>
      <c r="H87" s="887"/>
      <c r="I87" s="888"/>
      <c r="J87" s="888"/>
      <c r="K87" s="888"/>
      <c r="L87" s="889"/>
    </row>
    <row r="88" spans="2:12">
      <c r="B88" s="887"/>
      <c r="C88" s="888"/>
      <c r="D88" s="888"/>
      <c r="E88" s="889"/>
      <c r="H88" s="887"/>
      <c r="I88" s="888"/>
      <c r="J88" s="888"/>
      <c r="K88" s="888"/>
      <c r="L88" s="889"/>
    </row>
    <row r="89" spans="2:12">
      <c r="B89" s="887"/>
      <c r="C89" s="888"/>
      <c r="D89" s="888"/>
      <c r="E89" s="889"/>
      <c r="H89" s="887"/>
      <c r="I89" s="888"/>
      <c r="J89" s="888"/>
      <c r="K89" s="888"/>
      <c r="L89" s="889"/>
    </row>
    <row r="90" spans="2:12">
      <c r="B90" s="887"/>
      <c r="C90" s="888"/>
      <c r="D90" s="888"/>
      <c r="E90" s="889"/>
      <c r="H90" s="887"/>
      <c r="I90" s="888"/>
      <c r="J90" s="888"/>
      <c r="K90" s="888"/>
      <c r="L90" s="889"/>
    </row>
    <row r="91" spans="2:12">
      <c r="B91" s="887"/>
      <c r="C91" s="888"/>
      <c r="D91" s="888"/>
      <c r="E91" s="889"/>
      <c r="H91" s="887"/>
      <c r="I91" s="888"/>
      <c r="J91" s="888"/>
      <c r="K91" s="888"/>
      <c r="L91" s="889"/>
    </row>
    <row r="92" spans="2:12">
      <c r="B92" s="887"/>
      <c r="C92" s="888"/>
      <c r="D92" s="888"/>
      <c r="E92" s="889"/>
      <c r="H92" s="887"/>
      <c r="I92" s="888"/>
      <c r="J92" s="888"/>
      <c r="K92" s="888"/>
      <c r="L92" s="889"/>
    </row>
    <row r="93" spans="2:12" ht="13.5" thickBot="1">
      <c r="B93" s="890"/>
      <c r="C93" s="891"/>
      <c r="D93" s="891"/>
      <c r="E93" s="892"/>
      <c r="H93" s="890"/>
      <c r="I93" s="891"/>
      <c r="J93" s="891"/>
      <c r="K93" s="891"/>
      <c r="L93" s="892"/>
    </row>
    <row r="94" spans="2:12">
      <c r="B94" s="893" t="s">
        <v>311</v>
      </c>
      <c r="C94" s="894"/>
      <c r="D94" s="894"/>
      <c r="E94" s="895"/>
      <c r="H94" s="893" t="s">
        <v>312</v>
      </c>
      <c r="I94" s="894"/>
      <c r="J94" s="894"/>
      <c r="K94" s="894"/>
      <c r="L94" s="895"/>
    </row>
    <row r="95" spans="2:12">
      <c r="B95" s="896"/>
      <c r="C95" s="897"/>
      <c r="D95" s="897"/>
      <c r="E95" s="898"/>
      <c r="H95" s="896"/>
      <c r="I95" s="897"/>
      <c r="J95" s="897"/>
      <c r="K95" s="897"/>
      <c r="L95" s="898"/>
    </row>
    <row r="96" spans="2:12" ht="13.5" thickBot="1">
      <c r="B96" s="899"/>
      <c r="C96" s="900"/>
      <c r="D96" s="900"/>
      <c r="E96" s="901"/>
      <c r="H96" s="899"/>
      <c r="I96" s="900"/>
      <c r="J96" s="900"/>
      <c r="K96" s="900"/>
      <c r="L96" s="901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C34" sqref="C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02" t="s">
        <v>252</v>
      </c>
      <c r="B1" s="902"/>
      <c r="C1" s="902"/>
      <c r="D1" s="902"/>
      <c r="E1" s="902"/>
      <c r="F1" s="902"/>
      <c r="G1" s="902"/>
      <c r="H1" s="902"/>
      <c r="I1" s="902"/>
      <c r="J1" s="902"/>
    </row>
    <row r="2" spans="1:10" ht="19.5" thickBot="1">
      <c r="A2" s="911">
        <f>A5</f>
        <v>44075</v>
      </c>
      <c r="B2" s="912"/>
      <c r="C2" s="912"/>
      <c r="D2" s="912"/>
      <c r="E2" s="912"/>
      <c r="F2" s="912"/>
      <c r="G2" s="912"/>
      <c r="H2" s="912"/>
      <c r="I2" s="912"/>
      <c r="J2" s="912"/>
    </row>
    <row r="3" spans="1:10" ht="15.75" thickBot="1">
      <c r="A3" s="903" t="s">
        <v>7</v>
      </c>
      <c r="B3" s="905" t="s">
        <v>253</v>
      </c>
      <c r="C3" s="518"/>
      <c r="D3" s="907" t="s">
        <v>254</v>
      </c>
      <c r="E3" s="908"/>
      <c r="F3" s="909" t="s">
        <v>255</v>
      </c>
      <c r="G3" s="910"/>
      <c r="H3" s="908"/>
      <c r="I3" s="909" t="s">
        <v>256</v>
      </c>
      <c r="J3" s="908"/>
    </row>
    <row r="4" spans="1:10" ht="30.75" thickBot="1">
      <c r="A4" s="904"/>
      <c r="B4" s="906"/>
      <c r="C4" s="524" t="s">
        <v>301</v>
      </c>
      <c r="D4" s="458" t="s">
        <v>257</v>
      </c>
      <c r="E4" s="463" t="s">
        <v>3</v>
      </c>
      <c r="F4" s="458" t="s">
        <v>257</v>
      </c>
      <c r="G4" s="458" t="s">
        <v>258</v>
      </c>
      <c r="H4" s="458" t="s">
        <v>259</v>
      </c>
      <c r="I4" s="458" t="s">
        <v>17</v>
      </c>
      <c r="J4" s="458" t="s">
        <v>260</v>
      </c>
    </row>
    <row r="5" spans="1:10" ht="17.100000000000001" customHeight="1">
      <c r="A5" s="263">
        <f>Gen!B11</f>
        <v>44075</v>
      </c>
      <c r="B5" s="465">
        <f>Gen!C11</f>
        <v>3.9E-2</v>
      </c>
      <c r="C5" s="522">
        <f>Gen!AK11</f>
        <v>69.209999999999994</v>
      </c>
      <c r="D5" s="523">
        <f>Gen!T11</f>
        <v>891.43</v>
      </c>
      <c r="E5" s="460">
        <f>Gen!D11</f>
        <v>41590.620000000003</v>
      </c>
      <c r="F5" s="461">
        <f>'Water-Meter'!E6</f>
        <v>56</v>
      </c>
      <c r="G5" s="462">
        <f>'Water-Meter'!AN6</f>
        <v>106</v>
      </c>
      <c r="H5" s="460">
        <f>'Utility report '!AC6</f>
        <v>74</v>
      </c>
      <c r="I5" s="459">
        <f>'Kit report'!F4</f>
        <v>191.99999999982538</v>
      </c>
      <c r="J5" s="460">
        <f>'Kit report'!X4</f>
        <v>80.000000000109139</v>
      </c>
    </row>
    <row r="6" spans="1:10" ht="17.100000000000001" customHeight="1">
      <c r="A6" s="263">
        <f>Gen!B12</f>
        <v>44076</v>
      </c>
      <c r="B6" s="464">
        <f>Gen!C12</f>
        <v>3.9E-2</v>
      </c>
      <c r="C6" s="522">
        <f>Gen!AK12</f>
        <v>80.650000000000006</v>
      </c>
      <c r="D6" s="523">
        <f>Gen!T12</f>
        <v>821.92000000000007</v>
      </c>
      <c r="E6" s="460">
        <f>Gen!D12</f>
        <v>40629.980000000003</v>
      </c>
      <c r="F6" s="461">
        <f>'Water-Meter'!E7</f>
        <v>58</v>
      </c>
      <c r="G6" s="462">
        <f>'Water-Meter'!AN7</f>
        <v>125</v>
      </c>
      <c r="H6" s="460">
        <f>'Utility report '!AC7</f>
        <v>26</v>
      </c>
      <c r="I6" s="459">
        <f>'Kit report'!F5</f>
        <v>192.00000000004366</v>
      </c>
      <c r="J6" s="460">
        <f>'Kit report'!X5</f>
        <v>19.999999999890861</v>
      </c>
    </row>
    <row r="7" spans="1:10" ht="17.100000000000001" customHeight="1">
      <c r="A7" s="263">
        <f>Gen!B13</f>
        <v>44077</v>
      </c>
      <c r="B7" s="464">
        <f>Gen!C13</f>
        <v>3.9E-2</v>
      </c>
      <c r="C7" s="522">
        <f>Gen!AK13</f>
        <v>10.02</v>
      </c>
      <c r="D7" s="523">
        <f>Gen!T13</f>
        <v>1090.28</v>
      </c>
      <c r="E7" s="460">
        <f>Gen!D13</f>
        <v>39727.410000000003</v>
      </c>
      <c r="F7" s="461">
        <f>'Water-Meter'!E8</f>
        <v>51</v>
      </c>
      <c r="G7" s="462">
        <f>'Water-Meter'!AN8</f>
        <v>124</v>
      </c>
      <c r="H7" s="460">
        <f>'Utility report '!AC8</f>
        <v>79</v>
      </c>
      <c r="I7" s="459">
        <f>'Kit report'!F6</f>
        <v>204.00000000008731</v>
      </c>
      <c r="J7" s="460">
        <f>'Kit report'!X6</f>
        <v>39.99999999996362</v>
      </c>
    </row>
    <row r="8" spans="1:10" ht="17.100000000000001" customHeight="1">
      <c r="A8" s="263">
        <f>Gen!B14</f>
        <v>44078</v>
      </c>
      <c r="B8" s="464">
        <f>Gen!C14</f>
        <v>9.0899999999999995E-2</v>
      </c>
      <c r="C8" s="522">
        <f>Gen!AK14</f>
        <v>0</v>
      </c>
      <c r="D8" s="523">
        <f>Gen!T14</f>
        <v>868.39</v>
      </c>
      <c r="E8" s="460">
        <f>Gen!D14</f>
        <v>38627.11</v>
      </c>
      <c r="F8" s="461">
        <f>'Water-Meter'!E9</f>
        <v>54</v>
      </c>
      <c r="G8" s="462">
        <f>'Water-Meter'!AN9</f>
        <v>139</v>
      </c>
      <c r="H8" s="460">
        <f>'Utility report '!AC9</f>
        <v>92</v>
      </c>
      <c r="I8" s="459">
        <f>'Kit report'!F7</f>
        <v>215.99999999991269</v>
      </c>
      <c r="J8" s="460">
        <f>'Kit report'!X7</f>
        <v>100</v>
      </c>
    </row>
    <row r="9" spans="1:10" ht="17.100000000000001" customHeight="1">
      <c r="A9" s="263">
        <f>Gen!B15</f>
        <v>44079</v>
      </c>
      <c r="B9" s="464">
        <f>Gen!C15</f>
        <v>9.0899999999999995E-2</v>
      </c>
      <c r="C9" s="522">
        <f>Gen!AK15</f>
        <v>27.01</v>
      </c>
      <c r="D9" s="523">
        <f>Gen!T15</f>
        <v>841.98</v>
      </c>
      <c r="E9" s="460">
        <f>Gen!D15</f>
        <v>37758.720000000001</v>
      </c>
      <c r="F9" s="461">
        <f>'Water-Meter'!E10</f>
        <v>50</v>
      </c>
      <c r="G9" s="462">
        <f>'Water-Meter'!AN10</f>
        <v>103</v>
      </c>
      <c r="H9" s="460">
        <f>'Utility report '!AC10</f>
        <v>1</v>
      </c>
      <c r="I9" s="459">
        <f>'Kit report'!F8</f>
        <v>204.00000000008731</v>
      </c>
      <c r="J9" s="460">
        <f>'Kit report'!X8</f>
        <v>40.000000000145519</v>
      </c>
    </row>
    <row r="10" spans="1:10" ht="17.100000000000001" customHeight="1">
      <c r="A10" s="263">
        <f>Gen!B16</f>
        <v>44080</v>
      </c>
      <c r="B10" s="464">
        <f>Gen!C16</f>
        <v>9.0899999999999995E-2</v>
      </c>
      <c r="C10" s="522">
        <f>Gen!AK16</f>
        <v>0</v>
      </c>
      <c r="D10" s="523">
        <f>Gen!T16</f>
        <v>938.54</v>
      </c>
      <c r="E10" s="460">
        <f>Gen!D16</f>
        <v>36889.730000000003</v>
      </c>
      <c r="F10" s="461">
        <f>'Water-Meter'!E11</f>
        <v>52</v>
      </c>
      <c r="G10" s="462">
        <f>'Water-Meter'!AN11</f>
        <v>83</v>
      </c>
      <c r="H10" s="460">
        <f>'Utility report '!AC11</f>
        <v>68</v>
      </c>
      <c r="I10" s="459">
        <f>'Kit report'!F9</f>
        <v>143.99999999986903</v>
      </c>
      <c r="J10" s="460">
        <f>'Kit report'!X9</f>
        <v>59.999999999854481</v>
      </c>
    </row>
    <row r="11" spans="1:10" ht="17.100000000000001" customHeight="1">
      <c r="A11" s="263">
        <f>Gen!B17</f>
        <v>44081</v>
      </c>
      <c r="B11" s="464">
        <f>Gen!C17</f>
        <v>2.5999999999999999E-2</v>
      </c>
      <c r="C11" s="522">
        <f>Gen!AK17</f>
        <v>258.14</v>
      </c>
      <c r="D11" s="523">
        <f>Gen!T17</f>
        <v>910.27</v>
      </c>
      <c r="E11" s="460">
        <f>Gen!D17</f>
        <v>35951.19</v>
      </c>
      <c r="F11" s="461">
        <f>'Water-Meter'!E12</f>
        <v>58</v>
      </c>
      <c r="G11" s="462">
        <f>'Water-Meter'!AN12</f>
        <v>106</v>
      </c>
      <c r="H11" s="460">
        <f>'Utility report '!AC12</f>
        <v>45</v>
      </c>
      <c r="I11" s="459">
        <f>'Kit report'!F10</f>
        <v>192.00000000004366</v>
      </c>
      <c r="J11" s="460">
        <f>'Kit report'!X10</f>
        <v>40.000000000145519</v>
      </c>
    </row>
    <row r="12" spans="1:10" ht="17.100000000000001" customHeight="1">
      <c r="A12" s="263">
        <f>Gen!B18</f>
        <v>44082</v>
      </c>
      <c r="B12" s="464">
        <f>Gen!C18</f>
        <v>3.9E-2</v>
      </c>
      <c r="C12" s="522">
        <f>Gen!AK18</f>
        <v>123.3</v>
      </c>
      <c r="D12" s="523">
        <f>Gen!T18</f>
        <v>948.21</v>
      </c>
      <c r="E12" s="460">
        <f>Gen!D18</f>
        <v>34782.78</v>
      </c>
      <c r="F12" s="461">
        <f>'Water-Meter'!E13</f>
        <v>46</v>
      </c>
      <c r="G12" s="462">
        <f>'Water-Meter'!AN13</f>
        <v>138</v>
      </c>
      <c r="H12" s="460">
        <f>'Utility report '!AC13</f>
        <v>54</v>
      </c>
      <c r="I12" s="459">
        <f>'Kit report'!F11</f>
        <v>192.00000000004366</v>
      </c>
      <c r="J12" s="460">
        <f>'Kit report'!X11</f>
        <v>59.999999999854481</v>
      </c>
    </row>
    <row r="13" spans="1:10" ht="17.100000000000001" customHeight="1">
      <c r="A13" s="263">
        <f>Gen!B19</f>
        <v>44083</v>
      </c>
      <c r="B13" s="464">
        <f>Gen!C19</f>
        <v>6.5000000000000002E-2</v>
      </c>
      <c r="C13" s="522">
        <f>Gen!AK19</f>
        <v>0</v>
      </c>
      <c r="D13" s="523">
        <f>Gen!T19</f>
        <v>916.32999999999993</v>
      </c>
      <c r="E13" s="460">
        <f>Gen!D19</f>
        <v>33711.269999999997</v>
      </c>
      <c r="F13" s="461">
        <f>'Water-Meter'!E14</f>
        <v>52</v>
      </c>
      <c r="G13" s="462">
        <f>'Water-Meter'!AN14</f>
        <v>92</v>
      </c>
      <c r="H13" s="460">
        <f>'Utility report '!AC14</f>
        <v>46</v>
      </c>
      <c r="I13" s="459">
        <f>'Kit report'!F12</f>
        <v>192.00000000004366</v>
      </c>
      <c r="J13" s="460">
        <f>'Kit report'!X12</f>
        <v>0</v>
      </c>
    </row>
    <row r="14" spans="1:10" ht="17.100000000000001" customHeight="1">
      <c r="A14" s="263">
        <f>Gen!B20</f>
        <v>44084</v>
      </c>
      <c r="B14" s="464">
        <f>Gen!C20</f>
        <v>1.2999999999999999E-2</v>
      </c>
      <c r="C14" s="522">
        <f>Gen!AK20</f>
        <v>0</v>
      </c>
      <c r="D14" s="523">
        <f>Gen!T20</f>
        <v>978.04</v>
      </c>
      <c r="E14" s="460">
        <f>Gen!D20</f>
        <v>32794.939999999995</v>
      </c>
      <c r="F14" s="461">
        <f>'Water-Meter'!E15</f>
        <v>55</v>
      </c>
      <c r="G14" s="462">
        <f>'Water-Meter'!AN15</f>
        <v>101</v>
      </c>
      <c r="H14" s="460">
        <f>'Utility report '!AC15</f>
        <v>103</v>
      </c>
      <c r="I14" s="459">
        <f>'Kit report'!F13</f>
        <v>203.99999999986903</v>
      </c>
      <c r="J14" s="460">
        <f>'Kit report'!X13</f>
        <v>140.00000000014552</v>
      </c>
    </row>
    <row r="15" spans="1:10" ht="17.100000000000001" customHeight="1">
      <c r="A15" s="263">
        <f>Gen!B21</f>
        <v>44085</v>
      </c>
      <c r="B15" s="464">
        <f>Gen!C21</f>
        <v>3.9E-2</v>
      </c>
      <c r="C15" s="522">
        <f>Gen!AK21</f>
        <v>0</v>
      </c>
      <c r="D15" s="523">
        <f>Gen!T21</f>
        <v>782.55</v>
      </c>
      <c r="E15" s="460">
        <f>Gen!D21</f>
        <v>31816.899999999994</v>
      </c>
      <c r="F15" s="461">
        <f>'Water-Meter'!E16</f>
        <v>94</v>
      </c>
      <c r="G15" s="462">
        <f>'Water-Meter'!AN16</f>
        <v>101</v>
      </c>
      <c r="H15" s="460">
        <f>'Utility report '!AC16</f>
        <v>1</v>
      </c>
      <c r="I15" s="459">
        <f>'Kit report'!F14</f>
        <v>192.00000000004366</v>
      </c>
      <c r="J15" s="460">
        <f>'Kit report'!X14</f>
        <v>19.999999999890861</v>
      </c>
    </row>
    <row r="16" spans="1:10" ht="17.100000000000001" customHeight="1">
      <c r="A16" s="263">
        <f>Gen!B22</f>
        <v>44086</v>
      </c>
      <c r="B16" s="464">
        <f>Gen!C22</f>
        <v>0.02</v>
      </c>
      <c r="C16" s="522">
        <f>Gen!AK22</f>
        <v>0</v>
      </c>
      <c r="D16" s="523">
        <f>Gen!T22</f>
        <v>732.78</v>
      </c>
      <c r="E16" s="460">
        <f>Gen!D22</f>
        <v>31034.349999999995</v>
      </c>
      <c r="F16" s="461">
        <f>'Water-Meter'!E17</f>
        <v>59</v>
      </c>
      <c r="G16" s="462">
        <f>'Water-Meter'!AN17</f>
        <v>86</v>
      </c>
      <c r="H16" s="460">
        <f>'Utility report '!AC17</f>
        <v>10</v>
      </c>
      <c r="I16" s="459">
        <f>'Kit report'!F15</f>
        <v>180</v>
      </c>
      <c r="J16" s="460">
        <f>'Kit report'!X15</f>
        <v>20.00000000007276</v>
      </c>
    </row>
    <row r="17" spans="1:10" ht="17.100000000000001" customHeight="1">
      <c r="A17" s="263">
        <f>Gen!B23</f>
        <v>44087</v>
      </c>
      <c r="B17" s="464">
        <f>Gen!C23</f>
        <v>0.03</v>
      </c>
      <c r="C17" s="522">
        <f>Gen!AK23</f>
        <v>71.040000000000006</v>
      </c>
      <c r="D17" s="523">
        <f>Gen!T23</f>
        <v>935.74</v>
      </c>
      <c r="E17" s="460">
        <f>Gen!D23</f>
        <v>30301.569999999996</v>
      </c>
      <c r="F17" s="461">
        <f>'Water-Meter'!E18</f>
        <v>36</v>
      </c>
      <c r="G17" s="462">
        <f>'Water-Meter'!AN18</f>
        <v>161</v>
      </c>
      <c r="H17" s="460">
        <f>'Utility report '!AC18</f>
        <v>16</v>
      </c>
      <c r="I17" s="459">
        <f>'Kit report'!F16</f>
        <v>180</v>
      </c>
      <c r="J17" s="460">
        <f>'Kit report'!X16</f>
        <v>39.99999999996362</v>
      </c>
    </row>
    <row r="18" spans="1:10" ht="17.100000000000001" customHeight="1">
      <c r="A18" s="263">
        <f>Gen!B24</f>
        <v>44088</v>
      </c>
      <c r="B18" s="464">
        <v>0.03</v>
      </c>
      <c r="C18" s="522">
        <f>Gen!AK24</f>
        <v>0</v>
      </c>
      <c r="D18" s="523">
        <f>Gen!T24</f>
        <v>890.08999999999992</v>
      </c>
      <c r="E18" s="460">
        <f>Gen!D24</f>
        <v>29294.789999999997</v>
      </c>
      <c r="F18" s="461">
        <f>'Water-Meter'!E19</f>
        <v>53</v>
      </c>
      <c r="G18" s="462">
        <f>'Water-Meter'!AN19</f>
        <v>100</v>
      </c>
      <c r="H18" s="460">
        <f>'Utility report '!AC19</f>
        <v>33</v>
      </c>
      <c r="I18" s="459">
        <f>'Kit report'!F17</f>
        <v>204.00000000008731</v>
      </c>
      <c r="J18" s="460">
        <f>'Kit report'!X17</f>
        <v>79.99999999992724</v>
      </c>
    </row>
    <row r="19" spans="1:10" ht="17.100000000000001" customHeight="1">
      <c r="A19" s="263">
        <f>Gen!B25</f>
        <v>44089</v>
      </c>
      <c r="B19" s="464">
        <f>Gen!C25</f>
        <v>0.03</v>
      </c>
      <c r="C19" s="522">
        <f>Gen!AK25</f>
        <v>0</v>
      </c>
      <c r="D19" s="523">
        <f>Gen!T25</f>
        <v>888.98</v>
      </c>
      <c r="E19" s="460">
        <f>Gen!D25</f>
        <v>28404.699999999997</v>
      </c>
      <c r="F19" s="461">
        <f>'Water-Meter'!E20</f>
        <v>40</v>
      </c>
      <c r="G19" s="462">
        <f>'Water-Meter'!AN20</f>
        <v>77</v>
      </c>
      <c r="H19" s="460">
        <f>'Utility report '!AC20</f>
        <v>41</v>
      </c>
      <c r="I19" s="459">
        <f>'Kit report'!F18</f>
        <v>203.99999999986903</v>
      </c>
      <c r="J19" s="460">
        <f>'Kit report'!X18</f>
        <v>40.000000000145519</v>
      </c>
    </row>
    <row r="20" spans="1:10" ht="17.100000000000001" customHeight="1">
      <c r="A20" s="263">
        <f>Gen!B26</f>
        <v>44090</v>
      </c>
      <c r="B20" s="464">
        <f>Gen!C26</f>
        <v>0.12989999999999999</v>
      </c>
      <c r="C20" s="522">
        <f>Gen!AK26</f>
        <v>181.14</v>
      </c>
      <c r="D20" s="523">
        <f>Gen!T26</f>
        <v>1095.46</v>
      </c>
      <c r="E20" s="460">
        <f>Gen!D26</f>
        <v>27515.719999999998</v>
      </c>
      <c r="F20" s="461">
        <f>'Water-Meter'!E21</f>
        <v>30</v>
      </c>
      <c r="G20" s="462">
        <f>'Water-Meter'!AN21</f>
        <v>149</v>
      </c>
      <c r="H20" s="460">
        <f>'Utility report '!AC21</f>
        <v>16</v>
      </c>
      <c r="I20" s="459">
        <f>'Kit report'!F19</f>
        <v>228.00000000017462</v>
      </c>
      <c r="J20" s="460">
        <f>'Kit report'!X19</f>
        <v>59.999999999854481</v>
      </c>
    </row>
    <row r="21" spans="1:10" ht="15">
      <c r="A21" s="263">
        <f>Gen!B27</f>
        <v>44091</v>
      </c>
      <c r="B21" s="464">
        <f>Gen!C27</f>
        <v>0.1169</v>
      </c>
      <c r="C21" s="522">
        <f>Gen!AK27</f>
        <v>25.41</v>
      </c>
      <c r="D21" s="523">
        <f>Gen!T27</f>
        <v>1018.0699999999999</v>
      </c>
      <c r="E21" s="460">
        <f>Gen!D27</f>
        <v>36239.119999999995</v>
      </c>
      <c r="F21" s="461">
        <f>'Water-Meter'!E22</f>
        <v>49</v>
      </c>
      <c r="G21" s="462">
        <f>'Water-Meter'!AN22</f>
        <v>105</v>
      </c>
      <c r="H21" s="460">
        <f>'Utility report '!AC22</f>
        <v>55</v>
      </c>
      <c r="I21" s="459">
        <f>'Kit report'!F20</f>
        <v>203.99999999986903</v>
      </c>
      <c r="J21" s="460">
        <f>'Kit report'!X20</f>
        <v>80.000000000109139</v>
      </c>
    </row>
    <row r="22" spans="1:10" ht="15" customHeight="1">
      <c r="A22" s="263">
        <f>Gen!B28</f>
        <v>44092</v>
      </c>
      <c r="B22" s="464">
        <f>Gen!C28</f>
        <v>0.1429</v>
      </c>
      <c r="C22" s="522">
        <f>Gen!AK28</f>
        <v>0</v>
      </c>
      <c r="D22" s="523">
        <f>Gen!T28</f>
        <v>1041.27</v>
      </c>
      <c r="E22" s="460">
        <f>Gen!D28</f>
        <v>35195.639999999992</v>
      </c>
      <c r="F22" s="461">
        <f>'Water-Meter'!E23</f>
        <v>50</v>
      </c>
      <c r="G22" s="462">
        <f>'Water-Meter'!AN23</f>
        <v>104</v>
      </c>
      <c r="H22" s="460">
        <f>'Utility report '!AC23</f>
        <v>20</v>
      </c>
      <c r="I22" s="459">
        <f>'Kit report'!F21</f>
        <v>216.00000000013097</v>
      </c>
      <c r="J22" s="460">
        <f>'Kit report'!X21</f>
        <v>60.00000000003638</v>
      </c>
    </row>
    <row r="23" spans="1:10" ht="15" customHeight="1">
      <c r="A23" s="263">
        <f>Gen!B29</f>
        <v>44093</v>
      </c>
      <c r="B23" s="464">
        <f>Gen!C29</f>
        <v>9.0899999999999995E-2</v>
      </c>
      <c r="C23" s="522">
        <f>Gen!AK29</f>
        <v>374.38</v>
      </c>
      <c r="D23" s="523">
        <f>Gen!T29</f>
        <v>1129.8800000000001</v>
      </c>
      <c r="E23" s="460">
        <f>Gen!D29</f>
        <v>34154.369999999995</v>
      </c>
      <c r="F23" s="461">
        <f>'Water-Meter'!E24</f>
        <v>51</v>
      </c>
      <c r="G23" s="462">
        <f>'Water-Meter'!AN24</f>
        <v>151</v>
      </c>
      <c r="H23" s="460">
        <f>'Utility report '!AC24</f>
        <v>42</v>
      </c>
      <c r="I23" s="459">
        <f>'Kit report'!F22</f>
        <v>227.99999999995634</v>
      </c>
      <c r="J23" s="460">
        <f>'Kit report'!X22</f>
        <v>79.99999999992724</v>
      </c>
    </row>
    <row r="24" spans="1:10" ht="15" customHeight="1">
      <c r="A24" s="263">
        <f>Gen!B30</f>
        <v>44094</v>
      </c>
      <c r="B24" s="464">
        <f>Gen!C30</f>
        <v>6.4899999999999999E-2</v>
      </c>
      <c r="C24" s="522">
        <f>Gen!AK30</f>
        <v>44.98</v>
      </c>
      <c r="D24" s="523">
        <f>Gen!T30</f>
        <v>1055.6599999999999</v>
      </c>
      <c r="E24" s="460">
        <f>Gen!D30</f>
        <v>32650.109999999993</v>
      </c>
      <c r="F24" s="461">
        <f>'Water-Meter'!E25</f>
        <v>46</v>
      </c>
      <c r="G24" s="462">
        <f>'Water-Meter'!AN25</f>
        <v>152</v>
      </c>
      <c r="H24" s="460">
        <f>'Utility report '!AC25</f>
        <v>0</v>
      </c>
      <c r="I24" s="459">
        <f>'Kit report'!F23</f>
        <v>203.99999999986903</v>
      </c>
      <c r="J24" s="460">
        <f>'Kit report'!X23</f>
        <v>79.99999999992724</v>
      </c>
    </row>
    <row r="25" spans="1:10" ht="15" customHeight="1">
      <c r="A25" s="263">
        <f>Gen!B31</f>
        <v>44095</v>
      </c>
      <c r="B25" s="464">
        <f>Gen!C31</f>
        <v>6.4899999999999999E-2</v>
      </c>
      <c r="C25" s="522">
        <f>Gen!AK31</f>
        <v>0</v>
      </c>
      <c r="D25" s="523">
        <f>Gen!T31</f>
        <v>957.7</v>
      </c>
      <c r="E25" s="460">
        <f>Gen!D31</f>
        <v>31549.469999999994</v>
      </c>
      <c r="F25" s="461">
        <f>'Water-Meter'!E26</f>
        <v>46</v>
      </c>
      <c r="G25" s="462">
        <f>'Water-Meter'!AN26</f>
        <v>137</v>
      </c>
      <c r="H25" s="460">
        <f>'Utility report '!AC26</f>
        <v>74</v>
      </c>
      <c r="I25" s="459">
        <f>'Kit report'!F24</f>
        <v>204.00000000008731</v>
      </c>
      <c r="J25" s="460">
        <f>'Kit report'!X24</f>
        <v>60.00000000003638</v>
      </c>
    </row>
    <row r="26" spans="1:10" ht="15" customHeight="1">
      <c r="A26" s="263">
        <f>Gen!B32</f>
        <v>44096</v>
      </c>
      <c r="B26" s="464">
        <f>Gen!C32</f>
        <v>2.5999999999999999E-2</v>
      </c>
      <c r="C26" s="522">
        <f>Gen!AK32</f>
        <v>0</v>
      </c>
      <c r="D26" s="523">
        <f>Gen!T32</f>
        <v>982.5</v>
      </c>
      <c r="E26" s="460">
        <f>Gen!D32</f>
        <v>30591.769999999993</v>
      </c>
      <c r="F26" s="461">
        <f>'Water-Meter'!E27</f>
        <v>56</v>
      </c>
      <c r="G26" s="462">
        <f>'Water-Meter'!AN27</f>
        <v>147</v>
      </c>
      <c r="H26" s="460">
        <f>'Utility report '!AC27</f>
        <v>44</v>
      </c>
      <c r="I26" s="459">
        <f>'Kit report'!F25</f>
        <v>204.00000000008731</v>
      </c>
      <c r="J26" s="460">
        <f>'Kit report'!X25</f>
        <v>0</v>
      </c>
    </row>
    <row r="27" spans="1:10" ht="15" customHeight="1">
      <c r="A27" s="263">
        <f>Gen!B33</f>
        <v>44097</v>
      </c>
      <c r="B27" s="464">
        <f>Gen!C33</f>
        <v>2.5999999999999999E-2</v>
      </c>
      <c r="C27" s="522">
        <f>Gen!AK33</f>
        <v>187.28</v>
      </c>
      <c r="D27" s="523">
        <f>Gen!T33</f>
        <v>989.79</v>
      </c>
      <c r="E27" s="460">
        <f>Gen!D33</f>
        <v>29609.269999999993</v>
      </c>
      <c r="F27" s="461">
        <f>'Water-Meter'!E28</f>
        <v>49</v>
      </c>
      <c r="G27" s="462">
        <f>'Water-Meter'!AN28</f>
        <v>137</v>
      </c>
      <c r="H27" s="460">
        <f>'Utility report '!AC28</f>
        <v>47</v>
      </c>
      <c r="I27" s="459">
        <f>'Kit report'!F26</f>
        <v>227.99999999995634</v>
      </c>
      <c r="J27" s="460">
        <f>'Kit report'!X26</f>
        <v>100</v>
      </c>
    </row>
    <row r="28" spans="1:10" ht="15" customHeight="1">
      <c r="A28" s="263">
        <f>Gen!B34</f>
        <v>44098</v>
      </c>
      <c r="B28" s="464">
        <f>Gen!C34</f>
        <v>1.2999999999999999E-2</v>
      </c>
      <c r="C28" s="522">
        <f>Gen!AK34</f>
        <v>0</v>
      </c>
      <c r="D28" s="523">
        <f>Gen!T34</f>
        <v>1004.25</v>
      </c>
      <c r="E28" s="460">
        <f>Gen!D34</f>
        <v>28432.199999999993</v>
      </c>
      <c r="F28" s="461">
        <f>'Water-Meter'!E29</f>
        <v>48</v>
      </c>
      <c r="G28" s="462">
        <f>'Water-Meter'!AN29</f>
        <v>134</v>
      </c>
      <c r="H28" s="460">
        <f>'Utility report '!AC29</f>
        <v>56</v>
      </c>
      <c r="I28" s="459">
        <f>'Kit report'!F27</f>
        <v>203.99999999986903</v>
      </c>
      <c r="J28" s="460">
        <f>'Kit report'!X27</f>
        <v>120.00000000007276</v>
      </c>
    </row>
    <row r="29" spans="1:10" ht="15" customHeight="1">
      <c r="A29" s="263">
        <f>Gen!B35</f>
        <v>44099</v>
      </c>
      <c r="B29" s="464">
        <f>Gen!C35</f>
        <v>1.2999999999999999E-2</v>
      </c>
      <c r="C29" s="522">
        <f>Gen!AK35</f>
        <v>74.599999999999994</v>
      </c>
      <c r="D29" s="523">
        <f>Gen!T35</f>
        <v>1019.08</v>
      </c>
      <c r="E29" s="460">
        <f>Gen!D35</f>
        <v>27427.949999999993</v>
      </c>
      <c r="F29" s="461">
        <f>'Water-Meter'!E30</f>
        <v>50</v>
      </c>
      <c r="G29" s="462">
        <f>'Water-Meter'!AN30</f>
        <v>127</v>
      </c>
      <c r="H29" s="460">
        <f>'Utility report '!AC30</f>
        <v>70</v>
      </c>
      <c r="I29" s="459">
        <f>'Kit report'!F28</f>
        <v>192.00000000004366</v>
      </c>
      <c r="J29" s="460">
        <f>'Kit report'!X28</f>
        <v>100</v>
      </c>
    </row>
    <row r="30" spans="1:10" ht="15" customHeight="1">
      <c r="A30" s="263">
        <f>Gen!B36</f>
        <v>44100</v>
      </c>
      <c r="B30" s="464">
        <f>Gen!C36</f>
        <v>2.5999999999999999E-2</v>
      </c>
      <c r="C30" s="522">
        <f>Gen!AK36</f>
        <v>0</v>
      </c>
      <c r="D30" s="523">
        <f>Gen!T36</f>
        <v>878.8</v>
      </c>
      <c r="E30" s="460">
        <f>Gen!D36</f>
        <v>26334.269999999993</v>
      </c>
      <c r="F30" s="461">
        <f>'Water-Meter'!E31</f>
        <v>55</v>
      </c>
      <c r="G30" s="462">
        <f>'Water-Meter'!AN31</f>
        <v>141</v>
      </c>
      <c r="H30" s="460">
        <f>'Utility report '!AC31</f>
        <v>47</v>
      </c>
      <c r="I30" s="459">
        <f>'Kit report'!F29</f>
        <v>204.00000000008731</v>
      </c>
      <c r="J30" s="460">
        <f>'Kit report'!X29</f>
        <v>39.99999999996362</v>
      </c>
    </row>
    <row r="31" spans="1:10" ht="15" customHeight="1">
      <c r="A31" s="263">
        <f>Gen!B37</f>
        <v>44101</v>
      </c>
      <c r="B31" s="464">
        <f>Gen!C37</f>
        <v>5.1900000000000002E-2</v>
      </c>
      <c r="C31" s="522">
        <f>Gen!AK37</f>
        <v>0</v>
      </c>
      <c r="D31" s="523">
        <f>Gen!T37</f>
        <v>975.74</v>
      </c>
      <c r="E31" s="460">
        <f>Gen!D37</f>
        <v>43455.469999999994</v>
      </c>
      <c r="F31" s="461">
        <f>'Water-Meter'!E32</f>
        <v>58</v>
      </c>
      <c r="G31" s="462">
        <f>'Water-Meter'!AN32</f>
        <v>143</v>
      </c>
      <c r="H31" s="460">
        <f>'Utility report '!AC32</f>
        <v>68</v>
      </c>
      <c r="I31" s="459">
        <f>'Kit report'!F30</f>
        <v>192.00000000004366</v>
      </c>
      <c r="J31" s="460">
        <f>'Kit report'!X30</f>
        <v>39.99999999996362</v>
      </c>
    </row>
    <row r="32" spans="1:10" ht="15" customHeight="1">
      <c r="A32" s="263">
        <f>Gen!B38</f>
        <v>44102</v>
      </c>
      <c r="B32" s="464">
        <f>Gen!C38</f>
        <v>5.1900000000000002E-2</v>
      </c>
      <c r="C32" s="522">
        <f>Gen!AK38</f>
        <v>0</v>
      </c>
      <c r="D32" s="523">
        <f>Gen!T38</f>
        <v>969.3900000000001</v>
      </c>
      <c r="E32" s="460">
        <f>Gen!D38</f>
        <v>42479.729999999996</v>
      </c>
      <c r="F32" s="461">
        <f>'Water-Meter'!E33</f>
        <v>52</v>
      </c>
      <c r="G32" s="462">
        <f>'Water-Meter'!AN33</f>
        <v>106</v>
      </c>
      <c r="H32" s="460">
        <f>'Utility report '!AC33</f>
        <v>46</v>
      </c>
      <c r="I32" s="459">
        <f>'Kit report'!F31</f>
        <v>203.99999999986903</v>
      </c>
      <c r="J32" s="460">
        <f>'Kit report'!X31</f>
        <v>100</v>
      </c>
    </row>
    <row r="33" spans="1:10" ht="15" customHeight="1">
      <c r="A33" s="263">
        <f>Gen!B39</f>
        <v>44103</v>
      </c>
      <c r="B33" s="464">
        <f>Gen!C39</f>
        <v>5.1900000000000002E-2</v>
      </c>
      <c r="C33" s="522">
        <f>Gen!AK39</f>
        <v>0</v>
      </c>
      <c r="D33" s="523">
        <f>Gen!T39</f>
        <v>0</v>
      </c>
      <c r="E33" s="460">
        <f>Gen!D39</f>
        <v>41510.339999999997</v>
      </c>
      <c r="F33" s="461" t="str">
        <f>'Water-Meter'!E34</f>
        <v>0</v>
      </c>
      <c r="G33" s="462">
        <f>'Water-Meter'!AN34</f>
        <v>0</v>
      </c>
      <c r="H33" s="460">
        <f>'Utility report '!AC34</f>
        <v>-39082</v>
      </c>
      <c r="I33" s="459">
        <f>'Kit report'!F32</f>
        <v>-1060968</v>
      </c>
      <c r="J33" s="460">
        <f>'Kit report'!X32</f>
        <v>-1565540</v>
      </c>
    </row>
    <row r="34" spans="1:10" ht="15" customHeight="1">
      <c r="A34" s="263">
        <f>Gen!B40</f>
        <v>44104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41510.339999999997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0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41510.339999999997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41510.339999999997</v>
      </c>
      <c r="F36" s="461">
        <f>'Water-Meter'!E37</f>
        <v>0</v>
      </c>
      <c r="G36" s="462">
        <f>'Water-Meter'!AN37</f>
        <v>1350</v>
      </c>
      <c r="H36" s="460">
        <f>'Utility report '!AC37</f>
        <v>0</v>
      </c>
      <c r="I36" s="459">
        <f>'Kit report'!F35</f>
        <v>587.99999999995634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2020-09-29T04:05:19Z</dcterms:modified>
</cp:coreProperties>
</file>