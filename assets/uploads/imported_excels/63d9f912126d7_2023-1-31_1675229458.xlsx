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18" documentId="11_00C1ED7558031DD21EA57FA15018ADAF4A1ED64B" xr6:coauthVersionLast="47" xr6:coauthVersionMax="47" xr10:uidLastSave="{892B536D-3410-4631-B663-E502D3B3912E}"/>
  <bookViews>
    <workbookView xWindow="0" yWindow="0" windowWidth="28800" windowHeight="12435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5" l="1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<sst xmlns="http://schemas.openxmlformats.org/spreadsheetml/2006/main" count="101" uniqueCount="38">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</sst>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Q13" sqref="Q13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27.410000000000764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v>0</v>
      </c>
      <c r="F3">
        <v>0.11799999999999999</v>
      </c>
      <c r="G3" s="4">
        <v>0</v>
      </c>
      <c r="H3">
        <v>0.99</v>
      </c>
      <c r="I3" s="4">
        <v>0</v>
      </c>
      <c r="J3">
        <v>8.1000000000000003E-2</v>
      </c>
      <c r="K3" s="16">
        <v>0</v>
      </c>
      <c r="L3" s="4">
        <v>0</v>
      </c>
      <c r="M3" s="1">
        <v>4.393629424766913</v>
      </c>
      <c r="N3" s="26"/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0</v>
      </c>
      <c r="F4">
        <v>0.11799999999999999</v>
      </c>
      <c r="G4" s="4">
        <f>'02 - 2023'!D10-'02 - 2023'!D9+'02 - 2023'!E10-'02 - 2023'!E9</f>
        <v>0</v>
      </c>
      <c r="H4">
        <v>0.99</v>
      </c>
      <c r="I4" s="4">
        <f>'02 - 2023'!J10-'02 - 2023'!J9</f>
        <v>0</v>
      </c>
      <c r="J4">
        <v>8.1000000000000003E-2</v>
      </c>
      <c r="K4" s="16">
        <f>'02 - 2023'!H10-'02 - 2023'!H9</f>
        <v>0</v>
      </c>
      <c r="L4" s="4">
        <f>'02 - 2023'!I10-'02 - 2023'!I9</f>
        <v>0</v>
      </c>
      <c r="M4" s="1">
        <v>4.393629424766913</v>
      </c>
      <c r="N4" s="11"/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0</v>
      </c>
      <c r="F5">
        <v>0.11799999999999999</v>
      </c>
      <c r="G5" s="4">
        <f>'02 - 2023'!D11-'02 - 2023'!D10+'02 - 2023'!E11-'02 - 2023'!E10</f>
        <v>0</v>
      </c>
      <c r="H5">
        <v>0.99</v>
      </c>
      <c r="I5" s="4">
        <f>'02 - 2023'!J11-'02 - 2023'!J10</f>
        <v>0</v>
      </c>
      <c r="J5">
        <v>8.1000000000000003E-2</v>
      </c>
      <c r="K5" s="16">
        <f>'02 - 2023'!H11-'02 - 2023'!H10</f>
        <v>0</v>
      </c>
      <c r="L5" s="4">
        <f>'02 - 2023'!I11-'02 - 2023'!I10</f>
        <v>0</v>
      </c>
      <c r="M5" s="1">
        <v>4.393629424766913</v>
      </c>
      <c r="N5" s="11"/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0</v>
      </c>
      <c r="F6">
        <v>0.11799999999999999</v>
      </c>
      <c r="G6" s="4">
        <f>'02 - 2023'!D12-'02 - 2023'!D11+'02 - 2023'!E12-'02 - 2023'!E11</f>
        <v>0</v>
      </c>
      <c r="H6">
        <v>0.99</v>
      </c>
      <c r="I6" s="4">
        <f>'02 - 2023'!J12-'02 - 2023'!J11</f>
        <v>0</v>
      </c>
      <c r="J6">
        <v>8.1000000000000003E-2</v>
      </c>
      <c r="K6" s="16">
        <f>'02 - 2023'!H12-'02 - 2023'!H11</f>
        <v>0</v>
      </c>
      <c r="L6" s="4">
        <f>'02 - 2023'!I12-'02 - 2023'!I11</f>
        <v>0</v>
      </c>
      <c r="M6" s="1">
        <v>4.393629424766913</v>
      </c>
      <c r="N6" s="11"/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0</v>
      </c>
      <c r="F7">
        <v>0.11799999999999999</v>
      </c>
      <c r="G7" s="4">
        <f>'02 - 2023'!D13-'02 - 2023'!D12+'02 - 2023'!E13-'02 - 2023'!E12</f>
        <v>0</v>
      </c>
      <c r="H7">
        <v>0.99</v>
      </c>
      <c r="I7" s="4">
        <f>'02 - 2023'!J13-'02 - 2023'!J12</f>
        <v>0</v>
      </c>
      <c r="J7">
        <v>8.1000000000000003E-2</v>
      </c>
      <c r="K7" s="16">
        <f>'02 - 2023'!H13-'02 - 2023'!H12</f>
        <v>0</v>
      </c>
      <c r="L7" s="4">
        <f>'02 - 2023'!I13-'02 - 2023'!I12</f>
        <v>0</v>
      </c>
      <c r="M7" s="1">
        <v>4.393629424766913</v>
      </c>
      <c r="N7" s="11"/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0</v>
      </c>
      <c r="F8">
        <v>0.11799999999999999</v>
      </c>
      <c r="G8" s="4">
        <f>'02 - 2023'!D14-'02 - 2023'!D13+'02 - 2023'!E14-'02 - 2023'!E13</f>
        <v>0</v>
      </c>
      <c r="H8">
        <v>0.99</v>
      </c>
      <c r="I8" s="4">
        <f>'02 - 2023'!J14-'02 - 2023'!J13</f>
        <v>0</v>
      </c>
      <c r="J8">
        <v>8.1000000000000003E-2</v>
      </c>
      <c r="K8" s="16">
        <f>'02 - 2023'!H14-'02 - 2023'!H13</f>
        <v>0</v>
      </c>
      <c r="L8" s="4">
        <f>'02 - 2023'!I14-'02 - 2023'!I13</f>
        <v>0</v>
      </c>
      <c r="M8" s="1">
        <v>4.393629424766913</v>
      </c>
      <c r="N8" s="11"/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0</v>
      </c>
      <c r="F9">
        <v>0.11799999999999999</v>
      </c>
      <c r="G9" s="4">
        <f>'02 - 2023'!D15-'02 - 2023'!D14+'02 - 2023'!E15-'02 - 2023'!E14</f>
        <v>0</v>
      </c>
      <c r="H9">
        <v>0.99</v>
      </c>
      <c r="I9" s="4">
        <f>'02 - 2023'!J15-'02 - 2023'!J14</f>
        <v>0</v>
      </c>
      <c r="J9">
        <v>8.1000000000000003E-2</v>
      </c>
      <c r="K9" s="16">
        <f>'02 - 2023'!H15-'02 - 2023'!H14</f>
        <v>0</v>
      </c>
      <c r="L9" s="4">
        <f>'02 - 2023'!I15-'02 - 2023'!I14</f>
        <v>0</v>
      </c>
      <c r="M9" s="1">
        <v>4.393629424766913</v>
      </c>
      <c r="N9" s="11"/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0</v>
      </c>
      <c r="F10">
        <v>0.11799999999999999</v>
      </c>
      <c r="G10" s="4">
        <f>'02 - 2023'!D16-'02 - 2023'!D15+'02 - 2023'!E16-'02 - 2023'!E15</f>
        <v>0</v>
      </c>
      <c r="H10">
        <v>0.99</v>
      </c>
      <c r="I10" s="4">
        <f>'02 - 2023'!J16-'02 - 2023'!J15</f>
        <v>0</v>
      </c>
      <c r="J10">
        <v>8.1000000000000003E-2</v>
      </c>
      <c r="K10" s="16">
        <f>'02 - 2023'!H16-'02 - 2023'!H15</f>
        <v>0</v>
      </c>
      <c r="L10" s="4">
        <f>'02 - 2023'!I16-'02 - 2023'!I15</f>
        <v>0</v>
      </c>
      <c r="M10" s="1">
        <v>4.393629424766913</v>
      </c>
      <c r="N10" s="11"/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0</v>
      </c>
      <c r="F11">
        <v>0.11799999999999999</v>
      </c>
      <c r="G11" s="4">
        <f>'02 - 2023'!D17-'02 - 2023'!D16+'02 - 2023'!E17-'02 - 2023'!E16</f>
        <v>0</v>
      </c>
      <c r="H11">
        <v>0.99</v>
      </c>
      <c r="I11" s="4">
        <f>'02 - 2023'!J17-'02 - 2023'!J16</f>
        <v>0</v>
      </c>
      <c r="J11">
        <v>8.1000000000000003E-2</v>
      </c>
      <c r="K11" s="16">
        <f>'02 - 2023'!H17-'02 - 2023'!H16</f>
        <v>0</v>
      </c>
      <c r="L11" s="4">
        <f>'02 - 2023'!I17-'02 - 2023'!I16</f>
        <v>0</v>
      </c>
      <c r="M11" s="1">
        <v>4.393629424766913</v>
      </c>
      <c r="N11" s="11"/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0</v>
      </c>
      <c r="F12">
        <v>0.11799999999999999</v>
      </c>
      <c r="G12" s="4">
        <f>'02 - 2023'!D18-'02 - 2023'!D17+'02 - 2023'!E18-'02 - 2023'!E17</f>
        <v>0</v>
      </c>
      <c r="H12">
        <v>0.99</v>
      </c>
      <c r="I12" s="4">
        <f>'02 - 2023'!J18-'02 - 2023'!J17</f>
        <v>0</v>
      </c>
      <c r="J12">
        <v>8.1000000000000003E-2</v>
      </c>
      <c r="K12" s="16">
        <f>'02 - 2023'!H18-'02 - 2023'!H17</f>
        <v>0</v>
      </c>
      <c r="L12" s="4">
        <f>'02 - 2023'!I18-'02 - 2023'!I17</f>
        <v>0</v>
      </c>
      <c r="M12" s="1">
        <v>4.393629424766913</v>
      </c>
      <c r="N12" s="11"/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0</v>
      </c>
      <c r="F13">
        <v>0.11799999999999999</v>
      </c>
      <c r="G13" s="4">
        <f>'02 - 2023'!D19-'02 - 2023'!D18+'02 - 2023'!E19-'02 - 2023'!E18</f>
        <v>0</v>
      </c>
      <c r="H13">
        <v>0.99</v>
      </c>
      <c r="I13" s="4">
        <f>'02 - 2023'!J19-'02 - 2023'!J18</f>
        <v>0</v>
      </c>
      <c r="J13">
        <v>8.1000000000000003E-2</v>
      </c>
      <c r="K13" s="16">
        <f>'02 - 2023'!H19-'02 - 2023'!H18</f>
        <v>0</v>
      </c>
      <c r="L13" s="4">
        <f>'02 - 2023'!I19-'02 - 2023'!I18</f>
        <v>0</v>
      </c>
      <c r="M13" s="1">
        <v>4.393629424766913</v>
      </c>
      <c r="N13" s="11"/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0</v>
      </c>
      <c r="F14">
        <v>0.11799999999999999</v>
      </c>
      <c r="G14" s="4">
        <f>'02 - 2023'!D20-'02 - 2023'!D19+'02 - 2023'!E20-'02 - 2023'!E19</f>
        <v>0</v>
      </c>
      <c r="H14">
        <v>0.99</v>
      </c>
      <c r="I14" s="4">
        <f>'02 - 2023'!J20-'02 - 2023'!J19</f>
        <v>0</v>
      </c>
      <c r="J14">
        <v>8.1000000000000003E-2</v>
      </c>
      <c r="K14" s="16">
        <f>'02 - 2023'!H20-'02 - 2023'!H19</f>
        <v>0</v>
      </c>
      <c r="L14" s="4">
        <f>'02 - 2023'!I20-'02 - 2023'!I19</f>
        <v>0</v>
      </c>
      <c r="M14" s="1">
        <v>4.393629424766913</v>
      </c>
      <c r="N14" s="11"/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0</v>
      </c>
      <c r="F15">
        <v>0.11799999999999999</v>
      </c>
      <c r="G15" s="4">
        <f>'02 - 2023'!D21-'02 - 2023'!D20+'02 - 2023'!E21-'02 - 2023'!E20</f>
        <v>0</v>
      </c>
      <c r="H15">
        <v>0.99</v>
      </c>
      <c r="I15" s="4">
        <f>'02 - 2023'!J21-'02 - 2023'!J20</f>
        <v>0</v>
      </c>
      <c r="J15">
        <v>8.1000000000000003E-2</v>
      </c>
      <c r="K15" s="16">
        <f>'02 - 2023'!H21-'02 - 2023'!H20</f>
        <v>0</v>
      </c>
      <c r="L15" s="4">
        <f>'02 - 2023'!I21-'02 - 2023'!I20</f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R16" sqref="R16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v>0</v>
      </c>
      <c r="F3" s="4">
        <v>0</v>
      </c>
      <c r="G3">
        <v>0.11799999999999999</v>
      </c>
      <c r="H3" s="4">
        <v>0</v>
      </c>
      <c r="I3" s="4">
        <v>0</v>
      </c>
      <c r="J3" s="4">
        <v>0</v>
      </c>
      <c r="K3">
        <v>0.74</v>
      </c>
      <c r="L3" s="26"/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0</v>
      </c>
      <c r="F4" s="4">
        <f>'02 - 2023'!C10-'02 - 2023'!C9</f>
        <v>0</v>
      </c>
      <c r="G4">
        <v>0.11799999999999999</v>
      </c>
      <c r="H4" s="4">
        <f>'02 - 2023'!E10-'02 - 2023'!E9</f>
        <v>0</v>
      </c>
      <c r="I4" s="4">
        <f>'02 - 2023'!F10-'02 - 2023'!F9</f>
        <v>0</v>
      </c>
      <c r="J4" s="4">
        <f>'02 - 2023'!G10-'02 - 2023'!G9</f>
        <v>0</v>
      </c>
      <c r="K4">
        <v>0.74</v>
      </c>
      <c r="L4" s="11"/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0</v>
      </c>
      <c r="F5" s="4">
        <f>'02 - 2023'!C11-'02 - 2023'!C10</f>
        <v>0</v>
      </c>
      <c r="G5">
        <v>0.11799999999999999</v>
      </c>
      <c r="H5" s="4">
        <f>'02 - 2023'!E11-'02 - 2023'!E10</f>
        <v>0</v>
      </c>
      <c r="I5" s="4">
        <f>'02 - 2023'!F11-'02 - 2023'!F10</f>
        <v>0</v>
      </c>
      <c r="J5" s="4">
        <f>'02 - 2023'!G11-'02 - 2023'!G10</f>
        <v>0</v>
      </c>
      <c r="K5">
        <v>0.74</v>
      </c>
      <c r="L5" s="11"/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0</v>
      </c>
      <c r="F6" s="4">
        <f>'02 - 2023'!C12-'02 - 2023'!C11</f>
        <v>0</v>
      </c>
      <c r="G6">
        <v>0.11799999999999999</v>
      </c>
      <c r="H6" s="4">
        <f>'02 - 2023'!E12-'02 - 2023'!E11</f>
        <v>0</v>
      </c>
      <c r="I6" s="4">
        <f>'02 - 2023'!F12-'02 - 2023'!F11</f>
        <v>0</v>
      </c>
      <c r="J6" s="4">
        <f>'02 - 2023'!G12-'02 - 2023'!G11</f>
        <v>0</v>
      </c>
      <c r="K6">
        <v>0.74</v>
      </c>
      <c r="L6" s="11"/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0</v>
      </c>
      <c r="F7" s="4">
        <f>'02 - 2023'!C13-'02 - 2023'!C12</f>
        <v>0</v>
      </c>
      <c r="G7">
        <v>0.11799999999999999</v>
      </c>
      <c r="H7" s="4">
        <f>'02 - 2023'!E13-'02 - 2023'!E12</f>
        <v>0</v>
      </c>
      <c r="I7" s="4">
        <f>'02 - 2023'!F13-'02 - 2023'!F12</f>
        <v>0</v>
      </c>
      <c r="J7" s="4">
        <f>'02 - 2023'!G13-'02 - 2023'!G12</f>
        <v>0</v>
      </c>
      <c r="K7">
        <v>0.74</v>
      </c>
      <c r="L7" s="11"/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0</v>
      </c>
      <c r="F8" s="4">
        <f>'02 - 2023'!C14-'02 - 2023'!C13</f>
        <v>0</v>
      </c>
      <c r="G8">
        <v>0.11799999999999999</v>
      </c>
      <c r="H8" s="4">
        <f>'02 - 2023'!E14-'02 - 2023'!E13</f>
        <v>0</v>
      </c>
      <c r="I8" s="4">
        <f>'02 - 2023'!F14-'02 - 2023'!F13</f>
        <v>0</v>
      </c>
      <c r="J8" s="4">
        <f>'02 - 2023'!G14-'02 - 2023'!G13</f>
        <v>0</v>
      </c>
      <c r="K8">
        <v>0.74</v>
      </c>
      <c r="L8" s="11"/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0</v>
      </c>
      <c r="F9" s="4">
        <f>'02 - 2023'!C15-'02 - 2023'!C14</f>
        <v>0</v>
      </c>
      <c r="G9">
        <v>0.11799999999999999</v>
      </c>
      <c r="H9" s="4">
        <f>'02 - 2023'!E15-'02 - 2023'!E14</f>
        <v>0</v>
      </c>
      <c r="I9" s="4">
        <f>'02 - 2023'!F15-'02 - 2023'!F14</f>
        <v>0</v>
      </c>
      <c r="J9" s="4">
        <f>'02 - 2023'!G15-'02 - 2023'!G14</f>
        <v>0</v>
      </c>
      <c r="K9">
        <v>0.74</v>
      </c>
      <c r="L9" s="11"/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0</v>
      </c>
      <c r="F10" s="4">
        <f>'02 - 2023'!C16-'02 - 2023'!C15</f>
        <v>0</v>
      </c>
      <c r="G10">
        <v>0.11799999999999999</v>
      </c>
      <c r="H10" s="4">
        <f>'02 - 2023'!E16-'02 - 2023'!E15</f>
        <v>0</v>
      </c>
      <c r="I10" s="4">
        <f>'02 - 2023'!F16-'02 - 2023'!F15</f>
        <v>0</v>
      </c>
      <c r="J10" s="4">
        <f>'02 - 2023'!G16-'02 - 2023'!G15</f>
        <v>0</v>
      </c>
      <c r="K10">
        <v>0.74</v>
      </c>
      <c r="L10" s="11"/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0</v>
      </c>
      <c r="F11" s="4">
        <f>'02 - 2023'!C17-'02 - 2023'!C16</f>
        <v>0</v>
      </c>
      <c r="G11">
        <v>0.11799999999999999</v>
      </c>
      <c r="H11" s="4">
        <f>'02 - 2023'!E17-'02 - 2023'!E16</f>
        <v>0</v>
      </c>
      <c r="I11" s="4">
        <f>'02 - 2023'!F17-'02 - 2023'!F16</f>
        <v>0</v>
      </c>
      <c r="J11" s="4">
        <f>'02 - 2023'!G17-'02 - 2023'!G16</f>
        <v>0</v>
      </c>
      <c r="K11">
        <v>0.74</v>
      </c>
      <c r="L11" s="11"/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0</v>
      </c>
      <c r="F12" s="4">
        <f>'02 - 2023'!C18-'02 - 2023'!C17</f>
        <v>0</v>
      </c>
      <c r="G12">
        <v>0.11799999999999999</v>
      </c>
      <c r="H12" s="4">
        <f>'02 - 2023'!E18-'02 - 2023'!E17</f>
        <v>0</v>
      </c>
      <c r="I12" s="4">
        <f>'02 - 2023'!F18-'02 - 2023'!F17</f>
        <v>0</v>
      </c>
      <c r="J12" s="4">
        <f>'02 - 2023'!G18-'02 - 2023'!G17</f>
        <v>0</v>
      </c>
      <c r="K12">
        <v>0.74</v>
      </c>
      <c r="L12" s="11"/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0</v>
      </c>
      <c r="F13" s="4">
        <f>'02 - 2023'!C19-'02 - 2023'!C18</f>
        <v>0</v>
      </c>
      <c r="G13">
        <v>0.11799999999999999</v>
      </c>
      <c r="H13" s="4">
        <f>'02 - 2023'!E19-'02 - 2023'!E18</f>
        <v>0</v>
      </c>
      <c r="I13" s="4">
        <f>'02 - 2023'!F19-'02 - 2023'!F18</f>
        <v>0</v>
      </c>
      <c r="J13" s="4">
        <f>'02 - 2023'!G19-'02 - 2023'!G18</f>
        <v>0</v>
      </c>
      <c r="K13">
        <v>0.74</v>
      </c>
      <c r="L13" s="11"/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0</v>
      </c>
      <c r="F14" s="4">
        <f>'02 - 2023'!C20-'02 - 2023'!C19</f>
        <v>0</v>
      </c>
      <c r="G14">
        <v>0.11799999999999999</v>
      </c>
      <c r="H14" s="4">
        <f>'02 - 2023'!E20-'02 - 2023'!E19</f>
        <v>0</v>
      </c>
      <c r="I14" s="4">
        <f>'02 - 2023'!F20-'02 - 2023'!F19</f>
        <v>0</v>
      </c>
      <c r="J14" s="4">
        <f>'02 - 2023'!G20-'02 - 2023'!G19</f>
        <v>0</v>
      </c>
      <c r="K14">
        <v>0.74</v>
      </c>
      <c r="L14" s="11"/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0</v>
      </c>
      <c r="F15" s="4">
        <f>'02 - 2023'!C21-'02 - 2023'!C20</f>
        <v>0</v>
      </c>
      <c r="G15">
        <v>0.11799999999999999</v>
      </c>
      <c r="H15" s="4">
        <f>'02 - 2023'!E21-'02 - 2023'!E20</f>
        <v>0</v>
      </c>
      <c r="I15" s="4">
        <f>'02 - 2023'!F21-'02 - 2023'!F20</f>
        <v>0</v>
      </c>
      <c r="J15" s="4">
        <f>'02 - 2023'!G21-'02 - 2023'!G20</f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abSelected="1" zoomScaleNormal="100" workbookViewId="0">
      <selection activeCell="L4" sqref="L4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/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/>
      <c r="L8" s="59"/>
      <c r="M8" s="22"/>
    </row>
    <row r="9" spans="1:14" s="23" customFormat="1" ht="12.95" customHeight="1">
      <c r="A9" s="54">
        <f t="shared" ref="A9:A35" si="0">A8+1</f>
        <v>44959</v>
      </c>
      <c r="B9" s="60"/>
      <c r="C9" s="61"/>
      <c r="D9" s="62"/>
      <c r="E9" s="61"/>
      <c r="F9" s="61"/>
      <c r="G9" s="61"/>
      <c r="H9" s="60"/>
      <c r="I9" s="60"/>
      <c r="J9" s="60"/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/>
      <c r="C10" s="60"/>
      <c r="D10" s="62"/>
      <c r="E10" s="61"/>
      <c r="F10" s="61"/>
      <c r="G10" s="61"/>
      <c r="H10" s="60"/>
      <c r="I10" s="60"/>
      <c r="J10" s="61"/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/>
      <c r="C11" s="60"/>
      <c r="D11" s="62"/>
      <c r="E11" s="61"/>
      <c r="F11" s="61"/>
      <c r="G11" s="61"/>
      <c r="H11" s="60"/>
      <c r="I11" s="60"/>
      <c r="J11" s="60"/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/>
      <c r="C12" s="60"/>
      <c r="D12" s="62"/>
      <c r="E12" s="60"/>
      <c r="F12" s="60"/>
      <c r="G12" s="60"/>
      <c r="H12" s="60"/>
      <c r="I12" s="60"/>
      <c r="J12" s="60"/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/>
      <c r="C13" s="61"/>
      <c r="D13" s="62"/>
      <c r="E13" s="61"/>
      <c r="F13" s="61"/>
      <c r="G13" s="61"/>
      <c r="H13" s="60"/>
      <c r="I13" s="61"/>
      <c r="J13" s="61"/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/>
      <c r="C14" s="60"/>
      <c r="D14" s="62"/>
      <c r="E14" s="61"/>
      <c r="F14" s="61"/>
      <c r="G14" s="61"/>
      <c r="H14" s="60"/>
      <c r="I14" s="60"/>
      <c r="J14" s="60"/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/>
      <c r="C15" s="60"/>
      <c r="D15" s="62"/>
      <c r="E15" s="61"/>
      <c r="F15" s="67"/>
      <c r="G15" s="61"/>
      <c r="H15" s="60"/>
      <c r="I15" s="60"/>
      <c r="J15" s="60"/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/>
      <c r="C16" s="60"/>
      <c r="D16" s="62"/>
      <c r="E16" s="61"/>
      <c r="F16" s="67"/>
      <c r="G16" s="61"/>
      <c r="H16" s="60"/>
      <c r="I16" s="60"/>
      <c r="J16" s="60"/>
      <c r="K16" s="63"/>
      <c r="L16" s="65"/>
      <c r="M16" s="22"/>
    </row>
    <row r="17" spans="1:19" s="23" customFormat="1" ht="12.95" customHeight="1">
      <c r="A17" s="54">
        <f t="shared" si="0"/>
        <v>44967</v>
      </c>
      <c r="B17" s="61"/>
      <c r="C17" s="61"/>
      <c r="D17" s="62"/>
      <c r="E17" s="61"/>
      <c r="F17" s="67"/>
      <c r="G17" s="61"/>
      <c r="H17" s="60"/>
      <c r="I17" s="61"/>
      <c r="J17" s="61"/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/>
      <c r="C18" s="60"/>
      <c r="D18" s="62"/>
      <c r="E18" s="61"/>
      <c r="F18" s="61"/>
      <c r="G18" s="61"/>
      <c r="H18" s="60"/>
      <c r="I18" s="60"/>
      <c r="J18" s="60"/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/>
      <c r="C19" s="60"/>
      <c r="D19" s="62"/>
      <c r="E19" s="61"/>
      <c r="F19" s="61"/>
      <c r="G19" s="61"/>
      <c r="H19" s="60"/>
      <c r="I19" s="60"/>
      <c r="J19" s="60"/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/>
      <c r="C20" s="68"/>
      <c r="D20" s="62"/>
      <c r="E20" s="60"/>
      <c r="F20" s="60"/>
      <c r="G20" s="69"/>
      <c r="H20" s="60"/>
      <c r="I20" s="68"/>
      <c r="J20" s="68"/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95166392-C5BA-4D28-B8E8-50F131BF5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2023-02-01T05:27:13Z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