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4"/>
  <workbookPr filterPrivacy="1"/>
  <xr:revisionPtr revIDLastSave="0" documentId="11_2C37E1C669EF4FE7EA43EA38033179128A4B29C1" xr6:coauthVersionLast="47" xr6:coauthVersionMax="47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3" l="1"/>
  <c r="K39" i="3"/>
  <c r="Y40" i="3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V39" i="3" l="1"/>
  <c r="G32" i="1"/>
  <c r="Q39" i="3"/>
  <c r="R39" i="3"/>
  <c r="E32" i="1"/>
  <c r="I39" i="3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<sst xmlns="http://schemas.openxmlformats.org/spreadsheetml/2006/main" count="309" uniqueCount="123">
  <si>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</si>
  <si>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</si>
  <si>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</si>
  <si>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</si>
  <si>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</si>
  <si>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</si>
  <si>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</si>
  <si>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</si>
  <si>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</si>
  <si>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</si>
  <si>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</si>
  <si>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</si>
  <si>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</si>
  <si>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</si>
  <si>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</si>
  <si>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</si>
  <si>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</si>
  <si>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</si>
  <si>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</si>
  <si>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</si>
  <si>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</si>
  <si>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</si>
  <si>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</si>
  <si>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</si>
  <si>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</si>
  <si>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</si>
  <si>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</si>
  <si>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</si>
  <si>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</si>
  <si>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</si>
  <si>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</si>
  <si>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</si>
  <si>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</si>
  <si>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</si>
  <si>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</si>
  <si>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</si>
  <si>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</si>
  <si>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</si>
  <si>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</si>
  <si>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</si>
  <si>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</si>
  <si>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</si>
  <si>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</si>
  <si>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</si>
  <si>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</si>
  <si>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</si>
  <si>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</si>
  <si>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</si>
  <si>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</si>
  <si>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</si>
  <si>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</si>
  <si>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</si>
  <si>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</si>
  <si>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</si>
  <si>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</si>
  <si>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</si>
  <si>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</si>
  <si>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</si>
  <si>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</si>
  <si>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</si>
  <si>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</si>
  <si>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</si>
  <si>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</si>
  <si>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</si>
  <si>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</si>
  <si>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</si>
  <si>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</si>
  <si>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</si>
  <si>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</si>
  <si>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</si>
  <si>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</si>
  <si>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</si>
  <si>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</si>
  <si>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</si>
  <si>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</si>
  <si>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</si>
  <si>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</si>
  <si>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</si>
  <si>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</si>
  <si>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</si>
  <si>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</si>
  <si>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</si>
  <si>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</si>
  <si>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</si>
  <si>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</si>
  <si>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</si>
  <si>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</si>
  <si>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</si>
  <si>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</si>
  <si>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</si>
  <si>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</si>
  <si>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</si>
  <si>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</si>
  <si>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</si>
  <si>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</si>
  <si>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</si>
  <si>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November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</si>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</sst>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3366"/>
      <name val="Arial"/>
      <family val="2"/>
    </font>
    <font>
      <sz val="8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9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31" fillId="0" borderId="16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opLeftCell="A2" workbookViewId="0">
      <selection activeCell="M16" sqref="M16"/>
    </sheetView>
  </sheetViews>
  <sheetFormatPr defaultRowHeight="15"/>
  <sheetData>
    <row r="1" spans="1:11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6" t="s">
        <v>11</v>
      </c>
      <c r="B2" s="6">
        <v>1</v>
      </c>
      <c r="C2" s="7">
        <v>11</v>
      </c>
      <c r="D2" s="6">
        <v>2022</v>
      </c>
      <c r="E2" s="8">
        <f>Submetring!E2+Submetring!F2+Submetring!G2</f>
        <v>10863</v>
      </c>
      <c r="F2" s="6">
        <v>0.29099999999999998</v>
      </c>
      <c r="G2" s="8">
        <f>Submetring!H2+Submetring!I2</f>
        <v>1472</v>
      </c>
      <c r="H2" s="6">
        <v>0.56711199999999995</v>
      </c>
      <c r="I2" s="8">
        <f>Submetring!J2</f>
        <v>228</v>
      </c>
      <c r="J2" s="6">
        <v>3.03</v>
      </c>
      <c r="K2" s="8">
        <f>Hotel!Y9</f>
        <v>110</v>
      </c>
    </row>
    <row r="3" spans="1:11">
      <c r="A3" s="6" t="s">
        <v>11</v>
      </c>
      <c r="B3" s="9">
        <f>B2+1</f>
        <v>2</v>
      </c>
      <c r="C3" s="7">
        <v>11</v>
      </c>
      <c r="D3" s="6">
        <v>2022</v>
      </c>
      <c r="E3" s="8">
        <f>Submetring!E3+Submetring!F3+Submetring!G3</f>
        <v>11166</v>
      </c>
      <c r="F3" s="6">
        <v>0.29099999999999998</v>
      </c>
      <c r="G3" s="8">
        <f>Submetring!H3+Submetring!I3</f>
        <v>1425</v>
      </c>
      <c r="H3" s="6">
        <v>0.56711199999999995</v>
      </c>
      <c r="I3" s="8">
        <f>Submetring!J3</f>
        <v>305</v>
      </c>
      <c r="J3" s="6">
        <v>3.03</v>
      </c>
      <c r="K3" s="8">
        <f>Hotel!Y10</f>
        <v>125</v>
      </c>
    </row>
    <row r="4" spans="1:11">
      <c r="A4" s="6" t="s">
        <v>11</v>
      </c>
      <c r="B4" s="9">
        <f t="shared" ref="B4:B32" si="0">B3+1</f>
        <v>3</v>
      </c>
      <c r="C4" s="7">
        <v>11</v>
      </c>
      <c r="D4" s="6">
        <v>2022</v>
      </c>
      <c r="E4" s="8">
        <f>Submetring!E4+Submetring!F4+Submetring!G4</f>
        <v>10942</v>
      </c>
      <c r="F4" s="6">
        <v>0.29099999999999998</v>
      </c>
      <c r="G4" s="8">
        <f>Submetring!H4+Submetring!I4</f>
        <v>1579</v>
      </c>
      <c r="H4" s="6">
        <v>0.56711199999999995</v>
      </c>
      <c r="I4" s="8">
        <f>Submetring!J4</f>
        <v>226</v>
      </c>
      <c r="J4" s="6">
        <v>3.03</v>
      </c>
      <c r="K4" s="8">
        <f>Hotel!Y11</f>
        <v>141</v>
      </c>
    </row>
    <row r="5" spans="1:11">
      <c r="A5" s="6" t="s">
        <v>11</v>
      </c>
      <c r="B5" s="9">
        <f t="shared" si="0"/>
        <v>4</v>
      </c>
      <c r="C5" s="7">
        <v>11</v>
      </c>
      <c r="D5" s="6">
        <v>2022</v>
      </c>
      <c r="E5" s="8">
        <f>Submetring!E5+Submetring!F5+Submetring!G5</f>
        <v>10792</v>
      </c>
      <c r="F5" s="6">
        <v>0.29099999999999998</v>
      </c>
      <c r="G5" s="8">
        <f>Submetring!H5+Submetring!I5</f>
        <v>1372</v>
      </c>
      <c r="H5" s="6">
        <v>0.56711199999999995</v>
      </c>
      <c r="I5" s="8">
        <f>Submetring!J5</f>
        <v>300</v>
      </c>
      <c r="J5" s="6">
        <v>3.03</v>
      </c>
      <c r="K5" s="8">
        <f>Hotel!Y12</f>
        <v>153</v>
      </c>
    </row>
    <row r="6" spans="1:11">
      <c r="A6" s="6" t="s">
        <v>11</v>
      </c>
      <c r="B6" s="9">
        <f t="shared" si="0"/>
        <v>5</v>
      </c>
      <c r="C6" s="7">
        <v>11</v>
      </c>
      <c r="D6" s="6">
        <v>2022</v>
      </c>
      <c r="E6" s="8">
        <f>Submetring!E6+Submetring!F6+Submetring!G6</f>
        <v>10968</v>
      </c>
      <c r="F6" s="6">
        <v>0.29099999999999998</v>
      </c>
      <c r="G6" s="8">
        <f>Submetring!H6+Submetring!I6</f>
        <v>1219</v>
      </c>
      <c r="H6" s="6">
        <v>0.56711199999999995</v>
      </c>
      <c r="I6" s="8">
        <f>Submetring!J6</f>
        <v>200</v>
      </c>
      <c r="J6" s="6">
        <v>3.03</v>
      </c>
      <c r="K6" s="8">
        <f>Hotel!Y13</f>
        <v>151</v>
      </c>
    </row>
    <row r="7" spans="1:11">
      <c r="A7" s="6" t="s">
        <v>11</v>
      </c>
      <c r="B7" s="9">
        <f t="shared" si="0"/>
        <v>6</v>
      </c>
      <c r="C7" s="7">
        <v>11</v>
      </c>
      <c r="D7" s="6">
        <v>2022</v>
      </c>
      <c r="E7" s="8">
        <f>Submetring!E7+Submetring!F7+Submetring!G7</f>
        <v>10418</v>
      </c>
      <c r="F7" s="6">
        <v>0.29099999999999998</v>
      </c>
      <c r="G7" s="8">
        <f>Submetring!H7+Submetring!I7</f>
        <v>1598</v>
      </c>
      <c r="H7" s="6">
        <v>0.56711199999999995</v>
      </c>
      <c r="I7" s="8">
        <f>Submetring!J7</f>
        <v>202</v>
      </c>
      <c r="J7" s="6">
        <v>3.03</v>
      </c>
      <c r="K7" s="8">
        <f>Hotel!Y14</f>
        <v>85</v>
      </c>
    </row>
    <row r="8" spans="1:11">
      <c r="A8" s="6" t="s">
        <v>11</v>
      </c>
      <c r="B8" s="9">
        <f t="shared" si="0"/>
        <v>7</v>
      </c>
      <c r="C8" s="7">
        <v>11</v>
      </c>
      <c r="D8" s="6">
        <v>2022</v>
      </c>
      <c r="E8" s="8">
        <f>Submetring!E8+Submetring!F8+Submetring!G8</f>
        <v>9896</v>
      </c>
      <c r="F8" s="6">
        <v>0.29099999999999998</v>
      </c>
      <c r="G8" s="8">
        <f>Submetring!H8+Submetring!I8</f>
        <v>1752</v>
      </c>
      <c r="H8" s="6">
        <v>0.56711199999999995</v>
      </c>
      <c r="I8" s="8">
        <f>Submetring!J8</f>
        <v>159</v>
      </c>
      <c r="J8" s="6">
        <v>3.03</v>
      </c>
      <c r="K8" s="8">
        <f>Hotel!Y15</f>
        <v>81</v>
      </c>
    </row>
    <row r="9" spans="1:11">
      <c r="A9" s="6" t="s">
        <v>11</v>
      </c>
      <c r="B9" s="9">
        <f t="shared" si="0"/>
        <v>8</v>
      </c>
      <c r="C9" s="7">
        <v>11</v>
      </c>
      <c r="D9" s="6">
        <v>2022</v>
      </c>
      <c r="E9" s="8">
        <f>Submetring!E9+Submetring!F9+Submetring!G9</f>
        <v>9661</v>
      </c>
      <c r="F9" s="6">
        <v>0.29099999999999998</v>
      </c>
      <c r="G9" s="8">
        <f>Submetring!H9+Submetring!I9</f>
        <v>1477</v>
      </c>
      <c r="H9" s="6">
        <v>0.56711199999999995</v>
      </c>
      <c r="I9" s="8">
        <f>Submetring!J9</f>
        <v>161</v>
      </c>
      <c r="J9" s="6">
        <v>3.03</v>
      </c>
      <c r="K9" s="8">
        <f>Hotel!Y16</f>
        <v>108</v>
      </c>
    </row>
    <row r="10" spans="1:11">
      <c r="A10" s="6" t="s">
        <v>11</v>
      </c>
      <c r="B10" s="9">
        <f t="shared" si="0"/>
        <v>9</v>
      </c>
      <c r="C10" s="7">
        <v>11</v>
      </c>
      <c r="D10" s="6">
        <v>2022</v>
      </c>
      <c r="E10" s="8">
        <f>Submetring!E10+Submetring!F10+Submetring!G10</f>
        <v>10034</v>
      </c>
      <c r="F10" s="6">
        <v>0.29099999999999998</v>
      </c>
      <c r="G10" s="8">
        <f>Submetring!H10+Submetring!I10</f>
        <v>1899</v>
      </c>
      <c r="H10" s="6">
        <v>0.56711199999999995</v>
      </c>
      <c r="I10" s="8">
        <f>Submetring!J10</f>
        <v>194</v>
      </c>
      <c r="J10" s="6">
        <v>3.03</v>
      </c>
      <c r="K10" s="8">
        <f>Hotel!Y17</f>
        <v>115</v>
      </c>
    </row>
    <row r="11" spans="1:11">
      <c r="A11" s="6" t="s">
        <v>11</v>
      </c>
      <c r="B11" s="9">
        <f t="shared" si="0"/>
        <v>10</v>
      </c>
      <c r="C11" s="7">
        <v>11</v>
      </c>
      <c r="D11" s="6">
        <v>2022</v>
      </c>
      <c r="E11" s="8">
        <f>Submetring!E11+Submetring!F11+Submetring!G11</f>
        <v>10317</v>
      </c>
      <c r="F11" s="6">
        <v>0.29099999999999998</v>
      </c>
      <c r="G11" s="8">
        <f>Submetring!H11+Submetring!I11</f>
        <v>1736</v>
      </c>
      <c r="H11" s="6">
        <v>0.56711199999999995</v>
      </c>
      <c r="I11" s="8">
        <f>Submetring!J11</f>
        <v>211</v>
      </c>
      <c r="J11" s="6">
        <v>3.03</v>
      </c>
      <c r="K11" s="8">
        <f>Hotel!Y18</f>
        <v>121</v>
      </c>
    </row>
    <row r="12" spans="1:11">
      <c r="A12" s="6" t="s">
        <v>11</v>
      </c>
      <c r="B12" s="9">
        <f t="shared" si="0"/>
        <v>11</v>
      </c>
      <c r="C12" s="7">
        <v>11</v>
      </c>
      <c r="D12" s="6">
        <v>2022</v>
      </c>
      <c r="E12" s="8">
        <f>Submetring!E12+Submetring!F12+Submetring!G12</f>
        <v>10580</v>
      </c>
      <c r="F12" s="6">
        <v>0.29099999999999998</v>
      </c>
      <c r="G12" s="8">
        <f>Submetring!H12+Submetring!I12</f>
        <v>1613</v>
      </c>
      <c r="H12" s="6">
        <v>0.56711199999999995</v>
      </c>
      <c r="I12" s="8">
        <f>Submetring!J12</f>
        <v>270</v>
      </c>
      <c r="J12" s="6">
        <v>3.03</v>
      </c>
      <c r="K12" s="8">
        <f>Hotel!Y19</f>
        <v>73</v>
      </c>
    </row>
    <row r="13" spans="1:11">
      <c r="A13" s="6" t="s">
        <v>11</v>
      </c>
      <c r="B13" s="9">
        <f t="shared" si="0"/>
        <v>12</v>
      </c>
      <c r="C13" s="7">
        <v>11</v>
      </c>
      <c r="D13" s="6">
        <v>2022</v>
      </c>
      <c r="E13" s="8">
        <f>Submetring!E13+Submetring!F13+Submetring!G13</f>
        <v>10636</v>
      </c>
      <c r="F13" s="6">
        <v>0.29099999999999998</v>
      </c>
      <c r="G13" s="8">
        <f>Submetring!H13+Submetring!I13</f>
        <v>1572</v>
      </c>
      <c r="H13" s="6">
        <v>0.56711199999999995</v>
      </c>
      <c r="I13" s="8">
        <f>Submetring!J13</f>
        <v>243</v>
      </c>
      <c r="J13" s="6">
        <v>3.03</v>
      </c>
      <c r="K13" s="8">
        <f>Hotel!Y20</f>
        <v>88</v>
      </c>
    </row>
    <row r="14" spans="1:11">
      <c r="A14" s="6" t="s">
        <v>11</v>
      </c>
      <c r="B14" s="9">
        <f t="shared" si="0"/>
        <v>13</v>
      </c>
      <c r="C14" s="7">
        <v>11</v>
      </c>
      <c r="D14" s="6">
        <v>2022</v>
      </c>
      <c r="E14" s="8">
        <f>Submetring!E14+Submetring!F14+Submetring!G14</f>
        <v>10136</v>
      </c>
      <c r="F14" s="6">
        <v>0.29099999999999998</v>
      </c>
      <c r="G14" s="8">
        <f>Submetring!H14+Submetring!I14</f>
        <v>1778</v>
      </c>
      <c r="H14" s="6">
        <v>0.56711199999999995</v>
      </c>
      <c r="I14" s="8">
        <f>Submetring!J14</f>
        <v>277</v>
      </c>
      <c r="J14" s="6">
        <v>3.03</v>
      </c>
      <c r="K14" s="8">
        <f>Hotel!Y21</f>
        <v>117</v>
      </c>
    </row>
    <row r="15" spans="1:11">
      <c r="A15" s="6" t="s">
        <v>11</v>
      </c>
      <c r="B15" s="9">
        <f t="shared" si="0"/>
        <v>14</v>
      </c>
      <c r="C15" s="7">
        <v>11</v>
      </c>
      <c r="D15" s="6">
        <v>2022</v>
      </c>
      <c r="E15" s="8">
        <f>Submetring!E15+Submetring!F15+Submetring!G15</f>
        <v>9953</v>
      </c>
      <c r="F15" s="6">
        <v>0.29099999999999998</v>
      </c>
      <c r="G15" s="8">
        <f>Submetring!H15+Submetring!I15</f>
        <v>1870</v>
      </c>
      <c r="H15" s="6">
        <v>0.56711199999999995</v>
      </c>
      <c r="I15" s="8">
        <f>Submetring!J15</f>
        <v>176</v>
      </c>
      <c r="J15" s="6">
        <v>3.03</v>
      </c>
      <c r="K15" s="8">
        <f>Hotel!Y22</f>
        <v>132</v>
      </c>
    </row>
    <row r="16" spans="1:11">
      <c r="A16" s="6" t="s">
        <v>11</v>
      </c>
      <c r="B16" s="9">
        <f t="shared" si="0"/>
        <v>15</v>
      </c>
      <c r="C16" s="7">
        <v>11</v>
      </c>
      <c r="D16" s="6">
        <v>2022</v>
      </c>
      <c r="E16" s="8">
        <f>Submetring!E16+Submetring!F16+Submetring!G16</f>
        <v>10375</v>
      </c>
      <c r="F16" s="6">
        <v>0.29099999999999998</v>
      </c>
      <c r="G16" s="8">
        <f>Submetring!H16+Submetring!I16</f>
        <v>1982</v>
      </c>
      <c r="H16" s="6">
        <v>0.56711199999999995</v>
      </c>
      <c r="I16" s="8">
        <f>Submetring!J16</f>
        <v>186</v>
      </c>
      <c r="J16" s="6">
        <v>3.03</v>
      </c>
      <c r="K16" s="8">
        <f>Hotel!Y23</f>
        <v>143</v>
      </c>
    </row>
    <row r="17" spans="1:11">
      <c r="A17" s="6" t="s">
        <v>11</v>
      </c>
      <c r="B17" s="9">
        <f t="shared" si="0"/>
        <v>16</v>
      </c>
      <c r="C17" s="7">
        <v>11</v>
      </c>
      <c r="D17" s="6">
        <v>2022</v>
      </c>
      <c r="E17" s="8">
        <f>Submetring!E17+Submetring!F17+Submetring!G17</f>
        <v>10242</v>
      </c>
      <c r="F17" s="6">
        <v>0.29099999999999998</v>
      </c>
      <c r="G17" s="8">
        <f>Submetring!H17+Submetring!I17</f>
        <v>1710</v>
      </c>
      <c r="H17" s="6">
        <v>0.56711199999999995</v>
      </c>
      <c r="I17" s="8">
        <f>Submetring!J17</f>
        <v>281</v>
      </c>
      <c r="J17" s="6">
        <v>3.03</v>
      </c>
      <c r="K17" s="8">
        <f>Hotel!Y24</f>
        <v>137</v>
      </c>
    </row>
    <row r="18" spans="1:11">
      <c r="A18" s="6" t="s">
        <v>11</v>
      </c>
      <c r="B18" s="9">
        <f t="shared" si="0"/>
        <v>17</v>
      </c>
      <c r="C18" s="7">
        <v>11</v>
      </c>
      <c r="D18" s="6">
        <v>2022</v>
      </c>
      <c r="E18" s="8">
        <f>Submetring!E18+Submetring!F18+Submetring!G18</f>
        <v>10503</v>
      </c>
      <c r="F18" s="6">
        <v>0.29099999999999998</v>
      </c>
      <c r="G18" s="8">
        <f>Submetring!H18+Submetring!I18</f>
        <v>1656</v>
      </c>
      <c r="H18" s="6">
        <v>0.56711199999999995</v>
      </c>
      <c r="I18" s="8">
        <f>Submetring!J18</f>
        <v>223</v>
      </c>
      <c r="J18" s="6">
        <v>3.03</v>
      </c>
      <c r="K18" s="8">
        <f>Hotel!Y25</f>
        <v>114</v>
      </c>
    </row>
    <row r="19" spans="1:11">
      <c r="A19" s="6" t="s">
        <v>11</v>
      </c>
      <c r="B19" s="9">
        <f t="shared" si="0"/>
        <v>18</v>
      </c>
      <c r="C19" s="7">
        <v>11</v>
      </c>
      <c r="D19" s="6">
        <v>2022</v>
      </c>
      <c r="E19" s="8">
        <f>Submetring!E19+Submetring!F19+Submetring!G19</f>
        <v>10493</v>
      </c>
      <c r="F19" s="6">
        <v>0.29099999999999998</v>
      </c>
      <c r="G19" s="8">
        <f>Submetring!H19+Submetring!I19</f>
        <v>1723</v>
      </c>
      <c r="H19" s="6">
        <v>0.56711199999999995</v>
      </c>
      <c r="I19" s="8">
        <f>Submetring!J19</f>
        <v>199</v>
      </c>
      <c r="J19" s="6">
        <v>3.03</v>
      </c>
      <c r="K19" s="8">
        <f>Hotel!Y26</f>
        <v>106</v>
      </c>
    </row>
    <row r="20" spans="1:11">
      <c r="A20" s="6" t="s">
        <v>11</v>
      </c>
      <c r="B20" s="9">
        <f t="shared" si="0"/>
        <v>19</v>
      </c>
      <c r="C20" s="7">
        <v>11</v>
      </c>
      <c r="D20" s="6">
        <v>2022</v>
      </c>
      <c r="E20" s="8">
        <f>Submetring!E20+Submetring!F20+Submetring!G20</f>
        <v>10690</v>
      </c>
      <c r="F20" s="6">
        <v>0.29099999999999998</v>
      </c>
      <c r="G20" s="8">
        <f>Submetring!H20+Submetring!I20</f>
        <v>1627</v>
      </c>
      <c r="H20" s="6">
        <v>0.56711199999999995</v>
      </c>
      <c r="I20" s="8">
        <f>Submetring!J20</f>
        <v>212</v>
      </c>
      <c r="J20" s="6">
        <v>3.03</v>
      </c>
      <c r="K20" s="8">
        <f>Hotel!Y27</f>
        <v>79</v>
      </c>
    </row>
    <row r="21" spans="1:11">
      <c r="A21" s="6" t="s">
        <v>11</v>
      </c>
      <c r="B21" s="9">
        <f t="shared" si="0"/>
        <v>20</v>
      </c>
      <c r="C21" s="7">
        <v>11</v>
      </c>
      <c r="D21" s="6">
        <v>2022</v>
      </c>
      <c r="E21" s="8">
        <f>Submetring!E21+Submetring!F21+Submetring!G21</f>
        <v>10286</v>
      </c>
      <c r="F21" s="6">
        <v>0.29099999999999998</v>
      </c>
      <c r="G21" s="8">
        <f>Submetring!H21+Submetring!I21</f>
        <v>1692</v>
      </c>
      <c r="H21" s="6">
        <v>0.56711199999999995</v>
      </c>
      <c r="I21" s="8">
        <f>Submetring!J21</f>
        <v>161</v>
      </c>
      <c r="J21" s="6">
        <v>3.03</v>
      </c>
      <c r="K21" s="8">
        <f>Hotel!Y28</f>
        <v>77</v>
      </c>
    </row>
    <row r="22" spans="1:11">
      <c r="A22" s="6" t="s">
        <v>11</v>
      </c>
      <c r="B22" s="9">
        <f t="shared" si="0"/>
        <v>21</v>
      </c>
      <c r="C22" s="7">
        <v>11</v>
      </c>
      <c r="D22" s="6">
        <v>2022</v>
      </c>
      <c r="E22" s="8">
        <f>Submetring!E22+Submetring!F22+Submetring!G22</f>
        <v>9947</v>
      </c>
      <c r="F22" s="6">
        <v>0.29099999999999998</v>
      </c>
      <c r="G22" s="8">
        <f>Submetring!H22+Submetring!I22</f>
        <v>1991</v>
      </c>
      <c r="H22" s="6">
        <v>0.56711199999999995</v>
      </c>
      <c r="I22" s="8">
        <f>Submetring!J22</f>
        <v>194</v>
      </c>
      <c r="J22" s="6">
        <v>3.03</v>
      </c>
      <c r="K22" s="8">
        <f>Hotel!Y29</f>
        <v>80</v>
      </c>
    </row>
    <row r="23" spans="1:11">
      <c r="A23" s="6" t="s">
        <v>11</v>
      </c>
      <c r="B23" s="9">
        <f t="shared" si="0"/>
        <v>22</v>
      </c>
      <c r="C23" s="7">
        <v>11</v>
      </c>
      <c r="D23" s="6">
        <v>2022</v>
      </c>
      <c r="E23" s="8">
        <f>Submetring!E23+Submetring!F23+Submetring!G23</f>
        <v>10100</v>
      </c>
      <c r="F23" s="6">
        <v>0.29099999999999998</v>
      </c>
      <c r="G23" s="8">
        <f>Submetring!H23+Submetring!I23</f>
        <v>2331</v>
      </c>
      <c r="H23" s="6">
        <v>0.56711199999999995</v>
      </c>
      <c r="I23" s="8">
        <f>Submetring!J23</f>
        <v>207</v>
      </c>
      <c r="J23" s="6">
        <v>3.03</v>
      </c>
      <c r="K23" s="8">
        <f>Hotel!Y30</f>
        <v>91</v>
      </c>
    </row>
    <row r="24" spans="1:11">
      <c r="A24" s="6" t="s">
        <v>11</v>
      </c>
      <c r="B24" s="9">
        <f t="shared" si="0"/>
        <v>23</v>
      </c>
      <c r="C24" s="7">
        <v>11</v>
      </c>
      <c r="D24" s="6">
        <v>2022</v>
      </c>
      <c r="E24" s="8">
        <f>Submetring!E24+Submetring!F24+Submetring!G24</f>
        <v>10117</v>
      </c>
      <c r="F24" s="6">
        <v>0.29099999999999998</v>
      </c>
      <c r="G24" s="8">
        <f>Submetring!H24+Submetring!I24</f>
        <v>2072</v>
      </c>
      <c r="H24" s="6">
        <v>0.56711199999999995</v>
      </c>
      <c r="I24" s="8">
        <f>Submetring!J24</f>
        <v>203</v>
      </c>
      <c r="J24" s="6">
        <v>3.03</v>
      </c>
      <c r="K24" s="8">
        <f>Hotel!Y31</f>
        <v>95</v>
      </c>
    </row>
    <row r="25" spans="1:11">
      <c r="A25" s="6" t="s">
        <v>11</v>
      </c>
      <c r="B25" s="9">
        <f t="shared" si="0"/>
        <v>24</v>
      </c>
      <c r="C25" s="7">
        <v>11</v>
      </c>
      <c r="D25" s="6">
        <v>2022</v>
      </c>
      <c r="E25" s="8">
        <f>Submetring!E25+Submetring!F25+Submetring!G25</f>
        <v>10264</v>
      </c>
      <c r="F25" s="6">
        <v>0.29099999999999998</v>
      </c>
      <c r="G25" s="8">
        <f>Submetring!H25+Submetring!I25</f>
        <v>1819</v>
      </c>
      <c r="H25" s="6">
        <v>0.56711199999999995</v>
      </c>
      <c r="I25" s="8">
        <f>Submetring!J25</f>
        <v>205</v>
      </c>
      <c r="J25" s="6">
        <v>3.03</v>
      </c>
      <c r="K25" s="8">
        <f>Hotel!Y32</f>
        <v>95</v>
      </c>
    </row>
    <row r="26" spans="1:11">
      <c r="A26" s="6" t="s">
        <v>11</v>
      </c>
      <c r="B26" s="9">
        <f>B25+1</f>
        <v>25</v>
      </c>
      <c r="C26" s="7">
        <v>11</v>
      </c>
      <c r="D26" s="6">
        <v>2022</v>
      </c>
      <c r="E26" s="8">
        <f>Submetring!E26+Submetring!F26+Submetring!G26</f>
        <v>9938</v>
      </c>
      <c r="F26" s="6">
        <v>0.29099999999999998</v>
      </c>
      <c r="G26" s="8">
        <f>Submetring!H26+Submetring!I26</f>
        <v>1882</v>
      </c>
      <c r="H26" s="6">
        <v>0.56711199999999995</v>
      </c>
      <c r="I26" s="8">
        <f>Submetring!J26</f>
        <v>209</v>
      </c>
      <c r="J26" s="6">
        <v>3.03</v>
      </c>
      <c r="K26" s="8">
        <f>Hotel!Y33</f>
        <v>107</v>
      </c>
    </row>
    <row r="27" spans="1:11">
      <c r="A27" s="6" t="s">
        <v>11</v>
      </c>
      <c r="B27" s="9">
        <f t="shared" si="0"/>
        <v>26</v>
      </c>
      <c r="C27" s="7">
        <v>11</v>
      </c>
      <c r="D27" s="6">
        <v>2022</v>
      </c>
      <c r="E27" s="8">
        <f>Submetring!E27+Submetring!F27+Submetring!G27</f>
        <v>9080</v>
      </c>
      <c r="F27" s="6">
        <v>0.29099999999999998</v>
      </c>
      <c r="G27" s="8">
        <f>Submetring!H27+Submetring!I27</f>
        <v>1839</v>
      </c>
      <c r="H27" s="6">
        <v>0.56711199999999995</v>
      </c>
      <c r="I27" s="8">
        <f>Submetring!J27</f>
        <v>192</v>
      </c>
      <c r="J27" s="6">
        <v>3.03</v>
      </c>
      <c r="K27" s="8">
        <f>Hotel!Y34</f>
        <v>126</v>
      </c>
    </row>
    <row r="28" spans="1:11">
      <c r="A28" s="6" t="s">
        <v>11</v>
      </c>
      <c r="B28" s="9">
        <f t="shared" si="0"/>
        <v>27</v>
      </c>
      <c r="C28" s="7">
        <v>11</v>
      </c>
      <c r="D28" s="6">
        <v>2022</v>
      </c>
      <c r="E28" s="8">
        <f>Submetring!E28+Submetring!F28+Submetring!G28</f>
        <v>9388</v>
      </c>
      <c r="F28" s="6">
        <v>0.29099999999999998</v>
      </c>
      <c r="G28" s="8">
        <f>Submetring!H28+Submetring!I28</f>
        <v>1992</v>
      </c>
      <c r="H28" s="6">
        <v>0.56711199999999995</v>
      </c>
      <c r="I28" s="8">
        <f>Submetring!J28</f>
        <v>164</v>
      </c>
      <c r="J28" s="6">
        <v>3.03</v>
      </c>
      <c r="K28" s="8">
        <f>Hotel!Y35</f>
        <v>106</v>
      </c>
    </row>
    <row r="29" spans="1:11">
      <c r="A29" s="6" t="s">
        <v>11</v>
      </c>
      <c r="B29" s="9">
        <f t="shared" si="0"/>
        <v>28</v>
      </c>
      <c r="C29" s="7">
        <v>11</v>
      </c>
      <c r="D29" s="6">
        <v>2022</v>
      </c>
      <c r="E29" s="8">
        <f>Submetring!E29+Submetring!F29+Submetring!G29</f>
        <v>9044</v>
      </c>
      <c r="F29" s="6">
        <v>0.29099999999999998</v>
      </c>
      <c r="G29" s="8">
        <f>Submetring!H29+Submetring!I29</f>
        <v>1981</v>
      </c>
      <c r="H29" s="6">
        <v>0.56711199999999995</v>
      </c>
      <c r="I29" s="8">
        <f>Submetring!J29</f>
        <v>155</v>
      </c>
      <c r="J29" s="6">
        <v>3.03</v>
      </c>
      <c r="K29" s="8">
        <f>Hotel!Y36</f>
        <v>111</v>
      </c>
    </row>
    <row r="30" spans="1:11">
      <c r="A30" s="6" t="s">
        <v>11</v>
      </c>
      <c r="B30" s="9">
        <f t="shared" si="0"/>
        <v>29</v>
      </c>
      <c r="C30" s="7">
        <v>11</v>
      </c>
      <c r="D30" s="6">
        <v>2022</v>
      </c>
      <c r="E30" s="8">
        <f>Submetring!E30+Submetring!F30+Submetring!G30</f>
        <v>0</v>
      </c>
      <c r="F30" s="6">
        <v>0.29099999999999998</v>
      </c>
      <c r="G30" s="8">
        <f>Submetring!H30+Submetring!I30</f>
        <v>0</v>
      </c>
      <c r="H30" s="6">
        <v>0.56711199999999995</v>
      </c>
      <c r="I30" s="8" t="str">
        <f>Submetring!J30</f>
        <v>0</v>
      </c>
      <c r="J30" s="6">
        <v>3.03</v>
      </c>
      <c r="K30" s="8">
        <f>Hotel!Y37</f>
        <v>0</v>
      </c>
    </row>
    <row r="31" spans="1:11">
      <c r="A31" s="6" t="s">
        <v>11</v>
      </c>
      <c r="B31" s="9">
        <f t="shared" si="0"/>
        <v>30</v>
      </c>
      <c r="C31" s="7">
        <v>11</v>
      </c>
      <c r="D31" s="6">
        <v>2022</v>
      </c>
      <c r="E31" s="8">
        <f>Submetring!E31+Submetring!F31+Submetring!G31</f>
        <v>0</v>
      </c>
      <c r="F31" s="6">
        <v>0.29099999999999998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>
      <c r="A32" s="6" t="s">
        <v>11</v>
      </c>
      <c r="B32" s="9">
        <f t="shared" si="0"/>
        <v>31</v>
      </c>
      <c r="C32" s="7">
        <v>11</v>
      </c>
      <c r="D32" s="6">
        <v>2022</v>
      </c>
      <c r="E32" s="8">
        <f>Submetring!E32+Submetring!F32+Submetring!G32</f>
        <v>0</v>
      </c>
      <c r="F32" s="6">
        <v>0.29099999999999998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32"/>
  <sheetViews>
    <sheetView workbookViewId="0">
      <selection activeCell="M23" sqref="M23"/>
    </sheetView>
  </sheetViews>
  <sheetFormatPr defaultRowHeight="15"/>
  <sheetData>
    <row r="1" spans="1:93" ht="90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>
      <c r="A2" t="s">
        <v>11</v>
      </c>
      <c r="B2" s="10">
        <v>1</v>
      </c>
      <c r="C2" s="10">
        <v>11</v>
      </c>
      <c r="D2" s="10">
        <v>2022</v>
      </c>
      <c r="E2" s="11">
        <f>Hotel!D9</f>
        <v>3675</v>
      </c>
      <c r="F2" s="11">
        <f>Hotel!F9</f>
        <v>3682</v>
      </c>
      <c r="G2" s="11">
        <f>Hotel!H9</f>
        <v>3506</v>
      </c>
      <c r="H2" s="11">
        <f>Hotel!N9</f>
        <v>149</v>
      </c>
      <c r="I2" s="11">
        <f>Hotel!P9</f>
        <v>1323</v>
      </c>
      <c r="J2" s="11">
        <f>Hotel!U9</f>
        <v>228</v>
      </c>
      <c r="K2" s="11">
        <f>Hotel!Y9</f>
        <v>110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>
      <c r="A3" t="s">
        <v>11</v>
      </c>
      <c r="B3" s="10">
        <f>B2+1</f>
        <v>2</v>
      </c>
      <c r="C3" s="10">
        <v>11</v>
      </c>
      <c r="D3" s="10">
        <v>2022</v>
      </c>
      <c r="E3" s="11">
        <f>Hotel!D10</f>
        <v>3785</v>
      </c>
      <c r="F3" s="11">
        <f>Hotel!F10</f>
        <v>3803</v>
      </c>
      <c r="G3" s="11">
        <f>Hotel!H10</f>
        <v>3578</v>
      </c>
      <c r="H3" s="11">
        <f>Hotel!N10</f>
        <v>148</v>
      </c>
      <c r="I3" s="11">
        <f>Hotel!P10</f>
        <v>1277</v>
      </c>
      <c r="J3" s="11">
        <f>Hotel!U10</f>
        <v>305</v>
      </c>
      <c r="K3" s="11">
        <f>Hotel!Y10</f>
        <v>125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>
      <c r="A4" t="s">
        <v>11</v>
      </c>
      <c r="B4" s="10">
        <f t="shared" ref="B4:B32" si="0">B3+1</f>
        <v>3</v>
      </c>
      <c r="C4" s="10">
        <v>11</v>
      </c>
      <c r="D4" s="10">
        <v>2022</v>
      </c>
      <c r="E4" s="11">
        <f>Hotel!D11</f>
        <v>3716</v>
      </c>
      <c r="F4" s="11">
        <f>Hotel!F11</f>
        <v>3711</v>
      </c>
      <c r="G4" s="11">
        <f>Hotel!H11</f>
        <v>3515</v>
      </c>
      <c r="H4" s="11">
        <f>Hotel!N11</f>
        <v>152</v>
      </c>
      <c r="I4" s="11">
        <f>Hotel!P11</f>
        <v>1427</v>
      </c>
      <c r="J4" s="11">
        <f>Hotel!U11</f>
        <v>226</v>
      </c>
      <c r="K4" s="11">
        <f>Hotel!Y11</f>
        <v>141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>
      <c r="A5" t="s">
        <v>11</v>
      </c>
      <c r="B5" s="10">
        <f t="shared" si="0"/>
        <v>4</v>
      </c>
      <c r="C5" s="10">
        <v>11</v>
      </c>
      <c r="D5" s="10">
        <v>2022</v>
      </c>
      <c r="E5" s="11">
        <f>Hotel!D12</f>
        <v>3658</v>
      </c>
      <c r="F5" s="11">
        <f>Hotel!F12</f>
        <v>3657</v>
      </c>
      <c r="G5" s="11">
        <f>Hotel!H12</f>
        <v>3477</v>
      </c>
      <c r="H5" s="11">
        <f>Hotel!N12</f>
        <v>171</v>
      </c>
      <c r="I5" s="11">
        <f>Hotel!P12</f>
        <v>1201</v>
      </c>
      <c r="J5" s="11">
        <f>Hotel!U12</f>
        <v>300</v>
      </c>
      <c r="K5" s="11">
        <f>Hotel!Y12</f>
        <v>153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>
      <c r="A6" t="s">
        <v>11</v>
      </c>
      <c r="B6" s="10">
        <f t="shared" si="0"/>
        <v>5</v>
      </c>
      <c r="C6" s="10">
        <v>11</v>
      </c>
      <c r="D6" s="10">
        <v>2022</v>
      </c>
      <c r="E6" s="11">
        <f>Hotel!D13</f>
        <v>3718</v>
      </c>
      <c r="F6" s="11">
        <f>Hotel!F13</f>
        <v>3724</v>
      </c>
      <c r="G6" s="11">
        <f>Hotel!H13</f>
        <v>3526</v>
      </c>
      <c r="H6" s="11">
        <f>Hotel!N13</f>
        <v>164</v>
      </c>
      <c r="I6" s="11">
        <f>Hotel!P13</f>
        <v>1055</v>
      </c>
      <c r="J6" s="11">
        <f>Hotel!U13</f>
        <v>200</v>
      </c>
      <c r="K6" s="11">
        <f>Hotel!Y13</f>
        <v>151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>
      <c r="A7" t="s">
        <v>11</v>
      </c>
      <c r="B7" s="10">
        <f t="shared" si="0"/>
        <v>6</v>
      </c>
      <c r="C7" s="10">
        <v>11</v>
      </c>
      <c r="D7" s="10">
        <v>2022</v>
      </c>
      <c r="E7" s="11">
        <f>Hotel!D14</f>
        <v>3542</v>
      </c>
      <c r="F7" s="11">
        <f>Hotel!F14</f>
        <v>3534</v>
      </c>
      <c r="G7" s="11">
        <f>Hotel!H14</f>
        <v>3342</v>
      </c>
      <c r="H7" s="11">
        <f>Hotel!N14</f>
        <v>158</v>
      </c>
      <c r="I7" s="11">
        <f>Hotel!P14</f>
        <v>1440</v>
      </c>
      <c r="J7" s="11">
        <f>Hotel!U14</f>
        <v>202</v>
      </c>
      <c r="K7" s="11">
        <f>Hotel!Y14</f>
        <v>85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>
      <c r="A8" t="s">
        <v>11</v>
      </c>
      <c r="B8" s="10">
        <f t="shared" si="0"/>
        <v>7</v>
      </c>
      <c r="C8" s="10">
        <v>11</v>
      </c>
      <c r="D8" s="10">
        <v>2022</v>
      </c>
      <c r="E8" s="11">
        <f>Hotel!D15</f>
        <v>3362</v>
      </c>
      <c r="F8" s="11">
        <f>Hotel!F15</f>
        <v>3358</v>
      </c>
      <c r="G8" s="11">
        <f>Hotel!H15</f>
        <v>3176</v>
      </c>
      <c r="H8" s="11">
        <f>Hotel!N15</f>
        <v>118</v>
      </c>
      <c r="I8" s="11">
        <f>Hotel!P15</f>
        <v>1634</v>
      </c>
      <c r="J8" s="11">
        <f>Hotel!U15</f>
        <v>159</v>
      </c>
      <c r="K8" s="11">
        <f>Hotel!Y15</f>
        <v>81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>
      <c r="A9" t="s">
        <v>11</v>
      </c>
      <c r="B9" s="10">
        <f t="shared" si="0"/>
        <v>8</v>
      </c>
      <c r="C9" s="10">
        <v>11</v>
      </c>
      <c r="D9" s="10">
        <v>2022</v>
      </c>
      <c r="E9" s="11">
        <f>Hotel!D16</f>
        <v>3266</v>
      </c>
      <c r="F9" s="11">
        <f>Hotel!F16</f>
        <v>3267</v>
      </c>
      <c r="G9" s="11">
        <f>Hotel!H16</f>
        <v>3128</v>
      </c>
      <c r="H9" s="11">
        <f>Hotel!N16</f>
        <v>156</v>
      </c>
      <c r="I9" s="11">
        <f>Hotel!P16</f>
        <v>1321</v>
      </c>
      <c r="J9" s="11">
        <f>Hotel!U16</f>
        <v>161</v>
      </c>
      <c r="K9" s="11">
        <f>Hotel!Y16</f>
        <v>108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>
      <c r="A10" t="s">
        <v>11</v>
      </c>
      <c r="B10" s="10">
        <f t="shared" si="0"/>
        <v>9</v>
      </c>
      <c r="C10" s="10">
        <v>11</v>
      </c>
      <c r="D10" s="10">
        <v>2022</v>
      </c>
      <c r="E10" s="11">
        <f>Hotel!D17</f>
        <v>3410</v>
      </c>
      <c r="F10" s="11">
        <f>Hotel!F17</f>
        <v>3410</v>
      </c>
      <c r="G10" s="11">
        <f>Hotel!H17</f>
        <v>3214</v>
      </c>
      <c r="H10" s="11">
        <f>Hotel!N17</f>
        <v>159</v>
      </c>
      <c r="I10" s="11">
        <f>Hotel!P17</f>
        <v>1740</v>
      </c>
      <c r="J10" s="11">
        <f>Hotel!U17</f>
        <v>194</v>
      </c>
      <c r="K10" s="11">
        <f>Hotel!Y17</f>
        <v>115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>
      <c r="A11" t="s">
        <v>11</v>
      </c>
      <c r="B11" s="10">
        <f t="shared" si="0"/>
        <v>10</v>
      </c>
      <c r="C11" s="10">
        <v>11</v>
      </c>
      <c r="D11" s="10">
        <v>2022</v>
      </c>
      <c r="E11" s="11">
        <f>Hotel!D18</f>
        <v>3487</v>
      </c>
      <c r="F11" s="11">
        <f>Hotel!F18</f>
        <v>3499</v>
      </c>
      <c r="G11" s="11">
        <f>Hotel!H18</f>
        <v>3331</v>
      </c>
      <c r="H11" s="11">
        <f>Hotel!N18</f>
        <v>155</v>
      </c>
      <c r="I11" s="11">
        <f>Hotel!P18</f>
        <v>1581</v>
      </c>
      <c r="J11" s="11">
        <f>Hotel!U18</f>
        <v>211</v>
      </c>
      <c r="K11" s="11">
        <f>Hotel!Y18</f>
        <v>121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>
      <c r="A12" t="s">
        <v>11</v>
      </c>
      <c r="B12" s="10">
        <f t="shared" si="0"/>
        <v>11</v>
      </c>
      <c r="C12" s="10">
        <v>11</v>
      </c>
      <c r="D12" s="10">
        <v>2022</v>
      </c>
      <c r="E12" s="11">
        <f>Hotel!D19</f>
        <v>3575</v>
      </c>
      <c r="F12" s="11">
        <f>Hotel!F19</f>
        <v>3595</v>
      </c>
      <c r="G12" s="11">
        <f>Hotel!H19</f>
        <v>3410</v>
      </c>
      <c r="H12" s="11">
        <f>Hotel!N19</f>
        <v>156</v>
      </c>
      <c r="I12" s="11">
        <f>Hotel!P19</f>
        <v>1457</v>
      </c>
      <c r="J12" s="11">
        <f>Hotel!U19</f>
        <v>270</v>
      </c>
      <c r="K12" s="11">
        <f>Hotel!Y19</f>
        <v>73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>
      <c r="A13" t="s">
        <v>11</v>
      </c>
      <c r="B13" s="10">
        <f t="shared" si="0"/>
        <v>12</v>
      </c>
      <c r="C13" s="10">
        <v>11</v>
      </c>
      <c r="D13" s="10">
        <v>2022</v>
      </c>
      <c r="E13" s="11">
        <f>Hotel!D20</f>
        <v>3599</v>
      </c>
      <c r="F13" s="11">
        <f>Hotel!F20</f>
        <v>3615</v>
      </c>
      <c r="G13" s="11">
        <f>Hotel!H20</f>
        <v>3422</v>
      </c>
      <c r="H13" s="11">
        <f>Hotel!N20</f>
        <v>150</v>
      </c>
      <c r="I13" s="11">
        <f>Hotel!P20</f>
        <v>1422</v>
      </c>
      <c r="J13" s="11">
        <f>Hotel!U20</f>
        <v>243</v>
      </c>
      <c r="K13" s="11">
        <f>Hotel!Y20</f>
        <v>88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>
      <c r="A14" t="s">
        <v>11</v>
      </c>
      <c r="B14" s="10">
        <f t="shared" si="0"/>
        <v>13</v>
      </c>
      <c r="C14" s="10">
        <v>11</v>
      </c>
      <c r="D14" s="10">
        <v>2022</v>
      </c>
      <c r="E14" s="11">
        <f>Hotel!D21</f>
        <v>3437</v>
      </c>
      <c r="F14" s="11">
        <f>Hotel!F21</f>
        <v>3453</v>
      </c>
      <c r="G14" s="11">
        <f>Hotel!H21</f>
        <v>3246</v>
      </c>
      <c r="H14" s="11">
        <f>Hotel!N21</f>
        <v>157</v>
      </c>
      <c r="I14" s="11">
        <f>Hotel!P21</f>
        <v>1621</v>
      </c>
      <c r="J14" s="11">
        <f>Hotel!U21</f>
        <v>277</v>
      </c>
      <c r="K14" s="11">
        <f>Hotel!Y21</f>
        <v>117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>
      <c r="A15" t="s">
        <v>11</v>
      </c>
      <c r="B15" s="10">
        <f t="shared" si="0"/>
        <v>14</v>
      </c>
      <c r="C15" s="10">
        <v>11</v>
      </c>
      <c r="D15" s="10">
        <v>2022</v>
      </c>
      <c r="E15" s="11">
        <f>Hotel!D22</f>
        <v>3386</v>
      </c>
      <c r="F15" s="11">
        <f>Hotel!F22</f>
        <v>3382</v>
      </c>
      <c r="G15" s="11">
        <f>Hotel!H22</f>
        <v>3185</v>
      </c>
      <c r="H15" s="11">
        <f>Hotel!N22</f>
        <v>122</v>
      </c>
      <c r="I15" s="11">
        <f>Hotel!P22</f>
        <v>1748</v>
      </c>
      <c r="J15" s="11">
        <f>Hotel!U22</f>
        <v>176</v>
      </c>
      <c r="K15" s="11">
        <f>Hotel!Y22</f>
        <v>132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>
      <c r="A16" t="s">
        <v>11</v>
      </c>
      <c r="B16" s="10">
        <f t="shared" si="0"/>
        <v>15</v>
      </c>
      <c r="C16" s="10">
        <v>11</v>
      </c>
      <c r="D16" s="10">
        <v>2022</v>
      </c>
      <c r="E16" s="11">
        <f>Hotel!D23</f>
        <v>3505</v>
      </c>
      <c r="F16" s="11">
        <f>Hotel!F23</f>
        <v>3528</v>
      </c>
      <c r="G16" s="11">
        <f>Hotel!H23</f>
        <v>3342</v>
      </c>
      <c r="H16" s="11">
        <f>Hotel!N23</f>
        <v>139</v>
      </c>
      <c r="I16" s="11">
        <f>Hotel!P23</f>
        <v>1843</v>
      </c>
      <c r="J16" s="11">
        <f>Hotel!U23</f>
        <v>186</v>
      </c>
      <c r="K16" s="11">
        <f>Hotel!Y23</f>
        <v>143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>
      <c r="A17" t="s">
        <v>11</v>
      </c>
      <c r="B17" s="10">
        <f t="shared" si="0"/>
        <v>16</v>
      </c>
      <c r="C17" s="10">
        <v>11</v>
      </c>
      <c r="D17" s="10">
        <v>2022</v>
      </c>
      <c r="E17" s="11">
        <f>Hotel!D24</f>
        <v>3463</v>
      </c>
      <c r="F17" s="11">
        <f>Hotel!F24</f>
        <v>3485</v>
      </c>
      <c r="G17" s="11">
        <f>Hotel!H24</f>
        <v>3294</v>
      </c>
      <c r="H17" s="11">
        <f>Hotel!N24</f>
        <v>161</v>
      </c>
      <c r="I17" s="11">
        <f>Hotel!P24</f>
        <v>1549</v>
      </c>
      <c r="J17" s="11">
        <f>Hotel!U24</f>
        <v>281</v>
      </c>
      <c r="K17" s="11">
        <f>Hotel!Y24</f>
        <v>137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>
      <c r="A18" t="s">
        <v>11</v>
      </c>
      <c r="B18" s="10">
        <f t="shared" si="0"/>
        <v>17</v>
      </c>
      <c r="C18" s="10">
        <v>11</v>
      </c>
      <c r="D18" s="10">
        <v>2022</v>
      </c>
      <c r="E18" s="11">
        <f>Hotel!D25</f>
        <v>3552</v>
      </c>
      <c r="F18" s="11">
        <f>Hotel!F25</f>
        <v>3574</v>
      </c>
      <c r="G18" s="11">
        <f>Hotel!H25</f>
        <v>3377</v>
      </c>
      <c r="H18" s="11">
        <f>Hotel!N25</f>
        <v>161</v>
      </c>
      <c r="I18" s="11">
        <f>Hotel!P25</f>
        <v>1495</v>
      </c>
      <c r="J18" s="11">
        <f>Hotel!U25</f>
        <v>223</v>
      </c>
      <c r="K18" s="11">
        <f>Hotel!Y25</f>
        <v>114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>
      <c r="A19" t="s">
        <v>11</v>
      </c>
      <c r="B19" s="10">
        <f t="shared" si="0"/>
        <v>18</v>
      </c>
      <c r="C19" s="10">
        <v>11</v>
      </c>
      <c r="D19" s="10">
        <v>2022</v>
      </c>
      <c r="E19" s="11">
        <f>Hotel!D26</f>
        <v>3538</v>
      </c>
      <c r="F19" s="11">
        <f>Hotel!F26</f>
        <v>3573</v>
      </c>
      <c r="G19" s="11">
        <f>Hotel!H26</f>
        <v>3382</v>
      </c>
      <c r="H19" s="11">
        <f>Hotel!N26</f>
        <v>159</v>
      </c>
      <c r="I19" s="11">
        <f>Hotel!P26</f>
        <v>1564</v>
      </c>
      <c r="J19" s="11">
        <f>Hotel!U26</f>
        <v>199</v>
      </c>
      <c r="K19" s="11">
        <f>Hotel!Y26</f>
        <v>106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>
      <c r="A20" t="s">
        <v>11</v>
      </c>
      <c r="B20" s="10">
        <f t="shared" si="0"/>
        <v>19</v>
      </c>
      <c r="C20" s="10">
        <v>11</v>
      </c>
      <c r="D20" s="10">
        <v>2022</v>
      </c>
      <c r="E20" s="11">
        <f>Hotel!D27</f>
        <v>3634</v>
      </c>
      <c r="F20" s="11">
        <f>Hotel!F27</f>
        <v>3634</v>
      </c>
      <c r="G20" s="11">
        <f>Hotel!H27</f>
        <v>3422</v>
      </c>
      <c r="H20" s="11">
        <f>Hotel!N27</f>
        <v>157</v>
      </c>
      <c r="I20" s="11">
        <f>Hotel!P27</f>
        <v>1470</v>
      </c>
      <c r="J20" s="11">
        <f>Hotel!U27</f>
        <v>212</v>
      </c>
      <c r="K20" s="11">
        <f>Hotel!Y27</f>
        <v>79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>
      <c r="A21" t="s">
        <v>11</v>
      </c>
      <c r="B21" s="10">
        <f t="shared" si="0"/>
        <v>20</v>
      </c>
      <c r="C21" s="10">
        <v>11</v>
      </c>
      <c r="D21" s="10">
        <v>2022</v>
      </c>
      <c r="E21" s="11">
        <f>Hotel!D28</f>
        <v>3497</v>
      </c>
      <c r="F21" s="11">
        <f>Hotel!F28</f>
        <v>3505</v>
      </c>
      <c r="G21" s="11">
        <f>Hotel!H28</f>
        <v>3284</v>
      </c>
      <c r="H21" s="11">
        <f>Hotel!N28</f>
        <v>147</v>
      </c>
      <c r="I21" s="11">
        <f>Hotel!P28</f>
        <v>1545</v>
      </c>
      <c r="J21" s="11">
        <f>Hotel!U28</f>
        <v>161</v>
      </c>
      <c r="K21" s="11">
        <f>Hotel!Y28</f>
        <v>77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>
      <c r="A22" t="s">
        <v>11</v>
      </c>
      <c r="B22" s="10">
        <f t="shared" si="0"/>
        <v>21</v>
      </c>
      <c r="C22" s="10">
        <v>11</v>
      </c>
      <c r="D22" s="10">
        <v>2022</v>
      </c>
      <c r="E22" s="11">
        <f>Hotel!D29</f>
        <v>3385</v>
      </c>
      <c r="F22" s="11">
        <f>Hotel!F29</f>
        <v>3380</v>
      </c>
      <c r="G22" s="11">
        <f>Hotel!H29</f>
        <v>3182</v>
      </c>
      <c r="H22" s="11">
        <f>Hotel!N29</f>
        <v>105</v>
      </c>
      <c r="I22" s="11">
        <f>Hotel!P29</f>
        <v>1886</v>
      </c>
      <c r="J22" s="11">
        <f>Hotel!U29</f>
        <v>194</v>
      </c>
      <c r="K22" s="11">
        <f>Hotel!Y29</f>
        <v>80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>
      <c r="A23" t="s">
        <v>11</v>
      </c>
      <c r="B23" s="10">
        <f t="shared" si="0"/>
        <v>22</v>
      </c>
      <c r="C23" s="10">
        <v>11</v>
      </c>
      <c r="D23" s="10">
        <v>2022</v>
      </c>
      <c r="E23" s="11">
        <f>Hotel!D30</f>
        <v>3425</v>
      </c>
      <c r="F23" s="11">
        <f>Hotel!F30</f>
        <v>3449</v>
      </c>
      <c r="G23" s="11">
        <f>Hotel!H30</f>
        <v>3226</v>
      </c>
      <c r="H23" s="11">
        <f>Hotel!N30</f>
        <v>150</v>
      </c>
      <c r="I23" s="11">
        <f>Hotel!P30</f>
        <v>2181</v>
      </c>
      <c r="J23" s="11">
        <f>Hotel!U30</f>
        <v>207</v>
      </c>
      <c r="K23" s="11">
        <f>Hotel!Y30</f>
        <v>91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>
      <c r="A24" t="s">
        <v>11</v>
      </c>
      <c r="B24" s="10">
        <f t="shared" si="0"/>
        <v>23</v>
      </c>
      <c r="C24" s="10">
        <v>11</v>
      </c>
      <c r="D24" s="10">
        <v>2022</v>
      </c>
      <c r="E24" s="11">
        <f>Hotel!D31</f>
        <v>3437</v>
      </c>
      <c r="F24" s="11">
        <f>Hotel!F31</f>
        <v>3453</v>
      </c>
      <c r="G24" s="11">
        <f>Hotel!H31</f>
        <v>3227</v>
      </c>
      <c r="H24" s="11">
        <f>Hotel!N31</f>
        <v>157</v>
      </c>
      <c r="I24" s="11">
        <f>Hotel!P31</f>
        <v>1915</v>
      </c>
      <c r="J24" s="11">
        <f>Hotel!U31</f>
        <v>203</v>
      </c>
      <c r="K24" s="11">
        <f>Hotel!Y31</f>
        <v>95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>
      <c r="A25" t="s">
        <v>11</v>
      </c>
      <c r="B25" s="10">
        <f t="shared" si="0"/>
        <v>24</v>
      </c>
      <c r="C25" s="10">
        <v>11</v>
      </c>
      <c r="D25" s="10">
        <v>2022</v>
      </c>
      <c r="E25" s="11">
        <f>Hotel!D32</f>
        <v>3503</v>
      </c>
      <c r="F25" s="11">
        <f>Hotel!F32</f>
        <v>3490</v>
      </c>
      <c r="G25" s="11">
        <f>Hotel!H32</f>
        <v>3271</v>
      </c>
      <c r="H25" s="11">
        <f>Hotel!N32</f>
        <v>144</v>
      </c>
      <c r="I25" s="11">
        <f>Hotel!P32</f>
        <v>1675</v>
      </c>
      <c r="J25" s="11">
        <f>Hotel!U32</f>
        <v>205</v>
      </c>
      <c r="K25" s="11">
        <f>Hotel!Y32</f>
        <v>95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>
      <c r="A26" t="s">
        <v>11</v>
      </c>
      <c r="B26" s="10">
        <f>B25+1</f>
        <v>25</v>
      </c>
      <c r="C26" s="10">
        <v>11</v>
      </c>
      <c r="D26" s="10">
        <v>2022</v>
      </c>
      <c r="E26" s="11">
        <f>Hotel!D33</f>
        <v>3353</v>
      </c>
      <c r="F26" s="11">
        <f>Hotel!F33</f>
        <v>3172</v>
      </c>
      <c r="G26" s="11">
        <f>Hotel!H33</f>
        <v>3413</v>
      </c>
      <c r="H26" s="11">
        <f>Hotel!N33</f>
        <v>151</v>
      </c>
      <c r="I26" s="11">
        <f>Hotel!P33</f>
        <v>1731</v>
      </c>
      <c r="J26" s="11">
        <f>Hotel!U33</f>
        <v>209</v>
      </c>
      <c r="K26" s="11">
        <f>Hotel!Y33</f>
        <v>107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>
      <c r="A27" t="s">
        <v>11</v>
      </c>
      <c r="B27" s="10">
        <f t="shared" si="0"/>
        <v>26</v>
      </c>
      <c r="C27" s="10">
        <v>11</v>
      </c>
      <c r="D27" s="10">
        <v>2022</v>
      </c>
      <c r="E27" s="11">
        <f>Hotel!D34</f>
        <v>3105</v>
      </c>
      <c r="F27" s="11">
        <f>Hotel!F34</f>
        <v>3335</v>
      </c>
      <c r="G27" s="11">
        <f>Hotel!H34</f>
        <v>2640</v>
      </c>
      <c r="H27" s="11">
        <f>Hotel!N34</f>
        <v>150</v>
      </c>
      <c r="I27" s="11">
        <f>Hotel!P34</f>
        <v>1689</v>
      </c>
      <c r="J27" s="11">
        <f>Hotel!U34</f>
        <v>192</v>
      </c>
      <c r="K27" s="11">
        <f>Hotel!Y34</f>
        <v>126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>
      <c r="A28" t="s">
        <v>11</v>
      </c>
      <c r="B28" s="10">
        <f t="shared" si="0"/>
        <v>27</v>
      </c>
      <c r="C28" s="10">
        <v>11</v>
      </c>
      <c r="D28" s="10">
        <v>2022</v>
      </c>
      <c r="E28" s="11">
        <f>Hotel!D35</f>
        <v>3202</v>
      </c>
      <c r="F28" s="11">
        <f>Hotel!F35</f>
        <v>3205</v>
      </c>
      <c r="G28" s="11">
        <f>Hotel!H35</f>
        <v>2981</v>
      </c>
      <c r="H28" s="11">
        <f>Hotel!N35</f>
        <v>156</v>
      </c>
      <c r="I28" s="11">
        <f>Hotel!P35</f>
        <v>1836</v>
      </c>
      <c r="J28" s="11">
        <f>Hotel!U35</f>
        <v>164</v>
      </c>
      <c r="K28" s="11">
        <f>Hotel!Y35</f>
        <v>106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>
      <c r="A29" t="s">
        <v>11</v>
      </c>
      <c r="B29" s="10">
        <f t="shared" si="0"/>
        <v>28</v>
      </c>
      <c r="C29" s="10">
        <v>11</v>
      </c>
      <c r="D29" s="10">
        <v>2022</v>
      </c>
      <c r="E29" s="11">
        <f>Hotel!D36</f>
        <v>3080</v>
      </c>
      <c r="F29" s="11">
        <f>Hotel!F36</f>
        <v>3083</v>
      </c>
      <c r="G29" s="11">
        <f>Hotel!H36</f>
        <v>2881</v>
      </c>
      <c r="H29" s="11">
        <f>Hotel!N36</f>
        <v>110</v>
      </c>
      <c r="I29" s="11">
        <f>Hotel!P36</f>
        <v>1871</v>
      </c>
      <c r="J29" s="11">
        <f>Hotel!U36</f>
        <v>155</v>
      </c>
      <c r="K29" s="11">
        <f>Hotel!Y36</f>
        <v>111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>
      <c r="A30" t="s">
        <v>11</v>
      </c>
      <c r="B30" s="10">
        <f t="shared" si="0"/>
        <v>29</v>
      </c>
      <c r="C30" s="10">
        <v>11</v>
      </c>
      <c r="D30" s="10">
        <v>2022</v>
      </c>
      <c r="E30" s="11" t="str">
        <f>Hotel!D37</f>
        <v>0</v>
      </c>
      <c r="F30" s="11" t="str">
        <f>Hotel!F37</f>
        <v>0</v>
      </c>
      <c r="G30" s="11" t="str">
        <f>Hotel!H37</f>
        <v>0</v>
      </c>
      <c r="H30" s="11" t="str">
        <f>Hotel!N37</f>
        <v>0</v>
      </c>
      <c r="I30" s="11" t="str">
        <f>Hotel!P37</f>
        <v>0</v>
      </c>
      <c r="J30" s="11" t="str">
        <f>Hotel!U37</f>
        <v>0</v>
      </c>
      <c r="K30" s="11">
        <f>Hotel!Y37</f>
        <v>0</v>
      </c>
    </row>
    <row r="31" spans="1:93">
      <c r="A31" t="s">
        <v>11</v>
      </c>
      <c r="B31" s="10">
        <f t="shared" si="0"/>
        <v>30</v>
      </c>
      <c r="C31" s="10">
        <v>11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>
      <c r="A32" t="s">
        <v>11</v>
      </c>
      <c r="B32" s="10">
        <f t="shared" si="0"/>
        <v>31</v>
      </c>
      <c r="C32" s="10">
        <v>11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0"/>
  <sheetViews>
    <sheetView tabSelected="1" zoomScale="91" zoomScaleNormal="91" workbookViewId="0">
      <selection activeCell="AD27" sqref="AD27"/>
    </sheetView>
  </sheetViews>
  <sheetFormatPr defaultRowHeight="1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>
      <c r="A1" s="10"/>
      <c r="B1" s="124"/>
      <c r="C1" s="124"/>
      <c r="D1" s="124"/>
      <c r="E1" s="124"/>
      <c r="F1" s="125" t="s">
        <v>95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5" t="s">
        <v>96</v>
      </c>
      <c r="X1" s="126"/>
      <c r="Y1" s="126"/>
      <c r="Z1" s="127"/>
    </row>
    <row r="2" spans="1:27">
      <c r="A2" s="10"/>
      <c r="B2" s="124"/>
      <c r="C2" s="124"/>
      <c r="D2" s="124"/>
      <c r="E2" s="124"/>
      <c r="F2" s="128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30"/>
      <c r="W2" s="128"/>
      <c r="X2" s="129"/>
      <c r="Y2" s="129"/>
      <c r="Z2" s="130"/>
    </row>
    <row r="3" spans="1:27">
      <c r="A3" s="10"/>
      <c r="B3" s="124"/>
      <c r="C3" s="124"/>
      <c r="D3" s="124"/>
      <c r="E3" s="124"/>
      <c r="F3" s="128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28">
        <v>2022</v>
      </c>
      <c r="X3" s="129"/>
      <c r="Y3" s="129"/>
      <c r="Z3" s="130"/>
    </row>
    <row r="4" spans="1:27">
      <c r="A4" s="10"/>
      <c r="B4" s="124"/>
      <c r="C4" s="124"/>
      <c r="D4" s="124"/>
      <c r="E4" s="124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3"/>
      <c r="W4" s="131"/>
      <c r="X4" s="132"/>
      <c r="Y4" s="132"/>
      <c r="Z4" s="133"/>
    </row>
    <row r="5" spans="1:27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>
      <c r="A6" s="25" t="s">
        <v>97</v>
      </c>
      <c r="B6" s="26">
        <f>B5+1</f>
        <v>1</v>
      </c>
      <c r="C6" s="28">
        <v>7486115</v>
      </c>
      <c r="D6" s="27"/>
      <c r="E6" s="28">
        <v>7419603</v>
      </c>
      <c r="F6" s="29"/>
      <c r="G6" s="111">
        <v>7024215</v>
      </c>
      <c r="H6" s="30">
        <f>G6-G5</f>
        <v>7024215</v>
      </c>
      <c r="I6" s="31"/>
      <c r="J6" s="32">
        <f>D6+F6+H6</f>
        <v>7024215</v>
      </c>
      <c r="K6" s="32" t="e">
        <f>D6*0.152+F6*0.238+H6*0.115+#REF!*0.218</f>
        <v>#REF!</v>
      </c>
      <c r="L6" s="33"/>
      <c r="M6" s="34">
        <v>208707</v>
      </c>
      <c r="N6" s="30" t="e">
        <f>M6-#REF!</f>
        <v>#REF!</v>
      </c>
      <c r="O6" s="35">
        <v>2900322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430555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>
      <c r="A7" s="10"/>
      <c r="B7" s="39"/>
      <c r="C7" s="134" t="s">
        <v>98</v>
      </c>
      <c r="D7" s="135"/>
      <c r="E7" s="135"/>
      <c r="F7" s="135"/>
      <c r="G7" s="135"/>
      <c r="H7" s="135"/>
      <c r="I7" s="135"/>
      <c r="J7" s="135"/>
      <c r="K7" s="136"/>
      <c r="L7" s="40"/>
      <c r="M7" s="134" t="s">
        <v>99</v>
      </c>
      <c r="N7" s="135"/>
      <c r="O7" s="135"/>
      <c r="P7" s="135"/>
      <c r="Q7" s="135"/>
      <c r="R7" s="136"/>
      <c r="S7" s="40"/>
      <c r="T7" s="137" t="s">
        <v>100</v>
      </c>
      <c r="U7" s="137"/>
      <c r="V7" s="138"/>
      <c r="W7" s="40"/>
      <c r="X7" s="41" t="s">
        <v>101</v>
      </c>
      <c r="Y7" s="42" t="s">
        <v>102</v>
      </c>
      <c r="Z7" s="43" t="s">
        <v>101</v>
      </c>
    </row>
    <row r="8" spans="1:27">
      <c r="A8" s="10"/>
      <c r="B8" s="39"/>
      <c r="C8" s="44" t="s">
        <v>103</v>
      </c>
      <c r="D8" s="45" t="s">
        <v>104</v>
      </c>
      <c r="E8" s="44" t="s">
        <v>105</v>
      </c>
      <c r="F8" s="45" t="s">
        <v>104</v>
      </c>
      <c r="G8" s="44" t="s">
        <v>106</v>
      </c>
      <c r="H8" s="45" t="s">
        <v>104</v>
      </c>
      <c r="I8" s="44" t="s">
        <v>107</v>
      </c>
      <c r="J8" s="46" t="s">
        <v>108</v>
      </c>
      <c r="K8" s="47" t="s">
        <v>109</v>
      </c>
      <c r="L8" s="48"/>
      <c r="M8" s="49" t="s">
        <v>110</v>
      </c>
      <c r="N8" s="46" t="s">
        <v>104</v>
      </c>
      <c r="O8" s="50" t="s">
        <v>111</v>
      </c>
      <c r="P8" s="51" t="s">
        <v>104</v>
      </c>
      <c r="Q8" s="52" t="s">
        <v>112</v>
      </c>
      <c r="R8" s="51" t="s">
        <v>109</v>
      </c>
      <c r="S8" s="48"/>
      <c r="T8" s="44" t="s">
        <v>113</v>
      </c>
      <c r="U8" s="46" t="s">
        <v>104</v>
      </c>
      <c r="V8" s="53" t="s">
        <v>109</v>
      </c>
      <c r="W8" s="54"/>
      <c r="X8" s="55" t="s">
        <v>114</v>
      </c>
      <c r="Y8" s="56" t="s">
        <v>115</v>
      </c>
      <c r="Z8" s="57" t="s">
        <v>116</v>
      </c>
    </row>
    <row r="9" spans="1:27">
      <c r="A9" s="10" t="s">
        <v>117</v>
      </c>
      <c r="B9" s="58">
        <v>1</v>
      </c>
      <c r="C9" s="117">
        <v>7489790</v>
      </c>
      <c r="D9" s="60">
        <f>IF((C9-C6&lt;0), "0",C9-C6)</f>
        <v>3675</v>
      </c>
      <c r="E9" s="117">
        <v>7423285</v>
      </c>
      <c r="F9" s="60">
        <f>IF((E9-E6&lt;0), "0",E9-E6)</f>
        <v>3682</v>
      </c>
      <c r="G9" s="59">
        <v>7027721</v>
      </c>
      <c r="H9" s="60">
        <f>IF((G9-G6&lt;0), "0",G9-G6)</f>
        <v>3506</v>
      </c>
      <c r="I9" s="59">
        <f>H9+F9+D9</f>
        <v>10863</v>
      </c>
      <c r="J9" s="61">
        <v>0.99</v>
      </c>
      <c r="K9" s="62">
        <f>I9*0.291</f>
        <v>3161.1329999999998</v>
      </c>
      <c r="L9" s="63"/>
      <c r="M9" s="59">
        <v>208856</v>
      </c>
      <c r="N9" s="60">
        <f>IF((M9-M6&lt;0), "0",M9-M6)</f>
        <v>149</v>
      </c>
      <c r="O9" s="59">
        <v>2901645</v>
      </c>
      <c r="P9" s="60">
        <f>IF((O9-O6&lt;0), "0",O9-O6)</f>
        <v>1323</v>
      </c>
      <c r="Q9" s="64">
        <f t="shared" ref="Q9:Q39" si="0">N9+P9</f>
        <v>1472</v>
      </c>
      <c r="R9" s="65">
        <f>(P9+N9*1.2285)*0.056*10.127</f>
        <v>854.09704270800012</v>
      </c>
      <c r="S9" s="66"/>
      <c r="T9" s="118">
        <v>430783</v>
      </c>
      <c r="U9" s="60">
        <f>IF((T9-T6&lt;0), "0",T9-T6)</f>
        <v>228</v>
      </c>
      <c r="V9" s="67">
        <f>U9*(1.315+1.54)</f>
        <v>650.93999999999994</v>
      </c>
      <c r="W9" s="68"/>
      <c r="X9" s="69">
        <f t="shared" ref="X9:X39" si="1">K9+R9+V9</f>
        <v>4666.1700427079995</v>
      </c>
      <c r="Y9" s="70">
        <v>110</v>
      </c>
      <c r="Z9" s="71">
        <f>X9/Y9</f>
        <v>42.419727660981813</v>
      </c>
    </row>
    <row r="10" spans="1:27">
      <c r="A10" s="10" t="s">
        <v>118</v>
      </c>
      <c r="B10" s="58">
        <f>B9+1</f>
        <v>2</v>
      </c>
      <c r="C10" s="117">
        <v>7493575</v>
      </c>
      <c r="D10" s="60">
        <f t="shared" ref="D10:D39" si="2">IF((C10-C9&lt;0), "0",C10-C9)</f>
        <v>3785</v>
      </c>
      <c r="E10" s="117">
        <v>7427088</v>
      </c>
      <c r="F10" s="60">
        <f>IF((E10-E9&lt;0), "0",E10-E9)</f>
        <v>3803</v>
      </c>
      <c r="G10" s="59">
        <v>7031299</v>
      </c>
      <c r="H10" s="60">
        <f t="shared" ref="H10:H39" si="3">IF((G10-G9&lt;0), "0",G10-G9)</f>
        <v>3578</v>
      </c>
      <c r="I10" s="59">
        <f t="shared" ref="I10:I39" si="4">H10+F10+D10</f>
        <v>11166</v>
      </c>
      <c r="J10" s="61">
        <v>0.99</v>
      </c>
      <c r="K10" s="62">
        <f t="shared" ref="K10:K39" si="5">I10*0.291</f>
        <v>3249.3059999999996</v>
      </c>
      <c r="L10" s="63"/>
      <c r="M10" s="59">
        <v>209004</v>
      </c>
      <c r="N10" s="60">
        <f>IF((M10-M9&lt;0), "0",M10-M9)</f>
        <v>148</v>
      </c>
      <c r="O10" s="59">
        <v>2902922</v>
      </c>
      <c r="P10" s="60">
        <f>IF((O10-O9&lt;0), "0",O10-O9)</f>
        <v>1277</v>
      </c>
      <c r="Q10" s="64">
        <f t="shared" si="0"/>
        <v>1425</v>
      </c>
      <c r="R10" s="65">
        <f t="shared" ref="R10:R39" si="6">(P10+N10*1.2285)*0.056*10.127</f>
        <v>827.31319361600015</v>
      </c>
      <c r="S10" s="66"/>
      <c r="T10" s="118">
        <v>431088</v>
      </c>
      <c r="U10" s="60">
        <f>IF((T10-T9&lt;0), "0",T10-T9)</f>
        <v>305</v>
      </c>
      <c r="V10" s="67">
        <f t="shared" ref="V10:V39" si="7">U10*(1.315+1.54)</f>
        <v>870.77499999999998</v>
      </c>
      <c r="W10" s="68"/>
      <c r="X10" s="73">
        <f t="shared" si="1"/>
        <v>4947.3941936159999</v>
      </c>
      <c r="Y10" s="74">
        <v>125</v>
      </c>
      <c r="Z10" s="75">
        <f t="shared" ref="Z10:Z39" si="8">X10/Y10</f>
        <v>39.579153548927998</v>
      </c>
    </row>
    <row r="11" spans="1:27">
      <c r="A11" s="10" t="s">
        <v>119</v>
      </c>
      <c r="B11" s="58">
        <f t="shared" ref="B11:B39" si="9">B10+1</f>
        <v>3</v>
      </c>
      <c r="C11" s="117">
        <v>7497291</v>
      </c>
      <c r="D11" s="60">
        <f t="shared" si="2"/>
        <v>3716</v>
      </c>
      <c r="E11" s="117">
        <v>7430799</v>
      </c>
      <c r="F11" s="60">
        <f t="shared" ref="F11:F39" si="10">IF((E11-E10&lt;0), "0",E11-E10)</f>
        <v>3711</v>
      </c>
      <c r="G11" s="59">
        <v>7034814</v>
      </c>
      <c r="H11" s="60">
        <f t="shared" si="3"/>
        <v>3515</v>
      </c>
      <c r="I11" s="59">
        <f t="shared" si="4"/>
        <v>10942</v>
      </c>
      <c r="J11" s="61">
        <v>0.99</v>
      </c>
      <c r="K11" s="62">
        <f t="shared" si="5"/>
        <v>3184.1219999999998</v>
      </c>
      <c r="L11" s="63"/>
      <c r="M11" s="59">
        <v>209156</v>
      </c>
      <c r="N11" s="60">
        <f t="shared" ref="N11:N39" si="11">IF((M11-M10&lt;0), "0",M11-M10)</f>
        <v>152</v>
      </c>
      <c r="O11" s="59">
        <v>2904349</v>
      </c>
      <c r="P11" s="60">
        <f t="shared" ref="P11:P39" si="12">IF((O11-O10&lt;0), "0",O11-O10)</f>
        <v>1427</v>
      </c>
      <c r="Q11" s="64">
        <f t="shared" si="0"/>
        <v>1579</v>
      </c>
      <c r="R11" s="65">
        <f t="shared" si="6"/>
        <v>915.16678198400007</v>
      </c>
      <c r="S11" s="66"/>
      <c r="T11" s="118">
        <v>431314</v>
      </c>
      <c r="U11" s="60">
        <f t="shared" ref="U11:U39" si="13">IF((T11-T10&lt;0), "0",T11-T10)</f>
        <v>226</v>
      </c>
      <c r="V11" s="67">
        <f t="shared" si="7"/>
        <v>645.23</v>
      </c>
      <c r="W11" s="68"/>
      <c r="X11" s="73">
        <f t="shared" si="1"/>
        <v>4744.5187819839994</v>
      </c>
      <c r="Y11" s="74">
        <v>141</v>
      </c>
      <c r="Z11" s="75">
        <f t="shared" si="8"/>
        <v>33.649069375773045</v>
      </c>
    </row>
    <row r="12" spans="1:27">
      <c r="A12" s="10" t="s">
        <v>97</v>
      </c>
      <c r="B12" s="58">
        <f t="shared" si="9"/>
        <v>4</v>
      </c>
      <c r="C12" s="117">
        <v>7500949</v>
      </c>
      <c r="D12" s="60">
        <f t="shared" si="2"/>
        <v>3658</v>
      </c>
      <c r="E12" s="117">
        <v>7434456</v>
      </c>
      <c r="F12" s="60">
        <f t="shared" si="10"/>
        <v>3657</v>
      </c>
      <c r="G12" s="59">
        <v>7038291</v>
      </c>
      <c r="H12" s="60">
        <f t="shared" si="3"/>
        <v>3477</v>
      </c>
      <c r="I12" s="59">
        <f t="shared" si="4"/>
        <v>10792</v>
      </c>
      <c r="J12" s="61">
        <v>0.99</v>
      </c>
      <c r="K12" s="62">
        <f t="shared" si="5"/>
        <v>3140.4719999999998</v>
      </c>
      <c r="L12" s="63"/>
      <c r="M12" s="59">
        <v>209327</v>
      </c>
      <c r="N12" s="60">
        <f t="shared" si="11"/>
        <v>171</v>
      </c>
      <c r="O12" s="59">
        <v>2905550</v>
      </c>
      <c r="P12" s="60">
        <f t="shared" si="12"/>
        <v>1201</v>
      </c>
      <c r="Q12" s="64">
        <f t="shared" si="0"/>
        <v>1372</v>
      </c>
      <c r="R12" s="65">
        <f t="shared" si="6"/>
        <v>800.23671473200011</v>
      </c>
      <c r="S12" s="66"/>
      <c r="T12" s="118">
        <v>431614</v>
      </c>
      <c r="U12" s="60">
        <f t="shared" si="13"/>
        <v>300</v>
      </c>
      <c r="V12" s="67">
        <f t="shared" si="7"/>
        <v>856.5</v>
      </c>
      <c r="W12" s="68"/>
      <c r="X12" s="73">
        <f t="shared" si="1"/>
        <v>4797.2087147319999</v>
      </c>
      <c r="Y12" s="74">
        <v>153</v>
      </c>
      <c r="Z12" s="75">
        <f t="shared" si="8"/>
        <v>31.35430532504575</v>
      </c>
    </row>
    <row r="13" spans="1:27">
      <c r="A13" s="10" t="s">
        <v>120</v>
      </c>
      <c r="B13" s="58">
        <f t="shared" si="9"/>
        <v>5</v>
      </c>
      <c r="C13" s="117">
        <v>7504667</v>
      </c>
      <c r="D13" s="60">
        <f t="shared" si="2"/>
        <v>3718</v>
      </c>
      <c r="E13" s="117">
        <v>7438180</v>
      </c>
      <c r="F13" s="60">
        <f t="shared" si="10"/>
        <v>3724</v>
      </c>
      <c r="G13" s="59">
        <v>7041817</v>
      </c>
      <c r="H13" s="60">
        <f t="shared" si="3"/>
        <v>3526</v>
      </c>
      <c r="I13" s="59">
        <f t="shared" si="4"/>
        <v>10968</v>
      </c>
      <c r="J13" s="61">
        <v>0.99</v>
      </c>
      <c r="K13" s="62">
        <f t="shared" si="5"/>
        <v>3191.6879999999996</v>
      </c>
      <c r="L13" s="63"/>
      <c r="M13" s="59">
        <v>209491</v>
      </c>
      <c r="N13" s="60">
        <f t="shared" si="11"/>
        <v>164</v>
      </c>
      <c r="O13" s="59">
        <v>2906605</v>
      </c>
      <c r="P13" s="60">
        <f t="shared" si="12"/>
        <v>1055</v>
      </c>
      <c r="Q13" s="64">
        <f t="shared" si="0"/>
        <v>1219</v>
      </c>
      <c r="R13" s="65">
        <f t="shared" si="6"/>
        <v>712.56148308800005</v>
      </c>
      <c r="S13" s="66"/>
      <c r="T13" s="118">
        <v>431814</v>
      </c>
      <c r="U13" s="60">
        <f t="shared" si="13"/>
        <v>200</v>
      </c>
      <c r="V13" s="67">
        <f t="shared" si="7"/>
        <v>571</v>
      </c>
      <c r="W13" s="68"/>
      <c r="X13" s="73">
        <f t="shared" si="1"/>
        <v>4475.2494830879996</v>
      </c>
      <c r="Y13" s="74">
        <v>151</v>
      </c>
      <c r="Z13" s="75">
        <f t="shared" si="8"/>
        <v>29.637413795284765</v>
      </c>
    </row>
    <row r="14" spans="1:27">
      <c r="A14" s="10" t="s">
        <v>121</v>
      </c>
      <c r="B14" s="58">
        <f t="shared" si="9"/>
        <v>6</v>
      </c>
      <c r="C14" s="117">
        <v>7508209</v>
      </c>
      <c r="D14" s="60">
        <f t="shared" si="2"/>
        <v>3542</v>
      </c>
      <c r="E14" s="117">
        <v>7441714</v>
      </c>
      <c r="F14" s="60">
        <f t="shared" si="10"/>
        <v>3534</v>
      </c>
      <c r="G14" s="59">
        <v>7045159</v>
      </c>
      <c r="H14" s="60">
        <f t="shared" si="3"/>
        <v>3342</v>
      </c>
      <c r="I14" s="59">
        <f t="shared" si="4"/>
        <v>10418</v>
      </c>
      <c r="J14" s="61">
        <v>0.99</v>
      </c>
      <c r="K14" s="62">
        <f t="shared" si="5"/>
        <v>3031.6379999999999</v>
      </c>
      <c r="L14" s="63"/>
      <c r="M14" s="59">
        <v>209649</v>
      </c>
      <c r="N14" s="60">
        <f t="shared" si="11"/>
        <v>158</v>
      </c>
      <c r="O14" s="59">
        <v>2908045</v>
      </c>
      <c r="P14" s="60">
        <f t="shared" si="12"/>
        <v>1440</v>
      </c>
      <c r="Q14" s="64">
        <f t="shared" si="0"/>
        <v>1598</v>
      </c>
      <c r="R14" s="65">
        <f t="shared" si="6"/>
        <v>926.71942053600014</v>
      </c>
      <c r="S14" s="66"/>
      <c r="T14" s="118">
        <v>432016</v>
      </c>
      <c r="U14" s="60">
        <f t="shared" si="13"/>
        <v>202</v>
      </c>
      <c r="V14" s="67">
        <f t="shared" si="7"/>
        <v>576.71</v>
      </c>
      <c r="W14" s="68"/>
      <c r="X14" s="73">
        <f t="shared" si="1"/>
        <v>4535.0674205360001</v>
      </c>
      <c r="Y14" s="74">
        <v>85</v>
      </c>
      <c r="Z14" s="75">
        <f t="shared" si="8"/>
        <v>53.353734359247063</v>
      </c>
    </row>
    <row r="15" spans="1:27">
      <c r="A15" s="10" t="s">
        <v>122</v>
      </c>
      <c r="B15" s="58">
        <f t="shared" si="9"/>
        <v>7</v>
      </c>
      <c r="C15" s="117">
        <v>7511571</v>
      </c>
      <c r="D15" s="60">
        <f t="shared" si="2"/>
        <v>3362</v>
      </c>
      <c r="E15" s="117">
        <v>7445072</v>
      </c>
      <c r="F15" s="60">
        <f t="shared" si="10"/>
        <v>3358</v>
      </c>
      <c r="G15" s="59">
        <v>7048335</v>
      </c>
      <c r="H15" s="60">
        <f t="shared" si="3"/>
        <v>3176</v>
      </c>
      <c r="I15" s="59">
        <f t="shared" si="4"/>
        <v>9896</v>
      </c>
      <c r="J15" s="61">
        <v>0.99</v>
      </c>
      <c r="K15" s="62">
        <f t="shared" si="5"/>
        <v>2879.7359999999999</v>
      </c>
      <c r="L15" s="63"/>
      <c r="M15" s="59">
        <v>209767</v>
      </c>
      <c r="N15" s="60">
        <f t="shared" si="11"/>
        <v>118</v>
      </c>
      <c r="O15" s="59">
        <v>2909679</v>
      </c>
      <c r="P15" s="60">
        <f t="shared" si="12"/>
        <v>1634</v>
      </c>
      <c r="Q15" s="64">
        <f t="shared" si="0"/>
        <v>1752</v>
      </c>
      <c r="R15" s="65">
        <f t="shared" si="6"/>
        <v>1008.871264856</v>
      </c>
      <c r="S15" s="66"/>
      <c r="T15" s="118">
        <v>432175</v>
      </c>
      <c r="U15" s="60">
        <f t="shared" si="13"/>
        <v>159</v>
      </c>
      <c r="V15" s="67">
        <f t="shared" si="7"/>
        <v>453.94499999999999</v>
      </c>
      <c r="W15" s="68"/>
      <c r="X15" s="73">
        <f t="shared" si="1"/>
        <v>4342.552264856</v>
      </c>
      <c r="Y15" s="74">
        <v>81</v>
      </c>
      <c r="Z15" s="75">
        <f t="shared" si="8"/>
        <v>53.611756356246914</v>
      </c>
    </row>
    <row r="16" spans="1:27">
      <c r="A16" s="10" t="s">
        <v>117</v>
      </c>
      <c r="B16" s="58">
        <f t="shared" si="9"/>
        <v>8</v>
      </c>
      <c r="C16" s="117">
        <v>7514837</v>
      </c>
      <c r="D16" s="60">
        <f t="shared" si="2"/>
        <v>3266</v>
      </c>
      <c r="E16" s="117">
        <v>7448339</v>
      </c>
      <c r="F16" s="60">
        <f t="shared" si="10"/>
        <v>3267</v>
      </c>
      <c r="G16" s="59">
        <v>7051463</v>
      </c>
      <c r="H16" s="60">
        <f t="shared" si="3"/>
        <v>3128</v>
      </c>
      <c r="I16" s="59">
        <f t="shared" si="4"/>
        <v>9661</v>
      </c>
      <c r="J16" s="61">
        <v>0.99</v>
      </c>
      <c r="K16" s="62">
        <f t="shared" si="5"/>
        <v>2811.3509999999997</v>
      </c>
      <c r="L16" s="63"/>
      <c r="M16" s="59">
        <v>209923</v>
      </c>
      <c r="N16" s="60">
        <f t="shared" si="11"/>
        <v>156</v>
      </c>
      <c r="O16" s="59">
        <v>2911000</v>
      </c>
      <c r="P16" s="60">
        <f t="shared" si="12"/>
        <v>1321</v>
      </c>
      <c r="Q16" s="64">
        <f t="shared" si="0"/>
        <v>1477</v>
      </c>
      <c r="R16" s="65">
        <f t="shared" si="6"/>
        <v>857.83969835200003</v>
      </c>
      <c r="S16" s="66"/>
      <c r="T16" s="118">
        <v>432336</v>
      </c>
      <c r="U16" s="60">
        <f t="shared" si="13"/>
        <v>161</v>
      </c>
      <c r="V16" s="67">
        <f t="shared" si="7"/>
        <v>459.65499999999997</v>
      </c>
      <c r="W16" s="68"/>
      <c r="X16" s="73">
        <f t="shared" si="1"/>
        <v>4128.845698352</v>
      </c>
      <c r="Y16" s="74">
        <v>108</v>
      </c>
      <c r="Z16" s="75">
        <f t="shared" si="8"/>
        <v>38.230052762518518</v>
      </c>
    </row>
    <row r="17" spans="1:26">
      <c r="A17" s="10" t="s">
        <v>118</v>
      </c>
      <c r="B17" s="58">
        <v>9</v>
      </c>
      <c r="C17" s="117">
        <v>7518247</v>
      </c>
      <c r="D17" s="60">
        <f t="shared" si="2"/>
        <v>3410</v>
      </c>
      <c r="E17" s="117">
        <v>7451749</v>
      </c>
      <c r="F17" s="60">
        <f t="shared" si="10"/>
        <v>3410</v>
      </c>
      <c r="G17" s="59">
        <v>7054677</v>
      </c>
      <c r="H17" s="60">
        <f t="shared" si="3"/>
        <v>3214</v>
      </c>
      <c r="I17" s="59">
        <f t="shared" si="4"/>
        <v>10034</v>
      </c>
      <c r="J17" s="61">
        <v>0.99</v>
      </c>
      <c r="K17" s="62">
        <f t="shared" si="5"/>
        <v>2919.8939999999998</v>
      </c>
      <c r="L17" s="63"/>
      <c r="M17" s="59">
        <v>210082</v>
      </c>
      <c r="N17" s="60">
        <f t="shared" si="11"/>
        <v>159</v>
      </c>
      <c r="O17" s="59">
        <v>2912740</v>
      </c>
      <c r="P17" s="60">
        <f t="shared" si="12"/>
        <v>1740</v>
      </c>
      <c r="Q17" s="64">
        <f t="shared" si="0"/>
        <v>1899</v>
      </c>
      <c r="R17" s="65">
        <f t="shared" si="6"/>
        <v>1097.5497176280001</v>
      </c>
      <c r="S17" s="66"/>
      <c r="T17" s="118">
        <v>432530</v>
      </c>
      <c r="U17" s="60">
        <f t="shared" si="13"/>
        <v>194</v>
      </c>
      <c r="V17" s="67">
        <f t="shared" si="7"/>
        <v>553.87</v>
      </c>
      <c r="W17" s="68"/>
      <c r="X17" s="73">
        <f t="shared" si="1"/>
        <v>4571.3137176279997</v>
      </c>
      <c r="Y17" s="74">
        <v>115</v>
      </c>
      <c r="Z17" s="75">
        <f t="shared" si="8"/>
        <v>39.75055406633043</v>
      </c>
    </row>
    <row r="18" spans="1:26">
      <c r="A18" s="10" t="s">
        <v>119</v>
      </c>
      <c r="B18" s="76">
        <f t="shared" si="9"/>
        <v>10</v>
      </c>
      <c r="C18" s="117">
        <v>7521734</v>
      </c>
      <c r="D18" s="60">
        <f t="shared" si="2"/>
        <v>3487</v>
      </c>
      <c r="E18" s="117">
        <v>7455248</v>
      </c>
      <c r="F18" s="60">
        <f t="shared" si="10"/>
        <v>3499</v>
      </c>
      <c r="G18" s="59">
        <v>7058008</v>
      </c>
      <c r="H18" s="60">
        <f t="shared" si="3"/>
        <v>3331</v>
      </c>
      <c r="I18" s="59">
        <f t="shared" si="4"/>
        <v>10317</v>
      </c>
      <c r="J18" s="61">
        <v>0.99</v>
      </c>
      <c r="K18" s="62">
        <f t="shared" si="5"/>
        <v>3002.2469999999998</v>
      </c>
      <c r="L18" s="77"/>
      <c r="M18" s="59">
        <v>210237</v>
      </c>
      <c r="N18" s="60">
        <f t="shared" si="11"/>
        <v>155</v>
      </c>
      <c r="O18" s="59">
        <v>2914321</v>
      </c>
      <c r="P18" s="60">
        <f t="shared" si="12"/>
        <v>1581</v>
      </c>
      <c r="Q18" s="64">
        <f t="shared" si="0"/>
        <v>1736</v>
      </c>
      <c r="R18" s="65">
        <f t="shared" si="6"/>
        <v>1004.5921212600001</v>
      </c>
      <c r="S18" s="78"/>
      <c r="T18" s="118">
        <v>432741</v>
      </c>
      <c r="U18" s="60">
        <f t="shared" si="13"/>
        <v>211</v>
      </c>
      <c r="V18" s="67">
        <f t="shared" si="7"/>
        <v>602.40499999999997</v>
      </c>
      <c r="W18" s="68"/>
      <c r="X18" s="73">
        <f t="shared" si="1"/>
        <v>4609.2441212599997</v>
      </c>
      <c r="Y18" s="74">
        <v>121</v>
      </c>
      <c r="Z18" s="79">
        <f t="shared" si="8"/>
        <v>38.092926621983466</v>
      </c>
    </row>
    <row r="19" spans="1:26">
      <c r="A19" s="10" t="s">
        <v>97</v>
      </c>
      <c r="B19" s="80">
        <f t="shared" si="9"/>
        <v>11</v>
      </c>
      <c r="C19" s="117">
        <v>7525309</v>
      </c>
      <c r="D19" s="60">
        <f t="shared" si="2"/>
        <v>3575</v>
      </c>
      <c r="E19" s="117">
        <v>7458843</v>
      </c>
      <c r="F19" s="60">
        <f t="shared" si="10"/>
        <v>3595</v>
      </c>
      <c r="G19" s="59">
        <v>7061418</v>
      </c>
      <c r="H19" s="60">
        <f t="shared" si="3"/>
        <v>3410</v>
      </c>
      <c r="I19" s="59">
        <f t="shared" si="4"/>
        <v>10580</v>
      </c>
      <c r="J19" s="61">
        <v>0.99</v>
      </c>
      <c r="K19" s="62">
        <f t="shared" si="5"/>
        <v>3078.7799999999997</v>
      </c>
      <c r="L19" s="63"/>
      <c r="M19" s="59">
        <v>210393</v>
      </c>
      <c r="N19" s="60">
        <f t="shared" si="11"/>
        <v>156</v>
      </c>
      <c r="O19" s="59">
        <v>2915778</v>
      </c>
      <c r="P19" s="60">
        <f t="shared" si="12"/>
        <v>1457</v>
      </c>
      <c r="Q19" s="64">
        <f t="shared" si="0"/>
        <v>1613</v>
      </c>
      <c r="R19" s="65">
        <f t="shared" si="6"/>
        <v>934.96693035199996</v>
      </c>
      <c r="S19" s="66"/>
      <c r="T19" s="118">
        <v>433011</v>
      </c>
      <c r="U19" s="60">
        <f t="shared" si="13"/>
        <v>270</v>
      </c>
      <c r="V19" s="67">
        <f t="shared" si="7"/>
        <v>770.85</v>
      </c>
      <c r="W19" s="68"/>
      <c r="X19" s="73">
        <f t="shared" si="1"/>
        <v>4784.5969303519996</v>
      </c>
      <c r="Y19" s="74">
        <v>73</v>
      </c>
      <c r="Z19" s="71">
        <f t="shared" si="8"/>
        <v>65.542423703452044</v>
      </c>
    </row>
    <row r="20" spans="1:26">
      <c r="A20" s="10" t="s">
        <v>120</v>
      </c>
      <c r="B20" s="58">
        <f t="shared" si="9"/>
        <v>12</v>
      </c>
      <c r="C20" s="117">
        <v>7528908</v>
      </c>
      <c r="D20" s="60">
        <f t="shared" si="2"/>
        <v>3599</v>
      </c>
      <c r="E20" s="117">
        <v>7462458</v>
      </c>
      <c r="F20" s="60">
        <f t="shared" si="10"/>
        <v>3615</v>
      </c>
      <c r="G20" s="59">
        <v>7064840</v>
      </c>
      <c r="H20" s="60">
        <f t="shared" si="3"/>
        <v>3422</v>
      </c>
      <c r="I20" s="59">
        <f t="shared" si="4"/>
        <v>10636</v>
      </c>
      <c r="J20" s="61">
        <v>0.99</v>
      </c>
      <c r="K20" s="62">
        <f t="shared" si="5"/>
        <v>3095.076</v>
      </c>
      <c r="L20" s="63"/>
      <c r="M20" s="59">
        <v>210543</v>
      </c>
      <c r="N20" s="60">
        <f t="shared" si="11"/>
        <v>150</v>
      </c>
      <c r="O20" s="59">
        <v>2917200</v>
      </c>
      <c r="P20" s="60">
        <f t="shared" si="12"/>
        <v>1422</v>
      </c>
      <c r="Q20" s="64">
        <f t="shared" si="0"/>
        <v>1572</v>
      </c>
      <c r="R20" s="65">
        <f t="shared" si="6"/>
        <v>910.93782780000015</v>
      </c>
      <c r="S20" s="66"/>
      <c r="T20" s="118">
        <v>433254</v>
      </c>
      <c r="U20" s="60">
        <f t="shared" si="13"/>
        <v>243</v>
      </c>
      <c r="V20" s="67">
        <f t="shared" si="7"/>
        <v>693.76499999999999</v>
      </c>
      <c r="W20" s="68"/>
      <c r="X20" s="73">
        <f t="shared" si="1"/>
        <v>4699.7788278000007</v>
      </c>
      <c r="Y20" s="74">
        <v>88</v>
      </c>
      <c r="Z20" s="75">
        <f t="shared" si="8"/>
        <v>53.406577588636374</v>
      </c>
    </row>
    <row r="21" spans="1:26">
      <c r="A21" s="10" t="s">
        <v>121</v>
      </c>
      <c r="B21" s="58">
        <f t="shared" si="9"/>
        <v>13</v>
      </c>
      <c r="C21" s="117">
        <v>7532345</v>
      </c>
      <c r="D21" s="60">
        <f t="shared" si="2"/>
        <v>3437</v>
      </c>
      <c r="E21" s="117">
        <v>7465911</v>
      </c>
      <c r="F21" s="60">
        <f t="shared" si="10"/>
        <v>3453</v>
      </c>
      <c r="G21" s="59">
        <v>7068086</v>
      </c>
      <c r="H21" s="60">
        <f t="shared" si="3"/>
        <v>3246</v>
      </c>
      <c r="I21" s="59">
        <f t="shared" si="4"/>
        <v>10136</v>
      </c>
      <c r="J21" s="61">
        <v>0.99</v>
      </c>
      <c r="K21" s="62">
        <f t="shared" si="5"/>
        <v>2949.576</v>
      </c>
      <c r="L21" s="63"/>
      <c r="M21" s="59">
        <v>210700</v>
      </c>
      <c r="N21" s="60">
        <f t="shared" si="11"/>
        <v>157</v>
      </c>
      <c r="O21" s="59">
        <v>2918821</v>
      </c>
      <c r="P21" s="60">
        <f t="shared" si="12"/>
        <v>1621</v>
      </c>
      <c r="Q21" s="64">
        <f t="shared" si="0"/>
        <v>1778</v>
      </c>
      <c r="R21" s="65">
        <f t="shared" si="6"/>
        <v>1028.6699954440001</v>
      </c>
      <c r="S21" s="66"/>
      <c r="T21" s="118">
        <v>433531</v>
      </c>
      <c r="U21" s="60">
        <f t="shared" si="13"/>
        <v>277</v>
      </c>
      <c r="V21" s="67">
        <f t="shared" si="7"/>
        <v>790.83500000000004</v>
      </c>
      <c r="W21" s="68"/>
      <c r="X21" s="73">
        <f t="shared" si="1"/>
        <v>4769.0809954440001</v>
      </c>
      <c r="Y21" s="74">
        <v>117</v>
      </c>
      <c r="Z21" s="75">
        <f t="shared" si="8"/>
        <v>40.761376029435901</v>
      </c>
    </row>
    <row r="22" spans="1:26">
      <c r="A22" s="10" t="s">
        <v>122</v>
      </c>
      <c r="B22" s="58">
        <f t="shared" si="9"/>
        <v>14</v>
      </c>
      <c r="C22" s="117">
        <v>7535731</v>
      </c>
      <c r="D22" s="60">
        <f t="shared" si="2"/>
        <v>3386</v>
      </c>
      <c r="E22" s="117">
        <v>7469293</v>
      </c>
      <c r="F22" s="60">
        <f t="shared" si="10"/>
        <v>3382</v>
      </c>
      <c r="G22" s="59">
        <v>7071271</v>
      </c>
      <c r="H22" s="60">
        <f t="shared" si="3"/>
        <v>3185</v>
      </c>
      <c r="I22" s="59">
        <f t="shared" si="4"/>
        <v>9953</v>
      </c>
      <c r="J22" s="61">
        <v>0.99</v>
      </c>
      <c r="K22" s="62">
        <f t="shared" si="5"/>
        <v>2896.3229999999999</v>
      </c>
      <c r="L22" s="63"/>
      <c r="M22" s="59">
        <v>210822</v>
      </c>
      <c r="N22" s="60">
        <f t="shared" si="11"/>
        <v>122</v>
      </c>
      <c r="O22" s="59">
        <v>2920569</v>
      </c>
      <c r="P22" s="60">
        <f t="shared" si="12"/>
        <v>1748</v>
      </c>
      <c r="Q22" s="64">
        <f t="shared" si="0"/>
        <v>1870</v>
      </c>
      <c r="R22" s="65">
        <f t="shared" si="6"/>
        <v>1076.308821224</v>
      </c>
      <c r="S22" s="66"/>
      <c r="T22" s="118">
        <v>433707</v>
      </c>
      <c r="U22" s="60">
        <f t="shared" si="13"/>
        <v>176</v>
      </c>
      <c r="V22" s="67">
        <f t="shared" si="7"/>
        <v>502.48</v>
      </c>
      <c r="W22" s="68"/>
      <c r="X22" s="73">
        <f t="shared" si="1"/>
        <v>4475.1118212239999</v>
      </c>
      <c r="Y22" s="74">
        <v>132</v>
      </c>
      <c r="Z22" s="75">
        <f t="shared" si="8"/>
        <v>33.902362281999999</v>
      </c>
    </row>
    <row r="23" spans="1:26">
      <c r="A23" s="10" t="s">
        <v>117</v>
      </c>
      <c r="B23" s="58">
        <f t="shared" si="9"/>
        <v>15</v>
      </c>
      <c r="C23" s="117">
        <v>7539236</v>
      </c>
      <c r="D23" s="60">
        <f t="shared" si="2"/>
        <v>3505</v>
      </c>
      <c r="E23" s="117">
        <v>7472821</v>
      </c>
      <c r="F23" s="60">
        <f t="shared" si="10"/>
        <v>3528</v>
      </c>
      <c r="G23" s="59">
        <v>7074613</v>
      </c>
      <c r="H23" s="60">
        <f t="shared" si="3"/>
        <v>3342</v>
      </c>
      <c r="I23" s="59">
        <f t="shared" si="4"/>
        <v>10375</v>
      </c>
      <c r="J23" s="61">
        <v>0.99</v>
      </c>
      <c r="K23" s="62">
        <f t="shared" si="5"/>
        <v>3019.125</v>
      </c>
      <c r="L23" s="63"/>
      <c r="M23" s="59">
        <v>210961</v>
      </c>
      <c r="N23" s="60">
        <f t="shared" si="11"/>
        <v>139</v>
      </c>
      <c r="O23" s="59">
        <v>2922412</v>
      </c>
      <c r="P23" s="60">
        <f t="shared" si="12"/>
        <v>1843</v>
      </c>
      <c r="Q23" s="64">
        <f t="shared" si="0"/>
        <v>1982</v>
      </c>
      <c r="R23" s="65">
        <f t="shared" si="6"/>
        <v>1142.0283117880001</v>
      </c>
      <c r="S23" s="66"/>
      <c r="T23" s="118">
        <v>433893</v>
      </c>
      <c r="U23" s="60">
        <f t="shared" si="13"/>
        <v>186</v>
      </c>
      <c r="V23" s="67">
        <f t="shared" si="7"/>
        <v>531.03</v>
      </c>
      <c r="W23" s="68"/>
      <c r="X23" s="73">
        <f t="shared" si="1"/>
        <v>4692.1833117879996</v>
      </c>
      <c r="Y23" s="74">
        <v>143</v>
      </c>
      <c r="Z23" s="75">
        <f t="shared" si="8"/>
        <v>32.812470711804195</v>
      </c>
    </row>
    <row r="24" spans="1:26">
      <c r="A24" s="10" t="s">
        <v>118</v>
      </c>
      <c r="B24" s="58">
        <f t="shared" si="9"/>
        <v>16</v>
      </c>
      <c r="C24" s="117">
        <v>7542699</v>
      </c>
      <c r="D24" s="60">
        <f t="shared" si="2"/>
        <v>3463</v>
      </c>
      <c r="E24" s="117">
        <v>7476306</v>
      </c>
      <c r="F24" s="60">
        <f t="shared" si="10"/>
        <v>3485</v>
      </c>
      <c r="G24" s="59">
        <v>7077907</v>
      </c>
      <c r="H24" s="60">
        <f t="shared" si="3"/>
        <v>3294</v>
      </c>
      <c r="I24" s="59">
        <f t="shared" si="4"/>
        <v>10242</v>
      </c>
      <c r="J24" s="61">
        <v>0.99</v>
      </c>
      <c r="K24" s="62">
        <f t="shared" si="5"/>
        <v>2980.422</v>
      </c>
      <c r="L24" s="63"/>
      <c r="M24" s="59">
        <v>211122</v>
      </c>
      <c r="N24" s="60">
        <f t="shared" si="11"/>
        <v>161</v>
      </c>
      <c r="O24" s="59">
        <v>2923961</v>
      </c>
      <c r="P24" s="60">
        <f t="shared" si="12"/>
        <v>1549</v>
      </c>
      <c r="Q24" s="64">
        <f t="shared" si="0"/>
        <v>1710</v>
      </c>
      <c r="R24" s="65">
        <f t="shared" si="6"/>
        <v>990.62471981200019</v>
      </c>
      <c r="S24" s="66"/>
      <c r="T24" s="118">
        <v>434174</v>
      </c>
      <c r="U24" s="60">
        <f t="shared" si="13"/>
        <v>281</v>
      </c>
      <c r="V24" s="67">
        <f t="shared" si="7"/>
        <v>802.255</v>
      </c>
      <c r="W24" s="68"/>
      <c r="X24" s="73">
        <f t="shared" si="1"/>
        <v>4773.3017198120006</v>
      </c>
      <c r="Y24" s="74">
        <v>137</v>
      </c>
      <c r="Z24" s="75">
        <f t="shared" si="8"/>
        <v>34.841618392788327</v>
      </c>
    </row>
    <row r="25" spans="1:26">
      <c r="A25" s="10" t="s">
        <v>119</v>
      </c>
      <c r="B25" s="58">
        <f t="shared" si="9"/>
        <v>17</v>
      </c>
      <c r="C25" s="117">
        <v>7546251</v>
      </c>
      <c r="D25" s="60">
        <f t="shared" si="2"/>
        <v>3552</v>
      </c>
      <c r="E25" s="117">
        <v>7479880</v>
      </c>
      <c r="F25" s="60">
        <f t="shared" si="10"/>
        <v>3574</v>
      </c>
      <c r="G25" s="59">
        <v>7081284</v>
      </c>
      <c r="H25" s="60">
        <f t="shared" si="3"/>
        <v>3377</v>
      </c>
      <c r="I25" s="59">
        <f t="shared" si="4"/>
        <v>10503</v>
      </c>
      <c r="J25" s="61">
        <v>0.99</v>
      </c>
      <c r="K25" s="62">
        <f t="shared" si="5"/>
        <v>3056.3729999999996</v>
      </c>
      <c r="L25" s="63"/>
      <c r="M25" s="59">
        <v>211283</v>
      </c>
      <c r="N25" s="60">
        <f t="shared" si="11"/>
        <v>161</v>
      </c>
      <c r="O25" s="59">
        <v>2925456</v>
      </c>
      <c r="P25" s="60">
        <f t="shared" si="12"/>
        <v>1495</v>
      </c>
      <c r="Q25" s="64">
        <f t="shared" si="0"/>
        <v>1656</v>
      </c>
      <c r="R25" s="65">
        <f t="shared" si="6"/>
        <v>960.00067181200018</v>
      </c>
      <c r="S25" s="66"/>
      <c r="T25" s="118">
        <v>434397</v>
      </c>
      <c r="U25" s="60">
        <f t="shared" si="13"/>
        <v>223</v>
      </c>
      <c r="V25" s="67">
        <f t="shared" si="7"/>
        <v>636.66499999999996</v>
      </c>
      <c r="W25" s="68"/>
      <c r="X25" s="73">
        <f t="shared" si="1"/>
        <v>4653.0386718119998</v>
      </c>
      <c r="Y25" s="74">
        <v>114</v>
      </c>
      <c r="Z25" s="75">
        <f t="shared" si="8"/>
        <v>40.81612870010526</v>
      </c>
    </row>
    <row r="26" spans="1:26">
      <c r="A26" s="10" t="s">
        <v>97</v>
      </c>
      <c r="B26" s="58">
        <f t="shared" si="9"/>
        <v>18</v>
      </c>
      <c r="C26" s="117">
        <v>7549789</v>
      </c>
      <c r="D26" s="60">
        <f t="shared" si="2"/>
        <v>3538</v>
      </c>
      <c r="E26" s="117">
        <v>7483453</v>
      </c>
      <c r="F26" s="60">
        <f t="shared" si="10"/>
        <v>3573</v>
      </c>
      <c r="G26" s="59">
        <v>7084666</v>
      </c>
      <c r="H26" s="60">
        <f t="shared" si="3"/>
        <v>3382</v>
      </c>
      <c r="I26" s="59">
        <f t="shared" si="4"/>
        <v>10493</v>
      </c>
      <c r="J26" s="61">
        <v>0.99</v>
      </c>
      <c r="K26" s="62">
        <f t="shared" si="5"/>
        <v>3053.4629999999997</v>
      </c>
      <c r="L26" s="63"/>
      <c r="M26" s="59">
        <v>211442</v>
      </c>
      <c r="N26" s="60">
        <f t="shared" si="11"/>
        <v>159</v>
      </c>
      <c r="O26" s="59">
        <v>2927020</v>
      </c>
      <c r="P26" s="60">
        <f t="shared" si="12"/>
        <v>1564</v>
      </c>
      <c r="Q26" s="64">
        <f t="shared" si="0"/>
        <v>1723</v>
      </c>
      <c r="R26" s="65">
        <f t="shared" si="6"/>
        <v>997.73800562800011</v>
      </c>
      <c r="S26" s="66"/>
      <c r="T26" s="118">
        <v>434596</v>
      </c>
      <c r="U26" s="60">
        <f t="shared" si="13"/>
        <v>199</v>
      </c>
      <c r="V26" s="67">
        <f t="shared" si="7"/>
        <v>568.14499999999998</v>
      </c>
      <c r="W26" s="68"/>
      <c r="X26" s="73">
        <f t="shared" si="1"/>
        <v>4619.3460056280001</v>
      </c>
      <c r="Y26" s="74">
        <v>106</v>
      </c>
      <c r="Z26" s="75">
        <f t="shared" si="8"/>
        <v>43.578735902150946</v>
      </c>
    </row>
    <row r="27" spans="1:26">
      <c r="A27" s="10" t="s">
        <v>120</v>
      </c>
      <c r="B27" s="58">
        <f t="shared" si="9"/>
        <v>19</v>
      </c>
      <c r="C27" s="117">
        <v>7553423</v>
      </c>
      <c r="D27" s="60">
        <f t="shared" si="2"/>
        <v>3634</v>
      </c>
      <c r="E27" s="117">
        <v>7487087</v>
      </c>
      <c r="F27" s="60">
        <f t="shared" si="10"/>
        <v>3634</v>
      </c>
      <c r="G27" s="59">
        <v>7088088</v>
      </c>
      <c r="H27" s="60">
        <f t="shared" si="3"/>
        <v>3422</v>
      </c>
      <c r="I27" s="59">
        <f t="shared" si="4"/>
        <v>10690</v>
      </c>
      <c r="J27" s="61">
        <v>0.99</v>
      </c>
      <c r="K27" s="62">
        <f t="shared" si="5"/>
        <v>3110.79</v>
      </c>
      <c r="L27" s="81"/>
      <c r="M27" s="59">
        <v>211599</v>
      </c>
      <c r="N27" s="60">
        <f t="shared" si="11"/>
        <v>157</v>
      </c>
      <c r="O27" s="59">
        <v>2928490</v>
      </c>
      <c r="P27" s="60">
        <f t="shared" si="12"/>
        <v>1470</v>
      </c>
      <c r="Q27" s="64">
        <f t="shared" si="0"/>
        <v>1627</v>
      </c>
      <c r="R27" s="65">
        <f t="shared" si="6"/>
        <v>943.03608344400004</v>
      </c>
      <c r="S27" s="66"/>
      <c r="T27" s="118">
        <v>434808</v>
      </c>
      <c r="U27" s="60">
        <f t="shared" si="13"/>
        <v>212</v>
      </c>
      <c r="V27" s="67">
        <f t="shared" si="7"/>
        <v>605.26</v>
      </c>
      <c r="W27" s="68"/>
      <c r="X27" s="73">
        <f t="shared" si="1"/>
        <v>4659.086083444</v>
      </c>
      <c r="Y27" s="74">
        <v>79</v>
      </c>
      <c r="Z27" s="75">
        <f t="shared" si="8"/>
        <v>58.975773208151899</v>
      </c>
    </row>
    <row r="28" spans="1:26">
      <c r="A28" s="10" t="s">
        <v>121</v>
      </c>
      <c r="B28" s="76">
        <f t="shared" si="9"/>
        <v>20</v>
      </c>
      <c r="C28" s="117">
        <v>7556920</v>
      </c>
      <c r="D28" s="60">
        <f t="shared" si="2"/>
        <v>3497</v>
      </c>
      <c r="E28" s="117">
        <v>7490592</v>
      </c>
      <c r="F28" s="60">
        <f t="shared" si="10"/>
        <v>3505</v>
      </c>
      <c r="G28" s="59">
        <v>7091372</v>
      </c>
      <c r="H28" s="60">
        <f t="shared" si="3"/>
        <v>3284</v>
      </c>
      <c r="I28" s="59">
        <f t="shared" si="4"/>
        <v>10286</v>
      </c>
      <c r="J28" s="61">
        <v>0.99</v>
      </c>
      <c r="K28" s="62">
        <f t="shared" si="5"/>
        <v>2993.2259999999997</v>
      </c>
      <c r="L28" s="82"/>
      <c r="M28" s="59">
        <v>211746</v>
      </c>
      <c r="N28" s="60">
        <f t="shared" si="11"/>
        <v>147</v>
      </c>
      <c r="O28" s="59">
        <v>2930035</v>
      </c>
      <c r="P28" s="60">
        <f t="shared" si="12"/>
        <v>1545</v>
      </c>
      <c r="Q28" s="64">
        <f t="shared" si="0"/>
        <v>1692</v>
      </c>
      <c r="R28" s="65">
        <f t="shared" si="6"/>
        <v>978.60251252400019</v>
      </c>
      <c r="S28" s="72"/>
      <c r="T28" s="118">
        <v>434969</v>
      </c>
      <c r="U28" s="60">
        <f t="shared" si="13"/>
        <v>161</v>
      </c>
      <c r="V28" s="67">
        <f t="shared" si="7"/>
        <v>459.65499999999997</v>
      </c>
      <c r="W28" s="68"/>
      <c r="X28" s="83">
        <f t="shared" si="1"/>
        <v>4431.4835125239997</v>
      </c>
      <c r="Y28" s="74">
        <v>77</v>
      </c>
      <c r="Z28" s="79">
        <f t="shared" si="8"/>
        <v>57.55173392888311</v>
      </c>
    </row>
    <row r="29" spans="1:26">
      <c r="A29" s="10" t="s">
        <v>122</v>
      </c>
      <c r="B29" s="80">
        <f t="shared" si="9"/>
        <v>21</v>
      </c>
      <c r="C29" s="117">
        <v>7560305</v>
      </c>
      <c r="D29" s="60">
        <f t="shared" si="2"/>
        <v>3385</v>
      </c>
      <c r="E29" s="117">
        <v>7493972</v>
      </c>
      <c r="F29" s="60">
        <f t="shared" si="10"/>
        <v>3380</v>
      </c>
      <c r="G29" s="59">
        <v>7094554</v>
      </c>
      <c r="H29" s="60">
        <f t="shared" si="3"/>
        <v>3182</v>
      </c>
      <c r="I29" s="59">
        <f t="shared" si="4"/>
        <v>9947</v>
      </c>
      <c r="J29" s="61">
        <v>0.99</v>
      </c>
      <c r="K29" s="62">
        <f t="shared" si="5"/>
        <v>2894.5769999999998</v>
      </c>
      <c r="L29" s="63"/>
      <c r="M29" s="59">
        <v>211851</v>
      </c>
      <c r="N29" s="60">
        <f t="shared" si="11"/>
        <v>105</v>
      </c>
      <c r="O29" s="59">
        <v>2931921</v>
      </c>
      <c r="P29" s="60">
        <f t="shared" si="12"/>
        <v>1886</v>
      </c>
      <c r="Q29" s="64">
        <f t="shared" si="0"/>
        <v>1991</v>
      </c>
      <c r="R29" s="65">
        <f t="shared" si="6"/>
        <v>1142.7264266600002</v>
      </c>
      <c r="S29" s="66"/>
      <c r="T29" s="118">
        <v>435163</v>
      </c>
      <c r="U29" s="60">
        <f t="shared" si="13"/>
        <v>194</v>
      </c>
      <c r="V29" s="67">
        <f t="shared" si="7"/>
        <v>553.87</v>
      </c>
      <c r="W29" s="68"/>
      <c r="X29" s="69">
        <f t="shared" si="1"/>
        <v>4591.1734266599997</v>
      </c>
      <c r="Y29" s="74">
        <v>80</v>
      </c>
      <c r="Z29" s="71">
        <f t="shared" si="8"/>
        <v>57.389667833249995</v>
      </c>
    </row>
    <row r="30" spans="1:26">
      <c r="A30" s="10" t="s">
        <v>117</v>
      </c>
      <c r="B30" s="58">
        <f t="shared" si="9"/>
        <v>22</v>
      </c>
      <c r="C30" s="117">
        <v>7563730</v>
      </c>
      <c r="D30" s="60">
        <f t="shared" si="2"/>
        <v>3425</v>
      </c>
      <c r="E30" s="117">
        <v>7497421</v>
      </c>
      <c r="F30" s="60">
        <f t="shared" si="10"/>
        <v>3449</v>
      </c>
      <c r="G30" s="59">
        <v>7097780</v>
      </c>
      <c r="H30" s="60">
        <f t="shared" si="3"/>
        <v>3226</v>
      </c>
      <c r="I30" s="59">
        <f t="shared" si="4"/>
        <v>10100</v>
      </c>
      <c r="J30" s="61">
        <v>0.99</v>
      </c>
      <c r="K30" s="62">
        <f t="shared" si="5"/>
        <v>2939.1</v>
      </c>
      <c r="L30" s="63"/>
      <c r="M30" s="59">
        <v>212001</v>
      </c>
      <c r="N30" s="60">
        <f t="shared" si="11"/>
        <v>150</v>
      </c>
      <c r="O30" s="59">
        <v>2934102</v>
      </c>
      <c r="P30" s="60">
        <f t="shared" si="12"/>
        <v>2181</v>
      </c>
      <c r="Q30" s="64">
        <f t="shared" si="0"/>
        <v>2331</v>
      </c>
      <c r="R30" s="65">
        <f t="shared" si="6"/>
        <v>1341.3758358</v>
      </c>
      <c r="S30" s="66"/>
      <c r="T30" s="118">
        <v>435370</v>
      </c>
      <c r="U30" s="60">
        <f t="shared" si="13"/>
        <v>207</v>
      </c>
      <c r="V30" s="67">
        <f t="shared" si="7"/>
        <v>590.98500000000001</v>
      </c>
      <c r="W30" s="68"/>
      <c r="X30" s="73">
        <f t="shared" si="1"/>
        <v>4871.4608357999996</v>
      </c>
      <c r="Y30" s="74">
        <v>91</v>
      </c>
      <c r="Z30" s="75">
        <f t="shared" si="8"/>
        <v>53.532536657142856</v>
      </c>
    </row>
    <row r="31" spans="1:26">
      <c r="A31" s="10" t="s">
        <v>118</v>
      </c>
      <c r="B31" s="58">
        <f t="shared" si="9"/>
        <v>23</v>
      </c>
      <c r="C31" s="117">
        <v>7567167</v>
      </c>
      <c r="D31" s="60">
        <f t="shared" si="2"/>
        <v>3437</v>
      </c>
      <c r="E31" s="117">
        <v>7500874</v>
      </c>
      <c r="F31" s="60">
        <f t="shared" si="10"/>
        <v>3453</v>
      </c>
      <c r="G31" s="59">
        <v>7101007</v>
      </c>
      <c r="H31" s="60">
        <f t="shared" si="3"/>
        <v>3227</v>
      </c>
      <c r="I31" s="59">
        <f t="shared" si="4"/>
        <v>10117</v>
      </c>
      <c r="J31" s="61">
        <v>0.99</v>
      </c>
      <c r="K31" s="62">
        <f t="shared" si="5"/>
        <v>2944.047</v>
      </c>
      <c r="L31" s="63"/>
      <c r="M31" s="59">
        <v>212158</v>
      </c>
      <c r="N31" s="60">
        <f t="shared" si="11"/>
        <v>157</v>
      </c>
      <c r="O31" s="59">
        <v>2936017</v>
      </c>
      <c r="P31" s="60">
        <f t="shared" si="12"/>
        <v>1915</v>
      </c>
      <c r="Q31" s="64">
        <f t="shared" si="0"/>
        <v>2072</v>
      </c>
      <c r="R31" s="65">
        <f t="shared" si="6"/>
        <v>1195.400923444</v>
      </c>
      <c r="S31" s="66"/>
      <c r="T31" s="118">
        <v>435573</v>
      </c>
      <c r="U31" s="60">
        <f t="shared" si="13"/>
        <v>203</v>
      </c>
      <c r="V31" s="67">
        <f t="shared" si="7"/>
        <v>579.56499999999994</v>
      </c>
      <c r="W31" s="68"/>
      <c r="X31" s="73">
        <f t="shared" si="1"/>
        <v>4719.0129234440001</v>
      </c>
      <c r="Y31" s="74">
        <v>95</v>
      </c>
      <c r="Z31" s="75">
        <f t="shared" si="8"/>
        <v>49.673820246778945</v>
      </c>
    </row>
    <row r="32" spans="1:26">
      <c r="A32" s="10" t="s">
        <v>119</v>
      </c>
      <c r="B32" s="58">
        <f t="shared" si="9"/>
        <v>24</v>
      </c>
      <c r="C32" s="117">
        <v>7570670</v>
      </c>
      <c r="D32" s="60">
        <f t="shared" si="2"/>
        <v>3503</v>
      </c>
      <c r="E32" s="117">
        <v>7504364</v>
      </c>
      <c r="F32" s="60">
        <f t="shared" si="10"/>
        <v>3490</v>
      </c>
      <c r="G32" s="59">
        <v>7104278</v>
      </c>
      <c r="H32" s="60">
        <f t="shared" si="3"/>
        <v>3271</v>
      </c>
      <c r="I32" s="59">
        <f t="shared" si="4"/>
        <v>10264</v>
      </c>
      <c r="J32" s="61">
        <v>0.99</v>
      </c>
      <c r="K32" s="62">
        <f t="shared" si="5"/>
        <v>2986.8239999999996</v>
      </c>
      <c r="L32" s="63"/>
      <c r="M32" s="59">
        <v>212302</v>
      </c>
      <c r="N32" s="60">
        <f t="shared" si="11"/>
        <v>144</v>
      </c>
      <c r="O32" s="59">
        <v>2937692</v>
      </c>
      <c r="P32" s="60">
        <f t="shared" si="12"/>
        <v>1675</v>
      </c>
      <c r="Q32" s="64">
        <f t="shared" si="0"/>
        <v>1819</v>
      </c>
      <c r="R32" s="65">
        <f t="shared" si="6"/>
        <v>1050.2369812480001</v>
      </c>
      <c r="S32" s="66"/>
      <c r="T32" s="118">
        <v>435778</v>
      </c>
      <c r="U32" s="60">
        <f t="shared" si="13"/>
        <v>205</v>
      </c>
      <c r="V32" s="67">
        <f t="shared" si="7"/>
        <v>585.27499999999998</v>
      </c>
      <c r="W32" s="68"/>
      <c r="X32" s="73">
        <f t="shared" si="1"/>
        <v>4622.3359812479994</v>
      </c>
      <c r="Y32" s="74">
        <v>95</v>
      </c>
      <c r="Z32" s="75">
        <f t="shared" si="8"/>
        <v>48.656168223663151</v>
      </c>
    </row>
    <row r="33" spans="1:26">
      <c r="A33" s="10" t="s">
        <v>97</v>
      </c>
      <c r="B33" s="58">
        <f t="shared" si="9"/>
        <v>25</v>
      </c>
      <c r="C33" s="117">
        <v>7574023</v>
      </c>
      <c r="D33" s="60">
        <f t="shared" si="2"/>
        <v>3353</v>
      </c>
      <c r="E33" s="117">
        <v>7507536</v>
      </c>
      <c r="F33" s="60">
        <f t="shared" si="10"/>
        <v>3172</v>
      </c>
      <c r="G33" s="59">
        <v>7107691</v>
      </c>
      <c r="H33" s="60">
        <f t="shared" si="3"/>
        <v>3413</v>
      </c>
      <c r="I33" s="59">
        <f t="shared" si="4"/>
        <v>9938</v>
      </c>
      <c r="J33" s="61">
        <v>0.99</v>
      </c>
      <c r="K33" s="62">
        <f t="shared" si="5"/>
        <v>2891.9579999999996</v>
      </c>
      <c r="L33" s="63"/>
      <c r="M33" s="59">
        <v>212453</v>
      </c>
      <c r="N33" s="60">
        <f t="shared" si="11"/>
        <v>151</v>
      </c>
      <c r="O33" s="59">
        <v>2939423</v>
      </c>
      <c r="P33" s="60">
        <f t="shared" si="12"/>
        <v>1731</v>
      </c>
      <c r="Q33" s="64">
        <f t="shared" si="0"/>
        <v>1882</v>
      </c>
      <c r="R33" s="65">
        <f t="shared" si="6"/>
        <v>1086.8721328920001</v>
      </c>
      <c r="S33" s="66"/>
      <c r="T33" s="118">
        <v>435987</v>
      </c>
      <c r="U33" s="60">
        <f t="shared" si="13"/>
        <v>209</v>
      </c>
      <c r="V33" s="67">
        <f t="shared" si="7"/>
        <v>596.69500000000005</v>
      </c>
      <c r="W33" s="68"/>
      <c r="X33" s="73">
        <f t="shared" si="1"/>
        <v>4575.5251328919994</v>
      </c>
      <c r="Y33" s="74">
        <v>107</v>
      </c>
      <c r="Z33" s="75">
        <f t="shared" si="8"/>
        <v>42.761917129831772</v>
      </c>
    </row>
    <row r="34" spans="1:26">
      <c r="A34" s="10" t="s">
        <v>120</v>
      </c>
      <c r="B34" s="58">
        <f t="shared" si="9"/>
        <v>26</v>
      </c>
      <c r="C34" s="117">
        <v>7577128</v>
      </c>
      <c r="D34" s="60">
        <f t="shared" si="2"/>
        <v>3105</v>
      </c>
      <c r="E34" s="117">
        <v>7510871</v>
      </c>
      <c r="F34" s="60">
        <f t="shared" si="10"/>
        <v>3335</v>
      </c>
      <c r="G34" s="59">
        <v>7110331</v>
      </c>
      <c r="H34" s="60">
        <f t="shared" si="3"/>
        <v>2640</v>
      </c>
      <c r="I34" s="59">
        <f t="shared" si="4"/>
        <v>9080</v>
      </c>
      <c r="J34" s="61">
        <v>0.99</v>
      </c>
      <c r="K34" s="62">
        <f t="shared" si="5"/>
        <v>2642.2799999999997</v>
      </c>
      <c r="L34" s="63"/>
      <c r="M34" s="59">
        <v>212603</v>
      </c>
      <c r="N34" s="60">
        <f t="shared" si="11"/>
        <v>150</v>
      </c>
      <c r="O34" s="59">
        <v>2941112</v>
      </c>
      <c r="P34" s="60">
        <f t="shared" si="12"/>
        <v>1689</v>
      </c>
      <c r="Q34" s="64">
        <f t="shared" si="0"/>
        <v>1839</v>
      </c>
      <c r="R34" s="65">
        <f t="shared" si="6"/>
        <v>1062.3567318</v>
      </c>
      <c r="S34" s="66"/>
      <c r="T34" s="118">
        <v>436179</v>
      </c>
      <c r="U34" s="60">
        <f t="shared" si="13"/>
        <v>192</v>
      </c>
      <c r="V34" s="67">
        <f t="shared" si="7"/>
        <v>548.16</v>
      </c>
      <c r="W34" s="68"/>
      <c r="X34" s="73">
        <f t="shared" si="1"/>
        <v>4252.7967318000001</v>
      </c>
      <c r="Y34" s="74">
        <v>126</v>
      </c>
      <c r="Z34" s="75">
        <f t="shared" si="8"/>
        <v>33.752355014285712</v>
      </c>
    </row>
    <row r="35" spans="1:26">
      <c r="A35" s="10" t="s">
        <v>121</v>
      </c>
      <c r="B35" s="58">
        <f t="shared" si="9"/>
        <v>27</v>
      </c>
      <c r="C35" s="117">
        <v>7580330</v>
      </c>
      <c r="D35" s="60">
        <f t="shared" si="2"/>
        <v>3202</v>
      </c>
      <c r="E35" s="117">
        <v>7514076</v>
      </c>
      <c r="F35" s="60">
        <f t="shared" si="10"/>
        <v>3205</v>
      </c>
      <c r="G35" s="59">
        <v>7113312</v>
      </c>
      <c r="H35" s="60">
        <f t="shared" si="3"/>
        <v>2981</v>
      </c>
      <c r="I35" s="59">
        <f t="shared" si="4"/>
        <v>9388</v>
      </c>
      <c r="J35" s="61">
        <v>0.99</v>
      </c>
      <c r="K35" s="62">
        <f t="shared" si="5"/>
        <v>2731.9079999999999</v>
      </c>
      <c r="L35" s="63"/>
      <c r="M35" s="59">
        <v>212759</v>
      </c>
      <c r="N35" s="60">
        <f t="shared" si="11"/>
        <v>156</v>
      </c>
      <c r="O35" s="59">
        <v>2942948</v>
      </c>
      <c r="P35" s="60">
        <f t="shared" si="12"/>
        <v>1836</v>
      </c>
      <c r="Q35" s="64">
        <f t="shared" si="0"/>
        <v>1992</v>
      </c>
      <c r="R35" s="65">
        <f t="shared" si="6"/>
        <v>1149.9023783520001</v>
      </c>
      <c r="S35" s="66"/>
      <c r="T35" s="118">
        <v>436343</v>
      </c>
      <c r="U35" s="60">
        <f t="shared" si="13"/>
        <v>164</v>
      </c>
      <c r="V35" s="67">
        <f t="shared" si="7"/>
        <v>468.21999999999997</v>
      </c>
      <c r="W35" s="68"/>
      <c r="X35" s="73">
        <f t="shared" si="1"/>
        <v>4350.0303783520003</v>
      </c>
      <c r="Y35" s="74">
        <v>106</v>
      </c>
      <c r="Z35" s="75">
        <f t="shared" si="8"/>
        <v>41.038022437283018</v>
      </c>
    </row>
    <row r="36" spans="1:26">
      <c r="A36" s="10" t="s">
        <v>122</v>
      </c>
      <c r="B36" s="58">
        <f t="shared" si="9"/>
        <v>28</v>
      </c>
      <c r="C36" s="117">
        <v>7583410</v>
      </c>
      <c r="D36" s="60">
        <f t="shared" si="2"/>
        <v>3080</v>
      </c>
      <c r="E36" s="117">
        <v>7517159</v>
      </c>
      <c r="F36" s="60">
        <f t="shared" si="10"/>
        <v>3083</v>
      </c>
      <c r="G36" s="59">
        <v>7116193</v>
      </c>
      <c r="H36" s="60">
        <f t="shared" si="3"/>
        <v>2881</v>
      </c>
      <c r="I36" s="59">
        <f t="shared" si="4"/>
        <v>9044</v>
      </c>
      <c r="J36" s="61">
        <v>0.99</v>
      </c>
      <c r="K36" s="62">
        <f t="shared" si="5"/>
        <v>2631.8039999999996</v>
      </c>
      <c r="L36" s="63"/>
      <c r="M36" s="59">
        <v>212869</v>
      </c>
      <c r="N36" s="60">
        <f t="shared" si="11"/>
        <v>110</v>
      </c>
      <c r="O36" s="59">
        <v>2944819</v>
      </c>
      <c r="P36" s="60">
        <f t="shared" si="12"/>
        <v>1871</v>
      </c>
      <c r="Q36" s="64">
        <f t="shared" si="0"/>
        <v>1981</v>
      </c>
      <c r="R36" s="65">
        <f t="shared" si="6"/>
        <v>1137.7032321199999</v>
      </c>
      <c r="S36" s="66"/>
      <c r="T36" s="118">
        <v>436498</v>
      </c>
      <c r="U36" s="60">
        <f t="shared" si="13"/>
        <v>155</v>
      </c>
      <c r="V36" s="67">
        <f t="shared" si="7"/>
        <v>442.52499999999998</v>
      </c>
      <c r="W36" s="68"/>
      <c r="X36" s="73">
        <f t="shared" si="1"/>
        <v>4212.0322321199992</v>
      </c>
      <c r="Y36" s="74">
        <v>111</v>
      </c>
      <c r="Z36" s="75">
        <f t="shared" si="8"/>
        <v>37.946236325405401</v>
      </c>
    </row>
    <row r="37" spans="1:26">
      <c r="A37" s="10" t="s">
        <v>117</v>
      </c>
      <c r="B37" s="58">
        <f t="shared" si="9"/>
        <v>29</v>
      </c>
      <c r="C37" s="114"/>
      <c r="D37" s="60" t="str">
        <f t="shared" si="2"/>
        <v>0</v>
      </c>
      <c r="E37" s="114"/>
      <c r="F37" s="60" t="str">
        <f t="shared" si="10"/>
        <v>0</v>
      </c>
      <c r="G37" s="115"/>
      <c r="H37" s="60" t="str">
        <f t="shared" si="3"/>
        <v>0</v>
      </c>
      <c r="I37" s="59">
        <f t="shared" si="4"/>
        <v>0</v>
      </c>
      <c r="J37" s="61">
        <v>0.99</v>
      </c>
      <c r="K37" s="62">
        <f t="shared" si="5"/>
        <v>0</v>
      </c>
      <c r="L37" s="63"/>
      <c r="M37" s="115"/>
      <c r="N37" s="60" t="str">
        <f t="shared" si="11"/>
        <v>0</v>
      </c>
      <c r="O37" s="115"/>
      <c r="P37" s="60" t="str">
        <f t="shared" si="12"/>
        <v>0</v>
      </c>
      <c r="Q37" s="64">
        <f t="shared" si="0"/>
        <v>0</v>
      </c>
      <c r="R37" s="65">
        <f t="shared" si="6"/>
        <v>0</v>
      </c>
      <c r="S37" s="66"/>
      <c r="T37" s="116"/>
      <c r="U37" s="60" t="str">
        <f t="shared" si="13"/>
        <v>0</v>
      </c>
      <c r="V37" s="67">
        <f t="shared" si="7"/>
        <v>0</v>
      </c>
      <c r="W37" s="68"/>
      <c r="X37" s="73">
        <f t="shared" si="1"/>
        <v>0</v>
      </c>
      <c r="Y37" s="68"/>
      <c r="Z37" s="75" t="e">
        <f t="shared" si="8"/>
        <v>#DIV/0!</v>
      </c>
    </row>
    <row r="38" spans="1:26">
      <c r="A38" s="10" t="s">
        <v>118</v>
      </c>
      <c r="B38" s="58">
        <f t="shared" si="9"/>
        <v>30</v>
      </c>
      <c r="C38" s="114"/>
      <c r="D38" s="60">
        <f t="shared" si="2"/>
        <v>0</v>
      </c>
      <c r="E38" s="114"/>
      <c r="F38" s="60">
        <f t="shared" si="10"/>
        <v>0</v>
      </c>
      <c r="G38" s="115"/>
      <c r="H38" s="60">
        <f t="shared" si="3"/>
        <v>0</v>
      </c>
      <c r="I38" s="59">
        <f t="shared" si="4"/>
        <v>0</v>
      </c>
      <c r="J38" s="61">
        <v>0.99</v>
      </c>
      <c r="K38" s="62">
        <f t="shared" si="5"/>
        <v>0</v>
      </c>
      <c r="L38" s="63"/>
      <c r="M38" s="115"/>
      <c r="N38" s="60">
        <f t="shared" si="11"/>
        <v>0</v>
      </c>
      <c r="O38" s="115"/>
      <c r="P38" s="60">
        <f t="shared" si="12"/>
        <v>0</v>
      </c>
      <c r="Q38" s="64">
        <f t="shared" si="0"/>
        <v>0</v>
      </c>
      <c r="R38" s="65">
        <f t="shared" si="6"/>
        <v>0</v>
      </c>
      <c r="S38" s="66"/>
      <c r="T38" s="116"/>
      <c r="U38" s="60">
        <f t="shared" si="13"/>
        <v>0</v>
      </c>
      <c r="V38" s="67">
        <f t="shared" si="7"/>
        <v>0</v>
      </c>
      <c r="W38" s="68"/>
      <c r="X38" s="73">
        <f t="shared" si="1"/>
        <v>0</v>
      </c>
      <c r="Y38" s="68"/>
      <c r="Z38" s="75" t="e">
        <f t="shared" si="8"/>
        <v>#DIV/0!</v>
      </c>
    </row>
    <row r="39" spans="1:26">
      <c r="A39" s="10"/>
      <c r="B39" s="58">
        <f t="shared" si="9"/>
        <v>31</v>
      </c>
      <c r="C39" s="114"/>
      <c r="D39" s="60">
        <f t="shared" si="2"/>
        <v>0</v>
      </c>
      <c r="E39" s="114"/>
      <c r="F39" s="60">
        <f t="shared" si="10"/>
        <v>0</v>
      </c>
      <c r="G39" s="115"/>
      <c r="H39" s="60">
        <f t="shared" si="3"/>
        <v>0</v>
      </c>
      <c r="I39" s="59">
        <f t="shared" si="4"/>
        <v>0</v>
      </c>
      <c r="J39" s="61">
        <v>0.99</v>
      </c>
      <c r="K39" s="62">
        <f t="shared" si="5"/>
        <v>0</v>
      </c>
      <c r="L39" s="63"/>
      <c r="M39" s="115"/>
      <c r="N39" s="60">
        <f t="shared" si="11"/>
        <v>0</v>
      </c>
      <c r="O39" s="115"/>
      <c r="P39" s="60">
        <f t="shared" si="12"/>
        <v>0</v>
      </c>
      <c r="Q39" s="64">
        <f t="shared" si="0"/>
        <v>0</v>
      </c>
      <c r="R39" s="65">
        <f t="shared" si="6"/>
        <v>0</v>
      </c>
      <c r="S39" s="66"/>
      <c r="T39" s="116"/>
      <c r="U39" s="60">
        <f t="shared" si="13"/>
        <v>0</v>
      </c>
      <c r="V39" s="67">
        <f t="shared" si="7"/>
        <v>0</v>
      </c>
      <c r="W39" s="68"/>
      <c r="X39" s="73">
        <f t="shared" si="1"/>
        <v>0</v>
      </c>
      <c r="Y39" s="68"/>
      <c r="Z39" s="75" t="e">
        <f t="shared" si="8"/>
        <v>#DIV/0!</v>
      </c>
    </row>
    <row r="40" spans="1:26">
      <c r="A40" s="10"/>
      <c r="B40" s="84"/>
      <c r="C40" s="85">
        <f>SUMIF(D9:D36,"&gt;0")</f>
        <v>97295</v>
      </c>
      <c r="D40" s="86"/>
      <c r="E40" s="119">
        <f>SUMIF(F9:F36,"&gt;0")</f>
        <v>97556</v>
      </c>
      <c r="F40" s="120"/>
      <c r="G40" s="121">
        <f>SUMIF(H9:H36,"&gt;0")</f>
        <v>91978</v>
      </c>
      <c r="H40" s="120"/>
      <c r="I40" s="87">
        <f>SUMIF(I9:I36,"&gt;0")</f>
        <v>286829</v>
      </c>
      <c r="J40" s="88"/>
      <c r="K40" s="89">
        <f>SUMIF(K9:K38,"&gt;0")</f>
        <v>83467.238999999987</v>
      </c>
      <c r="L40" s="87"/>
      <c r="M40" s="121">
        <f>SUMIF(N9:N36,"&gt;0")</f>
        <v>4162</v>
      </c>
      <c r="N40" s="120"/>
      <c r="O40" s="121">
        <f>SUMIF(P9:P36,"&gt;0")</f>
        <v>44497</v>
      </c>
      <c r="P40" s="120"/>
      <c r="Q40" s="88">
        <f>SUMIF(Q9:Q36,"&gt;0")</f>
        <v>48659</v>
      </c>
      <c r="R40" s="89">
        <f>SUMIF(R9:R36,"&gt;0")</f>
        <v>28134.435960904</v>
      </c>
      <c r="S40" s="90"/>
      <c r="T40" s="122">
        <f>SUMIF(U9:U36,"&gt;0")</f>
        <v>5943</v>
      </c>
      <c r="U40" s="123"/>
      <c r="V40" s="91">
        <f>SUMIF(V9:V36,"&gt;0")</f>
        <v>16967.265000000003</v>
      </c>
      <c r="W40" s="92"/>
      <c r="X40" s="93">
        <f>SUMIF(X9:X36,"&gt;0")</f>
        <v>128568.939960904</v>
      </c>
      <c r="Y40" s="94">
        <f>SUM(Y9:Y39)</f>
        <v>3067</v>
      </c>
      <c r="Z40" s="95">
        <f>(SUMIF(Z9:Z36,"&gt;0")/31)</f>
        <v>39.568342522173829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E49"/>
  <sheetViews>
    <sheetView zoomScale="68" zoomScaleNormal="68" workbookViewId="0">
      <selection activeCell="Q29" sqref="Q29"/>
    </sheetView>
  </sheetViews>
  <sheetFormatPr defaultRowHeight="15"/>
  <cols>
    <col min="33" max="33" width="12.28515625" customWidth="1"/>
    <col min="34" max="34" width="12.140625" customWidth="1"/>
  </cols>
  <sheetData>
    <row r="6" spans="1:83" ht="15.75" thickBot="1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>
      <c r="E39" s="22"/>
    </row>
    <row r="40" spans="1:83">
      <c r="E40" s="22"/>
    </row>
    <row r="41" spans="1:83">
      <c r="E41" s="22"/>
    </row>
    <row r="42" spans="1:83">
      <c r="E42" s="22"/>
    </row>
    <row r="43" spans="1:83">
      <c r="E43" s="22"/>
    </row>
    <row r="44" spans="1:83">
      <c r="E44" s="22"/>
    </row>
    <row r="45" spans="1:83">
      <c r="E45" s="22"/>
    </row>
    <row r="46" spans="1:83">
      <c r="E46" s="22"/>
    </row>
    <row r="47" spans="1:83">
      <c r="E47" s="22"/>
    </row>
    <row r="48" spans="1:83">
      <c r="E48" s="22"/>
    </row>
    <row r="49" spans="5: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AA4131-25B2-4291-8424-B3884D34EEA5}"/>
</file>

<file path=customXml/itemProps2.xml><?xml version="1.0" encoding="utf-8"?>
<ds:datastoreItem xmlns:ds="http://schemas.openxmlformats.org/officeDocument/2006/customXml" ds:itemID="{A1ACF9BD-F545-48BE-949D-E3ECA73E5707}"/>
</file>

<file path=customXml/itemProps3.xml><?xml version="1.0" encoding="utf-8"?>
<ds:datastoreItem xmlns:ds="http://schemas.openxmlformats.org/officeDocument/2006/customXml" ds:itemID="{6D5B54B9-30DB-4871-A989-31B9FD7B1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Nadhem Abidi</cp:lastModifiedBy>
  <cp:revision/>
  <dcterms:created xsi:type="dcterms:W3CDTF">2015-06-05T18:17:20Z</dcterms:created>
  <dcterms:modified xsi:type="dcterms:W3CDTF">2022-11-28T13:04:09Z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