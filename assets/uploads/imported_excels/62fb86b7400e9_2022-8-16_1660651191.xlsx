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<sst xmlns="http://schemas.openxmlformats.org/spreadsheetml/2006/main" count="103" uniqueCount="34">
  <si>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</si>
  <si>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</si>
  <si>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</si>
  <si>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</si>
  <si>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</si>
  <si>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</si>
  <si>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</si>
  <si>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</si>
  <si>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</si>
  <si>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</si>
  <si>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</si>
  <si>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</si>
  <si>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</si>
  <si>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</si>
  <si>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</si>
  <si>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</si>
  <si>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</si>
  <si>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</si>
  <si>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</si>
  <si>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</si>
  <si>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</si>
  <si>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</si>
  <si>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</si>
  <si>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</si>
  <si>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</si>
  <si>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</si>
  <si>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</si>
  <si>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</si>
  <si>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</si>
  <si>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</si>
  <si>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</si>
  <si>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</si>
  <si>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</si>
  <si>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remplissage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</si>
</sst>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1" workbookViewId="0">
      <selection activeCell="H3" sqref="H3:H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0.13209000000000001</v>
      </c>
      <c r="G2" s="20">
        <f>Submetering!F2+Submetering!G2</f>
        <v>591.86</v>
      </c>
      <c r="H2" s="16">
        <v>0.10098</v>
      </c>
      <c r="I2" s="20">
        <f>Submetering!J2+Submetering!I2+Submetering!H2</f>
        <v>68.290000000000006</v>
      </c>
      <c r="J2" s="16">
        <v>3.84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f>F2</f>
        <v>0.13209000000000001</v>
      </c>
      <c r="G3" s="20">
        <f>Submetering!F3+Submetering!G3</f>
        <v>518.82000000000005</v>
      </c>
      <c r="H3" s="16">
        <f>H2</f>
        <v>0.10098</v>
      </c>
      <c r="I3" s="20">
        <f>Submetering!J3+Submetering!I3+Submetering!H3</f>
        <v>64.94</v>
      </c>
      <c r="J3" s="16">
        <f>J2</f>
        <v>3.84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f t="shared" ref="F4:F29" si="2">F3</f>
        <v>0.13209000000000001</v>
      </c>
      <c r="G4" s="20">
        <f>Submetering!F4+Submetering!G4</f>
        <v>562.35</v>
      </c>
      <c r="H4" s="16">
        <f t="shared" ref="H4:H29" si="3">H3</f>
        <v>0.10098</v>
      </c>
      <c r="I4" s="20">
        <f>Submetering!J4+Submetering!I4+Submetering!H4</f>
        <v>67.77</v>
      </c>
      <c r="J4" s="16">
        <f t="shared" ref="J4:J29" si="4">J3</f>
        <v>3.84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f t="shared" si="2"/>
        <v>0.13209000000000001</v>
      </c>
      <c r="G5" s="20">
        <f>Submetering!F5+Submetering!G5</f>
        <v>523.75</v>
      </c>
      <c r="H5" s="16">
        <f t="shared" si="3"/>
        <v>0.10098</v>
      </c>
      <c r="I5" s="20">
        <f>Submetering!J5+Submetering!I5+Submetering!H5</f>
        <v>72.17</v>
      </c>
      <c r="J5" s="16">
        <f t="shared" si="4"/>
        <v>3.84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f t="shared" si="2"/>
        <v>0.13209000000000001</v>
      </c>
      <c r="G6" s="20">
        <f>Submetering!F6+Submetering!G6</f>
        <v>494.93</v>
      </c>
      <c r="H6" s="16">
        <f t="shared" si="3"/>
        <v>0.10098</v>
      </c>
      <c r="I6" s="20">
        <f>Submetering!J6+Submetering!I6+Submetering!H6</f>
        <v>77.33</v>
      </c>
      <c r="J6" s="16">
        <f t="shared" si="4"/>
        <v>3.84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f t="shared" si="2"/>
        <v>0.13209000000000001</v>
      </c>
      <c r="G7" s="20">
        <f>Submetering!F7+Submetering!G7</f>
        <v>602.27</v>
      </c>
      <c r="H7" s="16">
        <f t="shared" si="3"/>
        <v>0.10098</v>
      </c>
      <c r="I7" s="20">
        <f>Submetering!J7+Submetering!I7+Submetering!H7</f>
        <v>68.61</v>
      </c>
      <c r="J7" s="16">
        <f t="shared" si="4"/>
        <v>3.84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f t="shared" si="2"/>
        <v>0.13209000000000001</v>
      </c>
      <c r="G8" s="20">
        <f>Submetering!F8+Submetering!G8</f>
        <v>506</v>
      </c>
      <c r="H8" s="16">
        <f t="shared" si="3"/>
        <v>0.10098</v>
      </c>
      <c r="I8" s="20">
        <f>Submetering!J8+Submetering!I8+Submetering!H8</f>
        <v>88.24</v>
      </c>
      <c r="J8" s="16">
        <f t="shared" si="4"/>
        <v>3.84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f t="shared" si="2"/>
        <v>0.13209000000000001</v>
      </c>
      <c r="G9" s="20">
        <f>Submetering!F9+Submetering!G9</f>
        <v>637.82999999999993</v>
      </c>
      <c r="H9" s="16">
        <f t="shared" si="3"/>
        <v>0.10098</v>
      </c>
      <c r="I9" s="20">
        <f>Submetering!J9+Submetering!I9+Submetering!H9</f>
        <v>84.25</v>
      </c>
      <c r="J9" s="16">
        <f t="shared" si="4"/>
        <v>3.84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f t="shared" si="2"/>
        <v>0.13209000000000001</v>
      </c>
      <c r="G10" s="20">
        <f>Submetering!F10+Submetering!G10</f>
        <v>570.29000000000008</v>
      </c>
      <c r="H10" s="16">
        <f t="shared" si="3"/>
        <v>0.10098</v>
      </c>
      <c r="I10" s="20">
        <f>Submetering!J10+Submetering!I10+Submetering!H10</f>
        <v>80.05</v>
      </c>
      <c r="J10" s="16">
        <f t="shared" si="4"/>
        <v>3.84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f t="shared" si="2"/>
        <v>0.13209000000000001</v>
      </c>
      <c r="G11" s="20">
        <f>Submetering!F11+Submetering!G11</f>
        <v>425.12</v>
      </c>
      <c r="H11" s="16">
        <f t="shared" si="3"/>
        <v>0.10098</v>
      </c>
      <c r="I11" s="20">
        <f>Submetering!J11+Submetering!I11+Submetering!H11</f>
        <v>75.430000000000007</v>
      </c>
      <c r="J11" s="16">
        <f t="shared" si="4"/>
        <v>3.84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f t="shared" si="2"/>
        <v>0.13209000000000001</v>
      </c>
      <c r="G12" s="20">
        <f>Submetering!F12+Submetering!G12</f>
        <v>404.34</v>
      </c>
      <c r="H12" s="16">
        <f t="shared" si="3"/>
        <v>0.10098</v>
      </c>
      <c r="I12" s="20">
        <f>Submetering!J12+Submetering!I12+Submetering!H12</f>
        <v>73.97</v>
      </c>
      <c r="J12" s="16">
        <f t="shared" si="4"/>
        <v>3.84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f t="shared" si="2"/>
        <v>0.13209000000000001</v>
      </c>
      <c r="G13" s="20">
        <f>Submetering!F13+Submetering!G13</f>
        <v>542.37</v>
      </c>
      <c r="H13" s="16">
        <f t="shared" si="3"/>
        <v>0.10098</v>
      </c>
      <c r="I13" s="20">
        <f>Submetering!J13+Submetering!I13+Submetering!H13</f>
        <v>45.93</v>
      </c>
      <c r="J13" s="16">
        <f t="shared" si="4"/>
        <v>3.84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f t="shared" si="2"/>
        <v>0.13209000000000001</v>
      </c>
      <c r="G14" s="20">
        <f>Submetering!F14+Submetering!G14</f>
        <v>499.92</v>
      </c>
      <c r="H14" s="16">
        <f t="shared" si="3"/>
        <v>0.10098</v>
      </c>
      <c r="I14" s="20">
        <f>Submetering!J14+Submetering!I14+Submetering!H14</f>
        <v>86.06</v>
      </c>
      <c r="J14" s="16">
        <f t="shared" si="4"/>
        <v>3.84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f t="shared" si="2"/>
        <v>0.13209000000000001</v>
      </c>
      <c r="G15" s="20">
        <f>Submetering!F15+Submetering!G15</f>
        <v>541.55000000000007</v>
      </c>
      <c r="H15" s="16">
        <f t="shared" si="3"/>
        <v>0.10098</v>
      </c>
      <c r="I15" s="20">
        <f>Submetering!J15+Submetering!I15+Submetering!H15</f>
        <v>85.68</v>
      </c>
      <c r="J15" s="16">
        <f t="shared" si="4"/>
        <v>3.84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f t="shared" si="2"/>
        <v>0.13209000000000001</v>
      </c>
      <c r="G16" s="20">
        <f>Submetering!F16+Submetering!G16</f>
        <v>471.6</v>
      </c>
      <c r="H16" s="16">
        <f t="shared" si="3"/>
        <v>0.10098</v>
      </c>
      <c r="I16" s="20">
        <f>Submetering!J16+Submetering!I16+Submetering!H16</f>
        <v>67.14</v>
      </c>
      <c r="J16" s="16">
        <f t="shared" si="4"/>
        <v>3.84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6701.33</v>
      </c>
      <c r="F17" s="16">
        <f t="shared" si="2"/>
        <v>0.13209000000000001</v>
      </c>
      <c r="G17" s="20">
        <f>Submetering!F17+Submetering!G17</f>
        <v>489.34</v>
      </c>
      <c r="H17" s="16">
        <f t="shared" si="3"/>
        <v>0.10098</v>
      </c>
      <c r="I17" s="20">
        <f>Submetering!J17+Submetering!I17+Submetering!H17</f>
        <v>68.64</v>
      </c>
      <c r="J17" s="16">
        <f t="shared" si="4"/>
        <v>3.84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6718.46</v>
      </c>
      <c r="F18" s="16">
        <f t="shared" si="2"/>
        <v>0.13209000000000001</v>
      </c>
      <c r="G18" s="20">
        <f>Submetering!F18+Submetering!G18</f>
        <v>364.65999999999997</v>
      </c>
      <c r="H18" s="16">
        <f t="shared" si="3"/>
        <v>0.10098</v>
      </c>
      <c r="I18" s="20">
        <f>Submetering!J18+Submetering!I18+Submetering!H18</f>
        <v>77.34</v>
      </c>
      <c r="J18" s="16">
        <f t="shared" si="4"/>
        <v>3.84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6956.93</v>
      </c>
      <c r="F19" s="16">
        <f t="shared" si="2"/>
        <v>0.13209000000000001</v>
      </c>
      <c r="G19" s="20">
        <f>Submetering!F19+Submetering!G19</f>
        <v>530.70000000000005</v>
      </c>
      <c r="H19" s="16">
        <f t="shared" si="3"/>
        <v>0.10098</v>
      </c>
      <c r="I19" s="20">
        <f>Submetering!J19+Submetering!I19+Submetering!H19</f>
        <v>121.25</v>
      </c>
      <c r="J19" s="16">
        <f t="shared" si="4"/>
        <v>3.84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6902.25</v>
      </c>
      <c r="F20" s="16">
        <f t="shared" si="2"/>
        <v>0.13209000000000001</v>
      </c>
      <c r="G20" s="20">
        <f>Submetering!F20+Submetering!G20</f>
        <v>591.11</v>
      </c>
      <c r="H20" s="16">
        <f t="shared" si="3"/>
        <v>0.10098</v>
      </c>
      <c r="I20" s="20">
        <f>Submetering!J20+Submetering!I20+Submetering!H20</f>
        <v>109.32</v>
      </c>
      <c r="J20" s="16">
        <f t="shared" si="4"/>
        <v>3.84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6763.54</v>
      </c>
      <c r="F21" s="16">
        <f t="shared" si="2"/>
        <v>0.13209000000000001</v>
      </c>
      <c r="G21" s="20">
        <f>Submetering!F21+Submetering!G21</f>
        <v>482.03000000000003</v>
      </c>
      <c r="H21" s="16">
        <f t="shared" si="3"/>
        <v>0.10098</v>
      </c>
      <c r="I21" s="20">
        <f>Submetering!J21+Submetering!I21+Submetering!H21</f>
        <v>90.8</v>
      </c>
      <c r="J21" s="16">
        <f t="shared" si="4"/>
        <v>3.84</v>
      </c>
      <c r="K21" s="20">
        <f>Submetering!K21</f>
        <v>78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6759.83</v>
      </c>
      <c r="F22" s="16">
        <f t="shared" si="2"/>
        <v>0.13209000000000001</v>
      </c>
      <c r="G22" s="20">
        <f>Submetering!F22+Submetering!G22</f>
        <v>488.23</v>
      </c>
      <c r="H22" s="16">
        <f t="shared" si="3"/>
        <v>0.10098</v>
      </c>
      <c r="I22" s="20">
        <f>Submetering!J22+Submetering!I22+Submetering!H22</f>
        <v>91.81</v>
      </c>
      <c r="J22" s="16">
        <f t="shared" si="4"/>
        <v>3.84</v>
      </c>
      <c r="K22" s="20">
        <f>Submetering!K22</f>
        <v>83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6870.53</v>
      </c>
      <c r="F23" s="16">
        <f t="shared" si="2"/>
        <v>0.13209000000000001</v>
      </c>
      <c r="G23" s="20">
        <f>Submetering!F23+Submetering!G23</f>
        <v>450.40999999999997</v>
      </c>
      <c r="H23" s="16">
        <f t="shared" si="3"/>
        <v>0.10098</v>
      </c>
      <c r="I23" s="20">
        <f>Submetering!J23+Submetering!I23+Submetering!H23</f>
        <v>87.08</v>
      </c>
      <c r="J23" s="16">
        <f t="shared" si="4"/>
        <v>3.84</v>
      </c>
      <c r="K23" s="20">
        <f>Submetering!K23</f>
        <v>80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6901.01</v>
      </c>
      <c r="F24" s="16">
        <f t="shared" si="2"/>
        <v>0.13209000000000001</v>
      </c>
      <c r="G24" s="20">
        <f>Submetering!F24+Submetering!G24</f>
        <v>323.62</v>
      </c>
      <c r="H24" s="16">
        <f t="shared" si="3"/>
        <v>0.10098</v>
      </c>
      <c r="I24" s="20">
        <f>Submetering!J24+Submetering!I24+Submetering!H24</f>
        <v>70.099999999999994</v>
      </c>
      <c r="J24" s="16">
        <f t="shared" si="4"/>
        <v>3.84</v>
      </c>
      <c r="K24" s="20">
        <f>Submetering!K24</f>
        <v>105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6870.64</v>
      </c>
      <c r="F25" s="16">
        <f t="shared" si="2"/>
        <v>0.13209000000000001</v>
      </c>
      <c r="G25" s="20">
        <f>Submetering!F25+Submetering!G25</f>
        <v>363.07</v>
      </c>
      <c r="H25" s="16">
        <f t="shared" si="3"/>
        <v>0.10098</v>
      </c>
      <c r="I25" s="20">
        <f>Submetering!J25+Submetering!I25+Submetering!H25</f>
        <v>102.7</v>
      </c>
      <c r="J25" s="16">
        <f t="shared" si="4"/>
        <v>3.84</v>
      </c>
      <c r="K25" s="20">
        <f>Submetering!K25</f>
        <v>106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7168.13</v>
      </c>
      <c r="F26" s="16">
        <f t="shared" si="2"/>
        <v>0.13209000000000001</v>
      </c>
      <c r="G26" s="20">
        <f>Submetering!F26+Submetering!G26</f>
        <v>462.17</v>
      </c>
      <c r="H26" s="16">
        <f t="shared" si="3"/>
        <v>0.10098</v>
      </c>
      <c r="I26" s="20">
        <f>Submetering!J26+Submetering!I26+Submetering!H26</f>
        <v>146.78</v>
      </c>
      <c r="J26" s="16">
        <f t="shared" si="4"/>
        <v>3.84</v>
      </c>
      <c r="K26" s="20">
        <f>Submetering!K26</f>
        <v>91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7155.41</v>
      </c>
      <c r="F27" s="16">
        <f t="shared" si="2"/>
        <v>0.13209000000000001</v>
      </c>
      <c r="G27" s="20">
        <f>Submetering!F27+Submetering!G27</f>
        <v>520.59</v>
      </c>
      <c r="H27" s="16">
        <f t="shared" si="3"/>
        <v>0.10098</v>
      </c>
      <c r="I27" s="20">
        <f>Submetering!J27+Submetering!I27+Submetering!H27</f>
        <v>81.39</v>
      </c>
      <c r="J27" s="16">
        <f t="shared" si="4"/>
        <v>3.84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6640.13</v>
      </c>
      <c r="F28" s="16">
        <f t="shared" si="2"/>
        <v>0.13209000000000001</v>
      </c>
      <c r="G28" s="20">
        <f>Submetering!F28+Submetering!G28</f>
        <v>519.99</v>
      </c>
      <c r="H28" s="16">
        <f t="shared" si="3"/>
        <v>0.10098</v>
      </c>
      <c r="I28" s="20">
        <f>Submetering!J28+Submetering!I28+Submetering!H28</f>
        <v>71.95</v>
      </c>
      <c r="J28" s="16">
        <f t="shared" si="4"/>
        <v>3.84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6640.13</v>
      </c>
      <c r="F29" s="16">
        <f t="shared" si="2"/>
        <v>0.13209000000000001</v>
      </c>
      <c r="G29" s="20">
        <f>Submetering!F29+Submetering!G29</f>
        <v>519.99</v>
      </c>
      <c r="H29" s="16">
        <f t="shared" si="3"/>
        <v>0.10098</v>
      </c>
      <c r="I29" s="20">
        <f>Submetering!J29+Submetering!I29+Submetering!H29</f>
        <v>71.95</v>
      </c>
      <c r="J29" s="16">
        <f t="shared" si="4"/>
        <v>3.84</v>
      </c>
      <c r="K29" s="20">
        <f>Submetering!K29</f>
        <v>96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8" sqref="E28:J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457.49</v>
      </c>
      <c r="G16" s="38">
        <v>14.11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6701.33</v>
      </c>
      <c r="F17" s="38">
        <v>474.57</v>
      </c>
      <c r="G17" s="38">
        <v>14.77</v>
      </c>
      <c r="H17" s="38">
        <v>1.64</v>
      </c>
      <c r="I17" s="38">
        <v>28</v>
      </c>
      <c r="J17" s="38">
        <v>39</v>
      </c>
      <c r="K17">
        <v>97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>
        <v>6718.46</v>
      </c>
      <c r="F18" s="38">
        <v>352.21</v>
      </c>
      <c r="G18" s="38">
        <v>12.45</v>
      </c>
      <c r="H18" s="38">
        <v>1.84</v>
      </c>
      <c r="I18" s="38">
        <v>28</v>
      </c>
      <c r="J18" s="38">
        <v>47.5</v>
      </c>
      <c r="K18">
        <v>105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>
        <v>6956.93</v>
      </c>
      <c r="F19" s="38">
        <v>521.74</v>
      </c>
      <c r="G19" s="38">
        <v>8.9600000000000009</v>
      </c>
      <c r="H19" s="38">
        <v>1.75</v>
      </c>
      <c r="I19" s="38">
        <v>36</v>
      </c>
      <c r="J19" s="38">
        <v>83.5</v>
      </c>
      <c r="K19">
        <v>91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>
        <v>6902.25</v>
      </c>
      <c r="F20" s="38">
        <v>570.69000000000005</v>
      </c>
      <c r="G20" s="38">
        <v>20.420000000000002</v>
      </c>
      <c r="H20" s="38">
        <v>1.82</v>
      </c>
      <c r="I20" s="38">
        <v>33</v>
      </c>
      <c r="J20" s="38">
        <v>74.5</v>
      </c>
      <c r="K20">
        <v>78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>
        <v>6763.54</v>
      </c>
      <c r="F21" s="38">
        <v>465.6</v>
      </c>
      <c r="G21" s="38">
        <v>16.43</v>
      </c>
      <c r="H21" s="38">
        <v>1.8</v>
      </c>
      <c r="I21" s="38">
        <v>31.5</v>
      </c>
      <c r="J21" s="38">
        <v>57.5</v>
      </c>
      <c r="K21">
        <v>78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>
        <v>6759.83</v>
      </c>
      <c r="F22" s="38">
        <v>472.54</v>
      </c>
      <c r="G22" s="38">
        <v>15.69</v>
      </c>
      <c r="H22" s="38">
        <v>5.81</v>
      </c>
      <c r="I22" s="38">
        <v>27</v>
      </c>
      <c r="J22" s="38">
        <v>59</v>
      </c>
      <c r="K22">
        <v>83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>
        <v>6870.53</v>
      </c>
      <c r="F23" s="38">
        <v>440.7</v>
      </c>
      <c r="G23" s="38">
        <v>9.7100000000000009</v>
      </c>
      <c r="H23" s="38">
        <v>4.58</v>
      </c>
      <c r="I23" s="38">
        <v>28</v>
      </c>
      <c r="J23" s="38">
        <v>54.5</v>
      </c>
      <c r="K23">
        <v>80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>
        <v>6901.01</v>
      </c>
      <c r="F24" s="38">
        <v>309.18</v>
      </c>
      <c r="G24" s="38">
        <v>14.44</v>
      </c>
      <c r="H24" s="38">
        <v>1.6</v>
      </c>
      <c r="I24" s="38">
        <v>25</v>
      </c>
      <c r="J24" s="38">
        <v>43.5</v>
      </c>
      <c r="K24" s="42">
        <v>105</v>
      </c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>
        <v>6870.64</v>
      </c>
      <c r="F25" s="38">
        <v>352.11</v>
      </c>
      <c r="G25" s="38">
        <v>10.96</v>
      </c>
      <c r="H25" s="38">
        <v>1.7</v>
      </c>
      <c r="I25" s="38">
        <v>50.5</v>
      </c>
      <c r="J25" s="38">
        <v>50.5</v>
      </c>
      <c r="K25">
        <v>106</v>
      </c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>
        <v>7168.13</v>
      </c>
      <c r="F26" s="38">
        <v>448.72</v>
      </c>
      <c r="G26" s="38">
        <v>13.45</v>
      </c>
      <c r="H26" s="38">
        <v>1.78</v>
      </c>
      <c r="I26" s="38">
        <v>89.5</v>
      </c>
      <c r="J26" s="38">
        <v>55.5</v>
      </c>
      <c r="K26">
        <v>91</v>
      </c>
      <c r="L26" s="38"/>
      <c r="M26" s="42" t="s">
        <v>33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>
        <v>7155.41</v>
      </c>
      <c r="F27" s="38">
        <v>498.68</v>
      </c>
      <c r="G27" s="38">
        <v>21.91</v>
      </c>
      <c r="H27" s="38">
        <v>1.89</v>
      </c>
      <c r="I27" s="38">
        <v>27.5</v>
      </c>
      <c r="J27" s="38">
        <v>52</v>
      </c>
      <c r="K27">
        <v>86</v>
      </c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>
        <v>6640.13</v>
      </c>
      <c r="F28" s="38">
        <v>502.56</v>
      </c>
      <c r="G28" s="38">
        <v>17.43</v>
      </c>
      <c r="H28" s="38">
        <v>1.95</v>
      </c>
      <c r="I28" s="38">
        <v>25</v>
      </c>
      <c r="J28" s="38">
        <v>45</v>
      </c>
      <c r="K28">
        <v>104</v>
      </c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E29" s="38">
        <v>6640.13</v>
      </c>
      <c r="F29" s="38">
        <v>502.56</v>
      </c>
      <c r="G29" s="38">
        <v>17.43</v>
      </c>
      <c r="H29" s="38">
        <v>1.95</v>
      </c>
      <c r="I29" s="38">
        <v>25</v>
      </c>
      <c r="J29" s="38">
        <v>45</v>
      </c>
      <c r="K29">
        <v>96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2022-08-16T11:50:26Z</dcterms:modified>
</cp:coreProperties>
</file>