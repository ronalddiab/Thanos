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18873BEF-6A2E-4A26-B4B3-F42E7C8438F0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8" l="1"/>
  <c r="B9" i="8"/>
  <c r="B10" i="8"/>
  <c r="B4" i="2"/>
  <c r="S27" i="2"/>
  <c r="B20" i="4"/>
  <c r="B3" i="4"/>
  <c r="H21" i="2"/>
  <c r="C21" i="2"/>
  <c r="C22" i="2"/>
  <c r="C23" i="2"/>
  <c r="C24" i="2"/>
  <c r="O17" i="8" l="1"/>
  <c r="G17" i="8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<sst xmlns="http://schemas.openxmlformats.org/spreadsheetml/2006/main" count="201" uniqueCount="128">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</sst>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-2084000.0000000002</c:v>
                </c:pt>
                <c:pt idx="2">
                  <c:v>-202200</c:v>
                </c:pt>
                <c:pt idx="3">
                  <c:v>-804710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-185838</c:v>
                </c:pt>
                <c:pt idx="3">
                  <c:v>0.74676921593210532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-32171</c:v>
                </c:pt>
                <c:pt idx="7">
                  <c:v>0.12927556498537307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45</c:v>
                </c:pt>
                <c:pt idx="11">
                  <c:v>-1.8082746648664287E-4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3573.6999999999971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-731740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07616"/>
        <c:axId val="154609152"/>
      </c:barChart>
      <c:catAx>
        <c:axId val="1546076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54609152"/>
        <c:crosses val="autoZero"/>
        <c:auto val="1"/>
        <c:lblAlgn val="ctr"/>
        <c:lblOffset val="100"/>
        <c:noMultiLvlLbl val="0"/>
      </c:catAx>
      <c:valAx>
        <c:axId val="15460915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4607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3" sqref="M13:O13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>
        <v>22069.999999999709</v>
      </c>
      <c r="F2" s="48">
        <v>0.14000000000000001</v>
      </c>
      <c r="G2" s="107">
        <v>6660</v>
      </c>
      <c r="H2" s="48">
        <v>0.4453480216384178</v>
      </c>
      <c r="I2" s="65">
        <v>286.69999999999709</v>
      </c>
      <c r="J2" s="76">
        <v>0.4</v>
      </c>
      <c r="K2" s="108">
        <f>K33/31</f>
        <v>0</v>
      </c>
      <c r="L2" s="76">
        <v>1.5287027707808565</v>
      </c>
      <c r="M2" s="72">
        <v>56</v>
      </c>
      <c r="N2" s="72">
        <v>128</v>
      </c>
      <c r="O2" s="72">
        <v>304</v>
      </c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>
        <v>23210.000000000262</v>
      </c>
      <c r="F3" s="48">
        <v>0.14000000000000001</v>
      </c>
      <c r="G3" s="107">
        <v>6198</v>
      </c>
      <c r="H3" s="48">
        <v>0.4453480216384178</v>
      </c>
      <c r="I3" s="65">
        <v>259</v>
      </c>
      <c r="J3" s="76">
        <v>0.4</v>
      </c>
      <c r="K3" s="108">
        <v>0</v>
      </c>
      <c r="L3" s="76">
        <v>1.5287027707808565</v>
      </c>
      <c r="M3" s="72">
        <v>51</v>
      </c>
      <c r="N3" s="72">
        <v>113</v>
      </c>
      <c r="O3" s="72">
        <v>342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>
        <v>22360.000000000357</v>
      </c>
      <c r="F4" s="48">
        <v>0.14000000000000001</v>
      </c>
      <c r="G4" s="107">
        <v>6395</v>
      </c>
      <c r="H4" s="48">
        <v>0.4453480216384178</v>
      </c>
      <c r="I4" s="65">
        <v>265</v>
      </c>
      <c r="J4" s="76">
        <v>0.4</v>
      </c>
      <c r="K4" s="108">
        <v>0</v>
      </c>
      <c r="L4" s="76">
        <v>1.5287027707808565</v>
      </c>
      <c r="M4" s="72">
        <v>50</v>
      </c>
      <c r="N4" s="72">
        <v>111</v>
      </c>
      <c r="O4" s="72">
        <v>341</v>
      </c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>
        <v>22909.999999999625</v>
      </c>
      <c r="F5" s="48">
        <v>0.14000000000000001</v>
      </c>
      <c r="G5" s="107">
        <v>6606</v>
      </c>
      <c r="H5" s="48">
        <v>0.4453480216384178</v>
      </c>
      <c r="I5" s="65">
        <v>330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126</v>
      </c>
      <c r="O5" s="72">
        <v>339</v>
      </c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>
        <v>23109.999999999898</v>
      </c>
      <c r="F6" s="48">
        <v>0.14000000000000001</v>
      </c>
      <c r="G6" s="107">
        <v>6572</v>
      </c>
      <c r="H6" s="48">
        <v>0.4453480216384178</v>
      </c>
      <c r="I6" s="65">
        <v>273</v>
      </c>
      <c r="J6" s="76">
        <v>0.4</v>
      </c>
      <c r="K6" s="108">
        <v>0</v>
      </c>
      <c r="L6" s="76">
        <v>1.5287027707808565</v>
      </c>
      <c r="M6" s="72">
        <v>28</v>
      </c>
      <c r="N6" s="72">
        <v>69</v>
      </c>
      <c r="O6" s="72">
        <v>178</v>
      </c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>
        <v>22680.000000000065</v>
      </c>
      <c r="F7" s="48">
        <v>0.14000000000000001</v>
      </c>
      <c r="G7" s="107">
        <v>6477</v>
      </c>
      <c r="H7" s="48">
        <v>0.4453480216384178</v>
      </c>
      <c r="I7" s="65">
        <v>220</v>
      </c>
      <c r="J7" s="76">
        <v>0.4</v>
      </c>
      <c r="K7" s="108">
        <v>0</v>
      </c>
      <c r="L7" s="76">
        <v>1.5287027707808565</v>
      </c>
      <c r="M7" s="72">
        <v>28</v>
      </c>
      <c r="N7" s="72">
        <v>70</v>
      </c>
      <c r="O7" s="72">
        <v>175</v>
      </c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>
        <v>21099.99999999968</v>
      </c>
      <c r="F8" s="48">
        <v>0.14000000000000001</v>
      </c>
      <c r="G8" s="107">
        <v>6035</v>
      </c>
      <c r="H8" s="48">
        <v>0.4453480216384178</v>
      </c>
      <c r="I8" s="65">
        <v>329</v>
      </c>
      <c r="J8" s="76">
        <v>0.4</v>
      </c>
      <c r="K8" s="108">
        <v>0</v>
      </c>
      <c r="L8" s="76">
        <v>1.5287027707808565</v>
      </c>
      <c r="M8" s="72">
        <v>30</v>
      </c>
      <c r="N8" s="72">
        <v>78</v>
      </c>
      <c r="O8" s="72">
        <v>205</v>
      </c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>
        <v>21140.000000000095</v>
      </c>
      <c r="F9" s="48">
        <v>0.14000000000000001</v>
      </c>
      <c r="G9" s="107">
        <v>5946</v>
      </c>
      <c r="H9" s="48">
        <v>0.4453480216384178</v>
      </c>
      <c r="I9" s="65">
        <v>242.40000000000146</v>
      </c>
      <c r="J9" s="76">
        <v>0.4</v>
      </c>
      <c r="K9" s="108">
        <v>0</v>
      </c>
      <c r="L9" s="76">
        <v>1.5287027707808565</v>
      </c>
      <c r="M9" s="72">
        <v>34</v>
      </c>
      <c r="N9" s="72">
        <v>87</v>
      </c>
      <c r="O9" s="72">
        <v>226</v>
      </c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>
        <v>21810.000000000859</v>
      </c>
      <c r="F10" s="48">
        <v>0.14000000000000001</v>
      </c>
      <c r="G10" s="107">
        <v>6086</v>
      </c>
      <c r="H10" s="48">
        <v>0.4453480216384178</v>
      </c>
      <c r="I10" s="65">
        <v>219.59999999999854</v>
      </c>
      <c r="J10" s="76">
        <v>0.4</v>
      </c>
      <c r="K10" s="108">
        <v>0</v>
      </c>
      <c r="L10" s="76">
        <v>1.5287027707808565</v>
      </c>
      <c r="M10" s="72">
        <v>32</v>
      </c>
      <c r="N10" s="72">
        <v>82</v>
      </c>
      <c r="O10" s="72">
        <v>220</v>
      </c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>
        <v>20779.999999999745</v>
      </c>
      <c r="F11" s="48">
        <v>0.14000000000000001</v>
      </c>
      <c r="G11" s="107">
        <v>6030</v>
      </c>
      <c r="H11" s="48">
        <v>0.4453480216384178</v>
      </c>
      <c r="I11" s="65">
        <v>297</v>
      </c>
      <c r="J11" s="76">
        <v>0.4</v>
      </c>
      <c r="K11" s="108">
        <v>0</v>
      </c>
      <c r="L11" s="76">
        <v>1.5287027707808565</v>
      </c>
      <c r="M11" s="72">
        <v>32</v>
      </c>
      <c r="N11" s="72">
        <v>84</v>
      </c>
      <c r="O11" s="72">
        <v>190</v>
      </c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>
        <v>18449.999999999134</v>
      </c>
      <c r="F12" s="48">
        <v>0.14000000000000001</v>
      </c>
      <c r="G12" s="107">
        <v>5145</v>
      </c>
      <c r="H12" s="48">
        <v>0.4453480216384178</v>
      </c>
      <c r="I12" s="65">
        <v>300</v>
      </c>
      <c r="J12" s="76">
        <v>0.4</v>
      </c>
      <c r="K12" s="108">
        <v>0</v>
      </c>
      <c r="L12" s="76">
        <v>1.5287027707808565</v>
      </c>
      <c r="M12" s="72">
        <v>36</v>
      </c>
      <c r="N12" s="72">
        <v>94</v>
      </c>
      <c r="O12" s="72">
        <v>242</v>
      </c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>
        <v>21800.000000000182</v>
      </c>
      <c r="F13" s="48">
        <v>0.14000000000000001</v>
      </c>
      <c r="G13" s="107">
        <v>6214</v>
      </c>
      <c r="H13" s="48">
        <v>0.4453480216384178</v>
      </c>
      <c r="I13" s="65">
        <v>213</v>
      </c>
      <c r="J13" s="76">
        <v>0.4</v>
      </c>
      <c r="K13" s="108">
        <v>0</v>
      </c>
      <c r="L13" s="76">
        <v>1.5287027707808565</v>
      </c>
      <c r="M13" s="72">
        <v>38</v>
      </c>
      <c r="N13" s="72">
        <v>92</v>
      </c>
      <c r="O13" s="72">
        <v>275</v>
      </c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>
        <v>23610.000000000124</v>
      </c>
      <c r="F14" s="48">
        <v>0.14000000000000001</v>
      </c>
      <c r="G14" s="107">
        <v>6590</v>
      </c>
      <c r="H14" s="48">
        <v>0.4453480216384178</v>
      </c>
      <c r="I14" s="65">
        <v>339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285029.99999999971</v>
      </c>
      <c r="F33" s="104">
        <v>0</v>
      </c>
      <c r="G33" s="101">
        <f>SUM(G2:G32)</f>
        <v>80954</v>
      </c>
      <c r="H33" s="102">
        <v>0</v>
      </c>
      <c r="I33" s="103">
        <f>SUM(I2:I32)</f>
        <v>3573.6999999999971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470</v>
      </c>
      <c r="N33" s="106">
        <f t="shared" si="1"/>
        <v>1134</v>
      </c>
      <c r="O33" s="106">
        <f t="shared" si="1"/>
        <v>3037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15" sqref="V15:X1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>
        <v>56</v>
      </c>
      <c r="W4" s="71">
        <v>128</v>
      </c>
      <c r="X4" s="71">
        <v>304</v>
      </c>
      <c r="Y4" s="17"/>
    </row>
    <row r="5" spans="1:25" ht="21" customHeight="1" x14ac:dyDescent="0.25">
      <c r="A5" s="8">
        <v>44257</v>
      </c>
      <c r="B5" s="1">
        <v>823.87</v>
      </c>
      <c r="C5" s="1">
        <v>202.45</v>
      </c>
      <c r="D5" s="1">
        <v>7191198.0599999996</v>
      </c>
      <c r="E5" s="1">
        <v>7813711.1500000004</v>
      </c>
      <c r="F5" s="1">
        <v>2.0863</v>
      </c>
      <c r="G5" s="1">
        <v>635.36</v>
      </c>
      <c r="H5" s="1">
        <v>533.65</v>
      </c>
      <c r="I5" s="1">
        <v>197.4</v>
      </c>
      <c r="J5" s="1">
        <v>290.52</v>
      </c>
      <c r="K5" s="1">
        <v>305.72000000000003</v>
      </c>
      <c r="L5" s="1">
        <v>209.29</v>
      </c>
      <c r="M5" s="1">
        <v>428.35</v>
      </c>
      <c r="N5" s="1">
        <v>376.91</v>
      </c>
      <c r="O5" s="1">
        <v>121.59</v>
      </c>
      <c r="P5" s="1">
        <v>496.52</v>
      </c>
      <c r="Q5" s="1">
        <v>371.5</v>
      </c>
      <c r="R5" s="1">
        <v>124.05</v>
      </c>
      <c r="S5" s="1">
        <v>99.591999999999999</v>
      </c>
      <c r="T5" s="1">
        <v>364.63</v>
      </c>
      <c r="V5" s="71">
        <v>51</v>
      </c>
      <c r="W5" s="71">
        <v>113</v>
      </c>
      <c r="X5" s="71">
        <v>342</v>
      </c>
      <c r="Y5" s="17"/>
    </row>
    <row r="6" spans="1:25" ht="21" customHeight="1" x14ac:dyDescent="0.25">
      <c r="A6" s="8">
        <v>44258</v>
      </c>
      <c r="B6" s="1">
        <v>825.05</v>
      </c>
      <c r="C6" s="1">
        <v>202.7</v>
      </c>
      <c r="D6" s="1">
        <v>7193371.4000000004</v>
      </c>
      <c r="E6" s="1">
        <v>7816547.6500000004</v>
      </c>
      <c r="F6" s="1">
        <v>2.0886999999999998</v>
      </c>
      <c r="G6" s="1">
        <v>636.39</v>
      </c>
      <c r="H6" s="1">
        <v>534.48</v>
      </c>
      <c r="I6" s="1">
        <v>197.76</v>
      </c>
      <c r="J6" s="1">
        <v>290.79000000000002</v>
      </c>
      <c r="K6" s="1">
        <v>306.14999999999998</v>
      </c>
      <c r="L6" s="1">
        <v>209.53</v>
      </c>
      <c r="M6" s="1">
        <v>429.07</v>
      </c>
      <c r="N6" s="1">
        <v>377.73</v>
      </c>
      <c r="O6" s="1">
        <v>121.9</v>
      </c>
      <c r="P6" s="1">
        <v>497.5</v>
      </c>
      <c r="Q6" s="1">
        <v>372.36</v>
      </c>
      <c r="R6" s="1">
        <v>124.12</v>
      </c>
      <c r="S6" s="1">
        <v>99.74</v>
      </c>
      <c r="T6" s="1">
        <v>365.13</v>
      </c>
      <c r="V6" s="71">
        <v>50</v>
      </c>
      <c r="W6" s="71">
        <v>111</v>
      </c>
      <c r="X6" s="71">
        <v>341</v>
      </c>
      <c r="Y6" s="17"/>
    </row>
    <row r="7" spans="1:25" ht="21" customHeight="1" x14ac:dyDescent="0.25">
      <c r="A7" s="8">
        <v>44259</v>
      </c>
      <c r="B7" s="1">
        <v>826.2</v>
      </c>
      <c r="C7" s="1">
        <v>202.94</v>
      </c>
      <c r="D7" s="1">
        <v>7195478.4500000002</v>
      </c>
      <c r="E7" s="1">
        <v>7819494.3399999999</v>
      </c>
      <c r="F7" s="1">
        <v>2.0912000000000002</v>
      </c>
      <c r="G7" s="1">
        <v>637.38</v>
      </c>
      <c r="H7" s="1">
        <v>535.25</v>
      </c>
      <c r="I7" s="1">
        <v>198.1</v>
      </c>
      <c r="J7" s="1">
        <v>291.12</v>
      </c>
      <c r="K7" s="1">
        <v>306.56</v>
      </c>
      <c r="L7" s="1">
        <v>209.79</v>
      </c>
      <c r="M7" s="1">
        <v>429.74</v>
      </c>
      <c r="N7" s="1">
        <v>378.57</v>
      </c>
      <c r="O7" s="1">
        <v>122.15</v>
      </c>
      <c r="P7" s="1">
        <v>498.46</v>
      </c>
      <c r="Q7" s="1">
        <v>373.16</v>
      </c>
      <c r="R7" s="1">
        <v>124.2</v>
      </c>
      <c r="S7" s="1">
        <v>99.83</v>
      </c>
      <c r="T7" s="1">
        <v>365.65</v>
      </c>
      <c r="V7" s="71">
        <v>55</v>
      </c>
      <c r="W7" s="71">
        <v>126</v>
      </c>
      <c r="X7" s="71">
        <v>339</v>
      </c>
      <c r="Y7" s="17"/>
    </row>
    <row r="8" spans="1:25" ht="21" customHeight="1" x14ac:dyDescent="0.25">
      <c r="A8" s="8">
        <v>44260</v>
      </c>
      <c r="B8" s="1">
        <v>827.4</v>
      </c>
      <c r="C8" s="1">
        <v>203.17</v>
      </c>
      <c r="D8" s="1">
        <v>7197919.7000000002</v>
      </c>
      <c r="E8" s="1">
        <v>7822436.8899999997</v>
      </c>
      <c r="F8" s="1">
        <v>2.0935999999999999</v>
      </c>
      <c r="G8" s="1">
        <v>638.38</v>
      </c>
      <c r="H8" s="1">
        <v>536.1</v>
      </c>
      <c r="I8" s="1">
        <v>198.36</v>
      </c>
      <c r="J8" s="1">
        <v>291.42</v>
      </c>
      <c r="K8" s="1">
        <v>307</v>
      </c>
      <c r="L8" s="1">
        <v>210.04</v>
      </c>
      <c r="M8" s="1">
        <v>430.45</v>
      </c>
      <c r="N8" s="1">
        <v>379.49</v>
      </c>
      <c r="O8" s="1">
        <v>122.48</v>
      </c>
      <c r="P8" s="1">
        <v>499.43</v>
      </c>
      <c r="Q8" s="1">
        <v>373.93</v>
      </c>
      <c r="R8" s="1">
        <v>124.29</v>
      </c>
      <c r="S8" s="1">
        <v>99.882999999999996</v>
      </c>
      <c r="T8" s="1">
        <v>366.17</v>
      </c>
      <c r="V8" s="71">
        <v>28</v>
      </c>
      <c r="W8" s="71">
        <v>69</v>
      </c>
      <c r="X8" s="71">
        <v>178</v>
      </c>
      <c r="Y8" s="17"/>
    </row>
    <row r="9" spans="1:25" ht="21" customHeight="1" x14ac:dyDescent="0.25">
      <c r="A9" s="8">
        <v>44261</v>
      </c>
      <c r="B9" s="1">
        <v>828.63</v>
      </c>
      <c r="C9" s="1">
        <v>203.42</v>
      </c>
      <c r="D9" s="1">
        <v>7200430.9100000001</v>
      </c>
      <c r="E9" s="1">
        <v>7825459.2999999998</v>
      </c>
      <c r="F9" s="1">
        <v>2.0958999999999999</v>
      </c>
      <c r="G9" s="1">
        <v>639.29999999999995</v>
      </c>
      <c r="H9" s="1">
        <v>537.12</v>
      </c>
      <c r="I9" s="1">
        <v>198.7</v>
      </c>
      <c r="J9" s="1">
        <v>291.69</v>
      </c>
      <c r="K9" s="1">
        <v>307.39999999999998</v>
      </c>
      <c r="L9" s="1">
        <v>210.26</v>
      </c>
      <c r="M9" s="1">
        <v>431.16</v>
      </c>
      <c r="N9" s="1">
        <v>380.45</v>
      </c>
      <c r="O9" s="1">
        <v>122.74</v>
      </c>
      <c r="P9" s="1">
        <v>500.44</v>
      </c>
      <c r="Q9" s="1">
        <v>374.83</v>
      </c>
      <c r="R9" s="1">
        <v>124.46</v>
      </c>
      <c r="S9" s="1">
        <v>100.02</v>
      </c>
      <c r="T9" s="1">
        <v>366.68</v>
      </c>
      <c r="V9" s="71">
        <v>28</v>
      </c>
      <c r="W9" s="71">
        <v>70</v>
      </c>
      <c r="X9" s="71">
        <v>175</v>
      </c>
      <c r="Y9" s="17"/>
    </row>
    <row r="10" spans="1:25" ht="21" customHeight="1" x14ac:dyDescent="0.25">
      <c r="A10" s="8">
        <v>44262</v>
      </c>
      <c r="B10" s="1">
        <v>829.97</v>
      </c>
      <c r="C10" s="1">
        <v>203.67</v>
      </c>
      <c r="D10" s="1">
        <v>7202605.0800000001</v>
      </c>
      <c r="E10" s="1">
        <v>7828346.0599999996</v>
      </c>
      <c r="F10" s="1">
        <v>2.0983000000000001</v>
      </c>
      <c r="G10" s="1">
        <v>640.17999999999995</v>
      </c>
      <c r="H10" s="1">
        <v>538.05999999999995</v>
      </c>
      <c r="I10" s="1">
        <v>199.04</v>
      </c>
      <c r="J10" s="1">
        <v>291.98</v>
      </c>
      <c r="K10" s="1">
        <v>307.83</v>
      </c>
      <c r="L10" s="1">
        <v>210.5</v>
      </c>
      <c r="M10" s="1">
        <v>431.88</v>
      </c>
      <c r="N10" s="1">
        <v>381.35</v>
      </c>
      <c r="O10" s="1">
        <v>122.97</v>
      </c>
      <c r="P10" s="1">
        <v>501.51</v>
      </c>
      <c r="Q10" s="1">
        <v>375.61</v>
      </c>
      <c r="R10" s="1">
        <v>124.65</v>
      </c>
      <c r="S10" s="1">
        <v>100.16</v>
      </c>
      <c r="T10" s="1">
        <v>367.18</v>
      </c>
      <c r="V10" s="71">
        <v>30</v>
      </c>
      <c r="W10" s="71">
        <v>78</v>
      </c>
      <c r="X10" s="71">
        <v>205</v>
      </c>
      <c r="Y10" s="17"/>
    </row>
    <row r="11" spans="1:25" ht="21" customHeight="1" x14ac:dyDescent="0.25">
      <c r="A11" s="8">
        <v>44263</v>
      </c>
      <c r="B11" s="1">
        <v>831.24</v>
      </c>
      <c r="C11" s="1">
        <v>203.88</v>
      </c>
      <c r="D11" s="1">
        <v>7204562.9000000004</v>
      </c>
      <c r="E11" s="1">
        <v>7831066.2000000002</v>
      </c>
      <c r="F11" s="1">
        <v>2.1006</v>
      </c>
      <c r="G11" s="1">
        <v>641.01</v>
      </c>
      <c r="H11" s="1">
        <v>538.91999999999996</v>
      </c>
      <c r="I11" s="1">
        <v>199.36</v>
      </c>
      <c r="J11" s="1">
        <v>292.2</v>
      </c>
      <c r="K11" s="1">
        <v>308.19</v>
      </c>
      <c r="L11" s="1">
        <v>210.73</v>
      </c>
      <c r="M11" s="1">
        <v>432.57</v>
      </c>
      <c r="N11" s="1">
        <v>382.25</v>
      </c>
      <c r="O11" s="1">
        <v>123.19</v>
      </c>
      <c r="P11" s="1">
        <v>502.51</v>
      </c>
      <c r="Q11" s="1">
        <v>376.32</v>
      </c>
      <c r="R11" s="1">
        <v>124.75</v>
      </c>
      <c r="S11" s="1">
        <v>100.21</v>
      </c>
      <c r="T11" s="1">
        <v>367.66</v>
      </c>
      <c r="V11" s="71">
        <v>34</v>
      </c>
      <c r="W11" s="71">
        <v>87</v>
      </c>
      <c r="X11" s="71">
        <v>226</v>
      </c>
      <c r="Y11" s="17"/>
    </row>
    <row r="12" spans="1:25" ht="21" customHeight="1" x14ac:dyDescent="0.25">
      <c r="A12" s="8">
        <v>44264</v>
      </c>
      <c r="B12" s="1">
        <v>832.36</v>
      </c>
      <c r="C12" s="1">
        <v>204.13</v>
      </c>
      <c r="D12" s="1">
        <v>7206805.2000000002</v>
      </c>
      <c r="E12" s="1">
        <v>7833854.7199999997</v>
      </c>
      <c r="F12" s="1">
        <v>2.1029</v>
      </c>
      <c r="G12" s="1">
        <v>641.96</v>
      </c>
      <c r="H12" s="1">
        <v>539.66</v>
      </c>
      <c r="I12" s="1">
        <v>199.7</v>
      </c>
      <c r="J12" s="1">
        <v>292.24</v>
      </c>
      <c r="K12" s="1">
        <v>308.54000000000002</v>
      </c>
      <c r="L12" s="1">
        <v>210.97</v>
      </c>
      <c r="M12" s="1">
        <v>433.33</v>
      </c>
      <c r="N12" s="1">
        <v>383.06</v>
      </c>
      <c r="O12" s="1">
        <v>123.44</v>
      </c>
      <c r="P12" s="1">
        <v>503.49</v>
      </c>
      <c r="Q12" s="1">
        <v>377.04</v>
      </c>
      <c r="R12" s="1">
        <v>124.87</v>
      </c>
      <c r="S12" s="1">
        <v>100.27</v>
      </c>
      <c r="T12" s="1">
        <v>368.15</v>
      </c>
      <c r="V12" s="71">
        <v>32</v>
      </c>
      <c r="W12" s="71">
        <v>82</v>
      </c>
      <c r="X12" s="71">
        <v>220</v>
      </c>
      <c r="Y12" s="17"/>
    </row>
    <row r="13" spans="1:25" ht="21" customHeight="1" x14ac:dyDescent="0.25">
      <c r="A13" s="8">
        <v>44265</v>
      </c>
      <c r="B13" s="1">
        <v>833.46</v>
      </c>
      <c r="C13" s="1">
        <v>204.35</v>
      </c>
      <c r="D13" s="1">
        <v>7209153.1900000004</v>
      </c>
      <c r="E13" s="1">
        <v>7836582.9500000002</v>
      </c>
      <c r="F13" s="1">
        <v>2.1053000000000002</v>
      </c>
      <c r="G13" s="1">
        <v>642.82000000000005</v>
      </c>
      <c r="H13" s="1">
        <v>540.41999999999996</v>
      </c>
      <c r="I13" s="1">
        <v>200</v>
      </c>
      <c r="J13" s="1">
        <v>292.27999999999997</v>
      </c>
      <c r="K13" s="1">
        <v>308.88</v>
      </c>
      <c r="L13" s="1">
        <v>211.2</v>
      </c>
      <c r="M13" s="1">
        <v>434.07</v>
      </c>
      <c r="N13" s="1">
        <v>383.93</v>
      </c>
      <c r="O13" s="1">
        <v>123.66</v>
      </c>
      <c r="P13" s="1">
        <v>504.53</v>
      </c>
      <c r="Q13" s="1">
        <v>377.81</v>
      </c>
      <c r="R13" s="1">
        <v>124.92</v>
      </c>
      <c r="S13" s="1">
        <v>100.27</v>
      </c>
      <c r="T13" s="1">
        <v>368.84</v>
      </c>
      <c r="V13" s="71">
        <v>32</v>
      </c>
      <c r="W13" s="71">
        <v>84</v>
      </c>
      <c r="X13" s="71">
        <v>190</v>
      </c>
      <c r="Y13" s="17"/>
    </row>
    <row r="14" spans="1:25" ht="21" customHeight="1" x14ac:dyDescent="0.25">
      <c r="A14" s="8">
        <v>44266</v>
      </c>
      <c r="B14" s="1">
        <v>834.68</v>
      </c>
      <c r="C14" s="1">
        <v>204.58</v>
      </c>
      <c r="D14" s="1">
        <v>7211533.5899999999</v>
      </c>
      <c r="E14" s="1">
        <v>7839332.0999999996</v>
      </c>
      <c r="F14" s="1">
        <v>2.1076999999999999</v>
      </c>
      <c r="G14" s="1">
        <v>643.59</v>
      </c>
      <c r="H14" s="1">
        <v>541.15</v>
      </c>
      <c r="I14" s="1">
        <v>200.3</v>
      </c>
      <c r="J14" s="1">
        <v>292.48</v>
      </c>
      <c r="K14" s="1">
        <v>309.25</v>
      </c>
      <c r="L14" s="1">
        <v>211.45</v>
      </c>
      <c r="M14" s="1">
        <v>434.78</v>
      </c>
      <c r="N14" s="1">
        <v>384.69</v>
      </c>
      <c r="O14" s="1">
        <v>123.89</v>
      </c>
      <c r="P14" s="1">
        <v>505.44</v>
      </c>
      <c r="Q14" s="1">
        <v>378.53</v>
      </c>
      <c r="R14" s="1">
        <v>125.07</v>
      </c>
      <c r="S14" s="1">
        <v>100.36</v>
      </c>
      <c r="T14" s="1">
        <v>369.13</v>
      </c>
      <c r="V14" s="71">
        <v>36</v>
      </c>
      <c r="W14" s="71">
        <v>94</v>
      </c>
      <c r="X14" s="71">
        <v>242</v>
      </c>
      <c r="Y14" s="17"/>
    </row>
    <row r="15" spans="1:25" ht="21" customHeight="1" x14ac:dyDescent="0.25">
      <c r="A15" s="8">
        <v>44267</v>
      </c>
      <c r="B15" s="1">
        <v>835.6</v>
      </c>
      <c r="C15" s="1">
        <v>204.8</v>
      </c>
      <c r="D15" s="1">
        <v>7213309.6100000003</v>
      </c>
      <c r="E15" s="1">
        <v>7841305.5999999996</v>
      </c>
      <c r="F15" s="1">
        <v>2.1097999999999999</v>
      </c>
      <c r="G15" s="1">
        <v>644.20000000000005</v>
      </c>
      <c r="H15" s="1">
        <v>541.59</v>
      </c>
      <c r="I15" s="1">
        <v>200.49</v>
      </c>
      <c r="J15" s="1">
        <v>292.72000000000003</v>
      </c>
      <c r="K15" s="1">
        <v>309.52</v>
      </c>
      <c r="L15" s="1">
        <v>211.64</v>
      </c>
      <c r="M15" s="1">
        <v>435.21</v>
      </c>
      <c r="N15" s="1">
        <v>385.17</v>
      </c>
      <c r="O15" s="1">
        <v>124.11</v>
      </c>
      <c r="P15" s="1">
        <v>506.1</v>
      </c>
      <c r="Q15" s="1">
        <v>378.99</v>
      </c>
      <c r="R15" s="1">
        <v>125.26</v>
      </c>
      <c r="S15" s="1">
        <v>100.51</v>
      </c>
      <c r="T15" s="1">
        <v>369.56</v>
      </c>
      <c r="V15" s="71">
        <v>38</v>
      </c>
      <c r="W15" s="71">
        <v>92</v>
      </c>
      <c r="X15" s="71">
        <v>275</v>
      </c>
      <c r="Y15" s="17"/>
    </row>
    <row r="16" spans="1:25" ht="21" customHeight="1" x14ac:dyDescent="0.25">
      <c r="A16" s="8">
        <v>44268</v>
      </c>
      <c r="B16" s="1">
        <v>836.82</v>
      </c>
      <c r="C16" s="1">
        <v>205.06</v>
      </c>
      <c r="D16" s="1">
        <v>7215903.8799999999</v>
      </c>
      <c r="E16" s="1">
        <v>7843974.1600000001</v>
      </c>
      <c r="F16" s="1">
        <v>2.1122000000000001</v>
      </c>
      <c r="G16" s="1">
        <v>645.15</v>
      </c>
      <c r="H16" s="1">
        <v>542.47</v>
      </c>
      <c r="I16" s="1">
        <v>200.79</v>
      </c>
      <c r="J16" s="1">
        <v>292.94</v>
      </c>
      <c r="K16" s="1">
        <v>309.86</v>
      </c>
      <c r="L16" s="1">
        <v>211.86</v>
      </c>
      <c r="M16" s="1">
        <v>435.87</v>
      </c>
      <c r="N16" s="1">
        <v>385.94</v>
      </c>
      <c r="O16" s="1">
        <v>124.35</v>
      </c>
      <c r="P16" s="1">
        <v>507.03</v>
      </c>
      <c r="Q16" s="1">
        <v>379.57</v>
      </c>
      <c r="R16" s="1">
        <v>125.52</v>
      </c>
      <c r="S16" s="1">
        <v>100.67</v>
      </c>
      <c r="T16" s="1">
        <v>369.8</v>
      </c>
      <c r="V16" s="71"/>
      <c r="W16" s="71"/>
      <c r="X16" s="71"/>
      <c r="Y16" s="17"/>
    </row>
    <row r="17" spans="1:25" ht="21" customHeight="1" x14ac:dyDescent="0.25">
      <c r="A17" s="8">
        <v>44269</v>
      </c>
      <c r="B17" s="1">
        <v>838.08</v>
      </c>
      <c r="C17" s="1">
        <v>205.28</v>
      </c>
      <c r="D17" s="1">
        <v>7218523.3099999996</v>
      </c>
      <c r="E17" s="1">
        <v>7847064.7599999998</v>
      </c>
      <c r="F17" s="1">
        <v>2.1145999999999998</v>
      </c>
      <c r="G17" s="1">
        <v>646.1</v>
      </c>
      <c r="H17" s="1">
        <v>543.29999999999995</v>
      </c>
      <c r="I17" s="1">
        <v>201.11</v>
      </c>
      <c r="J17" s="1">
        <v>293.23</v>
      </c>
      <c r="K17" s="1">
        <v>310.20999999999998</v>
      </c>
      <c r="L17" s="1">
        <v>212.09</v>
      </c>
      <c r="M17" s="1">
        <v>436.57</v>
      </c>
      <c r="N17" s="1">
        <v>386.77</v>
      </c>
      <c r="O17" s="1">
        <v>124.55</v>
      </c>
      <c r="P17" s="1">
        <v>508.04</v>
      </c>
      <c r="Q17" s="1">
        <v>380.23</v>
      </c>
      <c r="R17" s="1">
        <v>125.8</v>
      </c>
      <c r="S17" s="1">
        <v>100.81</v>
      </c>
      <c r="T17" s="1">
        <v>370.31</v>
      </c>
      <c r="V17" s="71"/>
      <c r="W17" s="71"/>
      <c r="X17" s="71"/>
      <c r="Y17" s="17"/>
    </row>
    <row r="18" spans="1:25" ht="21" customHeight="1" x14ac:dyDescent="0.25">
      <c r="A18" s="8">
        <v>44270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44271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44272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44273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44274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44275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44278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44280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44281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44282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470</v>
      </c>
      <c r="W35" s="78">
        <f>SUM(W4:W34)</f>
        <v>1134</v>
      </c>
      <c r="X35" s="78">
        <f>SUM(X4:X34)</f>
        <v>3037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P19" sqref="P1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22069.999999999709</v>
      </c>
      <c r="C4" s="4">
        <f>('Kwh Reading'!T5-'Kwh Reading'!T4)*1000</f>
        <v>509.99999999999091</v>
      </c>
      <c r="D4" s="2">
        <f>('Kwh Reading'!F5-'Kwh Reading'!F4)*1000000</f>
        <v>2299.9999999999686</v>
      </c>
      <c r="E4" s="2">
        <f>('Kwh Reading'!C5-'Kwh Reading'!C4)*1000</f>
        <v>250</v>
      </c>
      <c r="F4" s="2">
        <f>('Kwh Reading'!J5-'Kwh Reading'!J4)*1000</f>
        <v>229.99999999996135</v>
      </c>
      <c r="G4" s="2">
        <f>('Kwh Reading'!K5-'Kwh Reading'!K4)*1000</f>
        <v>350.00000000002274</v>
      </c>
      <c r="H4" s="2">
        <f>('Kwh Reading'!L5-'Kwh Reading'!L4)*1000</f>
        <v>239.99999999998067</v>
      </c>
      <c r="I4" s="2">
        <f>('Kwh Reading'!R5-'Kwh Reading'!R4)*1000</f>
        <v>39.999999999992042</v>
      </c>
      <c r="J4" s="2">
        <f>('Kwh Reading'!S5-'Kwh Reading'!S4)*1000</f>
        <v>150.99999999999625</v>
      </c>
      <c r="K4" s="2">
        <f>('Kwh Reading'!I5-'Kwh Reading'!I4)*1000</f>
        <v>310.00000000000227</v>
      </c>
      <c r="L4" s="2">
        <f>('Kwh Reading'!B5-'Kwh Reading'!B4)*1000</f>
        <v>1210.0000000000364</v>
      </c>
      <c r="M4" s="2">
        <f>('Kwh Reading'!M5-'Kwh Reading'!M4)*1000</f>
        <v>760.00000000004775</v>
      </c>
      <c r="N4" s="2">
        <f>('Kwh Reading'!H5-'Kwh Reading'!H4)*1000</f>
        <v>860.00000000001364</v>
      </c>
      <c r="O4" s="2">
        <f>('Kwh Reading'!P5-'Kwh Reading'!P4)*1000</f>
        <v>899.99999999997726</v>
      </c>
      <c r="P4" s="2">
        <f>('Kwh Reading'!G5-'Kwh Reading'!G4)*1000</f>
        <v>1009.9999999999909</v>
      </c>
      <c r="Q4" s="2">
        <f>('Kwh Reading'!Q5-'Kwh Reading'!Q4)*1000</f>
        <v>850.00000000002274</v>
      </c>
      <c r="R4" s="2">
        <f>('Kwh Reading'!N5-'Kwh Reading'!N4)*1000</f>
        <v>870.00000000000455</v>
      </c>
      <c r="S4" s="2">
        <f>'Kwh Reading'!E5-'Kwh Reading'!E4</f>
        <v>2953.1699999999255</v>
      </c>
      <c r="T4" s="2">
        <f>'Kwh Reading'!D5-'Kwh Reading'!D4</f>
        <v>2253.8199999993667</v>
      </c>
      <c r="U4" s="27">
        <f>('Kwh Reading'!O5-'Kwh Reading'!O4)*1000</f>
        <v>250</v>
      </c>
      <c r="V4" s="16">
        <f>B4-(SUM(C4:U4))</f>
        <v>5772.0100000004095</v>
      </c>
    </row>
    <row r="5" spans="1:22" x14ac:dyDescent="0.25">
      <c r="A5" s="3">
        <f>'Kwh Reading'!A5</f>
        <v>44257</v>
      </c>
      <c r="B5" s="26">
        <f>TOTAL!E3</f>
        <v>23210.000000000262</v>
      </c>
      <c r="C5" s="4">
        <f>('Kwh Reading'!T6-'Kwh Reading'!T5)*1000</f>
        <v>500</v>
      </c>
      <c r="D5" s="2">
        <f>('Kwh Reading'!F6-'Kwh Reading'!F5)*1000000</f>
        <v>2399.9999999997358</v>
      </c>
      <c r="E5" s="2">
        <f>('Kwh Reading'!C6-'Kwh Reading'!C5)*1000</f>
        <v>250</v>
      </c>
      <c r="F5" s="2">
        <f>('Kwh Reading'!J6-'Kwh Reading'!J5)*1000</f>
        <v>270.00000000003865</v>
      </c>
      <c r="G5" s="2">
        <f>('Kwh Reading'!K6-'Kwh Reading'!K5)*1000</f>
        <v>429.99999999994998</v>
      </c>
      <c r="H5" s="2">
        <f>('Kwh Reading'!L6-'Kwh Reading'!L5)*1000</f>
        <v>240.00000000000909</v>
      </c>
      <c r="I5" s="2">
        <f>('Kwh Reading'!R6-'Kwh Reading'!R5)*1000</f>
        <v>70.00000000000739</v>
      </c>
      <c r="J5" s="2">
        <f>('Kwh Reading'!S6-'Kwh Reading'!S5)*1000</f>
        <v>147.99999999999613</v>
      </c>
      <c r="K5" s="2">
        <f>('Kwh Reading'!I6-'Kwh Reading'!I5)*1000</f>
        <v>359.99999999998522</v>
      </c>
      <c r="L5" s="2">
        <f>('Kwh Reading'!B6-'Kwh Reading'!B5)*1000</f>
        <v>1179.99999999995</v>
      </c>
      <c r="M5" s="2">
        <f>('Kwh Reading'!M6-'Kwh Reading'!M5)*1000</f>
        <v>719.99999999997044</v>
      </c>
      <c r="N5" s="2">
        <f>('Kwh Reading'!H6-'Kwh Reading'!H5)*1000</f>
        <v>830.00000000004093</v>
      </c>
      <c r="O5" s="2">
        <f>('Kwh Reading'!P6-'Kwh Reading'!P5)*1000</f>
        <v>980.00000000001819</v>
      </c>
      <c r="P5" s="2">
        <f>('Kwh Reading'!G6-'Kwh Reading'!G5)*1000</f>
        <v>1029.9999999999727</v>
      </c>
      <c r="Q5" s="2">
        <f>('Kwh Reading'!Q6-'Kwh Reading'!Q5)*1000</f>
        <v>860.00000000001364</v>
      </c>
      <c r="R5" s="2">
        <f>('Kwh Reading'!N6-'Kwh Reading'!N5)*1000</f>
        <v>819.99999999999318</v>
      </c>
      <c r="S5" s="2">
        <f>'Kwh Reading'!E6-'Kwh Reading'!E5</f>
        <v>2836.5</v>
      </c>
      <c r="T5" s="2">
        <f>'Kwh Reading'!D6-'Kwh Reading'!D5</f>
        <v>2173.3400000007823</v>
      </c>
      <c r="U5" s="27">
        <f>('Kwh Reading'!O6-'Kwh Reading'!O5)*1000</f>
        <v>310.00000000000227</v>
      </c>
      <c r="V5" s="16">
        <f>B5-(SUM(C5:U5))</f>
        <v>6802.1599999997961</v>
      </c>
    </row>
    <row r="6" spans="1:22" x14ac:dyDescent="0.25">
      <c r="A6" s="3">
        <f>'Kwh Reading'!A6</f>
        <v>44258</v>
      </c>
      <c r="B6" s="26">
        <f>TOTAL!E4</f>
        <v>22360.000000000357</v>
      </c>
      <c r="C6" s="4">
        <f>('Kwh Reading'!T7-'Kwh Reading'!T6)*1000</f>
        <v>519.99999999998181</v>
      </c>
      <c r="D6" s="2">
        <f>('Kwh Reading'!F7-'Kwh Reading'!F6)*1000000</f>
        <v>2500.0000000003906</v>
      </c>
      <c r="E6" s="2">
        <f>('Kwh Reading'!C7-'Kwh Reading'!C6)*1000</f>
        <v>240.00000000000909</v>
      </c>
      <c r="F6" s="2">
        <f>('Kwh Reading'!J7-'Kwh Reading'!J6)*1000</f>
        <v>329.99999999998408</v>
      </c>
      <c r="G6" s="2">
        <f>('Kwh Reading'!K7-'Kwh Reading'!K6)*1000</f>
        <v>410.00000000002501</v>
      </c>
      <c r="H6" s="2">
        <f>('Kwh Reading'!L7-'Kwh Reading'!L6)*1000</f>
        <v>259.99999999999091</v>
      </c>
      <c r="I6" s="2">
        <f>('Kwh Reading'!R7-'Kwh Reading'!R6)*1000</f>
        <v>79.999999999998295</v>
      </c>
      <c r="J6" s="2">
        <f>('Kwh Reading'!S7-'Kwh Reading'!S6)*1000</f>
        <v>90.000000000003411</v>
      </c>
      <c r="K6" s="2">
        <f>('Kwh Reading'!I7-'Kwh Reading'!I6)*1000</f>
        <v>340.00000000000341</v>
      </c>
      <c r="L6" s="2">
        <f>('Kwh Reading'!B7-'Kwh Reading'!B6)*1000</f>
        <v>1150.0000000000909</v>
      </c>
      <c r="M6" s="2">
        <f>('Kwh Reading'!M7-'Kwh Reading'!M6)*1000</f>
        <v>670.00000000001592</v>
      </c>
      <c r="N6" s="2">
        <f>('Kwh Reading'!H7-'Kwh Reading'!H6)*1000</f>
        <v>769.99999999998181</v>
      </c>
      <c r="O6" s="2">
        <f>('Kwh Reading'!P7-'Kwh Reading'!P6)*1000</f>
        <v>959.99999999997954</v>
      </c>
      <c r="P6" s="2">
        <f>('Kwh Reading'!G7-'Kwh Reading'!G6)*1000</f>
        <v>990.00000000000909</v>
      </c>
      <c r="Q6" s="2">
        <f>('Kwh Reading'!Q7-'Kwh Reading'!Q6)*1000</f>
        <v>800.00000000001137</v>
      </c>
      <c r="R6" s="2">
        <f>('Kwh Reading'!N7-'Kwh Reading'!N6)*1000</f>
        <v>839.99999999997499</v>
      </c>
      <c r="S6" s="2">
        <f>'Kwh Reading'!E7-'Kwh Reading'!E6</f>
        <v>2946.6899999994785</v>
      </c>
      <c r="T6" s="2">
        <f>'Kwh Reading'!D7-'Kwh Reading'!D6</f>
        <v>2107.0499999998137</v>
      </c>
      <c r="U6" s="27">
        <f>('Kwh Reading'!O7-'Kwh Reading'!O6)*1000</f>
        <v>250</v>
      </c>
      <c r="V6" s="16">
        <f t="shared" ref="V6:V34" si="0">B6-(SUM(C6:U6))</f>
        <v>6106.2600000006132</v>
      </c>
    </row>
    <row r="7" spans="1:22" x14ac:dyDescent="0.25">
      <c r="A7" s="3">
        <f>'Kwh Reading'!A7</f>
        <v>44259</v>
      </c>
      <c r="B7" s="26">
        <f>TOTAL!E5</f>
        <v>22909.999999999625</v>
      </c>
      <c r="C7" s="4">
        <f>('Kwh Reading'!T8-'Kwh Reading'!T7)*1000</f>
        <v>520.00000000003865</v>
      </c>
      <c r="D7" s="2">
        <f>('Kwh Reading'!F8-'Kwh Reading'!F7)*1000000</f>
        <v>2399.9999999997358</v>
      </c>
      <c r="E7" s="2">
        <f>('Kwh Reading'!C8-'Kwh Reading'!C7)*1000</f>
        <v>229.99999999998977</v>
      </c>
      <c r="F7" s="2">
        <f>('Kwh Reading'!J8-'Kwh Reading'!J7)*1000</f>
        <v>300.00000000001137</v>
      </c>
      <c r="G7" s="2">
        <f>('Kwh Reading'!K8-'Kwh Reading'!K7)*1000</f>
        <v>439.99999999999773</v>
      </c>
      <c r="H7" s="2">
        <f>('Kwh Reading'!L8-'Kwh Reading'!L7)*1000</f>
        <v>250</v>
      </c>
      <c r="I7" s="2">
        <f>('Kwh Reading'!R8-'Kwh Reading'!R7)*1000</f>
        <v>90.000000000003411</v>
      </c>
      <c r="J7" s="2">
        <f>('Kwh Reading'!S8-'Kwh Reading'!S7)*1000</f>
        <v>52.999999999997272</v>
      </c>
      <c r="K7" s="2">
        <f>('Kwh Reading'!I8-'Kwh Reading'!I7)*1000</f>
        <v>260.00000000001933</v>
      </c>
      <c r="L7" s="2">
        <f>('Kwh Reading'!B8-'Kwh Reading'!B7)*1000</f>
        <v>1199.9999999999318</v>
      </c>
      <c r="M7" s="2">
        <f>('Kwh Reading'!M8-'Kwh Reading'!M7)*1000</f>
        <v>709.99999999997954</v>
      </c>
      <c r="N7" s="2">
        <f>('Kwh Reading'!H8-'Kwh Reading'!H7)*1000</f>
        <v>850.00000000002274</v>
      </c>
      <c r="O7" s="2">
        <f>('Kwh Reading'!P8-'Kwh Reading'!P7)*1000</f>
        <v>970.00000000002728</v>
      </c>
      <c r="P7" s="2">
        <f>('Kwh Reading'!G8-'Kwh Reading'!G7)*1000</f>
        <v>1000</v>
      </c>
      <c r="Q7" s="2">
        <f>('Kwh Reading'!Q8-'Kwh Reading'!Q7)*1000</f>
        <v>769.99999999998181</v>
      </c>
      <c r="R7" s="2">
        <f>('Kwh Reading'!N8-'Kwh Reading'!N7)*1000</f>
        <v>920.00000000001592</v>
      </c>
      <c r="S7" s="2">
        <f>'Kwh Reading'!E8-'Kwh Reading'!E7</f>
        <v>2942.5499999998137</v>
      </c>
      <c r="T7" s="2">
        <f>'Kwh Reading'!D8-'Kwh Reading'!D7</f>
        <v>2441.25</v>
      </c>
      <c r="U7" s="27">
        <f>('Kwh Reading'!O8-'Kwh Reading'!O7)*1000</f>
        <v>329.99999999999829</v>
      </c>
      <c r="V7" s="16">
        <f t="shared" si="0"/>
        <v>6233.2000000000589</v>
      </c>
    </row>
    <row r="8" spans="1:22" x14ac:dyDescent="0.25">
      <c r="A8" s="3">
        <f>'Kwh Reading'!A8</f>
        <v>44260</v>
      </c>
      <c r="B8" s="26">
        <v>23110</v>
      </c>
      <c r="C8" s="4">
        <f>('Kwh Reading'!T9-'Kwh Reading'!T8)*1000</f>
        <v>509.99999999999091</v>
      </c>
      <c r="D8" s="2">
        <f>('Kwh Reading'!F9-'Kwh Reading'!F8)*1000000</f>
        <v>2299.9999999999686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399.99999999997726</v>
      </c>
      <c r="H8" s="2">
        <f>('Kwh Reading'!L9-'Kwh Reading'!L8)*1000</f>
        <v>219.99999999999886</v>
      </c>
      <c r="I8" s="2">
        <f>('Kwh Reading'!R9-'Kwh Reading'!R8)*1000</f>
        <v>169.99999999998749</v>
      </c>
      <c r="J8" s="2">
        <f>('Kwh Reading'!S9-'Kwh Reading'!S8)*1000</f>
        <v>137.00000000000045</v>
      </c>
      <c r="K8" s="2">
        <f>('Kwh Reading'!I9-'Kwh Reading'!I8)*1000</f>
        <v>339.99999999997499</v>
      </c>
      <c r="L8" s="2">
        <f>('Kwh Reading'!B9-'Kwh Reading'!B8)*1000</f>
        <v>1230.0000000000182</v>
      </c>
      <c r="M8" s="2">
        <f>('Kwh Reading'!M9-'Kwh Reading'!M8)*1000</f>
        <v>710.00000000003638</v>
      </c>
      <c r="N8" s="2">
        <f>('Kwh Reading'!H9-'Kwh Reading'!H8)*1000</f>
        <v>1019.9999999999818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899.99999999997726</v>
      </c>
      <c r="R8" s="2">
        <f>('Kwh Reading'!N9-'Kwh Reading'!N8)*1000</f>
        <v>959.99999999997954</v>
      </c>
      <c r="S8" s="2">
        <f>'Kwh Reading'!E9-'Kwh Reading'!E8</f>
        <v>3022.410000000149</v>
      </c>
      <c r="T8" s="2">
        <f>'Kwh Reading'!D9-'Kwh Reading'!D8</f>
        <v>2511.2099999999627</v>
      </c>
      <c r="U8" s="27">
        <f>('Kwh Reading'!O9-'Kwh Reading'!O8)*1000</f>
        <v>259.99999999999091</v>
      </c>
      <c r="V8" s="16">
        <f t="shared" si="0"/>
        <v>5969.3800000000701</v>
      </c>
    </row>
    <row r="9" spans="1:22" x14ac:dyDescent="0.25">
      <c r="A9" s="3">
        <f>'Kwh Reading'!A9</f>
        <v>44261</v>
      </c>
      <c r="B9" s="26">
        <f>TOTAL!E7</f>
        <v>22680.000000000065</v>
      </c>
      <c r="C9" s="4">
        <f>('Kwh Reading'!T10-'Kwh Reading'!T9)*1000</f>
        <v>500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290.00000000002046</v>
      </c>
      <c r="G9" s="2">
        <f>('Kwh Reading'!K10-'Kwh Reading'!K9)*1000</f>
        <v>430.00000000000682</v>
      </c>
      <c r="H9" s="2">
        <f>('Kwh Reading'!L10-'Kwh Reading'!L9)*1000</f>
        <v>240.00000000000909</v>
      </c>
      <c r="I9" s="2">
        <f>('Kwh Reading'!R10-'Kwh Reading'!R9)*1000</f>
        <v>190.00000000001194</v>
      </c>
      <c r="J9" s="2">
        <f>('Kwh Reading'!S10-'Kwh Reading'!S9)*1000</f>
        <v>140.00000000000057</v>
      </c>
      <c r="K9" s="2">
        <f>('Kwh Reading'!I10-'Kwh Reading'!I9)*1000</f>
        <v>340.00000000000341</v>
      </c>
      <c r="L9" s="2">
        <f>('Kwh Reading'!B10-'Kwh Reading'!B9)*1000</f>
        <v>1340.0000000000318</v>
      </c>
      <c r="M9" s="2">
        <f>('Kwh Reading'!M10-'Kwh Reading'!M9)*1000</f>
        <v>719.99999999997044</v>
      </c>
      <c r="N9" s="2">
        <f>('Kwh Reading'!H10-'Kwh Reading'!H9)*1000</f>
        <v>939.99999999994088</v>
      </c>
      <c r="O9" s="2">
        <f>('Kwh Reading'!P10-'Kwh Reading'!P9)*1000</f>
        <v>1069.9999999999932</v>
      </c>
      <c r="P9" s="2">
        <f>('Kwh Reading'!G10-'Kwh Reading'!G9)*1000</f>
        <v>879.99999999999545</v>
      </c>
      <c r="Q9" s="2">
        <f>('Kwh Reading'!Q10-'Kwh Reading'!Q9)*1000</f>
        <v>780.00000000002956</v>
      </c>
      <c r="R9" s="2">
        <f>('Kwh Reading'!N10-'Kwh Reading'!N9)*1000</f>
        <v>900.00000000003411</v>
      </c>
      <c r="S9" s="2">
        <f>'Kwh Reading'!E10-'Kwh Reading'!E9</f>
        <v>2886.7599999997765</v>
      </c>
      <c r="T9" s="2">
        <f>'Kwh Reading'!D10-'Kwh Reading'!D9</f>
        <v>2174.1699999999255</v>
      </c>
      <c r="U9" s="27">
        <f>('Kwh Reading'!O10-'Kwh Reading'!O9)*1000</f>
        <v>230.00000000000398</v>
      </c>
      <c r="V9" s="16">
        <f t="shared" si="0"/>
        <v>5979.0700000001343</v>
      </c>
    </row>
    <row r="10" spans="1:22" x14ac:dyDescent="0.25">
      <c r="A10" s="3">
        <f>'Kwh Reading'!A10</f>
        <v>44262</v>
      </c>
      <c r="B10" s="26">
        <f>TOTAL!E8</f>
        <v>21099.99999999968</v>
      </c>
      <c r="C10" s="4">
        <f>('Kwh Reading'!T11-'Kwh Reading'!T10)*1000</f>
        <v>480.00000000001819</v>
      </c>
      <c r="D10" s="2">
        <f>('Kwh Reading'!F11-'Kwh Reading'!F10)*1000000</f>
        <v>2299.9999999999686</v>
      </c>
      <c r="E10" s="2">
        <f>('Kwh Reading'!C11-'Kwh Reading'!C10)*1000</f>
        <v>210.00000000000796</v>
      </c>
      <c r="F10" s="2">
        <f>('Kwh Reading'!J11-'Kwh Reading'!J10)*1000</f>
        <v>219.99999999997044</v>
      </c>
      <c r="G10" s="2">
        <f>('Kwh Reading'!K11-'Kwh Reading'!K10)*1000</f>
        <v>360.00000000001364</v>
      </c>
      <c r="H10" s="2">
        <f>('Kwh Reading'!L11-'Kwh Reading'!L10)*1000</f>
        <v>229.99999999998977</v>
      </c>
      <c r="I10" s="2">
        <f>('Kwh Reading'!R11-'Kwh Reading'!R10)*1000</f>
        <v>99.999999999994316</v>
      </c>
      <c r="J10" s="2">
        <f>('Kwh Reading'!S11-'Kwh Reading'!S10)*1000</f>
        <v>49.999999999997158</v>
      </c>
      <c r="K10" s="2">
        <f>('Kwh Reading'!I11-'Kwh Reading'!I10)*1000</f>
        <v>320.0000000000216</v>
      </c>
      <c r="L10" s="2">
        <f>('Kwh Reading'!B11-'Kwh Reading'!B10)*1000</f>
        <v>1269.9999999999818</v>
      </c>
      <c r="M10" s="2">
        <f>('Kwh Reading'!M11-'Kwh Reading'!M10)*1000</f>
        <v>689.99999999999773</v>
      </c>
      <c r="N10" s="2">
        <f>('Kwh Reading'!H11-'Kwh Reading'!H10)*1000</f>
        <v>860.00000000001364</v>
      </c>
      <c r="O10" s="2">
        <f>('Kwh Reading'!P11-'Kwh Reading'!P10)*1000</f>
        <v>1000</v>
      </c>
      <c r="P10" s="2">
        <f>('Kwh Reading'!G11-'Kwh Reading'!G10)*1000</f>
        <v>830.00000000004093</v>
      </c>
      <c r="Q10" s="2">
        <f>('Kwh Reading'!Q11-'Kwh Reading'!Q10)*1000</f>
        <v>709.99999999997954</v>
      </c>
      <c r="R10" s="2">
        <f>('Kwh Reading'!N11-'Kwh Reading'!N10)*1000</f>
        <v>899.99999999997726</v>
      </c>
      <c r="S10" s="34">
        <f>'Kwh Reading'!E11-'Kwh Reading'!E10</f>
        <v>2720.140000000596</v>
      </c>
      <c r="T10" s="34">
        <f>'Kwh Reading'!D11-'Kwh Reading'!D10</f>
        <v>1957.820000000298</v>
      </c>
      <c r="U10" s="27">
        <f>('Kwh Reading'!O11-'Kwh Reading'!O10)*1000</f>
        <v>219.99999999999886</v>
      </c>
      <c r="V10" s="16">
        <f t="shared" si="0"/>
        <v>5672.0399999988131</v>
      </c>
    </row>
    <row r="11" spans="1:22" x14ac:dyDescent="0.25">
      <c r="A11" s="3">
        <f>'Kwh Reading'!A11</f>
        <v>44263</v>
      </c>
      <c r="B11" s="26">
        <f>TOTAL!E9</f>
        <v>21140.000000000095</v>
      </c>
      <c r="C11" s="4">
        <f>('Kwh Reading'!T12-'Kwh Reading'!T11)*1000</f>
        <v>489.99999999995225</v>
      </c>
      <c r="D11" s="2">
        <f>('Kwh Reading'!F12-'Kwh Reading'!F11)*1000000</f>
        <v>2299.9999999999686</v>
      </c>
      <c r="E11" s="2">
        <f>('Kwh Reading'!C12-'Kwh Reading'!C11)*1000</f>
        <v>250</v>
      </c>
      <c r="F11" s="2">
        <f>('Kwh Reading'!J12-'Kwh Reading'!J11)*1000</f>
        <v>40.000000000020464</v>
      </c>
      <c r="G11" s="2">
        <f>('Kwh Reading'!K12-'Kwh Reading'!K11)*1000</f>
        <v>350.00000000002274</v>
      </c>
      <c r="H11" s="2">
        <f>('Kwh Reading'!L12-'Kwh Reading'!L11)*1000</f>
        <v>240.00000000000909</v>
      </c>
      <c r="I11" s="2">
        <f>('Kwh Reading'!R12-'Kwh Reading'!R11)*1000</f>
        <v>120.00000000000455</v>
      </c>
      <c r="J11" s="2">
        <f>('Kwh Reading'!S12-'Kwh Reading'!S11)*1000</f>
        <v>60.000000000002274</v>
      </c>
      <c r="K11" s="2">
        <f>('Kwh Reading'!I12-'Kwh Reading'!I11)*1000</f>
        <v>339.99999999997499</v>
      </c>
      <c r="L11" s="2">
        <f>('Kwh Reading'!B12-'Kwh Reading'!B11)*1000</f>
        <v>1120.0000000000045</v>
      </c>
      <c r="M11" s="2">
        <f>('Kwh Reading'!M12-'Kwh Reading'!M11)*1000</f>
        <v>759.99999999999091</v>
      </c>
      <c r="N11" s="2">
        <f>('Kwh Reading'!H12-'Kwh Reading'!H11)*1000</f>
        <v>740.00000000000909</v>
      </c>
      <c r="O11" s="2">
        <f>('Kwh Reading'!P12-'Kwh Reading'!P11)*1000</f>
        <v>980.00000000001819</v>
      </c>
      <c r="P11" s="2">
        <f>('Kwh Reading'!G12-'Kwh Reading'!G11)*1000</f>
        <v>950.00000000004547</v>
      </c>
      <c r="Q11" s="2">
        <f>('Kwh Reading'!Q12-'Kwh Reading'!Q11)*1000</f>
        <v>720.00000000002728</v>
      </c>
      <c r="R11" s="2">
        <f>('Kwh Reading'!N12-'Kwh Reading'!N11)*1000</f>
        <v>810.00000000000227</v>
      </c>
      <c r="S11" s="34">
        <f>'Kwh Reading'!E12-'Kwh Reading'!E11</f>
        <v>2788.519999999553</v>
      </c>
      <c r="T11" s="34">
        <f>'Kwh Reading'!D12-'Kwh Reading'!D11</f>
        <v>2242.2999999998137</v>
      </c>
      <c r="U11" s="27">
        <f>('Kwh Reading'!O12-'Kwh Reading'!O11)*1000</f>
        <v>250</v>
      </c>
      <c r="V11" s="16">
        <f t="shared" si="0"/>
        <v>5589.180000000677</v>
      </c>
    </row>
    <row r="12" spans="1:22" x14ac:dyDescent="0.25">
      <c r="A12" s="3">
        <f>'Kwh Reading'!A12</f>
        <v>44264</v>
      </c>
      <c r="B12" s="26">
        <f>TOTAL!E10</f>
        <v>21810.000000000859</v>
      </c>
      <c r="C12" s="4">
        <f>('Kwh Reading'!T13-'Kwh Reading'!T12)*1000</f>
        <v>689.99999999999773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39.99999999996362</v>
      </c>
      <c r="G12" s="2">
        <f>('Kwh Reading'!K13-'Kwh Reading'!K12)*1000</f>
        <v>339.99999999997499</v>
      </c>
      <c r="H12" s="2">
        <f>('Kwh Reading'!L13-'Kwh Reading'!L12)*1000</f>
        <v>229.99999999998977</v>
      </c>
      <c r="I12" s="2">
        <f>('Kwh Reading'!R13-'Kwh Reading'!R12)*1000</f>
        <v>49.999999999997158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</f>
        <v>1100.0000000000227</v>
      </c>
      <c r="M12" s="2">
        <f>('Kwh Reading'!M13-'Kwh Reading'!M12)*1000</f>
        <v>740.00000000000909</v>
      </c>
      <c r="N12" s="2">
        <f>('Kwh Reading'!H13-'Kwh Reading'!H12)*1000</f>
        <v>759.99999999999091</v>
      </c>
      <c r="O12" s="2">
        <f>('Kwh Reading'!P13-'Kwh Reading'!P12)*1000</f>
        <v>1039.9999999999636</v>
      </c>
      <c r="P12" s="2">
        <f>('Kwh Reading'!G13-'Kwh Reading'!G12)*1000</f>
        <v>860.00000000001364</v>
      </c>
      <c r="Q12" s="2">
        <f>('Kwh Reading'!Q13-'Kwh Reading'!Q12)*1000</f>
        <v>769.99999999998181</v>
      </c>
      <c r="R12" s="2">
        <f>('Kwh Reading'!N13-'Kwh Reading'!N12)*1000</f>
        <v>870.00000000000455</v>
      </c>
      <c r="S12" s="34">
        <f>'Kwh Reading'!E13-'Kwh Reading'!E12</f>
        <v>2728.230000000447</v>
      </c>
      <c r="T12" s="34">
        <f>'Kwh Reading'!D13-'Kwh Reading'!D12</f>
        <v>2347.9900000002235</v>
      </c>
      <c r="U12" s="27">
        <f>('Kwh Reading'!O13-'Kwh Reading'!O12)*1000</f>
        <v>219.99999999999886</v>
      </c>
      <c r="V12" s="16">
        <f t="shared" si="0"/>
        <v>6103.7800000000916</v>
      </c>
    </row>
    <row r="13" spans="1:22" x14ac:dyDescent="0.25">
      <c r="A13" s="3">
        <f>'Kwh Reading'!A13</f>
        <v>44265</v>
      </c>
      <c r="B13" s="26">
        <f>TOTAL!E11</f>
        <v>20779.999999999745</v>
      </c>
      <c r="C13" s="4">
        <f>('Kwh Reading'!T14-'Kwh Reading'!T13)*1000</f>
        <v>290.00000000002046</v>
      </c>
      <c r="D13" s="2">
        <f>('Kwh Reading'!F14-'Kwh Reading'!F13)*1000000</f>
        <v>2399.9999999997358</v>
      </c>
      <c r="E13" s="2">
        <f>('Kwh Reading'!C14-'Kwh Reading'!C13)*1000</f>
        <v>230.00000000001819</v>
      </c>
      <c r="F13" s="2">
        <f>('Kwh Reading'!J14-'Kwh Reading'!J13)*1000</f>
        <v>200.00000000004547</v>
      </c>
      <c r="G13" s="2">
        <f>('Kwh Reading'!K14-'Kwh Reading'!K13)*1000</f>
        <v>370.00000000000455</v>
      </c>
      <c r="H13" s="2">
        <f>('Kwh Reading'!L14-'Kwh Reading'!L13)*1000</f>
        <v>250</v>
      </c>
      <c r="I13" s="2">
        <f>('Kwh Reading'!R14-'Kwh Reading'!R13)*1000</f>
        <v>149.99999999999147</v>
      </c>
      <c r="J13" s="2">
        <f>('Kwh Reading'!S14-'Kwh Reading'!S13)*1000</f>
        <v>90.000000000003411</v>
      </c>
      <c r="K13" s="2">
        <f>('Kwh Reading'!I14-'Kwh Reading'!I13)*1000</f>
        <v>300.00000000001137</v>
      </c>
      <c r="L13" s="2">
        <f>('Kwh Reading'!B14-'Kwh Reading'!B13)*1000</f>
        <v>1219.9999999999136</v>
      </c>
      <c r="M13" s="2">
        <f>('Kwh Reading'!M14-'Kwh Reading'!M13)*1000</f>
        <v>709.99999999997954</v>
      </c>
      <c r="N13" s="2">
        <f>('Kwh Reading'!H14-'Kwh Reading'!H13)*1000</f>
        <v>730.00000000001819</v>
      </c>
      <c r="O13" s="2">
        <f>('Kwh Reading'!P14-'Kwh Reading'!P13)*1000</f>
        <v>910.00000000002501</v>
      </c>
      <c r="P13" s="2">
        <f>('Kwh Reading'!G14-'Kwh Reading'!G13)*1000</f>
        <v>769.99999999998181</v>
      </c>
      <c r="Q13" s="2">
        <f>('Kwh Reading'!Q14-'Kwh Reading'!Q13)*1000</f>
        <v>719.99999999997044</v>
      </c>
      <c r="R13" s="2">
        <f>('Kwh Reading'!N14-'Kwh Reading'!N13)*1000</f>
        <v>759.99999999999091</v>
      </c>
      <c r="S13" s="34">
        <f>'Kwh Reading'!E14-'Kwh Reading'!E13</f>
        <v>2749.1499999994412</v>
      </c>
      <c r="T13" s="34">
        <f>'Kwh Reading'!D14-'Kwh Reading'!D13</f>
        <v>2380.3999999994412</v>
      </c>
      <c r="U13" s="27">
        <f>('Kwh Reading'!O14-'Kwh Reading'!O13)*1000</f>
        <v>230.00000000000398</v>
      </c>
      <c r="V13" s="16">
        <f t="shared" si="0"/>
        <v>5320.4500000011485</v>
      </c>
    </row>
    <row r="14" spans="1:22" x14ac:dyDescent="0.25">
      <c r="A14" s="3">
        <f>'Kwh Reading'!A14</f>
        <v>44266</v>
      </c>
      <c r="B14" s="26">
        <f>TOTAL!E12</f>
        <v>18449.999999999134</v>
      </c>
      <c r="C14" s="4">
        <f>('Kwh Reading'!T15-'Kwh Reading'!T14)*1000</f>
        <v>430.00000000000682</v>
      </c>
      <c r="D14" s="2">
        <f>('Kwh Reading'!F15-'Kwh Reading'!F14)*1000000</f>
        <v>2099.9999999999909</v>
      </c>
      <c r="E14" s="2">
        <f>('Kwh Reading'!C15-'Kwh Reading'!C14)*1000</f>
        <v>219.99999999999886</v>
      </c>
      <c r="F14" s="2">
        <f>('Kwh Reading'!J15-'Kwh Reading'!J14)*1000</f>
        <v>240.00000000000909</v>
      </c>
      <c r="G14" s="2">
        <f>('Kwh Reading'!K15-'Kwh Reading'!K14)*1000</f>
        <v>269.99999999998181</v>
      </c>
      <c r="H14" s="2">
        <f>('Kwh Reading'!L15-'Kwh Reading'!L14)*1000</f>
        <v>189.99999999999773</v>
      </c>
      <c r="I14" s="2">
        <f>('Kwh Reading'!R15-'Kwh Reading'!R14)*1000</f>
        <v>190.00000000001194</v>
      </c>
      <c r="J14" s="2">
        <f>('Kwh Reading'!S15-'Kwh Reading'!S14)*1000</f>
        <v>150.00000000000568</v>
      </c>
      <c r="K14" s="2">
        <f>('Kwh Reading'!I15-'Kwh Reading'!I14)*1000</f>
        <v>189.99999999999773</v>
      </c>
      <c r="L14" s="2">
        <f>('Kwh Reading'!B15-'Kwh Reading'!B14)*1000</f>
        <v>920.00000000007276</v>
      </c>
      <c r="M14" s="2">
        <f>('Kwh Reading'!M15-'Kwh Reading'!M14)*1000</f>
        <v>430.00000000000682</v>
      </c>
      <c r="N14" s="2">
        <f>('Kwh Reading'!H15-'Kwh Reading'!H14)*1000</f>
        <v>440.00000000005457</v>
      </c>
      <c r="O14" s="2">
        <f>('Kwh Reading'!P15-'Kwh Reading'!P14)*1000</f>
        <v>660.00000000002501</v>
      </c>
      <c r="P14" s="2">
        <f>('Kwh Reading'!G15-'Kwh Reading'!G14)*1000</f>
        <v>610.00000000001364</v>
      </c>
      <c r="Q14" s="2">
        <f>('Kwh Reading'!Q15-'Kwh Reading'!Q14)*1000</f>
        <v>460.00000000003638</v>
      </c>
      <c r="R14" s="2">
        <f>('Kwh Reading'!N15-'Kwh Reading'!N14)*1000</f>
        <v>480.00000000001819</v>
      </c>
      <c r="S14" s="34">
        <f>'Kwh Reading'!E15-'Kwh Reading'!E14</f>
        <v>1973.5</v>
      </c>
      <c r="T14" s="34">
        <f>'Kwh Reading'!D15-'Kwh Reading'!D14</f>
        <v>1776.0200000004843</v>
      </c>
      <c r="U14" s="27">
        <f>('Kwh Reading'!O15-'Kwh Reading'!O14)*1000</f>
        <v>219.99999999999886</v>
      </c>
      <c r="V14" s="16">
        <f t="shared" si="0"/>
        <v>6500.4799999984225</v>
      </c>
    </row>
    <row r="15" spans="1:22" x14ac:dyDescent="0.25">
      <c r="A15" s="3">
        <f>'Kwh Reading'!A15</f>
        <v>44267</v>
      </c>
      <c r="B15" s="26">
        <f>TOTAL!E13</f>
        <v>21800.000000000182</v>
      </c>
      <c r="C15" s="4">
        <f>('Kwh Reading'!T16-'Kwh Reading'!T15)*1000</f>
        <v>240.00000000000909</v>
      </c>
      <c r="D15" s="2">
        <f>('Kwh Reading'!F16-'Kwh Reading'!F15)*1000000</f>
        <v>2400.0000000001796</v>
      </c>
      <c r="E15" s="2">
        <f>('Kwh Reading'!C16-'Kwh Reading'!C15)*1000</f>
        <v>259.99999999999091</v>
      </c>
      <c r="F15" s="2">
        <f>('Kwh Reading'!J16-'Kwh Reading'!J15)*1000</f>
        <v>219.99999999997044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259.99999999999091</v>
      </c>
      <c r="J15" s="2">
        <f>('Kwh Reading'!S16-'Kwh Reading'!S15)*1000</f>
        <v>159.99999999999659</v>
      </c>
      <c r="K15" s="2">
        <f>('Kwh Reading'!I16-'Kwh Reading'!I15)*1000</f>
        <v>299.99999999998295</v>
      </c>
      <c r="L15" s="2">
        <f>('Kwh Reading'!B16-'Kwh Reading'!B15)*1000</f>
        <v>1220.0000000000273</v>
      </c>
      <c r="M15" s="2">
        <f>('Kwh Reading'!M16-'Kwh Reading'!M15)*1000</f>
        <v>660.00000000002501</v>
      </c>
      <c r="N15" s="2">
        <f>('Kwh Reading'!H16-'Kwh Reading'!H15)*1000</f>
        <v>879.99999999999545</v>
      </c>
      <c r="O15" s="2">
        <f>('Kwh Reading'!P16-'Kwh Reading'!P15)*1000</f>
        <v>929.99999999994998</v>
      </c>
      <c r="P15" s="2">
        <f>('Kwh Reading'!G16-'Kwh Reading'!G15)*1000</f>
        <v>949.99999999993179</v>
      </c>
      <c r="Q15" s="2">
        <f>('Kwh Reading'!Q16-'Kwh Reading'!Q15)*1000</f>
        <v>579.99999999998408</v>
      </c>
      <c r="R15" s="2">
        <f>('Kwh Reading'!N16-'Kwh Reading'!N15)*1000</f>
        <v>769.99999999998181</v>
      </c>
      <c r="S15" s="34">
        <f>'Kwh Reading'!E16-'Kwh Reading'!E15</f>
        <v>2668.5600000005215</v>
      </c>
      <c r="T15" s="34">
        <f>'Kwh Reading'!D16-'Kwh Reading'!D15</f>
        <v>2594.269999999553</v>
      </c>
      <c r="U15" s="27">
        <f>('Kwh Reading'!O16-'Kwh Reading'!O15)*1000</f>
        <v>239.99999999999488</v>
      </c>
      <c r="V15" s="16">
        <f t="shared" si="0"/>
        <v>5907.1700000000383</v>
      </c>
    </row>
    <row r="16" spans="1:22" x14ac:dyDescent="0.25">
      <c r="A16" s="3">
        <f>'Kwh Reading'!A16</f>
        <v>44268</v>
      </c>
      <c r="B16" s="26">
        <f>TOTAL!E14</f>
        <v>23610.000000000124</v>
      </c>
      <c r="C16" s="4">
        <f>('Kwh Reading'!T17-'Kwh Reading'!T16)*1000</f>
        <v>509.99999999999091</v>
      </c>
      <c r="D16" s="2">
        <f>('Kwh Reading'!F17-'Kwh Reading'!F16)*1000000</f>
        <v>2399.9999999997358</v>
      </c>
      <c r="E16" s="2">
        <f>('Kwh Reading'!C17-'Kwh Reading'!C16)*1000</f>
        <v>219.99999999999886</v>
      </c>
      <c r="F16" s="2">
        <f>('Kwh Reading'!J17-'Kwh Reading'!J16)*1000</f>
        <v>290.00000000002046</v>
      </c>
      <c r="G16" s="2">
        <f>('Kwh Reading'!K17-'Kwh Reading'!K16)*1000</f>
        <v>349.99999999996589</v>
      </c>
      <c r="H16" s="2">
        <f>('Kwh Reading'!L17-'Kwh Reading'!L16)*1000</f>
        <v>229.99999999998977</v>
      </c>
      <c r="I16" s="2">
        <f>('Kwh Reading'!R17-'Kwh Reading'!R16)*1000</f>
        <v>280.00000000000114</v>
      </c>
      <c r="J16" s="2">
        <f>('Kwh Reading'!S17-'Kwh Reading'!S16)*1000</f>
        <v>140.00000000000057</v>
      </c>
      <c r="K16" s="2">
        <f>('Kwh Reading'!I17-'Kwh Reading'!I16)*1000</f>
        <v>320.0000000000216</v>
      </c>
      <c r="L16" s="2">
        <f>('Kwh Reading'!B17-'Kwh Reading'!B16)*1000</f>
        <v>1259.9999999999909</v>
      </c>
      <c r="M16" s="2">
        <f>('Kwh Reading'!M17-'Kwh Reading'!M16)*1000</f>
        <v>699.99999999998863</v>
      </c>
      <c r="N16" s="2">
        <f>('Kwh Reading'!H17-'Kwh Reading'!H16)*1000</f>
        <v>829.99999999992724</v>
      </c>
      <c r="O16" s="2">
        <f>('Kwh Reading'!P17-'Kwh Reading'!P16)*1000</f>
        <v>1010.0000000000477</v>
      </c>
      <c r="P16" s="2">
        <f>('Kwh Reading'!G17-'Kwh Reading'!G16)*1000</f>
        <v>950.00000000004547</v>
      </c>
      <c r="Q16" s="2">
        <f>('Kwh Reading'!Q17-'Kwh Reading'!Q16)*1000</f>
        <v>660.00000000002501</v>
      </c>
      <c r="R16" s="2">
        <f>('Kwh Reading'!N17-'Kwh Reading'!N16)*1000</f>
        <v>829.99999999998408</v>
      </c>
      <c r="S16" s="34">
        <f>'Kwh Reading'!E17-'Kwh Reading'!E16</f>
        <v>3090.5999999996275</v>
      </c>
      <c r="T16" s="34">
        <f>'Kwh Reading'!D17-'Kwh Reading'!D16</f>
        <v>2619.429999999702</v>
      </c>
      <c r="U16" s="27">
        <f>('Kwh Reading'!O17-'Kwh Reading'!O16)*1000</f>
        <v>200.00000000000284</v>
      </c>
      <c r="V16" s="16">
        <f t="shared" si="0"/>
        <v>6719.9700000010562</v>
      </c>
    </row>
    <row r="17" spans="1:22" x14ac:dyDescent="0.25">
      <c r="A17" s="3">
        <f>'Kwh Reading'!A17</f>
        <v>44269</v>
      </c>
      <c r="B17" s="26">
        <f>TOTAL!E15</f>
        <v>0</v>
      </c>
      <c r="C17" s="4">
        <f>('Kwh Reading'!T18-'Kwh Reading'!T17)*1000</f>
        <v>-370310</v>
      </c>
      <c r="D17" s="2">
        <f>('Kwh Reading'!F18-'Kwh Reading'!F17)*1000000</f>
        <v>-2114600</v>
      </c>
      <c r="E17" s="2">
        <f>('Kwh Reading'!C18-'Kwh Reading'!C17)*1000</f>
        <v>-205280</v>
      </c>
      <c r="F17" s="2">
        <f>('Kwh Reading'!J18-'Kwh Reading'!J17)*1000</f>
        <v>-293230</v>
      </c>
      <c r="G17" s="2">
        <f>('Kwh Reading'!K18-'Kwh Reading'!K17)*1000</f>
        <v>-310210</v>
      </c>
      <c r="H17" s="2">
        <f>('Kwh Reading'!L18-'Kwh Reading'!L17)*1000</f>
        <v>-212090</v>
      </c>
      <c r="I17" s="2">
        <f>('Kwh Reading'!R18-'Kwh Reading'!R17)*1000</f>
        <v>-125800</v>
      </c>
      <c r="J17" s="2">
        <f>('Kwh Reading'!S18-'Kwh Reading'!S17)*1000</f>
        <v>-100810</v>
      </c>
      <c r="K17" s="2">
        <f>('Kwh Reading'!I18-'Kwh Reading'!I17)*1000</f>
        <v>-201110</v>
      </c>
      <c r="L17" s="2">
        <f>('Kwh Reading'!B18-'Kwh Reading'!B17)*1000</f>
        <v>-838080</v>
      </c>
      <c r="M17" s="2">
        <f>('Kwh Reading'!M18-'Kwh Reading'!M17)*1000</f>
        <v>-436570</v>
      </c>
      <c r="N17" s="2">
        <f>('Kwh Reading'!H18-'Kwh Reading'!H17)*1000</f>
        <v>-543300</v>
      </c>
      <c r="O17" s="2">
        <f>('Kwh Reading'!P18-'Kwh Reading'!P17)*1000</f>
        <v>-508040</v>
      </c>
      <c r="P17" s="2">
        <f>('Kwh Reading'!G18-'Kwh Reading'!G17)*1000</f>
        <v>-646100</v>
      </c>
      <c r="Q17" s="2">
        <f>('Kwh Reading'!Q18-'Kwh Reading'!Q17)*1000</f>
        <v>-380230</v>
      </c>
      <c r="R17" s="2">
        <f>('Kwh Reading'!N18-'Kwh Reading'!N17)*1000</f>
        <v>-386770</v>
      </c>
      <c r="S17" s="34">
        <f>'Kwh Reading'!E18-'Kwh Reading'!E17</f>
        <v>-7847064.7599999998</v>
      </c>
      <c r="T17" s="34">
        <f>'Kwh Reading'!D18-'Kwh Reading'!D17</f>
        <v>-7218523.3099999996</v>
      </c>
      <c r="U17" s="27">
        <f>('Kwh Reading'!O18-'Kwh Reading'!O17)*1000</f>
        <v>-124550</v>
      </c>
      <c r="V17" s="16">
        <f t="shared" si="0"/>
        <v>22862668.07</v>
      </c>
    </row>
    <row r="18" spans="1:22" x14ac:dyDescent="0.25">
      <c r="A18" s="3">
        <f>'Kwh Reading'!A18</f>
        <v>44270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44271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44272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44273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44274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44275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44276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44277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44278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44279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44280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44281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44282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285029.99999999983</v>
      </c>
      <c r="C35" s="75">
        <f t="shared" ref="C35" si="1">SUM(C4:C34)</f>
        <v>-364120</v>
      </c>
      <c r="D35" s="75">
        <f t="shared" ref="D35" si="2">SUM(D4:D34)</f>
        <v>-2084000.0000000002</v>
      </c>
      <c r="E35" s="75">
        <f t="shared" ref="E35" si="3">SUM(E4:E34)</f>
        <v>-202200</v>
      </c>
      <c r="F35" s="75">
        <f t="shared" ref="F35" si="4">SUM(F4:F34)</f>
        <v>-290290</v>
      </c>
      <c r="G35" s="75">
        <f t="shared" ref="G35:U35" si="5">SUM(G4:G34)</f>
        <v>-305370</v>
      </c>
      <c r="H35" s="75">
        <f t="shared" si="5"/>
        <v>-209050</v>
      </c>
      <c r="I35" s="75">
        <f t="shared" si="5"/>
        <v>-124010.00000000001</v>
      </c>
      <c r="J35" s="75">
        <f t="shared" si="5"/>
        <v>-99441</v>
      </c>
      <c r="K35" s="75">
        <f t="shared" si="5"/>
        <v>-197090</v>
      </c>
      <c r="L35" s="75">
        <f t="shared" si="5"/>
        <v>-822659.99999999988</v>
      </c>
      <c r="M35" s="75">
        <f t="shared" si="5"/>
        <v>-427590</v>
      </c>
      <c r="N35" s="75">
        <f t="shared" si="5"/>
        <v>-532790</v>
      </c>
      <c r="O35" s="75">
        <f t="shared" si="5"/>
        <v>-495620</v>
      </c>
      <c r="P35" s="75">
        <f t="shared" si="5"/>
        <v>-634350</v>
      </c>
      <c r="Q35" s="75">
        <f t="shared" si="5"/>
        <v>-370649.99999999994</v>
      </c>
      <c r="R35" s="75">
        <f t="shared" si="5"/>
        <v>-376040.00000000006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22941343.220000003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22069.999999999709</v>
      </c>
      <c r="C3" s="1">
        <f>'Kwh Consumption'!C4</f>
        <v>509.99999999999091</v>
      </c>
      <c r="D3" s="1">
        <f>'Kwh Consumption'!D4</f>
        <v>2299.9999999999686</v>
      </c>
      <c r="E3" s="1">
        <f>'Kwh Consumption'!E4</f>
        <v>250</v>
      </c>
      <c r="F3" s="1">
        <f>('Kwh Consumption'!F4+'Kwh Consumption'!G4+'Kwh Consumption'!H4)</f>
        <v>819.99999999996476</v>
      </c>
      <c r="G3" s="16">
        <f>('Kwh Consumption'!I4+'Kwh Consumption'!J4)</f>
        <v>190.99999999998829</v>
      </c>
      <c r="H3" s="1">
        <f>('Kwh Consumption'!K4+'Kwh Consumption'!L4)</f>
        <v>1520.0000000000387</v>
      </c>
      <c r="I3" s="1">
        <f>('Kwh Consumption'!M4+'Kwh Consumption'!N4+'Kwh Consumption'!O4+'Kwh Consumption'!P4+'Kwh Consumption'!Q4+'Kwh Consumption'!R4)</f>
        <v>5250.0000000000573</v>
      </c>
      <c r="J3" s="1">
        <f>('Kwh Consumption'!S4+'Kwh Consumption'!T4)</f>
        <v>5206.9899999992922</v>
      </c>
      <c r="K3" s="1">
        <f>'Kwh Consumption'!U4</f>
        <v>250</v>
      </c>
      <c r="L3" s="32">
        <f t="shared" ref="L3:L33" si="0">B3-C3-D3-E3-F3-G3-H3-I3-J3-K3</f>
        <v>5772.0100000004059</v>
      </c>
    </row>
    <row r="4" spans="1:12" x14ac:dyDescent="0.25">
      <c r="A4" s="14">
        <f>'Kwh Reading'!A5</f>
        <v>44257</v>
      </c>
      <c r="B4" s="83">
        <f>TOTAL!E3</f>
        <v>23210.000000000262</v>
      </c>
      <c r="C4" s="1">
        <f>'Kwh Consumption'!C5</f>
        <v>500</v>
      </c>
      <c r="D4" s="1">
        <f>'Kwh Consumption'!D5</f>
        <v>2399.9999999997358</v>
      </c>
      <c r="E4" s="1">
        <f>'Kwh Consumption'!E5</f>
        <v>250</v>
      </c>
      <c r="F4" s="1">
        <f>('Kwh Consumption'!F5+'Kwh Consumption'!G5+'Kwh Consumption'!H5)</f>
        <v>939.99999999999773</v>
      </c>
      <c r="G4" s="16">
        <f>('Kwh Consumption'!I5+'Kwh Consumption'!J5)</f>
        <v>218.00000000000352</v>
      </c>
      <c r="H4" s="1">
        <f>('Kwh Consumption'!K5+'Kwh Consumption'!L5)</f>
        <v>1539.9999999999352</v>
      </c>
      <c r="I4" s="1">
        <f>('Kwh Consumption'!M5+'Kwh Consumption'!N5+'Kwh Consumption'!O5+'Kwh Consumption'!P5+'Kwh Consumption'!Q5+'Kwh Consumption'!R5)</f>
        <v>5240.0000000000091</v>
      </c>
      <c r="J4" s="1">
        <f>('Kwh Consumption'!S5+'Kwh Consumption'!T5)</f>
        <v>5009.8400000007823</v>
      </c>
      <c r="K4" s="1">
        <f>'Kwh Consumption'!U5</f>
        <v>310.00000000000227</v>
      </c>
      <c r="L4" s="32">
        <f t="shared" si="0"/>
        <v>6802.1599999997998</v>
      </c>
    </row>
    <row r="5" spans="1:12" x14ac:dyDescent="0.25">
      <c r="A5" s="14">
        <f>'Kwh Reading'!A6</f>
        <v>44258</v>
      </c>
      <c r="B5" s="83">
        <f>TOTAL!E4</f>
        <v>22360.000000000357</v>
      </c>
      <c r="C5" s="1">
        <f>'Kwh Consumption'!C6</f>
        <v>519.99999999998181</v>
      </c>
      <c r="D5" s="1">
        <f>'Kwh Consumption'!D6</f>
        <v>2500.0000000003906</v>
      </c>
      <c r="E5" s="1">
        <f>'Kwh Consumption'!E6</f>
        <v>240.00000000000909</v>
      </c>
      <c r="F5" s="1">
        <f>('Kwh Consumption'!F6+'Kwh Consumption'!G6+'Kwh Consumption'!H6)</f>
        <v>1000</v>
      </c>
      <c r="G5" s="16">
        <f>('Kwh Consumption'!I6+'Kwh Consumption'!J6)</f>
        <v>170.00000000000171</v>
      </c>
      <c r="H5" s="1">
        <f>('Kwh Consumption'!K6+'Kwh Consumption'!L6)</f>
        <v>1490.0000000000944</v>
      </c>
      <c r="I5" s="1">
        <f>('Kwh Consumption'!M6+'Kwh Consumption'!N6+'Kwh Consumption'!O6+'Kwh Consumption'!P6+'Kwh Consumption'!Q6+'Kwh Consumption'!R6)</f>
        <v>5029.9999999999727</v>
      </c>
      <c r="J5" s="1">
        <f>('Kwh Consumption'!S6+'Kwh Consumption'!T6)</f>
        <v>5053.7399999992922</v>
      </c>
      <c r="K5" s="1">
        <f>'Kwh Consumption'!U6</f>
        <v>250</v>
      </c>
      <c r="L5" s="32">
        <f t="shared" si="0"/>
        <v>6106.2600000006187</v>
      </c>
    </row>
    <row r="6" spans="1:12" x14ac:dyDescent="0.25">
      <c r="A6" s="14">
        <f>'Kwh Reading'!A7</f>
        <v>44259</v>
      </c>
      <c r="B6" s="83">
        <f>TOTAL!E5</f>
        <v>22909.999999999625</v>
      </c>
      <c r="C6" s="1">
        <f>'Kwh Consumption'!C7</f>
        <v>520.00000000003865</v>
      </c>
      <c r="D6" s="1">
        <f>'Kwh Consumption'!D7</f>
        <v>2399.9999999997358</v>
      </c>
      <c r="E6" s="1">
        <f>'Kwh Consumption'!E7</f>
        <v>229.99999999998977</v>
      </c>
      <c r="F6" s="1">
        <f>('Kwh Consumption'!F7+'Kwh Consumption'!G7+'Kwh Consumption'!H7)</f>
        <v>990.00000000000909</v>
      </c>
      <c r="G6" s="16">
        <f>('Kwh Consumption'!I7+'Kwh Consumption'!J7)</f>
        <v>143.00000000000068</v>
      </c>
      <c r="H6" s="1">
        <f>('Kwh Consumption'!K7+'Kwh Consumption'!L7)</f>
        <v>1459.9999999999511</v>
      </c>
      <c r="I6" s="1">
        <f>('Kwh Consumption'!M7+'Kwh Consumption'!N7+'Kwh Consumption'!O7+'Kwh Consumption'!P7+'Kwh Consumption'!Q7+'Kwh Consumption'!R7)</f>
        <v>5220.0000000000273</v>
      </c>
      <c r="J6" s="1">
        <f>('Kwh Consumption'!S7+'Kwh Consumption'!T7)</f>
        <v>5383.7999999998137</v>
      </c>
      <c r="K6" s="1">
        <f>'Kwh Consumption'!U7</f>
        <v>329.99999999999829</v>
      </c>
      <c r="L6" s="32">
        <f t="shared" si="0"/>
        <v>6233.2000000000626</v>
      </c>
    </row>
    <row r="7" spans="1:12" x14ac:dyDescent="0.25">
      <c r="A7" s="14">
        <f>'Kwh Reading'!A8</f>
        <v>44260</v>
      </c>
      <c r="B7" s="83">
        <f>TOTAL!E6</f>
        <v>23109.999999999898</v>
      </c>
      <c r="C7" s="1">
        <f>'Kwh Consumption'!C8</f>
        <v>509.99999999999091</v>
      </c>
      <c r="D7" s="1">
        <f>'Kwh Consumption'!D8</f>
        <v>2299.9999999999686</v>
      </c>
      <c r="E7" s="1">
        <f>'Kwh Consumption'!E8</f>
        <v>250</v>
      </c>
      <c r="F7" s="1">
        <f>('Kwh Consumption'!F8+'Kwh Consumption'!G8+'Kwh Consumption'!H8)</f>
        <v>889.99999999995794</v>
      </c>
      <c r="G7" s="16">
        <f>('Kwh Consumption'!I8+'Kwh Consumption'!J8)</f>
        <v>306.99999999998795</v>
      </c>
      <c r="H7" s="1">
        <f>('Kwh Consumption'!K8+'Kwh Consumption'!L8)</f>
        <v>1569.9999999999932</v>
      </c>
      <c r="I7" s="1">
        <f>('Kwh Consumption'!M8+'Kwh Consumption'!N8+'Kwh Consumption'!O8+'Kwh Consumption'!P8+'Kwh Consumption'!Q8+'Kwh Consumption'!R8)</f>
        <v>5519.9999999999254</v>
      </c>
      <c r="J7" s="1">
        <f>('Kwh Consumption'!S8+'Kwh Consumption'!T8)</f>
        <v>5533.6200000001118</v>
      </c>
      <c r="K7" s="1">
        <f>'Kwh Consumption'!U8</f>
        <v>259.99999999999091</v>
      </c>
      <c r="L7" s="32">
        <f t="shared" si="0"/>
        <v>5969.3799999999719</v>
      </c>
    </row>
    <row r="8" spans="1:12" x14ac:dyDescent="0.25">
      <c r="A8" s="14">
        <f>'Kwh Reading'!A9</f>
        <v>44261</v>
      </c>
      <c r="B8" s="83">
        <f>TOTAL!E7</f>
        <v>22680.000000000065</v>
      </c>
      <c r="C8" s="1">
        <f>'Kwh Consumption'!C9</f>
        <v>500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960.00000000003638</v>
      </c>
      <c r="G8" s="16">
        <f>('Kwh Consumption'!I9+'Kwh Consumption'!J9)</f>
        <v>330.00000000001251</v>
      </c>
      <c r="H8" s="1">
        <f>('Kwh Consumption'!K9+'Kwh Consumption'!L9)</f>
        <v>1680.0000000000352</v>
      </c>
      <c r="I8" s="1">
        <f>('Kwh Consumption'!M9+'Kwh Consumption'!N9+'Kwh Consumption'!O9+'Kwh Consumption'!P9+'Kwh Consumption'!Q9+'Kwh Consumption'!R9)</f>
        <v>5289.9999999999636</v>
      </c>
      <c r="J8" s="1">
        <f>('Kwh Consumption'!S9+'Kwh Consumption'!T9)</f>
        <v>5060.929999999702</v>
      </c>
      <c r="K8" s="1">
        <f>'Kwh Consumption'!U9</f>
        <v>230.00000000000398</v>
      </c>
      <c r="L8" s="32">
        <f t="shared" si="0"/>
        <v>5979.0700000001343</v>
      </c>
    </row>
    <row r="9" spans="1:12" x14ac:dyDescent="0.25">
      <c r="A9" s="14">
        <f>'Kwh Reading'!A10</f>
        <v>44262</v>
      </c>
      <c r="B9" s="83">
        <f>TOTAL!E8</f>
        <v>21099.99999999968</v>
      </c>
      <c r="C9" s="1">
        <f>'Kwh Consumption'!C10</f>
        <v>480.00000000001819</v>
      </c>
      <c r="D9" s="1">
        <f>'Kwh Consumption'!D10</f>
        <v>2299.9999999999686</v>
      </c>
      <c r="E9" s="1">
        <f>'Kwh Consumption'!E10</f>
        <v>210.00000000000796</v>
      </c>
      <c r="F9" s="1">
        <f>('Kwh Consumption'!F10+'Kwh Consumption'!G10+'Kwh Consumption'!H10)</f>
        <v>809.99999999997385</v>
      </c>
      <c r="G9" s="16">
        <f>('Kwh Consumption'!I10+'Kwh Consumption'!J10)</f>
        <v>149.99999999999147</v>
      </c>
      <c r="H9" s="1">
        <f>('Kwh Consumption'!K10+'Kwh Consumption'!L10)</f>
        <v>1590.0000000000034</v>
      </c>
      <c r="I9" s="1">
        <f>('Kwh Consumption'!M10+'Kwh Consumption'!N10+'Kwh Consumption'!O10+'Kwh Consumption'!P10+'Kwh Consumption'!Q10+'Kwh Consumption'!R10)</f>
        <v>4990.0000000000091</v>
      </c>
      <c r="J9" s="1">
        <f>('Kwh Consumption'!S10+'Kwh Consumption'!T10)</f>
        <v>4677.9600000008941</v>
      </c>
      <c r="K9" s="1">
        <f>'Kwh Consumption'!U10</f>
        <v>219.99999999999886</v>
      </c>
      <c r="L9" s="32">
        <f t="shared" si="0"/>
        <v>5672.039999998814</v>
      </c>
    </row>
    <row r="10" spans="1:12" x14ac:dyDescent="0.25">
      <c r="A10" s="14">
        <f>'Kwh Reading'!A11</f>
        <v>44263</v>
      </c>
      <c r="B10" s="83">
        <f>TOTAL!E9</f>
        <v>21140.000000000095</v>
      </c>
      <c r="C10" s="1">
        <f>'Kwh Consumption'!C11</f>
        <v>489.99999999995225</v>
      </c>
      <c r="D10" s="1">
        <f>'Kwh Consumption'!D11</f>
        <v>2299.9999999999686</v>
      </c>
      <c r="E10" s="1">
        <f>'Kwh Consumption'!E11</f>
        <v>250</v>
      </c>
      <c r="F10" s="1">
        <f>('Kwh Consumption'!F11+'Kwh Consumption'!G11+'Kwh Consumption'!H11)</f>
        <v>630.0000000000523</v>
      </c>
      <c r="G10" s="16">
        <f>('Kwh Consumption'!I11+'Kwh Consumption'!J11)</f>
        <v>180.00000000000682</v>
      </c>
      <c r="H10" s="1">
        <f>('Kwh Consumption'!K11+'Kwh Consumption'!L11)</f>
        <v>1459.9999999999795</v>
      </c>
      <c r="I10" s="1">
        <f>('Kwh Consumption'!M11+'Kwh Consumption'!N11+'Kwh Consumption'!O11+'Kwh Consumption'!P11+'Kwh Consumption'!Q11+'Kwh Consumption'!R11)</f>
        <v>4960.0000000000928</v>
      </c>
      <c r="J10" s="1">
        <f>('Kwh Consumption'!S11+'Kwh Consumption'!T11)</f>
        <v>5030.8199999993667</v>
      </c>
      <c r="K10" s="1">
        <f>'Kwh Consumption'!U11</f>
        <v>250</v>
      </c>
      <c r="L10" s="32">
        <f t="shared" si="0"/>
        <v>5589.180000000677</v>
      </c>
    </row>
    <row r="11" spans="1:12" x14ac:dyDescent="0.25">
      <c r="A11" s="14">
        <f>'Kwh Reading'!A12</f>
        <v>44264</v>
      </c>
      <c r="B11" s="83">
        <f>TOTAL!E10</f>
        <v>21810.000000000859</v>
      </c>
      <c r="C11" s="1">
        <f>'Kwh Consumption'!C12</f>
        <v>689.99999999999773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609.99999999992838</v>
      </c>
      <c r="G11" s="16">
        <f>('Kwh Consumption'!I12+'Kwh Consumption'!J12)</f>
        <v>49.999999999997158</v>
      </c>
      <c r="H11" s="1">
        <f>('Kwh Consumption'!K12+'Kwh Consumption'!L12)</f>
        <v>1400.0000000000341</v>
      </c>
      <c r="I11" s="1">
        <f>('Kwh Consumption'!M12+'Kwh Consumption'!N12+'Kwh Consumption'!O12+'Kwh Consumption'!P12+'Kwh Consumption'!Q12+'Kwh Consumption'!R12)</f>
        <v>5039.9999999999636</v>
      </c>
      <c r="J11" s="1">
        <f>('Kwh Consumption'!S12+'Kwh Consumption'!T12)</f>
        <v>5076.2200000006706</v>
      </c>
      <c r="K11" s="1">
        <f>'Kwh Consumption'!U12</f>
        <v>219.99999999999886</v>
      </c>
      <c r="L11" s="32">
        <f t="shared" si="0"/>
        <v>6103.7800000000943</v>
      </c>
    </row>
    <row r="12" spans="1:12" x14ac:dyDescent="0.25">
      <c r="A12" s="14">
        <f>'Kwh Reading'!A13</f>
        <v>44265</v>
      </c>
      <c r="B12" s="83">
        <f>TOTAL!E11</f>
        <v>20779.999999999745</v>
      </c>
      <c r="C12" s="1">
        <f>'Kwh Consumption'!C13</f>
        <v>290.00000000002046</v>
      </c>
      <c r="D12" s="1">
        <f>'Kwh Consumption'!D13</f>
        <v>2399.9999999997358</v>
      </c>
      <c r="E12" s="1">
        <f>'Kwh Consumption'!E13</f>
        <v>230.00000000001819</v>
      </c>
      <c r="F12" s="1">
        <f>('Kwh Consumption'!F13+'Kwh Consumption'!G13+'Kwh Consumption'!H13)</f>
        <v>820.00000000005002</v>
      </c>
      <c r="G12" s="16">
        <f>('Kwh Consumption'!I13+'Kwh Consumption'!J13)</f>
        <v>239.99999999999488</v>
      </c>
      <c r="H12" s="1">
        <f>('Kwh Consumption'!K13+'Kwh Consumption'!L13)</f>
        <v>1519.999999999925</v>
      </c>
      <c r="I12" s="1">
        <f>('Kwh Consumption'!M13+'Kwh Consumption'!N13+'Kwh Consumption'!O13+'Kwh Consumption'!P13+'Kwh Consumption'!Q13+'Kwh Consumption'!R13)</f>
        <v>4599.9999999999654</v>
      </c>
      <c r="J12" s="1">
        <f>('Kwh Consumption'!S13+'Kwh Consumption'!T13)</f>
        <v>5129.5499999988824</v>
      </c>
      <c r="K12" s="1">
        <f>'Kwh Consumption'!U13</f>
        <v>230.00000000000398</v>
      </c>
      <c r="L12" s="32">
        <f t="shared" si="0"/>
        <v>5320.4500000011467</v>
      </c>
    </row>
    <row r="13" spans="1:12" x14ac:dyDescent="0.25">
      <c r="A13" s="14">
        <f>'Kwh Reading'!A14</f>
        <v>44266</v>
      </c>
      <c r="B13" s="83">
        <f>TOTAL!E12</f>
        <v>18449.999999999134</v>
      </c>
      <c r="C13" s="1">
        <f>'Kwh Consumption'!C14</f>
        <v>430.00000000000682</v>
      </c>
      <c r="D13" s="1">
        <f>'Kwh Consumption'!D14</f>
        <v>2099.9999999999909</v>
      </c>
      <c r="E13" s="1">
        <f>'Kwh Consumption'!E14</f>
        <v>219.99999999999886</v>
      </c>
      <c r="F13" s="1">
        <f>('Kwh Consumption'!F14+'Kwh Consumption'!G14+'Kwh Consumption'!H14)</f>
        <v>699.99999999998863</v>
      </c>
      <c r="G13" s="16">
        <f>('Kwh Consumption'!I14+'Kwh Consumption'!J14)</f>
        <v>340.00000000001762</v>
      </c>
      <c r="H13" s="1">
        <f>('Kwh Consumption'!K14+'Kwh Consumption'!L14)</f>
        <v>1110.0000000000705</v>
      </c>
      <c r="I13" s="1">
        <f>('Kwh Consumption'!M14+'Kwh Consumption'!N14+'Kwh Consumption'!O14+'Kwh Consumption'!P14+'Kwh Consumption'!Q14+'Kwh Consumption'!R14)</f>
        <v>3080.0000000001546</v>
      </c>
      <c r="J13" s="1">
        <f>('Kwh Consumption'!S14+'Kwh Consumption'!T14)</f>
        <v>3749.5200000004843</v>
      </c>
      <c r="K13" s="1">
        <f>'Kwh Consumption'!U14</f>
        <v>219.99999999999886</v>
      </c>
      <c r="L13" s="32">
        <f t="shared" si="0"/>
        <v>6500.4799999984216</v>
      </c>
    </row>
    <row r="14" spans="1:12" x14ac:dyDescent="0.25">
      <c r="A14" s="14">
        <f>'Kwh Reading'!A15</f>
        <v>44267</v>
      </c>
      <c r="B14" s="83">
        <f>TOTAL!E13</f>
        <v>21800.000000000182</v>
      </c>
      <c r="C14" s="1">
        <f>'Kwh Consumption'!C15</f>
        <v>240.00000000000909</v>
      </c>
      <c r="D14" s="1">
        <f>'Kwh Consumption'!D15</f>
        <v>2400.0000000001796</v>
      </c>
      <c r="E14" s="1">
        <f>'Kwh Consumption'!E15</f>
        <v>259.99999999999091</v>
      </c>
      <c r="F14" s="1">
        <f>('Kwh Consumption'!F15+'Kwh Consumption'!G15+'Kwh Consumption'!H15)</f>
        <v>780.00000000002956</v>
      </c>
      <c r="G14" s="16">
        <f>('Kwh Consumption'!I15+'Kwh Consumption'!J15)</f>
        <v>419.99999999998749</v>
      </c>
      <c r="H14" s="1">
        <f>('Kwh Consumption'!K15+'Kwh Consumption'!L15)</f>
        <v>1520.0000000000102</v>
      </c>
      <c r="I14" s="1">
        <f>('Kwh Consumption'!M15+'Kwh Consumption'!N15+'Kwh Consumption'!O15+'Kwh Consumption'!P15+'Kwh Consumption'!Q15+'Kwh Consumption'!R15)</f>
        <v>4769.9999999998681</v>
      </c>
      <c r="J14" s="1">
        <f>('Kwh Consumption'!S15+'Kwh Consumption'!T15)</f>
        <v>5262.8300000000745</v>
      </c>
      <c r="K14" s="1">
        <f>'Kwh Consumption'!U15</f>
        <v>239.99999999999488</v>
      </c>
      <c r="L14" s="32">
        <f t="shared" si="0"/>
        <v>5907.1700000000401</v>
      </c>
    </row>
    <row r="15" spans="1:12" x14ac:dyDescent="0.25">
      <c r="A15" s="14">
        <f>'Kwh Reading'!A16</f>
        <v>44268</v>
      </c>
      <c r="B15" s="83">
        <f>TOTAL!E14</f>
        <v>23610.000000000124</v>
      </c>
      <c r="C15" s="1">
        <f>'Kwh Consumption'!C16</f>
        <v>509.99999999999091</v>
      </c>
      <c r="D15" s="1">
        <f>'Kwh Consumption'!D16</f>
        <v>2399.9999999997358</v>
      </c>
      <c r="E15" s="1">
        <f>'Kwh Consumption'!E16</f>
        <v>219.99999999999886</v>
      </c>
      <c r="F15" s="1">
        <f>('Kwh Consumption'!F16+'Kwh Consumption'!G16+'Kwh Consumption'!H16)</f>
        <v>869.99999999997613</v>
      </c>
      <c r="G15" s="16">
        <f>('Kwh Consumption'!I16+'Kwh Consumption'!J16)</f>
        <v>420.00000000000171</v>
      </c>
      <c r="H15" s="1">
        <f>('Kwh Consumption'!K16+'Kwh Consumption'!L16)</f>
        <v>1580.0000000000125</v>
      </c>
      <c r="I15" s="1">
        <f>('Kwh Consumption'!M16+'Kwh Consumption'!N16+'Kwh Consumption'!O16+'Kwh Consumption'!P16+'Kwh Consumption'!Q16+'Kwh Consumption'!R16)</f>
        <v>4980.0000000000182</v>
      </c>
      <c r="J15" s="1">
        <f>('Kwh Consumption'!S16+'Kwh Consumption'!T16)</f>
        <v>5710.0299999993294</v>
      </c>
      <c r="K15" s="1">
        <f>'Kwh Consumption'!U16</f>
        <v>200.00000000000284</v>
      </c>
      <c r="L15" s="32">
        <f t="shared" si="0"/>
        <v>6719.9700000010607</v>
      </c>
    </row>
    <row r="16" spans="1:12" x14ac:dyDescent="0.25">
      <c r="A16" s="14">
        <f>'Kwh Reading'!A17</f>
        <v>44269</v>
      </c>
      <c r="B16" s="83">
        <f>TOTAL!E15</f>
        <v>0</v>
      </c>
      <c r="C16" s="1">
        <f>'Kwh Consumption'!C17</f>
        <v>-370310</v>
      </c>
      <c r="D16" s="1">
        <f>'Kwh Consumption'!D17</f>
        <v>-2114600</v>
      </c>
      <c r="E16" s="1">
        <f>'Kwh Consumption'!E17</f>
        <v>-205280</v>
      </c>
      <c r="F16" s="1">
        <f>('Kwh Consumption'!F17+'Kwh Consumption'!G17+'Kwh Consumption'!H17)</f>
        <v>-815530</v>
      </c>
      <c r="G16" s="16">
        <f>('Kwh Consumption'!I17+'Kwh Consumption'!J17)</f>
        <v>-226610</v>
      </c>
      <c r="H16" s="1">
        <f>('Kwh Consumption'!K17+'Kwh Consumption'!L17)</f>
        <v>-1039190</v>
      </c>
      <c r="I16" s="1">
        <f>('Kwh Consumption'!M17+'Kwh Consumption'!N17+'Kwh Consumption'!O17+'Kwh Consumption'!P17+'Kwh Consumption'!Q17+'Kwh Consumption'!R17)</f>
        <v>-2901010</v>
      </c>
      <c r="J16" s="1">
        <f>('Kwh Consumption'!S17+'Kwh Consumption'!T17)</f>
        <v>-15065588.07</v>
      </c>
      <c r="K16" s="1">
        <f>'Kwh Consumption'!U17</f>
        <v>-124550</v>
      </c>
      <c r="L16" s="32">
        <f t="shared" si="0"/>
        <v>22862668.07</v>
      </c>
    </row>
    <row r="17" spans="1:12" x14ac:dyDescent="0.25">
      <c r="A17" s="14">
        <f>'Kwh Reading'!A18</f>
        <v>44270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44271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44272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44273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44274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44275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44276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44277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44278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44279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44280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44281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44282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285029.99999999971</v>
      </c>
      <c r="C34" s="75">
        <f>SUM(C3:C33)</f>
        <v>-364120</v>
      </c>
      <c r="D34" s="75">
        <f t="shared" ref="D34:L34" si="1">SUM(D3:D33)</f>
        <v>-2084000.0000000002</v>
      </c>
      <c r="E34" s="75">
        <f t="shared" si="1"/>
        <v>-202200</v>
      </c>
      <c r="F34" s="75">
        <f t="shared" si="1"/>
        <v>-804710</v>
      </c>
      <c r="G34" s="75">
        <f t="shared" si="1"/>
        <v>-223451</v>
      </c>
      <c r="H34" s="75">
        <f t="shared" si="1"/>
        <v>-1019749.9999999999</v>
      </c>
      <c r="I34" s="75">
        <f t="shared" si="1"/>
        <v>-2837040</v>
      </c>
      <c r="J34" s="75">
        <f t="shared" si="1"/>
        <v>-14999702.220000003</v>
      </c>
      <c r="K34" s="75">
        <f t="shared" si="1"/>
        <v>-121340</v>
      </c>
      <c r="L34" s="75">
        <f t="shared" si="1"/>
        <v>22941343.220000003</v>
      </c>
      <c r="M34" s="84">
        <f>C34+D34+E34+F34+G34+H34+I34+J34+K34+L34</f>
        <v>285030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-291760.00000000006</v>
      </c>
      <c r="E36" s="75">
        <f>E34*B36</f>
        <v>-28308.000000000004</v>
      </c>
      <c r="F36" s="75">
        <f>F34*B36</f>
        <v>-112659.40000000001</v>
      </c>
      <c r="G36" s="75">
        <f>G34*B36</f>
        <v>-31283.140000000003</v>
      </c>
      <c r="H36" s="75">
        <f>H34*B36</f>
        <v>-142765</v>
      </c>
      <c r="I36" s="75">
        <f>I34*B36</f>
        <v>-397185.60000000003</v>
      </c>
      <c r="J36" s="75">
        <f>J34*B36</f>
        <v>-2099958.3108000006</v>
      </c>
      <c r="K36" s="75">
        <f>K34*B36</f>
        <v>-16987.600000000002</v>
      </c>
      <c r="L36" s="75">
        <f>L34*B36</f>
        <v>3211788.0508000008</v>
      </c>
      <c r="M36" s="84">
        <f>C36+D36+E36+F36+G36+H36+I36+J36+K36+L36</f>
        <v>39904.200000000186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3089.7999999999597</v>
      </c>
      <c r="D3" s="1">
        <f>'Kwh Consumption'!C4*' Kwh area wise $ '!B3</f>
        <v>71.399999999998727</v>
      </c>
      <c r="E3" s="1">
        <f>'Kwh Consumption'!D4*' Kwh area wise $ '!B3</f>
        <v>321.99999999999562</v>
      </c>
      <c r="F3" s="1">
        <f>'Kwh Consumption'!E4*' Kwh area wise $ '!B3</f>
        <v>35</v>
      </c>
      <c r="G3" s="1">
        <f>('Kwh Consumption'!F4+'Kwh Consumption'!G4+'Kwh Consumption'!H4)*' Kwh area wise $ '!B3</f>
        <v>114.79999999999508</v>
      </c>
      <c r="H3" s="16">
        <f>('Kwh Consumption'!I4+'Kwh Consumption'!J4)*' Kwh area wise $ '!B3</f>
        <v>26.739999999998364</v>
      </c>
      <c r="I3" s="1">
        <f>('Kwh Consumption'!K4+'Kwh Consumption'!L4)*' Kwh area wise $ '!B3</f>
        <v>212.80000000000544</v>
      </c>
      <c r="J3" s="1">
        <f>('Kwh Consumption'!M4+'Kwh Consumption'!N4+'Kwh Consumption'!O4+'Kwh Consumption'!P4+'Kwh Consumption'!Q4+'Kwh Consumption'!R4)*' Kwh area wise $ '!B3</f>
        <v>735.00000000000807</v>
      </c>
      <c r="K3" s="1">
        <f>('Kwh Consumption'!S4+'Kwh Consumption'!T4)*' Kwh area wise $ '!B3</f>
        <v>728.97859999990101</v>
      </c>
      <c r="L3" s="1">
        <f>'Kwh Consumption'!U4*' Kwh area wise $ '!B3</f>
        <v>35</v>
      </c>
      <c r="M3" s="1">
        <f>'Kwh Consumption'!V4*' Kwh area wise $ '!B3</f>
        <v>808.08140000005744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3249.4000000000369</v>
      </c>
      <c r="D4" s="1">
        <f>'Kwh Consumption'!C5*' Kwh area wise $ '!B4</f>
        <v>70</v>
      </c>
      <c r="E4" s="1">
        <f>'Kwh Consumption'!D5*' Kwh area wise $ '!B4</f>
        <v>335.99999999996305</v>
      </c>
      <c r="F4" s="1">
        <f>'Kwh Consumption'!E5*' Kwh area wise $ '!B4</f>
        <v>35</v>
      </c>
      <c r="G4" s="1">
        <f>('Kwh Consumption'!F5+'Kwh Consumption'!G5+'Kwh Consumption'!H5)*' Kwh area wise $ '!B4</f>
        <v>131.59999999999968</v>
      </c>
      <c r="H4" s="16">
        <f>('Kwh Consumption'!I5+'Kwh Consumption'!J5)*' Kwh area wise $ '!B4</f>
        <v>30.520000000000497</v>
      </c>
      <c r="I4" s="1">
        <f>('Kwh Consumption'!K5+'Kwh Consumption'!L5)*' Kwh area wise $ '!B4</f>
        <v>215.59999999999096</v>
      </c>
      <c r="J4" s="1">
        <f>('Kwh Consumption'!M5+'Kwh Consumption'!N5+'Kwh Consumption'!O5+'Kwh Consumption'!P5+'Kwh Consumption'!Q5+'Kwh Consumption'!R5)*' Kwh area wise $ '!B4</f>
        <v>733.60000000000139</v>
      </c>
      <c r="K4" s="1">
        <f>('Kwh Consumption'!S5+'Kwh Consumption'!T5)*' Kwh area wise $ '!B4</f>
        <v>701.37760000010962</v>
      </c>
      <c r="L4" s="1">
        <f>'Kwh Consumption'!U5*' Kwh area wise $ '!B4</f>
        <v>43.400000000000325</v>
      </c>
      <c r="M4" s="1">
        <f>'Kwh Consumption'!V5*' Kwh area wise $ '!B4</f>
        <v>952.3023999999715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3130.4000000000501</v>
      </c>
      <c r="D5" s="1">
        <f>'Kwh Consumption'!C6*' Kwh area wise $ '!B5</f>
        <v>72.799999999997453</v>
      </c>
      <c r="E5" s="1">
        <f>'Kwh Consumption'!D6*' Kwh area wise $ '!B5</f>
        <v>350.00000000005474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140</v>
      </c>
      <c r="H5" s="16">
        <f>('Kwh Consumption'!I6+'Kwh Consumption'!J6)*' Kwh area wise $ '!B5</f>
        <v>23.800000000000242</v>
      </c>
      <c r="I5" s="1">
        <f>('Kwh Consumption'!K6+'Kwh Consumption'!L6)*' Kwh area wise $ '!B5</f>
        <v>208.60000000001324</v>
      </c>
      <c r="J5" s="1">
        <f>('Kwh Consumption'!M6+'Kwh Consumption'!N6+'Kwh Consumption'!O6+'Kwh Consumption'!P6+'Kwh Consumption'!Q6+'Kwh Consumption'!R6)*' Kwh area wise $ '!B5</f>
        <v>704.19999999999629</v>
      </c>
      <c r="K5" s="1">
        <f>('Kwh Consumption'!S6+'Kwh Consumption'!T6)*' Kwh area wise $ '!B5</f>
        <v>707.52359999990097</v>
      </c>
      <c r="L5" s="1">
        <f>'Kwh Consumption'!U6*' Kwh area wise $ '!B5</f>
        <v>35</v>
      </c>
      <c r="M5" s="1">
        <f>'Kwh Consumption'!V6*' Kwh area wise $ '!B5</f>
        <v>854.87640000008594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3207.3999999999478</v>
      </c>
      <c r="D6" s="1">
        <f>'Kwh Consumption'!C7*' Kwh area wise $ '!B6</f>
        <v>72.800000000005411</v>
      </c>
      <c r="E6" s="1">
        <f>'Kwh Consumption'!D7*' Kwh area wise $ '!B6</f>
        <v>335.99999999996305</v>
      </c>
      <c r="F6" s="1">
        <f>'Kwh Consumption'!E7*' Kwh area wise $ '!B6</f>
        <v>32.199999999998568</v>
      </c>
      <c r="G6" s="1">
        <f>('Kwh Consumption'!F7+'Kwh Consumption'!G7+'Kwh Consumption'!H7)*' Kwh area wise $ '!B6</f>
        <v>138.60000000000127</v>
      </c>
      <c r="H6" s="16">
        <f>('Kwh Consumption'!I7+'Kwh Consumption'!J7)*' Kwh area wise $ '!B6</f>
        <v>20.020000000000099</v>
      </c>
      <c r="I6" s="1">
        <f>('Kwh Consumption'!K7+'Kwh Consumption'!L7)*' Kwh area wise $ '!B6</f>
        <v>204.39999999999318</v>
      </c>
      <c r="J6" s="1">
        <f>('Kwh Consumption'!M7+'Kwh Consumption'!N7+'Kwh Consumption'!O7+'Kwh Consumption'!P7+'Kwh Consumption'!Q7+'Kwh Consumption'!R7)*' Kwh area wise $ '!B6</f>
        <v>730.80000000000393</v>
      </c>
      <c r="K6" s="1">
        <f>('Kwh Consumption'!S7+'Kwh Consumption'!T7)*' Kwh area wise $ '!B6</f>
        <v>753.73199999997405</v>
      </c>
      <c r="L6" s="1">
        <f>'Kwh Consumption'!U7*' Kwh area wise $ '!B6</f>
        <v>46.199999999999768</v>
      </c>
      <c r="M6" s="1">
        <f>'Kwh Consumption'!V7*' Kwh area wise $ '!B6</f>
        <v>872.64800000000832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3235.4</v>
      </c>
      <c r="D7" s="1">
        <f>'Kwh Consumption'!C8*' Kwh area wise $ '!B7</f>
        <v>71.399999999998727</v>
      </c>
      <c r="E7" s="1">
        <f>'Kwh Consumption'!D8*' Kwh area wise $ '!B7</f>
        <v>321.99999999999562</v>
      </c>
      <c r="F7" s="1">
        <f>'Kwh Consumption'!E8*' Kwh area wise $ '!B7</f>
        <v>35</v>
      </c>
      <c r="G7" s="1">
        <f>('Kwh Consumption'!F8+'Kwh Consumption'!G8+'Kwh Consumption'!H8)*' Kwh area wise $ '!B7</f>
        <v>124.59999999999413</v>
      </c>
      <c r="H7" s="16">
        <f>('Kwh Consumption'!I8+'Kwh Consumption'!J8)*' Kwh area wise $ '!B7</f>
        <v>42.97999999999832</v>
      </c>
      <c r="I7" s="1">
        <f>('Kwh Consumption'!K8+'Kwh Consumption'!L8)*' Kwh area wise $ '!B7</f>
        <v>219.79999999999907</v>
      </c>
      <c r="J7" s="1">
        <f>('Kwh Consumption'!M8+'Kwh Consumption'!N8+'Kwh Consumption'!O8+'Kwh Consumption'!P8+'Kwh Consumption'!Q8+'Kwh Consumption'!R8)*' Kwh area wise $ '!B7</f>
        <v>772.79999999998961</v>
      </c>
      <c r="K7" s="1">
        <f>('Kwh Consumption'!S8+'Kwh Consumption'!T8)*' Kwh area wise $ '!B7</f>
        <v>774.70680000001573</v>
      </c>
      <c r="L7" s="1">
        <f>'Kwh Consumption'!U8*' Kwh area wise $ '!B7</f>
        <v>36.399999999998727</v>
      </c>
      <c r="M7" s="1">
        <f>'Kwh Consumption'!V8*' Kwh area wise $ '!B7</f>
        <v>835.71320000000992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3175.2000000000094</v>
      </c>
      <c r="D8" s="1">
        <f>'Kwh Consumption'!C9*' Kwh area wise $ '!B8</f>
        <v>70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134.40000000000509</v>
      </c>
      <c r="H8" s="16">
        <f>('Kwh Consumption'!I9+'Kwh Consumption'!J9)*' Kwh area wise $ '!B8</f>
        <v>46.200000000001758</v>
      </c>
      <c r="I8" s="1">
        <f>('Kwh Consumption'!K9+'Kwh Consumption'!L9)*' Kwh area wise $ '!B8</f>
        <v>235.20000000000496</v>
      </c>
      <c r="J8" s="1">
        <f>('Kwh Consumption'!M9+'Kwh Consumption'!N9+'Kwh Consumption'!O9+'Kwh Consumption'!P9+'Kwh Consumption'!Q9+'Kwh Consumption'!R9)*' Kwh area wise $ '!B8</f>
        <v>740.59999999999502</v>
      </c>
      <c r="K8" s="1">
        <f>('Kwh Consumption'!S9+'Kwh Consumption'!T9)*' Kwh area wise $ '!B8</f>
        <v>708.53019999995831</v>
      </c>
      <c r="L8" s="1">
        <f>'Kwh Consumption'!U9*' Kwh area wise $ '!B8</f>
        <v>32.200000000000557</v>
      </c>
      <c r="M8" s="1">
        <f>'Kwh Consumption'!V9*' Kwh area wise $ '!B8</f>
        <v>837.06980000001886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2953.9999999999554</v>
      </c>
      <c r="D9" s="1">
        <f>'Kwh Consumption'!C10*' Kwh area wise $ '!B9</f>
        <v>67.200000000002547</v>
      </c>
      <c r="E9" s="1">
        <f>'Kwh Consumption'!D10*' Kwh area wise $ '!B9</f>
        <v>321.99999999999562</v>
      </c>
      <c r="F9" s="1">
        <f>'Kwh Consumption'!E10*' Kwh area wise $ '!B9</f>
        <v>29.400000000001118</v>
      </c>
      <c r="G9" s="1">
        <f>('Kwh Consumption'!F10+'Kwh Consumption'!G10+'Kwh Consumption'!H10)*' Kwh area wise $ '!B9</f>
        <v>113.39999999999635</v>
      </c>
      <c r="H9" s="16">
        <f>('Kwh Consumption'!I10+'Kwh Consumption'!J10)*' Kwh area wise $ '!B9</f>
        <v>20.99999999999881</v>
      </c>
      <c r="I9" s="1">
        <f>('Kwh Consumption'!K10+'Kwh Consumption'!L10)*' Kwh area wise $ '!B9</f>
        <v>222.60000000000051</v>
      </c>
      <c r="J9" s="1">
        <f>('Kwh Consumption'!M10+'Kwh Consumption'!N10+'Kwh Consumption'!O10+'Kwh Consumption'!P10+'Kwh Consumption'!Q10+'Kwh Consumption'!R10)*' Kwh area wise $ '!B9</f>
        <v>698.60000000000139</v>
      </c>
      <c r="K9" s="1">
        <f>('Kwh Consumption'!S10+'Kwh Consumption'!T10)*' Kwh area wise $ '!B9</f>
        <v>654.91440000012528</v>
      </c>
      <c r="L9" s="1">
        <f>'Kwh Consumption'!U10*' Kwh area wise $ '!B9</f>
        <v>30.799999999999844</v>
      </c>
      <c r="M9" s="1">
        <f>'Kwh Consumption'!V10*' Kwh area wise $ '!B9</f>
        <v>794.0855999998339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2959.6000000000136</v>
      </c>
      <c r="D10" s="1">
        <f>'Kwh Consumption'!C11*' Kwh area wise $ '!B10</f>
        <v>68.599999999993315</v>
      </c>
      <c r="E10" s="1">
        <f>'Kwh Consumption'!D11*' Kwh area wise $ '!B10</f>
        <v>321.99999999999562</v>
      </c>
      <c r="F10" s="1">
        <f>'Kwh Consumption'!E11*' Kwh area wise $ '!B10</f>
        <v>35</v>
      </c>
      <c r="G10" s="1">
        <f>('Kwh Consumption'!F11+'Kwh Consumption'!G11+'Kwh Consumption'!H11)*' Kwh area wise $ '!B10</f>
        <v>88.200000000007336</v>
      </c>
      <c r="H10" s="16">
        <f>('Kwh Consumption'!I11+'Kwh Consumption'!J11)*' Kwh area wise $ '!B10</f>
        <v>25.200000000000959</v>
      </c>
      <c r="I10" s="1">
        <f>('Kwh Consumption'!K11+'Kwh Consumption'!L11)*' Kwh area wise $ '!B10</f>
        <v>204.39999999999716</v>
      </c>
      <c r="J10" s="1">
        <f>('Kwh Consumption'!M11+'Kwh Consumption'!N11+'Kwh Consumption'!O11+'Kwh Consumption'!P11+'Kwh Consumption'!Q11+'Kwh Consumption'!R11)*' Kwh area wise $ '!B10</f>
        <v>694.40000000001305</v>
      </c>
      <c r="K10" s="1">
        <f>('Kwh Consumption'!S11+'Kwh Consumption'!T11)*' Kwh area wise $ '!B10</f>
        <v>704.31479999991143</v>
      </c>
      <c r="L10" s="1">
        <f>'Kwh Consumption'!U11*' Kwh area wise $ '!B10</f>
        <v>35</v>
      </c>
      <c r="M10" s="1">
        <f>'Kwh Consumption'!V11*' Kwh area wise $ '!B10</f>
        <v>782.48520000009489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3053.4000000001206</v>
      </c>
      <c r="D11" s="1">
        <f>'Kwh Consumption'!C12*' Kwh area wise $ '!B11</f>
        <v>96.599999999999696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85.399999999989987</v>
      </c>
      <c r="H11" s="16">
        <f>('Kwh Consumption'!I12+'Kwh Consumption'!J12)*' Kwh area wise $ '!B11</f>
        <v>6.999999999999603</v>
      </c>
      <c r="I11" s="1">
        <f>('Kwh Consumption'!K12+'Kwh Consumption'!L12)*' Kwh area wise $ '!B11</f>
        <v>196.0000000000048</v>
      </c>
      <c r="J11" s="1">
        <f>('Kwh Consumption'!M12+'Kwh Consumption'!N12+'Kwh Consumption'!O12+'Kwh Consumption'!P12+'Kwh Consumption'!Q12+'Kwh Consumption'!R12)*' Kwh area wise $ '!B11</f>
        <v>705.59999999999502</v>
      </c>
      <c r="K11" s="1">
        <f>('Kwh Consumption'!S12+'Kwh Consumption'!T12)*' Kwh area wise $ '!B11</f>
        <v>710.67080000009389</v>
      </c>
      <c r="L11" s="1">
        <f>'Kwh Consumption'!U12*' Kwh area wise $ '!B11</f>
        <v>30.799999999999844</v>
      </c>
      <c r="M11" s="1">
        <f>'Kwh Consumption'!V12*' Kwh area wise $ '!B11</f>
        <v>854.52920000001291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2909.1999999999648</v>
      </c>
      <c r="D12" s="1">
        <f>'Kwh Consumption'!C13*' Kwh area wise $ '!B12</f>
        <v>40.600000000002872</v>
      </c>
      <c r="E12" s="1">
        <f>'Kwh Consumption'!D13*' Kwh area wise $ '!B12</f>
        <v>335.99999999996305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114.80000000000702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212.79999999998952</v>
      </c>
      <c r="J12" s="1">
        <f>('Kwh Consumption'!M13+'Kwh Consumption'!N13+'Kwh Consumption'!O13+'Kwh Consumption'!P13+'Kwh Consumption'!Q13+'Kwh Consumption'!R13)*' Kwh area wise $ '!B12</f>
        <v>643.99999999999523</v>
      </c>
      <c r="K12" s="1">
        <f>('Kwh Consumption'!S13+'Kwh Consumption'!T13)*' Kwh area wise $ '!B12</f>
        <v>718.13699999984362</v>
      </c>
      <c r="L12" s="1">
        <f>'Kwh Consumption'!U13*' Kwh area wise $ '!B12</f>
        <v>32.200000000000557</v>
      </c>
      <c r="M12" s="1">
        <f>'Kwh Consumption'!V13*' Kwh area wise $ '!B12</f>
        <v>744.86300000016081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2582.999999999879</v>
      </c>
      <c r="D13" s="1">
        <f>'Kwh Consumption'!C14*' Kwh area wise $ '!B13</f>
        <v>60.200000000000962</v>
      </c>
      <c r="E13" s="1">
        <f>'Kwh Consumption'!D14*' Kwh area wise $ '!B13</f>
        <v>293.99999999999875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97.999999999998423</v>
      </c>
      <c r="H13" s="16">
        <f>('Kwh Consumption'!I14+'Kwh Consumption'!J14)*' Kwh area wise $ '!B13</f>
        <v>47.600000000002474</v>
      </c>
      <c r="I13" s="1">
        <f>('Kwh Consumption'!K14+'Kwh Consumption'!L14)*' Kwh area wise $ '!B13</f>
        <v>155.4000000000099</v>
      </c>
      <c r="J13" s="1">
        <f>('Kwh Consumption'!M14+'Kwh Consumption'!N14+'Kwh Consumption'!O14+'Kwh Consumption'!P14+'Kwh Consumption'!Q14+'Kwh Consumption'!R14)*' Kwh area wise $ '!B13</f>
        <v>431.2000000000217</v>
      </c>
      <c r="K13" s="1">
        <f>('Kwh Consumption'!S14+'Kwh Consumption'!T14)*' Kwh area wise $ '!B13</f>
        <v>524.9328000000678</v>
      </c>
      <c r="L13" s="1">
        <f>'Kwh Consumption'!U14*' Kwh area wise $ '!B13</f>
        <v>30.799999999999844</v>
      </c>
      <c r="M13" s="1">
        <f>'Kwh Consumption'!V14*' Kwh area wise $ '!B13</f>
        <v>910.06719999977929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3052.0000000000259</v>
      </c>
      <c r="D14" s="1">
        <f>'Kwh Consumption'!C15*' Kwh area wise $ '!B14</f>
        <v>33.600000000001273</v>
      </c>
      <c r="E14" s="1">
        <f>'Kwh Consumption'!D15*' Kwh area wise $ '!B14</f>
        <v>336.00000000002518</v>
      </c>
      <c r="F14" s="1">
        <f>'Kwh Consumption'!E15*' Kwh area wise $ '!B14</f>
        <v>36.399999999998727</v>
      </c>
      <c r="G14" s="1">
        <f>('Kwh Consumption'!F15+'Kwh Consumption'!G15+'Kwh Consumption'!H15)*' Kwh area wise $ '!B14</f>
        <v>109.20000000000415</v>
      </c>
      <c r="H14" s="16">
        <f>('Kwh Consumption'!I15+'Kwh Consumption'!J15)*' Kwh area wise $ '!B14</f>
        <v>58.799999999998256</v>
      </c>
      <c r="I14" s="1">
        <f>('Kwh Consumption'!K15+'Kwh Consumption'!L15)*' Kwh area wise $ '!B14</f>
        <v>212.80000000000146</v>
      </c>
      <c r="J14" s="1">
        <f>('Kwh Consumption'!M15+'Kwh Consumption'!N15+'Kwh Consumption'!O15+'Kwh Consumption'!P15+'Kwh Consumption'!Q15+'Kwh Consumption'!R15)*' Kwh area wise $ '!B14</f>
        <v>667.79999999998165</v>
      </c>
      <c r="K14" s="1">
        <f>('Kwh Consumption'!S15+'Kwh Consumption'!T15)*' Kwh area wise $ '!B14</f>
        <v>736.79620000001046</v>
      </c>
      <c r="L14" s="1">
        <f>'Kwh Consumption'!U15*' Kwh area wise $ '!B14</f>
        <v>33.599999999999284</v>
      </c>
      <c r="M14" s="1">
        <f>'Kwh Consumption'!V15*' Kwh area wise $ '!B14</f>
        <v>827.00380000000541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3305.4000000000178</v>
      </c>
      <c r="D15" s="1">
        <f>'Kwh Consumption'!C16*' Kwh area wise $ '!B15</f>
        <v>71.399999999998727</v>
      </c>
      <c r="E15" s="1">
        <f>'Kwh Consumption'!D16*' Kwh area wise $ '!B15</f>
        <v>335.99999999996305</v>
      </c>
      <c r="F15" s="1">
        <f>'Kwh Consumption'!E16*' Kwh area wise $ '!B15</f>
        <v>30.799999999999844</v>
      </c>
      <c r="G15" s="1">
        <f>('Kwh Consumption'!F16+'Kwh Consumption'!G16+'Kwh Consumption'!H16)*' Kwh area wise $ '!B15</f>
        <v>121.79999999999667</v>
      </c>
      <c r="H15" s="16">
        <f>('Kwh Consumption'!I16+'Kwh Consumption'!J16)*' Kwh area wise $ '!B15</f>
        <v>58.800000000000246</v>
      </c>
      <c r="I15" s="1">
        <f>('Kwh Consumption'!K16+'Kwh Consumption'!L16)*' Kwh area wise $ '!B15</f>
        <v>221.20000000000178</v>
      </c>
      <c r="J15" s="1">
        <f>('Kwh Consumption'!M16+'Kwh Consumption'!N16+'Kwh Consumption'!O16+'Kwh Consumption'!P16+'Kwh Consumption'!Q16+'Kwh Consumption'!R16)*' Kwh area wise $ '!B15</f>
        <v>697.20000000000266</v>
      </c>
      <c r="K15" s="1">
        <f>('Kwh Consumption'!S16+'Kwh Consumption'!T16)*' Kwh area wise $ '!B15</f>
        <v>799.40419999990615</v>
      </c>
      <c r="L15" s="1">
        <f>'Kwh Consumption'!U16*' Kwh area wise $ '!B15</f>
        <v>28.000000000000401</v>
      </c>
      <c r="M15" s="1">
        <f>'Kwh Consumption'!V16*' Kwh area wise $ '!B15</f>
        <v>940.79580000014801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-51843.4</v>
      </c>
      <c r="E16" s="1">
        <f>'Kwh Consumption'!D17*' Kwh area wise $ '!B16</f>
        <v>-296044</v>
      </c>
      <c r="F16" s="1">
        <f>'Kwh Consumption'!E17*' Kwh area wise $ '!B16</f>
        <v>-28739.200000000004</v>
      </c>
      <c r="G16" s="1">
        <f>('Kwh Consumption'!F17+'Kwh Consumption'!G17+'Kwh Consumption'!H17)*' Kwh area wise $ '!B16</f>
        <v>-114174.20000000001</v>
      </c>
      <c r="H16" s="16">
        <f>('Kwh Consumption'!I17+'Kwh Consumption'!J17)*' Kwh area wise $ '!B16</f>
        <v>-31725.4</v>
      </c>
      <c r="I16" s="1">
        <f>('Kwh Consumption'!K17+'Kwh Consumption'!L17)*' Kwh area wise $ '!B16</f>
        <v>-145486.6</v>
      </c>
      <c r="J16" s="1">
        <f>('Kwh Consumption'!M17+'Kwh Consumption'!N17+'Kwh Consumption'!O17+'Kwh Consumption'!P17+'Kwh Consumption'!Q17+'Kwh Consumption'!R17)*' Kwh area wise $ '!B16</f>
        <v>-406141.4</v>
      </c>
      <c r="K16" s="1">
        <f>('Kwh Consumption'!S17+'Kwh Consumption'!T17)*' Kwh area wise $ '!B16</f>
        <v>-2109182.3298000004</v>
      </c>
      <c r="L16" s="1">
        <f>'Kwh Consumption'!U17*' Kwh area wise $ '!B16</f>
        <v>-17437</v>
      </c>
      <c r="M16" s="1">
        <f>'Kwh Consumption'!V17*' Kwh area wise $ '!B16</f>
        <v>3200773.5298000001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39904.199999999983</v>
      </c>
      <c r="D34" s="75">
        <f t="shared" si="0"/>
        <v>-50976.800000000003</v>
      </c>
      <c r="E34" s="75">
        <f t="shared" si="0"/>
        <v>-291760.00000000006</v>
      </c>
      <c r="F34" s="75">
        <f t="shared" si="0"/>
        <v>-28308.000000000004</v>
      </c>
      <c r="G34" s="75">
        <f t="shared" si="0"/>
        <v>-112659.40000000002</v>
      </c>
      <c r="H34" s="75">
        <f t="shared" si="0"/>
        <v>-31283.140000000003</v>
      </c>
      <c r="I34" s="75">
        <f t="shared" si="0"/>
        <v>-142765</v>
      </c>
      <c r="J34" s="75">
        <f t="shared" si="0"/>
        <v>-397185.60000000003</v>
      </c>
      <c r="K34" s="75">
        <f t="shared" si="0"/>
        <v>-2099958.3108000006</v>
      </c>
      <c r="L34" s="75">
        <f t="shared" si="0"/>
        <v>-16987.600000000002</v>
      </c>
      <c r="M34" s="75">
        <f>SUM(M3:M33)</f>
        <v>3211788.0508000003</v>
      </c>
      <c r="N34" s="84">
        <f>D34+E34+F34+G34+H34+I34+J34+K34+L34+M34</f>
        <v>39904.199999999721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6" sqref="R1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>
        <v>146021</v>
      </c>
      <c r="C4" s="56">
        <v>103127</v>
      </c>
      <c r="D4" s="55">
        <v>191527</v>
      </c>
      <c r="E4" s="55">
        <v>240626</v>
      </c>
      <c r="F4" s="55">
        <v>66852</v>
      </c>
      <c r="G4" s="55">
        <v>109410</v>
      </c>
      <c r="H4" s="33">
        <v>46725</v>
      </c>
      <c r="I4" s="55">
        <v>58342</v>
      </c>
      <c r="J4" s="55">
        <v>18668</v>
      </c>
      <c r="K4" s="55">
        <v>1024</v>
      </c>
      <c r="L4" s="55">
        <v>16441</v>
      </c>
      <c r="M4" s="55">
        <v>22443</v>
      </c>
      <c r="N4" s="55">
        <v>6746</v>
      </c>
      <c r="O4" s="55">
        <v>1566</v>
      </c>
      <c r="P4" s="55">
        <v>26031</v>
      </c>
      <c r="Q4" s="33">
        <v>165</v>
      </c>
      <c r="R4" s="55">
        <v>5651</v>
      </c>
    </row>
    <row r="5" spans="1:18" x14ac:dyDescent="0.25">
      <c r="A5" s="54">
        <v>44258</v>
      </c>
      <c r="B5" s="55">
        <v>146232</v>
      </c>
      <c r="C5" s="33">
        <v>103277</v>
      </c>
      <c r="D5" s="55">
        <v>191639</v>
      </c>
      <c r="E5" s="55">
        <v>240680</v>
      </c>
      <c r="F5" s="55">
        <v>66853</v>
      </c>
      <c r="G5" s="55">
        <v>109435</v>
      </c>
      <c r="H5" s="33">
        <v>46804</v>
      </c>
      <c r="I5" s="55">
        <v>58359</v>
      </c>
      <c r="J5" s="55">
        <v>18680</v>
      </c>
      <c r="K5" s="55">
        <v>1024</v>
      </c>
      <c r="L5" s="55">
        <v>16447</v>
      </c>
      <c r="M5" s="55">
        <v>22457</v>
      </c>
      <c r="N5" s="55">
        <v>6754</v>
      </c>
      <c r="O5" s="55">
        <v>1568</v>
      </c>
      <c r="P5" s="55">
        <v>26031</v>
      </c>
      <c r="Q5" s="33">
        <v>170</v>
      </c>
      <c r="R5" s="55">
        <v>5658</v>
      </c>
    </row>
    <row r="6" spans="1:18" x14ac:dyDescent="0.25">
      <c r="A6" s="54">
        <v>44259</v>
      </c>
      <c r="B6" s="56">
        <v>146427</v>
      </c>
      <c r="C6" s="56">
        <v>103495</v>
      </c>
      <c r="D6" s="55">
        <v>191820</v>
      </c>
      <c r="E6" s="55">
        <v>240740</v>
      </c>
      <c r="F6" s="55">
        <v>66853</v>
      </c>
      <c r="G6" s="55">
        <v>109459</v>
      </c>
      <c r="H6" s="33">
        <v>46853</v>
      </c>
      <c r="I6" s="55">
        <v>58377</v>
      </c>
      <c r="J6" s="55">
        <v>18691</v>
      </c>
      <c r="K6" s="55">
        <v>1024</v>
      </c>
      <c r="L6" s="55">
        <v>16454</v>
      </c>
      <c r="M6" s="55">
        <v>22471</v>
      </c>
      <c r="N6" s="55">
        <v>6762</v>
      </c>
      <c r="O6" s="55">
        <v>1568</v>
      </c>
      <c r="P6" s="55">
        <v>26031</v>
      </c>
      <c r="Q6" s="33">
        <v>172</v>
      </c>
      <c r="R6" s="55">
        <v>5666</v>
      </c>
    </row>
    <row r="7" spans="1:18" x14ac:dyDescent="0.25">
      <c r="A7" s="54">
        <v>44260</v>
      </c>
      <c r="B7" s="56">
        <v>146613</v>
      </c>
      <c r="C7" s="33">
        <v>103692</v>
      </c>
      <c r="D7" s="55">
        <v>192001</v>
      </c>
      <c r="E7" s="55">
        <v>240798</v>
      </c>
      <c r="F7" s="55">
        <v>66853</v>
      </c>
      <c r="G7" s="55">
        <v>109483</v>
      </c>
      <c r="H7" s="33">
        <v>46892</v>
      </c>
      <c r="I7" s="55">
        <v>58395</v>
      </c>
      <c r="J7" s="55">
        <v>18704</v>
      </c>
      <c r="K7" s="55">
        <v>1024</v>
      </c>
      <c r="L7" s="55">
        <v>16462</v>
      </c>
      <c r="M7" s="55">
        <v>22485</v>
      </c>
      <c r="N7" s="55">
        <v>6767</v>
      </c>
      <c r="O7" s="55">
        <v>1570</v>
      </c>
      <c r="P7" s="55">
        <v>26031</v>
      </c>
      <c r="Q7" s="33">
        <v>174</v>
      </c>
      <c r="R7" s="55">
        <v>5673</v>
      </c>
    </row>
    <row r="8" spans="1:18" x14ac:dyDescent="0.25">
      <c r="A8" s="54">
        <v>44261</v>
      </c>
      <c r="B8" s="33">
        <v>146875</v>
      </c>
      <c r="C8" s="56">
        <v>103849</v>
      </c>
      <c r="D8" s="55">
        <v>192132</v>
      </c>
      <c r="E8" s="55">
        <v>240871</v>
      </c>
      <c r="F8" s="55">
        <v>66854</v>
      </c>
      <c r="G8" s="55">
        <v>109506</v>
      </c>
      <c r="H8" s="33">
        <v>46932</v>
      </c>
      <c r="I8" s="55">
        <v>58425</v>
      </c>
      <c r="J8" s="55">
        <v>18715</v>
      </c>
      <c r="K8" s="55">
        <v>1024</v>
      </c>
      <c r="L8" s="55">
        <v>16468</v>
      </c>
      <c r="M8" s="55">
        <v>22501</v>
      </c>
      <c r="N8" s="55">
        <v>6772</v>
      </c>
      <c r="O8" s="55">
        <v>1570</v>
      </c>
      <c r="P8" s="55">
        <v>26041</v>
      </c>
      <c r="Q8" s="33">
        <v>177</v>
      </c>
      <c r="R8" s="55">
        <v>5679</v>
      </c>
    </row>
    <row r="9" spans="1:18" x14ac:dyDescent="0.25">
      <c r="A9" s="54">
        <v>44262</v>
      </c>
      <c r="B9" s="33">
        <v>147051</v>
      </c>
      <c r="C9" s="33">
        <v>103995</v>
      </c>
      <c r="D9" s="55">
        <v>192241</v>
      </c>
      <c r="E9" s="55">
        <v>240940</v>
      </c>
      <c r="F9" s="55">
        <v>66854</v>
      </c>
      <c r="G9" s="55">
        <v>109529</v>
      </c>
      <c r="H9" s="33">
        <v>46963</v>
      </c>
      <c r="I9" s="55">
        <v>58440</v>
      </c>
      <c r="J9" s="55">
        <v>18727</v>
      </c>
      <c r="K9" s="55">
        <v>1024</v>
      </c>
      <c r="L9" s="55">
        <v>16474</v>
      </c>
      <c r="M9" s="55">
        <v>22516</v>
      </c>
      <c r="N9" s="55">
        <v>6774</v>
      </c>
      <c r="O9" s="55">
        <v>1571</v>
      </c>
      <c r="P9" s="55">
        <v>26041</v>
      </c>
      <c r="Q9" s="33">
        <v>181</v>
      </c>
      <c r="R9" s="55">
        <v>5686</v>
      </c>
    </row>
    <row r="10" spans="1:18" x14ac:dyDescent="0.25">
      <c r="A10" s="54">
        <v>44263</v>
      </c>
      <c r="B10" s="33">
        <v>147207</v>
      </c>
      <c r="C10" s="56">
        <v>104194</v>
      </c>
      <c r="D10" s="55">
        <v>192398</v>
      </c>
      <c r="E10" s="55">
        <v>241004</v>
      </c>
      <c r="F10" s="55">
        <v>66854</v>
      </c>
      <c r="G10" s="55">
        <v>109548</v>
      </c>
      <c r="H10" s="33">
        <v>47013</v>
      </c>
      <c r="I10" s="55">
        <v>58483</v>
      </c>
      <c r="J10" s="55">
        <v>18739</v>
      </c>
      <c r="K10" s="55">
        <v>1024</v>
      </c>
      <c r="L10" s="55">
        <v>16481</v>
      </c>
      <c r="M10" s="55">
        <v>22532</v>
      </c>
      <c r="N10" s="55">
        <v>6778</v>
      </c>
      <c r="O10" s="55">
        <v>1572</v>
      </c>
      <c r="P10" s="55">
        <v>26063</v>
      </c>
      <c r="Q10" s="33">
        <v>182</v>
      </c>
      <c r="R10" s="55">
        <v>5693</v>
      </c>
    </row>
    <row r="11" spans="1:18" x14ac:dyDescent="0.25">
      <c r="A11" s="54">
        <v>44264</v>
      </c>
      <c r="B11" s="33">
        <v>147328</v>
      </c>
      <c r="C11" s="33">
        <v>104364</v>
      </c>
      <c r="D11" s="55">
        <v>192523</v>
      </c>
      <c r="E11" s="55">
        <v>241033</v>
      </c>
      <c r="F11" s="55">
        <v>66854</v>
      </c>
      <c r="G11" s="55">
        <v>109568</v>
      </c>
      <c r="H11" s="33">
        <v>47054</v>
      </c>
      <c r="I11" s="55">
        <v>58500</v>
      </c>
      <c r="J11" s="55">
        <v>18751</v>
      </c>
      <c r="K11" s="55">
        <v>1024</v>
      </c>
      <c r="L11" s="55">
        <v>16487</v>
      </c>
      <c r="M11" s="55">
        <v>22547</v>
      </c>
      <c r="N11" s="55">
        <v>6779</v>
      </c>
      <c r="O11" s="55">
        <v>1572</v>
      </c>
      <c r="P11" s="55">
        <v>26063</v>
      </c>
      <c r="Q11" s="33">
        <v>190</v>
      </c>
      <c r="R11" s="55">
        <v>5699</v>
      </c>
    </row>
    <row r="12" spans="1:18" x14ac:dyDescent="0.25">
      <c r="A12" s="54">
        <v>44265</v>
      </c>
      <c r="B12" s="33">
        <v>147500</v>
      </c>
      <c r="C12" s="56">
        <v>104517</v>
      </c>
      <c r="D12" s="55">
        <v>192684</v>
      </c>
      <c r="E12" s="55">
        <v>241118</v>
      </c>
      <c r="F12" s="55">
        <v>66855</v>
      </c>
      <c r="G12" s="55">
        <v>109587</v>
      </c>
      <c r="H12" s="33">
        <v>47094</v>
      </c>
      <c r="I12" s="55">
        <v>58513</v>
      </c>
      <c r="J12" s="55">
        <v>18763</v>
      </c>
      <c r="K12" s="55">
        <v>1024</v>
      </c>
      <c r="L12" s="55">
        <v>16493</v>
      </c>
      <c r="M12" s="55">
        <v>22561</v>
      </c>
      <c r="N12" s="55">
        <v>6786</v>
      </c>
      <c r="O12" s="55">
        <v>1572</v>
      </c>
      <c r="P12" s="55">
        <v>26063</v>
      </c>
      <c r="Q12" s="33">
        <v>193</v>
      </c>
      <c r="R12" s="55">
        <v>5705</v>
      </c>
    </row>
    <row r="13" spans="1:18" x14ac:dyDescent="0.25">
      <c r="A13" s="54">
        <v>44266</v>
      </c>
      <c r="B13" s="33">
        <v>147631</v>
      </c>
      <c r="C13" s="33">
        <v>104722</v>
      </c>
      <c r="D13" s="55">
        <v>192810</v>
      </c>
      <c r="E13" s="55">
        <v>241180</v>
      </c>
      <c r="F13" s="55">
        <v>66855</v>
      </c>
      <c r="G13" s="55">
        <v>109608</v>
      </c>
      <c r="H13" s="33">
        <v>47144</v>
      </c>
      <c r="I13" s="55">
        <v>58569</v>
      </c>
      <c r="J13" s="55">
        <v>18775</v>
      </c>
      <c r="K13" s="55">
        <v>1024</v>
      </c>
      <c r="L13" s="55">
        <v>16499</v>
      </c>
      <c r="M13" s="55">
        <v>22574</v>
      </c>
      <c r="N13" s="55">
        <v>6796</v>
      </c>
      <c r="O13" s="55">
        <v>1574</v>
      </c>
      <c r="P13" s="55">
        <v>26096</v>
      </c>
      <c r="Q13" s="33">
        <v>199</v>
      </c>
      <c r="R13" s="55">
        <v>5712</v>
      </c>
    </row>
    <row r="14" spans="1:18" x14ac:dyDescent="0.25">
      <c r="A14" s="54">
        <v>44267</v>
      </c>
      <c r="B14" s="33">
        <v>147752</v>
      </c>
      <c r="C14" s="56">
        <v>104912</v>
      </c>
      <c r="D14" s="55">
        <v>192976</v>
      </c>
      <c r="E14" s="55">
        <v>241229</v>
      </c>
      <c r="F14" s="55">
        <v>66855</v>
      </c>
      <c r="G14" s="55">
        <v>109627</v>
      </c>
      <c r="H14" s="33">
        <v>47183</v>
      </c>
      <c r="I14" s="55">
        <v>58584</v>
      </c>
      <c r="J14" s="55">
        <v>18787</v>
      </c>
      <c r="K14" s="55">
        <v>1024</v>
      </c>
      <c r="L14" s="55">
        <v>16505</v>
      </c>
      <c r="M14" s="55">
        <v>22588</v>
      </c>
      <c r="N14" s="55">
        <v>6799</v>
      </c>
      <c r="O14" s="55">
        <v>1574</v>
      </c>
      <c r="P14" s="55">
        <v>26096</v>
      </c>
      <c r="Q14" s="33">
        <v>201.8</v>
      </c>
      <c r="R14" s="55">
        <v>5718</v>
      </c>
    </row>
    <row r="15" spans="1:18" x14ac:dyDescent="0.25">
      <c r="A15" s="54">
        <v>44268</v>
      </c>
      <c r="B15" s="33">
        <v>147865</v>
      </c>
      <c r="C15" s="33">
        <v>105091</v>
      </c>
      <c r="D15" s="55">
        <v>193097</v>
      </c>
      <c r="E15" s="55">
        <v>241283</v>
      </c>
      <c r="F15" s="55">
        <v>66858</v>
      </c>
      <c r="G15" s="55">
        <v>109650</v>
      </c>
      <c r="H15" s="33">
        <v>47227</v>
      </c>
      <c r="I15" s="55">
        <v>58607</v>
      </c>
      <c r="J15" s="55">
        <v>18798</v>
      </c>
      <c r="K15" s="55">
        <v>1024</v>
      </c>
      <c r="L15" s="55">
        <v>16511</v>
      </c>
      <c r="M15" s="55">
        <v>22604</v>
      </c>
      <c r="N15" s="55">
        <v>6803</v>
      </c>
      <c r="O15" s="55">
        <v>1574</v>
      </c>
      <c r="P15" s="55">
        <v>26096</v>
      </c>
      <c r="Q15" s="33">
        <v>204</v>
      </c>
      <c r="R15" s="55">
        <v>5720</v>
      </c>
    </row>
    <row r="16" spans="1:18" x14ac:dyDescent="0.25">
      <c r="A16" s="54">
        <v>44269</v>
      </c>
      <c r="B16" s="33">
        <v>148194</v>
      </c>
      <c r="C16" s="56">
        <v>105298</v>
      </c>
      <c r="D16" s="55">
        <v>193259</v>
      </c>
      <c r="E16" s="55">
        <v>241337</v>
      </c>
      <c r="F16" s="55">
        <v>66856</v>
      </c>
      <c r="G16" s="55">
        <v>109670</v>
      </c>
      <c r="H16" s="33">
        <v>47319</v>
      </c>
      <c r="I16" s="55">
        <v>58626</v>
      </c>
      <c r="J16" s="55">
        <v>18810</v>
      </c>
      <c r="K16" s="55">
        <v>1024</v>
      </c>
      <c r="L16" s="55">
        <v>16517</v>
      </c>
      <c r="M16" s="55">
        <v>22617</v>
      </c>
      <c r="N16" s="55">
        <v>6804</v>
      </c>
      <c r="O16" s="55">
        <v>1575</v>
      </c>
      <c r="P16" s="55">
        <v>26096</v>
      </c>
      <c r="Q16" s="33">
        <v>207</v>
      </c>
      <c r="R16" s="55">
        <v>5727</v>
      </c>
    </row>
    <row r="17" spans="1:22" x14ac:dyDescent="0.25">
      <c r="A17" s="54">
        <v>44270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44271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44272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44273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44274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44275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44276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44277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44278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44279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44280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44281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44282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44283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4" activePane="bottomLeft" state="frozen"/>
      <selection activeCell="C25" sqref="C25"/>
      <selection pane="bottomLeft" activeCell="B9" sqref="B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286.69999999999709</v>
      </c>
      <c r="C4" s="66">
        <f>('Water Reading'!B4-'Water Reading'!B3)+('Water Reading'!C4-'Water Reading'!C3)</f>
        <v>292</v>
      </c>
      <c r="D4" s="67">
        <f>C4/B4</f>
        <v>1.0184862225322739</v>
      </c>
      <c r="E4" s="88">
        <f>'Water Reading'!H4-'Water Reading'!H3</f>
        <v>34</v>
      </c>
      <c r="F4" s="89">
        <f>E4/C4</f>
        <v>0.11643835616438356</v>
      </c>
      <c r="G4" s="93">
        <f>('Water Reading'!D4-'Water Reading'!D3)-('Water Reading'!R4-'Water Reading'!R3)-('Water Reading'!Q4-'Water Reading'!Q3)</f>
        <v>80</v>
      </c>
      <c r="H4" s="89">
        <f>G4/C4</f>
        <v>0.27397260273972601</v>
      </c>
      <c r="I4" s="90">
        <f>'Water Reading'!P4-'Water Reading'!P3</f>
        <v>56</v>
      </c>
      <c r="J4" s="68">
        <f>I4/C4</f>
        <v>0.19178082191780821</v>
      </c>
      <c r="K4" s="91">
        <f>('Water Reading'!I4-'Water Reading'!I3)</f>
        <v>75</v>
      </c>
      <c r="L4" s="68">
        <f>K4/C4</f>
        <v>0.25684931506849318</v>
      </c>
      <c r="M4" s="90">
        <f>'Water Reading'!R4-'Water Reading'!R3</f>
        <v>6</v>
      </c>
      <c r="N4" s="92">
        <f>M4/C4</f>
        <v>2.0547945205479451E-2</v>
      </c>
      <c r="O4" s="90">
        <f>'Water Reading'!Q4-'Water Reading'!Q3</f>
        <v>3</v>
      </c>
      <c r="P4" s="99">
        <f>O4/C4</f>
        <v>1.0273972602739725E-2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60</v>
      </c>
      <c r="T4" s="100">
        <f>S4/C4</f>
        <v>0.20547945205479451</v>
      </c>
      <c r="U4" s="90">
        <f>'Water Reading'!G4-'Water Reading'!G3</f>
        <v>20</v>
      </c>
      <c r="V4" s="100">
        <f>U4/C4</f>
        <v>6.8493150684931503E-2</v>
      </c>
      <c r="W4" s="90">
        <f>'Water Reading'!J4-'Water Reading'!J3</f>
        <v>11</v>
      </c>
      <c r="X4" s="100">
        <f>W4/C4</f>
        <v>3.7671232876712327E-2</v>
      </c>
      <c r="Y4" s="66">
        <f t="shared" ref="Y4:Y34" si="0">E4+I4+K4+M4+O4+G4+Q4+S4+U4+W4</f>
        <v>345</v>
      </c>
      <c r="Z4" s="67">
        <f t="shared" ref="Z4:Z35" si="1">Y4/B4</f>
        <v>1.2033484478549128</v>
      </c>
    </row>
    <row r="5" spans="1:26" x14ac:dyDescent="0.25">
      <c r="A5" s="8">
        <f>'Water Reading'!A4</f>
        <v>44257</v>
      </c>
      <c r="B5" s="65">
        <f>TOTAL!I3</f>
        <v>259</v>
      </c>
      <c r="C5" s="66">
        <f>('Water Reading'!B5-'Water Reading'!B4)+('Water Reading'!C5-'Water Reading'!C4)</f>
        <v>361</v>
      </c>
      <c r="D5" s="67">
        <f t="shared" ref="D5:D34" si="2">C5/B5</f>
        <v>1.3938223938223939</v>
      </c>
      <c r="E5" s="88">
        <f>'Water Reading'!H5-'Water Reading'!H4</f>
        <v>79</v>
      </c>
      <c r="F5" s="89">
        <f t="shared" ref="F5:F34" si="3">E5/C5</f>
        <v>0.2188365650969529</v>
      </c>
      <c r="G5" s="93">
        <f>('Water Reading'!D5-'Water Reading'!D4)-('Water Reading'!R5-'Water Reading'!R4)-('Water Reading'!Q5-'Water Reading'!Q4)</f>
        <v>100</v>
      </c>
      <c r="H5" s="89">
        <f t="shared" ref="H5:H34" si="4">G5/C5</f>
        <v>0.2770083102493075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17</v>
      </c>
      <c r="L5" s="68">
        <f t="shared" ref="L5:L34" si="6">K5/C5</f>
        <v>4.7091412742382273E-2</v>
      </c>
      <c r="M5" s="90">
        <f>'Water Reading'!R5-'Water Reading'!R4</f>
        <v>7</v>
      </c>
      <c r="N5" s="92">
        <f t="shared" ref="N5:N34" si="7">M5/C5</f>
        <v>1.9390581717451522E-2</v>
      </c>
      <c r="O5" s="90">
        <f>'Water Reading'!Q5-'Water Reading'!Q4</f>
        <v>5</v>
      </c>
      <c r="P5" s="99">
        <f t="shared" ref="P5:P34" si="8">O5/C5</f>
        <v>1.3850415512465374E-2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54</v>
      </c>
      <c r="T5" s="100">
        <f t="shared" ref="T5:T34" si="10">S5/C5</f>
        <v>0.14958448753462603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12</v>
      </c>
      <c r="X5" s="100">
        <f t="shared" ref="X5:X34" si="12">W5/C5</f>
        <v>3.3240997229916899E-2</v>
      </c>
      <c r="Y5" s="66">
        <f t="shared" si="0"/>
        <v>300</v>
      </c>
      <c r="Z5" s="67">
        <f t="shared" si="1"/>
        <v>1.1583011583011582</v>
      </c>
    </row>
    <row r="6" spans="1:26" x14ac:dyDescent="0.25">
      <c r="A6" s="8">
        <f>'Water Reading'!A5</f>
        <v>44258</v>
      </c>
      <c r="B6" s="65">
        <f>TOTAL!I4</f>
        <v>265</v>
      </c>
      <c r="C6" s="66">
        <f>('Water Reading'!B6-'Water Reading'!B5)+('Water Reading'!C6-'Water Reading'!C5)</f>
        <v>413</v>
      </c>
      <c r="D6" s="67">
        <f t="shared" si="2"/>
        <v>1.5584905660377359</v>
      </c>
      <c r="E6" s="88">
        <f>'Water Reading'!H6-'Water Reading'!H5</f>
        <v>49</v>
      </c>
      <c r="F6" s="89">
        <f t="shared" si="3"/>
        <v>0.11864406779661017</v>
      </c>
      <c r="G6" s="93">
        <f>('Water Reading'!D6-'Water Reading'!D5)-('Water Reading'!R6-'Water Reading'!R5)-('Water Reading'!Q6-'Water Reading'!Q5)</f>
        <v>171</v>
      </c>
      <c r="H6" s="89">
        <f t="shared" si="4"/>
        <v>0.41404358353510895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18</v>
      </c>
      <c r="L6" s="68">
        <f t="shared" si="6"/>
        <v>4.3583535108958835E-2</v>
      </c>
      <c r="M6" s="90">
        <f>'Water Reading'!R6-'Water Reading'!R5</f>
        <v>8</v>
      </c>
      <c r="N6" s="92">
        <f t="shared" si="7"/>
        <v>1.9370460048426151E-2</v>
      </c>
      <c r="O6" s="90">
        <f>'Water Reading'!Q6-'Water Reading'!Q5</f>
        <v>2</v>
      </c>
      <c r="P6" s="99">
        <f t="shared" si="8"/>
        <v>4.8426150121065378E-3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0.14527845036319612</v>
      </c>
      <c r="U6" s="90">
        <f>'Water Reading'!G6-'Water Reading'!G5</f>
        <v>24</v>
      </c>
      <c r="V6" s="100">
        <f t="shared" si="11"/>
        <v>5.8111380145278453E-2</v>
      </c>
      <c r="W6" s="90">
        <f>'Water Reading'!J6-'Water Reading'!J5</f>
        <v>11</v>
      </c>
      <c r="X6" s="100">
        <f t="shared" si="12"/>
        <v>2.6634382566585957E-2</v>
      </c>
      <c r="Y6" s="66">
        <f t="shared" si="0"/>
        <v>343</v>
      </c>
      <c r="Z6" s="67">
        <f t="shared" si="1"/>
        <v>1.2943396226415094</v>
      </c>
    </row>
    <row r="7" spans="1:26" x14ac:dyDescent="0.25">
      <c r="A7" s="8">
        <f>'Water Reading'!A6</f>
        <v>44259</v>
      </c>
      <c r="B7" s="65">
        <f>TOTAL!I5</f>
        <v>330</v>
      </c>
      <c r="C7" s="66">
        <f>('Water Reading'!B7-'Water Reading'!B6)+('Water Reading'!C7-'Water Reading'!C6)</f>
        <v>383</v>
      </c>
      <c r="D7" s="67">
        <f t="shared" si="2"/>
        <v>1.1606060606060606</v>
      </c>
      <c r="E7" s="88">
        <f>'Water Reading'!H7-'Water Reading'!H6</f>
        <v>39</v>
      </c>
      <c r="F7" s="89">
        <f t="shared" si="3"/>
        <v>0.10182767624020887</v>
      </c>
      <c r="G7" s="93">
        <f>('Water Reading'!D7-'Water Reading'!D6)-('Water Reading'!R7-'Water Reading'!R6)-('Water Reading'!Q7-'Water Reading'!Q6)</f>
        <v>172</v>
      </c>
      <c r="H7" s="89">
        <f t="shared" si="4"/>
        <v>0.44908616187989558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4.6997389033942558E-2</v>
      </c>
      <c r="M7" s="90">
        <f>'Water Reading'!R7-'Water Reading'!R6</f>
        <v>7</v>
      </c>
      <c r="N7" s="92">
        <f t="shared" si="7"/>
        <v>1.8276762402088774E-2</v>
      </c>
      <c r="O7" s="90">
        <f>'Water Reading'!Q7-'Water Reading'!Q6</f>
        <v>2</v>
      </c>
      <c r="P7" s="99">
        <f t="shared" si="8"/>
        <v>5.2219321148825066E-3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58</v>
      </c>
      <c r="T7" s="100">
        <f t="shared" si="10"/>
        <v>0.1514360313315927</v>
      </c>
      <c r="U7" s="90">
        <f>'Water Reading'!G7-'Water Reading'!G6</f>
        <v>24</v>
      </c>
      <c r="V7" s="100">
        <f t="shared" si="11"/>
        <v>6.2663185378590072E-2</v>
      </c>
      <c r="W7" s="90">
        <f>'Water Reading'!J7-'Water Reading'!J6</f>
        <v>13</v>
      </c>
      <c r="X7" s="100">
        <f t="shared" si="12"/>
        <v>3.3942558746736295E-2</v>
      </c>
      <c r="Y7" s="66">
        <f t="shared" si="0"/>
        <v>333</v>
      </c>
      <c r="Z7" s="67">
        <f t="shared" si="1"/>
        <v>1.009090909090909</v>
      </c>
    </row>
    <row r="8" spans="1:26" x14ac:dyDescent="0.25">
      <c r="A8" s="8">
        <f>'Water Reading'!A7</f>
        <v>44260</v>
      </c>
      <c r="B8" s="65">
        <f>TOTAL!I6</f>
        <v>273</v>
      </c>
      <c r="C8" s="66">
        <f>('Water Reading'!B8-'Water Reading'!B7)+('Water Reading'!C8-'Water Reading'!C7)</f>
        <v>419</v>
      </c>
      <c r="D8" s="67">
        <f t="shared" si="2"/>
        <v>1.5347985347985349</v>
      </c>
      <c r="E8" s="88">
        <f>'Water Reading'!H8-'Water Reading'!H7</f>
        <v>40</v>
      </c>
      <c r="F8" s="89">
        <f t="shared" si="3"/>
        <v>9.5465393794749401E-2</v>
      </c>
      <c r="G8" s="93">
        <f>('Water Reading'!D8-'Water Reading'!D7)-('Water Reading'!R8-'Water Reading'!R7)-('Water Reading'!Q8-'Water Reading'!Q7)</f>
        <v>122</v>
      </c>
      <c r="H8" s="89">
        <f t="shared" si="4"/>
        <v>0.29116945107398567</v>
      </c>
      <c r="I8" s="90">
        <f>'Water Reading'!P8-'Water Reading'!P7</f>
        <v>10</v>
      </c>
      <c r="J8" s="68">
        <f t="shared" si="5"/>
        <v>2.386634844868735E-2</v>
      </c>
      <c r="K8" s="91">
        <f>('Water Reading'!I8-'Water Reading'!I7)</f>
        <v>30</v>
      </c>
      <c r="L8" s="68">
        <f t="shared" si="6"/>
        <v>7.1599045346062054E-2</v>
      </c>
      <c r="M8" s="90">
        <f>'Water Reading'!R8-'Water Reading'!R7</f>
        <v>6</v>
      </c>
      <c r="N8" s="92">
        <f t="shared" si="7"/>
        <v>1.4319809069212411E-2</v>
      </c>
      <c r="O8" s="90">
        <f>'Water Reading'!Q8-'Water Reading'!Q7</f>
        <v>3</v>
      </c>
      <c r="P8" s="99">
        <f t="shared" si="8"/>
        <v>7.1599045346062056E-3</v>
      </c>
      <c r="Q8" s="91">
        <f>'Water Reading'!F8-'Water Reading'!F7</f>
        <v>1</v>
      </c>
      <c r="R8" s="100">
        <f t="shared" si="9"/>
        <v>2.3866348448687352E-3</v>
      </c>
      <c r="S8" s="90">
        <f>'Water Reading'!E8-'Water Reading'!E7</f>
        <v>73</v>
      </c>
      <c r="T8" s="100">
        <f t="shared" si="10"/>
        <v>0.17422434367541767</v>
      </c>
      <c r="U8" s="90">
        <f>'Water Reading'!G8-'Water Reading'!G7</f>
        <v>23</v>
      </c>
      <c r="V8" s="100">
        <f t="shared" si="11"/>
        <v>5.4892601431980909E-2</v>
      </c>
      <c r="W8" s="90">
        <f>'Water Reading'!J8-'Water Reading'!J7</f>
        <v>11</v>
      </c>
      <c r="X8" s="100">
        <f t="shared" si="12"/>
        <v>2.6252983293556086E-2</v>
      </c>
      <c r="Y8" s="66">
        <f t="shared" si="0"/>
        <v>319</v>
      </c>
      <c r="Z8" s="67">
        <f t="shared" si="1"/>
        <v>1.1684981684981686</v>
      </c>
    </row>
    <row r="9" spans="1:26" x14ac:dyDescent="0.25">
      <c r="A9" s="8">
        <f>'Water Reading'!A8</f>
        <v>44261</v>
      </c>
      <c r="B9" s="65">
        <f>TOTAL!I7</f>
        <v>220</v>
      </c>
      <c r="C9" s="66">
        <f>('Water Reading'!B9-'Water Reading'!B8)+('Water Reading'!C9-'Water Reading'!C8)</f>
        <v>322</v>
      </c>
      <c r="D9" s="67">
        <f t="shared" si="2"/>
        <v>1.4636363636363636</v>
      </c>
      <c r="E9" s="88">
        <f>'Water Reading'!H9-'Water Reading'!H8</f>
        <v>31</v>
      </c>
      <c r="F9" s="89">
        <f t="shared" si="3"/>
        <v>9.627329192546584E-2</v>
      </c>
      <c r="G9" s="93">
        <f>('Water Reading'!D9-'Water Reading'!D8)-('Water Reading'!R9-'Water Reading'!R8)-('Water Reading'!Q9-'Water Reading'!Q8)</f>
        <v>98</v>
      </c>
      <c r="H9" s="89">
        <f t="shared" si="4"/>
        <v>0.30434782608695654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15</v>
      </c>
      <c r="L9" s="68">
        <f t="shared" si="6"/>
        <v>4.6583850931677016E-2</v>
      </c>
      <c r="M9" s="90">
        <f>'Water Reading'!R9-'Water Reading'!R8</f>
        <v>7</v>
      </c>
      <c r="N9" s="92">
        <f t="shared" si="7"/>
        <v>2.1739130434782608E-2</v>
      </c>
      <c r="O9" s="90">
        <f>'Water Reading'!Q9-'Water Reading'!Q8</f>
        <v>4</v>
      </c>
      <c r="P9" s="99">
        <f t="shared" si="8"/>
        <v>1.2422360248447204E-2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69</v>
      </c>
      <c r="T9" s="100">
        <f t="shared" si="10"/>
        <v>0.21428571428571427</v>
      </c>
      <c r="U9" s="90">
        <f>'Water Reading'!G9-'Water Reading'!G8</f>
        <v>23</v>
      </c>
      <c r="V9" s="100">
        <f t="shared" si="11"/>
        <v>7.1428571428571425E-2</v>
      </c>
      <c r="W9" s="90">
        <f>'Water Reading'!J9-'Water Reading'!J8</f>
        <v>12</v>
      </c>
      <c r="X9" s="100">
        <f t="shared" si="12"/>
        <v>3.7267080745341616E-2</v>
      </c>
      <c r="Y9" s="66">
        <f t="shared" si="0"/>
        <v>259</v>
      </c>
      <c r="Z9" s="67">
        <f t="shared" si="1"/>
        <v>1.1772727272727272</v>
      </c>
    </row>
    <row r="10" spans="1:26" x14ac:dyDescent="0.25">
      <c r="A10" s="8">
        <f>'Water Reading'!A9</f>
        <v>44262</v>
      </c>
      <c r="B10" s="65">
        <f>TOTAL!I8</f>
        <v>329</v>
      </c>
      <c r="C10" s="66">
        <f>('Water Reading'!B10-'Water Reading'!B9)+('Water Reading'!C10-'Water Reading'!C9)</f>
        <v>355</v>
      </c>
      <c r="D10" s="67">
        <f t="shared" si="2"/>
        <v>1.0790273556231003</v>
      </c>
      <c r="E10" s="88">
        <f>'Water Reading'!H10-'Water Reading'!H9</f>
        <v>50</v>
      </c>
      <c r="F10" s="89">
        <f t="shared" si="3"/>
        <v>0.14084507042253522</v>
      </c>
      <c r="G10" s="93">
        <f>('Water Reading'!D10-'Water Reading'!D9)-('Water Reading'!R10-'Water Reading'!R9)-('Water Reading'!Q10-'Water Reading'!Q9)</f>
        <v>149</v>
      </c>
      <c r="H10" s="89">
        <f t="shared" si="4"/>
        <v>0.41971830985915493</v>
      </c>
      <c r="I10" s="90">
        <f>'Water Reading'!P10-'Water Reading'!P9</f>
        <v>22</v>
      </c>
      <c r="J10" s="68">
        <f t="shared" si="5"/>
        <v>6.1971830985915494E-2</v>
      </c>
      <c r="K10" s="91">
        <f>('Water Reading'!I10-'Water Reading'!I9)</f>
        <v>43</v>
      </c>
      <c r="L10" s="68">
        <f t="shared" si="6"/>
        <v>0.12112676056338029</v>
      </c>
      <c r="M10" s="90">
        <f>'Water Reading'!R10-'Water Reading'!R9</f>
        <v>7</v>
      </c>
      <c r="N10" s="92">
        <f t="shared" si="7"/>
        <v>1.9718309859154931E-2</v>
      </c>
      <c r="O10" s="90">
        <f>'Water Reading'!Q10-'Water Reading'!Q9</f>
        <v>1</v>
      </c>
      <c r="P10" s="99">
        <f t="shared" si="8"/>
        <v>2.8169014084507044E-3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64</v>
      </c>
      <c r="T10" s="100">
        <f t="shared" si="10"/>
        <v>0.18028169014084508</v>
      </c>
      <c r="U10" s="90">
        <f>'Water Reading'!G10-'Water Reading'!G9</f>
        <v>19</v>
      </c>
      <c r="V10" s="100">
        <f t="shared" si="11"/>
        <v>5.3521126760563378E-2</v>
      </c>
      <c r="W10" s="90">
        <f>'Water Reading'!J10-'Water Reading'!J9</f>
        <v>12</v>
      </c>
      <c r="X10" s="100">
        <f t="shared" si="12"/>
        <v>3.3802816901408447E-2</v>
      </c>
      <c r="Y10" s="66">
        <f t="shared" si="0"/>
        <v>367</v>
      </c>
      <c r="Z10" s="67">
        <f t="shared" si="1"/>
        <v>1.115501519756839</v>
      </c>
    </row>
    <row r="11" spans="1:26" x14ac:dyDescent="0.25">
      <c r="A11" s="8">
        <f>'Water Reading'!A10</f>
        <v>44263</v>
      </c>
      <c r="B11" s="65">
        <f>TOTAL!I9</f>
        <v>242.40000000000146</v>
      </c>
      <c r="C11" s="66">
        <f>('Water Reading'!B11-'Water Reading'!B10)+('Water Reading'!C11-'Water Reading'!C10)</f>
        <v>291</v>
      </c>
      <c r="D11" s="67">
        <f t="shared" si="2"/>
        <v>1.2004950495049433</v>
      </c>
      <c r="E11" s="88">
        <f>'Water Reading'!H11-'Water Reading'!H10</f>
        <v>41</v>
      </c>
      <c r="F11" s="89">
        <f t="shared" si="3"/>
        <v>0.14089347079037801</v>
      </c>
      <c r="G11" s="93">
        <f>('Water Reading'!D11-'Water Reading'!D10)-('Water Reading'!R11-'Water Reading'!R10)-('Water Reading'!Q11-'Water Reading'!Q10)</f>
        <v>111</v>
      </c>
      <c r="H11" s="89">
        <f t="shared" si="4"/>
        <v>0.38144329896907214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</f>
        <v>17</v>
      </c>
      <c r="L11" s="68">
        <f t="shared" si="6"/>
        <v>5.8419243986254296E-2</v>
      </c>
      <c r="M11" s="90">
        <f>'Water Reading'!R11-'Water Reading'!R10</f>
        <v>6</v>
      </c>
      <c r="N11" s="92">
        <f t="shared" si="7"/>
        <v>2.0618556701030927E-2</v>
      </c>
      <c r="O11" s="98">
        <f>'Water Reading'!Q11-'Water Reading'!Q10</f>
        <v>8</v>
      </c>
      <c r="P11" s="99">
        <f t="shared" si="8"/>
        <v>2.7491408934707903E-2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29</v>
      </c>
      <c r="T11" s="100">
        <f t="shared" si="10"/>
        <v>9.9656357388316158E-2</v>
      </c>
      <c r="U11" s="90">
        <f>'Water Reading'!G11-'Water Reading'!G10</f>
        <v>20</v>
      </c>
      <c r="V11" s="100">
        <f t="shared" si="11"/>
        <v>6.8728522336769765E-2</v>
      </c>
      <c r="W11" s="90">
        <f>'Water Reading'!J11-'Water Reading'!J10</f>
        <v>12</v>
      </c>
      <c r="X11" s="100">
        <f t="shared" si="12"/>
        <v>4.1237113402061855E-2</v>
      </c>
      <c r="Y11" s="66">
        <f t="shared" si="0"/>
        <v>244</v>
      </c>
      <c r="Z11" s="67">
        <f t="shared" si="1"/>
        <v>1.0066006600660005</v>
      </c>
    </row>
    <row r="12" spans="1:26" x14ac:dyDescent="0.25">
      <c r="A12" s="8">
        <f>'Water Reading'!A11</f>
        <v>44264</v>
      </c>
      <c r="B12" s="65">
        <f>TOTAL!I10</f>
        <v>219.59999999999854</v>
      </c>
      <c r="C12" s="66">
        <f>('Water Reading'!B12-'Water Reading'!B11)+('Water Reading'!C12-'Water Reading'!C11)</f>
        <v>325</v>
      </c>
      <c r="D12" s="67">
        <f t="shared" si="2"/>
        <v>1.4799635701275144</v>
      </c>
      <c r="E12" s="88">
        <f>'Water Reading'!H12-'Water Reading'!H11</f>
        <v>40</v>
      </c>
      <c r="F12" s="89">
        <f t="shared" si="3"/>
        <v>0.12307692307692308</v>
      </c>
      <c r="G12" s="93">
        <f>('Water Reading'!D12-'Water Reading'!D11)-('Water Reading'!R12-'Water Reading'!R11)-('Water Reading'!Q12-'Water Reading'!Q11)</f>
        <v>152</v>
      </c>
      <c r="H12" s="89">
        <f t="shared" si="4"/>
        <v>0.46769230769230768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13</v>
      </c>
      <c r="L12" s="68">
        <f t="shared" si="6"/>
        <v>0.04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3</v>
      </c>
      <c r="P12" s="99">
        <f t="shared" si="8"/>
        <v>9.2307692307692316E-3</v>
      </c>
      <c r="Q12" s="91">
        <f>'Water Reading'!F12-'Water Reading'!F11</f>
        <v>1</v>
      </c>
      <c r="R12" s="100">
        <f t="shared" si="9"/>
        <v>3.0769230769230769E-3</v>
      </c>
      <c r="S12" s="90">
        <f>'Water Reading'!E12-'Water Reading'!E11</f>
        <v>85</v>
      </c>
      <c r="T12" s="100">
        <f t="shared" si="10"/>
        <v>0.26153846153846155</v>
      </c>
      <c r="U12" s="90">
        <f>'Water Reading'!G12-'Water Reading'!G11</f>
        <v>19</v>
      </c>
      <c r="V12" s="100">
        <f t="shared" si="11"/>
        <v>5.8461538461538461E-2</v>
      </c>
      <c r="W12" s="90">
        <f>'Water Reading'!J12-'Water Reading'!J11</f>
        <v>12</v>
      </c>
      <c r="X12" s="100">
        <f t="shared" si="12"/>
        <v>3.6923076923076927E-2</v>
      </c>
      <c r="Y12" s="66">
        <f t="shared" si="0"/>
        <v>331</v>
      </c>
      <c r="Z12" s="67">
        <f t="shared" si="1"/>
        <v>1.5072859744990992</v>
      </c>
    </row>
    <row r="13" spans="1:26" x14ac:dyDescent="0.25">
      <c r="A13" s="8">
        <f>'Water Reading'!A12</f>
        <v>44265</v>
      </c>
      <c r="B13" s="65">
        <f>TOTAL!I11</f>
        <v>297</v>
      </c>
      <c r="C13" s="66">
        <f>('Water Reading'!B13-'Water Reading'!B12)+('Water Reading'!C13-'Water Reading'!C12)</f>
        <v>336</v>
      </c>
      <c r="D13" s="67">
        <f t="shared" si="2"/>
        <v>1.1313131313131313</v>
      </c>
      <c r="E13" s="87">
        <f>'Water Reading'!H13-'Water Reading'!H12</f>
        <v>50</v>
      </c>
      <c r="F13" s="89">
        <f t="shared" si="3"/>
        <v>0.14880952380952381</v>
      </c>
      <c r="G13" s="93">
        <f>('Water Reading'!D13-'Water Reading'!D12)-('Water Reading'!R13-'Water Reading'!R12)-('Water Reading'!Q13-'Water Reading'!Q12)</f>
        <v>113</v>
      </c>
      <c r="H13" s="89">
        <f t="shared" si="4"/>
        <v>0.33630952380952384</v>
      </c>
      <c r="I13" s="90">
        <f>'Water Reading'!P13-'Water Reading'!P12</f>
        <v>33</v>
      </c>
      <c r="J13" s="68">
        <f t="shared" si="5"/>
        <v>9.8214285714285712E-2</v>
      </c>
      <c r="K13" s="91">
        <f>('Water Reading'!I13-'Water Reading'!I12)</f>
        <v>56</v>
      </c>
      <c r="L13" s="68">
        <f t="shared" si="6"/>
        <v>0.16666666666666666</v>
      </c>
      <c r="M13" s="90">
        <f>'Water Reading'!R13-'Water Reading'!R12</f>
        <v>7</v>
      </c>
      <c r="N13" s="92">
        <f t="shared" si="7"/>
        <v>2.0833333333333332E-2</v>
      </c>
      <c r="O13" s="90">
        <f>'Water Reading'!Q13-'Water Reading'!Q12</f>
        <v>6</v>
      </c>
      <c r="P13" s="99">
        <f t="shared" si="8"/>
        <v>1.7857142857142856E-2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62</v>
      </c>
      <c r="T13" s="100">
        <f t="shared" si="10"/>
        <v>0.18452380952380953</v>
      </c>
      <c r="U13" s="90">
        <f>'Water Reading'!G13-'Water Reading'!G12</f>
        <v>21</v>
      </c>
      <c r="V13" s="100">
        <f t="shared" si="11"/>
        <v>6.25E-2</v>
      </c>
      <c r="W13" s="90">
        <f>'Water Reading'!J13-'Water Reading'!J12</f>
        <v>12</v>
      </c>
      <c r="X13" s="100">
        <f t="shared" si="12"/>
        <v>3.5714285714285712E-2</v>
      </c>
      <c r="Y13" s="66">
        <f t="shared" si="0"/>
        <v>360</v>
      </c>
      <c r="Z13" s="67">
        <f t="shared" si="1"/>
        <v>1.2121212121212122</v>
      </c>
    </row>
    <row r="14" spans="1:26" x14ac:dyDescent="0.25">
      <c r="A14" s="8">
        <f>'Water Reading'!A13</f>
        <v>44266</v>
      </c>
      <c r="B14" s="65">
        <f>TOTAL!I12</f>
        <v>300</v>
      </c>
      <c r="C14" s="66">
        <f>('Water Reading'!B14-'Water Reading'!B13)+('Water Reading'!C14-'Water Reading'!C13)</f>
        <v>311</v>
      </c>
      <c r="D14" s="67">
        <f t="shared" si="2"/>
        <v>1.0366666666666666</v>
      </c>
      <c r="E14" s="88">
        <f>'Water Reading'!H14-'Water Reading'!H13</f>
        <v>39</v>
      </c>
      <c r="F14" s="89">
        <f t="shared" si="3"/>
        <v>0.12540192926045016</v>
      </c>
      <c r="G14" s="93">
        <f>('Water Reading'!D14-'Water Reading'!D13)-('Water Reading'!R14-'Water Reading'!R13)-('Water Reading'!Q14-'Water Reading'!Q13)</f>
        <v>157.19999999999999</v>
      </c>
      <c r="H14" s="89">
        <f t="shared" si="4"/>
        <v>0.5054662379421222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15</v>
      </c>
      <c r="L14" s="68">
        <f t="shared" si="6"/>
        <v>4.8231511254019289E-2</v>
      </c>
      <c r="M14" s="90">
        <f>'Water Reading'!R14-'Water Reading'!R13</f>
        <v>6</v>
      </c>
      <c r="N14" s="92">
        <f t="shared" si="7"/>
        <v>1.9292604501607719E-2</v>
      </c>
      <c r="O14" s="90">
        <f>'Water Reading'!Q14-'Water Reading'!Q13</f>
        <v>2.8000000000000114</v>
      </c>
      <c r="P14" s="99">
        <f t="shared" si="8"/>
        <v>9.0032154340836373E-3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49</v>
      </c>
      <c r="T14" s="100">
        <f t="shared" si="10"/>
        <v>0.15755627009646303</v>
      </c>
      <c r="U14" s="90">
        <f>'Water Reading'!G14-'Water Reading'!G13</f>
        <v>19</v>
      </c>
      <c r="V14" s="100">
        <f t="shared" si="11"/>
        <v>6.1093247588424437E-2</v>
      </c>
      <c r="W14" s="90">
        <f>'Water Reading'!J14-'Water Reading'!J13</f>
        <v>12</v>
      </c>
      <c r="X14" s="100">
        <f t="shared" si="12"/>
        <v>3.8585209003215437E-2</v>
      </c>
      <c r="Y14" s="66">
        <f t="shared" si="0"/>
        <v>300</v>
      </c>
      <c r="Z14" s="67">
        <f t="shared" si="1"/>
        <v>1</v>
      </c>
    </row>
    <row r="15" spans="1:26" x14ac:dyDescent="0.25">
      <c r="A15" s="8">
        <f>'Water Reading'!A14</f>
        <v>44267</v>
      </c>
      <c r="B15" s="65">
        <f>TOTAL!I13</f>
        <v>213</v>
      </c>
      <c r="C15" s="66">
        <f>('Water Reading'!B15-'Water Reading'!B14)+('Water Reading'!C15-'Water Reading'!C14)</f>
        <v>292</v>
      </c>
      <c r="D15" s="67">
        <f t="shared" si="2"/>
        <v>1.3708920187793427</v>
      </c>
      <c r="E15" s="87">
        <f>'Water Reading'!H15-'Water Reading'!H14</f>
        <v>44</v>
      </c>
      <c r="F15" s="89">
        <f t="shared" si="3"/>
        <v>0.15068493150684931</v>
      </c>
      <c r="G15" s="93">
        <f>('Water Reading'!D15-'Water Reading'!D14)-('Water Reading'!R15-'Water Reading'!R14)-('Water Reading'!Q15-'Water Reading'!Q14)</f>
        <v>116.80000000000001</v>
      </c>
      <c r="H15" s="89">
        <f t="shared" si="4"/>
        <v>0.4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23</v>
      </c>
      <c r="L15" s="68">
        <f t="shared" si="6"/>
        <v>7.8767123287671229E-2</v>
      </c>
      <c r="M15" s="90">
        <f>'Water Reading'!R15-'Water Reading'!R14</f>
        <v>2</v>
      </c>
      <c r="N15" s="92">
        <f t="shared" si="7"/>
        <v>6.8493150684931503E-3</v>
      </c>
      <c r="O15" s="90">
        <f>'Water Reading'!Q15-'Water Reading'!Q14</f>
        <v>2.1999999999999886</v>
      </c>
      <c r="P15" s="99">
        <f t="shared" si="8"/>
        <v>7.534246575342427E-3</v>
      </c>
      <c r="Q15" s="91">
        <f>'Water Reading'!F15-'Water Reading'!F14</f>
        <v>3</v>
      </c>
      <c r="R15" s="100">
        <f t="shared" si="9"/>
        <v>1.0273972602739725E-2</v>
      </c>
      <c r="S15" s="94">
        <f>'Water Reading'!E15-'Water Reading'!E14</f>
        <v>54</v>
      </c>
      <c r="T15" s="100">
        <f t="shared" si="10"/>
        <v>0.18493150684931506</v>
      </c>
      <c r="U15" s="90">
        <f>'Water Reading'!G15-'Water Reading'!G14</f>
        <v>23</v>
      </c>
      <c r="V15" s="100">
        <f t="shared" si="11"/>
        <v>7.8767123287671229E-2</v>
      </c>
      <c r="W15" s="90">
        <f>'Water Reading'!J15-'Water Reading'!J14</f>
        <v>11</v>
      </c>
      <c r="X15" s="100">
        <f t="shared" si="12"/>
        <v>3.7671232876712327E-2</v>
      </c>
      <c r="Y15" s="66">
        <f t="shared" si="0"/>
        <v>279</v>
      </c>
      <c r="Z15" s="67">
        <f t="shared" si="1"/>
        <v>1.3098591549295775</v>
      </c>
    </row>
    <row r="16" spans="1:26" x14ac:dyDescent="0.25">
      <c r="A16" s="8">
        <f>'Water Reading'!A15</f>
        <v>44268</v>
      </c>
      <c r="B16" s="65">
        <f>TOTAL!I14</f>
        <v>339</v>
      </c>
      <c r="C16" s="66">
        <f>('Water Reading'!B16-'Water Reading'!B15)+('Water Reading'!C16-'Water Reading'!C15)</f>
        <v>536</v>
      </c>
      <c r="D16" s="67">
        <f t="shared" si="2"/>
        <v>1.5811209439528024</v>
      </c>
      <c r="E16" s="87">
        <f>'Water Reading'!H16-'Water Reading'!H15</f>
        <v>92</v>
      </c>
      <c r="F16" s="89">
        <f t="shared" si="3"/>
        <v>0.17164179104477612</v>
      </c>
      <c r="G16" s="93">
        <f>('Water Reading'!D16-'Water Reading'!D15)-('Water Reading'!R16-'Water Reading'!R15)-('Water Reading'!Q16-'Water Reading'!Q15)</f>
        <v>152</v>
      </c>
      <c r="H16" s="89">
        <f t="shared" si="4"/>
        <v>0.28358208955223879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19</v>
      </c>
      <c r="L16" s="68">
        <f t="shared" si="6"/>
        <v>3.5447761194029849E-2</v>
      </c>
      <c r="M16" s="90">
        <f>'Water Reading'!R16-'Water Reading'!R15</f>
        <v>7</v>
      </c>
      <c r="N16" s="92">
        <f t="shared" si="7"/>
        <v>1.3059701492537313E-2</v>
      </c>
      <c r="O16" s="90">
        <f>'Water Reading'!Q16-'Water Reading'!Q15</f>
        <v>3</v>
      </c>
      <c r="P16" s="99">
        <f t="shared" si="8"/>
        <v>5.597014925373134E-3</v>
      </c>
      <c r="Q16" s="91">
        <f>'Water Reading'!F16-'Water Reading'!F15</f>
        <v>-2</v>
      </c>
      <c r="R16" s="100">
        <f t="shared" si="9"/>
        <v>-3.7313432835820895E-3</v>
      </c>
      <c r="S16" s="94">
        <f>'Water Reading'!E16-'Water Reading'!E15</f>
        <v>54</v>
      </c>
      <c r="T16" s="100">
        <f t="shared" si="10"/>
        <v>0.10074626865671642</v>
      </c>
      <c r="U16" s="90">
        <f>'Water Reading'!G16-'Water Reading'!G15</f>
        <v>20</v>
      </c>
      <c r="V16" s="100">
        <f t="shared" si="11"/>
        <v>3.7313432835820892E-2</v>
      </c>
      <c r="W16" s="90">
        <f>'Water Reading'!J16-'Water Reading'!J15</f>
        <v>12</v>
      </c>
      <c r="X16" s="100">
        <f t="shared" si="12"/>
        <v>2.2388059701492536E-2</v>
      </c>
      <c r="Y16" s="66">
        <f t="shared" si="0"/>
        <v>357</v>
      </c>
      <c r="Z16" s="67">
        <f t="shared" si="1"/>
        <v>1.0530973451327434</v>
      </c>
    </row>
    <row r="17" spans="1:26" x14ac:dyDescent="0.25">
      <c r="A17" s="8">
        <f>'Water Reading'!A16</f>
        <v>44269</v>
      </c>
      <c r="B17" s="65">
        <f>TOTAL!I15</f>
        <v>0</v>
      </c>
      <c r="C17" s="66">
        <f>('Water Reading'!B17-'Water Reading'!B16)+('Water Reading'!C17-'Water Reading'!C16)</f>
        <v>-253492</v>
      </c>
      <c r="D17" s="67" t="e">
        <f t="shared" si="2"/>
        <v>#DIV/0!</v>
      </c>
      <c r="E17" s="87">
        <f>'Water Reading'!H17-'Water Reading'!H16</f>
        <v>-47319</v>
      </c>
      <c r="F17" s="89">
        <f t="shared" si="3"/>
        <v>0.18666861281618355</v>
      </c>
      <c r="G17" s="93">
        <f>('Water Reading'!D17-'Water Reading'!D16)-('Water Reading'!R17-'Water Reading'!R16)-('Water Reading'!Q17)</f>
        <v>-187532</v>
      </c>
      <c r="H17" s="89">
        <f t="shared" si="4"/>
        <v>0.73979454972937997</v>
      </c>
      <c r="I17" s="90">
        <f>'Water Reading'!P17-'Water Reading'!P16</f>
        <v>-26096</v>
      </c>
      <c r="J17" s="68">
        <f t="shared" si="5"/>
        <v>0.10294604957947391</v>
      </c>
      <c r="K17" s="90">
        <f>('Water Reading'!I17-'Water Reading'!I16)-('Water Reading'!P17-'Water Reading'!P16)</f>
        <v>-32530</v>
      </c>
      <c r="L17" s="68">
        <f t="shared" si="6"/>
        <v>0.12832752118410048</v>
      </c>
      <c r="M17" s="90">
        <f>'Water Reading'!R17-'Water Reading'!R16</f>
        <v>-5727</v>
      </c>
      <c r="N17" s="92">
        <f t="shared" si="7"/>
        <v>2.2592428952392975E-2</v>
      </c>
      <c r="O17" s="90">
        <f>'Water Reading'!Q17</f>
        <v>0</v>
      </c>
      <c r="P17" s="99">
        <f t="shared" si="8"/>
        <v>0</v>
      </c>
      <c r="Q17" s="91">
        <f>'Water Reading'!F17-'Water Reading'!F16</f>
        <v>-66856</v>
      </c>
      <c r="R17" s="100">
        <f t="shared" si="9"/>
        <v>0.26374007858236159</v>
      </c>
      <c r="S17" s="94">
        <f>'Water Reading'!E17-'Water Reading'!E16</f>
        <v>-241337</v>
      </c>
      <c r="T17" s="100">
        <f t="shared" si="10"/>
        <v>0.95204976882899661</v>
      </c>
      <c r="U17" s="90">
        <f>'Water Reading'!G17-'Water Reading'!G16</f>
        <v>-109670</v>
      </c>
      <c r="V17" s="100">
        <f t="shared" si="11"/>
        <v>0.43263692739810328</v>
      </c>
      <c r="W17" s="90">
        <f>'Water Reading'!J17-'Water Reading'!J16</f>
        <v>-18810</v>
      </c>
      <c r="X17" s="100">
        <f t="shared" si="12"/>
        <v>7.4203525160557338E-2</v>
      </c>
      <c r="Y17" s="66">
        <f t="shared" si="0"/>
        <v>-735877</v>
      </c>
      <c r="Z17" s="67" t="e">
        <f t="shared" si="1"/>
        <v>#DIV/0!</v>
      </c>
    </row>
    <row r="18" spans="1:26" x14ac:dyDescent="0.25">
      <c r="A18" s="8">
        <f>'Water Reading'!A17</f>
        <v>44270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44271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44272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44273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44274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44275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44276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44277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44278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44279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44280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44281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44282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3573.6999999999971</v>
      </c>
      <c r="C35" s="75">
        <f>SUM(C4:C34)</f>
        <v>-248856</v>
      </c>
      <c r="D35" s="96">
        <f>C35/B35</f>
        <v>-69.635391890757532</v>
      </c>
      <c r="E35" s="7">
        <f>SUM(E4:E34)</f>
        <v>-46691</v>
      </c>
      <c r="F35" s="95">
        <f>E35/C35</f>
        <v>0.18762256083839651</v>
      </c>
      <c r="G35" s="75">
        <f>SUM(G4:G34)</f>
        <v>-185838</v>
      </c>
      <c r="H35" s="95">
        <f>G35/C35</f>
        <v>0.74676921593210532</v>
      </c>
      <c r="I35" s="7">
        <f>SUM(I4:I34)</f>
        <v>-25975</v>
      </c>
      <c r="J35" s="95">
        <f>I35/C35</f>
        <v>0.10437763204423442</v>
      </c>
      <c r="K35" s="7">
        <f>SUM(K4:K34)</f>
        <v>-32171</v>
      </c>
      <c r="L35" s="95">
        <f>K35/C35</f>
        <v>0.12927556498537307</v>
      </c>
      <c r="M35" s="7">
        <f>SUM(M4:M34)</f>
        <v>-5645</v>
      </c>
      <c r="N35" s="95">
        <f>M35/C35</f>
        <v>2.2683801073713313E-2</v>
      </c>
      <c r="O35" s="7">
        <f>SUM(O4:O34)</f>
        <v>45</v>
      </c>
      <c r="P35" s="95">
        <f>O35/C35</f>
        <v>-1.8082746648664287E-4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-731740</v>
      </c>
      <c r="Z35" s="95">
        <f t="shared" si="1"/>
        <v>-204.75697456417734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2021-03-14T06:16:28Z</dcterms:modified>
  <cp:category/>
  <cp:contentStatus/>
</cp:coreProperties>
</file>